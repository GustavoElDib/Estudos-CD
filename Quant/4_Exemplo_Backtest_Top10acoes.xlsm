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drawings/drawing2.xml" ContentType="application/vnd.openxmlformats-officedocument.drawing+xml"/>
  <Override PartName="/xl/ctrlProps/ctrlProp4.xml" ContentType="application/vnd.ms-excel.controlproperties+xml"/>
  <Override PartName="/xl/drawings/drawing3.xml" ContentType="application/vnd.openxmlformats-officedocument.drawing+xml"/>
  <Override PartName="/xl/ctrlProps/ctrlProp5.xml" ContentType="application/vnd.ms-excel.controlproperties+xml"/>
  <Override PartName="/xl/drawings/drawing4.xml" ContentType="application/vnd.openxmlformats-officedocument.drawing+xml"/>
  <Override PartName="/xl/ctrlProps/ctrlProp6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827" codeName="{2E6947BB-A706-504E-29CB-9DD9B7763434}"/>
  <workbookPr codeName="ThisWorkbook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C:\Users\USER\Quantamental Dropbox\Rafael Lavrado\Quant_Expert\Quant_Expert\"/>
    </mc:Choice>
  </mc:AlternateContent>
  <xr:revisionPtr revIDLastSave="0" documentId="13_ncr:1_{54DB7FBD-5C22-4C2A-A333-7B704EB2D155}" xr6:coauthVersionLast="45" xr6:coauthVersionMax="45" xr10:uidLastSave="{00000000-0000-0000-0000-000000000000}"/>
  <bookViews>
    <workbookView xWindow="-108" yWindow="-108" windowWidth="23256" windowHeight="13176" xr2:uid="{FADCD8EB-7861-4EAD-88F5-25E13594D53D}"/>
  </bookViews>
  <sheets>
    <sheet name="Backtest" sheetId="15" r:id="rId1"/>
    <sheet name="Analisando_Resultados" sheetId="22" r:id="rId2"/>
    <sheet name="Analisando_Resultados_LS" sheetId="23" r:id="rId3"/>
    <sheet name="Precos" sheetId="16" r:id="rId4"/>
    <sheet name="Composicao_IBX" sheetId="17" r:id="rId5"/>
    <sheet name="Auxiliar" sheetId="21" r:id="rId6"/>
    <sheet name="Sheet7" sheetId="10" state="hidden" r:id="rId7"/>
  </sheets>
  <functionGroups builtInGroupCount="19"/>
  <definedNames>
    <definedName name="_xlnm._FilterDatabase" localSheetId="5" hidden="1">Auxiliar!$A$2:$G$197</definedName>
    <definedName name="_xlnm._FilterDatabase" localSheetId="4" hidden="1">Composicao_IBX!$DE$1:$DE$176</definedName>
    <definedName name="data_anterior">Backtest!$F$2</definedName>
    <definedName name="data_composicao">Backtest!$G$2</definedName>
    <definedName name="data_mes_seguinte">Backtest!$H$2</definedName>
    <definedName name="Linha_Backtest">Backtest!$E$2</definedName>
    <definedName name="N_Acoes">Backtest!$K$2</definedName>
    <definedName name="Range_Resultados">Backtest!$B$4:$B$111</definedName>
    <definedName name="resultado_mes">Auxiliar!$G$1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P14" i="22" l="1"/>
  <c r="Q14" i="22"/>
  <c r="O14" i="22"/>
  <c r="B3" i="23" l="1"/>
  <c r="B4" i="23"/>
  <c r="B5" i="23"/>
  <c r="F5" i="23" s="1"/>
  <c r="H5" i="23" s="1"/>
  <c r="B6" i="23"/>
  <c r="F6" i="23" s="1"/>
  <c r="H6" i="23" s="1"/>
  <c r="B7" i="23"/>
  <c r="B8" i="23"/>
  <c r="B9" i="23"/>
  <c r="F9" i="23" s="1"/>
  <c r="H9" i="23" s="1"/>
  <c r="B10" i="23"/>
  <c r="F10" i="23" s="1"/>
  <c r="H10" i="23" s="1"/>
  <c r="B11" i="23"/>
  <c r="B12" i="23"/>
  <c r="B13" i="23"/>
  <c r="F13" i="23" s="1"/>
  <c r="H13" i="23" s="1"/>
  <c r="B14" i="23"/>
  <c r="B15" i="23"/>
  <c r="B16" i="23"/>
  <c r="F16" i="23" s="1"/>
  <c r="H16" i="23" s="1"/>
  <c r="B17" i="23"/>
  <c r="F17" i="23" s="1"/>
  <c r="H17" i="23" s="1"/>
  <c r="B18" i="23"/>
  <c r="F18" i="23" s="1"/>
  <c r="H18" i="23" s="1"/>
  <c r="B19" i="23"/>
  <c r="B20" i="23"/>
  <c r="F20" i="23" s="1"/>
  <c r="H20" i="23" s="1"/>
  <c r="B21" i="23"/>
  <c r="F21" i="23" s="1"/>
  <c r="H21" i="23" s="1"/>
  <c r="B22" i="23"/>
  <c r="F22" i="23" s="1"/>
  <c r="H22" i="23" s="1"/>
  <c r="B23" i="23"/>
  <c r="F23" i="23" s="1"/>
  <c r="H23" i="23" s="1"/>
  <c r="B24" i="23"/>
  <c r="F24" i="23" s="1"/>
  <c r="H24" i="23" s="1"/>
  <c r="B25" i="23"/>
  <c r="F25" i="23" s="1"/>
  <c r="H25" i="23" s="1"/>
  <c r="B26" i="23"/>
  <c r="F26" i="23" s="1"/>
  <c r="H26" i="23" s="1"/>
  <c r="B27" i="23"/>
  <c r="B28" i="23"/>
  <c r="F28" i="23" s="1"/>
  <c r="H28" i="23" s="1"/>
  <c r="B29" i="23"/>
  <c r="F29" i="23" s="1"/>
  <c r="H29" i="23" s="1"/>
  <c r="B30" i="23"/>
  <c r="F30" i="23" s="1"/>
  <c r="H30" i="23" s="1"/>
  <c r="B31" i="23"/>
  <c r="F31" i="23" s="1"/>
  <c r="H31" i="23" s="1"/>
  <c r="B32" i="23"/>
  <c r="F32" i="23" s="1"/>
  <c r="H32" i="23" s="1"/>
  <c r="B33" i="23"/>
  <c r="F33" i="23" s="1"/>
  <c r="H33" i="23" s="1"/>
  <c r="B34" i="23"/>
  <c r="F34" i="23" s="1"/>
  <c r="H34" i="23" s="1"/>
  <c r="B35" i="23"/>
  <c r="B36" i="23"/>
  <c r="F36" i="23" s="1"/>
  <c r="H36" i="23" s="1"/>
  <c r="B37" i="23"/>
  <c r="F37" i="23" s="1"/>
  <c r="H37" i="23" s="1"/>
  <c r="B38" i="23"/>
  <c r="B39" i="23"/>
  <c r="B40" i="23"/>
  <c r="B41" i="23"/>
  <c r="F41" i="23" s="1"/>
  <c r="H41" i="23" s="1"/>
  <c r="B42" i="23"/>
  <c r="F42" i="23" s="1"/>
  <c r="H42" i="23" s="1"/>
  <c r="B43" i="23"/>
  <c r="B44" i="23"/>
  <c r="F44" i="23" s="1"/>
  <c r="H44" i="23" s="1"/>
  <c r="B45" i="23"/>
  <c r="F45" i="23" s="1"/>
  <c r="H45" i="23" s="1"/>
  <c r="B46" i="23"/>
  <c r="F46" i="23" s="1"/>
  <c r="H46" i="23" s="1"/>
  <c r="B47" i="23"/>
  <c r="F47" i="23" s="1"/>
  <c r="H47" i="23" s="1"/>
  <c r="B48" i="23"/>
  <c r="B49" i="23"/>
  <c r="F49" i="23" s="1"/>
  <c r="H49" i="23" s="1"/>
  <c r="B50" i="23"/>
  <c r="F50" i="23" s="1"/>
  <c r="H50" i="23" s="1"/>
  <c r="B51" i="23"/>
  <c r="F51" i="23" s="1"/>
  <c r="H51" i="23" s="1"/>
  <c r="B52" i="23"/>
  <c r="B53" i="23"/>
  <c r="F53" i="23" s="1"/>
  <c r="H53" i="23" s="1"/>
  <c r="B54" i="23"/>
  <c r="F54" i="23" s="1"/>
  <c r="H54" i="23" s="1"/>
  <c r="B55" i="23"/>
  <c r="B56" i="23"/>
  <c r="F56" i="23" s="1"/>
  <c r="H56" i="23" s="1"/>
  <c r="B57" i="23"/>
  <c r="F57" i="23" s="1"/>
  <c r="H57" i="23" s="1"/>
  <c r="B58" i="23"/>
  <c r="F58" i="23" s="1"/>
  <c r="H58" i="23" s="1"/>
  <c r="B59" i="23"/>
  <c r="B60" i="23"/>
  <c r="B61" i="23"/>
  <c r="F61" i="23" s="1"/>
  <c r="H61" i="23" s="1"/>
  <c r="B62" i="23"/>
  <c r="B63" i="23"/>
  <c r="B64" i="23"/>
  <c r="F64" i="23" s="1"/>
  <c r="H64" i="23" s="1"/>
  <c r="B65" i="23"/>
  <c r="F65" i="23" s="1"/>
  <c r="H65" i="23" s="1"/>
  <c r="B66" i="23"/>
  <c r="F66" i="23" s="1"/>
  <c r="H66" i="23" s="1"/>
  <c r="B67" i="23"/>
  <c r="B68" i="23"/>
  <c r="B69" i="23"/>
  <c r="F69" i="23" s="1"/>
  <c r="H69" i="23" s="1"/>
  <c r="B70" i="23"/>
  <c r="F70" i="23" s="1"/>
  <c r="H70" i="23" s="1"/>
  <c r="B71" i="23"/>
  <c r="F71" i="23" s="1"/>
  <c r="H71" i="23" s="1"/>
  <c r="B72" i="23"/>
  <c r="F72" i="23" s="1"/>
  <c r="H72" i="23" s="1"/>
  <c r="B73" i="23"/>
  <c r="F73" i="23" s="1"/>
  <c r="H73" i="23" s="1"/>
  <c r="B74" i="23"/>
  <c r="F74" i="23" s="1"/>
  <c r="H74" i="23" s="1"/>
  <c r="B75" i="23"/>
  <c r="B76" i="23"/>
  <c r="F76" i="23" s="1"/>
  <c r="H76" i="23" s="1"/>
  <c r="B77" i="23"/>
  <c r="F77" i="23" s="1"/>
  <c r="H77" i="23" s="1"/>
  <c r="B78" i="23"/>
  <c r="F78" i="23" s="1"/>
  <c r="H78" i="23" s="1"/>
  <c r="B79" i="23"/>
  <c r="B80" i="23"/>
  <c r="F80" i="23" s="1"/>
  <c r="H80" i="23" s="1"/>
  <c r="B81" i="23"/>
  <c r="F81" i="23" s="1"/>
  <c r="H81" i="23" s="1"/>
  <c r="B82" i="23"/>
  <c r="F82" i="23" s="1"/>
  <c r="H82" i="23" s="1"/>
  <c r="B83" i="23"/>
  <c r="F83" i="23" s="1"/>
  <c r="H83" i="23" s="1"/>
  <c r="B84" i="23"/>
  <c r="B85" i="23"/>
  <c r="F85" i="23" s="1"/>
  <c r="H85" i="23" s="1"/>
  <c r="B86" i="23"/>
  <c r="B87" i="23"/>
  <c r="B88" i="23"/>
  <c r="F88" i="23" s="1"/>
  <c r="H88" i="23" s="1"/>
  <c r="B89" i="23"/>
  <c r="F89" i="23" s="1"/>
  <c r="H89" i="23" s="1"/>
  <c r="B90" i="23"/>
  <c r="F90" i="23" s="1"/>
  <c r="H90" i="23" s="1"/>
  <c r="B91" i="23"/>
  <c r="F91" i="23" s="1"/>
  <c r="H91" i="23" s="1"/>
  <c r="B92" i="23"/>
  <c r="F92" i="23" s="1"/>
  <c r="H92" i="23" s="1"/>
  <c r="B93" i="23"/>
  <c r="F93" i="23" s="1"/>
  <c r="H93" i="23" s="1"/>
  <c r="B94" i="23"/>
  <c r="F94" i="23" s="1"/>
  <c r="H94" i="23" s="1"/>
  <c r="B95" i="23"/>
  <c r="F95" i="23" s="1"/>
  <c r="H95" i="23" s="1"/>
  <c r="B96" i="23"/>
  <c r="B97" i="23"/>
  <c r="F97" i="23" s="1"/>
  <c r="H97" i="23" s="1"/>
  <c r="B98" i="23"/>
  <c r="F98" i="23" s="1"/>
  <c r="H98" i="23" s="1"/>
  <c r="B99" i="23"/>
  <c r="F99" i="23" s="1"/>
  <c r="H99" i="23" s="1"/>
  <c r="B100" i="23"/>
  <c r="B101" i="23"/>
  <c r="F101" i="23" s="1"/>
  <c r="H101" i="23" s="1"/>
  <c r="B102" i="23"/>
  <c r="F102" i="23" s="1"/>
  <c r="H102" i="23" s="1"/>
  <c r="B103" i="23"/>
  <c r="B104" i="23"/>
  <c r="B105" i="23"/>
  <c r="F105" i="23" s="1"/>
  <c r="H105" i="23" s="1"/>
  <c r="B106" i="23"/>
  <c r="F106" i="23" s="1"/>
  <c r="H106" i="23" s="1"/>
  <c r="B107" i="23"/>
  <c r="B108" i="23"/>
  <c r="B109" i="23"/>
  <c r="B2" i="23"/>
  <c r="F2" i="23" s="1"/>
  <c r="H2" i="23" s="1"/>
  <c r="B3" i="22"/>
  <c r="B4" i="22"/>
  <c r="B5" i="22"/>
  <c r="B6" i="22"/>
  <c r="B7" i="22"/>
  <c r="B8" i="22"/>
  <c r="B9" i="22"/>
  <c r="B10" i="22"/>
  <c r="B11" i="22"/>
  <c r="B12" i="22"/>
  <c r="B13" i="22"/>
  <c r="B14" i="22"/>
  <c r="B15" i="22"/>
  <c r="B16" i="22"/>
  <c r="B17" i="22"/>
  <c r="B18" i="22"/>
  <c r="B19" i="22"/>
  <c r="B20" i="22"/>
  <c r="B21" i="22"/>
  <c r="B22" i="22"/>
  <c r="B23" i="22"/>
  <c r="B24" i="22"/>
  <c r="B25" i="22"/>
  <c r="B26" i="22"/>
  <c r="B27" i="22"/>
  <c r="B28" i="22"/>
  <c r="B29" i="22"/>
  <c r="B30" i="22"/>
  <c r="B31" i="22"/>
  <c r="B32" i="22"/>
  <c r="B33" i="22"/>
  <c r="B34" i="22"/>
  <c r="B35" i="22"/>
  <c r="B36" i="22"/>
  <c r="B37" i="22"/>
  <c r="B38" i="22"/>
  <c r="B39" i="22"/>
  <c r="B40" i="22"/>
  <c r="B41" i="22"/>
  <c r="B42" i="22"/>
  <c r="B43" i="22"/>
  <c r="B44" i="22"/>
  <c r="B45" i="22"/>
  <c r="B46" i="22"/>
  <c r="B47" i="22"/>
  <c r="B48" i="22"/>
  <c r="B49" i="22"/>
  <c r="B50" i="22"/>
  <c r="B51" i="22"/>
  <c r="B52" i="22"/>
  <c r="B53" i="22"/>
  <c r="B54" i="22"/>
  <c r="B55" i="22"/>
  <c r="B56" i="22"/>
  <c r="B57" i="22"/>
  <c r="B58" i="22"/>
  <c r="B59" i="22"/>
  <c r="B60" i="22"/>
  <c r="B61" i="22"/>
  <c r="B62" i="22"/>
  <c r="B63" i="22"/>
  <c r="B64" i="22"/>
  <c r="B65" i="22"/>
  <c r="B66" i="22"/>
  <c r="B67" i="22"/>
  <c r="B68" i="22"/>
  <c r="B69" i="22"/>
  <c r="B70" i="22"/>
  <c r="B71" i="22"/>
  <c r="B72" i="22"/>
  <c r="B73" i="22"/>
  <c r="B74" i="22"/>
  <c r="B75" i="22"/>
  <c r="B76" i="22"/>
  <c r="B77" i="22"/>
  <c r="B78" i="22"/>
  <c r="B79" i="22"/>
  <c r="B80" i="22"/>
  <c r="B81" i="22"/>
  <c r="B82" i="22"/>
  <c r="B83" i="22"/>
  <c r="B84" i="22"/>
  <c r="B85" i="22"/>
  <c r="B86" i="22"/>
  <c r="B87" i="22"/>
  <c r="B88" i="22"/>
  <c r="B89" i="22"/>
  <c r="B90" i="22"/>
  <c r="B91" i="22"/>
  <c r="B92" i="22"/>
  <c r="B93" i="22"/>
  <c r="B94" i="22"/>
  <c r="B95" i="22"/>
  <c r="B96" i="22"/>
  <c r="B97" i="22"/>
  <c r="B98" i="22"/>
  <c r="B99" i="22"/>
  <c r="B100" i="22"/>
  <c r="B101" i="22"/>
  <c r="B102" i="22"/>
  <c r="B103" i="22"/>
  <c r="B104" i="22"/>
  <c r="B105" i="22"/>
  <c r="B106" i="22"/>
  <c r="B107" i="22"/>
  <c r="B108" i="22"/>
  <c r="B109" i="22"/>
  <c r="B2" i="22"/>
  <c r="Q12" i="23" a="1"/>
  <c r="Q12" i="23" s="1"/>
  <c r="P12" i="23" a="1"/>
  <c r="F109" i="23"/>
  <c r="H109" i="23" s="1"/>
  <c r="F108" i="23"/>
  <c r="H108" i="23" s="1"/>
  <c r="F107" i="23"/>
  <c r="H107" i="23" s="1"/>
  <c r="F104" i="23"/>
  <c r="H104" i="23" s="1"/>
  <c r="F103" i="23"/>
  <c r="H103" i="23" s="1"/>
  <c r="F100" i="23"/>
  <c r="H100" i="23" s="1"/>
  <c r="F96" i="23"/>
  <c r="H96" i="23" s="1"/>
  <c r="F87" i="23"/>
  <c r="H87" i="23" s="1"/>
  <c r="F84" i="23"/>
  <c r="H84" i="23" s="1"/>
  <c r="F79" i="23"/>
  <c r="H79" i="23" s="1"/>
  <c r="F75" i="23"/>
  <c r="H75" i="23" s="1"/>
  <c r="F68" i="23"/>
  <c r="H68" i="23" s="1"/>
  <c r="F67" i="23"/>
  <c r="H67" i="23" s="1"/>
  <c r="F63" i="23"/>
  <c r="H63" i="23" s="1"/>
  <c r="F60" i="23"/>
  <c r="H60" i="23" s="1"/>
  <c r="F59" i="23"/>
  <c r="H59" i="23" s="1"/>
  <c r="F55" i="23"/>
  <c r="H55" i="23" s="1"/>
  <c r="F52" i="23"/>
  <c r="H52" i="23" s="1"/>
  <c r="F48" i="23"/>
  <c r="H48" i="23" s="1"/>
  <c r="F43" i="23"/>
  <c r="H43" i="23" s="1"/>
  <c r="F40" i="23"/>
  <c r="H40" i="23" s="1"/>
  <c r="F39" i="23"/>
  <c r="H39" i="23" s="1"/>
  <c r="F35" i="23"/>
  <c r="H35" i="23" s="1"/>
  <c r="F27" i="23"/>
  <c r="H27" i="23" s="1"/>
  <c r="F19" i="23"/>
  <c r="H19" i="23" s="1"/>
  <c r="F15" i="23"/>
  <c r="H15" i="23" s="1"/>
  <c r="F12" i="23"/>
  <c r="H12" i="23" s="1"/>
  <c r="N11" i="23"/>
  <c r="M11" i="23"/>
  <c r="Q11" i="23" s="1"/>
  <c r="F11" i="23"/>
  <c r="H11" i="23" s="1"/>
  <c r="N10" i="23"/>
  <c r="M10" i="23"/>
  <c r="Q10" i="23" s="1"/>
  <c r="N9" i="23"/>
  <c r="M9" i="23"/>
  <c r="N8" i="23"/>
  <c r="Q8" i="23" s="1"/>
  <c r="M8" i="23"/>
  <c r="F8" i="23"/>
  <c r="H8" i="23" s="1"/>
  <c r="N7" i="23"/>
  <c r="M7" i="23"/>
  <c r="F7" i="23"/>
  <c r="H7" i="23" s="1"/>
  <c r="N6" i="23"/>
  <c r="M6" i="23"/>
  <c r="N5" i="23"/>
  <c r="M5" i="23"/>
  <c r="N4" i="23"/>
  <c r="Q4" i="23" s="1"/>
  <c r="M4" i="23"/>
  <c r="F4" i="23"/>
  <c r="H4" i="23" s="1"/>
  <c r="N3" i="23"/>
  <c r="M3" i="23"/>
  <c r="F3" i="23"/>
  <c r="H3" i="23" s="1"/>
  <c r="P5" i="23" l="1"/>
  <c r="P7" i="23"/>
  <c r="P9" i="23"/>
  <c r="P11" i="23"/>
  <c r="F86" i="23"/>
  <c r="H86" i="23" s="1"/>
  <c r="P10" i="23" s="1"/>
  <c r="F62" i="23"/>
  <c r="H62" i="23" s="1"/>
  <c r="P8" i="23" s="1"/>
  <c r="F38" i="23"/>
  <c r="H38" i="23" s="1"/>
  <c r="P6" i="23" s="1"/>
  <c r="F14" i="23"/>
  <c r="H14" i="23" s="1"/>
  <c r="P4" i="23" s="1"/>
  <c r="Q3" i="23"/>
  <c r="Q7" i="23"/>
  <c r="Q6" i="23"/>
  <c r="Q5" i="23"/>
  <c r="Q9" i="23"/>
  <c r="P3" i="23"/>
  <c r="Q5" i="22"/>
  <c r="L4" i="22"/>
  <c r="P4" i="22" s="1"/>
  <c r="M4" i="22"/>
  <c r="L5" i="22"/>
  <c r="M5" i="22"/>
  <c r="P5" i="22" s="1"/>
  <c r="L6" i="22"/>
  <c r="P6" i="22" s="1"/>
  <c r="M6" i="22"/>
  <c r="L7" i="22"/>
  <c r="M7" i="22"/>
  <c r="L8" i="22"/>
  <c r="Q8" i="22" s="1"/>
  <c r="M8" i="22"/>
  <c r="L9" i="22"/>
  <c r="M9" i="22"/>
  <c r="Q9" i="22" s="1"/>
  <c r="L10" i="22"/>
  <c r="P10" i="22" s="1"/>
  <c r="M10" i="22"/>
  <c r="L11" i="22"/>
  <c r="M11" i="22"/>
  <c r="M3" i="22"/>
  <c r="P3" i="22" s="1"/>
  <c r="L3" i="22"/>
  <c r="G3" i="22"/>
  <c r="G4" i="22"/>
  <c r="G5" i="22"/>
  <c r="G6" i="22"/>
  <c r="G7" i="22"/>
  <c r="G8" i="22"/>
  <c r="G9" i="22"/>
  <c r="G10" i="22"/>
  <c r="G11" i="22"/>
  <c r="G12" i="22"/>
  <c r="G13" i="22"/>
  <c r="G14" i="22"/>
  <c r="G15" i="22"/>
  <c r="G16" i="22"/>
  <c r="G17" i="22"/>
  <c r="G18" i="22"/>
  <c r="G19" i="22"/>
  <c r="G20" i="22"/>
  <c r="G21" i="22"/>
  <c r="G22" i="22"/>
  <c r="G23" i="22"/>
  <c r="G24" i="22"/>
  <c r="G25" i="22"/>
  <c r="G26" i="22"/>
  <c r="G27" i="22"/>
  <c r="G28" i="22"/>
  <c r="G29" i="22"/>
  <c r="G30" i="22"/>
  <c r="G31" i="22"/>
  <c r="G32" i="22"/>
  <c r="G33" i="22"/>
  <c r="G34" i="22"/>
  <c r="G35" i="22"/>
  <c r="G36" i="22"/>
  <c r="G37" i="22"/>
  <c r="G38" i="22"/>
  <c r="G39" i="22"/>
  <c r="G40" i="22"/>
  <c r="G41" i="22"/>
  <c r="G42" i="22"/>
  <c r="G43" i="22"/>
  <c r="G44" i="22"/>
  <c r="G45" i="22"/>
  <c r="G46" i="22"/>
  <c r="G47" i="22"/>
  <c r="G48" i="22"/>
  <c r="G49" i="22"/>
  <c r="G50" i="22"/>
  <c r="G51" i="22"/>
  <c r="G52" i="22"/>
  <c r="G53" i="22"/>
  <c r="G54" i="22"/>
  <c r="G55" i="22"/>
  <c r="G56" i="22"/>
  <c r="G57" i="22"/>
  <c r="G58" i="22"/>
  <c r="G59" i="22"/>
  <c r="G60" i="22"/>
  <c r="G61" i="22"/>
  <c r="G62" i="22"/>
  <c r="G63" i="22"/>
  <c r="G64" i="22"/>
  <c r="G65" i="22"/>
  <c r="G66" i="22"/>
  <c r="G67" i="22"/>
  <c r="G68" i="22"/>
  <c r="G69" i="22"/>
  <c r="G70" i="22"/>
  <c r="G71" i="22"/>
  <c r="G72" i="22"/>
  <c r="G73" i="22"/>
  <c r="G74" i="22"/>
  <c r="G75" i="22"/>
  <c r="G76" i="22"/>
  <c r="G77" i="22"/>
  <c r="G78" i="22"/>
  <c r="G79" i="22"/>
  <c r="G80" i="22"/>
  <c r="G81" i="22"/>
  <c r="G82" i="22"/>
  <c r="G83" i="22"/>
  <c r="G84" i="22"/>
  <c r="G85" i="22"/>
  <c r="G86" i="22"/>
  <c r="G87" i="22"/>
  <c r="G88" i="22"/>
  <c r="G89" i="22"/>
  <c r="G90" i="22"/>
  <c r="G91" i="22"/>
  <c r="G92" i="22"/>
  <c r="G93" i="22"/>
  <c r="G94" i="22"/>
  <c r="G95" i="22"/>
  <c r="G96" i="22"/>
  <c r="G97" i="22"/>
  <c r="G98" i="22"/>
  <c r="G99" i="22"/>
  <c r="G100" i="22"/>
  <c r="G101" i="22"/>
  <c r="G102" i="22"/>
  <c r="G103" i="22"/>
  <c r="G104" i="22"/>
  <c r="G105" i="22"/>
  <c r="G106" i="22"/>
  <c r="G107" i="22"/>
  <c r="G108" i="22"/>
  <c r="G109" i="22"/>
  <c r="G2" i="22"/>
  <c r="P12" i="23" l="1"/>
  <c r="Q3" i="22"/>
  <c r="Q10" i="22"/>
  <c r="P11" i="22"/>
  <c r="P7" i="22"/>
  <c r="P13" i="22" s="1" a="1"/>
  <c r="P13" i="22" s="1"/>
  <c r="P8" i="22"/>
  <c r="Q4" i="22"/>
  <c r="Q6" i="22"/>
  <c r="O4" i="22"/>
  <c r="O8" i="22"/>
  <c r="O3" i="22"/>
  <c r="O5" i="22"/>
  <c r="O11" i="22"/>
  <c r="O7" i="22"/>
  <c r="P9" i="22"/>
  <c r="O10" i="22"/>
  <c r="O6" i="22"/>
  <c r="Q11" i="22"/>
  <c r="Q7" i="22"/>
  <c r="O9" i="22"/>
  <c r="F2" i="15" a="1"/>
  <c r="F2" i="15" s="1"/>
  <c r="G2" i="15" a="1"/>
  <c r="G2" i="15" s="1"/>
  <c r="H2" i="15" a="1"/>
  <c r="H2" i="15" s="1"/>
  <c r="Q13" i="22" l="1" a="1"/>
  <c r="Q13" i="22" s="1"/>
  <c r="O13" i="22" a="1"/>
  <c r="O13" i="22" s="1"/>
  <c r="G1" i="21"/>
  <c r="I14" i="10" l="1"/>
  <c r="D4" i="10" l="1" a="1"/>
  <c r="D3" i="10" a="1"/>
  <c r="J21" i="10" l="1"/>
  <c r="V51" i="10" l="1" a="1"/>
  <c r="V53" i="10" a="1"/>
  <c r="H8" i="10" l="1"/>
  <c r="L9" i="10"/>
  <c r="H11" i="10"/>
  <c r="L12" i="10"/>
  <c r="G1" i="10"/>
  <c r="G16" i="10" s="1"/>
  <c r="H1" i="10"/>
  <c r="H30" i="10" s="1"/>
  <c r="I1" i="10"/>
  <c r="I37" i="10" s="1"/>
  <c r="J1" i="10"/>
  <c r="K1" i="10"/>
  <c r="L1" i="10"/>
  <c r="M1" i="10"/>
  <c r="N1" i="10"/>
  <c r="G2" i="10"/>
  <c r="G8" i="10" s="1"/>
  <c r="H2" i="10"/>
  <c r="I2" i="10"/>
  <c r="J2" i="10"/>
  <c r="K2" i="10"/>
  <c r="L2" i="10"/>
  <c r="M2" i="10"/>
  <c r="M31" i="10" s="1"/>
  <c r="N2" i="10"/>
  <c r="N15" i="10" s="1"/>
  <c r="F2" i="10"/>
  <c r="F35" i="10" s="1"/>
  <c r="F1" i="10"/>
  <c r="F39" i="10" s="1"/>
  <c r="F26" i="10" l="1"/>
  <c r="F9" i="10"/>
  <c r="F16" i="10"/>
  <c r="G26" i="10"/>
  <c r="F38" i="10"/>
  <c r="F8" i="10"/>
  <c r="F15" i="10"/>
  <c r="F37" i="10"/>
  <c r="F11" i="10"/>
  <c r="F17" i="10"/>
  <c r="K24" i="10"/>
  <c r="F19" i="10"/>
  <c r="G23" i="10"/>
  <c r="G28" i="10" s="1"/>
  <c r="F41" i="10"/>
  <c r="K9" i="10"/>
  <c r="F21" i="10"/>
  <c r="K12" i="10"/>
  <c r="G19" i="10"/>
  <c r="K21" i="10"/>
  <c r="F42" i="10"/>
  <c r="M38" i="10"/>
  <c r="K17" i="10"/>
  <c r="F30" i="10"/>
  <c r="F40" i="10"/>
  <c r="L31" i="10"/>
  <c r="G11" i="10"/>
  <c r="F31" i="10"/>
  <c r="K14" i="10"/>
  <c r="F32" i="10"/>
  <c r="F33" i="10"/>
  <c r="F22" i="10"/>
  <c r="F23" i="10"/>
  <c r="F28" i="10" s="1"/>
  <c r="F14" i="10"/>
  <c r="F24" i="10"/>
  <c r="K22" i="10"/>
  <c r="G30" i="10"/>
  <c r="L41" i="10"/>
  <c r="H37" i="10"/>
  <c r="K41" i="10"/>
  <c r="G40" i="10"/>
  <c r="P40" i="10" s="1" a="1"/>
  <c r="K38" i="10"/>
  <c r="G37" i="10"/>
  <c r="P37" i="10" s="1" a="1"/>
  <c r="F10" i="10"/>
  <c r="M11" i="10"/>
  <c r="I10" i="10"/>
  <c r="M8" i="10"/>
  <c r="I7" i="10"/>
  <c r="G4" i="10"/>
  <c r="M19" i="10"/>
  <c r="I18" i="10"/>
  <c r="M16" i="10"/>
  <c r="I15" i="10"/>
  <c r="M26" i="10"/>
  <c r="I25" i="10"/>
  <c r="M23" i="10"/>
  <c r="I22" i="10"/>
  <c r="M35" i="10"/>
  <c r="I34" i="10"/>
  <c r="M32" i="10"/>
  <c r="I31" i="10"/>
  <c r="N42" i="10"/>
  <c r="J41" i="10"/>
  <c r="N39" i="10"/>
  <c r="J38" i="10"/>
  <c r="M4" i="10"/>
  <c r="I3" i="10"/>
  <c r="U49" i="10" s="1"/>
  <c r="N25" i="10"/>
  <c r="J24" i="10"/>
  <c r="N22" i="10"/>
  <c r="I12" i="10"/>
  <c r="M10" i="10"/>
  <c r="I9" i="10"/>
  <c r="M7" i="10"/>
  <c r="K4" i="10"/>
  <c r="G3" i="10"/>
  <c r="N11" i="10"/>
  <c r="J10" i="10"/>
  <c r="J7" i="10"/>
  <c r="N16" i="10"/>
  <c r="J25" i="10"/>
  <c r="J22" i="10"/>
  <c r="H10" i="10"/>
  <c r="N3" i="10"/>
  <c r="Z15" i="10" s="1"/>
  <c r="L16" i="10"/>
  <c r="H15" i="10"/>
  <c r="H25" i="10"/>
  <c r="H22" i="10"/>
  <c r="L32" i="10"/>
  <c r="M42" i="10"/>
  <c r="K34" i="10"/>
  <c r="G33" i="10"/>
  <c r="H40" i="10"/>
  <c r="L8" i="10"/>
  <c r="H18" i="10"/>
  <c r="L23" i="10"/>
  <c r="H34" i="10"/>
  <c r="H31" i="10"/>
  <c r="I38" i="10"/>
  <c r="F12" i="10"/>
  <c r="K11" i="10"/>
  <c r="G10" i="10"/>
  <c r="K8" i="10"/>
  <c r="G7" i="10"/>
  <c r="S7" i="10" s="1"/>
  <c r="M3" i="10"/>
  <c r="Y44" i="10" s="1"/>
  <c r="K19" i="10"/>
  <c r="G18" i="10"/>
  <c r="S18" i="10" s="1"/>
  <c r="K16" i="10"/>
  <c r="G15" i="10"/>
  <c r="K26" i="10"/>
  <c r="G25" i="10"/>
  <c r="S25" i="10" s="1"/>
  <c r="K23" i="10"/>
  <c r="G22" i="10"/>
  <c r="K35" i="10"/>
  <c r="G34" i="10"/>
  <c r="S34" i="10" s="1"/>
  <c r="K32" i="10"/>
  <c r="G31" i="10"/>
  <c r="S31" i="10" s="1"/>
  <c r="U47" i="10"/>
  <c r="L42" i="10"/>
  <c r="H41" i="10"/>
  <c r="L39" i="10"/>
  <c r="H38" i="10"/>
  <c r="G12" i="10"/>
  <c r="S12" i="10" s="1"/>
  <c r="K10" i="10"/>
  <c r="G9" i="10"/>
  <c r="S9" i="10" s="1"/>
  <c r="K7" i="10"/>
  <c r="I4" i="10"/>
  <c r="M39" i="10"/>
  <c r="N12" i="10"/>
  <c r="J11" i="10"/>
  <c r="N9" i="10"/>
  <c r="J8" i="10"/>
  <c r="F3" i="10"/>
  <c r="R48" i="10" s="1"/>
  <c r="L3" i="10"/>
  <c r="X12" i="10" s="1"/>
  <c r="J19" i="10"/>
  <c r="N17" i="10"/>
  <c r="J16" i="10"/>
  <c r="N14" i="10"/>
  <c r="J26" i="10"/>
  <c r="N24" i="10"/>
  <c r="J23" i="10"/>
  <c r="N21" i="10"/>
  <c r="J35" i="10"/>
  <c r="N33" i="10"/>
  <c r="Z33" i="10" s="1"/>
  <c r="J32" i="10"/>
  <c r="N30" i="10"/>
  <c r="P45" i="10" a="1"/>
  <c r="K42" i="10"/>
  <c r="G41" i="10"/>
  <c r="P41" i="10" s="1" a="1"/>
  <c r="K39" i="10"/>
  <c r="G38" i="10"/>
  <c r="P38" i="10" s="1" a="1"/>
  <c r="K18" i="10"/>
  <c r="G17" i="10"/>
  <c r="S17" i="10" s="1"/>
  <c r="K15" i="10"/>
  <c r="G14" i="10"/>
  <c r="S14" i="10" s="1"/>
  <c r="K25" i="10"/>
  <c r="G24" i="10"/>
  <c r="S24" i="10" s="1"/>
  <c r="G21" i="10"/>
  <c r="S21" i="10" s="1"/>
  <c r="K31" i="10"/>
  <c r="L38" i="10"/>
  <c r="N8" i="10"/>
  <c r="H4" i="10"/>
  <c r="N19" i="10"/>
  <c r="J18" i="10"/>
  <c r="J15" i="10"/>
  <c r="N26" i="10"/>
  <c r="N23" i="10"/>
  <c r="N35" i="10"/>
  <c r="J34" i="10"/>
  <c r="N32" i="10"/>
  <c r="J31" i="10"/>
  <c r="L11" i="10"/>
  <c r="X11" i="10" s="1"/>
  <c r="H7" i="10"/>
  <c r="L19" i="10"/>
  <c r="X19" i="10" s="1"/>
  <c r="L26" i="10"/>
  <c r="X26" i="10" s="1"/>
  <c r="L35" i="10"/>
  <c r="X35" i="10" s="1"/>
  <c r="I41" i="10"/>
  <c r="U41" i="10" s="1"/>
  <c r="M12" i="10"/>
  <c r="I11" i="10"/>
  <c r="U11" i="10" s="1"/>
  <c r="M9" i="10"/>
  <c r="I8" i="10"/>
  <c r="F4" i="10"/>
  <c r="K3" i="10"/>
  <c r="I19" i="10"/>
  <c r="M17" i="10"/>
  <c r="I16" i="10"/>
  <c r="U16" i="10" s="1"/>
  <c r="M14" i="10"/>
  <c r="I26" i="10"/>
  <c r="M24" i="10"/>
  <c r="I23" i="10"/>
  <c r="M21" i="10"/>
  <c r="I35" i="10"/>
  <c r="U35" i="10" s="1"/>
  <c r="M33" i="10"/>
  <c r="I32" i="10"/>
  <c r="M30" i="10"/>
  <c r="S47" i="10"/>
  <c r="J42" i="10"/>
  <c r="N40" i="10"/>
  <c r="J39" i="10"/>
  <c r="N37" i="10"/>
  <c r="N4" i="10"/>
  <c r="J3" i="10"/>
  <c r="V49" i="10" s="1"/>
  <c r="H19" i="10"/>
  <c r="P19" i="10" s="1" a="1"/>
  <c r="L17" i="10"/>
  <c r="X17" i="10" s="1"/>
  <c r="H16" i="10"/>
  <c r="P16" i="10" s="1" a="1"/>
  <c r="L14" i="10"/>
  <c r="X14" i="10" s="1"/>
  <c r="H26" i="10"/>
  <c r="P26" i="10" s="1" a="1"/>
  <c r="L24" i="10"/>
  <c r="X24" i="10" s="1"/>
  <c r="H23" i="10"/>
  <c r="L21" i="10"/>
  <c r="X21" i="10" s="1"/>
  <c r="H35" i="10"/>
  <c r="L33" i="10"/>
  <c r="X33" i="10" s="1"/>
  <c r="H32" i="10"/>
  <c r="L30" i="10"/>
  <c r="X30" i="10" s="1"/>
  <c r="V48" i="10"/>
  <c r="I42" i="10"/>
  <c r="M40" i="10"/>
  <c r="I39" i="10"/>
  <c r="M37" i="10"/>
  <c r="S19" i="10"/>
  <c r="G35" i="10"/>
  <c r="S35" i="10" s="1"/>
  <c r="K33" i="10"/>
  <c r="G32" i="10"/>
  <c r="S32" i="10" s="1"/>
  <c r="K30" i="10"/>
  <c r="U48" i="10"/>
  <c r="X44" i="10"/>
  <c r="H42" i="10"/>
  <c r="L40" i="10"/>
  <c r="X40" i="10" s="1"/>
  <c r="H39" i="10"/>
  <c r="L37" i="10"/>
  <c r="X37" i="10" s="1"/>
  <c r="X9" i="10"/>
  <c r="S26" i="10"/>
  <c r="J12" i="10"/>
  <c r="N10" i="10"/>
  <c r="J9" i="10"/>
  <c r="V9" i="10" s="1"/>
  <c r="N7" i="10"/>
  <c r="L4" i="10"/>
  <c r="H3" i="10"/>
  <c r="N18" i="10"/>
  <c r="J17" i="10"/>
  <c r="J14" i="10"/>
  <c r="N34" i="10"/>
  <c r="J33" i="10"/>
  <c r="N31" i="10"/>
  <c r="J30" i="10"/>
  <c r="X49" i="10"/>
  <c r="S46" i="10"/>
  <c r="G42" i="10"/>
  <c r="S42" i="10" s="1"/>
  <c r="K40" i="10"/>
  <c r="G39" i="10"/>
  <c r="S39" i="10" s="1"/>
  <c r="K37" i="10"/>
  <c r="M25" i="10"/>
  <c r="I24" i="10"/>
  <c r="U24" i="10" s="1"/>
  <c r="M22" i="10"/>
  <c r="I21" i="10"/>
  <c r="U21" i="10" s="1"/>
  <c r="J40" i="10"/>
  <c r="N38" i="10"/>
  <c r="J37" i="10"/>
  <c r="S16" i="10"/>
  <c r="M18" i="10"/>
  <c r="I17" i="10"/>
  <c r="M15" i="10"/>
  <c r="M34" i="10"/>
  <c r="I33" i="10"/>
  <c r="I30" i="10"/>
  <c r="U30" i="10" s="1"/>
  <c r="N41" i="10"/>
  <c r="F7" i="10"/>
  <c r="H12" i="10"/>
  <c r="L10" i="10"/>
  <c r="X10" i="10" s="1"/>
  <c r="H9" i="10"/>
  <c r="L7" i="10"/>
  <c r="X7" i="10" s="1"/>
  <c r="J4" i="10"/>
  <c r="F18" i="10"/>
  <c r="L18" i="10"/>
  <c r="X18" i="10" s="1"/>
  <c r="H17" i="10"/>
  <c r="L15" i="10"/>
  <c r="X15" i="10" s="1"/>
  <c r="H14" i="10"/>
  <c r="F25" i="10"/>
  <c r="L25" i="10"/>
  <c r="X25" i="10" s="1"/>
  <c r="H24" i="10"/>
  <c r="L22" i="10"/>
  <c r="X22" i="10" s="1"/>
  <c r="H21" i="10"/>
  <c r="P21" i="10" s="1" a="1"/>
  <c r="F34" i="10"/>
  <c r="L34" i="10"/>
  <c r="X34" i="10" s="1"/>
  <c r="H33" i="10"/>
  <c r="M41" i="10"/>
  <c r="I40" i="10"/>
  <c r="U37" i="10"/>
  <c r="V46" i="10"/>
  <c r="R14" i="10" l="1"/>
  <c r="R42" i="10"/>
  <c r="R31" i="10"/>
  <c r="R39" i="10"/>
  <c r="R19" i="10"/>
  <c r="R32" i="10"/>
  <c r="R33" i="10"/>
  <c r="R16" i="10"/>
  <c r="V37" i="10"/>
  <c r="V35" i="10"/>
  <c r="U26" i="10"/>
  <c r="V40" i="10"/>
  <c r="U40" i="10"/>
  <c r="U33" i="10"/>
  <c r="U44" i="10"/>
  <c r="U14" i="10"/>
  <c r="U39" i="10"/>
  <c r="U19" i="10"/>
  <c r="U38" i="10"/>
  <c r="U17" i="10"/>
  <c r="U42" i="10"/>
  <c r="U45" i="10"/>
  <c r="U46" i="10"/>
  <c r="U8" i="10"/>
  <c r="V44" i="10"/>
  <c r="V12" i="10"/>
  <c r="V33" i="10"/>
  <c r="V39" i="10"/>
  <c r="Z31" i="10"/>
  <c r="Z14" i="10"/>
  <c r="V30" i="10"/>
  <c r="T33" i="10"/>
  <c r="V14" i="10"/>
  <c r="X38" i="10"/>
  <c r="K28" i="10"/>
  <c r="V42" i="10"/>
  <c r="V17" i="10"/>
  <c r="S11" i="10"/>
  <c r="V32" i="10"/>
  <c r="M28" i="10"/>
  <c r="R45" i="10"/>
  <c r="R17" i="10"/>
  <c r="Y15" i="10"/>
  <c r="W17" i="10"/>
  <c r="P21" i="10"/>
  <c r="V45" i="10"/>
  <c r="W49" i="10"/>
  <c r="Y38" i="10"/>
  <c r="Y18" i="10"/>
  <c r="Z34" i="10"/>
  <c r="Z32" i="10"/>
  <c r="U12" i="10"/>
  <c r="S49" i="10"/>
  <c r="S44" i="10"/>
  <c r="W47" i="10"/>
  <c r="W41" i="10"/>
  <c r="Z49" i="10"/>
  <c r="Z21" i="10"/>
  <c r="W9" i="10"/>
  <c r="Y46" i="10"/>
  <c r="Y9" i="10"/>
  <c r="X48" i="10"/>
  <c r="Z17" i="10"/>
  <c r="S10" i="10"/>
  <c r="X45" i="10"/>
  <c r="R44" i="10"/>
  <c r="W45" i="10"/>
  <c r="R37" i="10"/>
  <c r="Y25" i="10"/>
  <c r="Z24" i="10"/>
  <c r="W37" i="10"/>
  <c r="W21" i="10"/>
  <c r="Z35" i="10"/>
  <c r="S22" i="10"/>
  <c r="X47" i="10"/>
  <c r="P4" i="10" a="1"/>
  <c r="D4" i="10"/>
  <c r="Z41" i="10"/>
  <c r="W46" i="10"/>
  <c r="U23" i="10"/>
  <c r="I28" i="10"/>
  <c r="Y12" i="10"/>
  <c r="Z23" i="10"/>
  <c r="N28" i="10"/>
  <c r="S33" i="10"/>
  <c r="Z16" i="10"/>
  <c r="W40" i="10"/>
  <c r="Z18" i="10"/>
  <c r="Z46" i="10"/>
  <c r="Z37" i="10"/>
  <c r="Y24" i="10"/>
  <c r="Z26" i="10"/>
  <c r="R8" i="10"/>
  <c r="D3" i="10"/>
  <c r="X39" i="10"/>
  <c r="R38" i="10"/>
  <c r="W42" i="10"/>
  <c r="Y41" i="10"/>
  <c r="Y37" i="10"/>
  <c r="Z48" i="10"/>
  <c r="Y42" i="10"/>
  <c r="Z45" i="10"/>
  <c r="Y47" i="10"/>
  <c r="Z38" i="10"/>
  <c r="Y45" i="10"/>
  <c r="W44" i="10"/>
  <c r="P23" i="10" a="1"/>
  <c r="P23" i="10" s="1"/>
  <c r="H28" i="10"/>
  <c r="Z40" i="10"/>
  <c r="Y14" i="10"/>
  <c r="Z9" i="10"/>
  <c r="X42" i="10"/>
  <c r="S15" i="10"/>
  <c r="V47" i="10"/>
  <c r="Z11" i="10"/>
  <c r="V38" i="10"/>
  <c r="Z47" i="10"/>
  <c r="W33" i="10"/>
  <c r="Y34" i="10"/>
  <c r="Z7" i="10"/>
  <c r="Y40" i="10"/>
  <c r="Z19" i="10"/>
  <c r="Z39" i="10"/>
  <c r="R40" i="10"/>
  <c r="R41" i="10"/>
  <c r="Y49" i="10"/>
  <c r="P26" i="10"/>
  <c r="Z44" i="10"/>
  <c r="Y17" i="10"/>
  <c r="J28" i="10"/>
  <c r="Z12" i="10"/>
  <c r="Y48" i="10"/>
  <c r="V41" i="10"/>
  <c r="R46" i="10"/>
  <c r="Y33" i="10"/>
  <c r="Y21" i="10"/>
  <c r="Y22" i="10"/>
  <c r="Z10" i="10"/>
  <c r="W30" i="10"/>
  <c r="Z8" i="10"/>
  <c r="Y39" i="10"/>
  <c r="R47" i="10"/>
  <c r="L28" i="10"/>
  <c r="Z42" i="10"/>
  <c r="W38" i="10"/>
  <c r="S48" i="10"/>
  <c r="S37" i="10"/>
  <c r="S41" i="10"/>
  <c r="S40" i="10"/>
  <c r="S38" i="10"/>
  <c r="S45" i="10"/>
  <c r="R22" i="10"/>
  <c r="Z25" i="10"/>
  <c r="P16" i="10"/>
  <c r="P38" i="10"/>
  <c r="W39" i="10"/>
  <c r="V23" i="10"/>
  <c r="P19" i="10"/>
  <c r="P4" i="10"/>
  <c r="V31" i="10"/>
  <c r="P41" i="10"/>
  <c r="S8" i="10"/>
  <c r="Y35" i="10"/>
  <c r="U10" i="10"/>
  <c r="X41" i="10"/>
  <c r="P45" i="10"/>
  <c r="P37" i="10"/>
  <c r="T32" i="10"/>
  <c r="T42" i="10"/>
  <c r="T35" i="10"/>
  <c r="T40" i="10"/>
  <c r="X46" i="10"/>
  <c r="P40" i="10"/>
  <c r="W11" i="10"/>
  <c r="W23" i="10"/>
  <c r="T48" i="10"/>
  <c r="W31" i="10"/>
  <c r="R12" i="10"/>
  <c r="P12" i="10" a="1"/>
  <c r="P12" i="10" s="1"/>
  <c r="T15" i="10"/>
  <c r="Y7" i="10"/>
  <c r="U22" i="10"/>
  <c r="Y11" i="10"/>
  <c r="R21" i="10"/>
  <c r="P17" i="10" a="1"/>
  <c r="P17" i="10" s="1"/>
  <c r="R34" i="10"/>
  <c r="P34" i="10" a="1"/>
  <c r="P34" i="10" s="1"/>
  <c r="V34" i="10"/>
  <c r="V26" i="10"/>
  <c r="W26" i="10"/>
  <c r="X16" i="10"/>
  <c r="U9" i="10"/>
  <c r="Y23" i="10"/>
  <c r="R10" i="10"/>
  <c r="P10" i="10" a="1"/>
  <c r="P10" i="10" s="1"/>
  <c r="S23" i="10"/>
  <c r="P32" i="10" a="1"/>
  <c r="P32" i="10" s="1"/>
  <c r="T9" i="10"/>
  <c r="W7" i="10"/>
  <c r="Z30" i="10"/>
  <c r="Y10" i="10"/>
  <c r="U25" i="10"/>
  <c r="W12" i="10"/>
  <c r="W48" i="10"/>
  <c r="T37" i="10"/>
  <c r="AB37" i="10" s="1" a="1"/>
  <c r="W25" i="10"/>
  <c r="V16" i="10"/>
  <c r="W16" i="10"/>
  <c r="T10" i="10"/>
  <c r="Y26" i="10"/>
  <c r="S30" i="10"/>
  <c r="P31" i="10" a="1"/>
  <c r="P31" i="10" s="1"/>
  <c r="T8" i="10"/>
  <c r="W10" i="10"/>
  <c r="P47" i="10" a="1"/>
  <c r="P47" i="10" s="1"/>
  <c r="T31" i="10"/>
  <c r="W34" i="10"/>
  <c r="V22" i="10"/>
  <c r="V21" i="10"/>
  <c r="U15" i="10"/>
  <c r="W22" i="10"/>
  <c r="X31" i="10"/>
  <c r="P9" i="10" a="1"/>
  <c r="P9" i="10" s="1"/>
  <c r="T25" i="10"/>
  <c r="T47" i="10"/>
  <c r="AB44" i="10" a="1"/>
  <c r="R7" i="10"/>
  <c r="P7" i="10" a="1"/>
  <c r="P7" i="10" s="1"/>
  <c r="T16" i="10"/>
  <c r="AB16" i="10" s="1" a="1"/>
  <c r="W15" i="10"/>
  <c r="P48" i="10" a="1"/>
  <c r="P48" i="10" s="1"/>
  <c r="V19" i="10"/>
  <c r="W19" i="10"/>
  <c r="T34" i="10"/>
  <c r="R35" i="10"/>
  <c r="V25" i="10"/>
  <c r="Z22" i="10"/>
  <c r="Y16" i="10"/>
  <c r="R26" i="10"/>
  <c r="AB26" i="10" s="1" a="1"/>
  <c r="P46" i="10" a="1"/>
  <c r="P46" i="10" s="1"/>
  <c r="T46" i="10"/>
  <c r="T12" i="10"/>
  <c r="T49" i="10"/>
  <c r="R25" i="10"/>
  <c r="P25" i="10" a="1"/>
  <c r="P25" i="10" s="1"/>
  <c r="T11" i="10"/>
  <c r="R49" i="10"/>
  <c r="AB49" i="10" s="1" a="1"/>
  <c r="P49" i="10" a="1"/>
  <c r="P49" i="10" s="1"/>
  <c r="V15" i="10"/>
  <c r="W32" i="10"/>
  <c r="P11" i="10" a="1"/>
  <c r="P11" i="10" s="1"/>
  <c r="W24" i="10"/>
  <c r="V24" i="10"/>
  <c r="U18" i="10"/>
  <c r="W14" i="10"/>
  <c r="R18" i="10"/>
  <c r="P18" i="10" a="1"/>
  <c r="P18" i="10" s="1"/>
  <c r="T24" i="10"/>
  <c r="AB48" i="10" a="1"/>
  <c r="AB42" i="10" a="1"/>
  <c r="T14" i="10"/>
  <c r="T19" i="10"/>
  <c r="P35" i="10" a="1"/>
  <c r="P35" i="10" s="1"/>
  <c r="V18" i="10"/>
  <c r="W18" i="10"/>
  <c r="R30" i="10"/>
  <c r="P3" i="10" a="1"/>
  <c r="P3" i="10" s="1"/>
  <c r="R9" i="10"/>
  <c r="Y30" i="10"/>
  <c r="X23" i="10"/>
  <c r="R15" i="10"/>
  <c r="V7" i="10"/>
  <c r="P44" i="10" a="1"/>
  <c r="P44" i="10" s="1"/>
  <c r="Y19" i="10"/>
  <c r="P30" i="10" a="1"/>
  <c r="P30" i="10" s="1"/>
  <c r="P15" i="10" a="1"/>
  <c r="P15" i="10" s="1"/>
  <c r="T41" i="10"/>
  <c r="AB41" i="10" s="1" a="1"/>
  <c r="AB46" i="10" a="1"/>
  <c r="AB40" i="10" a="1"/>
  <c r="P33" i="10" a="1"/>
  <c r="P33" i="10" s="1"/>
  <c r="T45" i="10"/>
  <c r="AB45" i="10" a="1"/>
  <c r="T44" i="10"/>
  <c r="AB47" i="10" a="1"/>
  <c r="AB31" i="10" a="1"/>
  <c r="AB14" i="10" a="1"/>
  <c r="AB19" i="10" a="1"/>
  <c r="V8" i="10"/>
  <c r="W35" i="10"/>
  <c r="T18" i="10"/>
  <c r="V10" i="10"/>
  <c r="R23" i="10"/>
  <c r="U31" i="10"/>
  <c r="R24" i="10"/>
  <c r="P42" i="10" a="1"/>
  <c r="P42" i="10" s="1"/>
  <c r="P8" i="10" a="1"/>
  <c r="P8" i="10" s="1"/>
  <c r="AB33" i="10" a="1"/>
  <c r="T21" i="10"/>
  <c r="T38" i="10"/>
  <c r="AB38" i="10" s="1" a="1"/>
  <c r="T23" i="10"/>
  <c r="T17" i="10"/>
  <c r="T7" i="10"/>
  <c r="P24" i="10" a="1"/>
  <c r="P24" i="10" s="1"/>
  <c r="W8" i="10"/>
  <c r="X8" i="10"/>
  <c r="AB8" i="10" s="1" a="1"/>
  <c r="X32" i="10"/>
  <c r="U32" i="10"/>
  <c r="Y32" i="10"/>
  <c r="U7" i="10"/>
  <c r="T30" i="10"/>
  <c r="P14" i="10" a="1"/>
  <c r="P14" i="10" s="1"/>
  <c r="T39" i="10"/>
  <c r="T26" i="10"/>
  <c r="V11" i="10"/>
  <c r="R11" i="10"/>
  <c r="T22" i="10"/>
  <c r="AB22" i="10" s="1" a="1"/>
  <c r="U34" i="10"/>
  <c r="Y8" i="10"/>
  <c r="P22" i="10" a="1"/>
  <c r="P22" i="10" s="1"/>
  <c r="P39" i="10" a="1"/>
  <c r="P39" i="10" s="1"/>
  <c r="Y31" i="10"/>
  <c r="V51" i="10" l="1"/>
  <c r="Y5" i="10"/>
  <c r="Q42" i="10"/>
  <c r="Q33" i="10"/>
  <c r="AB33" i="10"/>
  <c r="Q32" i="10"/>
  <c r="Q44" i="10"/>
  <c r="Q47" i="10"/>
  <c r="AB38" i="10"/>
  <c r="D5" i="10"/>
  <c r="Q17" i="10"/>
  <c r="AB37" i="10"/>
  <c r="Q40" i="10"/>
  <c r="Q39" i="10"/>
  <c r="AB40" i="10"/>
  <c r="Q38" i="10"/>
  <c r="Q37" i="10"/>
  <c r="Q45" i="10"/>
  <c r="AB46" i="10"/>
  <c r="Q46" i="10"/>
  <c r="Q48" i="10"/>
  <c r="R5" i="10"/>
  <c r="AB49" i="10"/>
  <c r="V53" i="10"/>
  <c r="AB47" i="10"/>
  <c r="AB48" i="10"/>
  <c r="AB14" i="10"/>
  <c r="Q8" i="10"/>
  <c r="AB42" i="10"/>
  <c r="S5" i="10"/>
  <c r="U5" i="10"/>
  <c r="AB41" i="10"/>
  <c r="AB31" i="10"/>
  <c r="AB16" i="10"/>
  <c r="R4" i="10"/>
  <c r="AB8" i="10"/>
  <c r="Q24" i="10"/>
  <c r="X5" i="10"/>
  <c r="AB39" i="10" a="1"/>
  <c r="AB39" i="10" s="1"/>
  <c r="Q31" i="10"/>
  <c r="AB22" i="10"/>
  <c r="AB45" i="10"/>
  <c r="Z5" i="10"/>
  <c r="AB44" i="10"/>
  <c r="T5" i="10"/>
  <c r="X4" i="10"/>
  <c r="AB19" i="10"/>
  <c r="W4" i="10"/>
  <c r="S4" i="10"/>
  <c r="AB11" i="10" a="1"/>
  <c r="AB11" i="10" s="1"/>
  <c r="Q11" i="10"/>
  <c r="AB18" i="10" a="1"/>
  <c r="AB18" i="10" s="1"/>
  <c r="Q18" i="10"/>
  <c r="AB35" i="10" a="1"/>
  <c r="AB35" i="10" s="1"/>
  <c r="Q35" i="10"/>
  <c r="Q23" i="10"/>
  <c r="AB23" i="10" a="1"/>
  <c r="AB23" i="10" s="1"/>
  <c r="Q19" i="10"/>
  <c r="AB17" i="10" a="1"/>
  <c r="AB17" i="10" s="1"/>
  <c r="Q49" i="10"/>
  <c r="AB12" i="10" a="1"/>
  <c r="AB12" i="10" s="1"/>
  <c r="Q12" i="10"/>
  <c r="Q22" i="10"/>
  <c r="Q41" i="10"/>
  <c r="AB24" i="10" a="1"/>
  <c r="AB24" i="10" s="1"/>
  <c r="Q26" i="10"/>
  <c r="AB26" i="10"/>
  <c r="AB32" i="10" a="1"/>
  <c r="AB32" i="10" s="1"/>
  <c r="Y4" i="10"/>
  <c r="AB30" i="10" a="1"/>
  <c r="AB30" i="10" s="1"/>
  <c r="Q30" i="10"/>
  <c r="AB10" i="10" a="1"/>
  <c r="AB10" i="10" s="1"/>
  <c r="Q10" i="10"/>
  <c r="AB25" i="10" a="1"/>
  <c r="AB25" i="10" s="1"/>
  <c r="Q25" i="10"/>
  <c r="V4" i="10"/>
  <c r="V5" i="10"/>
  <c r="Q14" i="10"/>
  <c r="W5" i="10"/>
  <c r="T4" i="10"/>
  <c r="AB15" i="10" a="1"/>
  <c r="AB15" i="10" s="1"/>
  <c r="Q15" i="10"/>
  <c r="Q16" i="10"/>
  <c r="AB34" i="10" a="1"/>
  <c r="AB34" i="10" s="1"/>
  <c r="Q34" i="10"/>
  <c r="AB7" i="10" a="1"/>
  <c r="AB7" i="10" s="1"/>
  <c r="Q7" i="10"/>
  <c r="U4" i="10"/>
  <c r="AB9" i="10" a="1"/>
  <c r="AB9" i="10" s="1"/>
  <c r="Q9" i="10"/>
  <c r="Z4" i="10"/>
  <c r="AB21" i="10" a="1"/>
  <c r="AB21" i="10" s="1"/>
  <c r="Q21" i="10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<sst xmlns="http://schemas.openxmlformats.org/spreadsheetml/2006/main" count="11256" uniqueCount="203">
  <si>
    <t>BBAS3</t>
  </si>
  <si>
    <t>SULA11</t>
  </si>
  <si>
    <t>ECOR3</t>
  </si>
  <si>
    <t>ITUB4</t>
  </si>
  <si>
    <t>EQTL3</t>
  </si>
  <si>
    <t>GGBR4</t>
  </si>
  <si>
    <t>ABEV3</t>
  </si>
  <si>
    <t>COGN3</t>
  </si>
  <si>
    <t>ALPA4</t>
  </si>
  <si>
    <t>ALUP11</t>
  </si>
  <si>
    <t>AZUL4</t>
  </si>
  <si>
    <t>B3SA3</t>
  </si>
  <si>
    <t>BBDC4</t>
  </si>
  <si>
    <t>BBSE3</t>
  </si>
  <si>
    <t>BEEF3</t>
  </si>
  <si>
    <t>BPAC11</t>
  </si>
  <si>
    <t>BRAP4</t>
  </si>
  <si>
    <t>BRDT3</t>
  </si>
  <si>
    <t>BRFS3</t>
  </si>
  <si>
    <t>BRML3</t>
  </si>
  <si>
    <t>BTOW3</t>
  </si>
  <si>
    <t>CESP6</t>
  </si>
  <si>
    <t>CIEL3</t>
  </si>
  <si>
    <t>CMIG3</t>
  </si>
  <si>
    <t>CPFE3</t>
  </si>
  <si>
    <t>CRFB3</t>
  </si>
  <si>
    <t>CSAN3</t>
  </si>
  <si>
    <t>CSMG3</t>
  </si>
  <si>
    <t>CVCB3</t>
  </si>
  <si>
    <t>ELET3</t>
  </si>
  <si>
    <t>EMBR3</t>
  </si>
  <si>
    <t>ENBR3</t>
  </si>
  <si>
    <t>ENEV3</t>
  </si>
  <si>
    <t>ENGI11</t>
  </si>
  <si>
    <t>EZTC3</t>
  </si>
  <si>
    <t>FLRY3</t>
  </si>
  <si>
    <t>GNDI3</t>
  </si>
  <si>
    <t>GOAU4</t>
  </si>
  <si>
    <t>HAPV3</t>
  </si>
  <si>
    <t>HGTX3</t>
  </si>
  <si>
    <t>HYPE3</t>
  </si>
  <si>
    <t>IGTA3</t>
  </si>
  <si>
    <t>IRBR3</t>
  </si>
  <si>
    <t>JBSS3</t>
  </si>
  <si>
    <t>LAME3</t>
  </si>
  <si>
    <t>LCAM3</t>
  </si>
  <si>
    <t>LIGT3</t>
  </si>
  <si>
    <t>LREN3</t>
  </si>
  <si>
    <t>MDIA3</t>
  </si>
  <si>
    <t>MGLU3</t>
  </si>
  <si>
    <t>MRVE3</t>
  </si>
  <si>
    <t>MULT3</t>
  </si>
  <si>
    <t>NATU3</t>
  </si>
  <si>
    <t>OIBR4</t>
  </si>
  <si>
    <t>PCAR4</t>
  </si>
  <si>
    <t>PETR4</t>
  </si>
  <si>
    <t>PSSA3</t>
  </si>
  <si>
    <t>QUAL3</t>
  </si>
  <si>
    <t>RADL3</t>
  </si>
  <si>
    <t>RAIL3</t>
  </si>
  <si>
    <t>RAPT4</t>
  </si>
  <si>
    <t>RENT3</t>
  </si>
  <si>
    <t>SAPR11</t>
  </si>
  <si>
    <t>SBSP3</t>
  </si>
  <si>
    <t>SMTO3</t>
  </si>
  <si>
    <t>SUZB3</t>
  </si>
  <si>
    <t>TIMP3</t>
  </si>
  <si>
    <t>TEND3</t>
  </si>
  <si>
    <t>TRPL4</t>
  </si>
  <si>
    <t>TUPY3</t>
  </si>
  <si>
    <t>UGPA3</t>
  </si>
  <si>
    <t>USIM3</t>
  </si>
  <si>
    <t>VALE3</t>
  </si>
  <si>
    <t>VLID3</t>
  </si>
  <si>
    <t>VVAR3</t>
  </si>
  <si>
    <t>IBX</t>
  </si>
  <si>
    <t>CSNA3</t>
  </si>
  <si>
    <t>PDGR3</t>
  </si>
  <si>
    <t>OGXP3</t>
  </si>
  <si>
    <t>ODPV3</t>
  </si>
  <si>
    <t>RDCD3</t>
  </si>
  <si>
    <t>MPLU3</t>
  </si>
  <si>
    <t>DASA3</t>
  </si>
  <si>
    <t>ALLL3</t>
  </si>
  <si>
    <t>TCSA3</t>
  </si>
  <si>
    <t>ARTR3</t>
  </si>
  <si>
    <t>ANIM3</t>
  </si>
  <si>
    <t>GFSA3</t>
  </si>
  <si>
    <t>CRUZ3</t>
  </si>
  <si>
    <t>CYRE3</t>
  </si>
  <si>
    <t>WEGE3</t>
  </si>
  <si>
    <t>VIVT4</t>
  </si>
  <si>
    <t>CTIP3</t>
  </si>
  <si>
    <t>WIZS3</t>
  </si>
  <si>
    <t>YDUQ3</t>
  </si>
  <si>
    <t>CCRO3</t>
  </si>
  <si>
    <t>FIBR3</t>
  </si>
  <si>
    <t>KLBN11</t>
  </si>
  <si>
    <t>TOP10Fundos_Exposicao</t>
  </si>
  <si>
    <t>top10</t>
  </si>
  <si>
    <t>top15</t>
  </si>
  <si>
    <t>top20</t>
  </si>
  <si>
    <t>top10EW</t>
  </si>
  <si>
    <t>top15EW</t>
  </si>
  <si>
    <t>top20EW</t>
  </si>
  <si>
    <t>IBOV</t>
  </si>
  <si>
    <t>TOP15Fundos_Exposicao</t>
  </si>
  <si>
    <t>TOP15Fundos_Nota</t>
  </si>
  <si>
    <t>TOP10Fundos_Nota</t>
  </si>
  <si>
    <t>TOP15Fundos_Exposicao_IBOV4X</t>
  </si>
  <si>
    <t>SANB11</t>
  </si>
  <si>
    <t>EGIE3</t>
  </si>
  <si>
    <t>GOLL4</t>
  </si>
  <si>
    <t>MRFG3</t>
  </si>
  <si>
    <t>DTEX3</t>
  </si>
  <si>
    <t>TAMM4</t>
  </si>
  <si>
    <t>TNLP3</t>
  </si>
  <si>
    <t>RSID3</t>
  </si>
  <si>
    <t>BISA3</t>
  </si>
  <si>
    <t>TESA3</t>
  </si>
  <si>
    <t>PRML3</t>
  </si>
  <si>
    <t>BRPR3</t>
  </si>
  <si>
    <t>ELPL3</t>
  </si>
  <si>
    <t>AEDU3</t>
  </si>
  <si>
    <t>ALSC3</t>
  </si>
  <si>
    <t>AMBV3</t>
  </si>
  <si>
    <t>AMIL3</t>
  </si>
  <si>
    <t>ARZZ3</t>
  </si>
  <si>
    <t>BBDC3</t>
  </si>
  <si>
    <t>BBRK3</t>
  </si>
  <si>
    <t>BIDI11</t>
  </si>
  <si>
    <t>BPAN4</t>
  </si>
  <si>
    <t>BRKM5</t>
  </si>
  <si>
    <t>BRSR6</t>
  </si>
  <si>
    <t>CMIG4</t>
  </si>
  <si>
    <t>CNFB4</t>
  </si>
  <si>
    <t>CPLE6</t>
  </si>
  <si>
    <t>DIRR3</t>
  </si>
  <si>
    <t>ELET6</t>
  </si>
  <si>
    <t>ELPL4</t>
  </si>
  <si>
    <t>ENAT3</t>
  </si>
  <si>
    <t>EVEN3</t>
  </si>
  <si>
    <t>FFTL4</t>
  </si>
  <si>
    <t>GETI4</t>
  </si>
  <si>
    <t>GGBR3</t>
  </si>
  <si>
    <t>GRND3</t>
  </si>
  <si>
    <t>ITSA4</t>
  </si>
  <si>
    <t>ITUB3</t>
  </si>
  <si>
    <t>KEPL3</t>
  </si>
  <si>
    <t>KLBN4</t>
  </si>
  <si>
    <t>LAME4</t>
  </si>
  <si>
    <t>LEVE3</t>
  </si>
  <si>
    <t>LINX3</t>
  </si>
  <si>
    <t>LOGG3</t>
  </si>
  <si>
    <t>MAGG3</t>
  </si>
  <si>
    <t>MILS3</t>
  </si>
  <si>
    <t>MMXM3</t>
  </si>
  <si>
    <t>MOVI3</t>
  </si>
  <si>
    <t>MYPK3</t>
  </si>
  <si>
    <t>OIBR3</t>
  </si>
  <si>
    <t>OSXB3</t>
  </si>
  <si>
    <t>PETR3</t>
  </si>
  <si>
    <t>PMAM3</t>
  </si>
  <si>
    <t>POMO4</t>
  </si>
  <si>
    <t>POSI3</t>
  </si>
  <si>
    <t>PRIO3</t>
  </si>
  <si>
    <t>PRTX3</t>
  </si>
  <si>
    <t>RLOG3</t>
  </si>
  <si>
    <t>RPMG3</t>
  </si>
  <si>
    <t>RUMO3</t>
  </si>
  <si>
    <t>SAPR4</t>
  </si>
  <si>
    <t>SEER3</t>
  </si>
  <si>
    <t>SLCE3</t>
  </si>
  <si>
    <t>SMLS3</t>
  </si>
  <si>
    <t>SUZB5</t>
  </si>
  <si>
    <t>TAEE11</t>
  </si>
  <si>
    <t>TCSL4</t>
  </si>
  <si>
    <t>TERI3</t>
  </si>
  <si>
    <t>TIET11</t>
  </si>
  <si>
    <t>TMAR5</t>
  </si>
  <si>
    <t>TNLP4</t>
  </si>
  <si>
    <t>TOTS3</t>
  </si>
  <si>
    <t>UGPA4</t>
  </si>
  <si>
    <t>USIM5</t>
  </si>
  <si>
    <t>VALE5</t>
  </si>
  <si>
    <t>VIVO4</t>
  </si>
  <si>
    <t>VIVR3</t>
  </si>
  <si>
    <t>VVAR11</t>
  </si>
  <si>
    <t>Datas</t>
  </si>
  <si>
    <t>CDI</t>
  </si>
  <si>
    <t>Ativo</t>
  </si>
  <si>
    <t>Performance Estratégia</t>
  </si>
  <si>
    <t>Data Mês Seguinte</t>
  </si>
  <si>
    <t>Data Composição</t>
  </si>
  <si>
    <t>Data Anterior</t>
  </si>
  <si>
    <t>Número de Ações Portfolio</t>
  </si>
  <si>
    <t>Peso</t>
  </si>
  <si>
    <t>Retorno Mês</t>
  </si>
  <si>
    <t>Retorno_Portfolio</t>
  </si>
  <si>
    <t>Index</t>
  </si>
  <si>
    <t>LS</t>
  </si>
  <si>
    <t>Total</t>
  </si>
  <si>
    <t>Retorno mes composicao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</si>
</sst>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43" formatCode="_-* #,##0.00_-;\-* #,##0.00_-;_-* &quot;-&quot;??_-;_-@_-"/>
    <numFmt numFmtId="164" formatCode="_(* #,##0.00_);_(* \(#,##0.00\);_(* &quot;-&quot;??_);_(@_)"/>
    <numFmt numFmtId="165" formatCode="0.0%"/>
    <numFmt numFmtId="166" formatCode="[$-416]mmm\-yy;@"/>
    <numFmt numFmtId="167" formatCode="[$-416]dd\-mmm\-yy;@"/>
  </numFmts>
  <fonts count="10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indexed="8"/>
      <name val="Calibri"/>
      <family val="2"/>
    </font>
    <font>
      <sz val="10"/>
      <color indexed="8"/>
      <name val="Arial"/>
      <family val="2"/>
    </font>
    <font>
      <b/>
      <sz val="16"/>
      <color theme="1"/>
      <name val="Calibri"/>
      <family val="2"/>
      <scheme val="minor"/>
    </font>
    <font>
      <b/>
      <sz val="16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rgb="FF000000"/>
      <name val="Calibri"/>
      <family val="2"/>
    </font>
    <font>
      <sz val="1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4.9989318521683403E-2"/>
        <bgColor indexed="64"/>
      </patternFill>
    </fill>
  </fills>
  <borders count="4">
    <border>
      <left/>
      <right/>
      <top/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/>
      <top/>
      <bottom style="double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9">
    <xf numFmtId="0" fontId="0" fillId="0" borderId="0"/>
    <xf numFmtId="9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0" fontId="3" fillId="0" borderId="0"/>
  </cellStyleXfs>
  <cellXfs count="38">
    <xf numFmtId="0" fontId="0" fillId="0" borderId="0" xfId="0"/>
    <xf numFmtId="0" fontId="0" fillId="0" borderId="0" xfId="0"/>
    <xf numFmtId="165" fontId="0" fillId="0" borderId="0" xfId="1" applyNumberFormat="1" applyFont="1"/>
    <xf numFmtId="10" fontId="0" fillId="0" borderId="0" xfId="1" applyNumberFormat="1" applyFont="1"/>
    <xf numFmtId="10" fontId="0" fillId="0" borderId="0" xfId="0" applyNumberFormat="1"/>
    <xf numFmtId="10" fontId="0" fillId="0" borderId="0" xfId="1" applyNumberFormat="1" applyFont="1" applyAlignment="1">
      <alignment horizontal="center"/>
    </xf>
    <xf numFmtId="0" fontId="0" fillId="0" borderId="0" xfId="0" applyAlignment="1">
      <alignment horizontal="center"/>
    </xf>
    <xf numFmtId="14" fontId="0" fillId="0" borderId="0" xfId="0" applyNumberFormat="1" applyAlignment="1">
      <alignment horizontal="center"/>
    </xf>
    <xf numFmtId="10" fontId="0" fillId="0" borderId="0" xfId="1" applyNumberFormat="1" applyFont="1" applyAlignment="1">
      <alignment horizontal="center"/>
    </xf>
    <xf numFmtId="0" fontId="4" fillId="0" borderId="0" xfId="0" applyFont="1" applyAlignment="1">
      <alignment horizontal="center" vertical="center"/>
    </xf>
    <xf numFmtId="10" fontId="0" fillId="0" borderId="0" xfId="0" applyNumberFormat="1" applyAlignment="1">
      <alignment horizontal="center"/>
    </xf>
    <xf numFmtId="0" fontId="5" fillId="2" borderId="2" xfId="0" applyFont="1" applyFill="1" applyBorder="1" applyAlignment="1">
      <alignment horizontal="center" vertical="center"/>
    </xf>
    <xf numFmtId="14" fontId="0" fillId="0" borderId="0" xfId="0" applyNumberFormat="1"/>
    <xf numFmtId="164" fontId="0" fillId="0" borderId="0" xfId="7" applyFont="1"/>
    <xf numFmtId="14" fontId="0" fillId="3" borderId="0" xfId="0" applyNumberFormat="1" applyFill="1"/>
    <xf numFmtId="0" fontId="2" fillId="0" borderId="1" xfId="8" applyFont="1" applyFill="1" applyBorder="1" applyAlignment="1">
      <alignment horizontal="right" wrapText="1"/>
    </xf>
    <xf numFmtId="14" fontId="0" fillId="0" borderId="0" xfId="7" applyNumberFormat="1" applyFont="1"/>
    <xf numFmtId="14" fontId="0" fillId="0" borderId="0" xfId="1" applyNumberFormat="1" applyFont="1"/>
    <xf numFmtId="166" fontId="0" fillId="0" borderId="0" xfId="0" applyNumberFormat="1" applyAlignment="1">
      <alignment horizontal="center"/>
    </xf>
    <xf numFmtId="166" fontId="6" fillId="2" borderId="0" xfId="0" applyNumberFormat="1" applyFont="1" applyFill="1" applyAlignment="1">
      <alignment horizontal="center"/>
    </xf>
    <xf numFmtId="0" fontId="2" fillId="0" borderId="0" xfId="8" applyFont="1" applyFill="1" applyBorder="1" applyAlignment="1">
      <alignment horizontal="right" wrapText="1"/>
    </xf>
    <xf numFmtId="0" fontId="0" fillId="0" borderId="1" xfId="0" applyBorder="1"/>
    <xf numFmtId="0" fontId="0" fillId="3" borderId="0" xfId="0" applyFill="1" applyAlignment="1">
      <alignment horizontal="center"/>
    </xf>
    <xf numFmtId="0" fontId="6" fillId="2" borderId="0" xfId="0" applyFont="1" applyFill="1" applyAlignment="1">
      <alignment horizontal="center"/>
    </xf>
    <xf numFmtId="167" fontId="0" fillId="3" borderId="0" xfId="0" applyNumberFormat="1" applyFill="1" applyAlignment="1">
      <alignment horizontal="center"/>
    </xf>
    <xf numFmtId="0" fontId="6" fillId="2" borderId="0" xfId="0" applyFont="1" applyFill="1"/>
    <xf numFmtId="10" fontId="6" fillId="2" borderId="0" xfId="1" applyNumberFormat="1" applyFont="1" applyFill="1" applyAlignment="1">
      <alignment horizontal="center"/>
    </xf>
    <xf numFmtId="10" fontId="4" fillId="0" borderId="3" xfId="1" applyNumberFormat="1" applyFont="1" applyBorder="1" applyAlignment="1">
      <alignment horizontal="center"/>
    </xf>
    <xf numFmtId="166" fontId="8" fillId="4" borderId="0" xfId="0" applyNumberFormat="1" applyFont="1" applyFill="1" applyAlignment="1">
      <alignment horizontal="center"/>
    </xf>
    <xf numFmtId="0" fontId="0" fillId="5" borderId="0" xfId="0" applyFill="1" applyAlignment="1">
      <alignment horizontal="center"/>
    </xf>
    <xf numFmtId="10" fontId="0" fillId="5" borderId="0" xfId="1" applyNumberFormat="1" applyFont="1" applyFill="1" applyAlignment="1">
      <alignment horizontal="center"/>
    </xf>
    <xf numFmtId="164" fontId="0" fillId="0" borderId="0" xfId="7" applyFont="1" applyAlignment="1">
      <alignment horizontal="center"/>
    </xf>
    <xf numFmtId="164" fontId="0" fillId="0" borderId="0" xfId="7" applyFont="1" applyAlignment="1">
      <alignment horizontal="center" wrapText="1"/>
    </xf>
    <xf numFmtId="0" fontId="9" fillId="0" borderId="0" xfId="0" applyFont="1"/>
    <xf numFmtId="10" fontId="9" fillId="0" borderId="0" xfId="1" applyNumberFormat="1" applyFont="1"/>
    <xf numFmtId="0" fontId="9" fillId="0" borderId="0" xfId="0" applyFont="1" applyAlignment="1">
      <alignment horizontal="center"/>
    </xf>
    <xf numFmtId="10" fontId="9" fillId="0" borderId="0" xfId="1" applyNumberFormat="1" applyFont="1" applyAlignment="1">
      <alignment horizontal="center"/>
    </xf>
    <xf numFmtId="165" fontId="0" fillId="0" borderId="0" xfId="1" applyNumberFormat="1" applyFont="1" applyAlignment="1">
      <alignment horizontal="center"/>
    </xf>
  </cellXfs>
  <cellStyles count="9">
    <cellStyle name="Comma" xfId="7" builtinId="3"/>
    <cellStyle name="Comma 2" xfId="3" xr:uid="{B1A171F5-8D5D-4154-819B-A2DFA0F3F25B}"/>
    <cellStyle name="Comma 2 2" xfId="5" xr:uid="{DAA7927D-0CE4-47E5-A530-7D216C28C7BF}"/>
    <cellStyle name="Comma 3" xfId="6" xr:uid="{39F7473B-843C-46F5-9129-0E9950324C00}"/>
    <cellStyle name="Comma 4" xfId="4" xr:uid="{9FE6E03F-811D-4E42-ABA8-93BBAA8AF6F7}"/>
    <cellStyle name="Comma 5" xfId="2" xr:uid="{B8D21B04-5943-401C-83A3-FCBD5BF969AC}"/>
    <cellStyle name="Normal" xfId="0" builtinId="0"/>
    <cellStyle name="Normal_Planilha1" xfId="8" xr:uid="{99D369B2-3A80-469B-8AA8-9A2CF30A1A4C}"/>
    <cellStyle name="Percent" xfId="1" builtinId="5"/>
  </cellStyles>
  <dxfs count="0"/>
  <tableStyles count="0" defaultTableStyle="TableStyleMedium2" defaultPivotStyle="PivotStyleLight16"/>
  <colors>
    <mruColors>
      <color rgb="FFCDFFE4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eetMetadata" Target="metadata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83820</xdr:colOff>
          <xdr:row>3</xdr:row>
          <xdr:rowOff>7620</xdr:rowOff>
        </xdr:from>
        <xdr:to>
          <xdr:col>3</xdr:col>
          <xdr:colOff>464820</xdr:colOff>
          <xdr:row>6</xdr:row>
          <xdr:rowOff>106680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Limpar Resultados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175260</xdr:colOff>
          <xdr:row>2</xdr:row>
          <xdr:rowOff>121920</xdr:rowOff>
        </xdr:from>
        <xdr:to>
          <xdr:col>7</xdr:col>
          <xdr:colOff>1165860</xdr:colOff>
          <xdr:row>6</xdr:row>
          <xdr:rowOff>30480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Rodar Backtest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60960</xdr:colOff>
          <xdr:row>2</xdr:row>
          <xdr:rowOff>129540</xdr:rowOff>
        </xdr:from>
        <xdr:to>
          <xdr:col>6</xdr:col>
          <xdr:colOff>167640</xdr:colOff>
          <xdr:row>6</xdr:row>
          <xdr:rowOff>38100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Rodar uma Data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381000</xdr:colOff>
          <xdr:row>1</xdr:row>
          <xdr:rowOff>83820</xdr:rowOff>
        </xdr:from>
        <xdr:to>
          <xdr:col>19</xdr:col>
          <xdr:colOff>152400</xdr:colOff>
          <xdr:row>5</xdr:row>
          <xdr:rowOff>22860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Back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381000</xdr:colOff>
          <xdr:row>1</xdr:row>
          <xdr:rowOff>83820</xdr:rowOff>
        </xdr:from>
        <xdr:to>
          <xdr:col>19</xdr:col>
          <xdr:colOff>152400</xdr:colOff>
          <xdr:row>5</xdr:row>
          <xdr:rowOff>22860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02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Back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373380</xdr:colOff>
          <xdr:row>0</xdr:row>
          <xdr:rowOff>144780</xdr:rowOff>
        </xdr:from>
        <xdr:to>
          <xdr:col>10</xdr:col>
          <xdr:colOff>144780</xdr:colOff>
          <xdr:row>3</xdr:row>
          <xdr:rowOff>175260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5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Back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6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35BAC21-6BBB-4BA6-9F09-CDBF300FE496}">
  <sheetPr codeName="Sheet9"/>
  <dimension ref="A1:K111"/>
  <sheetViews>
    <sheetView showGridLines="0" tabSelected="1" workbookViewId="0">
      <selection activeCell="I21" sqref="I21"/>
    </sheetView>
  </sheetViews>
  <sheetFormatPr defaultRowHeight="15" customHeight="1" x14ac:dyDescent="0.3"/>
  <cols>
    <col min="1" max="1" width="14" style="18" customWidth="1"/>
    <col min="2" max="2" width="22" style="8" bestFit="1" customWidth="1"/>
    <col min="6" max="6" width="12.88671875" bestFit="1" customWidth="1"/>
    <col min="7" max="7" width="16.33203125" bestFit="1" customWidth="1"/>
    <col min="8" max="8" width="17.6640625" bestFit="1" customWidth="1"/>
    <col min="10" max="10" width="25.5546875" bestFit="1" customWidth="1"/>
  </cols>
  <sheetData>
    <row r="1" spans="1:11" ht="15" customHeight="1" x14ac:dyDescent="0.3">
      <c r="A1" s="18" t="s">
        <v>188</v>
      </c>
      <c r="F1" s="23" t="s">
        <v>194</v>
      </c>
      <c r="G1" s="23" t="s">
        <v>193</v>
      </c>
      <c r="H1" s="23" t="s">
        <v>192</v>
      </c>
    </row>
    <row r="2" spans="1:11" s="1" customFormat="1" ht="15" customHeight="1" x14ac:dyDescent="0.3">
      <c r="A2" s="18">
        <v>40512</v>
      </c>
      <c r="B2" s="8"/>
      <c r="D2" s="1" t="s">
        <v>199</v>
      </c>
      <c r="E2" s="22">
        <v>112</v>
      </c>
      <c r="F2" s="28" cm="1">
        <f t="array" ref="F2">INDEX(A:A,E2-2)</f>
        <v>43798</v>
      </c>
      <c r="G2" s="28" cm="1">
        <f t="array" ref="G2">INDEX(A:A,E2-1)</f>
        <v>43830</v>
      </c>
      <c r="H2" s="28" cm="1">
        <f t="array" ref="H2">INDEX(A:A,E2)</f>
        <v>0</v>
      </c>
      <c r="J2" s="1" t="s">
        <v>195</v>
      </c>
      <c r="K2" s="22">
        <v>10</v>
      </c>
    </row>
    <row r="3" spans="1:11" ht="15" customHeight="1" x14ac:dyDescent="0.3">
      <c r="A3" s="18">
        <v>40543</v>
      </c>
      <c r="B3" s="26" t="s">
        <v>191</v>
      </c>
    </row>
    <row r="4" spans="1:11" ht="15" customHeight="1" x14ac:dyDescent="0.3">
      <c r="A4" s="18">
        <v>40574</v>
      </c>
      <c r="B4" s="37">
        <v>-2.9738266362924336E-2</v>
      </c>
    </row>
    <row r="5" spans="1:11" ht="15" customHeight="1" x14ac:dyDescent="0.3">
      <c r="A5" s="18">
        <v>40602</v>
      </c>
      <c r="B5" s="37">
        <v>8.0108777337649546E-3</v>
      </c>
    </row>
    <row r="6" spans="1:11" ht="15" customHeight="1" x14ac:dyDescent="0.3">
      <c r="A6" s="18">
        <v>40633</v>
      </c>
      <c r="B6" s="37">
        <v>4.8675064712646265E-2</v>
      </c>
    </row>
    <row r="7" spans="1:11" ht="15" customHeight="1" x14ac:dyDescent="0.3">
      <c r="A7" s="18">
        <v>40662</v>
      </c>
      <c r="B7" s="37">
        <v>2.1840236668671451E-2</v>
      </c>
    </row>
    <row r="8" spans="1:11" ht="15" customHeight="1" x14ac:dyDescent="0.3">
      <c r="A8" s="18">
        <v>40694</v>
      </c>
      <c r="B8" s="37">
        <v>1.8420874784558384E-2</v>
      </c>
    </row>
    <row r="9" spans="1:11" ht="15" customHeight="1" x14ac:dyDescent="0.3">
      <c r="A9" s="18">
        <v>40724</v>
      </c>
      <c r="B9" s="37">
        <v>2.2000206701209106E-3</v>
      </c>
    </row>
    <row r="10" spans="1:11" ht="15" customHeight="1" x14ac:dyDescent="0.3">
      <c r="A10" s="18">
        <v>40753</v>
      </c>
      <c r="B10" s="37">
        <v>-5.8531589871156857E-2</v>
      </c>
    </row>
    <row r="11" spans="1:11" ht="15" customHeight="1" x14ac:dyDescent="0.3">
      <c r="A11" s="18">
        <v>40786</v>
      </c>
      <c r="B11" s="37">
        <v>-6.3092730703823624E-2</v>
      </c>
    </row>
    <row r="12" spans="1:11" ht="15" customHeight="1" x14ac:dyDescent="0.3">
      <c r="A12" s="18">
        <v>40816</v>
      </c>
      <c r="B12" s="37">
        <v>-0.12623946554344118</v>
      </c>
    </row>
    <row r="13" spans="1:11" ht="15" customHeight="1" x14ac:dyDescent="0.3">
      <c r="A13" s="18">
        <v>40847</v>
      </c>
      <c r="B13" s="37">
        <v>5.2049077992494662E-2</v>
      </c>
    </row>
    <row r="14" spans="1:11" ht="15" customHeight="1" x14ac:dyDescent="0.3">
      <c r="A14" s="18">
        <v>40877</v>
      </c>
      <c r="B14" s="37">
        <v>-4.3639378864196009E-3</v>
      </c>
    </row>
    <row r="15" spans="1:11" ht="15" customHeight="1" x14ac:dyDescent="0.3">
      <c r="A15" s="18">
        <v>40907</v>
      </c>
      <c r="B15" s="37">
        <v>4.6604505572781833E-2</v>
      </c>
    </row>
    <row r="16" spans="1:11" ht="15" customHeight="1" x14ac:dyDescent="0.3">
      <c r="A16" s="18">
        <v>40939</v>
      </c>
      <c r="B16" s="37">
        <v>5.3646803788298142E-2</v>
      </c>
    </row>
    <row r="17" spans="1:2" ht="15" customHeight="1" x14ac:dyDescent="0.3">
      <c r="A17" s="18">
        <v>40968</v>
      </c>
      <c r="B17" s="37">
        <v>6.0262267104364844E-2</v>
      </c>
    </row>
    <row r="18" spans="1:2" ht="15" customHeight="1" x14ac:dyDescent="0.3">
      <c r="A18" s="18">
        <v>40998</v>
      </c>
      <c r="B18" s="37">
        <v>3.3981872732814934E-3</v>
      </c>
    </row>
    <row r="19" spans="1:2" ht="15" customHeight="1" x14ac:dyDescent="0.3">
      <c r="A19" s="18">
        <v>41029</v>
      </c>
      <c r="B19" s="37">
        <v>-8.6771458529122155E-3</v>
      </c>
    </row>
    <row r="20" spans="1:2" ht="15" customHeight="1" x14ac:dyDescent="0.3">
      <c r="A20" s="18">
        <v>41060</v>
      </c>
      <c r="B20" s="37">
        <v>-9.7712864690685838E-2</v>
      </c>
    </row>
    <row r="21" spans="1:2" ht="15" customHeight="1" x14ac:dyDescent="0.3">
      <c r="A21" s="18">
        <v>41089</v>
      </c>
      <c r="B21" s="37">
        <v>1.4714505290574744E-2</v>
      </c>
    </row>
    <row r="22" spans="1:2" ht="15" customHeight="1" x14ac:dyDescent="0.3">
      <c r="A22" s="18">
        <v>41121</v>
      </c>
      <c r="B22" s="37">
        <v>-2.7946845855291776E-2</v>
      </c>
    </row>
    <row r="23" spans="1:2" ht="15" customHeight="1" x14ac:dyDescent="0.3">
      <c r="A23" s="18">
        <v>41152</v>
      </c>
      <c r="B23" s="37">
        <v>-9.2118630298758993E-3</v>
      </c>
    </row>
    <row r="24" spans="1:2" ht="15" customHeight="1" x14ac:dyDescent="0.3">
      <c r="A24" s="18">
        <v>41180</v>
      </c>
      <c r="B24" s="37">
        <v>5.6928027328790543E-2</v>
      </c>
    </row>
    <row r="25" spans="1:2" ht="15" customHeight="1" x14ac:dyDescent="0.3">
      <c r="A25" s="18">
        <v>41213</v>
      </c>
      <c r="B25" s="37">
        <v>-3.0790693721438386E-3</v>
      </c>
    </row>
    <row r="26" spans="1:2" ht="15" customHeight="1" x14ac:dyDescent="0.3">
      <c r="A26" s="18">
        <v>41243</v>
      </c>
      <c r="B26" s="37">
        <v>-2.4987191819265987E-2</v>
      </c>
    </row>
    <row r="27" spans="1:2" ht="15" customHeight="1" x14ac:dyDescent="0.3">
      <c r="A27" s="18">
        <v>41274</v>
      </c>
      <c r="B27" s="37">
        <v>6.3600375520490401E-2</v>
      </c>
    </row>
    <row r="28" spans="1:2" ht="15" customHeight="1" x14ac:dyDescent="0.3">
      <c r="A28" s="18">
        <v>41305</v>
      </c>
      <c r="B28" s="37">
        <v>-5.4500872919808784E-2</v>
      </c>
    </row>
    <row r="29" spans="1:2" ht="15" customHeight="1" x14ac:dyDescent="0.3">
      <c r="A29" s="18">
        <v>41333</v>
      </c>
      <c r="B29" s="37">
        <v>-4.331503161538329E-2</v>
      </c>
    </row>
    <row r="30" spans="1:2" ht="15" customHeight="1" x14ac:dyDescent="0.3">
      <c r="A30" s="18">
        <v>41362</v>
      </c>
      <c r="B30" s="37">
        <v>-2.8835261859469268E-2</v>
      </c>
    </row>
    <row r="31" spans="1:2" ht="15" customHeight="1" x14ac:dyDescent="0.3">
      <c r="A31" s="18">
        <v>41394</v>
      </c>
      <c r="B31" s="37">
        <v>-9.1165695452454371E-3</v>
      </c>
    </row>
    <row r="32" spans="1:2" ht="15" customHeight="1" x14ac:dyDescent="0.3">
      <c r="A32" s="18">
        <v>41425</v>
      </c>
      <c r="B32" s="37">
        <v>-4.02428537966701E-2</v>
      </c>
    </row>
    <row r="33" spans="1:2" ht="15" customHeight="1" x14ac:dyDescent="0.3">
      <c r="A33" s="18">
        <v>41453</v>
      </c>
      <c r="B33" s="37">
        <v>-6.8044780386638151E-2</v>
      </c>
    </row>
    <row r="34" spans="1:2" ht="15" customHeight="1" x14ac:dyDescent="0.3">
      <c r="A34" s="18">
        <v>41486</v>
      </c>
      <c r="B34" s="37">
        <v>-3.4848839357125572E-2</v>
      </c>
    </row>
    <row r="35" spans="1:2" ht="15" customHeight="1" x14ac:dyDescent="0.3">
      <c r="A35" s="18">
        <v>41516</v>
      </c>
      <c r="B35" s="37">
        <v>0.14185102575552958</v>
      </c>
    </row>
    <row r="36" spans="1:2" ht="15" customHeight="1" x14ac:dyDescent="0.3">
      <c r="A36" s="18">
        <v>41547</v>
      </c>
      <c r="B36" s="37">
        <v>2.5581827554618131E-2</v>
      </c>
    </row>
    <row r="37" spans="1:2" ht="15" customHeight="1" x14ac:dyDescent="0.3">
      <c r="A37" s="18">
        <v>41578</v>
      </c>
      <c r="B37" s="37">
        <v>-1.1819943367747172E-2</v>
      </c>
    </row>
    <row r="38" spans="1:2" ht="15" customHeight="1" x14ac:dyDescent="0.3">
      <c r="A38" s="18">
        <v>41607</v>
      </c>
      <c r="B38" s="37">
        <v>-6.9757670952426742E-2</v>
      </c>
    </row>
    <row r="39" spans="1:2" ht="15" customHeight="1" x14ac:dyDescent="0.3">
      <c r="A39" s="18">
        <v>41639</v>
      </c>
      <c r="B39" s="37">
        <v>5.2908430493689325E-2</v>
      </c>
    </row>
    <row r="40" spans="1:2" ht="15" customHeight="1" x14ac:dyDescent="0.3">
      <c r="A40" s="18">
        <v>41670</v>
      </c>
      <c r="B40" s="37">
        <v>3.0350050852108561E-3</v>
      </c>
    </row>
    <row r="41" spans="1:2" ht="15" customHeight="1" x14ac:dyDescent="0.3">
      <c r="A41" s="18">
        <v>41698</v>
      </c>
      <c r="B41" s="37">
        <v>-8.0664802012503423E-2</v>
      </c>
    </row>
    <row r="42" spans="1:2" ht="15" customHeight="1" x14ac:dyDescent="0.3">
      <c r="A42" s="18">
        <v>41729</v>
      </c>
      <c r="B42" s="37">
        <v>5.0008938418475028E-2</v>
      </c>
    </row>
    <row r="43" spans="1:2" ht="15" customHeight="1" x14ac:dyDescent="0.3">
      <c r="A43" s="18">
        <v>41759</v>
      </c>
      <c r="B43" s="37">
        <v>6.0232233351142049E-2</v>
      </c>
    </row>
    <row r="44" spans="1:2" ht="15" customHeight="1" x14ac:dyDescent="0.3">
      <c r="A44" s="18">
        <v>41789</v>
      </c>
      <c r="B44" s="37">
        <v>-1.4315750597530454E-2</v>
      </c>
    </row>
    <row r="45" spans="1:2" ht="15" customHeight="1" x14ac:dyDescent="0.3">
      <c r="A45" s="18">
        <v>41820</v>
      </c>
      <c r="B45" s="37">
        <v>0.10851154690641815</v>
      </c>
    </row>
    <row r="46" spans="1:2" ht="15" customHeight="1" x14ac:dyDescent="0.3">
      <c r="A46" s="18">
        <v>41851</v>
      </c>
      <c r="B46" s="37">
        <v>9.792286687244682E-3</v>
      </c>
    </row>
    <row r="47" spans="1:2" ht="15" customHeight="1" x14ac:dyDescent="0.3">
      <c r="A47" s="18">
        <v>41880</v>
      </c>
      <c r="B47" s="37">
        <v>5.1833714845648651E-2</v>
      </c>
    </row>
    <row r="48" spans="1:2" ht="15" customHeight="1" x14ac:dyDescent="0.3">
      <c r="A48" s="18">
        <v>41912</v>
      </c>
      <c r="B48" s="37">
        <v>-0.15145073556882357</v>
      </c>
    </row>
    <row r="49" spans="1:2" ht="15" customHeight="1" x14ac:dyDescent="0.3">
      <c r="A49" s="18">
        <v>41943</v>
      </c>
      <c r="B49" s="37">
        <v>-4.0284609337609009E-2</v>
      </c>
    </row>
    <row r="50" spans="1:2" ht="15" customHeight="1" x14ac:dyDescent="0.3">
      <c r="A50" s="18">
        <v>41971</v>
      </c>
      <c r="B50" s="37">
        <v>1.7021146615998375E-2</v>
      </c>
    </row>
    <row r="51" spans="1:2" ht="15" customHeight="1" x14ac:dyDescent="0.3">
      <c r="A51" s="18">
        <v>42004</v>
      </c>
      <c r="B51" s="37">
        <v>-0.10036473841847617</v>
      </c>
    </row>
    <row r="52" spans="1:2" ht="15" customHeight="1" x14ac:dyDescent="0.3">
      <c r="A52" s="18">
        <v>42034</v>
      </c>
      <c r="B52" s="37">
        <v>-0.11730267896356329</v>
      </c>
    </row>
    <row r="53" spans="1:2" ht="15" customHeight="1" x14ac:dyDescent="0.3">
      <c r="A53" s="18">
        <v>42062</v>
      </c>
      <c r="B53" s="37">
        <v>5.0396393246934457E-2</v>
      </c>
    </row>
    <row r="54" spans="1:2" ht="15" customHeight="1" x14ac:dyDescent="0.3">
      <c r="A54" s="18">
        <v>42094</v>
      </c>
      <c r="B54" s="37">
        <v>-1.9721872332553712E-2</v>
      </c>
    </row>
    <row r="55" spans="1:2" ht="15" customHeight="1" x14ac:dyDescent="0.3">
      <c r="A55" s="18">
        <v>42124</v>
      </c>
      <c r="B55" s="37">
        <v>4.5838985496957661E-2</v>
      </c>
    </row>
    <row r="56" spans="1:2" ht="15" customHeight="1" x14ac:dyDescent="0.3">
      <c r="A56" s="18">
        <v>42153</v>
      </c>
      <c r="B56" s="37">
        <v>-7.3268830237744276E-2</v>
      </c>
    </row>
    <row r="57" spans="1:2" ht="15" customHeight="1" x14ac:dyDescent="0.3">
      <c r="A57" s="18">
        <v>42185</v>
      </c>
      <c r="B57" s="37">
        <v>-3.9265603667841771E-2</v>
      </c>
    </row>
    <row r="58" spans="1:2" ht="15" customHeight="1" x14ac:dyDescent="0.3">
      <c r="A58" s="18">
        <v>42216</v>
      </c>
      <c r="B58" s="37">
        <v>-2.569218587511737E-3</v>
      </c>
    </row>
    <row r="59" spans="1:2" ht="15" customHeight="1" x14ac:dyDescent="0.3">
      <c r="A59" s="18">
        <v>42247</v>
      </c>
      <c r="B59" s="37">
        <v>-6.5477437630376903E-2</v>
      </c>
    </row>
    <row r="60" spans="1:2" ht="15" customHeight="1" x14ac:dyDescent="0.3">
      <c r="A60" s="18">
        <v>42277</v>
      </c>
      <c r="B60" s="37">
        <v>6.6044488307613128E-2</v>
      </c>
    </row>
    <row r="61" spans="1:2" ht="15" customHeight="1" x14ac:dyDescent="0.3">
      <c r="A61" s="18">
        <v>42307</v>
      </c>
      <c r="B61" s="37">
        <v>8.3174915343224728E-2</v>
      </c>
    </row>
    <row r="62" spans="1:2" ht="15" customHeight="1" x14ac:dyDescent="0.3">
      <c r="A62" s="18">
        <v>42338</v>
      </c>
      <c r="B62" s="37">
        <v>8.3507379009345496E-3</v>
      </c>
    </row>
    <row r="63" spans="1:2" ht="15" customHeight="1" x14ac:dyDescent="0.3">
      <c r="A63" s="18">
        <v>42369</v>
      </c>
      <c r="B63" s="37">
        <v>-7.8571321472044681E-2</v>
      </c>
    </row>
    <row r="64" spans="1:2" ht="15" customHeight="1" x14ac:dyDescent="0.3">
      <c r="A64" s="18">
        <v>42398</v>
      </c>
      <c r="B64" s="37">
        <v>-0.13075137359068487</v>
      </c>
    </row>
    <row r="65" spans="1:2" ht="15" customHeight="1" x14ac:dyDescent="0.3">
      <c r="A65" s="18">
        <v>42429</v>
      </c>
      <c r="B65" s="37">
        <v>0.31651173263424798</v>
      </c>
    </row>
    <row r="66" spans="1:2" ht="15" customHeight="1" x14ac:dyDescent="0.3">
      <c r="A66" s="18">
        <v>42460</v>
      </c>
      <c r="B66" s="37">
        <v>0.24921460474019061</v>
      </c>
    </row>
    <row r="67" spans="1:2" ht="15" customHeight="1" x14ac:dyDescent="0.3">
      <c r="A67" s="18">
        <v>42489</v>
      </c>
      <c r="B67" s="37">
        <v>0.18736506139120918</v>
      </c>
    </row>
    <row r="68" spans="1:2" ht="15" customHeight="1" x14ac:dyDescent="0.3">
      <c r="A68" s="18">
        <v>42521</v>
      </c>
      <c r="B68" s="37">
        <v>-0.18920137267738152</v>
      </c>
    </row>
    <row r="69" spans="1:2" ht="15" customHeight="1" x14ac:dyDescent="0.3">
      <c r="A69" s="18">
        <v>42551</v>
      </c>
      <c r="B69" s="37">
        <v>-1.4105152484193032E-2</v>
      </c>
    </row>
    <row r="70" spans="1:2" ht="15" customHeight="1" x14ac:dyDescent="0.3">
      <c r="A70" s="18">
        <v>42580</v>
      </c>
      <c r="B70" s="37">
        <v>0.25714043079579502</v>
      </c>
    </row>
    <row r="71" spans="1:2" ht="15" customHeight="1" x14ac:dyDescent="0.3">
      <c r="A71" s="18">
        <v>42613</v>
      </c>
      <c r="B71" s="37">
        <v>6.0530350902996855E-2</v>
      </c>
    </row>
    <row r="72" spans="1:2" ht="15" customHeight="1" x14ac:dyDescent="0.3">
      <c r="A72" s="18">
        <v>42643</v>
      </c>
      <c r="B72" s="37">
        <v>-2.5877000958761543E-2</v>
      </c>
    </row>
    <row r="73" spans="1:2" ht="15" customHeight="1" x14ac:dyDescent="0.3">
      <c r="A73" s="18">
        <v>42674</v>
      </c>
      <c r="B73" s="37">
        <v>5.6572926842307018E-2</v>
      </c>
    </row>
    <row r="74" spans="1:2" ht="15" customHeight="1" x14ac:dyDescent="0.3">
      <c r="A74" s="18">
        <v>42704</v>
      </c>
      <c r="B74" s="37">
        <v>2.2344961421654545E-2</v>
      </c>
    </row>
    <row r="75" spans="1:2" ht="15" customHeight="1" x14ac:dyDescent="0.3">
      <c r="A75" s="18">
        <v>42734</v>
      </c>
      <c r="B75" s="37">
        <v>-5.2631336369805631E-2</v>
      </c>
    </row>
    <row r="76" spans="1:2" ht="15" customHeight="1" x14ac:dyDescent="0.3">
      <c r="A76" s="18">
        <v>42766</v>
      </c>
      <c r="B76" s="37">
        <v>5.580033828559499E-2</v>
      </c>
    </row>
    <row r="77" spans="1:2" ht="15" customHeight="1" x14ac:dyDescent="0.3">
      <c r="A77" s="18">
        <v>42794</v>
      </c>
      <c r="B77" s="37">
        <v>5.0264479913916561E-2</v>
      </c>
    </row>
    <row r="78" spans="1:2" ht="15" customHeight="1" x14ac:dyDescent="0.3">
      <c r="A78" s="18">
        <v>42825</v>
      </c>
      <c r="B78" s="37">
        <v>-3.392356937923191E-2</v>
      </c>
    </row>
    <row r="79" spans="1:2" ht="15" customHeight="1" x14ac:dyDescent="0.3">
      <c r="A79" s="18">
        <v>42853</v>
      </c>
      <c r="B79" s="37">
        <v>5.8025364906914331E-2</v>
      </c>
    </row>
    <row r="80" spans="1:2" ht="15" customHeight="1" x14ac:dyDescent="0.3">
      <c r="A80" s="18">
        <v>42886</v>
      </c>
      <c r="B80" s="37">
        <v>-1.5866809447665768E-2</v>
      </c>
    </row>
    <row r="81" spans="1:2" ht="15" customHeight="1" x14ac:dyDescent="0.3">
      <c r="A81" s="18">
        <v>42916</v>
      </c>
      <c r="B81" s="37">
        <v>-2.1518925684363411E-2</v>
      </c>
    </row>
    <row r="82" spans="1:2" ht="15" customHeight="1" x14ac:dyDescent="0.3">
      <c r="A82" s="18">
        <v>42947</v>
      </c>
      <c r="B82" s="37">
        <v>4.6258082689590196E-2</v>
      </c>
    </row>
    <row r="83" spans="1:2" ht="15" customHeight="1" x14ac:dyDescent="0.3">
      <c r="A83" s="18">
        <v>42978</v>
      </c>
      <c r="B83" s="37">
        <v>0.1924425663532644</v>
      </c>
    </row>
    <row r="84" spans="1:2" ht="15" customHeight="1" x14ac:dyDescent="0.3">
      <c r="A84" s="18">
        <v>43007</v>
      </c>
      <c r="B84" s="37">
        <v>0.10610088728182315</v>
      </c>
    </row>
    <row r="85" spans="1:2" ht="15" customHeight="1" x14ac:dyDescent="0.3">
      <c r="A85" s="18">
        <v>43039</v>
      </c>
      <c r="B85" s="37">
        <v>2.6787705262891273E-2</v>
      </c>
    </row>
    <row r="86" spans="1:2" ht="15" customHeight="1" x14ac:dyDescent="0.3">
      <c r="A86" s="18">
        <v>43069</v>
      </c>
      <c r="B86" s="37">
        <v>-5.3920919983075272E-2</v>
      </c>
    </row>
    <row r="87" spans="1:2" ht="15" customHeight="1" x14ac:dyDescent="0.3">
      <c r="A87" s="18">
        <v>43098</v>
      </c>
      <c r="B87" s="37">
        <v>9.7451602021023404E-2</v>
      </c>
    </row>
    <row r="88" spans="1:2" ht="15" customHeight="1" x14ac:dyDescent="0.3">
      <c r="A88" s="18">
        <v>43131</v>
      </c>
      <c r="B88" s="37">
        <v>2.1602956815924008E-2</v>
      </c>
    </row>
    <row r="89" spans="1:2" ht="15" customHeight="1" x14ac:dyDescent="0.3">
      <c r="A89" s="18">
        <v>43159</v>
      </c>
      <c r="B89" s="37">
        <v>2.8153264334182391E-2</v>
      </c>
    </row>
    <row r="90" spans="1:2" ht="15" customHeight="1" x14ac:dyDescent="0.3">
      <c r="A90" s="18">
        <v>43189</v>
      </c>
      <c r="B90" s="37">
        <v>-1.0311880702532953E-2</v>
      </c>
    </row>
    <row r="91" spans="1:2" ht="15" customHeight="1" x14ac:dyDescent="0.3">
      <c r="A91" s="18">
        <v>43220</v>
      </c>
      <c r="B91" s="37">
        <v>2.6933391607962369E-2</v>
      </c>
    </row>
    <row r="92" spans="1:2" ht="15" customHeight="1" x14ac:dyDescent="0.3">
      <c r="A92" s="18">
        <v>43251</v>
      </c>
      <c r="B92" s="37">
        <v>-5.1871424391897555E-2</v>
      </c>
    </row>
    <row r="93" spans="1:2" ht="15" customHeight="1" x14ac:dyDescent="0.3">
      <c r="A93" s="18">
        <v>43280</v>
      </c>
      <c r="B93" s="37">
        <v>1.8430318124626012E-2</v>
      </c>
    </row>
    <row r="94" spans="1:2" ht="15" customHeight="1" x14ac:dyDescent="0.3">
      <c r="A94" s="18">
        <v>43312</v>
      </c>
      <c r="B94" s="37">
        <v>-3.0438007145168981E-2</v>
      </c>
    </row>
    <row r="95" spans="1:2" ht="15" customHeight="1" x14ac:dyDescent="0.3">
      <c r="A95" s="18">
        <v>43343</v>
      </c>
      <c r="B95" s="37">
        <v>-4.9327164520591944E-2</v>
      </c>
    </row>
    <row r="96" spans="1:2" ht="15" customHeight="1" x14ac:dyDescent="0.3">
      <c r="A96" s="18">
        <v>43371</v>
      </c>
      <c r="B96" s="37">
        <v>-6.2874319350927363E-3</v>
      </c>
    </row>
    <row r="97" spans="1:2" ht="15" customHeight="1" x14ac:dyDescent="0.3">
      <c r="A97" s="18">
        <v>43404</v>
      </c>
      <c r="B97" s="37">
        <v>6.2265890036481822E-2</v>
      </c>
    </row>
    <row r="98" spans="1:2" ht="15" customHeight="1" x14ac:dyDescent="0.3">
      <c r="A98" s="18">
        <v>43434</v>
      </c>
      <c r="B98" s="37">
        <v>6.7037386002653743E-2</v>
      </c>
    </row>
    <row r="99" spans="1:2" ht="15" customHeight="1" x14ac:dyDescent="0.3">
      <c r="A99" s="18">
        <v>43465</v>
      </c>
      <c r="B99" s="37">
        <v>3.253562041287994E-2</v>
      </c>
    </row>
    <row r="100" spans="1:2" ht="15" customHeight="1" x14ac:dyDescent="0.3">
      <c r="A100" s="18">
        <v>43496</v>
      </c>
      <c r="B100" s="37">
        <v>8.3691773632645614E-2</v>
      </c>
    </row>
    <row r="101" spans="1:2" ht="15" customHeight="1" x14ac:dyDescent="0.3">
      <c r="A101" s="18">
        <v>43524</v>
      </c>
      <c r="B101" s="37">
        <v>-8.6387987036164737E-2</v>
      </c>
    </row>
    <row r="102" spans="1:2" ht="15" customHeight="1" x14ac:dyDescent="0.3">
      <c r="A102" s="18">
        <v>43553</v>
      </c>
      <c r="B102" s="37">
        <v>5.6761304730942853E-2</v>
      </c>
    </row>
    <row r="103" spans="1:2" ht="15" customHeight="1" x14ac:dyDescent="0.3">
      <c r="A103" s="18">
        <v>43585</v>
      </c>
      <c r="B103" s="37">
        <v>9.107088374886714E-2</v>
      </c>
    </row>
    <row r="104" spans="1:2" ht="15" customHeight="1" x14ac:dyDescent="0.3">
      <c r="A104" s="18">
        <v>43616</v>
      </c>
      <c r="B104" s="37">
        <v>5.5020208073743061E-2</v>
      </c>
    </row>
    <row r="105" spans="1:2" ht="15" customHeight="1" x14ac:dyDescent="0.3">
      <c r="A105" s="18">
        <v>43644</v>
      </c>
      <c r="B105" s="37">
        <v>8.5243491363609966E-2</v>
      </c>
    </row>
    <row r="106" spans="1:2" ht="15" customHeight="1" x14ac:dyDescent="0.3">
      <c r="A106" s="18">
        <v>43677</v>
      </c>
      <c r="B106" s="37">
        <v>0.10015480282660011</v>
      </c>
    </row>
    <row r="107" spans="1:2" ht="15" customHeight="1" x14ac:dyDescent="0.3">
      <c r="A107" s="18">
        <v>43707</v>
      </c>
      <c r="B107" s="37">
        <v>3.9562349481616903E-2</v>
      </c>
    </row>
    <row r="108" spans="1:2" ht="15" customHeight="1" x14ac:dyDescent="0.3">
      <c r="A108" s="18">
        <v>43738</v>
      </c>
      <c r="B108" s="37">
        <v>1.7554565113182624E-2</v>
      </c>
    </row>
    <row r="109" spans="1:2" s="1" customFormat="1" ht="15" customHeight="1" x14ac:dyDescent="0.3">
      <c r="A109" s="18">
        <v>43769</v>
      </c>
      <c r="B109" s="37">
        <v>-1.4246387541723049E-2</v>
      </c>
    </row>
    <row r="110" spans="1:2" ht="15" customHeight="1" x14ac:dyDescent="0.3">
      <c r="A110" s="18">
        <v>43798</v>
      </c>
      <c r="B110" s="37">
        <v>4.2058511030359187E-2</v>
      </c>
    </row>
    <row r="111" spans="1:2" ht="15" customHeight="1" x14ac:dyDescent="0.3">
      <c r="A111" s="18">
        <v>43830</v>
      </c>
      <c r="B111" s="37">
        <v>0.14901921902668899</v>
      </c>
    </row>
  </sheetData>
  <dataValidations count="1">
    <dataValidation type="whole" allowBlank="1" showInputMessage="1" showErrorMessage="1" sqref="E2 K2" xr:uid="{5B776D5A-CCCA-4B8B-840F-67B5B17F991C}">
      <formula1>3</formula1>
      <formula2>123</formula2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Limpar_Resultados">
                <anchor moveWithCells="1" sizeWithCells="1">
                  <from>
                    <xdr:col>2</xdr:col>
                    <xdr:colOff>83820</xdr:colOff>
                    <xdr:row>3</xdr:row>
                    <xdr:rowOff>7620</xdr:rowOff>
                  </from>
                  <to>
                    <xdr:col>3</xdr:col>
                    <xdr:colOff>464820</xdr:colOff>
                    <xdr:row>6</xdr:row>
                    <xdr:rowOff>106680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Performa_Backtest">
                <anchor moveWithCells="1" sizeWithCells="1">
                  <from>
                    <xdr:col>7</xdr:col>
                    <xdr:colOff>175260</xdr:colOff>
                    <xdr:row>2</xdr:row>
                    <xdr:rowOff>121920</xdr:rowOff>
                  </from>
                  <to>
                    <xdr:col>7</xdr:col>
                    <xdr:colOff>1165860</xdr:colOff>
                    <xdr:row>6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Backtest_Data">
                <anchor moveWithCells="1" sizeWithCells="1">
                  <from>
                    <xdr:col>5</xdr:col>
                    <xdr:colOff>60960</xdr:colOff>
                    <xdr:row>2</xdr:row>
                    <xdr:rowOff>129540</xdr:rowOff>
                  </from>
                  <to>
                    <xdr:col>6</xdr:col>
                    <xdr:colOff>167640</xdr:colOff>
                    <xdr:row>6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6B2A9BB-599B-4035-A2AA-F284E9C8C016}">
  <sheetPr codeName="Sheet7">
    <tabColor rgb="FF00B050"/>
  </sheetPr>
  <dimension ref="A1:Q109"/>
  <sheetViews>
    <sheetView showGridLines="0" workbookViewId="0">
      <selection activeCell="O5" sqref="O5"/>
    </sheetView>
  </sheetViews>
  <sheetFormatPr defaultRowHeight="14.4" outlineLevelCol="1" x14ac:dyDescent="0.3"/>
  <cols>
    <col min="1" max="1" width="14.6640625" customWidth="1"/>
    <col min="2" max="2" width="22" bestFit="1" customWidth="1"/>
    <col min="7" max="10" width="8.88671875" hidden="1" customWidth="1" outlineLevel="1"/>
    <col min="11" max="11" width="8.88671875" collapsed="1"/>
    <col min="12" max="13" width="10.5546875" bestFit="1" customWidth="1"/>
    <col min="15" max="15" width="20.33203125" bestFit="1" customWidth="1"/>
    <col min="16" max="16" width="7.5546875" bestFit="1" customWidth="1"/>
    <col min="17" max="17" width="7.88671875" bestFit="1" customWidth="1"/>
  </cols>
  <sheetData>
    <row r="1" spans="1:17" x14ac:dyDescent="0.3">
      <c r="A1" s="18"/>
      <c r="B1" s="23" t="s">
        <v>191</v>
      </c>
      <c r="C1" s="23" t="s">
        <v>105</v>
      </c>
      <c r="D1" s="23" t="s">
        <v>75</v>
      </c>
      <c r="E1" s="23" t="s">
        <v>189</v>
      </c>
      <c r="G1" s="23" t="s">
        <v>191</v>
      </c>
      <c r="H1" s="23" t="s">
        <v>105</v>
      </c>
      <c r="I1" s="23" t="s">
        <v>75</v>
      </c>
      <c r="J1" s="23" t="s">
        <v>189</v>
      </c>
    </row>
    <row r="2" spans="1:17" x14ac:dyDescent="0.3">
      <c r="A2" s="18">
        <v>40574</v>
      </c>
      <c r="B2" s="4">
        <f>Backtest!B4</f>
        <v>-2.9738266362924336E-2</v>
      </c>
      <c r="C2" s="8">
        <v>-3.9389768096870781E-2</v>
      </c>
      <c r="D2" s="8">
        <v>-3.4945913826338604E-2</v>
      </c>
      <c r="E2" s="8">
        <v>8.9926150875327959E-3</v>
      </c>
      <c r="G2">
        <f>LN(B2+1)</f>
        <v>-3.0189415390038263E-2</v>
      </c>
      <c r="H2" s="1">
        <v>-4.0186538232948897E-2</v>
      </c>
      <c r="I2" s="1">
        <v>-3.5571131365419312E-2</v>
      </c>
      <c r="J2" s="1">
        <v>8.9524223035902638E-3</v>
      </c>
      <c r="O2" s="23" t="s">
        <v>191</v>
      </c>
      <c r="P2" s="23" t="s">
        <v>105</v>
      </c>
      <c r="Q2" s="23" t="s">
        <v>75</v>
      </c>
    </row>
    <row r="3" spans="1:17" x14ac:dyDescent="0.3">
      <c r="A3" s="18">
        <v>40602</v>
      </c>
      <c r="B3" s="4">
        <f>Backtest!B5</f>
        <v>8.0108777337649546E-3</v>
      </c>
      <c r="C3" s="8">
        <v>1.2141212378839583E-2</v>
      </c>
      <c r="D3" s="8">
        <v>2.0012272665642428E-2</v>
      </c>
      <c r="E3" s="8">
        <v>8.4239094197378073E-3</v>
      </c>
      <c r="G3" s="1">
        <f t="shared" ref="G3:G66" si="0">LN(B3+1)</f>
        <v>7.9789609934946062E-3</v>
      </c>
      <c r="H3" s="1">
        <v>1.2068099054517792E-2</v>
      </c>
      <c r="I3" s="1">
        <v>1.9814659248935114E-2</v>
      </c>
      <c r="J3" s="1">
        <v>8.3886263041515925E-3</v>
      </c>
      <c r="L3" s="12">
        <f>DATE(N3,1,1)</f>
        <v>40544</v>
      </c>
      <c r="M3" s="12">
        <f>DATE(N3+1,1,1)-1</f>
        <v>40908</v>
      </c>
      <c r="N3" s="29">
        <v>2011</v>
      </c>
      <c r="O3" s="30">
        <f>EXP(SUMIFS(G:G,$A:$A,"&gt;=" &amp; $L3,$A:$A,"&lt;=" &amp;$M3))-1</f>
        <v>-9.6197022519938336E-2</v>
      </c>
      <c r="P3" s="30">
        <f t="shared" ref="P3:Q11" si="1">EXP(SUMIFS(H:H,$A:$A,"&gt;=" &amp; $L3,$A:$A,"&lt;=" &amp;$M3))-1</f>
        <v>-0.18109423878288367</v>
      </c>
      <c r="Q3" s="30">
        <f t="shared" si="1"/>
        <v>-0.11391393065764477</v>
      </c>
    </row>
    <row r="4" spans="1:17" x14ac:dyDescent="0.3">
      <c r="A4" s="18">
        <v>40633</v>
      </c>
      <c r="B4" s="4">
        <f>Backtest!B6</f>
        <v>4.8675064712646265E-2</v>
      </c>
      <c r="C4" s="8">
        <v>1.786053497014084E-2</v>
      </c>
      <c r="D4" s="8">
        <v>2.2549954686312379E-2</v>
      </c>
      <c r="E4" s="8">
        <v>9.1702201069219225E-3</v>
      </c>
      <c r="G4" s="1">
        <f t="shared" si="0"/>
        <v>4.7527524244218536E-2</v>
      </c>
      <c r="H4" s="1">
        <v>1.7702909696091444E-2</v>
      </c>
      <c r="I4" s="1">
        <v>2.2299463180367983E-2</v>
      </c>
      <c r="J4" s="1">
        <v>9.1284289337297056E-3</v>
      </c>
      <c r="L4" s="12">
        <f t="shared" ref="L4:L11" si="2">DATE(N4,1,1)</f>
        <v>40909</v>
      </c>
      <c r="M4" s="12">
        <f t="shared" ref="M4:M11" si="3">DATE(N4+1,1,1)-1</f>
        <v>41274</v>
      </c>
      <c r="N4" s="6">
        <v>2012</v>
      </c>
      <c r="O4" s="8">
        <f t="shared" ref="O4:O11" si="4">EXP(SUMIFS(G:G,$A:$A,"&gt;=" &amp; $L4,$A:$A,"&lt;=" &amp;$M4))-1</f>
        <v>7.065899003194942E-2</v>
      </c>
      <c r="P4" s="8">
        <f t="shared" si="1"/>
        <v>7.3968224322119136E-2</v>
      </c>
      <c r="Q4" s="8">
        <f t="shared" si="1"/>
        <v>0.11550777118986355</v>
      </c>
    </row>
    <row r="5" spans="1:17" x14ac:dyDescent="0.3">
      <c r="A5" s="18">
        <v>40662</v>
      </c>
      <c r="B5" s="4">
        <f>Backtest!B7</f>
        <v>2.1840236668671451E-2</v>
      </c>
      <c r="C5" s="8">
        <v>-3.577661558290457E-2</v>
      </c>
      <c r="D5" s="8">
        <v>-3.6788099439369226E-2</v>
      </c>
      <c r="E5" s="8">
        <v>8.3788889008014067E-3</v>
      </c>
      <c r="G5" s="1">
        <f t="shared" si="0"/>
        <v>2.160515536265992E-2</v>
      </c>
      <c r="H5" s="1">
        <v>-3.643228464229651E-2</v>
      </c>
      <c r="I5" s="1">
        <v>-3.7481849270692716E-2</v>
      </c>
      <c r="J5" s="1">
        <v>8.3439808693263635E-3</v>
      </c>
      <c r="L5" s="12">
        <f t="shared" si="2"/>
        <v>41275</v>
      </c>
      <c r="M5" s="12">
        <f t="shared" si="3"/>
        <v>41639</v>
      </c>
      <c r="N5" s="29">
        <v>2013</v>
      </c>
      <c r="O5" s="30">
        <f t="shared" si="4"/>
        <v>-0.14827412848860644</v>
      </c>
      <c r="P5" s="30">
        <f t="shared" si="1"/>
        <v>-0.1549561048757957</v>
      </c>
      <c r="Q5" s="30">
        <f t="shared" si="1"/>
        <v>-3.1294680773148231E-2</v>
      </c>
    </row>
    <row r="6" spans="1:17" x14ac:dyDescent="0.3">
      <c r="A6" s="18">
        <v>40694</v>
      </c>
      <c r="B6" s="4">
        <f>Backtest!B8</f>
        <v>1.8420874784558384E-2</v>
      </c>
      <c r="C6" s="8">
        <v>-2.2875149887574775E-2</v>
      </c>
      <c r="D6" s="8">
        <v>-2.2740954216635023E-2</v>
      </c>
      <c r="E6" s="8">
        <v>9.8548743155024709E-3</v>
      </c>
      <c r="G6" s="1">
        <f t="shared" si="0"/>
        <v>1.8253265679185778E-2</v>
      </c>
      <c r="H6" s="1">
        <v>-2.3140845838174495E-2</v>
      </c>
      <c r="I6" s="1">
        <v>-2.3003517986228454E-2</v>
      </c>
      <c r="J6" s="1">
        <v>9.8066317324117559E-3</v>
      </c>
      <c r="L6" s="12">
        <f t="shared" si="2"/>
        <v>41640</v>
      </c>
      <c r="M6" s="12">
        <f t="shared" si="3"/>
        <v>42004</v>
      </c>
      <c r="N6" s="6">
        <v>2014</v>
      </c>
      <c r="O6" s="8">
        <f t="shared" si="4"/>
        <v>-0.11231858884765999</v>
      </c>
      <c r="P6" s="8">
        <f t="shared" si="1"/>
        <v>-2.911825919483102E-2</v>
      </c>
      <c r="Q6" s="8">
        <f t="shared" si="1"/>
        <v>-2.7794631452400576E-2</v>
      </c>
    </row>
    <row r="7" spans="1:17" x14ac:dyDescent="0.3">
      <c r="A7" s="18">
        <v>40724</v>
      </c>
      <c r="B7" s="4">
        <f>Backtest!B9</f>
        <v>2.2000206701209106E-3</v>
      </c>
      <c r="C7" s="8">
        <v>-3.4300473072619853E-2</v>
      </c>
      <c r="D7" s="8">
        <v>-1.5481946350640041E-2</v>
      </c>
      <c r="E7" s="8">
        <v>9.5161592213626189E-3</v>
      </c>
      <c r="G7" s="1">
        <f t="shared" si="0"/>
        <v>2.1976041682334945E-3</v>
      </c>
      <c r="H7" s="1">
        <v>-3.4902541884729028E-2</v>
      </c>
      <c r="I7" s="1">
        <v>-1.5603043184491515E-2</v>
      </c>
      <c r="J7" s="1">
        <v>9.4711657960472907E-3</v>
      </c>
      <c r="L7" s="12">
        <f t="shared" si="2"/>
        <v>42005</v>
      </c>
      <c r="M7" s="12">
        <f t="shared" si="3"/>
        <v>42369</v>
      </c>
      <c r="N7" s="29">
        <v>2015</v>
      </c>
      <c r="O7" s="30">
        <f t="shared" si="4"/>
        <v>-0.1536380973421011</v>
      </c>
      <c r="P7" s="30">
        <f t="shared" si="1"/>
        <v>-0.13312829701204232</v>
      </c>
      <c r="Q7" s="30">
        <f t="shared" si="1"/>
        <v>-0.12408918137058622</v>
      </c>
    </row>
    <row r="8" spans="1:17" x14ac:dyDescent="0.3">
      <c r="A8" s="18">
        <v>40753</v>
      </c>
      <c r="B8" s="4">
        <f>Backtest!B10</f>
        <v>-5.8531589871156857E-2</v>
      </c>
      <c r="C8" s="8">
        <v>-5.7371690094802141E-2</v>
      </c>
      <c r="D8" s="8">
        <v>-5.0150852646440924E-2</v>
      </c>
      <c r="E8" s="8">
        <v>9.6570568631118014E-3</v>
      </c>
      <c r="G8" s="1">
        <f t="shared" si="0"/>
        <v>-6.0314484152196514E-2</v>
      </c>
      <c r="H8" s="1">
        <v>-5.9083231095436055E-2</v>
      </c>
      <c r="I8" s="1">
        <v>-5.1452099255787663E-2</v>
      </c>
      <c r="J8" s="1">
        <v>9.6107255335234985E-3</v>
      </c>
      <c r="L8" s="12">
        <f t="shared" si="2"/>
        <v>42370</v>
      </c>
      <c r="M8" s="12">
        <f t="shared" si="3"/>
        <v>42735</v>
      </c>
      <c r="N8" s="6">
        <v>2016</v>
      </c>
      <c r="O8" s="8">
        <f t="shared" si="4"/>
        <v>0.80330968327661112</v>
      </c>
      <c r="P8" s="8">
        <f t="shared" si="1"/>
        <v>0.38932641291810888</v>
      </c>
      <c r="Q8" s="8">
        <f t="shared" si="1"/>
        <v>0.36696965903570034</v>
      </c>
    </row>
    <row r="9" spans="1:17" x14ac:dyDescent="0.3">
      <c r="A9" s="18">
        <v>40786</v>
      </c>
      <c r="B9" s="4">
        <f>Backtest!B11</f>
        <v>-6.3092730703823624E-2</v>
      </c>
      <c r="C9" s="8">
        <v>-3.9581187078611579E-2</v>
      </c>
      <c r="D9" s="8">
        <v>-4.1641186682980447E-2</v>
      </c>
      <c r="E9" s="8">
        <v>1.0723884180061427E-2</v>
      </c>
      <c r="G9" s="1">
        <f t="shared" si="0"/>
        <v>-6.5170967173488706E-2</v>
      </c>
      <c r="H9" s="1">
        <v>-4.038582619571035E-2</v>
      </c>
      <c r="I9" s="1">
        <v>-4.2533026963181578E-2</v>
      </c>
      <c r="J9" s="1">
        <v>1.0666791144149625E-2</v>
      </c>
      <c r="L9" s="12">
        <f t="shared" si="2"/>
        <v>42736</v>
      </c>
      <c r="M9" s="12">
        <f t="shared" si="3"/>
        <v>43100</v>
      </c>
      <c r="N9" s="29">
        <v>2017</v>
      </c>
      <c r="O9" s="30">
        <f t="shared" si="4"/>
        <v>0.60567950159432482</v>
      </c>
      <c r="P9" s="30">
        <f t="shared" si="1"/>
        <v>0.26856259536788119</v>
      </c>
      <c r="Q9" s="30">
        <f t="shared" si="1"/>
        <v>0.27545380756203386</v>
      </c>
    </row>
    <row r="10" spans="1:17" x14ac:dyDescent="0.3">
      <c r="A10" s="18">
        <v>40816</v>
      </c>
      <c r="B10" s="4">
        <f>Backtest!B12</f>
        <v>-0.12623946554344118</v>
      </c>
      <c r="C10" s="8">
        <v>-7.3824101559250233E-2</v>
      </c>
      <c r="D10" s="8">
        <v>-4.5487641432351622E-2</v>
      </c>
      <c r="E10" s="8">
        <v>9.4162721297723628E-3</v>
      </c>
      <c r="G10" s="1">
        <f t="shared" si="0"/>
        <v>-0.1349489289041548</v>
      </c>
      <c r="H10" s="1">
        <v>-7.6691107255546828E-2</v>
      </c>
      <c r="I10" s="1">
        <v>-4.6554688212729053E-2</v>
      </c>
      <c r="J10" s="1">
        <v>9.3722153902579212E-3</v>
      </c>
      <c r="L10" s="12">
        <f t="shared" si="2"/>
        <v>43101</v>
      </c>
      <c r="M10" s="12">
        <f t="shared" si="3"/>
        <v>43465</v>
      </c>
      <c r="N10" s="6">
        <v>2018</v>
      </c>
      <c r="O10" s="8">
        <f t="shared" si="4"/>
        <v>0.10500578827603002</v>
      </c>
      <c r="P10" s="8">
        <f t="shared" si="1"/>
        <v>0.15032571094250025</v>
      </c>
      <c r="Q10" s="8">
        <f t="shared" si="1"/>
        <v>0.15420736336032337</v>
      </c>
    </row>
    <row r="11" spans="1:17" x14ac:dyDescent="0.3">
      <c r="A11" s="18">
        <v>40847</v>
      </c>
      <c r="B11" s="4">
        <f>Backtest!B13</f>
        <v>5.2049077992494662E-2</v>
      </c>
      <c r="C11" s="8">
        <v>0.11493681724014038</v>
      </c>
      <c r="D11" s="8">
        <v>8.8357800577627543E-2</v>
      </c>
      <c r="E11" s="8">
        <v>8.8248319235877393E-3</v>
      </c>
      <c r="G11" s="1">
        <f t="shared" si="0"/>
        <v>5.0739765311463916E-2</v>
      </c>
      <c r="H11" s="1">
        <v>0.10879773715415454</v>
      </c>
      <c r="I11" s="1">
        <v>8.4669955195907531E-2</v>
      </c>
      <c r="J11" s="1">
        <v>8.7861206744906922E-3</v>
      </c>
      <c r="L11" s="12">
        <f t="shared" si="2"/>
        <v>43466</v>
      </c>
      <c r="M11" s="12">
        <f t="shared" si="3"/>
        <v>43830</v>
      </c>
      <c r="N11" s="29">
        <v>2019</v>
      </c>
      <c r="O11" s="30">
        <f t="shared" si="4"/>
        <v>0.79529258997784114</v>
      </c>
      <c r="P11" s="30">
        <f t="shared" si="1"/>
        <v>0.31583630399386498</v>
      </c>
      <c r="Q11" s="30">
        <f t="shared" si="1"/>
        <v>0.33388670542280874</v>
      </c>
    </row>
    <row r="12" spans="1:17" x14ac:dyDescent="0.3">
      <c r="A12" s="18">
        <v>40877</v>
      </c>
      <c r="B12" s="4">
        <f>Backtest!B14</f>
        <v>-4.3639378864196009E-3</v>
      </c>
      <c r="C12" s="8">
        <v>-2.5084678359365342E-2</v>
      </c>
      <c r="D12" s="8">
        <v>-1.0567765054299239E-2</v>
      </c>
      <c r="E12" s="8">
        <v>8.5874319367125196E-3</v>
      </c>
      <c r="G12" s="1">
        <f t="shared" si="0"/>
        <v>-4.3734876565542542E-3</v>
      </c>
      <c r="H12" s="1">
        <v>-2.5404661355283777E-2</v>
      </c>
      <c r="I12" s="1">
        <v>-1.0624000422407834E-2</v>
      </c>
      <c r="J12" s="1">
        <v>8.550769683298879E-3</v>
      </c>
    </row>
    <row r="13" spans="1:17" x14ac:dyDescent="0.3">
      <c r="A13" s="18">
        <v>40907</v>
      </c>
      <c r="B13" s="4">
        <f>Backtest!B15</f>
        <v>4.6604505572781833E-2</v>
      </c>
      <c r="C13" s="8">
        <v>-2.1257142857142863E-3</v>
      </c>
      <c r="D13" s="8">
        <v>1.5212641602651678E-2</v>
      </c>
      <c r="E13" s="8">
        <v>8.6514116818934284E-3</v>
      </c>
      <c r="G13" s="1">
        <f t="shared" si="0"/>
        <v>4.5551119908276518E-2</v>
      </c>
      <c r="H13" s="1">
        <v>-2.127976823234041E-3</v>
      </c>
      <c r="I13" s="1">
        <v>1.5098089667788335E-2</v>
      </c>
      <c r="J13" s="1">
        <v>8.6142026728080381E-3</v>
      </c>
      <c r="N13" s="33" t="s">
        <v>201</v>
      </c>
      <c r="O13" s="34">
        <f t="array" ref="O13">PRODUCT(O3:O11+1)-1</f>
        <v>2.5568616743251527</v>
      </c>
      <c r="P13" s="34">
        <f t="array" ref="P13">PRODUCT(P3:P11+1)-1</f>
        <v>0.66864777042859935</v>
      </c>
      <c r="Q13" s="34">
        <f t="array" ref="Q13">PRODUCT(Q3:Q11+1)-1</f>
        <v>1.1886912076749878</v>
      </c>
    </row>
    <row r="14" spans="1:17" x14ac:dyDescent="0.3">
      <c r="A14" s="18">
        <v>40939</v>
      </c>
      <c r="B14" s="4">
        <f>Backtest!B16</f>
        <v>5.3646803788298142E-2</v>
      </c>
      <c r="C14" s="8">
        <v>0.1113258777779933</v>
      </c>
      <c r="D14" s="8">
        <v>7.9255074058211417E-2</v>
      </c>
      <c r="E14" s="8">
        <v>9.2864019759546501E-3</v>
      </c>
      <c r="G14" s="1">
        <f t="shared" si="0"/>
        <v>5.2257293190245725E-2</v>
      </c>
      <c r="H14" s="1">
        <v>0.10555378697991501</v>
      </c>
      <c r="I14" s="1">
        <v>7.6271056909353194E-2</v>
      </c>
      <c r="J14" s="1">
        <v>9.2435484442408081E-3</v>
      </c>
      <c r="O14" s="2">
        <f>_xlfn.STDEV.P(B2:B109)*SQRT(12)</f>
        <v>0.27438791303398968</v>
      </c>
      <c r="P14" s="2">
        <f t="shared" ref="P14:Q14" si="5">_xlfn.STDEV.P(C2:C109)*SQRT(12)</f>
        <v>0.19721557961830855</v>
      </c>
      <c r="Q14" s="2">
        <f t="shared" si="5"/>
        <v>0.18086536521236682</v>
      </c>
    </row>
    <row r="15" spans="1:17" x14ac:dyDescent="0.3">
      <c r="A15" s="18">
        <v>40968</v>
      </c>
      <c r="B15" s="4">
        <f>Backtest!B17</f>
        <v>6.0262267104364844E-2</v>
      </c>
      <c r="C15" s="8">
        <v>4.3432695493901274E-2</v>
      </c>
      <c r="D15" s="8">
        <v>3.8487525584295135E-2</v>
      </c>
      <c r="E15" s="8">
        <v>7.417313194230557E-3</v>
      </c>
      <c r="G15" s="1">
        <f t="shared" si="0"/>
        <v>5.8516299316821625E-2</v>
      </c>
      <c r="H15" s="1">
        <v>4.2515946647028048E-2</v>
      </c>
      <c r="I15" s="1">
        <v>3.7765352306464682E-2</v>
      </c>
      <c r="J15" s="1">
        <v>7.3899401994347545E-3</v>
      </c>
    </row>
    <row r="16" spans="1:17" x14ac:dyDescent="0.3">
      <c r="A16" s="18">
        <v>40998</v>
      </c>
      <c r="B16" s="4">
        <f>Backtest!B18</f>
        <v>3.3981872732814934E-3</v>
      </c>
      <c r="C16" s="8">
        <v>-1.9763962942759394E-2</v>
      </c>
      <c r="D16" s="8">
        <v>-2.2882777155980305E-3</v>
      </c>
      <c r="E16" s="8">
        <v>8.1101476565055286E-3</v>
      </c>
      <c r="G16" s="1">
        <f t="shared" si="0"/>
        <v>3.3924264820519609E-3</v>
      </c>
      <c r="H16" s="1">
        <v>-1.996188217817987E-2</v>
      </c>
      <c r="I16" s="1">
        <v>-2.2908998238882331E-3</v>
      </c>
      <c r="J16" s="1">
        <v>8.07743714802177E-3</v>
      </c>
    </row>
    <row r="17" spans="1:10" x14ac:dyDescent="0.3">
      <c r="A17" s="18">
        <v>41029</v>
      </c>
      <c r="B17" s="4">
        <f>Backtest!B19</f>
        <v>-8.6771458529122155E-3</v>
      </c>
      <c r="C17" s="8">
        <v>-4.1709165878687338E-2</v>
      </c>
      <c r="D17" s="8">
        <v>-2.4798125244486879E-2</v>
      </c>
      <c r="E17" s="8">
        <v>7.0293532531613412E-3</v>
      </c>
      <c r="G17" s="1">
        <f t="shared" si="0"/>
        <v>-8.7150114858618802E-3</v>
      </c>
      <c r="H17" s="1">
        <v>-4.2603962406001034E-2</v>
      </c>
      <c r="I17" s="1">
        <v>-2.5110778385100837E-2</v>
      </c>
      <c r="J17" s="1">
        <v>7.0047625202957521E-3</v>
      </c>
    </row>
    <row r="18" spans="1:10" x14ac:dyDescent="0.3">
      <c r="A18" s="18">
        <v>41060</v>
      </c>
      <c r="B18" s="4">
        <f>Backtest!B20</f>
        <v>-9.7712864690685838E-2</v>
      </c>
      <c r="C18" s="8">
        <v>-0.11856784907223039</v>
      </c>
      <c r="D18" s="8">
        <v>-8.6061604998536545E-2</v>
      </c>
      <c r="E18" s="8">
        <v>7.3385038895981136E-3</v>
      </c>
      <c r="G18" s="1">
        <f t="shared" si="0"/>
        <v>-0.10282247774783182</v>
      </c>
      <c r="H18" s="1">
        <v>-0.12620725012610276</v>
      </c>
      <c r="I18" s="1">
        <v>-8.9992111329699753E-2</v>
      </c>
      <c r="J18" s="1">
        <v>7.3117080841537006E-3</v>
      </c>
    </row>
    <row r="19" spans="1:10" x14ac:dyDescent="0.3">
      <c r="A19" s="18">
        <v>41089</v>
      </c>
      <c r="B19" s="4">
        <f>Backtest!B21</f>
        <v>1.4714505290574744E-2</v>
      </c>
      <c r="C19" s="8">
        <v>-2.4921821091422602E-3</v>
      </c>
      <c r="D19" s="8">
        <v>8.8319440816655437E-3</v>
      </c>
      <c r="E19" s="8">
        <v>6.3837241213551277E-3</v>
      </c>
      <c r="G19" s="1">
        <f t="shared" si="0"/>
        <v>1.4607297352568183E-2</v>
      </c>
      <c r="H19" s="1">
        <v>-2.4952927642622894E-3</v>
      </c>
      <c r="I19" s="1">
        <v>8.7931705931512047E-3</v>
      </c>
      <c r="J19" s="1">
        <v>6.3634344578227097E-3</v>
      </c>
    </row>
    <row r="20" spans="1:10" x14ac:dyDescent="0.3">
      <c r="A20" s="18">
        <v>41121</v>
      </c>
      <c r="B20" s="4">
        <f>Backtest!B22</f>
        <v>-2.7946845855291776E-2</v>
      </c>
      <c r="C20" s="8">
        <v>3.2058004290345332E-2</v>
      </c>
      <c r="D20" s="8">
        <v>3.1060593442965523E-2</v>
      </c>
      <c r="E20" s="8">
        <v>6.7744460715404298E-3</v>
      </c>
      <c r="G20" s="1">
        <f t="shared" si="0"/>
        <v>-2.8344790682824337E-2</v>
      </c>
      <c r="H20" s="1">
        <v>3.1554871187588353E-2</v>
      </c>
      <c r="I20" s="1">
        <v>3.0587974833514182E-2</v>
      </c>
      <c r="J20" s="1">
        <v>6.7516026215332153E-3</v>
      </c>
    </row>
    <row r="21" spans="1:10" x14ac:dyDescent="0.3">
      <c r="A21" s="18">
        <v>41152</v>
      </c>
      <c r="B21" s="4">
        <f>Backtest!B23</f>
        <v>-9.2118630298758993E-3</v>
      </c>
      <c r="C21" s="8">
        <v>1.7189836907790301E-2</v>
      </c>
      <c r="D21" s="8">
        <v>-1.5595515188006059E-3</v>
      </c>
      <c r="E21" s="8">
        <v>6.8824998265937243E-3</v>
      </c>
      <c r="G21" s="1">
        <f t="shared" si="0"/>
        <v>-9.2545546217726368E-3</v>
      </c>
      <c r="H21" s="1">
        <v>1.7043763273081748E-2</v>
      </c>
      <c r="I21" s="1">
        <v>-1.5607688851321405E-3</v>
      </c>
      <c r="J21" s="1">
        <v>6.8589235387104073E-3</v>
      </c>
    </row>
    <row r="22" spans="1:10" x14ac:dyDescent="0.3">
      <c r="A22" s="18">
        <v>41180</v>
      </c>
      <c r="B22" s="4">
        <f>Backtest!B24</f>
        <v>5.6928027328790543E-2</v>
      </c>
      <c r="C22" s="8">
        <v>3.7056574146445698E-2</v>
      </c>
      <c r="D22" s="8">
        <v>2.7879957386077958E-2</v>
      </c>
      <c r="E22" s="8">
        <v>5.3726089255299314E-3</v>
      </c>
      <c r="G22" s="1">
        <f t="shared" si="0"/>
        <v>5.5366613111674026E-2</v>
      </c>
      <c r="H22" s="1">
        <v>3.6386483348917628E-2</v>
      </c>
      <c r="I22" s="1">
        <v>2.7498387243737914E-2</v>
      </c>
      <c r="J22" s="1">
        <v>5.3582279481127577E-3</v>
      </c>
    </row>
    <row r="23" spans="1:10" x14ac:dyDescent="0.3">
      <c r="A23" s="18">
        <v>41213</v>
      </c>
      <c r="B23" s="4">
        <f>Backtest!B25</f>
        <v>-3.0790693721438386E-3</v>
      </c>
      <c r="C23" s="8">
        <v>-3.5617540248648605E-2</v>
      </c>
      <c r="D23" s="8">
        <v>-1.0709366128392128E-2</v>
      </c>
      <c r="E23" s="8">
        <v>6.0828896929365772E-3</v>
      </c>
      <c r="G23" s="1">
        <f t="shared" si="0"/>
        <v>-3.0838194593143849E-3</v>
      </c>
      <c r="H23" s="1">
        <v>-3.6267320572424273E-2</v>
      </c>
      <c r="I23" s="1">
        <v>-1.0767124127668533E-2</v>
      </c>
      <c r="J23" s="1">
        <v>6.0644636042499643E-3</v>
      </c>
    </row>
    <row r="24" spans="1:10" x14ac:dyDescent="0.3">
      <c r="A24" s="18">
        <v>41243</v>
      </c>
      <c r="B24" s="4">
        <f>Backtest!B26</f>
        <v>-2.4987191819265987E-2</v>
      </c>
      <c r="C24" s="8">
        <v>7.1213039836546255E-3</v>
      </c>
      <c r="D24" s="8">
        <v>1.1556691671612551E-2</v>
      </c>
      <c r="E24" s="8">
        <v>5.4460978315724606E-3</v>
      </c>
      <c r="G24" s="1">
        <f t="shared" si="0"/>
        <v>-2.5304671474949584E-2</v>
      </c>
      <c r="H24" s="1">
        <v>7.0960672399569009E-3</v>
      </c>
      <c r="I24" s="1">
        <v>1.1490423184703318E-2</v>
      </c>
      <c r="J24" s="1">
        <v>5.4313214655226545E-3</v>
      </c>
    </row>
    <row r="25" spans="1:10" x14ac:dyDescent="0.3">
      <c r="A25" s="18">
        <v>41274</v>
      </c>
      <c r="B25" s="4">
        <f>Backtest!B27</f>
        <v>6.3600375520490401E-2</v>
      </c>
      <c r="C25" s="8">
        <v>6.0504988290479567E-2</v>
      </c>
      <c r="D25" s="8">
        <v>4.7729056814926674E-2</v>
      </c>
      <c r="E25" s="8">
        <v>5.0819771515933088E-3</v>
      </c>
      <c r="G25" s="1">
        <f t="shared" si="0"/>
        <v>6.1659733452188462E-2</v>
      </c>
      <c r="H25" s="1">
        <v>5.8745198727218527E-2</v>
      </c>
      <c r="I25" s="1">
        <v>4.6625018899741633E-2</v>
      </c>
      <c r="J25" s="1">
        <v>5.0691074895121754E-3</v>
      </c>
    </row>
    <row r="26" spans="1:10" x14ac:dyDescent="0.3">
      <c r="A26" s="18">
        <v>41305</v>
      </c>
      <c r="B26" s="4">
        <f>Backtest!B28</f>
        <v>-5.4500872919808784E-2</v>
      </c>
      <c r="C26" s="8">
        <v>-1.9533371286633239E-2</v>
      </c>
      <c r="D26" s="8">
        <v>2.2854720132032824E-3</v>
      </c>
      <c r="E26" s="8">
        <v>6.130888436296722E-3</v>
      </c>
      <c r="G26" s="1">
        <f t="shared" si="0"/>
        <v>-5.6042314120231654E-2</v>
      </c>
      <c r="H26" s="1">
        <v>-1.9726668893458133E-2</v>
      </c>
      <c r="I26" s="1">
        <v>2.2828642945312695E-3</v>
      </c>
      <c r="J26" s="1">
        <v>6.1121710038224628E-3</v>
      </c>
    </row>
    <row r="27" spans="1:10" x14ac:dyDescent="0.3">
      <c r="A27" s="18">
        <v>41333</v>
      </c>
      <c r="B27" s="4">
        <f>Backtest!B29</f>
        <v>-4.331503161538329E-2</v>
      </c>
      <c r="C27" s="8">
        <v>-3.910879077667051E-2</v>
      </c>
      <c r="D27" s="8">
        <v>-2.8908565818694831E-2</v>
      </c>
      <c r="E27" s="8">
        <v>4.8148061317105917E-3</v>
      </c>
      <c r="G27" s="1">
        <f t="shared" si="0"/>
        <v>-4.4281128363942546E-2</v>
      </c>
      <c r="H27" s="1">
        <v>-3.9894082223092119E-2</v>
      </c>
      <c r="I27" s="1">
        <v>-2.9334650158755349E-2</v>
      </c>
      <c r="J27" s="1">
        <v>4.8032520250142494E-3</v>
      </c>
    </row>
    <row r="28" spans="1:10" x14ac:dyDescent="0.3">
      <c r="A28" s="18">
        <v>41362</v>
      </c>
      <c r="B28" s="4">
        <f>Backtest!B30</f>
        <v>-2.8835261859469268E-2</v>
      </c>
      <c r="C28" s="8">
        <v>-1.8671538007428934E-2</v>
      </c>
      <c r="D28" s="8">
        <v>6.3676524749902708E-3</v>
      </c>
      <c r="E28" s="8">
        <v>5.3757025444591822E-3</v>
      </c>
      <c r="G28" s="1">
        <f t="shared" si="0"/>
        <v>-2.9259166851965047E-2</v>
      </c>
      <c r="H28" s="1">
        <v>-1.8848051815936049E-2</v>
      </c>
      <c r="I28" s="1">
        <v>6.3474646301012383E-3</v>
      </c>
      <c r="J28" s="1">
        <v>5.361305030323003E-3</v>
      </c>
    </row>
    <row r="29" spans="1:10" x14ac:dyDescent="0.3">
      <c r="A29" s="18">
        <v>41394</v>
      </c>
      <c r="B29" s="4">
        <f>Backtest!B31</f>
        <v>-9.1165695452454371E-3</v>
      </c>
      <c r="C29" s="8">
        <v>-7.8382172092964497E-3</v>
      </c>
      <c r="D29" s="8">
        <v>7.8181747251053757E-3</v>
      </c>
      <c r="E29" s="8">
        <v>6.0004097743788787E-3</v>
      </c>
      <c r="G29" s="1">
        <f t="shared" si="0"/>
        <v>-9.1583797699249844E-3</v>
      </c>
      <c r="H29" s="1">
        <v>-7.869097503954748E-3</v>
      </c>
      <c r="I29" s="1">
        <v>7.7877711611907003E-3</v>
      </c>
      <c r="J29" s="1">
        <v>5.9824790078610041E-3</v>
      </c>
    </row>
    <row r="30" spans="1:10" x14ac:dyDescent="0.3">
      <c r="A30" s="18">
        <v>41425</v>
      </c>
      <c r="B30" s="4">
        <f>Backtest!B32</f>
        <v>-4.02428537966701E-2</v>
      </c>
      <c r="C30" s="8">
        <v>-4.3002732944139255E-2</v>
      </c>
      <c r="D30" s="8">
        <v>-8.7284829370393169E-3</v>
      </c>
      <c r="E30" s="8">
        <v>5.8304906450812322E-3</v>
      </c>
      <c r="G30" s="1">
        <f t="shared" si="0"/>
        <v>-4.1074999228111933E-2</v>
      </c>
      <c r="H30" s="1">
        <v>-4.3954743274262784E-2</v>
      </c>
      <c r="I30" s="1">
        <v>-8.7667992694690933E-3</v>
      </c>
      <c r="J30" s="1">
        <v>5.8135591153727663E-3</v>
      </c>
    </row>
    <row r="31" spans="1:10" x14ac:dyDescent="0.3">
      <c r="A31" s="18">
        <v>41453</v>
      </c>
      <c r="B31" s="4">
        <f>Backtest!B33</f>
        <v>-6.8044780386638151E-2</v>
      </c>
      <c r="C31" s="8">
        <v>-0.11305253045914387</v>
      </c>
      <c r="D31" s="8">
        <v>-9.0672550220098791E-2</v>
      </c>
      <c r="E31" s="8">
        <v>5.9192322625352123E-3</v>
      </c>
      <c r="G31" s="1">
        <f t="shared" si="0"/>
        <v>-7.047051307601826E-2</v>
      </c>
      <c r="H31" s="1">
        <v>-0.11996952104087871</v>
      </c>
      <c r="I31" s="1">
        <v>-9.5050018891218849E-2</v>
      </c>
      <c r="J31" s="1">
        <v>5.9017824331155716E-3</v>
      </c>
    </row>
    <row r="32" spans="1:10" x14ac:dyDescent="0.3">
      <c r="A32" s="18">
        <v>41486</v>
      </c>
      <c r="B32" s="4">
        <f>Backtest!B34</f>
        <v>-3.4848839357125572E-2</v>
      </c>
      <c r="C32" s="8">
        <v>1.6381110518763231E-2</v>
      </c>
      <c r="D32" s="8">
        <v>1.7373393243584001E-2</v>
      </c>
      <c r="E32" s="8">
        <v>7.0696848461200279E-3</v>
      </c>
      <c r="G32" s="1">
        <f t="shared" si="0"/>
        <v>-3.5470546757171068E-2</v>
      </c>
      <c r="H32" s="1">
        <v>1.6248387598891113E-2</v>
      </c>
      <c r="I32" s="1">
        <v>1.7224201348017429E-2</v>
      </c>
      <c r="J32" s="1">
        <v>7.0448117852039355E-3</v>
      </c>
    </row>
    <row r="33" spans="1:10" x14ac:dyDescent="0.3">
      <c r="A33" s="18">
        <v>41516</v>
      </c>
      <c r="B33" s="4">
        <f>Backtest!B35</f>
        <v>0.14185102575552958</v>
      </c>
      <c r="C33" s="8">
        <v>3.6847070043226404E-2</v>
      </c>
      <c r="D33" s="8">
        <v>1.8659611461191217E-2</v>
      </c>
      <c r="E33" s="8">
        <v>6.9395211161193959E-3</v>
      </c>
      <c r="G33" s="1">
        <f t="shared" si="0"/>
        <v>0.13265065242280005</v>
      </c>
      <c r="H33" s="1">
        <v>3.6184444932601707E-2</v>
      </c>
      <c r="I33" s="1">
        <v>1.8487656690574582E-2</v>
      </c>
      <c r="J33" s="1">
        <v>6.9155534582841516E-3</v>
      </c>
    </row>
    <row r="34" spans="1:10" x14ac:dyDescent="0.3">
      <c r="A34" s="18">
        <v>41547</v>
      </c>
      <c r="B34" s="4">
        <f>Backtest!B36</f>
        <v>2.5581827554618131E-2</v>
      </c>
      <c r="C34" s="8">
        <v>4.6517021982811935E-2</v>
      </c>
      <c r="D34" s="8">
        <v>4.9799891769392923E-2</v>
      </c>
      <c r="E34" s="8">
        <v>6.9915896639975994E-3</v>
      </c>
      <c r="G34" s="1">
        <f t="shared" si="0"/>
        <v>2.5260088184286836E-2</v>
      </c>
      <c r="H34" s="1">
        <v>4.5467528402605178E-2</v>
      </c>
      <c r="I34" s="1">
        <v>4.8599566739650976E-2</v>
      </c>
      <c r="J34" s="1">
        <v>6.9672618286560021E-3</v>
      </c>
    </row>
    <row r="35" spans="1:10" x14ac:dyDescent="0.3">
      <c r="A35" s="18">
        <v>41578</v>
      </c>
      <c r="B35" s="4">
        <f>Backtest!B37</f>
        <v>-1.1819943367747172E-2</v>
      </c>
      <c r="C35" s="8">
        <v>3.6646273658627937E-2</v>
      </c>
      <c r="D35" s="8">
        <v>5.3622824061782648E-2</v>
      </c>
      <c r="E35" s="8">
        <v>8.011281374408652E-3</v>
      </c>
      <c r="G35" s="1">
        <f t="shared" si="0"/>
        <v>-1.1890354283696789E-2</v>
      </c>
      <c r="H35" s="1">
        <v>3.5990765617607945E-2</v>
      </c>
      <c r="I35" s="1">
        <v>5.2234534141095398E-2</v>
      </c>
      <c r="J35" s="1">
        <v>7.9793614262398255E-3</v>
      </c>
    </row>
    <row r="36" spans="1:10" x14ac:dyDescent="0.3">
      <c r="A36" s="18">
        <v>41607</v>
      </c>
      <c r="B36" s="4">
        <f>Backtest!B38</f>
        <v>-6.9757670952426742E-2</v>
      </c>
      <c r="C36" s="8">
        <v>-3.2691194739034368E-2</v>
      </c>
      <c r="D36" s="8">
        <v>-2.0124697844100981E-2</v>
      </c>
      <c r="E36" s="8">
        <v>7.0888030643678768E-3</v>
      </c>
      <c r="G36" s="1">
        <f t="shared" si="0"/>
        <v>-7.231015790864867E-2</v>
      </c>
      <c r="H36" s="1">
        <v>-3.3237490908399454E-2</v>
      </c>
      <c r="I36" s="1">
        <v>-2.0329958111620559E-2</v>
      </c>
      <c r="J36" s="1">
        <v>7.063795612309077E-3</v>
      </c>
    </row>
    <row r="37" spans="1:10" x14ac:dyDescent="0.3">
      <c r="A37" s="18">
        <v>41639</v>
      </c>
      <c r="B37" s="4">
        <f>Backtest!B39</f>
        <v>5.2908430493689325E-2</v>
      </c>
      <c r="C37" s="8">
        <v>-1.8583337302910508E-2</v>
      </c>
      <c r="D37" s="8">
        <v>-3.0793374527102957E-2</v>
      </c>
      <c r="E37" s="8">
        <v>7.4313524458169411E-3</v>
      </c>
      <c r="G37" s="1">
        <f t="shared" si="0"/>
        <v>5.1556268775759737E-2</v>
      </c>
      <c r="H37" s="1">
        <v>-1.8758176973330855E-2</v>
      </c>
      <c r="I37" s="1">
        <v>-3.1277454040745334E-2</v>
      </c>
      <c r="J37" s="1">
        <v>7.403875987095662E-3</v>
      </c>
    </row>
    <row r="38" spans="1:10" x14ac:dyDescent="0.3">
      <c r="A38" s="18">
        <v>41670</v>
      </c>
      <c r="B38" s="4">
        <f>Backtest!B40</f>
        <v>3.0350050852108561E-3</v>
      </c>
      <c r="C38" s="8">
        <v>-7.5100180168986008E-2</v>
      </c>
      <c r="D38" s="8">
        <v>-8.1466958449169735E-2</v>
      </c>
      <c r="E38" s="8">
        <v>8.7525980523028846E-3</v>
      </c>
      <c r="G38" s="1">
        <f t="shared" si="0"/>
        <v>3.0304087548528869E-3</v>
      </c>
      <c r="H38" s="1">
        <v>-7.8069850220283107E-2</v>
      </c>
      <c r="I38" s="1">
        <v>-8.4977401592567642E-2</v>
      </c>
      <c r="J38" s="1">
        <v>8.7145161152380832E-3</v>
      </c>
    </row>
    <row r="39" spans="1:10" x14ac:dyDescent="0.3">
      <c r="A39" s="18">
        <v>41698</v>
      </c>
      <c r="B39" s="4">
        <f>Backtest!B41</f>
        <v>-8.0664802012503423E-2</v>
      </c>
      <c r="C39" s="8">
        <v>-1.1431810071580006E-2</v>
      </c>
      <c r="D39" s="8">
        <v>-3.1810450208363816E-3</v>
      </c>
      <c r="E39" s="8">
        <v>7.8149565703482526E-3</v>
      </c>
      <c r="G39" s="1">
        <f t="shared" si="0"/>
        <v>-8.4104481031293726E-2</v>
      </c>
      <c r="H39" s="1">
        <v>-1.1497655515069696E-2</v>
      </c>
      <c r="I39" s="1">
        <v>-3.1861152999279156E-3</v>
      </c>
      <c r="J39" s="1">
        <v>7.7845779662514426E-3</v>
      </c>
    </row>
    <row r="40" spans="1:10" x14ac:dyDescent="0.3">
      <c r="A40" s="18">
        <v>41729</v>
      </c>
      <c r="B40" s="4">
        <f>Backtest!B42</f>
        <v>5.0008938418475028E-2</v>
      </c>
      <c r="C40" s="8">
        <v>7.0507321464972517E-2</v>
      </c>
      <c r="D40" s="8">
        <v>6.8949741478218307E-2</v>
      </c>
      <c r="E40" s="8">
        <v>7.6012697314107314E-3</v>
      </c>
      <c r="G40" s="1">
        <f t="shared" si="0"/>
        <v>4.8798676912698485E-2</v>
      </c>
      <c r="H40" s="1">
        <v>6.813266831890899E-2</v>
      </c>
      <c r="I40" s="1">
        <v>6.6676616417782955E-2</v>
      </c>
      <c r="J40" s="1">
        <v>7.5725256497626006E-3</v>
      </c>
    </row>
    <row r="41" spans="1:10" x14ac:dyDescent="0.3">
      <c r="A41" s="18">
        <v>41759</v>
      </c>
      <c r="B41" s="4">
        <f>Backtest!B43</f>
        <v>6.0232233351142049E-2</v>
      </c>
      <c r="C41" s="8">
        <v>2.4036544751650624E-2</v>
      </c>
      <c r="D41" s="8">
        <v>2.7088442274225688E-2</v>
      </c>
      <c r="E41" s="8">
        <v>8.1452603913572119E-3</v>
      </c>
      <c r="G41" s="1">
        <f t="shared" si="0"/>
        <v>5.8487972194805123E-2</v>
      </c>
      <c r="H41" s="1">
        <v>2.375221421453998E-2</v>
      </c>
      <c r="I41" s="1">
        <v>2.672804435075193E-2</v>
      </c>
      <c r="J41" s="1">
        <v>8.1122667977924084E-3</v>
      </c>
    </row>
    <row r="42" spans="1:10" x14ac:dyDescent="0.3">
      <c r="A42" s="18">
        <v>41789</v>
      </c>
      <c r="B42" s="4">
        <f>Backtest!B44</f>
        <v>-1.4315750597530454E-2</v>
      </c>
      <c r="C42" s="8">
        <v>-7.5038691219851961E-3</v>
      </c>
      <c r="D42" s="8">
        <v>-1.115232431573876E-2</v>
      </c>
      <c r="E42" s="8">
        <v>8.5829067903391287E-3</v>
      </c>
      <c r="G42" s="1">
        <f t="shared" si="0"/>
        <v>-1.4419209537051917E-2</v>
      </c>
      <c r="H42" s="1">
        <v>-7.5321647880730149E-3</v>
      </c>
      <c r="I42" s="1">
        <v>-1.1214977740947846E-2</v>
      </c>
      <c r="J42" s="1">
        <v>8.546283055385984E-3</v>
      </c>
    </row>
    <row r="43" spans="1:10" x14ac:dyDescent="0.3">
      <c r="A43" s="18">
        <v>41820</v>
      </c>
      <c r="B43" s="4">
        <f>Backtest!B45</f>
        <v>0.10851154690641815</v>
      </c>
      <c r="C43" s="8">
        <v>3.7644932698143618E-2</v>
      </c>
      <c r="D43" s="8">
        <v>3.625404333137916E-2</v>
      </c>
      <c r="E43" s="8">
        <v>8.1741919159403764E-3</v>
      </c>
      <c r="G43" s="1">
        <f t="shared" si="0"/>
        <v>0.10301816671498534</v>
      </c>
      <c r="H43" s="1">
        <v>3.6953657533280185E-2</v>
      </c>
      <c r="I43" s="1">
        <v>3.561232934769662E-2</v>
      </c>
      <c r="J43" s="1">
        <v>8.1409641597625509E-3</v>
      </c>
    </row>
    <row r="44" spans="1:10" x14ac:dyDescent="0.3">
      <c r="A44" s="18">
        <v>41851</v>
      </c>
      <c r="B44" s="4">
        <f>Backtest!B46</f>
        <v>9.792286687244682E-3</v>
      </c>
      <c r="C44" s="8">
        <v>5.0052474975643468E-2</v>
      </c>
      <c r="D44" s="8">
        <v>4.4590421327031171E-2</v>
      </c>
      <c r="E44" s="8">
        <v>9.404089837541596E-3</v>
      </c>
      <c r="G44" s="1">
        <f t="shared" si="0"/>
        <v>9.7446529576174518E-3</v>
      </c>
      <c r="H44" s="1">
        <v>4.8840139087944455E-2</v>
      </c>
      <c r="I44" s="1">
        <v>4.3624867273856158E-2</v>
      </c>
      <c r="J44" s="1">
        <v>9.3601466668980643E-3</v>
      </c>
    </row>
    <row r="45" spans="1:10" x14ac:dyDescent="0.3">
      <c r="A45" s="18">
        <v>41880</v>
      </c>
      <c r="B45" s="4">
        <f>Backtest!B47</f>
        <v>5.1833714845648651E-2</v>
      </c>
      <c r="C45" s="8">
        <v>9.7774649199167341E-2</v>
      </c>
      <c r="D45" s="8">
        <v>9.5895486724389301E-2</v>
      </c>
      <c r="E45" s="8">
        <v>8.5949810136547455E-3</v>
      </c>
      <c r="G45" s="1">
        <f t="shared" si="0"/>
        <v>5.05350360857377E-2</v>
      </c>
      <c r="H45" s="1">
        <v>9.3285084499709195E-2</v>
      </c>
      <c r="I45" s="1">
        <v>9.1571825150769726E-2</v>
      </c>
      <c r="J45" s="1">
        <v>8.5582544570048137E-3</v>
      </c>
    </row>
    <row r="46" spans="1:10" x14ac:dyDescent="0.3">
      <c r="A46" s="18">
        <v>41912</v>
      </c>
      <c r="B46" s="4">
        <f>Backtest!B48</f>
        <v>-0.15145073556882357</v>
      </c>
      <c r="C46" s="8">
        <v>-0.11702271729748515</v>
      </c>
      <c r="D46" s="8">
        <v>-0.11245969288336721</v>
      </c>
      <c r="E46" s="8">
        <v>9.0057341574025784E-3</v>
      </c>
      <c r="G46" s="1">
        <f t="shared" si="0"/>
        <v>-0.16422713537907563</v>
      </c>
      <c r="H46" s="1">
        <v>-0.1244558061128528</v>
      </c>
      <c r="I46" s="1">
        <v>-0.11930134219441742</v>
      </c>
      <c r="J46" s="1">
        <v>8.9654243656334537E-3</v>
      </c>
    </row>
    <row r="47" spans="1:10" x14ac:dyDescent="0.3">
      <c r="A47" s="18">
        <v>41943</v>
      </c>
      <c r="B47" s="4">
        <f>Backtest!B49</f>
        <v>-4.0284609337609009E-2</v>
      </c>
      <c r="C47" s="8">
        <v>9.4722448074506804E-3</v>
      </c>
      <c r="D47" s="8">
        <v>9.483349284744147E-3</v>
      </c>
      <c r="E47" s="8">
        <v>9.4391503550306233E-3</v>
      </c>
      <c r="G47" s="1">
        <f t="shared" si="0"/>
        <v>-4.1118506535607613E-2</v>
      </c>
      <c r="H47" s="1">
        <v>9.4276643932346398E-3</v>
      </c>
      <c r="I47" s="1">
        <v>9.4386646126808447E-3</v>
      </c>
      <c r="J47" s="1">
        <v>9.3948799406803393E-3</v>
      </c>
    </row>
    <row r="48" spans="1:10" x14ac:dyDescent="0.3">
      <c r="A48" s="18">
        <v>41971</v>
      </c>
      <c r="B48" s="4">
        <f>Backtest!B50</f>
        <v>1.7021146615998375E-2</v>
      </c>
      <c r="C48" s="8">
        <v>1.7463379987772143E-3</v>
      </c>
      <c r="D48" s="8">
        <v>3.1149740107692114E-3</v>
      </c>
      <c r="E48" s="8">
        <v>8.3784465029417277E-3</v>
      </c>
      <c r="G48" s="1">
        <f t="shared" si="0"/>
        <v>1.6877909982990508E-2</v>
      </c>
      <c r="H48" s="1">
        <v>1.7448149235192154E-3</v>
      </c>
      <c r="I48" s="1">
        <v>3.1101325306762532E-3</v>
      </c>
      <c r="J48" s="1">
        <v>8.3435421473721533E-3</v>
      </c>
    </row>
    <row r="49" spans="1:10" x14ac:dyDescent="0.3">
      <c r="A49" s="18">
        <v>42004</v>
      </c>
      <c r="B49" s="4">
        <f>Backtest!B51</f>
        <v>-0.10036473841847617</v>
      </c>
      <c r="C49" s="8">
        <v>-8.6188875082230831E-2</v>
      </c>
      <c r="D49" s="8">
        <v>-8.2654270276402042E-2</v>
      </c>
      <c r="E49" s="8">
        <v>9.1016230498701667E-3</v>
      </c>
      <c r="G49" s="1">
        <f t="shared" si="0"/>
        <v>-0.10576586270926125</v>
      </c>
      <c r="H49" s="1">
        <v>-9.0131375580641104E-2</v>
      </c>
      <c r="I49" s="1">
        <v>-8.62708551814899E-2</v>
      </c>
      <c r="J49" s="1">
        <v>9.0604529003615979E-3</v>
      </c>
    </row>
    <row r="50" spans="1:10" x14ac:dyDescent="0.3">
      <c r="A50" s="18">
        <v>42034</v>
      </c>
      <c r="B50" s="4">
        <f>Backtest!B52</f>
        <v>-0.11730267896356329</v>
      </c>
      <c r="C50" s="8">
        <v>-6.1984826245715774E-2</v>
      </c>
      <c r="D50" s="8">
        <v>-5.8806822161349248E-2</v>
      </c>
      <c r="E50" s="8">
        <v>9.7136871842553596E-3</v>
      </c>
      <c r="G50" s="1">
        <f t="shared" si="0"/>
        <v>-0.12477292192550755</v>
      </c>
      <c r="H50" s="1">
        <v>-6.3989153396429604E-2</v>
      </c>
      <c r="I50" s="1">
        <v>-6.0606870520423607E-2</v>
      </c>
      <c r="J50" s="1">
        <v>9.6668126302840475E-3</v>
      </c>
    </row>
    <row r="51" spans="1:10" x14ac:dyDescent="0.3">
      <c r="A51" s="18">
        <v>42062</v>
      </c>
      <c r="B51" s="4">
        <f>Backtest!B53</f>
        <v>5.0396393246934457E-2</v>
      </c>
      <c r="C51" s="8">
        <v>9.9672335245599264E-2</v>
      </c>
      <c r="D51" s="8">
        <v>9.3251862450654421E-2</v>
      </c>
      <c r="E51" s="8">
        <v>8.1850649884680493E-3</v>
      </c>
      <c r="G51" s="1">
        <f t="shared" si="0"/>
        <v>4.9167610305708896E-2</v>
      </c>
      <c r="H51" s="1">
        <v>9.5012258380689094E-2</v>
      </c>
      <c r="I51" s="1">
        <v>8.9156614900253089E-2</v>
      </c>
      <c r="J51" s="1">
        <v>8.1517490161719889E-3</v>
      </c>
    </row>
    <row r="52" spans="1:10" x14ac:dyDescent="0.3">
      <c r="A52" s="18">
        <v>42094</v>
      </c>
      <c r="B52" s="4">
        <f>Backtest!B54</f>
        <v>-1.9721872332553712E-2</v>
      </c>
      <c r="C52" s="8">
        <v>-8.3922835192146161E-3</v>
      </c>
      <c r="D52" s="8">
        <v>-5.0408175719763859E-3</v>
      </c>
      <c r="E52" s="8">
        <v>1.0342936764682786E-2</v>
      </c>
      <c r="G52" s="1">
        <f t="shared" si="0"/>
        <v>-1.9918943839891418E-2</v>
      </c>
      <c r="H52" s="1">
        <v>-8.4276970030688399E-3</v>
      </c>
      <c r="I52" s="1">
        <v>-5.0535653504010566E-3</v>
      </c>
      <c r="J52" s="1">
        <v>1.0289814573219643E-2</v>
      </c>
    </row>
    <row r="53" spans="1:10" x14ac:dyDescent="0.3">
      <c r="A53" s="18">
        <v>42124</v>
      </c>
      <c r="B53" s="4">
        <f>Backtest!B55</f>
        <v>4.5838985496957661E-2</v>
      </c>
      <c r="C53" s="8">
        <v>9.929970948305189E-2</v>
      </c>
      <c r="D53" s="8">
        <v>9.1150060014947076E-2</v>
      </c>
      <c r="E53" s="8">
        <v>9.4647057777073051E-3</v>
      </c>
      <c r="G53" s="1">
        <f t="shared" si="0"/>
        <v>4.4819420234430911E-2</v>
      </c>
      <c r="H53" s="1">
        <v>9.4673349328154979E-2</v>
      </c>
      <c r="I53" s="1">
        <v>8.7232240944425568E-2</v>
      </c>
      <c r="J53" s="1">
        <v>9.4201960770584209E-3</v>
      </c>
    </row>
    <row r="54" spans="1:10" x14ac:dyDescent="0.3">
      <c r="A54" s="18">
        <v>42153</v>
      </c>
      <c r="B54" s="4">
        <f>Backtest!B56</f>
        <v>-7.3268830237744276E-2</v>
      </c>
      <c r="C54" s="8">
        <v>-6.1691926287671617E-2</v>
      </c>
      <c r="D54" s="8">
        <v>-5.4715734508544722E-2</v>
      </c>
      <c r="E54" s="8">
        <v>9.8376869763772135E-3</v>
      </c>
      <c r="G54" s="1">
        <f t="shared" si="0"/>
        <v>-7.6091755730953989E-2</v>
      </c>
      <c r="H54" s="1">
        <v>-6.3676947105942322E-2</v>
      </c>
      <c r="I54" s="1">
        <v>-5.6269586678796474E-2</v>
      </c>
      <c r="J54" s="1">
        <v>9.789611974598043E-3</v>
      </c>
    </row>
    <row r="55" spans="1:10" x14ac:dyDescent="0.3">
      <c r="A55" s="18">
        <v>42185</v>
      </c>
      <c r="B55" s="4">
        <f>Backtest!B57</f>
        <v>-3.9265603667841771E-2</v>
      </c>
      <c r="C55" s="8">
        <v>6.0727248604544037E-3</v>
      </c>
      <c r="D55" s="8">
        <v>7.6573916472220116E-3</v>
      </c>
      <c r="E55" s="8">
        <v>1.064018866729044E-2</v>
      </c>
      <c r="G55" s="1">
        <f t="shared" si="0"/>
        <v>-4.0057290801356317E-2</v>
      </c>
      <c r="H55" s="1">
        <v>6.0543601784425957E-3</v>
      </c>
      <c r="I55" s="1">
        <v>7.6282226348706019E-3</v>
      </c>
      <c r="J55" s="1">
        <v>1.0583980220632099E-2</v>
      </c>
    </row>
    <row r="56" spans="1:10" x14ac:dyDescent="0.3">
      <c r="A56" s="18">
        <v>42216</v>
      </c>
      <c r="B56" s="4">
        <f>Backtest!B58</f>
        <v>-2.569218587511737E-3</v>
      </c>
      <c r="C56" s="8">
        <v>-4.1749480509938541E-2</v>
      </c>
      <c r="D56" s="8">
        <v>-3.4407496063077914E-2</v>
      </c>
      <c r="E56" s="8">
        <v>1.1755758002254257E-2</v>
      </c>
      <c r="G56" s="1">
        <f t="shared" si="0"/>
        <v>-2.5725246935403372E-3</v>
      </c>
      <c r="H56" s="1">
        <v>-4.2646032597892465E-2</v>
      </c>
      <c r="I56" s="1">
        <v>-3.5013372343155054E-2</v>
      </c>
      <c r="J56" s="1">
        <v>1.1687195889103082E-2</v>
      </c>
    </row>
    <row r="57" spans="1:10" x14ac:dyDescent="0.3">
      <c r="A57" s="18">
        <v>42247</v>
      </c>
      <c r="B57" s="4">
        <f>Backtest!B59</f>
        <v>-6.5477437630376903E-2</v>
      </c>
      <c r="C57" s="8">
        <v>-8.3344473978075317E-2</v>
      </c>
      <c r="D57" s="8">
        <v>-8.2506530115633359E-2</v>
      </c>
      <c r="E57" s="8">
        <v>1.1074862118898743E-2</v>
      </c>
      <c r="G57" s="1">
        <f t="shared" si="0"/>
        <v>-6.7719508590257452E-2</v>
      </c>
      <c r="H57" s="1">
        <v>-8.7023530494110921E-2</v>
      </c>
      <c r="I57" s="1">
        <v>-8.6109816370983208E-2</v>
      </c>
      <c r="J57" s="1">
        <v>1.1013984892296397E-2</v>
      </c>
    </row>
    <row r="58" spans="1:10" x14ac:dyDescent="0.3">
      <c r="A58" s="18">
        <v>42277</v>
      </c>
      <c r="B58" s="4">
        <f>Backtest!B60</f>
        <v>6.6044488307613128E-2</v>
      </c>
      <c r="C58" s="8">
        <v>-3.3591060685676188E-2</v>
      </c>
      <c r="D58" s="8">
        <v>-3.1037046564024506E-2</v>
      </c>
      <c r="E58" s="8">
        <v>1.107482923946046E-2</v>
      </c>
      <c r="G58" s="1">
        <f t="shared" si="0"/>
        <v>6.395505874487642E-2</v>
      </c>
      <c r="H58" s="1">
        <v>-3.4168201726069984E-2</v>
      </c>
      <c r="I58" s="1">
        <v>-3.152889957044204E-2</v>
      </c>
      <c r="J58" s="1">
        <v>1.1013952373004256E-2</v>
      </c>
    </row>
    <row r="59" spans="1:10" x14ac:dyDescent="0.3">
      <c r="A59" s="18">
        <v>42307</v>
      </c>
      <c r="B59" s="4">
        <f>Backtest!B61</f>
        <v>8.3174915343224728E-2</v>
      </c>
      <c r="C59" s="8">
        <v>1.796521472814705E-2</v>
      </c>
      <c r="D59" s="8">
        <v>1.3566367001586421E-2</v>
      </c>
      <c r="E59" s="8">
        <v>1.1076807693098045E-2</v>
      </c>
      <c r="G59" s="1">
        <f t="shared" si="0"/>
        <v>7.9896464989726829E-2</v>
      </c>
      <c r="H59" s="1">
        <v>1.7805747336409116E-2</v>
      </c>
      <c r="I59" s="1">
        <v>1.3475167747339199E-2</v>
      </c>
      <c r="J59" s="1">
        <v>1.1015909153694143E-2</v>
      </c>
    </row>
    <row r="60" spans="1:10" x14ac:dyDescent="0.3">
      <c r="A60" s="18">
        <v>42338</v>
      </c>
      <c r="B60" s="4">
        <f>Backtest!B62</f>
        <v>8.3507379009345496E-3</v>
      </c>
      <c r="C60" s="8">
        <v>-1.6316101576670849E-2</v>
      </c>
      <c r="D60" s="8">
        <v>-1.6615935896619916E-2</v>
      </c>
      <c r="E60" s="8">
        <v>1.0551796703963889E-2</v>
      </c>
      <c r="G60" s="1">
        <f t="shared" si="0"/>
        <v>8.3160633939300989E-3</v>
      </c>
      <c r="H60" s="1">
        <v>-1.6450674978674015E-2</v>
      </c>
      <c r="I60" s="1">
        <v>-1.6755529033524307E-2</v>
      </c>
      <c r="J60" s="1">
        <v>1.0496515037687922E-2</v>
      </c>
    </row>
    <row r="61" spans="1:10" x14ac:dyDescent="0.3">
      <c r="A61" s="18">
        <v>42369</v>
      </c>
      <c r="B61" s="4">
        <f>Backtest!B63</f>
        <v>-7.8571321472044681E-2</v>
      </c>
      <c r="C61" s="8">
        <v>-3.923724080460278E-2</v>
      </c>
      <c r="D61" s="8">
        <v>-3.7908390620365884E-2</v>
      </c>
      <c r="E61" s="8">
        <v>1.1082389418060057E-2</v>
      </c>
      <c r="G61" s="1">
        <f t="shared" si="0"/>
        <v>-8.1829902015749481E-2</v>
      </c>
      <c r="H61" s="1">
        <v>-4.0027769172183453E-2</v>
      </c>
      <c r="I61" s="1">
        <v>-3.864560480497533E-2</v>
      </c>
      <c r="J61" s="1">
        <v>1.1021429713074432E-2</v>
      </c>
    </row>
    <row r="62" spans="1:10" x14ac:dyDescent="0.3">
      <c r="A62" s="18">
        <v>42398</v>
      </c>
      <c r="B62" s="4">
        <f>Backtest!B64</f>
        <v>-0.13075137359068487</v>
      </c>
      <c r="C62" s="8">
        <v>-6.7912341407151078E-2</v>
      </c>
      <c r="D62" s="8">
        <v>-6.2539257300134543E-2</v>
      </c>
      <c r="E62" s="8">
        <v>1.1080008025640353E-2</v>
      </c>
      <c r="G62" s="1">
        <f t="shared" si="0"/>
        <v>-0.14012608829752568</v>
      </c>
      <c r="H62" s="1">
        <v>-7.0328414435200062E-2</v>
      </c>
      <c r="I62" s="1">
        <v>-6.4580396467807416E-2</v>
      </c>
      <c r="J62" s="1">
        <v>1.101907442012396E-2</v>
      </c>
    </row>
    <row r="63" spans="1:10" x14ac:dyDescent="0.3">
      <c r="A63" s="18">
        <v>42429</v>
      </c>
      <c r="B63" s="4">
        <f>Backtest!B65</f>
        <v>0.31651173263424798</v>
      </c>
      <c r="C63" s="8">
        <v>5.9097658763550109E-2</v>
      </c>
      <c r="D63" s="8">
        <v>5.294152596163082E-2</v>
      </c>
      <c r="E63" s="8">
        <v>1.0014818006065962E-2</v>
      </c>
      <c r="G63" s="1">
        <f t="shared" si="0"/>
        <v>0.27498561190406956</v>
      </c>
      <c r="H63" s="1">
        <v>5.741728027449465E-2</v>
      </c>
      <c r="I63" s="1">
        <v>5.1587700709305406E-2</v>
      </c>
      <c r="J63" s="1">
        <v>9.9650020386803304E-3</v>
      </c>
    </row>
    <row r="64" spans="1:10" x14ac:dyDescent="0.3">
      <c r="A64" s="18">
        <v>42460</v>
      </c>
      <c r="B64" s="4">
        <f>Backtest!B66</f>
        <v>0.24921460474019061</v>
      </c>
      <c r="C64" s="8">
        <v>0.16968306230560892</v>
      </c>
      <c r="D64" s="8">
        <v>0.15414349794323745</v>
      </c>
      <c r="E64" s="8">
        <v>1.1605148852035674E-2</v>
      </c>
      <c r="G64" s="1">
        <f t="shared" si="0"/>
        <v>0.22251503763301228</v>
      </c>
      <c r="H64" s="1">
        <v>0.15673282519489332</v>
      </c>
      <c r="I64" s="1">
        <v>0.14335850865966349</v>
      </c>
      <c r="J64" s="1">
        <v>1.1538325610956916E-2</v>
      </c>
    </row>
    <row r="65" spans="1:10" x14ac:dyDescent="0.3">
      <c r="A65" s="18">
        <v>42489</v>
      </c>
      <c r="B65" s="4">
        <f>Backtest!B67</f>
        <v>0.18736506139120918</v>
      </c>
      <c r="C65" s="8">
        <v>7.7018817188189814E-2</v>
      </c>
      <c r="D65" s="8">
        <v>7.1386319872905002E-2</v>
      </c>
      <c r="E65" s="8">
        <v>1.0544713106981574E-2</v>
      </c>
      <c r="G65" s="1">
        <f t="shared" si="0"/>
        <v>0.17173661795733022</v>
      </c>
      <c r="H65" s="1">
        <v>7.4196869876949872E-2</v>
      </c>
      <c r="I65" s="1">
        <v>6.89534359240912E-2</v>
      </c>
      <c r="J65" s="1">
        <v>1.0489505380357894E-2</v>
      </c>
    </row>
    <row r="66" spans="1:10" x14ac:dyDescent="0.3">
      <c r="A66" s="18">
        <v>42521</v>
      </c>
      <c r="B66" s="4">
        <f>Backtest!B68</f>
        <v>-0.18920137267738152</v>
      </c>
      <c r="C66" s="8">
        <v>-0.10088572727019784</v>
      </c>
      <c r="D66" s="8">
        <v>-9.4064966304196584E-2</v>
      </c>
      <c r="E66" s="8">
        <v>1.107485278224063E-2</v>
      </c>
      <c r="G66" s="1">
        <f t="shared" si="0"/>
        <v>-0.20973555739706901</v>
      </c>
      <c r="H66" s="1">
        <v>-0.1063451416542756</v>
      </c>
      <c r="I66" s="1">
        <v>-9.8787682247732558E-2</v>
      </c>
      <c r="J66" s="1">
        <v>1.1013975657907821E-2</v>
      </c>
    </row>
    <row r="67" spans="1:10" x14ac:dyDescent="0.3">
      <c r="A67" s="18">
        <v>42551</v>
      </c>
      <c r="B67" s="4">
        <f>Backtest!B69</f>
        <v>-1.4105152484193032E-2</v>
      </c>
      <c r="C67" s="8">
        <v>6.3030593108968747E-2</v>
      </c>
      <c r="D67" s="8">
        <v>6.4770701224605931E-2</v>
      </c>
      <c r="E67" s="8">
        <v>1.1605075065058923E-2</v>
      </c>
      <c r="G67" s="1">
        <f t="shared" ref="G67:G108" si="6">LN(B67+1)</f>
        <v>-1.4205575588033597E-2</v>
      </c>
      <c r="H67" s="1">
        <v>6.1123878916483312E-2</v>
      </c>
      <c r="I67" s="1">
        <v>6.2759471965697186E-2</v>
      </c>
      <c r="J67" s="1">
        <v>1.1538252670462766E-2</v>
      </c>
    </row>
    <row r="68" spans="1:10" x14ac:dyDescent="0.3">
      <c r="A68" s="18">
        <v>42580</v>
      </c>
      <c r="B68" s="4">
        <f>Backtest!B70</f>
        <v>0.25714043079579502</v>
      </c>
      <c r="C68" s="8">
        <v>0.11219964717458253</v>
      </c>
      <c r="D68" s="8">
        <v>0.11314238019605538</v>
      </c>
      <c r="E68" s="8">
        <v>1.1074936921548151E-2</v>
      </c>
      <c r="G68" s="1">
        <f t="shared" si="6"/>
        <v>0.22883964237818546</v>
      </c>
      <c r="H68" s="1">
        <v>0.10633971853928786</v>
      </c>
      <c r="I68" s="1">
        <v>0.1071869888161928</v>
      </c>
      <c r="J68" s="1">
        <v>1.1014058875588281E-2</v>
      </c>
    </row>
    <row r="69" spans="1:10" x14ac:dyDescent="0.3">
      <c r="A69" s="18">
        <v>42613</v>
      </c>
      <c r="B69" s="4">
        <f>Backtest!B71</f>
        <v>6.0530350902996855E-2</v>
      </c>
      <c r="C69" s="8">
        <v>1.0345814386073959E-2</v>
      </c>
      <c r="D69" s="8">
        <v>1.1197655107005211E-2</v>
      </c>
      <c r="E69" s="8">
        <v>1.2135972078766155E-2</v>
      </c>
      <c r="G69" s="1">
        <f t="shared" si="6"/>
        <v>5.8769114040697588E-2</v>
      </c>
      <c r="H69" s="1">
        <v>1.0292662732184784E-2</v>
      </c>
      <c r="I69" s="1">
        <v>1.1135425486688515E-2</v>
      </c>
      <c r="J69" s="1">
        <v>1.2062921601436096E-2</v>
      </c>
    </row>
    <row r="70" spans="1:10" x14ac:dyDescent="0.3">
      <c r="A70" s="18">
        <v>42643</v>
      </c>
      <c r="B70" s="4">
        <f>Backtest!B72</f>
        <v>-2.5877000958761543E-2</v>
      </c>
      <c r="C70" s="8">
        <v>8.0464792551437903E-3</v>
      </c>
      <c r="D70" s="8">
        <v>6.0286761588077553E-3</v>
      </c>
      <c r="E70" s="8">
        <v>1.1074624474847194E-2</v>
      </c>
      <c r="G70" s="1">
        <f t="shared" si="6"/>
        <v>-2.6217700929349195E-2</v>
      </c>
      <c r="H70" s="1">
        <v>8.014278958292799E-3</v>
      </c>
      <c r="I70" s="1">
        <v>6.0105763993235405E-3</v>
      </c>
      <c r="J70" s="1">
        <v>1.1013749851263948E-2</v>
      </c>
    </row>
    <row r="71" spans="1:10" x14ac:dyDescent="0.3">
      <c r="A71" s="18">
        <v>42674</v>
      </c>
      <c r="B71" s="4">
        <f>Backtest!B73</f>
        <v>5.6572926842307018E-2</v>
      </c>
      <c r="C71" s="8">
        <v>0.1123494440351569</v>
      </c>
      <c r="D71" s="8">
        <v>0.10753457152323165</v>
      </c>
      <c r="E71" s="8">
        <v>1.0483204548400682E-2</v>
      </c>
      <c r="G71" s="1">
        <f t="shared" si="6"/>
        <v>5.5030582518336417E-2</v>
      </c>
      <c r="H71" s="1">
        <v>0.10647439469581119</v>
      </c>
      <c r="I71" s="1">
        <v>0.10213643827228107</v>
      </c>
      <c r="J71" s="1">
        <v>1.0428636791594174E-2</v>
      </c>
    </row>
    <row r="72" spans="1:10" x14ac:dyDescent="0.3">
      <c r="A72" s="18">
        <v>42704</v>
      </c>
      <c r="B72" s="4">
        <f>Backtest!B74</f>
        <v>2.2344961421654545E-2</v>
      </c>
      <c r="C72" s="8">
        <v>-4.6486303321550348E-2</v>
      </c>
      <c r="D72" s="8">
        <v>-5.0022930537650057E-2</v>
      </c>
      <c r="E72" s="8">
        <v>1.0368879375755924E-2</v>
      </c>
      <c r="G72" s="1">
        <f t="shared" si="6"/>
        <v>2.2098970466801489E-2</v>
      </c>
      <c r="H72" s="1">
        <v>-4.7601489410906389E-2</v>
      </c>
      <c r="I72" s="1">
        <v>-5.1317432086915145E-2</v>
      </c>
      <c r="J72" s="1">
        <v>1.031549127869278E-2</v>
      </c>
    </row>
    <row r="73" spans="1:10" x14ac:dyDescent="0.3">
      <c r="A73" s="18">
        <v>42734</v>
      </c>
      <c r="B73" s="4">
        <f>Backtest!B75</f>
        <v>-5.2631336369805631E-2</v>
      </c>
      <c r="C73" s="8">
        <v>-2.7123205355181312E-2</v>
      </c>
      <c r="D73" s="8">
        <v>-2.5515507283068728E-2</v>
      </c>
      <c r="E73" s="8">
        <v>1.0713896037339854E-2</v>
      </c>
      <c r="G73" s="1">
        <f t="shared" si="6"/>
        <v>-5.406696521621452E-2</v>
      </c>
      <c r="H73" s="1">
        <v>-2.7497829022473372E-2</v>
      </c>
      <c r="I73" s="1">
        <v>-2.5846673227394049E-2</v>
      </c>
      <c r="J73" s="1">
        <v>1.0656908927818849E-2</v>
      </c>
    </row>
    <row r="74" spans="1:10" x14ac:dyDescent="0.3">
      <c r="A74" s="18">
        <v>42766</v>
      </c>
      <c r="B74" s="4">
        <f>Backtest!B76</f>
        <v>5.580033828559499E-2</v>
      </c>
      <c r="C74" s="8">
        <v>7.3778834515244807E-2</v>
      </c>
      <c r="D74" s="8">
        <v>7.2084360038147333E-2</v>
      </c>
      <c r="E74" s="8">
        <v>1.1384783344975613E-2</v>
      </c>
      <c r="G74" s="1">
        <f t="shared" si="6"/>
        <v>5.4299093814217929E-2</v>
      </c>
      <c r="H74" s="1">
        <v>7.1184047986260796E-2</v>
      </c>
      <c r="I74" s="1">
        <v>6.9604753617830653E-2</v>
      </c>
      <c r="J74" s="1">
        <v>1.1320464410142783E-2</v>
      </c>
    </row>
    <row r="75" spans="1:10" x14ac:dyDescent="0.3">
      <c r="A75" s="18">
        <v>42794</v>
      </c>
      <c r="B75" s="4">
        <f>Backtest!B77</f>
        <v>5.0264479913916561E-2</v>
      </c>
      <c r="C75" s="8">
        <v>3.0791330863388255E-2</v>
      </c>
      <c r="D75" s="8">
        <v>3.3039484294749233E-2</v>
      </c>
      <c r="E75" s="8">
        <v>8.6649499496931348E-3</v>
      </c>
      <c r="G75" s="1">
        <f t="shared" si="6"/>
        <v>4.9042018083873595E-2</v>
      </c>
      <c r="H75" s="1">
        <v>3.0326789655341354E-2</v>
      </c>
      <c r="I75" s="1">
        <v>3.2505412344825395E-2</v>
      </c>
      <c r="J75" s="1">
        <v>8.6276247300097735E-3</v>
      </c>
    </row>
    <row r="76" spans="1:10" x14ac:dyDescent="0.3">
      <c r="A76" s="18">
        <v>42825</v>
      </c>
      <c r="B76" s="4">
        <f>Backtest!B78</f>
        <v>-3.392356937923191E-2</v>
      </c>
      <c r="C76" s="8">
        <v>-2.5171724263112094E-2</v>
      </c>
      <c r="D76" s="8">
        <v>-2.3548340447945626E-2</v>
      </c>
      <c r="E76" s="8">
        <v>1.0504053472227159E-2</v>
      </c>
      <c r="G76" s="1">
        <f t="shared" si="6"/>
        <v>-3.4512327174065757E-2</v>
      </c>
      <c r="H76" s="1">
        <v>-2.5493950945896269E-2</v>
      </c>
      <c r="I76" s="1">
        <v>-2.3830033677695012E-2</v>
      </c>
      <c r="J76" s="1">
        <v>1.0449269206513638E-2</v>
      </c>
    </row>
    <row r="77" spans="1:10" x14ac:dyDescent="0.3">
      <c r="A77" s="18">
        <v>42853</v>
      </c>
      <c r="B77" s="4">
        <f>Backtest!B79</f>
        <v>5.8025364906914331E-2</v>
      </c>
      <c r="C77" s="8">
        <v>6.4492698983289465E-3</v>
      </c>
      <c r="D77" s="8">
        <v>8.7807323767963297E-3</v>
      </c>
      <c r="E77" s="8">
        <v>7.8887581230049353E-3</v>
      </c>
      <c r="G77" s="1">
        <f t="shared" si="6"/>
        <v>5.6404307540894955E-2</v>
      </c>
      <c r="H77" s="1">
        <v>6.4285623419459625E-3</v>
      </c>
      <c r="I77" s="1">
        <v>8.7424059389856635E-3</v>
      </c>
      <c r="J77" s="1">
        <v>7.8578045542184033E-3</v>
      </c>
    </row>
    <row r="78" spans="1:10" x14ac:dyDescent="0.3">
      <c r="A78" s="18">
        <v>42886</v>
      </c>
      <c r="B78" s="4">
        <f>Backtest!B80</f>
        <v>-1.5866809447665768E-2</v>
      </c>
      <c r="C78" s="8">
        <v>-4.1155478631014986E-2</v>
      </c>
      <c r="D78" s="8">
        <v>-3.6568571618753265E-2</v>
      </c>
      <c r="E78" s="8">
        <v>9.2556015332876385E-3</v>
      </c>
      <c r="G78" s="1">
        <f t="shared" si="6"/>
        <v>-1.599403483734237E-2</v>
      </c>
      <c r="H78" s="1">
        <v>-4.2026343030841899E-2</v>
      </c>
      <c r="I78" s="1">
        <v>-3.7253962958505832E-2</v>
      </c>
      <c r="J78" s="1">
        <v>9.2130309295040767E-3</v>
      </c>
    </row>
    <row r="79" spans="1:10" x14ac:dyDescent="0.3">
      <c r="A79" s="18">
        <v>42916</v>
      </c>
      <c r="B79" s="4">
        <f>Backtest!B81</f>
        <v>-2.1518925684363411E-2</v>
      </c>
      <c r="C79" s="8">
        <v>3.0058282771101563E-3</v>
      </c>
      <c r="D79" s="8">
        <v>2.9827750593791613E-3</v>
      </c>
      <c r="E79" s="8">
        <v>8.1166964107635131E-3</v>
      </c>
      <c r="G79" s="1">
        <f t="shared" si="6"/>
        <v>-2.1753833860254063E-2</v>
      </c>
      <c r="H79" s="1">
        <v>3.0013198074920139E-3</v>
      </c>
      <c r="I79" s="1">
        <v>2.9783354119738478E-3</v>
      </c>
      <c r="J79" s="1">
        <v>8.0839331970921184E-3</v>
      </c>
    </row>
    <row r="80" spans="1:10" x14ac:dyDescent="0.3">
      <c r="A80" s="18">
        <v>42947</v>
      </c>
      <c r="B80" s="4">
        <f>Backtest!B82</f>
        <v>4.6258082689590196E-2</v>
      </c>
      <c r="C80" s="8">
        <v>4.8019077901430673E-2</v>
      </c>
      <c r="D80" s="8">
        <v>4.9104824491410959E-2</v>
      </c>
      <c r="E80" s="8">
        <v>8.0081670814711181E-3</v>
      </c>
      <c r="G80" s="1">
        <f t="shared" si="6"/>
        <v>4.5220068181996663E-2</v>
      </c>
      <c r="H80" s="1">
        <v>4.6901789837576306E-2</v>
      </c>
      <c r="I80" s="1">
        <v>4.7937252440192521E-2</v>
      </c>
      <c r="J80" s="1">
        <v>7.9762718797179201E-3</v>
      </c>
    </row>
    <row r="81" spans="1:10" x14ac:dyDescent="0.3">
      <c r="A81" s="18">
        <v>42978</v>
      </c>
      <c r="B81" s="4">
        <f>Backtest!B83</f>
        <v>0.1924425663532644</v>
      </c>
      <c r="C81" s="8">
        <v>7.4555069447394207E-2</v>
      </c>
      <c r="D81" s="8">
        <v>7.3471470724384202E-2</v>
      </c>
      <c r="E81" s="8">
        <v>8.0145548937506916E-3</v>
      </c>
      <c r="G81" s="1">
        <f t="shared" si="6"/>
        <v>0.17600378023331464</v>
      </c>
      <c r="H81" s="1">
        <v>7.1906687017835216E-2</v>
      </c>
      <c r="I81" s="1">
        <v>7.0897762039801859E-2</v>
      </c>
      <c r="J81" s="1">
        <v>7.9826089236509721E-3</v>
      </c>
    </row>
    <row r="82" spans="1:10" x14ac:dyDescent="0.3">
      <c r="A82" s="18">
        <v>43007</v>
      </c>
      <c r="B82" s="4">
        <f>Backtest!B84</f>
        <v>0.10610088728182315</v>
      </c>
      <c r="C82" s="8">
        <v>4.8823252878869239E-2</v>
      </c>
      <c r="D82" s="8">
        <v>4.6917720938293161E-2</v>
      </c>
      <c r="E82" s="8">
        <v>6.413953547743434E-3</v>
      </c>
      <c r="G82" s="1">
        <f t="shared" si="6"/>
        <v>0.10084111709718378</v>
      </c>
      <c r="H82" s="1">
        <v>4.7668824158718398E-2</v>
      </c>
      <c r="I82" s="1">
        <v>4.5850343259127097E-2</v>
      </c>
      <c r="J82" s="1">
        <v>6.3934716808640097E-3</v>
      </c>
    </row>
    <row r="83" spans="1:10" x14ac:dyDescent="0.3">
      <c r="A83" s="18">
        <v>43039</v>
      </c>
      <c r="B83" s="4">
        <f>Backtest!B85</f>
        <v>2.6787705262891273E-2</v>
      </c>
      <c r="C83" s="8">
        <v>2.0190191604907426E-4</v>
      </c>
      <c r="D83" s="8">
        <v>-1.2873033137835721E-3</v>
      </c>
      <c r="E83" s="8">
        <v>6.4592710988411461E-3</v>
      </c>
      <c r="G83" s="1">
        <f t="shared" si="6"/>
        <v>2.6435196104917565E-2</v>
      </c>
      <c r="H83" s="1">
        <v>2.018815366002758E-4</v>
      </c>
      <c r="I83" s="1">
        <v>-1.2881326004664743E-3</v>
      </c>
      <c r="J83" s="1">
        <v>6.4384994059591416E-3</v>
      </c>
    </row>
    <row r="84" spans="1:10" x14ac:dyDescent="0.3">
      <c r="A84" s="18">
        <v>43069</v>
      </c>
      <c r="B84" s="4">
        <f>Backtest!B86</f>
        <v>-5.3920919983075272E-2</v>
      </c>
      <c r="C84" s="8">
        <v>-3.1456697416849977E-2</v>
      </c>
      <c r="D84" s="8">
        <v>-3.3787330271153326E-2</v>
      </c>
      <c r="E84" s="8">
        <v>5.6744288160752721E-3</v>
      </c>
      <c r="G84" s="1">
        <f t="shared" si="6"/>
        <v>-5.542911932582157E-2</v>
      </c>
      <c r="H84" s="1">
        <v>-3.1962086155604363E-2</v>
      </c>
      <c r="I84" s="1">
        <v>-3.4371314001368468E-2</v>
      </c>
      <c r="J84" s="1">
        <v>5.6583898907696297E-3</v>
      </c>
    </row>
    <row r="85" spans="1:10" x14ac:dyDescent="0.3">
      <c r="A85" s="18">
        <v>43098</v>
      </c>
      <c r="B85" s="4">
        <f>Backtest!B87</f>
        <v>9.7451602021023404E-2</v>
      </c>
      <c r="C85" s="8">
        <v>6.1567853718859089E-2</v>
      </c>
      <c r="D85" s="8">
        <v>6.346157145149256E-2</v>
      </c>
      <c r="E85" s="8">
        <v>5.1294157635011217E-3</v>
      </c>
      <c r="G85" s="1">
        <f t="shared" si="6"/>
        <v>9.2990766608515713E-2</v>
      </c>
      <c r="H85" s="1">
        <v>5.9746922604190511E-2</v>
      </c>
      <c r="I85" s="1">
        <v>6.1529220968156273E-2</v>
      </c>
      <c r="J85" s="1">
        <v>5.1163051246303666E-3</v>
      </c>
    </row>
    <row r="86" spans="1:10" x14ac:dyDescent="0.3">
      <c r="A86" s="18">
        <v>43131</v>
      </c>
      <c r="B86" s="4">
        <f>Backtest!B88</f>
        <v>2.1602956815924008E-2</v>
      </c>
      <c r="C86" s="8">
        <v>0.11139222612990984</v>
      </c>
      <c r="D86" s="8">
        <v>0.10744338309716595</v>
      </c>
      <c r="E86" s="8">
        <v>6.0998614600846768E-3</v>
      </c>
      <c r="G86" s="1">
        <f t="shared" si="6"/>
        <v>2.1372920031068169E-2</v>
      </c>
      <c r="H86" s="1">
        <v>0.10561348717475266</v>
      </c>
      <c r="I86" s="1">
        <v>0.10205410027345177</v>
      </c>
      <c r="J86" s="1">
        <v>6.0813326159128234E-3</v>
      </c>
    </row>
    <row r="87" spans="1:10" x14ac:dyDescent="0.3">
      <c r="A87" s="18">
        <v>43159</v>
      </c>
      <c r="B87" s="4">
        <f>Backtest!B89</f>
        <v>2.8153264334182391E-2</v>
      </c>
      <c r="C87" s="8">
        <v>5.192391715255873E-3</v>
      </c>
      <c r="D87" s="8">
        <v>4.164175920152946E-3</v>
      </c>
      <c r="E87" s="8">
        <v>4.6586245747215482E-3</v>
      </c>
      <c r="G87" s="1">
        <f t="shared" si="6"/>
        <v>2.7764245739434382E-2</v>
      </c>
      <c r="H87" s="1">
        <v>5.1789577323283677E-3</v>
      </c>
      <c r="I87" s="1">
        <v>4.1555297341215203E-3</v>
      </c>
      <c r="J87" s="1">
        <v>4.6478067676478706E-3</v>
      </c>
    </row>
    <row r="88" spans="1:10" x14ac:dyDescent="0.3">
      <c r="A88" s="18">
        <v>43189</v>
      </c>
      <c r="B88" s="4">
        <f>Backtest!B90</f>
        <v>-1.0311880702532953E-2</v>
      </c>
      <c r="C88" s="8">
        <v>1.4059160949275729E-4</v>
      </c>
      <c r="D88" s="8">
        <v>7.887088071723003E-4</v>
      </c>
      <c r="E88" s="8">
        <v>5.3250055938542928E-3</v>
      </c>
      <c r="G88" s="1">
        <f t="shared" si="6"/>
        <v>-1.0365416498854642E-2</v>
      </c>
      <c r="H88" s="1">
        <v>1.4058172741864103E-4</v>
      </c>
      <c r="I88" s="1">
        <v>7.8839793982618176E-4</v>
      </c>
      <c r="J88" s="1">
        <v>5.3108778828013098E-3</v>
      </c>
    </row>
    <row r="89" spans="1:10" x14ac:dyDescent="0.3">
      <c r="A89" s="18">
        <v>43220</v>
      </c>
      <c r="B89" s="4">
        <f>Backtest!B91</f>
        <v>2.6933391607962369E-2</v>
      </c>
      <c r="C89" s="8">
        <v>8.7845689598620158E-3</v>
      </c>
      <c r="D89" s="8">
        <v>8.1738827946886694E-3</v>
      </c>
      <c r="E89" s="8">
        <v>5.1751612927548596E-3</v>
      </c>
      <c r="G89" s="1">
        <f t="shared" si="6"/>
        <v>2.6577071596713808E-2</v>
      </c>
      <c r="H89" s="1">
        <v>8.74620912004072E-3</v>
      </c>
      <c r="I89" s="1">
        <v>8.1406575447930587E-3</v>
      </c>
      <c r="J89" s="1">
        <v>5.1618161678660341E-3</v>
      </c>
    </row>
    <row r="90" spans="1:10" x14ac:dyDescent="0.3">
      <c r="A90" s="18">
        <v>43251</v>
      </c>
      <c r="B90" s="4">
        <f>Backtest!B92</f>
        <v>-5.1871424391897555E-2</v>
      </c>
      <c r="C90" s="8">
        <v>-0.10871329783836814</v>
      </c>
      <c r="D90" s="8">
        <v>-0.10908080183638358</v>
      </c>
      <c r="E90" s="8">
        <v>5.1751061404015086E-3</v>
      </c>
      <c r="G90" s="1">
        <f t="shared" si="6"/>
        <v>-5.326515764520956E-2</v>
      </c>
      <c r="H90" s="1">
        <v>-0.11508912755551626</v>
      </c>
      <c r="I90" s="1">
        <v>-0.11550154230866831</v>
      </c>
      <c r="J90" s="1">
        <v>5.1617612994640013E-3</v>
      </c>
    </row>
    <row r="91" spans="1:10" x14ac:dyDescent="0.3">
      <c r="A91" s="18">
        <v>43280</v>
      </c>
      <c r="B91" s="4">
        <f>Backtest!B93</f>
        <v>1.8430318124626012E-2</v>
      </c>
      <c r="C91" s="8">
        <v>-5.1998863896937753E-2</v>
      </c>
      <c r="D91" s="8">
        <v>-5.1947299959847593E-2</v>
      </c>
      <c r="E91" s="8">
        <v>5.1751309767436027E-3</v>
      </c>
      <c r="G91" s="1">
        <f t="shared" si="6"/>
        <v>1.8262538168114194E-2</v>
      </c>
      <c r="H91" s="1">
        <v>-5.3399578306881613E-2</v>
      </c>
      <c r="I91" s="1">
        <v>-5.3345187512569829E-2</v>
      </c>
      <c r="J91" s="1">
        <v>5.1617860079368185E-3</v>
      </c>
    </row>
    <row r="92" spans="1:10" x14ac:dyDescent="0.3">
      <c r="A92" s="18">
        <v>43312</v>
      </c>
      <c r="B92" s="4">
        <f>Backtest!B94</f>
        <v>-3.0438007145168981E-2</v>
      </c>
      <c r="C92" s="8">
        <v>8.875313520013739E-2</v>
      </c>
      <c r="D92" s="8">
        <v>8.8358348830348099E-2</v>
      </c>
      <c r="E92" s="8">
        <v>5.422254978577401E-3</v>
      </c>
      <c r="G92" s="1">
        <f t="shared" si="6"/>
        <v>-3.0910863223713968E-2</v>
      </c>
      <c r="H92" s="1">
        <v>8.503312881316176E-2</v>
      </c>
      <c r="I92" s="1">
        <v>8.4670458938869791E-2</v>
      </c>
      <c r="J92" s="1">
        <v>5.4076074785151433E-3</v>
      </c>
    </row>
    <row r="93" spans="1:10" x14ac:dyDescent="0.3">
      <c r="A93" s="18">
        <v>43343</v>
      </c>
      <c r="B93" s="4">
        <f>Backtest!B95</f>
        <v>-4.9327164520591944E-2</v>
      </c>
      <c r="C93" s="8">
        <v>-3.2099055293838386E-2</v>
      </c>
      <c r="D93" s="8">
        <v>-3.1254312298414466E-2</v>
      </c>
      <c r="E93" s="8">
        <v>5.6694552303853119E-3</v>
      </c>
      <c r="G93" s="1">
        <f t="shared" si="6"/>
        <v>-5.0585297203654532E-2</v>
      </c>
      <c r="H93" s="1">
        <v>-3.262552679062284E-2</v>
      </c>
      <c r="I93" s="1">
        <v>-3.1753149729302765E-2</v>
      </c>
      <c r="J93" s="1">
        <v>5.6534443558669016E-3</v>
      </c>
    </row>
    <row r="94" spans="1:10" x14ac:dyDescent="0.3">
      <c r="A94" s="18">
        <v>43371</v>
      </c>
      <c r="B94" s="4">
        <f>Backtest!B96</f>
        <v>-6.2874319350927363E-3</v>
      </c>
      <c r="C94" s="8">
        <v>3.4754654233640769E-2</v>
      </c>
      <c r="D94" s="8">
        <v>3.2295263747502911E-2</v>
      </c>
      <c r="E94" s="8">
        <v>4.6811193096090165E-3</v>
      </c>
      <c r="G94" s="1">
        <f t="shared" si="6"/>
        <v>-6.3072810790962292E-3</v>
      </c>
      <c r="H94" s="1">
        <v>3.4164349567143093E-2</v>
      </c>
      <c r="I94" s="1">
        <v>3.1784734420665477E-2</v>
      </c>
      <c r="J94" s="1">
        <v>4.6701969432832984E-3</v>
      </c>
    </row>
    <row r="95" spans="1:10" x14ac:dyDescent="0.3">
      <c r="A95" s="18">
        <v>43404</v>
      </c>
      <c r="B95" s="4">
        <f>Backtest!B97</f>
        <v>6.2265890036481822E-2</v>
      </c>
      <c r="C95" s="8">
        <v>0.10185222529189963</v>
      </c>
      <c r="D95" s="8">
        <v>0.10419901107746554</v>
      </c>
      <c r="E95" s="8">
        <v>5.4300515968455088E-3</v>
      </c>
      <c r="G95" s="1">
        <f t="shared" si="6"/>
        <v>6.0404258749083943E-2</v>
      </c>
      <c r="H95" s="1">
        <v>9.6992604907631758E-2</v>
      </c>
      <c r="I95" s="1">
        <v>9.912019526648741E-2</v>
      </c>
      <c r="J95" s="1">
        <v>5.4153620194554728E-3</v>
      </c>
    </row>
    <row r="96" spans="1:10" x14ac:dyDescent="0.3">
      <c r="A96" s="18">
        <v>43434</v>
      </c>
      <c r="B96" s="4">
        <f>Backtest!B98</f>
        <v>6.7037386002653743E-2</v>
      </c>
      <c r="C96" s="8">
        <v>2.3796777986722084E-2</v>
      </c>
      <c r="D96" s="8">
        <v>2.6617838553418594E-2</v>
      </c>
      <c r="E96" s="8">
        <v>4.9354806288566255E-3</v>
      </c>
      <c r="G96" s="1">
        <f t="shared" si="6"/>
        <v>6.4886010133764174E-2</v>
      </c>
      <c r="H96" s="1">
        <v>2.3518047924381627E-2</v>
      </c>
      <c r="I96" s="1">
        <v>2.6269747335801549E-2</v>
      </c>
      <c r="J96" s="1">
        <v>4.9233410709877854E-3</v>
      </c>
    </row>
    <row r="97" spans="1:10" x14ac:dyDescent="0.3">
      <c r="A97" s="18">
        <v>43465</v>
      </c>
      <c r="B97" s="4">
        <f>Backtest!B99</f>
        <v>3.253562041287994E-2</v>
      </c>
      <c r="C97" s="8">
        <v>-1.8062879871290627E-2</v>
      </c>
      <c r="D97" s="8">
        <v>-1.2886349742208258E-2</v>
      </c>
      <c r="E97" s="8">
        <v>4.6882237783716363E-3</v>
      </c>
      <c r="G97" s="1">
        <f t="shared" si="6"/>
        <v>3.2017544447197392E-2</v>
      </c>
      <c r="H97" s="1">
        <v>-1.8228005133325797E-2</v>
      </c>
      <c r="I97" s="1">
        <v>-1.2970099006567166E-2</v>
      </c>
      <c r="J97" s="1">
        <v>4.6772682851320109E-3</v>
      </c>
    </row>
    <row r="98" spans="1:10" x14ac:dyDescent="0.3">
      <c r="A98" s="18">
        <v>43496</v>
      </c>
      <c r="B98" s="4">
        <f>Backtest!B100</f>
        <v>8.3691773632645614E-2</v>
      </c>
      <c r="C98" s="8">
        <v>0.10816579869901566</v>
      </c>
      <c r="D98" s="8">
        <v>0.10713449901374084</v>
      </c>
      <c r="E98" s="8">
        <v>5.6779287346226948E-3</v>
      </c>
      <c r="G98" s="1">
        <f t="shared" si="6"/>
        <v>8.0373520917396898E-2</v>
      </c>
      <c r="H98" s="1">
        <v>0.10270621494546706</v>
      </c>
      <c r="I98" s="1">
        <v>0.10177514500353488</v>
      </c>
      <c r="J98" s="1">
        <v>5.6618700552811211E-3</v>
      </c>
    </row>
    <row r="99" spans="1:10" x14ac:dyDescent="0.3">
      <c r="A99" s="18">
        <v>43524</v>
      </c>
      <c r="B99" s="4">
        <f>Backtest!B101</f>
        <v>-8.6387987036164737E-2</v>
      </c>
      <c r="C99" s="8">
        <v>-1.8577176963191722E-2</v>
      </c>
      <c r="D99" s="8">
        <v>-1.7627573240305838E-2</v>
      </c>
      <c r="E99" s="8">
        <v>4.9355722544015546E-3</v>
      </c>
      <c r="G99" s="1">
        <f t="shared" si="6"/>
        <v>-9.0349291125863679E-2</v>
      </c>
      <c r="H99" s="1">
        <v>-1.8751900005943987E-2</v>
      </c>
      <c r="I99" s="1">
        <v>-1.7784789206589276E-2</v>
      </c>
      <c r="J99" s="1">
        <v>4.923432246533398E-3</v>
      </c>
    </row>
    <row r="100" spans="1:10" x14ac:dyDescent="0.3">
      <c r="A100" s="18">
        <v>43553</v>
      </c>
      <c r="B100" s="4">
        <f>Backtest!B102</f>
        <v>5.6761304730942853E-2</v>
      </c>
      <c r="C100" s="8">
        <v>-1.7764405070281875E-3</v>
      </c>
      <c r="D100" s="8">
        <v>-1.1436493070831055E-3</v>
      </c>
      <c r="E100" s="8">
        <v>4.6881747988904987E-3</v>
      </c>
      <c r="G100" s="1">
        <f t="shared" si="6"/>
        <v>5.5208858047422489E-2</v>
      </c>
      <c r="H100" s="1">
        <v>-1.7780202486208847E-3</v>
      </c>
      <c r="I100" s="1">
        <v>-1.1443037729858033E-3</v>
      </c>
      <c r="J100" s="1">
        <v>4.6772195342049353E-3</v>
      </c>
    </row>
    <row r="101" spans="1:10" x14ac:dyDescent="0.3">
      <c r="A101" s="18">
        <v>43585</v>
      </c>
      <c r="B101" s="4">
        <f>Backtest!B103</f>
        <v>9.107088374886714E-2</v>
      </c>
      <c r="C101" s="8">
        <v>9.8381170177310739E-3</v>
      </c>
      <c r="D101" s="8">
        <v>1.056873346980014E-2</v>
      </c>
      <c r="E101" s="8">
        <v>5.182909935088853E-3</v>
      </c>
      <c r="G101" s="1">
        <f t="shared" si="6"/>
        <v>8.7159676095901958E-2</v>
      </c>
      <c r="H101" s="1">
        <v>9.7900378264629915E-3</v>
      </c>
      <c r="I101" s="1">
        <v>1.0513274815824647E-2</v>
      </c>
      <c r="J101" s="1">
        <v>5.169524886471869E-3</v>
      </c>
    </row>
    <row r="102" spans="1:10" x14ac:dyDescent="0.3">
      <c r="A102" s="18">
        <v>43616</v>
      </c>
      <c r="B102" s="4">
        <f>Backtest!B104</f>
        <v>5.5020208073743061E-2</v>
      </c>
      <c r="C102" s="8">
        <v>7.0262253602109137E-3</v>
      </c>
      <c r="D102" s="8">
        <v>1.1412716135082546E-2</v>
      </c>
      <c r="E102" s="8">
        <v>5.4304289159168295E-3</v>
      </c>
      <c r="G102" s="1">
        <f t="shared" si="6"/>
        <v>5.3559921316851562E-2</v>
      </c>
      <c r="H102" s="1">
        <v>7.0016564561099929E-3</v>
      </c>
      <c r="I102" s="1">
        <v>1.1348082389812907E-2</v>
      </c>
      <c r="J102" s="1">
        <v>5.4157373006596902E-3</v>
      </c>
    </row>
    <row r="103" spans="1:10" x14ac:dyDescent="0.3">
      <c r="A103" s="18">
        <v>43644</v>
      </c>
      <c r="B103" s="4">
        <f>Backtest!B105</f>
        <v>8.5243491363609966E-2</v>
      </c>
      <c r="C103" s="8">
        <v>4.057392381555025E-2</v>
      </c>
      <c r="D103" s="8">
        <v>4.0982932929906735E-2</v>
      </c>
      <c r="E103" s="8">
        <v>4.6881615451535019E-3</v>
      </c>
      <c r="G103" s="1">
        <f t="shared" si="6"/>
        <v>8.1804377818245524E-2</v>
      </c>
      <c r="H103" s="1">
        <v>3.9772410762809005E-2</v>
      </c>
      <c r="I103" s="1">
        <v>4.0165394618421578E-2</v>
      </c>
      <c r="J103" s="1">
        <v>4.677206342313743E-3</v>
      </c>
    </row>
    <row r="104" spans="1:10" x14ac:dyDescent="0.3">
      <c r="A104" s="18">
        <v>43677</v>
      </c>
      <c r="B104" s="4">
        <f>Backtest!B106</f>
        <v>0.10015480282660011</v>
      </c>
      <c r="C104" s="8">
        <v>8.3680640841778953E-3</v>
      </c>
      <c r="D104" s="8">
        <v>1.167681677831478E-2</v>
      </c>
      <c r="E104" s="8">
        <v>5.6779976405418875E-3</v>
      </c>
      <c r="G104" s="1">
        <f t="shared" si="6"/>
        <v>9.5450899745173332E-2</v>
      </c>
      <c r="H104" s="1">
        <v>8.3332459413696432E-3</v>
      </c>
      <c r="I104" s="1">
        <v>1.1609168852310824E-2</v>
      </c>
      <c r="J104" s="1">
        <v>5.6619385721639751E-3</v>
      </c>
    </row>
    <row r="105" spans="1:10" x14ac:dyDescent="0.3">
      <c r="A105" s="18">
        <v>43707</v>
      </c>
      <c r="B105" s="4">
        <f>Backtest!B107</f>
        <v>3.9562349481616903E-2</v>
      </c>
      <c r="C105" s="8">
        <v>-6.654415339630515E-3</v>
      </c>
      <c r="D105" s="8">
        <v>-1.6385186872448498E-3</v>
      </c>
      <c r="E105" s="8">
        <v>5.0359642416821782E-3</v>
      </c>
      <c r="G105" s="1">
        <f t="shared" si="6"/>
        <v>3.8799806778482292E-2</v>
      </c>
      <c r="H105" s="1">
        <v>-6.6766546761466853E-3</v>
      </c>
      <c r="I105" s="1">
        <v>-1.6398625271275278E-3</v>
      </c>
      <c r="J105" s="1">
        <v>5.0233261858666049E-3</v>
      </c>
    </row>
    <row r="106" spans="1:10" x14ac:dyDescent="0.3">
      <c r="A106" s="18">
        <v>43738</v>
      </c>
      <c r="B106" s="4">
        <f>Backtest!B108</f>
        <v>1.7554565113182624E-2</v>
      </c>
      <c r="C106" s="8">
        <v>3.5701925948191882E-2</v>
      </c>
      <c r="D106" s="8">
        <v>3.2131244048215768E-2</v>
      </c>
      <c r="E106" s="8">
        <v>4.6564545026677173E-3</v>
      </c>
      <c r="G106" s="1">
        <f t="shared" si="6"/>
        <v>1.7402263543618228E-2</v>
      </c>
      <c r="H106" s="1">
        <v>3.5079386172801513E-2</v>
      </c>
      <c r="I106" s="1">
        <v>3.1625833438709582E-2</v>
      </c>
      <c r="J106" s="1">
        <v>4.6456467559340001E-3</v>
      </c>
    </row>
    <row r="107" spans="1:10" x14ac:dyDescent="0.3">
      <c r="A107" s="18">
        <v>43769</v>
      </c>
      <c r="B107" s="4">
        <f>Backtest!B109</f>
        <v>-1.4246387541723049E-2</v>
      </c>
      <c r="C107" s="8">
        <v>2.3623971672237287E-2</v>
      </c>
      <c r="D107" s="8">
        <v>2.2019187362766646E-2</v>
      </c>
      <c r="E107" s="8">
        <v>4.8115969225730471E-3</v>
      </c>
      <c r="G107" s="1">
        <f t="shared" si="6"/>
        <v>-1.4348841551148921E-2</v>
      </c>
      <c r="H107" s="1">
        <v>2.3349244013486495E-2</v>
      </c>
      <c r="I107" s="1">
        <v>2.1780265932837529E-2</v>
      </c>
      <c r="J107" s="1">
        <v>4.8000581884557027E-3</v>
      </c>
    </row>
    <row r="108" spans="1:10" x14ac:dyDescent="0.3">
      <c r="A108" s="18">
        <v>43798</v>
      </c>
      <c r="B108" s="4">
        <f>Backtest!B110</f>
        <v>4.2058511030359187E-2</v>
      </c>
      <c r="C108" s="8">
        <v>9.4525451455793608E-3</v>
      </c>
      <c r="D108" s="8">
        <v>9.6816034403301998E-3</v>
      </c>
      <c r="E108" s="8">
        <v>3.8039006876522397E-3</v>
      </c>
      <c r="G108" s="1">
        <f t="shared" si="6"/>
        <v>4.119809437498223E-2</v>
      </c>
      <c r="H108" s="1">
        <v>9.4081493900309756E-3</v>
      </c>
      <c r="I108" s="1">
        <v>9.635037034810676E-3</v>
      </c>
      <c r="J108" s="1">
        <v>3.7966841522979271E-3</v>
      </c>
    </row>
    <row r="109" spans="1:10" x14ac:dyDescent="0.3">
      <c r="A109" s="18">
        <v>43830</v>
      </c>
      <c r="B109" s="4">
        <f>Backtest!B111</f>
        <v>0.14901921902668899</v>
      </c>
      <c r="C109" s="8">
        <v>6.8481696483429833E-2</v>
      </c>
      <c r="D109" s="8">
        <v>7.2737474589509299E-2</v>
      </c>
      <c r="E109" s="8">
        <v>3.5945502827239295E-3</v>
      </c>
      <c r="G109" s="1">
        <f>LN(B109+1)</f>
        <v>0.13890872546884228</v>
      </c>
      <c r="H109" s="1">
        <v>6.6238665525925777E-2</v>
      </c>
      <c r="I109" s="1">
        <v>7.021376883858628E-2</v>
      </c>
      <c r="J109" s="1">
        <v>3.5881053267178887E-3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Pict="0" macro="[0]!go_Back">
                <anchor moveWithCells="1" sizeWithCells="1">
                  <from>
                    <xdr:col>17</xdr:col>
                    <xdr:colOff>381000</xdr:colOff>
                    <xdr:row>1</xdr:row>
                    <xdr:rowOff>83820</xdr:rowOff>
                  </from>
                  <to>
                    <xdr:col>19</xdr:col>
                    <xdr:colOff>152400</xdr:colOff>
                    <xdr:row>5</xdr:row>
                    <xdr:rowOff>22860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6940D2A-1032-4772-B029-A89729A3172F}">
  <sheetPr codeName="Sheet8">
    <tabColor rgb="FF00B050"/>
  </sheetPr>
  <dimension ref="A1:Q109"/>
  <sheetViews>
    <sheetView showGridLines="0" workbookViewId="0">
      <selection activeCell="F12" sqref="F12"/>
    </sheetView>
  </sheetViews>
  <sheetFormatPr defaultRowHeight="14.4" outlineLevelCol="1" x14ac:dyDescent="0.3"/>
  <cols>
    <col min="1" max="1" width="14.6640625" style="1" customWidth="1"/>
    <col min="2" max="2" width="22" style="1" bestFit="1" customWidth="1"/>
    <col min="3" max="7" width="8.88671875" style="1"/>
    <col min="8" max="11" width="8.88671875" style="1" hidden="1" customWidth="1" outlineLevel="1"/>
    <col min="12" max="12" width="8.88671875" style="1" collapsed="1"/>
    <col min="13" max="14" width="10.5546875" style="1" bestFit="1" customWidth="1"/>
    <col min="15" max="15" width="8.88671875" style="1"/>
    <col min="16" max="16" width="20.33203125" style="1" bestFit="1" customWidth="1"/>
    <col min="17" max="16384" width="8.88671875" style="1"/>
  </cols>
  <sheetData>
    <row r="1" spans="1:17" x14ac:dyDescent="0.3">
      <c r="A1" s="18"/>
      <c r="B1" s="23" t="s">
        <v>191</v>
      </c>
      <c r="C1" s="23" t="s">
        <v>105</v>
      </c>
      <c r="D1" s="23" t="s">
        <v>75</v>
      </c>
      <c r="E1" s="23" t="s">
        <v>189</v>
      </c>
      <c r="F1" s="23" t="s">
        <v>200</v>
      </c>
      <c r="H1" s="23" t="s">
        <v>191</v>
      </c>
      <c r="I1" s="23" t="s">
        <v>105</v>
      </c>
      <c r="J1" s="23" t="s">
        <v>75</v>
      </c>
      <c r="K1" s="23" t="s">
        <v>189</v>
      </c>
    </row>
    <row r="2" spans="1:17" x14ac:dyDescent="0.3">
      <c r="A2" s="18">
        <v>40574</v>
      </c>
      <c r="B2" s="4">
        <f>Backtest!B4</f>
        <v>-2.9738266362924336E-2</v>
      </c>
      <c r="C2" s="8">
        <v>-3.9389768096870781E-2</v>
      </c>
      <c r="D2" s="8">
        <v>-3.4945913826338604E-2</v>
      </c>
      <c r="E2" s="8">
        <v>8.9926150875327959E-3</v>
      </c>
      <c r="F2" s="4">
        <f>(B2-C2)+E2</f>
        <v>1.8644116821479241E-2</v>
      </c>
      <c r="G2" s="4"/>
      <c r="H2" s="1">
        <f>LN(F2+1)</f>
        <v>1.8472445763016602E-2</v>
      </c>
      <c r="I2" s="1">
        <v>-4.0186538232948897E-2</v>
      </c>
      <c r="J2" s="1">
        <v>-3.5571131365419312E-2</v>
      </c>
      <c r="K2" s="1">
        <v>8.9524223035902638E-3</v>
      </c>
      <c r="P2" s="23" t="s">
        <v>191</v>
      </c>
      <c r="Q2" s="23" t="s">
        <v>189</v>
      </c>
    </row>
    <row r="3" spans="1:17" x14ac:dyDescent="0.3">
      <c r="A3" s="18">
        <v>40602</v>
      </c>
      <c r="B3" s="4">
        <f>Backtest!B5</f>
        <v>8.0108777337649546E-3</v>
      </c>
      <c r="C3" s="8">
        <v>1.2141212378839583E-2</v>
      </c>
      <c r="D3" s="8">
        <v>2.0012272665642428E-2</v>
      </c>
      <c r="E3" s="8">
        <v>8.4239094197378073E-3</v>
      </c>
      <c r="F3" s="4">
        <f t="shared" ref="F3:F66" si="0">(B3-C3)+E3</f>
        <v>4.2935747746631787E-3</v>
      </c>
      <c r="G3" s="4"/>
      <c r="H3" s="1">
        <f t="shared" ref="H3:H66" si="1">LN(F3+1)</f>
        <v>4.2843836815290824E-3</v>
      </c>
      <c r="I3" s="1">
        <v>1.2068099054517792E-2</v>
      </c>
      <c r="J3" s="1">
        <v>1.9814659248935114E-2</v>
      </c>
      <c r="K3" s="1">
        <v>8.3886263041515925E-3</v>
      </c>
      <c r="M3" s="12">
        <f>DATE(O3,1,1)</f>
        <v>40544</v>
      </c>
      <c r="N3" s="12">
        <f>DATE(O3+1,1,1)-1</f>
        <v>40908</v>
      </c>
      <c r="O3" s="29">
        <v>2011</v>
      </c>
      <c r="P3" s="30">
        <f>EXP(SUMIFS(H:H,$A:$A,"&gt;=" &amp; $M3,$A:$A,"&lt;=" &amp;$N3))-1</f>
        <v>0.2232248995899746</v>
      </c>
      <c r="Q3" s="30">
        <f t="shared" ref="Q3:Q11" si="2">EXP(SUMIFS(K:K,$A:$A,"&gt;=" &amp; $M3,$A:$A,"&lt;=" &amp;$N3))-1</f>
        <v>0.11593440018788481</v>
      </c>
    </row>
    <row r="4" spans="1:17" x14ac:dyDescent="0.3">
      <c r="A4" s="18">
        <v>40633</v>
      </c>
      <c r="B4" s="4">
        <f>Backtest!B6</f>
        <v>4.8675064712646265E-2</v>
      </c>
      <c r="C4" s="8">
        <v>1.786053497014084E-2</v>
      </c>
      <c r="D4" s="8">
        <v>2.2549954686312379E-2</v>
      </c>
      <c r="E4" s="8">
        <v>9.1702201069219225E-3</v>
      </c>
      <c r="F4" s="4">
        <f t="shared" si="0"/>
        <v>3.9984749849427348E-2</v>
      </c>
      <c r="G4" s="4"/>
      <c r="H4" s="1">
        <f t="shared" si="1"/>
        <v>3.9206049439449817E-2</v>
      </c>
      <c r="I4" s="1">
        <v>1.7702909696091444E-2</v>
      </c>
      <c r="J4" s="1">
        <v>2.2299463180367983E-2</v>
      </c>
      <c r="K4" s="1">
        <v>9.1284289337297056E-3</v>
      </c>
      <c r="M4" s="12">
        <f t="shared" ref="M4:M11" si="3">DATE(O4,1,1)</f>
        <v>40909</v>
      </c>
      <c r="N4" s="12">
        <f t="shared" ref="N4:N11" si="4">DATE(O4+1,1,1)-1</f>
        <v>41274</v>
      </c>
      <c r="O4" s="6">
        <v>2012</v>
      </c>
      <c r="P4" s="8">
        <f t="shared" ref="P4:P11" si="5">EXP(SUMIFS(H:H,$A:$A,"&gt;=" &amp; $M4,$A:$A,"&lt;=" &amp;$N4))-1</f>
        <v>6.7245076207932186E-2</v>
      </c>
      <c r="Q4" s="8">
        <f t="shared" si="2"/>
        <v>8.4289005281513729E-2</v>
      </c>
    </row>
    <row r="5" spans="1:17" x14ac:dyDescent="0.3">
      <c r="A5" s="18">
        <v>40662</v>
      </c>
      <c r="B5" s="4">
        <f>Backtest!B7</f>
        <v>2.1840236668671451E-2</v>
      </c>
      <c r="C5" s="8">
        <v>-3.577661558290457E-2</v>
      </c>
      <c r="D5" s="8">
        <v>-3.6788099439369226E-2</v>
      </c>
      <c r="E5" s="8">
        <v>8.3788889008014067E-3</v>
      </c>
      <c r="F5" s="4">
        <f t="shared" si="0"/>
        <v>6.5995741152377427E-2</v>
      </c>
      <c r="G5" s="4"/>
      <c r="H5" s="1">
        <f t="shared" si="1"/>
        <v>6.3909330569046865E-2</v>
      </c>
      <c r="I5" s="1">
        <v>-3.643228464229651E-2</v>
      </c>
      <c r="J5" s="1">
        <v>-3.7481849270692716E-2</v>
      </c>
      <c r="K5" s="1">
        <v>8.3439808693263635E-3</v>
      </c>
      <c r="M5" s="12">
        <f t="shared" si="3"/>
        <v>41275</v>
      </c>
      <c r="N5" s="12">
        <f t="shared" si="4"/>
        <v>41639</v>
      </c>
      <c r="O5" s="29">
        <v>2013</v>
      </c>
      <c r="P5" s="30">
        <f t="shared" si="5"/>
        <v>8.3958263177363879E-2</v>
      </c>
      <c r="Q5" s="30">
        <f t="shared" si="2"/>
        <v>8.0419302357868316E-2</v>
      </c>
    </row>
    <row r="6" spans="1:17" x14ac:dyDescent="0.3">
      <c r="A6" s="18">
        <v>40694</v>
      </c>
      <c r="B6" s="4">
        <f>Backtest!B8</f>
        <v>1.8420874784558384E-2</v>
      </c>
      <c r="C6" s="8">
        <v>-2.2875149887574775E-2</v>
      </c>
      <c r="D6" s="8">
        <v>-2.2740954216635023E-2</v>
      </c>
      <c r="E6" s="8">
        <v>9.8548743155024709E-3</v>
      </c>
      <c r="F6" s="4">
        <f t="shared" si="0"/>
        <v>5.1150898987635626E-2</v>
      </c>
      <c r="G6" s="4"/>
      <c r="H6" s="1">
        <f t="shared" si="1"/>
        <v>4.9885658170639044E-2</v>
      </c>
      <c r="I6" s="1">
        <v>-2.3140845838174495E-2</v>
      </c>
      <c r="J6" s="1">
        <v>-2.3003517986228454E-2</v>
      </c>
      <c r="K6" s="1">
        <v>9.8066317324117559E-3</v>
      </c>
      <c r="M6" s="12">
        <f t="shared" si="3"/>
        <v>41640</v>
      </c>
      <c r="N6" s="12">
        <f t="shared" si="4"/>
        <v>42004</v>
      </c>
      <c r="O6" s="6">
        <v>2014</v>
      </c>
      <c r="P6" s="8">
        <f t="shared" si="5"/>
        <v>1.0215415470866906E-2</v>
      </c>
      <c r="Q6" s="8">
        <f t="shared" si="2"/>
        <v>0.10799694845813512</v>
      </c>
    </row>
    <row r="7" spans="1:17" x14ac:dyDescent="0.3">
      <c r="A7" s="18">
        <v>40724</v>
      </c>
      <c r="B7" s="4">
        <f>Backtest!B9</f>
        <v>2.2000206701209106E-3</v>
      </c>
      <c r="C7" s="8">
        <v>-3.4300473072619853E-2</v>
      </c>
      <c r="D7" s="8">
        <v>-1.5481946350640041E-2</v>
      </c>
      <c r="E7" s="8">
        <v>9.5161592213626189E-3</v>
      </c>
      <c r="F7" s="4">
        <f t="shared" si="0"/>
        <v>4.6016652964103386E-2</v>
      </c>
      <c r="G7" s="4"/>
      <c r="H7" s="1">
        <f t="shared" si="1"/>
        <v>4.4989286131777023E-2</v>
      </c>
      <c r="I7" s="1">
        <v>-3.4902541884729028E-2</v>
      </c>
      <c r="J7" s="1">
        <v>-1.5603043184491515E-2</v>
      </c>
      <c r="K7" s="1">
        <v>9.4711657960472907E-3</v>
      </c>
      <c r="M7" s="12">
        <f t="shared" si="3"/>
        <v>42005</v>
      </c>
      <c r="N7" s="12">
        <f t="shared" si="4"/>
        <v>42369</v>
      </c>
      <c r="O7" s="29">
        <v>2015</v>
      </c>
      <c r="P7" s="30">
        <f t="shared" si="5"/>
        <v>9.5281775394576274E-2</v>
      </c>
      <c r="Q7" s="30">
        <f t="shared" si="2"/>
        <v>0.13218698988575128</v>
      </c>
    </row>
    <row r="8" spans="1:17" x14ac:dyDescent="0.3">
      <c r="A8" s="18">
        <v>40753</v>
      </c>
      <c r="B8" s="4">
        <f>Backtest!B10</f>
        <v>-5.8531589871156857E-2</v>
      </c>
      <c r="C8" s="8">
        <v>-5.7371690094802141E-2</v>
      </c>
      <c r="D8" s="8">
        <v>-5.0150852646440924E-2</v>
      </c>
      <c r="E8" s="8">
        <v>9.6570568631118014E-3</v>
      </c>
      <c r="F8" s="4">
        <f t="shared" si="0"/>
        <v>8.4971570867570859E-3</v>
      </c>
      <c r="G8" s="4"/>
      <c r="H8" s="1">
        <f t="shared" si="1"/>
        <v>8.4612594560065646E-3</v>
      </c>
      <c r="I8" s="1">
        <v>-5.9083231095436055E-2</v>
      </c>
      <c r="J8" s="1">
        <v>-5.1452099255787663E-2</v>
      </c>
      <c r="K8" s="1">
        <v>9.6107255335234985E-3</v>
      </c>
      <c r="M8" s="12">
        <f t="shared" si="3"/>
        <v>42370</v>
      </c>
      <c r="N8" s="12">
        <f t="shared" si="4"/>
        <v>42735</v>
      </c>
      <c r="O8" s="6">
        <v>2016</v>
      </c>
      <c r="P8" s="8">
        <f t="shared" si="5"/>
        <v>0.54389670536000301</v>
      </c>
      <c r="Q8" s="8">
        <f t="shared" si="2"/>
        <v>0.14003151083175558</v>
      </c>
    </row>
    <row r="9" spans="1:17" x14ac:dyDescent="0.3">
      <c r="A9" s="18">
        <v>40786</v>
      </c>
      <c r="B9" s="4">
        <f>Backtest!B11</f>
        <v>-6.3092730703823624E-2</v>
      </c>
      <c r="C9" s="8">
        <v>-3.9581187078611579E-2</v>
      </c>
      <c r="D9" s="8">
        <v>-4.1641186682980447E-2</v>
      </c>
      <c r="E9" s="8">
        <v>1.0723884180061427E-2</v>
      </c>
      <c r="F9" s="4">
        <f t="shared" si="0"/>
        <v>-1.2787659445150618E-2</v>
      </c>
      <c r="G9" s="4"/>
      <c r="H9" s="1">
        <f t="shared" si="1"/>
        <v>-1.2870125347101491E-2</v>
      </c>
      <c r="I9" s="1">
        <v>-4.038582619571035E-2</v>
      </c>
      <c r="J9" s="1">
        <v>-4.2533026963181578E-2</v>
      </c>
      <c r="K9" s="1">
        <v>1.0666791144149625E-2</v>
      </c>
      <c r="M9" s="12">
        <f t="shared" si="3"/>
        <v>42736</v>
      </c>
      <c r="N9" s="12">
        <f t="shared" si="4"/>
        <v>43100</v>
      </c>
      <c r="O9" s="29">
        <v>2017</v>
      </c>
      <c r="P9" s="30">
        <f t="shared" si="5"/>
        <v>0.40550417707221431</v>
      </c>
      <c r="Q9" s="30">
        <f t="shared" si="2"/>
        <v>9.9788263922495624E-2</v>
      </c>
    </row>
    <row r="10" spans="1:17" x14ac:dyDescent="0.3">
      <c r="A10" s="18">
        <v>40816</v>
      </c>
      <c r="B10" s="4">
        <f>Backtest!B12</f>
        <v>-0.12623946554344118</v>
      </c>
      <c r="C10" s="8">
        <v>-7.3824101559250233E-2</v>
      </c>
      <c r="D10" s="8">
        <v>-4.5487641432351622E-2</v>
      </c>
      <c r="E10" s="8">
        <v>9.4162721297723628E-3</v>
      </c>
      <c r="F10" s="4">
        <f t="shared" si="0"/>
        <v>-4.2999091854418581E-2</v>
      </c>
      <c r="G10" s="4"/>
      <c r="H10" s="1">
        <f t="shared" si="1"/>
        <v>-4.3950938579182183E-2</v>
      </c>
      <c r="I10" s="1">
        <v>-7.6691107255546828E-2</v>
      </c>
      <c r="J10" s="1">
        <v>-4.6554688212729053E-2</v>
      </c>
      <c r="K10" s="1">
        <v>9.3722153902579212E-3</v>
      </c>
      <c r="M10" s="12">
        <f t="shared" si="3"/>
        <v>43101</v>
      </c>
      <c r="N10" s="12">
        <f t="shared" si="4"/>
        <v>43465</v>
      </c>
      <c r="O10" s="6">
        <v>2018</v>
      </c>
      <c r="P10" s="8">
        <f t="shared" si="5"/>
        <v>-1.243999699072762E-2</v>
      </c>
      <c r="Q10" s="8">
        <f t="shared" si="2"/>
        <v>6.4252421351091105E-2</v>
      </c>
    </row>
    <row r="11" spans="1:17" x14ac:dyDescent="0.3">
      <c r="A11" s="18">
        <v>40847</v>
      </c>
      <c r="B11" s="4">
        <f>Backtest!B13</f>
        <v>5.2049077992494662E-2</v>
      </c>
      <c r="C11" s="8">
        <v>0.11493681724014038</v>
      </c>
      <c r="D11" s="8">
        <v>8.8357800577627543E-2</v>
      </c>
      <c r="E11" s="8">
        <v>8.8248319235877393E-3</v>
      </c>
      <c r="F11" s="4">
        <f t="shared" si="0"/>
        <v>-5.4062907324057968E-2</v>
      </c>
      <c r="G11" s="4"/>
      <c r="H11" s="1">
        <f t="shared" si="1"/>
        <v>-5.5579210369755043E-2</v>
      </c>
      <c r="I11" s="1">
        <v>0.10879773715415454</v>
      </c>
      <c r="J11" s="1">
        <v>8.4669955195907531E-2</v>
      </c>
      <c r="K11" s="1">
        <v>8.7861206744906922E-3</v>
      </c>
      <c r="M11" s="12">
        <f t="shared" si="3"/>
        <v>43466</v>
      </c>
      <c r="N11" s="12">
        <f t="shared" si="4"/>
        <v>43830</v>
      </c>
      <c r="O11" s="29">
        <v>2019</v>
      </c>
      <c r="P11" s="30">
        <f t="shared" si="5"/>
        <v>0.4518368712649945</v>
      </c>
      <c r="Q11" s="30">
        <f t="shared" si="2"/>
        <v>5.9758179496060659E-2</v>
      </c>
    </row>
    <row r="12" spans="1:17" x14ac:dyDescent="0.3">
      <c r="A12" s="18">
        <v>40877</v>
      </c>
      <c r="B12" s="4">
        <f>Backtest!B14</f>
        <v>-4.3639378864196009E-3</v>
      </c>
      <c r="C12" s="8">
        <v>-2.5084678359365342E-2</v>
      </c>
      <c r="D12" s="8">
        <v>-1.0567765054299239E-2</v>
      </c>
      <c r="E12" s="8">
        <v>8.5874319367125196E-3</v>
      </c>
      <c r="F12" s="4">
        <f t="shared" si="0"/>
        <v>2.9308172409658259E-2</v>
      </c>
      <c r="G12" s="4"/>
      <c r="H12" s="1">
        <f t="shared" si="1"/>
        <v>2.8886899293128876E-2</v>
      </c>
      <c r="I12" s="1">
        <v>-2.5404661355283777E-2</v>
      </c>
      <c r="J12" s="1">
        <v>-1.0624000422407834E-2</v>
      </c>
      <c r="K12" s="1">
        <v>8.550769683298879E-3</v>
      </c>
      <c r="O12" s="35" t="s">
        <v>201</v>
      </c>
      <c r="P12" s="36">
        <f t="array" ref="P12">PRODUCT(P3:P11+1)-1</f>
        <v>3.8714088523966721</v>
      </c>
      <c r="Q12" s="36">
        <f t="array" ref="Q12">PRODUCT(Q3:Q11+1)-1</f>
        <v>1.3190501425444698</v>
      </c>
    </row>
    <row r="13" spans="1:17" x14ac:dyDescent="0.3">
      <c r="A13" s="18">
        <v>40907</v>
      </c>
      <c r="B13" s="4">
        <f>Backtest!B15</f>
        <v>4.6604505572781833E-2</v>
      </c>
      <c r="C13" s="8">
        <v>-2.1257142857142863E-3</v>
      </c>
      <c r="D13" s="8">
        <v>1.5212641602651678E-2</v>
      </c>
      <c r="E13" s="8">
        <v>8.6514116818934284E-3</v>
      </c>
      <c r="F13" s="4">
        <f t="shared" si="0"/>
        <v>5.7381631540389548E-2</v>
      </c>
      <c r="G13" s="4"/>
      <c r="H13" s="1">
        <f t="shared" si="1"/>
        <v>5.579569332388952E-2</v>
      </c>
      <c r="I13" s="1">
        <v>-2.127976823234041E-3</v>
      </c>
      <c r="J13" s="1">
        <v>1.5098089667788335E-2</v>
      </c>
      <c r="K13" s="1">
        <v>8.6142026728080381E-3</v>
      </c>
    </row>
    <row r="14" spans="1:17" x14ac:dyDescent="0.3">
      <c r="A14" s="18">
        <v>40939</v>
      </c>
      <c r="B14" s="4">
        <f>Backtest!B16</f>
        <v>5.3646803788298142E-2</v>
      </c>
      <c r="C14" s="8">
        <v>0.1113258777779933</v>
      </c>
      <c r="D14" s="8">
        <v>7.9255074058211417E-2</v>
      </c>
      <c r="E14" s="8">
        <v>9.2864019759546501E-3</v>
      </c>
      <c r="F14" s="4">
        <f t="shared" si="0"/>
        <v>-4.8392672013740506E-2</v>
      </c>
      <c r="G14" s="4"/>
      <c r="H14" s="1">
        <f t="shared" si="1"/>
        <v>-4.9602799882838118E-2</v>
      </c>
      <c r="I14" s="1">
        <v>0.10555378697991501</v>
      </c>
      <c r="J14" s="1">
        <v>7.6271056909353194E-2</v>
      </c>
      <c r="K14" s="1">
        <v>9.2435484442408081E-3</v>
      </c>
    </row>
    <row r="15" spans="1:17" x14ac:dyDescent="0.3">
      <c r="A15" s="18">
        <v>40968</v>
      </c>
      <c r="B15" s="4">
        <f>Backtest!B17</f>
        <v>6.0262267104364844E-2</v>
      </c>
      <c r="C15" s="8">
        <v>4.3432695493901274E-2</v>
      </c>
      <c r="D15" s="8">
        <v>3.8487525584295135E-2</v>
      </c>
      <c r="E15" s="8">
        <v>7.417313194230557E-3</v>
      </c>
      <c r="F15" s="4">
        <f t="shared" si="0"/>
        <v>2.4246884804694127E-2</v>
      </c>
      <c r="G15" s="4"/>
      <c r="H15" s="1">
        <f t="shared" si="1"/>
        <v>2.395759599984152E-2</v>
      </c>
      <c r="I15" s="1">
        <v>4.2515946647028048E-2</v>
      </c>
      <c r="J15" s="1">
        <v>3.7765352306464682E-2</v>
      </c>
      <c r="K15" s="1">
        <v>7.3899401994347545E-3</v>
      </c>
    </row>
    <row r="16" spans="1:17" x14ac:dyDescent="0.3">
      <c r="A16" s="18">
        <v>40998</v>
      </c>
      <c r="B16" s="4">
        <f>Backtest!B18</f>
        <v>3.3981872732814934E-3</v>
      </c>
      <c r="C16" s="8">
        <v>-1.9763962942759394E-2</v>
      </c>
      <c r="D16" s="8">
        <v>-2.2882777155980305E-3</v>
      </c>
      <c r="E16" s="8">
        <v>8.1101476565055286E-3</v>
      </c>
      <c r="F16" s="4">
        <f t="shared" si="0"/>
        <v>3.1272297872546415E-2</v>
      </c>
      <c r="G16" s="4"/>
      <c r="H16" s="1">
        <f t="shared" si="1"/>
        <v>3.0793280612436642E-2</v>
      </c>
      <c r="I16" s="1">
        <v>-1.996188217817987E-2</v>
      </c>
      <c r="J16" s="1">
        <v>-2.2908998238882331E-3</v>
      </c>
      <c r="K16" s="1">
        <v>8.07743714802177E-3</v>
      </c>
    </row>
    <row r="17" spans="1:11" x14ac:dyDescent="0.3">
      <c r="A17" s="18">
        <v>41029</v>
      </c>
      <c r="B17" s="4">
        <f>Backtest!B19</f>
        <v>-8.6771458529122155E-3</v>
      </c>
      <c r="C17" s="8">
        <v>-4.1709165878687338E-2</v>
      </c>
      <c r="D17" s="8">
        <v>-2.4798125244486879E-2</v>
      </c>
      <c r="E17" s="8">
        <v>7.0293532531613412E-3</v>
      </c>
      <c r="F17" s="4">
        <f t="shared" si="0"/>
        <v>4.0061373278936462E-2</v>
      </c>
      <c r="G17" s="4"/>
      <c r="H17" s="1">
        <f t="shared" si="1"/>
        <v>3.9279724180304613E-2</v>
      </c>
      <c r="I17" s="1">
        <v>-4.2603962406001034E-2</v>
      </c>
      <c r="J17" s="1">
        <v>-2.5110778385100837E-2</v>
      </c>
      <c r="K17" s="1">
        <v>7.0047625202957521E-3</v>
      </c>
    </row>
    <row r="18" spans="1:11" x14ac:dyDescent="0.3">
      <c r="A18" s="18">
        <v>41060</v>
      </c>
      <c r="B18" s="4">
        <f>Backtest!B20</f>
        <v>-9.7712864690685838E-2</v>
      </c>
      <c r="C18" s="8">
        <v>-0.11856784907223039</v>
      </c>
      <c r="D18" s="8">
        <v>-8.6061604998536545E-2</v>
      </c>
      <c r="E18" s="8">
        <v>7.3385038895981136E-3</v>
      </c>
      <c r="F18" s="4">
        <f t="shared" si="0"/>
        <v>2.8193488271142667E-2</v>
      </c>
      <c r="G18" s="4"/>
      <c r="H18" s="1">
        <f t="shared" si="1"/>
        <v>2.7803367484747533E-2</v>
      </c>
      <c r="I18" s="1">
        <v>-0.12620725012610276</v>
      </c>
      <c r="J18" s="1">
        <v>-8.9992111329699753E-2</v>
      </c>
      <c r="K18" s="1">
        <v>7.3117080841537006E-3</v>
      </c>
    </row>
    <row r="19" spans="1:11" x14ac:dyDescent="0.3">
      <c r="A19" s="18">
        <v>41089</v>
      </c>
      <c r="B19" s="4">
        <f>Backtest!B21</f>
        <v>1.4714505290574744E-2</v>
      </c>
      <c r="C19" s="8">
        <v>-2.4921821091422602E-3</v>
      </c>
      <c r="D19" s="8">
        <v>8.8319440816655437E-3</v>
      </c>
      <c r="E19" s="8">
        <v>6.3837241213551277E-3</v>
      </c>
      <c r="F19" s="4">
        <f t="shared" si="0"/>
        <v>2.3590411521072132E-2</v>
      </c>
      <c r="G19" s="4"/>
      <c r="H19" s="1">
        <f t="shared" si="1"/>
        <v>2.3316457851525443E-2</v>
      </c>
      <c r="I19" s="1">
        <v>-2.4952927642622894E-3</v>
      </c>
      <c r="J19" s="1">
        <v>8.7931705931512047E-3</v>
      </c>
      <c r="K19" s="1">
        <v>6.3634344578227097E-3</v>
      </c>
    </row>
    <row r="20" spans="1:11" x14ac:dyDescent="0.3">
      <c r="A20" s="18">
        <v>41121</v>
      </c>
      <c r="B20" s="4">
        <f>Backtest!B22</f>
        <v>-2.7946845855291776E-2</v>
      </c>
      <c r="C20" s="8">
        <v>3.2058004290345332E-2</v>
      </c>
      <c r="D20" s="8">
        <v>3.1060593442965523E-2</v>
      </c>
      <c r="E20" s="8">
        <v>6.7744460715404298E-3</v>
      </c>
      <c r="F20" s="4">
        <f t="shared" si="0"/>
        <v>-5.3230404074096682E-2</v>
      </c>
      <c r="G20" s="4"/>
      <c r="H20" s="1">
        <f t="shared" si="1"/>
        <v>-5.4699514314722579E-2</v>
      </c>
      <c r="I20" s="1">
        <v>3.1554871187588353E-2</v>
      </c>
      <c r="J20" s="1">
        <v>3.0587974833514182E-2</v>
      </c>
      <c r="K20" s="1">
        <v>6.7516026215332153E-3</v>
      </c>
    </row>
    <row r="21" spans="1:11" x14ac:dyDescent="0.3">
      <c r="A21" s="18">
        <v>41152</v>
      </c>
      <c r="B21" s="4">
        <f>Backtest!B23</f>
        <v>-9.2118630298758993E-3</v>
      </c>
      <c r="C21" s="8">
        <v>1.7189836907790301E-2</v>
      </c>
      <c r="D21" s="8">
        <v>-1.5595515188006059E-3</v>
      </c>
      <c r="E21" s="8">
        <v>6.8824998265937243E-3</v>
      </c>
      <c r="F21" s="4">
        <f t="shared" si="0"/>
        <v>-1.9519200111072478E-2</v>
      </c>
      <c r="G21" s="4"/>
      <c r="H21" s="1">
        <f t="shared" si="1"/>
        <v>-1.9712215496743523E-2</v>
      </c>
      <c r="I21" s="1">
        <v>1.7043763273081748E-2</v>
      </c>
      <c r="J21" s="1">
        <v>-1.5607688851321405E-3</v>
      </c>
      <c r="K21" s="1">
        <v>6.8589235387104073E-3</v>
      </c>
    </row>
    <row r="22" spans="1:11" x14ac:dyDescent="0.3">
      <c r="A22" s="18">
        <v>41180</v>
      </c>
      <c r="B22" s="4">
        <f>Backtest!B24</f>
        <v>5.6928027328790543E-2</v>
      </c>
      <c r="C22" s="8">
        <v>3.7056574146445698E-2</v>
      </c>
      <c r="D22" s="8">
        <v>2.7879957386077958E-2</v>
      </c>
      <c r="E22" s="8">
        <v>5.3726089255299314E-3</v>
      </c>
      <c r="F22" s="4">
        <f t="shared" si="0"/>
        <v>2.5244062107874776E-2</v>
      </c>
      <c r="G22" s="4"/>
      <c r="H22" s="1">
        <f t="shared" si="1"/>
        <v>2.493069362037003E-2</v>
      </c>
      <c r="I22" s="1">
        <v>3.6386483348917628E-2</v>
      </c>
      <c r="J22" s="1">
        <v>2.7498387243737914E-2</v>
      </c>
      <c r="K22" s="1">
        <v>5.3582279481127577E-3</v>
      </c>
    </row>
    <row r="23" spans="1:11" x14ac:dyDescent="0.3">
      <c r="A23" s="18">
        <v>41213</v>
      </c>
      <c r="B23" s="4">
        <f>Backtest!B25</f>
        <v>-3.0790693721438386E-3</v>
      </c>
      <c r="C23" s="8">
        <v>-3.5617540248648605E-2</v>
      </c>
      <c r="D23" s="8">
        <v>-1.0709366128392128E-2</v>
      </c>
      <c r="E23" s="8">
        <v>6.0828896929365772E-3</v>
      </c>
      <c r="F23" s="4">
        <f t="shared" si="0"/>
        <v>3.8621360569441342E-2</v>
      </c>
      <c r="G23" s="4"/>
      <c r="H23" s="1">
        <f t="shared" si="1"/>
        <v>3.7894218911603841E-2</v>
      </c>
      <c r="I23" s="1">
        <v>-3.6267320572424273E-2</v>
      </c>
      <c r="J23" s="1">
        <v>-1.0767124127668533E-2</v>
      </c>
      <c r="K23" s="1">
        <v>6.0644636042499643E-3</v>
      </c>
    </row>
    <row r="24" spans="1:11" x14ac:dyDescent="0.3">
      <c r="A24" s="18">
        <v>41243</v>
      </c>
      <c r="B24" s="4">
        <f>Backtest!B26</f>
        <v>-2.4987191819265987E-2</v>
      </c>
      <c r="C24" s="8">
        <v>7.1213039836546255E-3</v>
      </c>
      <c r="D24" s="8">
        <v>1.1556691671612551E-2</v>
      </c>
      <c r="E24" s="8">
        <v>5.4460978315724606E-3</v>
      </c>
      <c r="F24" s="4">
        <f t="shared" si="0"/>
        <v>-2.6662397971348152E-2</v>
      </c>
      <c r="G24" s="4"/>
      <c r="H24" s="1">
        <f t="shared" si="1"/>
        <v>-2.7024286751661065E-2</v>
      </c>
      <c r="I24" s="1">
        <v>7.0960672399569009E-3</v>
      </c>
      <c r="J24" s="1">
        <v>1.1490423184703318E-2</v>
      </c>
      <c r="K24" s="1">
        <v>5.4313214655226545E-3</v>
      </c>
    </row>
    <row r="25" spans="1:11" x14ac:dyDescent="0.3">
      <c r="A25" s="18">
        <v>41274</v>
      </c>
      <c r="B25" s="4">
        <f>Backtest!B27</f>
        <v>6.3600375520490401E-2</v>
      </c>
      <c r="C25" s="8">
        <v>6.0504988290479567E-2</v>
      </c>
      <c r="D25" s="8">
        <v>4.7729056814926674E-2</v>
      </c>
      <c r="E25" s="8">
        <v>5.0819771515933088E-3</v>
      </c>
      <c r="F25" s="4">
        <f t="shared" si="0"/>
        <v>8.1773643816041436E-3</v>
      </c>
      <c r="G25" s="4"/>
      <c r="H25" s="1">
        <f t="shared" si="1"/>
        <v>8.1441108983893746E-3</v>
      </c>
      <c r="I25" s="1">
        <v>5.8745198727218527E-2</v>
      </c>
      <c r="J25" s="1">
        <v>4.6625018899741633E-2</v>
      </c>
      <c r="K25" s="1">
        <v>5.0691074895121754E-3</v>
      </c>
    </row>
    <row r="26" spans="1:11" x14ac:dyDescent="0.3">
      <c r="A26" s="18">
        <v>41305</v>
      </c>
      <c r="B26" s="4">
        <f>Backtest!B28</f>
        <v>-5.4500872919808784E-2</v>
      </c>
      <c r="C26" s="8">
        <v>-1.9533371286633239E-2</v>
      </c>
      <c r="D26" s="8">
        <v>2.2854720132032824E-3</v>
      </c>
      <c r="E26" s="8">
        <v>6.130888436296722E-3</v>
      </c>
      <c r="F26" s="4">
        <f t="shared" si="0"/>
        <v>-2.8836613196878823E-2</v>
      </c>
      <c r="G26" s="4"/>
      <c r="H26" s="1">
        <f t="shared" si="1"/>
        <v>-2.9260558313471654E-2</v>
      </c>
      <c r="I26" s="1">
        <v>-1.9726668893458133E-2</v>
      </c>
      <c r="J26" s="1">
        <v>2.2828642945312695E-3</v>
      </c>
      <c r="K26" s="1">
        <v>6.1121710038224628E-3</v>
      </c>
    </row>
    <row r="27" spans="1:11" x14ac:dyDescent="0.3">
      <c r="A27" s="18">
        <v>41333</v>
      </c>
      <c r="B27" s="4">
        <f>Backtest!B29</f>
        <v>-4.331503161538329E-2</v>
      </c>
      <c r="C27" s="8">
        <v>-3.910879077667051E-2</v>
      </c>
      <c r="D27" s="8">
        <v>-2.8908565818694831E-2</v>
      </c>
      <c r="E27" s="8">
        <v>4.8148061317105917E-3</v>
      </c>
      <c r="F27" s="4">
        <f t="shared" si="0"/>
        <v>6.0856529299781192E-4</v>
      </c>
      <c r="G27" s="4"/>
      <c r="H27" s="1">
        <f t="shared" si="1"/>
        <v>6.0838019223344829E-4</v>
      </c>
      <c r="I27" s="1">
        <v>-3.9894082223092119E-2</v>
      </c>
      <c r="J27" s="1">
        <v>-2.9334650158755349E-2</v>
      </c>
      <c r="K27" s="1">
        <v>4.8032520250142494E-3</v>
      </c>
    </row>
    <row r="28" spans="1:11" x14ac:dyDescent="0.3">
      <c r="A28" s="18">
        <v>41362</v>
      </c>
      <c r="B28" s="4">
        <f>Backtest!B30</f>
        <v>-2.8835261859469268E-2</v>
      </c>
      <c r="C28" s="8">
        <v>-1.8671538007428934E-2</v>
      </c>
      <c r="D28" s="8">
        <v>6.3676524749902708E-3</v>
      </c>
      <c r="E28" s="8">
        <v>5.3757025444591822E-3</v>
      </c>
      <c r="F28" s="4">
        <f t="shared" si="0"/>
        <v>-4.7880213075811515E-3</v>
      </c>
      <c r="G28" s="4"/>
      <c r="H28" s="1">
        <f t="shared" si="1"/>
        <v>-4.7995206021970854E-3</v>
      </c>
      <c r="I28" s="1">
        <v>-1.8848051815936049E-2</v>
      </c>
      <c r="J28" s="1">
        <v>6.3474646301012383E-3</v>
      </c>
      <c r="K28" s="1">
        <v>5.361305030323003E-3</v>
      </c>
    </row>
    <row r="29" spans="1:11" x14ac:dyDescent="0.3">
      <c r="A29" s="18">
        <v>41394</v>
      </c>
      <c r="B29" s="4">
        <f>Backtest!B31</f>
        <v>-9.1165695452454371E-3</v>
      </c>
      <c r="C29" s="8">
        <v>-7.8382172092964497E-3</v>
      </c>
      <c r="D29" s="8">
        <v>7.8181747251053757E-3</v>
      </c>
      <c r="E29" s="8">
        <v>6.0004097743788787E-3</v>
      </c>
      <c r="F29" s="4">
        <f t="shared" si="0"/>
        <v>4.7220574384298913E-3</v>
      </c>
      <c r="G29" s="4"/>
      <c r="H29" s="1">
        <f t="shared" si="1"/>
        <v>4.7109434985791905E-3</v>
      </c>
      <c r="I29" s="1">
        <v>-7.869097503954748E-3</v>
      </c>
      <c r="J29" s="1">
        <v>7.7877711611907003E-3</v>
      </c>
      <c r="K29" s="1">
        <v>5.9824790078610041E-3</v>
      </c>
    </row>
    <row r="30" spans="1:11" x14ac:dyDescent="0.3">
      <c r="A30" s="18">
        <v>41425</v>
      </c>
      <c r="B30" s="4">
        <f>Backtest!B32</f>
        <v>-4.02428537966701E-2</v>
      </c>
      <c r="C30" s="8">
        <v>-4.3002732944139255E-2</v>
      </c>
      <c r="D30" s="8">
        <v>-8.7284829370393169E-3</v>
      </c>
      <c r="E30" s="8">
        <v>5.8304906450812322E-3</v>
      </c>
      <c r="F30" s="4">
        <f t="shared" si="0"/>
        <v>8.5903697925503869E-3</v>
      </c>
      <c r="G30" s="4"/>
      <c r="H30" s="1">
        <f t="shared" si="1"/>
        <v>8.5536825210620355E-3</v>
      </c>
      <c r="I30" s="1">
        <v>-4.3954743274262784E-2</v>
      </c>
      <c r="J30" s="1">
        <v>-8.7667992694690933E-3</v>
      </c>
      <c r="K30" s="1">
        <v>5.8135591153727663E-3</v>
      </c>
    </row>
    <row r="31" spans="1:11" x14ac:dyDescent="0.3">
      <c r="A31" s="18">
        <v>41453</v>
      </c>
      <c r="B31" s="4">
        <f>Backtest!B33</f>
        <v>-6.8044780386638151E-2</v>
      </c>
      <c r="C31" s="8">
        <v>-0.11305253045914387</v>
      </c>
      <c r="D31" s="8">
        <v>-9.0672550220098791E-2</v>
      </c>
      <c r="E31" s="8">
        <v>5.9192322625352123E-3</v>
      </c>
      <c r="F31" s="4">
        <f t="shared" si="0"/>
        <v>5.0926982335040935E-2</v>
      </c>
      <c r="G31" s="4"/>
      <c r="H31" s="1">
        <f t="shared" si="1"/>
        <v>4.9672615014216284E-2</v>
      </c>
      <c r="I31" s="1">
        <v>-0.11996952104087871</v>
      </c>
      <c r="J31" s="1">
        <v>-9.5050018891218849E-2</v>
      </c>
      <c r="K31" s="1">
        <v>5.9017824331155716E-3</v>
      </c>
    </row>
    <row r="32" spans="1:11" x14ac:dyDescent="0.3">
      <c r="A32" s="18">
        <v>41486</v>
      </c>
      <c r="B32" s="4">
        <f>Backtest!B34</f>
        <v>-3.4848839357125572E-2</v>
      </c>
      <c r="C32" s="8">
        <v>1.6381110518763231E-2</v>
      </c>
      <c r="D32" s="8">
        <v>1.7373393243584001E-2</v>
      </c>
      <c r="E32" s="8">
        <v>7.0696848461200279E-3</v>
      </c>
      <c r="F32" s="4">
        <f t="shared" si="0"/>
        <v>-4.4160265029768775E-2</v>
      </c>
      <c r="G32" s="4"/>
      <c r="H32" s="1">
        <f t="shared" si="1"/>
        <v>-4.5165021228627845E-2</v>
      </c>
      <c r="I32" s="1">
        <v>1.6248387598891113E-2</v>
      </c>
      <c r="J32" s="1">
        <v>1.7224201348017429E-2</v>
      </c>
      <c r="K32" s="1">
        <v>7.0448117852039355E-3</v>
      </c>
    </row>
    <row r="33" spans="1:11" x14ac:dyDescent="0.3">
      <c r="A33" s="18">
        <v>41516</v>
      </c>
      <c r="B33" s="4">
        <f>Backtest!B35</f>
        <v>0.14185102575552958</v>
      </c>
      <c r="C33" s="8">
        <v>3.6847070043226404E-2</v>
      </c>
      <c r="D33" s="8">
        <v>1.8659611461191217E-2</v>
      </c>
      <c r="E33" s="8">
        <v>6.9395211161193959E-3</v>
      </c>
      <c r="F33" s="4">
        <f t="shared" si="0"/>
        <v>0.11194347682842257</v>
      </c>
      <c r="G33" s="4"/>
      <c r="H33" s="1">
        <f t="shared" si="1"/>
        <v>0.10610936434622534</v>
      </c>
      <c r="I33" s="1">
        <v>3.6184444932601707E-2</v>
      </c>
      <c r="J33" s="1">
        <v>1.8487656690574582E-2</v>
      </c>
      <c r="K33" s="1">
        <v>6.9155534582841516E-3</v>
      </c>
    </row>
    <row r="34" spans="1:11" x14ac:dyDescent="0.3">
      <c r="A34" s="18">
        <v>41547</v>
      </c>
      <c r="B34" s="4">
        <f>Backtest!B36</f>
        <v>2.5581827554618131E-2</v>
      </c>
      <c r="C34" s="8">
        <v>4.6517021982811935E-2</v>
      </c>
      <c r="D34" s="8">
        <v>4.9799891769392923E-2</v>
      </c>
      <c r="E34" s="8">
        <v>6.9915896639975994E-3</v>
      </c>
      <c r="F34" s="4">
        <f t="shared" si="0"/>
        <v>-1.3943604764196205E-2</v>
      </c>
      <c r="G34" s="4"/>
      <c r="H34" s="1">
        <f t="shared" si="1"/>
        <v>-1.4041730035612271E-2</v>
      </c>
      <c r="I34" s="1">
        <v>4.5467528402605178E-2</v>
      </c>
      <c r="J34" s="1">
        <v>4.8599566739650976E-2</v>
      </c>
      <c r="K34" s="1">
        <v>6.9672618286560021E-3</v>
      </c>
    </row>
    <row r="35" spans="1:11" x14ac:dyDescent="0.3">
      <c r="A35" s="18">
        <v>41578</v>
      </c>
      <c r="B35" s="4">
        <f>Backtest!B37</f>
        <v>-1.1819943367747172E-2</v>
      </c>
      <c r="C35" s="8">
        <v>3.6646273658627937E-2</v>
      </c>
      <c r="D35" s="8">
        <v>5.3622824061782648E-2</v>
      </c>
      <c r="E35" s="8">
        <v>8.011281374408652E-3</v>
      </c>
      <c r="F35" s="4">
        <f t="shared" si="0"/>
        <v>-4.0454935651966457E-2</v>
      </c>
      <c r="G35" s="4"/>
      <c r="H35" s="1">
        <f t="shared" si="1"/>
        <v>-4.1295998146357919E-2</v>
      </c>
      <c r="I35" s="1">
        <v>3.5990765617607945E-2</v>
      </c>
      <c r="J35" s="1">
        <v>5.2234534141095398E-2</v>
      </c>
      <c r="K35" s="1">
        <v>7.9793614262398255E-3</v>
      </c>
    </row>
    <row r="36" spans="1:11" x14ac:dyDescent="0.3">
      <c r="A36" s="18">
        <v>41607</v>
      </c>
      <c r="B36" s="4">
        <f>Backtest!B38</f>
        <v>-6.9757670952426742E-2</v>
      </c>
      <c r="C36" s="8">
        <v>-3.2691194739034368E-2</v>
      </c>
      <c r="D36" s="8">
        <v>-2.0124697844100981E-2</v>
      </c>
      <c r="E36" s="8">
        <v>7.0888030643678768E-3</v>
      </c>
      <c r="F36" s="4">
        <f t="shared" si="0"/>
        <v>-2.9977673149024497E-2</v>
      </c>
      <c r="G36" s="4"/>
      <c r="H36" s="1">
        <f t="shared" si="1"/>
        <v>-3.043619037746444E-2</v>
      </c>
      <c r="I36" s="1">
        <v>-3.3237490908399454E-2</v>
      </c>
      <c r="J36" s="1">
        <v>-2.0329958111620559E-2</v>
      </c>
      <c r="K36" s="1">
        <v>7.063795612309077E-3</v>
      </c>
    </row>
    <row r="37" spans="1:11" x14ac:dyDescent="0.3">
      <c r="A37" s="18">
        <v>41639</v>
      </c>
      <c r="B37" s="4">
        <f>Backtest!B39</f>
        <v>5.2908430493689325E-2</v>
      </c>
      <c r="C37" s="8">
        <v>-1.8583337302910508E-2</v>
      </c>
      <c r="D37" s="8">
        <v>-3.0793374527102957E-2</v>
      </c>
      <c r="E37" s="8">
        <v>7.4313524458169411E-3</v>
      </c>
      <c r="F37" s="4">
        <f t="shared" si="0"/>
        <v>7.8923120242416767E-2</v>
      </c>
      <c r="G37" s="4"/>
      <c r="H37" s="1">
        <f t="shared" si="1"/>
        <v>7.596343280371716E-2</v>
      </c>
      <c r="I37" s="1">
        <v>-1.8758176973330855E-2</v>
      </c>
      <c r="J37" s="1">
        <v>-3.1277454040745334E-2</v>
      </c>
      <c r="K37" s="1">
        <v>7.403875987095662E-3</v>
      </c>
    </row>
    <row r="38" spans="1:11" x14ac:dyDescent="0.3">
      <c r="A38" s="18">
        <v>41670</v>
      </c>
      <c r="B38" s="4">
        <f>Backtest!B40</f>
        <v>3.0350050852108561E-3</v>
      </c>
      <c r="C38" s="8">
        <v>-7.5100180168986008E-2</v>
      </c>
      <c r="D38" s="8">
        <v>-8.1466958449169735E-2</v>
      </c>
      <c r="E38" s="8">
        <v>8.7525980523028846E-3</v>
      </c>
      <c r="F38" s="4">
        <f t="shared" si="0"/>
        <v>8.6887783306499752E-2</v>
      </c>
      <c r="G38" s="4"/>
      <c r="H38" s="1">
        <f t="shared" si="1"/>
        <v>8.3318367581338384E-2</v>
      </c>
      <c r="I38" s="1">
        <v>-7.8069850220283107E-2</v>
      </c>
      <c r="J38" s="1">
        <v>-8.4977401592567642E-2</v>
      </c>
      <c r="K38" s="1">
        <v>8.7145161152380832E-3</v>
      </c>
    </row>
    <row r="39" spans="1:11" x14ac:dyDescent="0.3">
      <c r="A39" s="18">
        <v>41698</v>
      </c>
      <c r="B39" s="4">
        <f>Backtest!B41</f>
        <v>-8.0664802012503423E-2</v>
      </c>
      <c r="C39" s="8">
        <v>-1.1431810071580006E-2</v>
      </c>
      <c r="D39" s="8">
        <v>-3.1810450208363816E-3</v>
      </c>
      <c r="E39" s="8">
        <v>7.8149565703482526E-3</v>
      </c>
      <c r="F39" s="4">
        <f t="shared" si="0"/>
        <v>-6.1418035370575164E-2</v>
      </c>
      <c r="G39" s="4"/>
      <c r="H39" s="1">
        <f t="shared" si="1"/>
        <v>-6.3385090989232729E-2</v>
      </c>
      <c r="I39" s="1">
        <v>-1.1497655515069696E-2</v>
      </c>
      <c r="J39" s="1">
        <v>-3.1861152999279156E-3</v>
      </c>
      <c r="K39" s="1">
        <v>7.7845779662514426E-3</v>
      </c>
    </row>
    <row r="40" spans="1:11" x14ac:dyDescent="0.3">
      <c r="A40" s="18">
        <v>41729</v>
      </c>
      <c r="B40" s="4">
        <f>Backtest!B42</f>
        <v>5.0008938418475028E-2</v>
      </c>
      <c r="C40" s="8">
        <v>7.0507321464972517E-2</v>
      </c>
      <c r="D40" s="8">
        <v>6.8949741478218307E-2</v>
      </c>
      <c r="E40" s="8">
        <v>7.6012697314107314E-3</v>
      </c>
      <c r="F40" s="4">
        <f t="shared" si="0"/>
        <v>-1.2897113315086757E-2</v>
      </c>
      <c r="G40" s="4"/>
      <c r="H40" s="1">
        <f t="shared" si="1"/>
        <v>-1.2981003152771231E-2</v>
      </c>
      <c r="I40" s="1">
        <v>6.813266831890899E-2</v>
      </c>
      <c r="J40" s="1">
        <v>6.6676616417782955E-2</v>
      </c>
      <c r="K40" s="1">
        <v>7.5725256497626006E-3</v>
      </c>
    </row>
    <row r="41" spans="1:11" x14ac:dyDescent="0.3">
      <c r="A41" s="18">
        <v>41759</v>
      </c>
      <c r="B41" s="4">
        <f>Backtest!B43</f>
        <v>6.0232233351142049E-2</v>
      </c>
      <c r="C41" s="8">
        <v>2.4036544751650624E-2</v>
      </c>
      <c r="D41" s="8">
        <v>2.7088442274225688E-2</v>
      </c>
      <c r="E41" s="8">
        <v>8.1452603913572119E-3</v>
      </c>
      <c r="F41" s="4">
        <f t="shared" si="0"/>
        <v>4.4340948990848637E-2</v>
      </c>
      <c r="G41" s="4"/>
      <c r="H41" s="1">
        <f t="shared" si="1"/>
        <v>4.3386015638121833E-2</v>
      </c>
      <c r="I41" s="1">
        <v>2.375221421453998E-2</v>
      </c>
      <c r="J41" s="1">
        <v>2.672804435075193E-2</v>
      </c>
      <c r="K41" s="1">
        <v>8.1122667977924084E-3</v>
      </c>
    </row>
    <row r="42" spans="1:11" x14ac:dyDescent="0.3">
      <c r="A42" s="18">
        <v>41789</v>
      </c>
      <c r="B42" s="4">
        <f>Backtest!B44</f>
        <v>-1.4315750597530454E-2</v>
      </c>
      <c r="C42" s="8">
        <v>-7.5038691219851961E-3</v>
      </c>
      <c r="D42" s="8">
        <v>-1.115232431573876E-2</v>
      </c>
      <c r="E42" s="8">
        <v>8.5829067903391287E-3</v>
      </c>
      <c r="F42" s="4">
        <f t="shared" si="0"/>
        <v>1.7710253147938705E-3</v>
      </c>
      <c r="G42" s="4"/>
      <c r="H42" s="1">
        <f t="shared" si="1"/>
        <v>1.7694588986300567E-3</v>
      </c>
      <c r="I42" s="1">
        <v>-7.5321647880730149E-3</v>
      </c>
      <c r="J42" s="1">
        <v>-1.1214977740947846E-2</v>
      </c>
      <c r="K42" s="1">
        <v>8.546283055385984E-3</v>
      </c>
    </row>
    <row r="43" spans="1:11" x14ac:dyDescent="0.3">
      <c r="A43" s="18">
        <v>41820</v>
      </c>
      <c r="B43" s="4">
        <f>Backtest!B45</f>
        <v>0.10851154690641815</v>
      </c>
      <c r="C43" s="8">
        <v>3.7644932698143618E-2</v>
      </c>
      <c r="D43" s="8">
        <v>3.625404333137916E-2</v>
      </c>
      <c r="E43" s="8">
        <v>8.1741919159403764E-3</v>
      </c>
      <c r="F43" s="4">
        <f t="shared" si="0"/>
        <v>7.9040806124214907E-2</v>
      </c>
      <c r="G43" s="4"/>
      <c r="H43" s="1">
        <f t="shared" si="1"/>
        <v>7.6072504026342275E-2</v>
      </c>
      <c r="I43" s="1">
        <v>3.6953657533280185E-2</v>
      </c>
      <c r="J43" s="1">
        <v>3.561232934769662E-2</v>
      </c>
      <c r="K43" s="1">
        <v>8.1409641597625509E-3</v>
      </c>
    </row>
    <row r="44" spans="1:11" x14ac:dyDescent="0.3">
      <c r="A44" s="18">
        <v>41851</v>
      </c>
      <c r="B44" s="4">
        <f>Backtest!B46</f>
        <v>9.792286687244682E-3</v>
      </c>
      <c r="C44" s="8">
        <v>5.0052474975643468E-2</v>
      </c>
      <c r="D44" s="8">
        <v>4.4590421327031171E-2</v>
      </c>
      <c r="E44" s="8">
        <v>9.404089837541596E-3</v>
      </c>
      <c r="F44" s="4">
        <f t="shared" si="0"/>
        <v>-3.085609845085719E-2</v>
      </c>
      <c r="G44" s="4"/>
      <c r="H44" s="1">
        <f t="shared" si="1"/>
        <v>-3.1342172906504394E-2</v>
      </c>
      <c r="I44" s="1">
        <v>4.8840139087944455E-2</v>
      </c>
      <c r="J44" s="1">
        <v>4.3624867273856158E-2</v>
      </c>
      <c r="K44" s="1">
        <v>9.3601466668980643E-3</v>
      </c>
    </row>
    <row r="45" spans="1:11" x14ac:dyDescent="0.3">
      <c r="A45" s="18">
        <v>41880</v>
      </c>
      <c r="B45" s="4">
        <f>Backtest!B47</f>
        <v>5.1833714845648651E-2</v>
      </c>
      <c r="C45" s="8">
        <v>9.7774649199167341E-2</v>
      </c>
      <c r="D45" s="8">
        <v>9.5895486724389301E-2</v>
      </c>
      <c r="E45" s="8">
        <v>8.5949810136547455E-3</v>
      </c>
      <c r="F45" s="4">
        <f t="shared" si="0"/>
        <v>-3.7345953339863944E-2</v>
      </c>
      <c r="G45" s="4"/>
      <c r="H45" s="1">
        <f t="shared" si="1"/>
        <v>-3.8061177148525541E-2</v>
      </c>
      <c r="I45" s="1">
        <v>9.3285084499709195E-2</v>
      </c>
      <c r="J45" s="1">
        <v>9.1571825150769726E-2</v>
      </c>
      <c r="K45" s="1">
        <v>8.5582544570048137E-3</v>
      </c>
    </row>
    <row r="46" spans="1:11" x14ac:dyDescent="0.3">
      <c r="A46" s="18">
        <v>41912</v>
      </c>
      <c r="B46" s="4">
        <f>Backtest!B48</f>
        <v>-0.15145073556882357</v>
      </c>
      <c r="C46" s="8">
        <v>-0.11702271729748515</v>
      </c>
      <c r="D46" s="8">
        <v>-0.11245969288336721</v>
      </c>
      <c r="E46" s="8">
        <v>9.0057341574025784E-3</v>
      </c>
      <c r="F46" s="4">
        <f t="shared" si="0"/>
        <v>-2.542228411393585E-2</v>
      </c>
      <c r="G46" s="4"/>
      <c r="H46" s="1">
        <f t="shared" si="1"/>
        <v>-2.5751013716073721E-2</v>
      </c>
      <c r="I46" s="1">
        <v>-0.1244558061128528</v>
      </c>
      <c r="J46" s="1">
        <v>-0.11930134219441742</v>
      </c>
      <c r="K46" s="1">
        <v>8.9654243656334537E-3</v>
      </c>
    </row>
    <row r="47" spans="1:11" x14ac:dyDescent="0.3">
      <c r="A47" s="18">
        <v>41943</v>
      </c>
      <c r="B47" s="4">
        <f>Backtest!B49</f>
        <v>-4.0284609337609009E-2</v>
      </c>
      <c r="C47" s="8">
        <v>9.4722448074506804E-3</v>
      </c>
      <c r="D47" s="8">
        <v>9.483349284744147E-3</v>
      </c>
      <c r="E47" s="8">
        <v>9.4391503550306233E-3</v>
      </c>
      <c r="F47" s="4">
        <f t="shared" si="0"/>
        <v>-4.0317703790029066E-2</v>
      </c>
      <c r="G47" s="4"/>
      <c r="H47" s="1">
        <f t="shared" si="1"/>
        <v>-4.1152990741407887E-2</v>
      </c>
      <c r="I47" s="1">
        <v>9.4276643932346398E-3</v>
      </c>
      <c r="J47" s="1">
        <v>9.4386646126808447E-3</v>
      </c>
      <c r="K47" s="1">
        <v>9.3948799406803393E-3</v>
      </c>
    </row>
    <row r="48" spans="1:11" x14ac:dyDescent="0.3">
      <c r="A48" s="18">
        <v>41971</v>
      </c>
      <c r="B48" s="4">
        <f>Backtest!B50</f>
        <v>1.7021146615998375E-2</v>
      </c>
      <c r="C48" s="8">
        <v>1.7463379987772143E-3</v>
      </c>
      <c r="D48" s="8">
        <v>3.1149740107692114E-3</v>
      </c>
      <c r="E48" s="8">
        <v>8.3784465029417277E-3</v>
      </c>
      <c r="F48" s="4">
        <f t="shared" si="0"/>
        <v>2.3653255120162888E-2</v>
      </c>
      <c r="G48" s="4"/>
      <c r="H48" s="1">
        <f t="shared" si="1"/>
        <v>2.3377851226563846E-2</v>
      </c>
      <c r="I48" s="1">
        <v>1.7448149235192154E-3</v>
      </c>
      <c r="J48" s="1">
        <v>3.1101325306762532E-3</v>
      </c>
      <c r="K48" s="1">
        <v>8.3435421473721533E-3</v>
      </c>
    </row>
    <row r="49" spans="1:11" x14ac:dyDescent="0.3">
      <c r="A49" s="18">
        <v>42004</v>
      </c>
      <c r="B49" s="4">
        <f>Backtest!B51</f>
        <v>-0.10036473841847617</v>
      </c>
      <c r="C49" s="8">
        <v>-8.6188875082230831E-2</v>
      </c>
      <c r="D49" s="8">
        <v>-8.2654270276402042E-2</v>
      </c>
      <c r="E49" s="8">
        <v>9.1016230498701667E-3</v>
      </c>
      <c r="F49" s="4">
        <f t="shared" si="0"/>
        <v>-5.0742402863751673E-3</v>
      </c>
      <c r="G49" s="4"/>
      <c r="H49" s="1">
        <f t="shared" si="1"/>
        <v>-5.0871579603998423E-3</v>
      </c>
      <c r="I49" s="1">
        <v>-9.0131375580641104E-2</v>
      </c>
      <c r="J49" s="1">
        <v>-8.62708551814899E-2</v>
      </c>
      <c r="K49" s="1">
        <v>9.0604529003615979E-3</v>
      </c>
    </row>
    <row r="50" spans="1:11" x14ac:dyDescent="0.3">
      <c r="A50" s="18">
        <v>42034</v>
      </c>
      <c r="B50" s="4">
        <f>Backtest!B52</f>
        <v>-0.11730267896356329</v>
      </c>
      <c r="C50" s="8">
        <v>-6.1984826245715774E-2</v>
      </c>
      <c r="D50" s="8">
        <v>-5.8806822161349248E-2</v>
      </c>
      <c r="E50" s="8">
        <v>9.7136871842553596E-3</v>
      </c>
      <c r="F50" s="4">
        <f t="shared" si="0"/>
        <v>-4.5604165533592159E-2</v>
      </c>
      <c r="G50" s="4"/>
      <c r="H50" s="1">
        <f t="shared" si="1"/>
        <v>-4.6676772765365443E-2</v>
      </c>
      <c r="I50" s="1">
        <v>-6.3989153396429604E-2</v>
      </c>
      <c r="J50" s="1">
        <v>-6.0606870520423607E-2</v>
      </c>
      <c r="K50" s="1">
        <v>9.6668126302840475E-3</v>
      </c>
    </row>
    <row r="51" spans="1:11" x14ac:dyDescent="0.3">
      <c r="A51" s="18">
        <v>42062</v>
      </c>
      <c r="B51" s="4">
        <f>Backtest!B53</f>
        <v>5.0396393246934457E-2</v>
      </c>
      <c r="C51" s="8">
        <v>9.9672335245599264E-2</v>
      </c>
      <c r="D51" s="8">
        <v>9.3251862450654421E-2</v>
      </c>
      <c r="E51" s="8">
        <v>8.1850649884680493E-3</v>
      </c>
      <c r="F51" s="4">
        <f t="shared" si="0"/>
        <v>-4.1090877010196758E-2</v>
      </c>
      <c r="G51" s="4"/>
      <c r="H51" s="1">
        <f t="shared" si="1"/>
        <v>-4.1958970851904635E-2</v>
      </c>
      <c r="I51" s="1">
        <v>9.5012258380689094E-2</v>
      </c>
      <c r="J51" s="1">
        <v>8.9156614900253089E-2</v>
      </c>
      <c r="K51" s="1">
        <v>8.1517490161719889E-3</v>
      </c>
    </row>
    <row r="52" spans="1:11" x14ac:dyDescent="0.3">
      <c r="A52" s="18">
        <v>42094</v>
      </c>
      <c r="B52" s="4">
        <f>Backtest!B54</f>
        <v>-1.9721872332553712E-2</v>
      </c>
      <c r="C52" s="8">
        <v>-8.3922835192146161E-3</v>
      </c>
      <c r="D52" s="8">
        <v>-5.0408175719763859E-3</v>
      </c>
      <c r="E52" s="8">
        <v>1.0342936764682786E-2</v>
      </c>
      <c r="F52" s="4">
        <f t="shared" si="0"/>
        <v>-9.8665204865630921E-4</v>
      </c>
      <c r="G52" s="4"/>
      <c r="H52" s="1">
        <f t="shared" si="1"/>
        <v>-9.8713911018875346E-4</v>
      </c>
      <c r="I52" s="1">
        <v>-8.4276970030688399E-3</v>
      </c>
      <c r="J52" s="1">
        <v>-5.0535653504010566E-3</v>
      </c>
      <c r="K52" s="1">
        <v>1.0289814573219643E-2</v>
      </c>
    </row>
    <row r="53" spans="1:11" x14ac:dyDescent="0.3">
      <c r="A53" s="18">
        <v>42124</v>
      </c>
      <c r="B53" s="4">
        <f>Backtest!B55</f>
        <v>4.5838985496957661E-2</v>
      </c>
      <c r="C53" s="8">
        <v>9.929970948305189E-2</v>
      </c>
      <c r="D53" s="8">
        <v>9.1150060014947076E-2</v>
      </c>
      <c r="E53" s="8">
        <v>9.4647057777073051E-3</v>
      </c>
      <c r="F53" s="4">
        <f t="shared" si="0"/>
        <v>-4.3996018208386924E-2</v>
      </c>
      <c r="G53" s="4"/>
      <c r="H53" s="1">
        <f t="shared" si="1"/>
        <v>-4.4993200885421025E-2</v>
      </c>
      <c r="I53" s="1">
        <v>9.4673349328154979E-2</v>
      </c>
      <c r="J53" s="1">
        <v>8.7232240944425568E-2</v>
      </c>
      <c r="K53" s="1">
        <v>9.4201960770584209E-3</v>
      </c>
    </row>
    <row r="54" spans="1:11" x14ac:dyDescent="0.3">
      <c r="A54" s="18">
        <v>42153</v>
      </c>
      <c r="B54" s="4">
        <f>Backtest!B56</f>
        <v>-7.3268830237744276E-2</v>
      </c>
      <c r="C54" s="8">
        <v>-6.1691926287671617E-2</v>
      </c>
      <c r="D54" s="8">
        <v>-5.4715734508544722E-2</v>
      </c>
      <c r="E54" s="8">
        <v>9.8376869763772135E-3</v>
      </c>
      <c r="F54" s="4">
        <f t="shared" si="0"/>
        <v>-1.7392169736954455E-3</v>
      </c>
      <c r="G54" s="4"/>
      <c r="H54" s="1">
        <f t="shared" si="1"/>
        <v>-1.740731167465217E-3</v>
      </c>
      <c r="I54" s="1">
        <v>-6.3676947105942322E-2</v>
      </c>
      <c r="J54" s="1">
        <v>-5.6269586678796474E-2</v>
      </c>
      <c r="K54" s="1">
        <v>9.789611974598043E-3</v>
      </c>
    </row>
    <row r="55" spans="1:11" x14ac:dyDescent="0.3">
      <c r="A55" s="18">
        <v>42185</v>
      </c>
      <c r="B55" s="4">
        <f>Backtest!B57</f>
        <v>-3.9265603667841771E-2</v>
      </c>
      <c r="C55" s="8">
        <v>6.0727248604544037E-3</v>
      </c>
      <c r="D55" s="8">
        <v>7.6573916472220116E-3</v>
      </c>
      <c r="E55" s="8">
        <v>1.064018866729044E-2</v>
      </c>
      <c r="F55" s="4">
        <f t="shared" si="0"/>
        <v>-3.4698139861005735E-2</v>
      </c>
      <c r="G55" s="4"/>
      <c r="H55" s="1">
        <f t="shared" si="1"/>
        <v>-3.5314418123318196E-2</v>
      </c>
      <c r="I55" s="1">
        <v>6.0543601784425957E-3</v>
      </c>
      <c r="J55" s="1">
        <v>7.6282226348706019E-3</v>
      </c>
      <c r="K55" s="1">
        <v>1.0583980220632099E-2</v>
      </c>
    </row>
    <row r="56" spans="1:11" x14ac:dyDescent="0.3">
      <c r="A56" s="18">
        <v>42216</v>
      </c>
      <c r="B56" s="4">
        <f>Backtest!B58</f>
        <v>-2.569218587511737E-3</v>
      </c>
      <c r="C56" s="8">
        <v>-4.1749480509938541E-2</v>
      </c>
      <c r="D56" s="8">
        <v>-3.4407496063077914E-2</v>
      </c>
      <c r="E56" s="8">
        <v>1.1755758002254257E-2</v>
      </c>
      <c r="F56" s="4">
        <f t="shared" si="0"/>
        <v>5.093601992468106E-2</v>
      </c>
      <c r="G56" s="4"/>
      <c r="H56" s="1">
        <f t="shared" si="1"/>
        <v>4.9681214613362903E-2</v>
      </c>
      <c r="I56" s="1">
        <v>-4.2646032597892465E-2</v>
      </c>
      <c r="J56" s="1">
        <v>-3.5013372343155054E-2</v>
      </c>
      <c r="K56" s="1">
        <v>1.1687195889103082E-2</v>
      </c>
    </row>
    <row r="57" spans="1:11" x14ac:dyDescent="0.3">
      <c r="A57" s="18">
        <v>42247</v>
      </c>
      <c r="B57" s="4">
        <f>Backtest!B59</f>
        <v>-6.5477437630376903E-2</v>
      </c>
      <c r="C57" s="8">
        <v>-8.3344473978075317E-2</v>
      </c>
      <c r="D57" s="8">
        <v>-8.2506530115633359E-2</v>
      </c>
      <c r="E57" s="8">
        <v>1.1074862118898743E-2</v>
      </c>
      <c r="F57" s="4">
        <f t="shared" si="0"/>
        <v>2.8941898466597157E-2</v>
      </c>
      <c r="G57" s="4"/>
      <c r="H57" s="1">
        <f t="shared" si="1"/>
        <v>2.8530991182535298E-2</v>
      </c>
      <c r="I57" s="1">
        <v>-8.7023530494110921E-2</v>
      </c>
      <c r="J57" s="1">
        <v>-8.6109816370983208E-2</v>
      </c>
      <c r="K57" s="1">
        <v>1.1013984892296397E-2</v>
      </c>
    </row>
    <row r="58" spans="1:11" x14ac:dyDescent="0.3">
      <c r="A58" s="18">
        <v>42277</v>
      </c>
      <c r="B58" s="4">
        <f>Backtest!B60</f>
        <v>6.6044488307613128E-2</v>
      </c>
      <c r="C58" s="8">
        <v>-3.3591060685676188E-2</v>
      </c>
      <c r="D58" s="8">
        <v>-3.1037046564024506E-2</v>
      </c>
      <c r="E58" s="8">
        <v>1.107482923946046E-2</v>
      </c>
      <c r="F58" s="4">
        <f t="shared" si="0"/>
        <v>0.11071037823274978</v>
      </c>
      <c r="G58" s="4"/>
      <c r="H58" s="1">
        <f t="shared" si="1"/>
        <v>0.10499979101398919</v>
      </c>
      <c r="I58" s="1">
        <v>-3.4168201726069984E-2</v>
      </c>
      <c r="J58" s="1">
        <v>-3.152889957044204E-2</v>
      </c>
      <c r="K58" s="1">
        <v>1.1013952373004256E-2</v>
      </c>
    </row>
    <row r="59" spans="1:11" x14ac:dyDescent="0.3">
      <c r="A59" s="18">
        <v>42307</v>
      </c>
      <c r="B59" s="4">
        <f>Backtest!B61</f>
        <v>8.3174915343224728E-2</v>
      </c>
      <c r="C59" s="8">
        <v>1.796521472814705E-2</v>
      </c>
      <c r="D59" s="8">
        <v>1.3566367001586421E-2</v>
      </c>
      <c r="E59" s="8">
        <v>1.1076807693098045E-2</v>
      </c>
      <c r="F59" s="4">
        <f t="shared" si="0"/>
        <v>7.6286508308175724E-2</v>
      </c>
      <c r="G59" s="4"/>
      <c r="H59" s="1">
        <f t="shared" si="1"/>
        <v>7.351669795745866E-2</v>
      </c>
      <c r="I59" s="1">
        <v>1.7805747336409116E-2</v>
      </c>
      <c r="J59" s="1">
        <v>1.3475167747339199E-2</v>
      </c>
      <c r="K59" s="1">
        <v>1.1015909153694143E-2</v>
      </c>
    </row>
    <row r="60" spans="1:11" x14ac:dyDescent="0.3">
      <c r="A60" s="18">
        <v>42338</v>
      </c>
      <c r="B60" s="4">
        <f>Backtest!B62</f>
        <v>8.3507379009345496E-3</v>
      </c>
      <c r="C60" s="8">
        <v>-1.6316101576670849E-2</v>
      </c>
      <c r="D60" s="8">
        <v>-1.6615935896619916E-2</v>
      </c>
      <c r="E60" s="8">
        <v>1.0551796703963889E-2</v>
      </c>
      <c r="F60" s="4">
        <f t="shared" si="0"/>
        <v>3.5218636181569285E-2</v>
      </c>
      <c r="G60" s="4"/>
      <c r="H60" s="1">
        <f t="shared" si="1"/>
        <v>3.4612647096243961E-2</v>
      </c>
      <c r="I60" s="1">
        <v>-1.6450674978674015E-2</v>
      </c>
      <c r="J60" s="1">
        <v>-1.6755529033524307E-2</v>
      </c>
      <c r="K60" s="1">
        <v>1.0496515037687922E-2</v>
      </c>
    </row>
    <row r="61" spans="1:11" x14ac:dyDescent="0.3">
      <c r="A61" s="18">
        <v>42369</v>
      </c>
      <c r="B61" s="4">
        <f>Backtest!B63</f>
        <v>-7.8571321472044681E-2</v>
      </c>
      <c r="C61" s="8">
        <v>-3.923724080460278E-2</v>
      </c>
      <c r="D61" s="8">
        <v>-3.7908390620365884E-2</v>
      </c>
      <c r="E61" s="8">
        <v>1.1082389418060057E-2</v>
      </c>
      <c r="F61" s="4">
        <f t="shared" si="0"/>
        <v>-2.8251691249381844E-2</v>
      </c>
      <c r="G61" s="4"/>
      <c r="H61" s="1">
        <f t="shared" si="1"/>
        <v>-2.8658449667456797E-2</v>
      </c>
      <c r="I61" s="1">
        <v>-4.0027769172183453E-2</v>
      </c>
      <c r="J61" s="1">
        <v>-3.864560480497533E-2</v>
      </c>
      <c r="K61" s="1">
        <v>1.1021429713074432E-2</v>
      </c>
    </row>
    <row r="62" spans="1:11" x14ac:dyDescent="0.3">
      <c r="A62" s="18">
        <v>42398</v>
      </c>
      <c r="B62" s="4">
        <f>Backtest!B64</f>
        <v>-0.13075137359068487</v>
      </c>
      <c r="C62" s="8">
        <v>-6.7912341407151078E-2</v>
      </c>
      <c r="D62" s="8">
        <v>-6.2539257300134543E-2</v>
      </c>
      <c r="E62" s="8">
        <v>1.1080008025640353E-2</v>
      </c>
      <c r="F62" s="4">
        <f t="shared" si="0"/>
        <v>-5.1759024157893435E-2</v>
      </c>
      <c r="G62" s="4"/>
      <c r="H62" s="1">
        <f t="shared" si="1"/>
        <v>-5.3146615102644776E-2</v>
      </c>
      <c r="I62" s="1">
        <v>-7.0328414435200062E-2</v>
      </c>
      <c r="J62" s="1">
        <v>-6.4580396467807416E-2</v>
      </c>
      <c r="K62" s="1">
        <v>1.101907442012396E-2</v>
      </c>
    </row>
    <row r="63" spans="1:11" x14ac:dyDescent="0.3">
      <c r="A63" s="18">
        <v>42429</v>
      </c>
      <c r="B63" s="4">
        <f>Backtest!B65</f>
        <v>0.31651173263424798</v>
      </c>
      <c r="C63" s="8">
        <v>5.9097658763550109E-2</v>
      </c>
      <c r="D63" s="8">
        <v>5.294152596163082E-2</v>
      </c>
      <c r="E63" s="8">
        <v>1.0014818006065962E-2</v>
      </c>
      <c r="F63" s="4">
        <f t="shared" si="0"/>
        <v>0.26742889187676383</v>
      </c>
      <c r="G63" s="4"/>
      <c r="H63" s="1">
        <f t="shared" si="1"/>
        <v>0.23699035382605546</v>
      </c>
      <c r="I63" s="1">
        <v>5.741728027449465E-2</v>
      </c>
      <c r="J63" s="1">
        <v>5.1587700709305406E-2</v>
      </c>
      <c r="K63" s="1">
        <v>9.9650020386803304E-3</v>
      </c>
    </row>
    <row r="64" spans="1:11" x14ac:dyDescent="0.3">
      <c r="A64" s="18">
        <v>42460</v>
      </c>
      <c r="B64" s="4">
        <f>Backtest!B66</f>
        <v>0.24921460474019061</v>
      </c>
      <c r="C64" s="8">
        <v>0.16968306230560892</v>
      </c>
      <c r="D64" s="8">
        <v>0.15414349794323745</v>
      </c>
      <c r="E64" s="8">
        <v>1.1605148852035674E-2</v>
      </c>
      <c r="F64" s="4">
        <f t="shared" si="0"/>
        <v>9.1136691286617361E-2</v>
      </c>
      <c r="G64" s="4"/>
      <c r="H64" s="1">
        <f t="shared" si="1"/>
        <v>8.7219988908049606E-2</v>
      </c>
      <c r="I64" s="1">
        <v>0.15673282519489332</v>
      </c>
      <c r="J64" s="1">
        <v>0.14335850865966349</v>
      </c>
      <c r="K64" s="1">
        <v>1.1538325610956916E-2</v>
      </c>
    </row>
    <row r="65" spans="1:11" x14ac:dyDescent="0.3">
      <c r="A65" s="18">
        <v>42489</v>
      </c>
      <c r="B65" s="4">
        <f>Backtest!B67</f>
        <v>0.18736506139120918</v>
      </c>
      <c r="C65" s="8">
        <v>7.7018817188189814E-2</v>
      </c>
      <c r="D65" s="8">
        <v>7.1386319872905002E-2</v>
      </c>
      <c r="E65" s="8">
        <v>1.0544713106981574E-2</v>
      </c>
      <c r="F65" s="4">
        <f t="shared" si="0"/>
        <v>0.12089095731000093</v>
      </c>
      <c r="G65" s="4"/>
      <c r="H65" s="1">
        <f t="shared" si="1"/>
        <v>0.11412386666470523</v>
      </c>
      <c r="I65" s="1">
        <v>7.4196869876949872E-2</v>
      </c>
      <c r="J65" s="1">
        <v>6.89534359240912E-2</v>
      </c>
      <c r="K65" s="1">
        <v>1.0489505380357894E-2</v>
      </c>
    </row>
    <row r="66" spans="1:11" x14ac:dyDescent="0.3">
      <c r="A66" s="18">
        <v>42521</v>
      </c>
      <c r="B66" s="4">
        <f>Backtest!B68</f>
        <v>-0.18920137267738152</v>
      </c>
      <c r="C66" s="8">
        <v>-0.10088572727019784</v>
      </c>
      <c r="D66" s="8">
        <v>-9.4064966304196584E-2</v>
      </c>
      <c r="E66" s="8">
        <v>1.107485278224063E-2</v>
      </c>
      <c r="F66" s="4">
        <f t="shared" si="0"/>
        <v>-7.7240792624943044E-2</v>
      </c>
      <c r="G66" s="4"/>
      <c r="H66" s="1">
        <f t="shared" si="1"/>
        <v>-8.0386958931556771E-2</v>
      </c>
      <c r="I66" s="1">
        <v>-0.1063451416542756</v>
      </c>
      <c r="J66" s="1">
        <v>-9.8787682247732558E-2</v>
      </c>
      <c r="K66" s="1">
        <v>1.1013975657907821E-2</v>
      </c>
    </row>
    <row r="67" spans="1:11" x14ac:dyDescent="0.3">
      <c r="A67" s="18">
        <v>42551</v>
      </c>
      <c r="B67" s="4">
        <f>Backtest!B69</f>
        <v>-1.4105152484193032E-2</v>
      </c>
      <c r="C67" s="8">
        <v>6.3030593108968747E-2</v>
      </c>
      <c r="D67" s="8">
        <v>6.4770701224605931E-2</v>
      </c>
      <c r="E67" s="8">
        <v>1.1605075065058923E-2</v>
      </c>
      <c r="F67" s="4">
        <f t="shared" ref="F67:F109" si="6">(B67-C67)+E67</f>
        <v>-6.5530670528102852E-2</v>
      </c>
      <c r="G67" s="4"/>
      <c r="H67" s="1">
        <f t="shared" ref="H67:H109" si="7">LN(F67+1)</f>
        <v>-6.7776472879907637E-2</v>
      </c>
      <c r="I67" s="1">
        <v>6.1123878916483312E-2</v>
      </c>
      <c r="J67" s="1">
        <v>6.2759471965697186E-2</v>
      </c>
      <c r="K67" s="1">
        <v>1.1538252670462766E-2</v>
      </c>
    </row>
    <row r="68" spans="1:11" x14ac:dyDescent="0.3">
      <c r="A68" s="18">
        <v>42580</v>
      </c>
      <c r="B68" s="4">
        <f>Backtest!B70</f>
        <v>0.25714043079579502</v>
      </c>
      <c r="C68" s="8">
        <v>0.11219964717458253</v>
      </c>
      <c r="D68" s="8">
        <v>0.11314238019605538</v>
      </c>
      <c r="E68" s="8">
        <v>1.1074936921548151E-2</v>
      </c>
      <c r="F68" s="4">
        <f t="shared" si="6"/>
        <v>0.15601572054276064</v>
      </c>
      <c r="G68" s="4"/>
      <c r="H68" s="1">
        <f t="shared" si="7"/>
        <v>0.14497936924315202</v>
      </c>
      <c r="I68" s="1">
        <v>0.10633971853928786</v>
      </c>
      <c r="J68" s="1">
        <v>0.1071869888161928</v>
      </c>
      <c r="K68" s="1">
        <v>1.1014058875588281E-2</v>
      </c>
    </row>
    <row r="69" spans="1:11" x14ac:dyDescent="0.3">
      <c r="A69" s="18">
        <v>42613</v>
      </c>
      <c r="B69" s="4">
        <f>Backtest!B71</f>
        <v>6.0530350902996855E-2</v>
      </c>
      <c r="C69" s="8">
        <v>1.0345814386073959E-2</v>
      </c>
      <c r="D69" s="8">
        <v>1.1197655107005211E-2</v>
      </c>
      <c r="E69" s="8">
        <v>1.2135972078766155E-2</v>
      </c>
      <c r="F69" s="4">
        <f t="shared" si="6"/>
        <v>6.232050859568905E-2</v>
      </c>
      <c r="G69" s="4"/>
      <c r="H69" s="1">
        <f t="shared" si="7"/>
        <v>6.0455674459223466E-2</v>
      </c>
      <c r="I69" s="1">
        <v>1.0292662732184784E-2</v>
      </c>
      <c r="J69" s="1">
        <v>1.1135425486688515E-2</v>
      </c>
      <c r="K69" s="1">
        <v>1.2062921601436096E-2</v>
      </c>
    </row>
    <row r="70" spans="1:11" x14ac:dyDescent="0.3">
      <c r="A70" s="18">
        <v>42643</v>
      </c>
      <c r="B70" s="4">
        <f>Backtest!B72</f>
        <v>-2.5877000958761543E-2</v>
      </c>
      <c r="C70" s="8">
        <v>8.0464792551437903E-3</v>
      </c>
      <c r="D70" s="8">
        <v>6.0286761588077553E-3</v>
      </c>
      <c r="E70" s="8">
        <v>1.1074624474847194E-2</v>
      </c>
      <c r="F70" s="4">
        <f t="shared" si="6"/>
        <v>-2.2848855739058135E-2</v>
      </c>
      <c r="G70" s="4"/>
      <c r="H70" s="1">
        <f t="shared" si="7"/>
        <v>-2.3113936488017284E-2</v>
      </c>
      <c r="I70" s="1">
        <v>8.014278958292799E-3</v>
      </c>
      <c r="J70" s="1">
        <v>6.0105763993235405E-3</v>
      </c>
      <c r="K70" s="1">
        <v>1.1013749851263948E-2</v>
      </c>
    </row>
    <row r="71" spans="1:11" x14ac:dyDescent="0.3">
      <c r="A71" s="18">
        <v>42674</v>
      </c>
      <c r="B71" s="4">
        <f>Backtest!B73</f>
        <v>5.6572926842307018E-2</v>
      </c>
      <c r="C71" s="8">
        <v>0.1123494440351569</v>
      </c>
      <c r="D71" s="8">
        <v>0.10753457152323165</v>
      </c>
      <c r="E71" s="8">
        <v>1.0483204548400682E-2</v>
      </c>
      <c r="F71" s="4">
        <f t="shared" si="6"/>
        <v>-4.5293312644449198E-2</v>
      </c>
      <c r="G71" s="4"/>
      <c r="H71" s="1">
        <f t="shared" si="7"/>
        <v>-4.6351119335717887E-2</v>
      </c>
      <c r="I71" s="1">
        <v>0.10647439469581119</v>
      </c>
      <c r="J71" s="1">
        <v>0.10213643827228107</v>
      </c>
      <c r="K71" s="1">
        <v>1.0428636791594174E-2</v>
      </c>
    </row>
    <row r="72" spans="1:11" x14ac:dyDescent="0.3">
      <c r="A72" s="18">
        <v>42704</v>
      </c>
      <c r="B72" s="4">
        <f>Backtest!B74</f>
        <v>2.2344961421654545E-2</v>
      </c>
      <c r="C72" s="8">
        <v>-4.6486303321550348E-2</v>
      </c>
      <c r="D72" s="8">
        <v>-5.0022930537650057E-2</v>
      </c>
      <c r="E72" s="8">
        <v>1.0368879375755924E-2</v>
      </c>
      <c r="F72" s="4">
        <f t="shared" si="6"/>
        <v>7.9200144118960814E-2</v>
      </c>
      <c r="G72" s="4"/>
      <c r="H72" s="1">
        <f t="shared" si="7"/>
        <v>7.6220159453802797E-2</v>
      </c>
      <c r="I72" s="1">
        <v>-4.7601489410906389E-2</v>
      </c>
      <c r="J72" s="1">
        <v>-5.1317432086915145E-2</v>
      </c>
      <c r="K72" s="1">
        <v>1.031549127869278E-2</v>
      </c>
    </row>
    <row r="73" spans="1:11" x14ac:dyDescent="0.3">
      <c r="A73" s="18">
        <v>42734</v>
      </c>
      <c r="B73" s="4">
        <f>Backtest!B75</f>
        <v>-5.2631336369805631E-2</v>
      </c>
      <c r="C73" s="8">
        <v>-2.7123205355181312E-2</v>
      </c>
      <c r="D73" s="8">
        <v>-2.5515507283068728E-2</v>
      </c>
      <c r="E73" s="8">
        <v>1.0713896037339854E-2</v>
      </c>
      <c r="F73" s="4">
        <f t="shared" si="6"/>
        <v>-1.4794234977284465E-2</v>
      </c>
      <c r="G73" s="4"/>
      <c r="H73" s="1">
        <f t="shared" si="7"/>
        <v>-1.4904761126082876E-2</v>
      </c>
      <c r="I73" s="1">
        <v>-2.7497829022473372E-2</v>
      </c>
      <c r="J73" s="1">
        <v>-2.5846673227394049E-2</v>
      </c>
      <c r="K73" s="1">
        <v>1.0656908927818849E-2</v>
      </c>
    </row>
    <row r="74" spans="1:11" x14ac:dyDescent="0.3">
      <c r="A74" s="18">
        <v>42766</v>
      </c>
      <c r="B74" s="4">
        <f>Backtest!B76</f>
        <v>5.580033828559499E-2</v>
      </c>
      <c r="C74" s="8">
        <v>7.3778834515244807E-2</v>
      </c>
      <c r="D74" s="8">
        <v>7.2084360038147333E-2</v>
      </c>
      <c r="E74" s="8">
        <v>1.1384783344975613E-2</v>
      </c>
      <c r="F74" s="4">
        <f t="shared" si="6"/>
        <v>-6.5937128846742035E-3</v>
      </c>
      <c r="G74" s="4"/>
      <c r="H74" s="1">
        <f t="shared" si="7"/>
        <v>-6.6155474429410626E-3</v>
      </c>
      <c r="I74" s="1">
        <v>7.1184047986260796E-2</v>
      </c>
      <c r="J74" s="1">
        <v>6.9604753617830653E-2</v>
      </c>
      <c r="K74" s="1">
        <v>1.1320464410142783E-2</v>
      </c>
    </row>
    <row r="75" spans="1:11" x14ac:dyDescent="0.3">
      <c r="A75" s="18">
        <v>42794</v>
      </c>
      <c r="B75" s="4">
        <f>Backtest!B77</f>
        <v>5.0264479913916561E-2</v>
      </c>
      <c r="C75" s="8">
        <v>3.0791330863388255E-2</v>
      </c>
      <c r="D75" s="8">
        <v>3.3039484294749233E-2</v>
      </c>
      <c r="E75" s="8">
        <v>8.6649499496931348E-3</v>
      </c>
      <c r="F75" s="4">
        <f t="shared" si="6"/>
        <v>2.8138099000221441E-2</v>
      </c>
      <c r="G75" s="4"/>
      <c r="H75" s="1">
        <f t="shared" si="7"/>
        <v>2.7749495559346332E-2</v>
      </c>
      <c r="I75" s="1">
        <v>3.0326789655341354E-2</v>
      </c>
      <c r="J75" s="1">
        <v>3.2505412344825395E-2</v>
      </c>
      <c r="K75" s="1">
        <v>8.6276247300097735E-3</v>
      </c>
    </row>
    <row r="76" spans="1:11" x14ac:dyDescent="0.3">
      <c r="A76" s="18">
        <v>42825</v>
      </c>
      <c r="B76" s="4">
        <f>Backtest!B78</f>
        <v>-3.392356937923191E-2</v>
      </c>
      <c r="C76" s="8">
        <v>-2.5171724263112094E-2</v>
      </c>
      <c r="D76" s="8">
        <v>-2.3548340447945626E-2</v>
      </c>
      <c r="E76" s="8">
        <v>1.0504053472227159E-2</v>
      </c>
      <c r="F76" s="4">
        <f t="shared" si="6"/>
        <v>1.7522083561073432E-3</v>
      </c>
      <c r="G76" s="4"/>
      <c r="H76" s="1">
        <f t="shared" si="7"/>
        <v>1.7506750299223022E-3</v>
      </c>
      <c r="I76" s="1">
        <v>-2.5493950945896269E-2</v>
      </c>
      <c r="J76" s="1">
        <v>-2.3830033677695012E-2</v>
      </c>
      <c r="K76" s="1">
        <v>1.0449269206513638E-2</v>
      </c>
    </row>
    <row r="77" spans="1:11" x14ac:dyDescent="0.3">
      <c r="A77" s="18">
        <v>42853</v>
      </c>
      <c r="B77" s="4">
        <f>Backtest!B79</f>
        <v>5.8025364906914331E-2</v>
      </c>
      <c r="C77" s="8">
        <v>6.4492698983289465E-3</v>
      </c>
      <c r="D77" s="8">
        <v>8.7807323767963297E-3</v>
      </c>
      <c r="E77" s="8">
        <v>7.8887581230049353E-3</v>
      </c>
      <c r="F77" s="4">
        <f t="shared" si="6"/>
        <v>5.946485313159032E-2</v>
      </c>
      <c r="G77" s="4"/>
      <c r="H77" s="1">
        <f t="shared" si="7"/>
        <v>5.7763925105275275E-2</v>
      </c>
      <c r="I77" s="1">
        <v>6.4285623419459625E-3</v>
      </c>
      <c r="J77" s="1">
        <v>8.7424059389856635E-3</v>
      </c>
      <c r="K77" s="1">
        <v>7.8578045542184033E-3</v>
      </c>
    </row>
    <row r="78" spans="1:11" x14ac:dyDescent="0.3">
      <c r="A78" s="18">
        <v>42886</v>
      </c>
      <c r="B78" s="4">
        <f>Backtest!B80</f>
        <v>-1.5866809447665768E-2</v>
      </c>
      <c r="C78" s="8">
        <v>-4.1155478631014986E-2</v>
      </c>
      <c r="D78" s="8">
        <v>-3.6568571618753265E-2</v>
      </c>
      <c r="E78" s="8">
        <v>9.2556015332876385E-3</v>
      </c>
      <c r="F78" s="4">
        <f t="shared" si="6"/>
        <v>3.4544270716636856E-2</v>
      </c>
      <c r="G78" s="4"/>
      <c r="H78" s="1">
        <f t="shared" si="7"/>
        <v>3.3961011600653873E-2</v>
      </c>
      <c r="I78" s="1">
        <v>-4.2026343030841899E-2</v>
      </c>
      <c r="J78" s="1">
        <v>-3.7253962958505832E-2</v>
      </c>
      <c r="K78" s="1">
        <v>9.2130309295040767E-3</v>
      </c>
    </row>
    <row r="79" spans="1:11" x14ac:dyDescent="0.3">
      <c r="A79" s="18">
        <v>42916</v>
      </c>
      <c r="B79" s="4">
        <f>Backtest!B81</f>
        <v>-2.1518925684363411E-2</v>
      </c>
      <c r="C79" s="8">
        <v>3.0058282771101563E-3</v>
      </c>
      <c r="D79" s="8">
        <v>2.9827750593791613E-3</v>
      </c>
      <c r="E79" s="8">
        <v>8.1166964107635131E-3</v>
      </c>
      <c r="F79" s="4">
        <f t="shared" si="6"/>
        <v>-1.6408057550710054E-2</v>
      </c>
      <c r="G79" s="4"/>
      <c r="H79" s="1">
        <f t="shared" si="7"/>
        <v>-1.654416057148788E-2</v>
      </c>
      <c r="I79" s="1">
        <v>3.0013198074920139E-3</v>
      </c>
      <c r="J79" s="1">
        <v>2.9783354119738478E-3</v>
      </c>
      <c r="K79" s="1">
        <v>8.0839331970921184E-3</v>
      </c>
    </row>
    <row r="80" spans="1:11" x14ac:dyDescent="0.3">
      <c r="A80" s="18">
        <v>42947</v>
      </c>
      <c r="B80" s="4">
        <f>Backtest!B82</f>
        <v>4.6258082689590196E-2</v>
      </c>
      <c r="C80" s="8">
        <v>4.8019077901430673E-2</v>
      </c>
      <c r="D80" s="8">
        <v>4.9104824491410959E-2</v>
      </c>
      <c r="E80" s="8">
        <v>8.0081670814711181E-3</v>
      </c>
      <c r="F80" s="4">
        <f t="shared" si="6"/>
        <v>6.2471718696306411E-3</v>
      </c>
      <c r="G80" s="4"/>
      <c r="H80" s="1">
        <f t="shared" si="7"/>
        <v>6.2277391823442104E-3</v>
      </c>
      <c r="I80" s="1">
        <v>4.6901789837576306E-2</v>
      </c>
      <c r="J80" s="1">
        <v>4.7937252440192521E-2</v>
      </c>
      <c r="K80" s="1">
        <v>7.9762718797179201E-3</v>
      </c>
    </row>
    <row r="81" spans="1:11" x14ac:dyDescent="0.3">
      <c r="A81" s="18">
        <v>42978</v>
      </c>
      <c r="B81" s="4">
        <f>Backtest!B83</f>
        <v>0.1924425663532644</v>
      </c>
      <c r="C81" s="8">
        <v>7.4555069447394207E-2</v>
      </c>
      <c r="D81" s="8">
        <v>7.3471470724384202E-2</v>
      </c>
      <c r="E81" s="8">
        <v>8.0145548937506916E-3</v>
      </c>
      <c r="F81" s="4">
        <f t="shared" si="6"/>
        <v>0.12590205179962088</v>
      </c>
      <c r="G81" s="4"/>
      <c r="H81" s="1">
        <f t="shared" si="7"/>
        <v>0.11858453818928141</v>
      </c>
      <c r="I81" s="1">
        <v>7.1906687017835216E-2</v>
      </c>
      <c r="J81" s="1">
        <v>7.0897762039801859E-2</v>
      </c>
      <c r="K81" s="1">
        <v>7.9826089236509721E-3</v>
      </c>
    </row>
    <row r="82" spans="1:11" x14ac:dyDescent="0.3">
      <c r="A82" s="18">
        <v>43007</v>
      </c>
      <c r="B82" s="4">
        <f>Backtest!B84</f>
        <v>0.10610088728182315</v>
      </c>
      <c r="C82" s="8">
        <v>4.8823252878869239E-2</v>
      </c>
      <c r="D82" s="8">
        <v>4.6917720938293161E-2</v>
      </c>
      <c r="E82" s="8">
        <v>6.413953547743434E-3</v>
      </c>
      <c r="F82" s="4">
        <f t="shared" si="6"/>
        <v>6.3691587950697348E-2</v>
      </c>
      <c r="G82" s="4"/>
      <c r="H82" s="1">
        <f t="shared" si="7"/>
        <v>6.174548795305547E-2</v>
      </c>
      <c r="I82" s="1">
        <v>4.7668824158718398E-2</v>
      </c>
      <c r="J82" s="1">
        <v>4.5850343259127097E-2</v>
      </c>
      <c r="K82" s="1">
        <v>6.3934716808640097E-3</v>
      </c>
    </row>
    <row r="83" spans="1:11" x14ac:dyDescent="0.3">
      <c r="A83" s="18">
        <v>43039</v>
      </c>
      <c r="B83" s="4">
        <f>Backtest!B85</f>
        <v>2.6787705262891273E-2</v>
      </c>
      <c r="C83" s="8">
        <v>2.0190191604907426E-4</v>
      </c>
      <c r="D83" s="8">
        <v>-1.2873033137835721E-3</v>
      </c>
      <c r="E83" s="8">
        <v>6.4592710988411461E-3</v>
      </c>
      <c r="F83" s="4">
        <f t="shared" si="6"/>
        <v>3.3045074445683345E-2</v>
      </c>
      <c r="G83" s="4"/>
      <c r="H83" s="1">
        <f t="shared" si="7"/>
        <v>3.2510823692497998E-2</v>
      </c>
      <c r="I83" s="1">
        <v>2.018815366002758E-4</v>
      </c>
      <c r="J83" s="1">
        <v>-1.2881326004664743E-3</v>
      </c>
      <c r="K83" s="1">
        <v>6.4384994059591416E-3</v>
      </c>
    </row>
    <row r="84" spans="1:11" x14ac:dyDescent="0.3">
      <c r="A84" s="18">
        <v>43069</v>
      </c>
      <c r="B84" s="4">
        <f>Backtest!B86</f>
        <v>-5.3920919983075272E-2</v>
      </c>
      <c r="C84" s="8">
        <v>-3.1456697416849977E-2</v>
      </c>
      <c r="D84" s="8">
        <v>-3.3787330271153326E-2</v>
      </c>
      <c r="E84" s="8">
        <v>5.6744288160752721E-3</v>
      </c>
      <c r="F84" s="4">
        <f t="shared" si="6"/>
        <v>-1.6789793750150023E-2</v>
      </c>
      <c r="G84" s="4"/>
      <c r="H84" s="1">
        <f t="shared" si="7"/>
        <v>-1.6932340139509866E-2</v>
      </c>
      <c r="I84" s="1">
        <v>-3.1962086155604363E-2</v>
      </c>
      <c r="J84" s="1">
        <v>-3.4371314001368468E-2</v>
      </c>
      <c r="K84" s="1">
        <v>5.6583898907696297E-3</v>
      </c>
    </row>
    <row r="85" spans="1:11" x14ac:dyDescent="0.3">
      <c r="A85" s="18">
        <v>43098</v>
      </c>
      <c r="B85" s="4">
        <f>Backtest!B87</f>
        <v>9.7451602021023404E-2</v>
      </c>
      <c r="C85" s="8">
        <v>6.1567853718859089E-2</v>
      </c>
      <c r="D85" s="8">
        <v>6.346157145149256E-2</v>
      </c>
      <c r="E85" s="8">
        <v>5.1294157635011217E-3</v>
      </c>
      <c r="F85" s="4">
        <f t="shared" si="6"/>
        <v>4.1013164065665436E-2</v>
      </c>
      <c r="G85" s="4"/>
      <c r="H85" s="1">
        <f t="shared" si="7"/>
        <v>4.0194435149097381E-2</v>
      </c>
      <c r="I85" s="1">
        <v>5.9746922604190511E-2</v>
      </c>
      <c r="J85" s="1">
        <v>6.1529220968156273E-2</v>
      </c>
      <c r="K85" s="1">
        <v>5.1163051246303666E-3</v>
      </c>
    </row>
    <row r="86" spans="1:11" x14ac:dyDescent="0.3">
      <c r="A86" s="18">
        <v>43131</v>
      </c>
      <c r="B86" s="4">
        <f>Backtest!B88</f>
        <v>2.1602956815924008E-2</v>
      </c>
      <c r="C86" s="8">
        <v>0.11139222612990984</v>
      </c>
      <c r="D86" s="8">
        <v>0.10744338309716595</v>
      </c>
      <c r="E86" s="8">
        <v>6.0998614600846768E-3</v>
      </c>
      <c r="F86" s="4">
        <f t="shared" si="6"/>
        <v>-8.3689407853901165E-2</v>
      </c>
      <c r="G86" s="4"/>
      <c r="H86" s="1">
        <f t="shared" si="7"/>
        <v>-8.7399897385433897E-2</v>
      </c>
      <c r="I86" s="1">
        <v>0.10561348717475266</v>
      </c>
      <c r="J86" s="1">
        <v>0.10205410027345177</v>
      </c>
      <c r="K86" s="1">
        <v>6.0813326159128234E-3</v>
      </c>
    </row>
    <row r="87" spans="1:11" x14ac:dyDescent="0.3">
      <c r="A87" s="18">
        <v>43159</v>
      </c>
      <c r="B87" s="4">
        <f>Backtest!B89</f>
        <v>2.8153264334182391E-2</v>
      </c>
      <c r="C87" s="8">
        <v>5.192391715255873E-3</v>
      </c>
      <c r="D87" s="8">
        <v>4.164175920152946E-3</v>
      </c>
      <c r="E87" s="8">
        <v>4.6586245747215482E-3</v>
      </c>
      <c r="F87" s="4">
        <f t="shared" si="6"/>
        <v>2.7619497193648066E-2</v>
      </c>
      <c r="G87" s="4"/>
      <c r="H87" s="1">
        <f t="shared" si="7"/>
        <v>2.7244959597971755E-2</v>
      </c>
      <c r="I87" s="1">
        <v>5.1789577323283677E-3</v>
      </c>
      <c r="J87" s="1">
        <v>4.1555297341215203E-3</v>
      </c>
      <c r="K87" s="1">
        <v>4.6478067676478706E-3</v>
      </c>
    </row>
    <row r="88" spans="1:11" x14ac:dyDescent="0.3">
      <c r="A88" s="18">
        <v>43189</v>
      </c>
      <c r="B88" s="4">
        <f>Backtest!B90</f>
        <v>-1.0311880702532953E-2</v>
      </c>
      <c r="C88" s="8">
        <v>1.4059160949275729E-4</v>
      </c>
      <c r="D88" s="8">
        <v>7.887088071723003E-4</v>
      </c>
      <c r="E88" s="8">
        <v>5.3250055938542928E-3</v>
      </c>
      <c r="F88" s="4">
        <f t="shared" si="6"/>
        <v>-5.1274667181714171E-3</v>
      </c>
      <c r="G88" s="4"/>
      <c r="H88" s="1">
        <f t="shared" si="7"/>
        <v>-5.1406572844231333E-3</v>
      </c>
      <c r="I88" s="1">
        <v>1.4058172741864103E-4</v>
      </c>
      <c r="J88" s="1">
        <v>7.8839793982618176E-4</v>
      </c>
      <c r="K88" s="1">
        <v>5.3108778828013098E-3</v>
      </c>
    </row>
    <row r="89" spans="1:11" x14ac:dyDescent="0.3">
      <c r="A89" s="18">
        <v>43220</v>
      </c>
      <c r="B89" s="4">
        <f>Backtest!B91</f>
        <v>2.6933391607962369E-2</v>
      </c>
      <c r="C89" s="8">
        <v>8.7845689598620158E-3</v>
      </c>
      <c r="D89" s="8">
        <v>8.1738827946886694E-3</v>
      </c>
      <c r="E89" s="8">
        <v>5.1751612927548596E-3</v>
      </c>
      <c r="F89" s="4">
        <f t="shared" si="6"/>
        <v>2.3323983940855213E-2</v>
      </c>
      <c r="G89" s="4"/>
      <c r="H89" s="1">
        <f t="shared" si="7"/>
        <v>2.3056136675112641E-2</v>
      </c>
      <c r="I89" s="1">
        <v>8.74620912004072E-3</v>
      </c>
      <c r="J89" s="1">
        <v>8.1406575447930587E-3</v>
      </c>
      <c r="K89" s="1">
        <v>5.1618161678660341E-3</v>
      </c>
    </row>
    <row r="90" spans="1:11" x14ac:dyDescent="0.3">
      <c r="A90" s="18">
        <v>43251</v>
      </c>
      <c r="B90" s="4">
        <f>Backtest!B92</f>
        <v>-5.1871424391897555E-2</v>
      </c>
      <c r="C90" s="8">
        <v>-0.10871329783836814</v>
      </c>
      <c r="D90" s="8">
        <v>-0.10908080183638358</v>
      </c>
      <c r="E90" s="8">
        <v>5.1751061404015086E-3</v>
      </c>
      <c r="F90" s="4">
        <f t="shared" si="6"/>
        <v>6.2016979586872092E-2</v>
      </c>
      <c r="G90" s="4"/>
      <c r="H90" s="1">
        <f t="shared" si="7"/>
        <v>6.0169911003491082E-2</v>
      </c>
      <c r="I90" s="1">
        <v>-0.11508912755551626</v>
      </c>
      <c r="J90" s="1">
        <v>-0.11550154230866831</v>
      </c>
      <c r="K90" s="1">
        <v>5.1617612994640013E-3</v>
      </c>
    </row>
    <row r="91" spans="1:11" x14ac:dyDescent="0.3">
      <c r="A91" s="18">
        <v>43280</v>
      </c>
      <c r="B91" s="4">
        <f>Backtest!B93</f>
        <v>1.8430318124626012E-2</v>
      </c>
      <c r="C91" s="8">
        <v>-5.1998863896937753E-2</v>
      </c>
      <c r="D91" s="8">
        <v>-5.1947299959847593E-2</v>
      </c>
      <c r="E91" s="8">
        <v>5.1751309767436027E-3</v>
      </c>
      <c r="F91" s="4">
        <f t="shared" si="6"/>
        <v>7.560431299830736E-2</v>
      </c>
      <c r="G91" s="4"/>
      <c r="H91" s="1">
        <f t="shared" si="7"/>
        <v>7.2882655257924034E-2</v>
      </c>
      <c r="I91" s="1">
        <v>-5.3399578306881613E-2</v>
      </c>
      <c r="J91" s="1">
        <v>-5.3345187512569829E-2</v>
      </c>
      <c r="K91" s="1">
        <v>5.1617860079368185E-3</v>
      </c>
    </row>
    <row r="92" spans="1:11" x14ac:dyDescent="0.3">
      <c r="A92" s="18">
        <v>43312</v>
      </c>
      <c r="B92" s="4">
        <f>Backtest!B94</f>
        <v>-3.0438007145168981E-2</v>
      </c>
      <c r="C92" s="8">
        <v>8.875313520013739E-2</v>
      </c>
      <c r="D92" s="8">
        <v>8.8358348830348099E-2</v>
      </c>
      <c r="E92" s="8">
        <v>5.422254978577401E-3</v>
      </c>
      <c r="F92" s="4">
        <f t="shared" si="6"/>
        <v>-0.11376888736672897</v>
      </c>
      <c r="G92" s="4"/>
      <c r="H92" s="1">
        <f t="shared" si="7"/>
        <v>-0.12077751291914696</v>
      </c>
      <c r="I92" s="1">
        <v>8.503312881316176E-2</v>
      </c>
      <c r="J92" s="1">
        <v>8.4670458938869791E-2</v>
      </c>
      <c r="K92" s="1">
        <v>5.4076074785151433E-3</v>
      </c>
    </row>
    <row r="93" spans="1:11" x14ac:dyDescent="0.3">
      <c r="A93" s="18">
        <v>43343</v>
      </c>
      <c r="B93" s="4">
        <f>Backtest!B95</f>
        <v>-4.9327164520591944E-2</v>
      </c>
      <c r="C93" s="8">
        <v>-3.2099055293838386E-2</v>
      </c>
      <c r="D93" s="8">
        <v>-3.1254312298414466E-2</v>
      </c>
      <c r="E93" s="8">
        <v>5.6694552303853119E-3</v>
      </c>
      <c r="F93" s="4">
        <f t="shared" si="6"/>
        <v>-1.1558653996368247E-2</v>
      </c>
      <c r="G93" s="4"/>
      <c r="H93" s="1">
        <f t="shared" si="7"/>
        <v>-1.1625974496497859E-2</v>
      </c>
      <c r="I93" s="1">
        <v>-3.262552679062284E-2</v>
      </c>
      <c r="J93" s="1">
        <v>-3.1753149729302765E-2</v>
      </c>
      <c r="K93" s="1">
        <v>5.6534443558669016E-3</v>
      </c>
    </row>
    <row r="94" spans="1:11" x14ac:dyDescent="0.3">
      <c r="A94" s="18">
        <v>43371</v>
      </c>
      <c r="B94" s="4">
        <f>Backtest!B96</f>
        <v>-6.2874319350927363E-3</v>
      </c>
      <c r="C94" s="8">
        <v>3.4754654233640769E-2</v>
      </c>
      <c r="D94" s="8">
        <v>3.2295263747502911E-2</v>
      </c>
      <c r="E94" s="8">
        <v>4.6811193096090165E-3</v>
      </c>
      <c r="F94" s="4">
        <f t="shared" si="6"/>
        <v>-3.6360966859124488E-2</v>
      </c>
      <c r="G94" s="4"/>
      <c r="H94" s="1">
        <f t="shared" si="7"/>
        <v>-3.7038501443655003E-2</v>
      </c>
      <c r="I94" s="1">
        <v>3.4164349567143093E-2</v>
      </c>
      <c r="J94" s="1">
        <v>3.1784734420665477E-2</v>
      </c>
      <c r="K94" s="1">
        <v>4.6701969432832984E-3</v>
      </c>
    </row>
    <row r="95" spans="1:11" x14ac:dyDescent="0.3">
      <c r="A95" s="18">
        <v>43404</v>
      </c>
      <c r="B95" s="4">
        <f>Backtest!B97</f>
        <v>6.2265890036481822E-2</v>
      </c>
      <c r="C95" s="8">
        <v>0.10185222529189963</v>
      </c>
      <c r="D95" s="8">
        <v>0.10419901107746554</v>
      </c>
      <c r="E95" s="8">
        <v>5.4300515968455088E-3</v>
      </c>
      <c r="F95" s="4">
        <f t="shared" si="6"/>
        <v>-3.4156283658572303E-2</v>
      </c>
      <c r="G95" s="4"/>
      <c r="H95" s="1">
        <f t="shared" si="7"/>
        <v>-3.4753242183758928E-2</v>
      </c>
      <c r="I95" s="1">
        <v>9.6992604907631758E-2</v>
      </c>
      <c r="J95" s="1">
        <v>9.912019526648741E-2</v>
      </c>
      <c r="K95" s="1">
        <v>5.4153620194554728E-3</v>
      </c>
    </row>
    <row r="96" spans="1:11" x14ac:dyDescent="0.3">
      <c r="A96" s="18">
        <v>43434</v>
      </c>
      <c r="B96" s="4">
        <f>Backtest!B98</f>
        <v>6.7037386002653743E-2</v>
      </c>
      <c r="C96" s="8">
        <v>2.3796777986722084E-2</v>
      </c>
      <c r="D96" s="8">
        <v>2.6617838553418594E-2</v>
      </c>
      <c r="E96" s="8">
        <v>4.9354806288566255E-3</v>
      </c>
      <c r="F96" s="4">
        <f t="shared" si="6"/>
        <v>4.8176088644788284E-2</v>
      </c>
      <c r="G96" s="4"/>
      <c r="H96" s="1">
        <f t="shared" si="7"/>
        <v>4.705159530049971E-2</v>
      </c>
      <c r="I96" s="1">
        <v>2.3518047924381627E-2</v>
      </c>
      <c r="J96" s="1">
        <v>2.6269747335801549E-2</v>
      </c>
      <c r="K96" s="1">
        <v>4.9233410709877854E-3</v>
      </c>
    </row>
    <row r="97" spans="1:11" x14ac:dyDescent="0.3">
      <c r="A97" s="18">
        <v>43465</v>
      </c>
      <c r="B97" s="4">
        <f>Backtest!B99</f>
        <v>3.253562041287994E-2</v>
      </c>
      <c r="C97" s="8">
        <v>-1.8062879871290627E-2</v>
      </c>
      <c r="D97" s="8">
        <v>-1.2886349742208258E-2</v>
      </c>
      <c r="E97" s="8">
        <v>4.6882237783716363E-3</v>
      </c>
      <c r="F97" s="4">
        <f t="shared" si="6"/>
        <v>5.5286724062542203E-2</v>
      </c>
      <c r="G97" s="4"/>
      <c r="H97" s="1">
        <f t="shared" si="7"/>
        <v>5.3812506366123308E-2</v>
      </c>
      <c r="I97" s="1">
        <v>-1.8228005133325797E-2</v>
      </c>
      <c r="J97" s="1">
        <v>-1.2970099006567166E-2</v>
      </c>
      <c r="K97" s="1">
        <v>4.6772682851320109E-3</v>
      </c>
    </row>
    <row r="98" spans="1:11" x14ac:dyDescent="0.3">
      <c r="A98" s="18">
        <v>43496</v>
      </c>
      <c r="B98" s="4">
        <f>Backtest!B100</f>
        <v>8.3691773632645614E-2</v>
      </c>
      <c r="C98" s="8">
        <v>0.10816579869901566</v>
      </c>
      <c r="D98" s="8">
        <v>0.10713449901374084</v>
      </c>
      <c r="E98" s="8">
        <v>5.6779287346226948E-3</v>
      </c>
      <c r="F98" s="4">
        <f t="shared" si="6"/>
        <v>-1.879609633174735E-2</v>
      </c>
      <c r="G98" s="4"/>
      <c r="H98" s="1">
        <f t="shared" si="7"/>
        <v>-1.897498814235303E-2</v>
      </c>
      <c r="I98" s="1">
        <v>0.10270621494546706</v>
      </c>
      <c r="J98" s="1">
        <v>0.10177514500353488</v>
      </c>
      <c r="K98" s="1">
        <v>5.6618700552811211E-3</v>
      </c>
    </row>
    <row r="99" spans="1:11" x14ac:dyDescent="0.3">
      <c r="A99" s="18">
        <v>43524</v>
      </c>
      <c r="B99" s="4">
        <f>Backtest!B101</f>
        <v>-8.6387987036164737E-2</v>
      </c>
      <c r="C99" s="8">
        <v>-1.8577176963191722E-2</v>
      </c>
      <c r="D99" s="8">
        <v>-1.7627573240305838E-2</v>
      </c>
      <c r="E99" s="8">
        <v>4.9355722544015546E-3</v>
      </c>
      <c r="F99" s="4">
        <f t="shared" si="6"/>
        <v>-6.2875237818571461E-2</v>
      </c>
      <c r="G99" s="4"/>
      <c r="H99" s="1">
        <f t="shared" si="7"/>
        <v>-6.4938854933595913E-2</v>
      </c>
      <c r="I99" s="1">
        <v>-1.8751900005943987E-2</v>
      </c>
      <c r="J99" s="1">
        <v>-1.7784789206589276E-2</v>
      </c>
      <c r="K99" s="1">
        <v>4.923432246533398E-3</v>
      </c>
    </row>
    <row r="100" spans="1:11" x14ac:dyDescent="0.3">
      <c r="A100" s="18">
        <v>43553</v>
      </c>
      <c r="B100" s="4">
        <f>Backtest!B102</f>
        <v>5.6761304730942853E-2</v>
      </c>
      <c r="C100" s="8">
        <v>-1.7764405070281875E-3</v>
      </c>
      <c r="D100" s="8">
        <v>-1.1436493070831055E-3</v>
      </c>
      <c r="E100" s="8">
        <v>4.6881747988904987E-3</v>
      </c>
      <c r="F100" s="4">
        <f t="shared" si="6"/>
        <v>6.3225920036861533E-2</v>
      </c>
      <c r="G100" s="4"/>
      <c r="H100" s="1">
        <f t="shared" si="7"/>
        <v>6.1307607386904946E-2</v>
      </c>
      <c r="I100" s="1">
        <v>-1.7780202486208847E-3</v>
      </c>
      <c r="J100" s="1">
        <v>-1.1443037729858033E-3</v>
      </c>
      <c r="K100" s="1">
        <v>4.6772195342049353E-3</v>
      </c>
    </row>
    <row r="101" spans="1:11" x14ac:dyDescent="0.3">
      <c r="A101" s="18">
        <v>43585</v>
      </c>
      <c r="B101" s="4">
        <f>Backtest!B103</f>
        <v>9.107088374886714E-2</v>
      </c>
      <c r="C101" s="8">
        <v>9.8381170177310739E-3</v>
      </c>
      <c r="D101" s="8">
        <v>1.056873346980014E-2</v>
      </c>
      <c r="E101" s="8">
        <v>5.182909935088853E-3</v>
      </c>
      <c r="F101" s="4">
        <f t="shared" si="6"/>
        <v>8.6415676666224919E-2</v>
      </c>
      <c r="G101" s="4"/>
      <c r="H101" s="1">
        <f t="shared" si="7"/>
        <v>8.2883907639230855E-2</v>
      </c>
      <c r="I101" s="1">
        <v>9.7900378264629915E-3</v>
      </c>
      <c r="J101" s="1">
        <v>1.0513274815824647E-2</v>
      </c>
      <c r="K101" s="1">
        <v>5.169524886471869E-3</v>
      </c>
    </row>
    <row r="102" spans="1:11" x14ac:dyDescent="0.3">
      <c r="A102" s="18">
        <v>43616</v>
      </c>
      <c r="B102" s="4">
        <f>Backtest!B104</f>
        <v>5.5020208073743061E-2</v>
      </c>
      <c r="C102" s="8">
        <v>7.0262253602109137E-3</v>
      </c>
      <c r="D102" s="8">
        <v>1.1412716135082546E-2</v>
      </c>
      <c r="E102" s="8">
        <v>5.4304289159168295E-3</v>
      </c>
      <c r="F102" s="4">
        <f t="shared" si="6"/>
        <v>5.3424411629448977E-2</v>
      </c>
      <c r="G102" s="4"/>
      <c r="H102" s="1">
        <f t="shared" si="7"/>
        <v>5.2046201929496806E-2</v>
      </c>
      <c r="I102" s="1">
        <v>7.0016564561099929E-3</v>
      </c>
      <c r="J102" s="1">
        <v>1.1348082389812907E-2</v>
      </c>
      <c r="K102" s="1">
        <v>5.4157373006596902E-3</v>
      </c>
    </row>
    <row r="103" spans="1:11" x14ac:dyDescent="0.3">
      <c r="A103" s="18">
        <v>43644</v>
      </c>
      <c r="B103" s="4">
        <f>Backtest!B105</f>
        <v>8.5243491363609966E-2</v>
      </c>
      <c r="C103" s="8">
        <v>4.057392381555025E-2</v>
      </c>
      <c r="D103" s="8">
        <v>4.0982932929906735E-2</v>
      </c>
      <c r="E103" s="8">
        <v>4.6881615451535019E-3</v>
      </c>
      <c r="F103" s="4">
        <f t="shared" si="6"/>
        <v>4.9357729093213218E-2</v>
      </c>
      <c r="G103" s="4"/>
      <c r="H103" s="1">
        <f t="shared" si="7"/>
        <v>4.8178290434980398E-2</v>
      </c>
      <c r="I103" s="1">
        <v>3.9772410762809005E-2</v>
      </c>
      <c r="J103" s="1">
        <v>4.0165394618421578E-2</v>
      </c>
      <c r="K103" s="1">
        <v>4.677206342313743E-3</v>
      </c>
    </row>
    <row r="104" spans="1:11" x14ac:dyDescent="0.3">
      <c r="A104" s="18">
        <v>43677</v>
      </c>
      <c r="B104" s="4">
        <f>Backtest!B106</f>
        <v>0.10015480282660011</v>
      </c>
      <c r="C104" s="8">
        <v>8.3680640841778953E-3</v>
      </c>
      <c r="D104" s="8">
        <v>1.167681677831478E-2</v>
      </c>
      <c r="E104" s="8">
        <v>5.6779976405418875E-3</v>
      </c>
      <c r="F104" s="4">
        <f t="shared" si="6"/>
        <v>9.7464736382964101E-2</v>
      </c>
      <c r="G104" s="4"/>
      <c r="H104" s="1">
        <f t="shared" si="7"/>
        <v>9.3002734592635264E-2</v>
      </c>
      <c r="I104" s="1">
        <v>8.3332459413696432E-3</v>
      </c>
      <c r="J104" s="1">
        <v>1.1609168852310824E-2</v>
      </c>
      <c r="K104" s="1">
        <v>5.6619385721639751E-3</v>
      </c>
    </row>
    <row r="105" spans="1:11" x14ac:dyDescent="0.3">
      <c r="A105" s="18">
        <v>43707</v>
      </c>
      <c r="B105" s="4">
        <f>Backtest!B107</f>
        <v>3.9562349481616903E-2</v>
      </c>
      <c r="C105" s="8">
        <v>-6.654415339630515E-3</v>
      </c>
      <c r="D105" s="8">
        <v>-1.6385186872448498E-3</v>
      </c>
      <c r="E105" s="8">
        <v>5.0359642416821782E-3</v>
      </c>
      <c r="F105" s="4">
        <f t="shared" si="6"/>
        <v>5.1252729062929596E-2</v>
      </c>
      <c r="G105" s="4"/>
      <c r="H105" s="1">
        <f t="shared" si="7"/>
        <v>4.998252831870667E-2</v>
      </c>
      <c r="I105" s="1">
        <v>-6.6766546761466853E-3</v>
      </c>
      <c r="J105" s="1">
        <v>-1.6398625271275278E-3</v>
      </c>
      <c r="K105" s="1">
        <v>5.0233261858666049E-3</v>
      </c>
    </row>
    <row r="106" spans="1:11" x14ac:dyDescent="0.3">
      <c r="A106" s="18">
        <v>43738</v>
      </c>
      <c r="B106" s="4">
        <f>Backtest!B108</f>
        <v>1.7554565113182624E-2</v>
      </c>
      <c r="C106" s="8">
        <v>3.5701925948191882E-2</v>
      </c>
      <c r="D106" s="8">
        <v>3.2131244048215768E-2</v>
      </c>
      <c r="E106" s="8">
        <v>4.6564545026677173E-3</v>
      </c>
      <c r="F106" s="4">
        <f t="shared" si="6"/>
        <v>-1.349090633234154E-2</v>
      </c>
      <c r="G106" s="4"/>
      <c r="H106" s="1">
        <f t="shared" si="7"/>
        <v>-1.358273544978073E-2</v>
      </c>
      <c r="I106" s="1">
        <v>3.5079386172801513E-2</v>
      </c>
      <c r="J106" s="1">
        <v>3.1625833438709582E-2</v>
      </c>
      <c r="K106" s="1">
        <v>4.6456467559340001E-3</v>
      </c>
    </row>
    <row r="107" spans="1:11" x14ac:dyDescent="0.3">
      <c r="A107" s="18">
        <v>43769</v>
      </c>
      <c r="B107" s="4">
        <f>Backtest!B109</f>
        <v>-1.4246387541723049E-2</v>
      </c>
      <c r="C107" s="8">
        <v>2.3623971672237287E-2</v>
      </c>
      <c r="D107" s="8">
        <v>2.2019187362766646E-2</v>
      </c>
      <c r="E107" s="8">
        <v>4.8115969225730471E-3</v>
      </c>
      <c r="F107" s="4">
        <f t="shared" si="6"/>
        <v>-3.3058762291387288E-2</v>
      </c>
      <c r="G107" s="4"/>
      <c r="H107" s="1">
        <f t="shared" si="7"/>
        <v>-3.3617552998213958E-2</v>
      </c>
      <c r="I107" s="1">
        <v>2.3349244013486495E-2</v>
      </c>
      <c r="J107" s="1">
        <v>2.1780265932837529E-2</v>
      </c>
      <c r="K107" s="1">
        <v>4.8000581884557027E-3</v>
      </c>
    </row>
    <row r="108" spans="1:11" x14ac:dyDescent="0.3">
      <c r="A108" s="18">
        <v>43798</v>
      </c>
      <c r="B108" s="4">
        <f>Backtest!B110</f>
        <v>4.2058511030359187E-2</v>
      </c>
      <c r="C108" s="8">
        <v>9.4525451455793608E-3</v>
      </c>
      <c r="D108" s="8">
        <v>9.6816034403301998E-3</v>
      </c>
      <c r="E108" s="8">
        <v>3.8039006876522397E-3</v>
      </c>
      <c r="F108" s="4">
        <f t="shared" si="6"/>
        <v>3.6409866572432066E-2</v>
      </c>
      <c r="G108" s="4"/>
      <c r="H108" s="1">
        <f t="shared" si="7"/>
        <v>3.5762689703374179E-2</v>
      </c>
      <c r="I108" s="1">
        <v>9.4081493900309756E-3</v>
      </c>
      <c r="J108" s="1">
        <v>9.635037034810676E-3</v>
      </c>
      <c r="K108" s="1">
        <v>3.7966841522979271E-3</v>
      </c>
    </row>
    <row r="109" spans="1:11" x14ac:dyDescent="0.3">
      <c r="A109" s="18">
        <v>43830</v>
      </c>
      <c r="B109" s="4">
        <f>Backtest!B111</f>
        <v>0.14901921902668899</v>
      </c>
      <c r="C109" s="8">
        <v>6.8481696483429833E-2</v>
      </c>
      <c r="D109" s="8">
        <v>7.2737474589509299E-2</v>
      </c>
      <c r="E109" s="8">
        <v>3.5945502827239295E-3</v>
      </c>
      <c r="F109" s="4">
        <f t="shared" si="6"/>
        <v>8.413207282598309E-2</v>
      </c>
      <c r="G109" s="4"/>
      <c r="H109" s="1">
        <f t="shared" si="7"/>
        <v>8.0779733996112824E-2</v>
      </c>
      <c r="I109" s="1">
        <v>6.6238665525925777E-2</v>
      </c>
      <c r="J109" s="1">
        <v>7.021376883858628E-2</v>
      </c>
      <c r="K109" s="1">
        <v>3.5881053267178887E-3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3" name="Button 1">
              <controlPr defaultSize="0" print="0" autoFill="0" autoPict="0" macro="[0]!go_Back">
                <anchor moveWithCells="1" sizeWithCells="1">
                  <from>
                    <xdr:col>17</xdr:col>
                    <xdr:colOff>381000</xdr:colOff>
                    <xdr:row>1</xdr:row>
                    <xdr:rowOff>83820</xdr:rowOff>
                  </from>
                  <to>
                    <xdr:col>19</xdr:col>
                    <xdr:colOff>152400</xdr:colOff>
                    <xdr:row>5</xdr:row>
                    <xdr:rowOff>22860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086784-8775-4179-935B-EEB0615C5597}">
  <sheetPr codeName="Sheet1">
    <tabColor theme="4"/>
  </sheetPr>
  <dimension ref="A1:ML2516"/>
  <sheetViews>
    <sheetView workbookViewId="0"/>
  </sheetViews>
  <sheetFormatPr defaultRowHeight="14.4" x14ac:dyDescent="0.3"/>
  <cols>
    <col min="1" max="1" width="15.33203125" customWidth="1"/>
    <col min="2" max="3" width="10.6640625" bestFit="1" customWidth="1"/>
    <col min="4" max="4" width="10.6640625" style="1" customWidth="1"/>
    <col min="5" max="5" width="10.6640625" bestFit="1" customWidth="1"/>
    <col min="6" max="6" width="10.6640625" style="13" bestFit="1" customWidth="1"/>
    <col min="7" max="7" width="10.6640625" style="13" customWidth="1"/>
    <col min="8" max="8" width="10.5546875" bestFit="1" customWidth="1"/>
    <col min="9" max="9" width="10.6640625" bestFit="1" customWidth="1"/>
    <col min="11" max="11" width="10.6640625" bestFit="1" customWidth="1"/>
    <col min="13" max="13" width="10.6640625" bestFit="1" customWidth="1"/>
    <col min="14" max="14" width="9.6640625" bestFit="1" customWidth="1"/>
  </cols>
  <sheetData>
    <row r="1" spans="1:350" x14ac:dyDescent="0.3">
      <c r="A1" s="14" t="s">
        <v>6</v>
      </c>
      <c r="C1" s="14" t="s">
        <v>123</v>
      </c>
      <c r="E1" s="14" t="s">
        <v>83</v>
      </c>
      <c r="G1" s="14" t="s">
        <v>8</v>
      </c>
      <c r="H1" s="1"/>
      <c r="I1" s="14" t="s">
        <v>124</v>
      </c>
      <c r="J1" s="1"/>
      <c r="K1" s="14" t="s">
        <v>9</v>
      </c>
      <c r="L1" s="1"/>
      <c r="M1" s="14" t="s">
        <v>125</v>
      </c>
      <c r="N1" s="1"/>
      <c r="O1" s="14" t="s">
        <v>126</v>
      </c>
      <c r="P1" s="1"/>
      <c r="Q1" s="14" t="s">
        <v>86</v>
      </c>
      <c r="R1" s="1"/>
      <c r="S1" s="14" t="s">
        <v>85</v>
      </c>
      <c r="T1" s="1"/>
      <c r="U1" s="14" t="s">
        <v>127</v>
      </c>
      <c r="V1" s="1"/>
      <c r="W1" s="14" t="s">
        <v>10</v>
      </c>
      <c r="X1" s="1"/>
      <c r="Y1" s="14" t="s">
        <v>11</v>
      </c>
      <c r="Z1" s="1"/>
      <c r="AA1" s="14" t="s">
        <v>0</v>
      </c>
      <c r="AB1" s="1"/>
      <c r="AC1" s="14" t="s">
        <v>128</v>
      </c>
      <c r="AD1" s="1"/>
      <c r="AE1" s="14" t="s">
        <v>12</v>
      </c>
      <c r="AF1" s="1"/>
      <c r="AG1" s="14" t="s">
        <v>129</v>
      </c>
      <c r="AH1" s="1"/>
      <c r="AI1" s="14" t="s">
        <v>13</v>
      </c>
      <c r="AJ1" s="1"/>
      <c r="AK1" s="14" t="s">
        <v>14</v>
      </c>
      <c r="AL1" s="1"/>
      <c r="AM1" s="14" t="s">
        <v>130</v>
      </c>
      <c r="AN1" s="1"/>
      <c r="AO1" s="14" t="s">
        <v>118</v>
      </c>
      <c r="AP1" s="1"/>
      <c r="AQ1" s="14" t="s">
        <v>15</v>
      </c>
      <c r="AR1" s="1"/>
      <c r="AS1" s="14" t="s">
        <v>131</v>
      </c>
      <c r="AT1" s="1"/>
      <c r="AU1" s="14" t="s">
        <v>16</v>
      </c>
      <c r="AV1" s="1"/>
      <c r="AW1" s="14" t="s">
        <v>17</v>
      </c>
      <c r="AX1" s="1"/>
      <c r="AY1" s="14" t="s">
        <v>18</v>
      </c>
      <c r="AZ1" s="1"/>
      <c r="BA1" s="14" t="s">
        <v>132</v>
      </c>
      <c r="BB1" s="1"/>
      <c r="BC1" s="14" t="s">
        <v>19</v>
      </c>
      <c r="BD1" s="1"/>
      <c r="BE1" s="14" t="s">
        <v>121</v>
      </c>
      <c r="BF1" s="1"/>
      <c r="BG1" s="14" t="s">
        <v>133</v>
      </c>
      <c r="BH1" s="1"/>
      <c r="BI1" s="14" t="s">
        <v>20</v>
      </c>
      <c r="BJ1" s="1"/>
      <c r="BK1" s="14" t="s">
        <v>95</v>
      </c>
      <c r="BL1" s="1"/>
      <c r="BM1" s="14" t="s">
        <v>21</v>
      </c>
      <c r="BN1" s="1"/>
      <c r="BO1" s="14" t="s">
        <v>22</v>
      </c>
      <c r="BP1" s="1"/>
      <c r="BQ1" s="14" t="s">
        <v>23</v>
      </c>
      <c r="BR1" s="1"/>
      <c r="BS1" s="14" t="s">
        <v>134</v>
      </c>
      <c r="BT1" s="1"/>
      <c r="BU1" s="14" t="s">
        <v>135</v>
      </c>
      <c r="BV1" s="1"/>
      <c r="BW1" s="14" t="s">
        <v>7</v>
      </c>
      <c r="BX1" s="1"/>
      <c r="BY1" s="14" t="s">
        <v>24</v>
      </c>
      <c r="BZ1" s="1"/>
      <c r="CA1" s="14" t="s">
        <v>136</v>
      </c>
      <c r="CB1" s="1"/>
      <c r="CC1" s="14" t="s">
        <v>25</v>
      </c>
      <c r="CD1" s="1"/>
      <c r="CE1" s="14" t="s">
        <v>88</v>
      </c>
      <c r="CF1" s="1"/>
      <c r="CG1" s="14" t="s">
        <v>26</v>
      </c>
      <c r="CH1" s="1"/>
      <c r="CI1" s="14" t="s">
        <v>27</v>
      </c>
      <c r="CJ1" s="1"/>
      <c r="CK1" s="14" t="s">
        <v>76</v>
      </c>
      <c r="CL1" s="1"/>
      <c r="CM1" s="14" t="s">
        <v>92</v>
      </c>
      <c r="CN1" s="1"/>
      <c r="CO1" s="14" t="s">
        <v>28</v>
      </c>
      <c r="CP1" s="1"/>
      <c r="CQ1" s="14" t="s">
        <v>89</v>
      </c>
      <c r="CR1" s="1"/>
      <c r="CS1" s="14" t="s">
        <v>82</v>
      </c>
      <c r="CT1" s="1"/>
      <c r="CU1" s="14" t="s">
        <v>137</v>
      </c>
      <c r="CV1" s="1"/>
      <c r="CW1" s="14" t="s">
        <v>114</v>
      </c>
      <c r="CX1" s="1"/>
      <c r="CY1" s="14" t="s">
        <v>2</v>
      </c>
      <c r="CZ1" s="1"/>
      <c r="DA1" s="14" t="s">
        <v>111</v>
      </c>
      <c r="DB1" s="1"/>
      <c r="DC1" s="14" t="s">
        <v>29</v>
      </c>
      <c r="DD1" s="1"/>
      <c r="DE1" s="14" t="s">
        <v>138</v>
      </c>
      <c r="DF1" s="1"/>
      <c r="DG1" s="14" t="s">
        <v>122</v>
      </c>
      <c r="DH1" s="1"/>
      <c r="DI1" s="14" t="s">
        <v>139</v>
      </c>
      <c r="DJ1" s="1"/>
      <c r="DK1" s="14" t="s">
        <v>30</v>
      </c>
      <c r="DL1" s="1"/>
      <c r="DM1" s="14" t="s">
        <v>140</v>
      </c>
      <c r="DN1" s="1"/>
      <c r="DO1" s="14" t="s">
        <v>31</v>
      </c>
      <c r="DP1" s="1"/>
      <c r="DQ1" s="14" t="s">
        <v>32</v>
      </c>
      <c r="DR1" s="1"/>
      <c r="DS1" s="14" t="s">
        <v>33</v>
      </c>
      <c r="DT1" s="1"/>
      <c r="DU1" s="14" t="s">
        <v>4</v>
      </c>
      <c r="DV1" s="1"/>
      <c r="DW1" s="14" t="s">
        <v>141</v>
      </c>
      <c r="DX1" s="1"/>
      <c r="DY1" s="14" t="s">
        <v>34</v>
      </c>
      <c r="DZ1" s="1"/>
      <c r="EA1" s="14" t="s">
        <v>142</v>
      </c>
      <c r="EB1" s="1"/>
      <c r="EC1" s="14" t="s">
        <v>96</v>
      </c>
      <c r="ED1" s="1"/>
      <c r="EE1" s="14" t="s">
        <v>35</v>
      </c>
      <c r="EF1" s="1"/>
      <c r="EG1" s="14" t="s">
        <v>143</v>
      </c>
      <c r="EH1" s="1"/>
      <c r="EI1" s="14" t="s">
        <v>87</v>
      </c>
      <c r="EJ1" s="1"/>
      <c r="EK1" s="14" t="s">
        <v>144</v>
      </c>
      <c r="EL1" s="1"/>
      <c r="EM1" s="14" t="s">
        <v>5</v>
      </c>
      <c r="EN1" s="1"/>
      <c r="EO1" s="14" t="s">
        <v>36</v>
      </c>
      <c r="EP1" s="1"/>
      <c r="EQ1" s="14" t="s">
        <v>37</v>
      </c>
      <c r="ER1" s="1"/>
      <c r="ES1" s="14" t="s">
        <v>112</v>
      </c>
      <c r="ET1" s="1"/>
      <c r="EU1" s="14" t="s">
        <v>145</v>
      </c>
      <c r="EV1" s="1"/>
      <c r="EW1" s="14" t="s">
        <v>38</v>
      </c>
      <c r="EX1" s="1"/>
      <c r="EY1" s="14" t="s">
        <v>39</v>
      </c>
      <c r="EZ1" s="1"/>
      <c r="FA1" s="14" t="s">
        <v>40</v>
      </c>
      <c r="FB1" s="1"/>
      <c r="FC1" s="14" t="s">
        <v>41</v>
      </c>
      <c r="FD1" s="1"/>
      <c r="FE1" s="14" t="s">
        <v>42</v>
      </c>
      <c r="FF1" s="1"/>
      <c r="FG1" s="14" t="s">
        <v>146</v>
      </c>
      <c r="FH1" s="1"/>
      <c r="FI1" s="14" t="s">
        <v>147</v>
      </c>
      <c r="FJ1" s="1"/>
      <c r="FK1" s="14" t="s">
        <v>3</v>
      </c>
      <c r="FL1" s="1"/>
      <c r="FM1" s="14" t="s">
        <v>43</v>
      </c>
      <c r="FN1" s="1"/>
      <c r="FO1" s="14" t="s">
        <v>148</v>
      </c>
      <c r="FP1" s="1"/>
      <c r="FQ1" s="14" t="s">
        <v>97</v>
      </c>
      <c r="FR1" s="1"/>
      <c r="FS1" s="14" t="s">
        <v>149</v>
      </c>
      <c r="FT1" s="1"/>
      <c r="FU1" s="14" t="s">
        <v>44</v>
      </c>
      <c r="FV1" s="1"/>
      <c r="FW1" s="14" t="s">
        <v>150</v>
      </c>
      <c r="FX1" s="1"/>
      <c r="FY1" s="14" t="s">
        <v>45</v>
      </c>
      <c r="FZ1" s="1"/>
      <c r="GA1" s="14" t="s">
        <v>151</v>
      </c>
      <c r="GB1" s="1"/>
      <c r="GC1" s="14" t="s">
        <v>46</v>
      </c>
      <c r="GD1" s="1"/>
      <c r="GE1" s="14" t="s">
        <v>152</v>
      </c>
      <c r="GF1" s="1"/>
      <c r="GG1" s="14" t="s">
        <v>153</v>
      </c>
      <c r="GH1" s="1"/>
      <c r="GI1" s="14" t="s">
        <v>47</v>
      </c>
      <c r="GJ1" s="1"/>
      <c r="GK1" s="14" t="s">
        <v>154</v>
      </c>
      <c r="GL1" s="1"/>
      <c r="GM1" s="14" t="s">
        <v>48</v>
      </c>
      <c r="GN1" s="1"/>
      <c r="GO1" s="14" t="s">
        <v>49</v>
      </c>
      <c r="GP1" s="1"/>
      <c r="GQ1" s="14" t="s">
        <v>155</v>
      </c>
      <c r="GR1" s="1"/>
      <c r="GS1" s="14" t="s">
        <v>156</v>
      </c>
      <c r="GT1" s="1"/>
      <c r="GU1" s="14" t="s">
        <v>157</v>
      </c>
      <c r="GV1" s="1"/>
      <c r="GW1" s="14" t="s">
        <v>81</v>
      </c>
      <c r="GX1" s="1"/>
      <c r="GY1" s="14" t="s">
        <v>113</v>
      </c>
      <c r="GZ1" s="1"/>
      <c r="HA1" s="14" t="s">
        <v>50</v>
      </c>
      <c r="HB1" s="1"/>
      <c r="HC1" s="14" t="s">
        <v>51</v>
      </c>
      <c r="HD1" s="1"/>
      <c r="HE1" s="14" t="s">
        <v>158</v>
      </c>
      <c r="HF1" s="1"/>
      <c r="HG1" s="14" t="s">
        <v>52</v>
      </c>
      <c r="HH1" s="1"/>
      <c r="HI1" s="14" t="s">
        <v>79</v>
      </c>
      <c r="HJ1" s="1"/>
      <c r="HK1" s="14" t="s">
        <v>78</v>
      </c>
      <c r="HL1" s="1"/>
      <c r="HM1" s="14" t="s">
        <v>159</v>
      </c>
      <c r="HN1" s="1"/>
      <c r="HO1" s="14" t="s">
        <v>53</v>
      </c>
      <c r="HP1" s="1"/>
      <c r="HQ1" s="14" t="s">
        <v>160</v>
      </c>
      <c r="HR1" s="1"/>
      <c r="HS1" s="14" t="s">
        <v>54</v>
      </c>
      <c r="HT1" s="1"/>
      <c r="HU1" s="14" t="s">
        <v>77</v>
      </c>
      <c r="HV1" s="1"/>
      <c r="HW1" s="14" t="s">
        <v>161</v>
      </c>
      <c r="HX1" s="1"/>
      <c r="HY1" s="14" t="s">
        <v>55</v>
      </c>
      <c r="HZ1" s="1"/>
      <c r="IA1" s="14" t="s">
        <v>162</v>
      </c>
      <c r="IB1" s="1"/>
      <c r="IC1" s="14" t="s">
        <v>163</v>
      </c>
      <c r="ID1" s="1"/>
      <c r="IE1" s="14" t="s">
        <v>164</v>
      </c>
      <c r="IF1" s="1"/>
      <c r="IG1" s="14" t="s">
        <v>165</v>
      </c>
      <c r="IH1" s="1"/>
      <c r="II1" s="14" t="s">
        <v>120</v>
      </c>
      <c r="IJ1" s="1"/>
      <c r="IK1" s="14" t="s">
        <v>166</v>
      </c>
      <c r="IL1" s="1"/>
      <c r="IM1" s="14" t="s">
        <v>56</v>
      </c>
      <c r="IN1" s="1"/>
      <c r="IO1" s="14" t="s">
        <v>57</v>
      </c>
      <c r="IP1" s="1"/>
      <c r="IQ1" s="14" t="s">
        <v>58</v>
      </c>
      <c r="IR1" s="1"/>
      <c r="IS1" s="14" t="s">
        <v>59</v>
      </c>
      <c r="IT1" s="1"/>
      <c r="IU1" s="14" t="s">
        <v>60</v>
      </c>
      <c r="IV1" s="1"/>
      <c r="IW1" s="14" t="s">
        <v>80</v>
      </c>
      <c r="IX1" s="1"/>
      <c r="IY1" s="14" t="s">
        <v>61</v>
      </c>
      <c r="IZ1" s="1"/>
      <c r="JA1" s="14" t="s">
        <v>167</v>
      </c>
      <c r="JB1" s="1"/>
      <c r="JC1" s="14" t="s">
        <v>168</v>
      </c>
      <c r="JD1" s="1"/>
      <c r="JE1" s="14" t="s">
        <v>117</v>
      </c>
      <c r="JF1" s="1"/>
      <c r="JG1" s="14" t="s">
        <v>169</v>
      </c>
      <c r="JH1" s="1"/>
      <c r="JI1" s="14" t="s">
        <v>110</v>
      </c>
      <c r="JJ1" s="1"/>
      <c r="JK1" s="14" t="s">
        <v>62</v>
      </c>
      <c r="JL1" s="1"/>
      <c r="JM1" s="14" t="s">
        <v>170</v>
      </c>
      <c r="JN1" s="1"/>
      <c r="JO1" s="14" t="s">
        <v>63</v>
      </c>
      <c r="JP1" s="1"/>
      <c r="JQ1" s="14" t="s">
        <v>171</v>
      </c>
      <c r="JR1" s="1"/>
      <c r="JS1" s="14" t="s">
        <v>172</v>
      </c>
      <c r="JT1" s="1"/>
      <c r="JU1" s="14" t="s">
        <v>173</v>
      </c>
      <c r="JV1" s="1"/>
      <c r="JW1" s="14" t="s">
        <v>64</v>
      </c>
      <c r="JX1" s="1"/>
      <c r="JY1" s="14" t="s">
        <v>1</v>
      </c>
      <c r="JZ1" s="1"/>
      <c r="KA1" s="14" t="s">
        <v>65</v>
      </c>
      <c r="KB1" s="1"/>
      <c r="KC1" s="14" t="s">
        <v>174</v>
      </c>
      <c r="KD1" s="1"/>
      <c r="KE1" s="14" t="s">
        <v>175</v>
      </c>
      <c r="KF1" s="1"/>
      <c r="KG1" s="14" t="s">
        <v>115</v>
      </c>
      <c r="KH1" s="1"/>
      <c r="KI1" s="14" t="s">
        <v>84</v>
      </c>
      <c r="KJ1" s="1"/>
      <c r="KK1" s="14" t="s">
        <v>176</v>
      </c>
      <c r="KL1" s="1"/>
      <c r="KM1" s="14" t="s">
        <v>67</v>
      </c>
      <c r="KN1" s="1"/>
      <c r="KO1" s="14" t="s">
        <v>177</v>
      </c>
      <c r="KP1" s="1"/>
      <c r="KQ1" s="14" t="s">
        <v>119</v>
      </c>
      <c r="KR1" s="1"/>
      <c r="KS1" s="14" t="s">
        <v>178</v>
      </c>
      <c r="KT1" s="1"/>
      <c r="KU1" s="14" t="s">
        <v>66</v>
      </c>
      <c r="KV1" s="1"/>
      <c r="KW1" s="14" t="s">
        <v>179</v>
      </c>
      <c r="KX1" s="1"/>
      <c r="KY1" s="14" t="s">
        <v>116</v>
      </c>
      <c r="KZ1" s="1"/>
      <c r="LA1" s="14" t="s">
        <v>180</v>
      </c>
      <c r="LB1" s="1"/>
      <c r="LC1" s="14" t="s">
        <v>181</v>
      </c>
      <c r="LD1" s="1"/>
      <c r="LE1" s="14" t="s">
        <v>68</v>
      </c>
      <c r="LF1" s="1"/>
      <c r="LG1" s="14" t="s">
        <v>69</v>
      </c>
      <c r="LH1" s="1"/>
      <c r="LI1" s="14" t="s">
        <v>70</v>
      </c>
      <c r="LJ1" s="1"/>
      <c r="LK1" s="14" t="s">
        <v>182</v>
      </c>
      <c r="LL1" s="1"/>
      <c r="LM1" s="14" t="s">
        <v>71</v>
      </c>
      <c r="LN1" s="1"/>
      <c r="LO1" s="14" t="s">
        <v>183</v>
      </c>
      <c r="LP1" s="1"/>
      <c r="LQ1" s="14" t="s">
        <v>72</v>
      </c>
      <c r="LR1" s="1"/>
      <c r="LS1" s="14" t="s">
        <v>184</v>
      </c>
      <c r="LT1" s="1"/>
      <c r="LU1" s="14" t="s">
        <v>185</v>
      </c>
      <c r="LV1" s="1"/>
      <c r="LW1" s="14" t="s">
        <v>186</v>
      </c>
      <c r="LX1" s="1"/>
      <c r="LY1" s="14" t="s">
        <v>91</v>
      </c>
      <c r="LZ1" s="1"/>
      <c r="MA1" s="14" t="s">
        <v>73</v>
      </c>
      <c r="MB1" s="1"/>
      <c r="MC1" s="14" t="s">
        <v>187</v>
      </c>
      <c r="MD1" s="1"/>
      <c r="ME1" s="14" t="s">
        <v>74</v>
      </c>
      <c r="MF1" s="1"/>
      <c r="MG1" s="14" t="s">
        <v>90</v>
      </c>
      <c r="MH1" s="1"/>
      <c r="MI1" s="14" t="s">
        <v>93</v>
      </c>
      <c r="MJ1" s="1"/>
      <c r="MK1" s="14" t="s">
        <v>94</v>
      </c>
      <c r="ML1" s="1"/>
    </row>
    <row r="2" spans="1:350" x14ac:dyDescent="0.3">
      <c r="A2" s="12">
        <v>40178</v>
      </c>
      <c r="B2" s="1">
        <v>4.97</v>
      </c>
      <c r="C2" s="12">
        <v>40543</v>
      </c>
      <c r="D2" s="1">
        <v>13.231999999999999</v>
      </c>
      <c r="E2" s="12">
        <v>40178</v>
      </c>
      <c r="F2" s="13">
        <v>15.891999999999999</v>
      </c>
      <c r="G2" s="16">
        <v>40178</v>
      </c>
      <c r="H2" s="13">
        <v>2.5</v>
      </c>
      <c r="I2" s="16">
        <v>40207</v>
      </c>
      <c r="J2" s="13">
        <v>7.5880000000000001</v>
      </c>
      <c r="K2" s="16">
        <v>41394</v>
      </c>
      <c r="L2" s="13">
        <v>11.805</v>
      </c>
      <c r="M2" s="16">
        <v>40178</v>
      </c>
      <c r="N2" s="13">
        <v>25.692</v>
      </c>
      <c r="O2" s="16">
        <v>40178</v>
      </c>
      <c r="P2" s="13">
        <v>13.459</v>
      </c>
      <c r="Q2" s="16">
        <v>41578</v>
      </c>
      <c r="R2" s="13">
        <v>17.887</v>
      </c>
      <c r="S2" s="16">
        <v>40178</v>
      </c>
      <c r="T2" s="13">
        <v>5.782</v>
      </c>
      <c r="U2" s="16">
        <v>40602</v>
      </c>
      <c r="V2" s="13">
        <v>16.809000000000001</v>
      </c>
      <c r="W2" s="16">
        <v>42853</v>
      </c>
      <c r="X2" s="13">
        <v>23.96</v>
      </c>
      <c r="Y2" s="16">
        <v>40178</v>
      </c>
      <c r="Z2" s="13">
        <v>8.1080000000000005</v>
      </c>
      <c r="AA2" s="16">
        <v>40178</v>
      </c>
      <c r="AB2" s="13">
        <v>15.439</v>
      </c>
      <c r="AC2" s="16">
        <v>40178</v>
      </c>
      <c r="AD2" s="13">
        <v>7.2169999999999996</v>
      </c>
      <c r="AE2" s="16">
        <v>40178</v>
      </c>
      <c r="AF2" s="13">
        <v>8.593</v>
      </c>
      <c r="AG2" s="16">
        <v>40178</v>
      </c>
      <c r="AH2" s="13">
        <v>43.088000000000001</v>
      </c>
      <c r="AI2" s="16">
        <v>41394</v>
      </c>
      <c r="AJ2" s="13">
        <v>10.406000000000001</v>
      </c>
      <c r="AK2" s="16">
        <v>40178</v>
      </c>
      <c r="AL2" s="13">
        <v>5.3650000000000002</v>
      </c>
      <c r="AM2" s="16">
        <v>43220</v>
      </c>
      <c r="AN2" s="13">
        <v>73.677999999999997</v>
      </c>
      <c r="AO2" s="16">
        <v>40178</v>
      </c>
      <c r="AP2" s="13">
        <v>6.6859999999999999</v>
      </c>
      <c r="AQ2" s="16">
        <v>42794</v>
      </c>
      <c r="AR2" s="13">
        <v>15.510999999999999</v>
      </c>
      <c r="AS2" s="16">
        <v>40178</v>
      </c>
      <c r="AT2" s="13">
        <v>9.3610000000000007</v>
      </c>
      <c r="AU2" s="16">
        <v>40178</v>
      </c>
      <c r="AV2" s="13">
        <v>22.574000000000002</v>
      </c>
      <c r="AW2" s="16">
        <v>43098</v>
      </c>
      <c r="AX2" s="13">
        <v>14.305999999999999</v>
      </c>
      <c r="AY2" s="16">
        <v>40178</v>
      </c>
      <c r="AZ2" s="13">
        <v>20.263999999999999</v>
      </c>
      <c r="BA2" s="16">
        <v>40178</v>
      </c>
      <c r="BB2" s="13">
        <v>9.6929999999999996</v>
      </c>
      <c r="BC2" s="16">
        <v>40178</v>
      </c>
      <c r="BD2" s="13">
        <v>6.0030000000000001</v>
      </c>
      <c r="BE2" s="16">
        <v>40268</v>
      </c>
      <c r="BF2" s="13">
        <v>6.5380000000000003</v>
      </c>
      <c r="BG2" s="16">
        <v>40178</v>
      </c>
      <c r="BH2" s="13">
        <v>7.4969999999999999</v>
      </c>
      <c r="BI2" s="16">
        <v>40178</v>
      </c>
      <c r="BJ2" s="13">
        <v>40.847000000000001</v>
      </c>
      <c r="BK2" s="16">
        <v>40178</v>
      </c>
      <c r="BL2" s="13">
        <v>6.282</v>
      </c>
      <c r="BM2" s="16">
        <v>40178</v>
      </c>
      <c r="BN2" s="13">
        <v>12.465999999999999</v>
      </c>
      <c r="BO2" s="16">
        <v>40178</v>
      </c>
      <c r="BP2" s="13">
        <v>4.7229999999999999</v>
      </c>
      <c r="BQ2" s="16">
        <v>40178</v>
      </c>
      <c r="BR2" s="13">
        <v>4.1829999999999998</v>
      </c>
      <c r="BS2" s="16">
        <v>40178</v>
      </c>
      <c r="BT2" s="13">
        <v>5.7059999999999995</v>
      </c>
      <c r="BU2" s="16">
        <v>40178</v>
      </c>
      <c r="BV2" s="13">
        <v>4.6280000000000001</v>
      </c>
      <c r="BW2" s="16">
        <v>40178</v>
      </c>
      <c r="BX2" s="13">
        <v>1.895</v>
      </c>
      <c r="BY2" s="16">
        <v>40178</v>
      </c>
      <c r="BZ2" s="13">
        <v>12.000999999999999</v>
      </c>
      <c r="CA2" s="16">
        <v>40178</v>
      </c>
      <c r="CB2" s="13">
        <v>22.9</v>
      </c>
      <c r="CC2" s="16">
        <v>42947</v>
      </c>
      <c r="CD2" s="13">
        <v>14.611000000000001</v>
      </c>
      <c r="CE2" s="16">
        <v>40178</v>
      </c>
      <c r="CF2" s="13">
        <v>8.6989999999999998</v>
      </c>
      <c r="CG2" s="16">
        <v>40178</v>
      </c>
      <c r="CH2" s="13">
        <v>17.437999999999999</v>
      </c>
      <c r="CI2" s="16">
        <v>40178</v>
      </c>
      <c r="CJ2" s="13">
        <v>20.977</v>
      </c>
      <c r="CK2" s="16">
        <v>40178</v>
      </c>
      <c r="CL2" s="13">
        <v>18.263000000000002</v>
      </c>
      <c r="CM2" s="16">
        <v>40178</v>
      </c>
      <c r="CN2" s="13">
        <v>11.318</v>
      </c>
      <c r="CO2" s="16">
        <v>41639</v>
      </c>
      <c r="CP2" s="13">
        <v>13.32</v>
      </c>
      <c r="CQ2" s="16">
        <v>40178</v>
      </c>
      <c r="CR2" s="13">
        <v>17.472999999999999</v>
      </c>
      <c r="CS2" s="16">
        <v>40178</v>
      </c>
      <c r="CT2" s="13">
        <v>13.541</v>
      </c>
      <c r="CU2" s="16">
        <v>40178</v>
      </c>
      <c r="CV2" s="13">
        <v>7.2240000000000002</v>
      </c>
      <c r="CW2" s="16">
        <v>40178</v>
      </c>
      <c r="CX2" s="13">
        <v>8.282</v>
      </c>
      <c r="CY2" s="16">
        <v>40268</v>
      </c>
      <c r="CZ2" s="13">
        <v>6.1529999999999996</v>
      </c>
      <c r="DA2" s="16">
        <v>40178</v>
      </c>
      <c r="DB2" s="13">
        <v>9.5259999999999998</v>
      </c>
      <c r="DC2" s="16">
        <v>40178</v>
      </c>
      <c r="DD2" s="13">
        <v>17.637</v>
      </c>
      <c r="DE2" s="16">
        <v>40178</v>
      </c>
      <c r="DF2" s="13">
        <v>16.177</v>
      </c>
      <c r="DG2" s="16">
        <v>40178</v>
      </c>
      <c r="DH2" s="13">
        <v>28.009</v>
      </c>
      <c r="DI2" s="16">
        <v>40178</v>
      </c>
      <c r="DJ2" s="13">
        <v>17.649999999999999</v>
      </c>
      <c r="DK2" s="16">
        <v>40178</v>
      </c>
      <c r="DL2" s="13">
        <v>8.3190000000000008</v>
      </c>
      <c r="DM2" s="16">
        <v>40602</v>
      </c>
      <c r="DN2" s="13">
        <v>13.316000000000001</v>
      </c>
      <c r="DO2" s="16">
        <v>40178</v>
      </c>
      <c r="DP2" s="13">
        <v>6.21</v>
      </c>
      <c r="DQ2" s="16">
        <v>40178</v>
      </c>
      <c r="DR2" s="13">
        <v>317.86200000000002</v>
      </c>
      <c r="DS2" s="16">
        <v>40178</v>
      </c>
      <c r="DT2" s="13">
        <v>7.2130000000000001</v>
      </c>
      <c r="DU2" s="16">
        <v>40178</v>
      </c>
      <c r="DV2" s="13">
        <v>1.544</v>
      </c>
      <c r="DW2" s="16">
        <v>40178</v>
      </c>
      <c r="DX2" s="13">
        <v>6.4719999999999995</v>
      </c>
      <c r="DY2" s="16">
        <v>40178</v>
      </c>
      <c r="DZ2" s="13">
        <v>3.8970000000000002</v>
      </c>
      <c r="EA2" s="16">
        <v>40178</v>
      </c>
      <c r="EB2" s="13">
        <v>16.385999999999999</v>
      </c>
      <c r="EC2" s="16">
        <v>40178</v>
      </c>
      <c r="ED2" s="13">
        <v>31.579000000000001</v>
      </c>
      <c r="EE2" s="16">
        <v>40178</v>
      </c>
      <c r="EF2" s="13">
        <v>6.524</v>
      </c>
      <c r="EG2" s="16">
        <v>40178</v>
      </c>
      <c r="EH2" s="13">
        <v>10.954000000000001</v>
      </c>
      <c r="EI2" s="16">
        <v>40178</v>
      </c>
      <c r="EJ2" s="13">
        <v>95.963999999999999</v>
      </c>
      <c r="EK2" s="16">
        <v>40178</v>
      </c>
      <c r="EL2" s="13">
        <v>17.902999999999999</v>
      </c>
      <c r="EM2" s="16">
        <v>40178</v>
      </c>
      <c r="EN2" s="13">
        <v>24.509</v>
      </c>
      <c r="EO2" s="16">
        <v>43220</v>
      </c>
      <c r="EP2" s="13">
        <v>20.236000000000001</v>
      </c>
      <c r="EQ2" s="16">
        <v>40178</v>
      </c>
      <c r="ER2" s="13">
        <v>29.158999999999999</v>
      </c>
      <c r="ES2" s="16">
        <v>40178</v>
      </c>
      <c r="ET2" s="13">
        <v>25.039000000000001</v>
      </c>
      <c r="EU2" s="16">
        <v>40178</v>
      </c>
      <c r="EV2" s="13">
        <v>1.905</v>
      </c>
      <c r="EW2" s="16">
        <v>43220</v>
      </c>
      <c r="EX2" s="13">
        <v>27.175000000000001</v>
      </c>
      <c r="EY2" s="16">
        <v>40178</v>
      </c>
      <c r="EZ2" s="13">
        <v>6.4989999999999997</v>
      </c>
      <c r="FA2" s="16">
        <v>40178</v>
      </c>
      <c r="FB2" s="13">
        <v>16.303999999999998</v>
      </c>
      <c r="FC2" s="16">
        <v>40178</v>
      </c>
      <c r="FD2" s="13">
        <v>14.346</v>
      </c>
      <c r="FE2" s="16">
        <v>42947</v>
      </c>
      <c r="FF2" s="13">
        <v>8.859</v>
      </c>
      <c r="FG2" s="16">
        <v>40178</v>
      </c>
      <c r="FH2" s="13">
        <v>3.625</v>
      </c>
      <c r="FI2" s="16">
        <v>40178</v>
      </c>
      <c r="FJ2" s="13">
        <v>7.9139999999999997</v>
      </c>
      <c r="FK2" s="16">
        <v>40178</v>
      </c>
      <c r="FL2" s="13">
        <v>10.869</v>
      </c>
      <c r="FM2" s="16">
        <v>40178</v>
      </c>
      <c r="FN2" s="13">
        <v>8.3379999999999992</v>
      </c>
      <c r="FO2" s="16">
        <v>40178</v>
      </c>
      <c r="FP2" s="13">
        <v>15.284000000000001</v>
      </c>
      <c r="FQ2" s="16">
        <v>41670</v>
      </c>
      <c r="FR2" s="13">
        <v>9.8810000000000002</v>
      </c>
      <c r="FS2" s="16">
        <v>40178</v>
      </c>
      <c r="FT2" s="13">
        <v>0.67900000000000005</v>
      </c>
      <c r="FU2" s="16">
        <v>40178</v>
      </c>
      <c r="FV2" s="13">
        <v>6.0330000000000004</v>
      </c>
      <c r="FW2" s="16">
        <v>40178</v>
      </c>
      <c r="FX2" s="13">
        <v>7.43</v>
      </c>
      <c r="FY2" s="16">
        <v>41029</v>
      </c>
      <c r="FZ2" s="13">
        <v>2.1440000000000001</v>
      </c>
      <c r="GA2" s="16">
        <v>40178</v>
      </c>
      <c r="GB2" s="13">
        <v>4.3609999999999998</v>
      </c>
      <c r="GC2" s="16">
        <v>40178</v>
      </c>
      <c r="GD2" s="13">
        <v>14.73</v>
      </c>
      <c r="GE2" s="16">
        <v>41333</v>
      </c>
      <c r="GF2" s="13">
        <v>9.81</v>
      </c>
      <c r="GG2" s="16">
        <v>43465</v>
      </c>
      <c r="GH2" s="13">
        <v>17.887</v>
      </c>
      <c r="GI2" s="16">
        <v>40178</v>
      </c>
      <c r="GJ2" s="13">
        <v>5.1539999999999999</v>
      </c>
      <c r="GK2" s="16">
        <v>40178</v>
      </c>
      <c r="GL2" s="13">
        <v>64.465000000000003</v>
      </c>
      <c r="GM2" s="16">
        <v>40178</v>
      </c>
      <c r="GN2" s="13">
        <v>12.102</v>
      </c>
      <c r="GO2" s="16">
        <v>40662</v>
      </c>
      <c r="GP2" s="13">
        <v>1.8479999999999999</v>
      </c>
      <c r="GQ2" s="16">
        <v>40298</v>
      </c>
      <c r="GR2" s="13">
        <v>11.27</v>
      </c>
      <c r="GS2" s="16">
        <v>40178</v>
      </c>
      <c r="GT2" s="13">
        <v>1498.914</v>
      </c>
      <c r="GU2" s="16">
        <v>42794</v>
      </c>
      <c r="GV2" s="13">
        <v>7.1150000000000002</v>
      </c>
      <c r="GW2" s="16">
        <v>40235</v>
      </c>
      <c r="GX2" s="13">
        <v>9.4339999999999993</v>
      </c>
      <c r="GY2" s="16">
        <v>40178</v>
      </c>
      <c r="GZ2" s="13">
        <v>18.934000000000001</v>
      </c>
      <c r="HA2" s="16">
        <v>40178</v>
      </c>
      <c r="HB2" s="13">
        <v>8.3960000000000008</v>
      </c>
      <c r="HC2" s="16">
        <v>40178</v>
      </c>
      <c r="HD2" s="13">
        <v>8.8699999999999992</v>
      </c>
      <c r="HE2" s="16">
        <v>40178</v>
      </c>
      <c r="HF2" s="13">
        <v>9.5500000000000007</v>
      </c>
      <c r="HG2" s="16">
        <v>40178</v>
      </c>
      <c r="HH2" s="13">
        <v>13.071</v>
      </c>
      <c r="HI2" s="16">
        <v>40178</v>
      </c>
      <c r="HJ2" s="13">
        <v>3.2629999999999999</v>
      </c>
      <c r="HK2" s="16">
        <v>40178</v>
      </c>
      <c r="HL2" s="13">
        <v>1710</v>
      </c>
      <c r="HM2" s="16">
        <v>40178</v>
      </c>
      <c r="HN2" s="13">
        <v>116.31399999999999</v>
      </c>
      <c r="HO2" s="16">
        <v>40178</v>
      </c>
      <c r="HP2" s="13">
        <v>67.527000000000001</v>
      </c>
      <c r="HQ2" s="16">
        <v>40268</v>
      </c>
      <c r="HR2" s="13">
        <v>2800</v>
      </c>
      <c r="HS2" s="16">
        <v>40178</v>
      </c>
      <c r="HT2" s="13">
        <v>59.031999999999996</v>
      </c>
      <c r="HU2" s="16">
        <v>40178</v>
      </c>
      <c r="HV2" s="13">
        <v>3706.6640000000002</v>
      </c>
      <c r="HW2" s="16">
        <v>40178</v>
      </c>
      <c r="HX2" s="13">
        <v>35.414999999999999</v>
      </c>
      <c r="HY2" s="16">
        <v>40178</v>
      </c>
      <c r="HZ2" s="13">
        <v>27.977</v>
      </c>
      <c r="IA2" s="16">
        <v>40178</v>
      </c>
      <c r="IB2" s="13">
        <v>103.503</v>
      </c>
      <c r="IC2" s="16">
        <v>40178</v>
      </c>
      <c r="ID2" s="13">
        <v>1.202</v>
      </c>
      <c r="IE2" s="16">
        <v>40178</v>
      </c>
      <c r="IF2" s="13">
        <v>19.343</v>
      </c>
      <c r="IG2" s="16">
        <v>40480</v>
      </c>
      <c r="IH2" s="13">
        <v>113.7</v>
      </c>
      <c r="II2" s="16">
        <v>40178</v>
      </c>
      <c r="IJ2" s="13">
        <v>48.386000000000003</v>
      </c>
      <c r="IK2" s="16">
        <v>40543</v>
      </c>
      <c r="IL2" s="13">
        <v>3.71</v>
      </c>
      <c r="IM2" s="16">
        <v>40178</v>
      </c>
      <c r="IN2" s="13">
        <v>11.786</v>
      </c>
      <c r="IO2" s="16">
        <v>40724</v>
      </c>
      <c r="IP2" s="13">
        <v>9.27</v>
      </c>
      <c r="IQ2" s="16">
        <v>40178</v>
      </c>
      <c r="IR2" s="13">
        <v>8.4090000000000007</v>
      </c>
      <c r="IS2" s="16">
        <v>42094</v>
      </c>
      <c r="IT2" s="13">
        <v>13.788</v>
      </c>
      <c r="IU2" s="16">
        <v>40178</v>
      </c>
      <c r="IV2" s="13">
        <v>6.5879000000000003</v>
      </c>
      <c r="IW2" s="16">
        <v>40178</v>
      </c>
      <c r="IX2" s="13">
        <v>24.178999999999998</v>
      </c>
      <c r="IY2" s="16">
        <v>40178</v>
      </c>
      <c r="IZ2" s="13">
        <v>4.6399999999999997</v>
      </c>
      <c r="JA2" s="16">
        <v>41943</v>
      </c>
      <c r="JB2" s="13">
        <v>14.811</v>
      </c>
      <c r="JC2" s="16">
        <v>40178</v>
      </c>
      <c r="JD2" s="13">
        <v>2.1269999999999998</v>
      </c>
      <c r="JE2" s="16">
        <v>40178</v>
      </c>
      <c r="JF2" s="13">
        <v>347.21199999999999</v>
      </c>
      <c r="JG2" s="16">
        <v>42094</v>
      </c>
      <c r="JH2" s="13">
        <v>13.788</v>
      </c>
      <c r="JI2" s="16">
        <v>40178</v>
      </c>
      <c r="JJ2" s="13">
        <v>12.39</v>
      </c>
      <c r="JK2" s="16">
        <v>43069</v>
      </c>
      <c r="JL2" s="13">
        <v>15.355</v>
      </c>
      <c r="JM2" s="16">
        <v>40178</v>
      </c>
      <c r="JN2" s="13">
        <v>0.42299999999999999</v>
      </c>
      <c r="JO2" s="16">
        <v>40178</v>
      </c>
      <c r="JP2" s="13">
        <v>8.4309999999999992</v>
      </c>
      <c r="JQ2" s="16">
        <v>41578</v>
      </c>
      <c r="JR2" s="13">
        <v>14.86</v>
      </c>
      <c r="JS2" s="16">
        <v>40178</v>
      </c>
      <c r="JT2" s="13">
        <v>5.8079999999999998</v>
      </c>
      <c r="JU2" s="16">
        <v>41394</v>
      </c>
      <c r="JV2" s="13">
        <v>13.098000000000001</v>
      </c>
      <c r="JW2" s="16">
        <v>40178</v>
      </c>
      <c r="JX2" s="13">
        <v>4.8149999999999995</v>
      </c>
      <c r="JY2" s="16">
        <v>40178</v>
      </c>
      <c r="JZ2" s="13">
        <v>8.5500000000000007</v>
      </c>
      <c r="KA2" s="16">
        <v>43069</v>
      </c>
      <c r="KB2" s="13">
        <v>17.236999999999998</v>
      </c>
      <c r="KC2" s="16">
        <v>40178</v>
      </c>
      <c r="KD2" s="13">
        <v>13.833</v>
      </c>
      <c r="KE2" s="16">
        <v>40178</v>
      </c>
      <c r="KF2" s="13">
        <v>4.93</v>
      </c>
      <c r="KG2" s="16">
        <v>40178</v>
      </c>
      <c r="KH2" s="13">
        <v>0.152</v>
      </c>
      <c r="KI2" s="16">
        <v>40178</v>
      </c>
      <c r="KJ2" s="13">
        <v>7.2640000000000002</v>
      </c>
      <c r="KK2" s="16">
        <v>40178</v>
      </c>
      <c r="KL2" s="13">
        <v>4.8339999999999996</v>
      </c>
      <c r="KM2" s="16">
        <v>40178</v>
      </c>
      <c r="KN2" s="13">
        <v>2.633</v>
      </c>
      <c r="KO2" s="16">
        <v>40178</v>
      </c>
      <c r="KP2" s="13">
        <v>259.31099999999998</v>
      </c>
      <c r="KQ2" s="16">
        <v>40178</v>
      </c>
      <c r="KR2" s="13">
        <v>262.375</v>
      </c>
      <c r="KS2" s="16">
        <v>40178</v>
      </c>
      <c r="KT2" s="13">
        <v>7.5380000000000003</v>
      </c>
      <c r="KU2" s="16">
        <v>40178</v>
      </c>
      <c r="KV2" s="13">
        <v>5.6920000000000002</v>
      </c>
      <c r="KW2" s="16">
        <v>40178</v>
      </c>
      <c r="KX2" s="13">
        <v>59.997</v>
      </c>
      <c r="KY2" s="16">
        <v>40178</v>
      </c>
      <c r="KZ2" s="13">
        <v>40.247999999999998</v>
      </c>
      <c r="LA2" s="16">
        <v>40178</v>
      </c>
      <c r="LB2" s="13">
        <v>32.529000000000003</v>
      </c>
      <c r="LC2" s="16">
        <v>40178</v>
      </c>
      <c r="LD2" s="13">
        <v>6.4249999999999998</v>
      </c>
      <c r="LE2" s="16">
        <v>40178</v>
      </c>
      <c r="LF2" s="13">
        <v>6.077</v>
      </c>
      <c r="LG2" s="16">
        <v>40178</v>
      </c>
      <c r="LH2" s="13">
        <v>4.5289999999999999</v>
      </c>
      <c r="LI2" s="16">
        <v>40178</v>
      </c>
      <c r="LJ2" s="13">
        <v>7.61</v>
      </c>
      <c r="LK2" s="16">
        <v>40178</v>
      </c>
      <c r="LL2" s="13">
        <v>18.795999999999999</v>
      </c>
      <c r="LM2" s="16">
        <v>40178</v>
      </c>
      <c r="LN2" s="13">
        <v>23.536000000000001</v>
      </c>
      <c r="LO2" s="16">
        <v>40178</v>
      </c>
      <c r="LP2" s="13">
        <v>22.55</v>
      </c>
      <c r="LQ2" s="16">
        <v>40178</v>
      </c>
      <c r="LR2" s="13">
        <v>32.502000000000002</v>
      </c>
      <c r="LS2" s="16">
        <v>40178</v>
      </c>
      <c r="LT2" s="13">
        <v>28.902000000000001</v>
      </c>
      <c r="LU2" s="16">
        <v>40178</v>
      </c>
      <c r="LV2" s="13">
        <v>47.555999999999997</v>
      </c>
      <c r="LW2" s="16">
        <v>40178</v>
      </c>
      <c r="LX2">
        <v>2820.68</v>
      </c>
      <c r="LY2" s="16">
        <v>40178</v>
      </c>
      <c r="LZ2" s="1">
        <v>19.187999999999999</v>
      </c>
      <c r="MA2" s="16">
        <v>40178</v>
      </c>
      <c r="MB2" s="1">
        <v>10.608000000000001</v>
      </c>
      <c r="MC2" s="16">
        <v>41639</v>
      </c>
      <c r="MD2" s="1">
        <v>24.294</v>
      </c>
      <c r="ME2" s="16">
        <v>40178</v>
      </c>
      <c r="MF2" s="1">
        <v>3.532</v>
      </c>
      <c r="MG2" s="16">
        <v>40178</v>
      </c>
      <c r="MH2" s="1">
        <v>4.2770000000000001</v>
      </c>
      <c r="MI2" s="16">
        <v>42185</v>
      </c>
      <c r="MJ2" s="1">
        <v>9.1289999999999996</v>
      </c>
      <c r="MK2" s="16">
        <v>40178</v>
      </c>
      <c r="ML2">
        <v>5.984</v>
      </c>
    </row>
    <row r="3" spans="1:350" x14ac:dyDescent="0.3">
      <c r="A3" s="12">
        <v>40207</v>
      </c>
      <c r="B3" s="1">
        <v>4.9279999999999999</v>
      </c>
      <c r="C3" s="12">
        <v>40574</v>
      </c>
      <c r="D3" s="1">
        <v>11.693999999999999</v>
      </c>
      <c r="E3" s="12">
        <v>40207</v>
      </c>
      <c r="F3" s="13">
        <v>14.722</v>
      </c>
      <c r="G3" s="17">
        <v>40207</v>
      </c>
      <c r="H3" s="13">
        <v>2.645</v>
      </c>
      <c r="I3" s="17">
        <v>40235</v>
      </c>
      <c r="J3">
        <v>8.7219999999999995</v>
      </c>
      <c r="K3" s="12">
        <v>41425</v>
      </c>
      <c r="L3">
        <v>12.138</v>
      </c>
      <c r="M3" s="12">
        <v>40207</v>
      </c>
      <c r="N3" s="12">
        <v>26.126999999999999</v>
      </c>
      <c r="O3" s="12">
        <v>40207</v>
      </c>
      <c r="P3">
        <v>13.066000000000001</v>
      </c>
      <c r="Q3" s="12">
        <v>41607</v>
      </c>
      <c r="R3">
        <v>20.097999999999999</v>
      </c>
      <c r="S3" s="12">
        <v>40207</v>
      </c>
      <c r="T3">
        <v>6.0369999999999999</v>
      </c>
      <c r="U3" s="12">
        <v>40633</v>
      </c>
      <c r="V3">
        <v>17.87</v>
      </c>
      <c r="W3" s="12">
        <v>42886</v>
      </c>
      <c r="X3">
        <v>23.59</v>
      </c>
      <c r="Y3" s="12">
        <v>40207</v>
      </c>
      <c r="Z3">
        <v>8.4260000000000002</v>
      </c>
      <c r="AA3" s="12">
        <v>40207</v>
      </c>
      <c r="AB3">
        <v>14.606999999999999</v>
      </c>
      <c r="AC3" s="12">
        <v>40207</v>
      </c>
      <c r="AD3">
        <v>6.806</v>
      </c>
      <c r="AE3" s="12">
        <v>40207</v>
      </c>
      <c r="AF3">
        <v>8.1440000000000001</v>
      </c>
      <c r="AG3" s="12">
        <v>40207</v>
      </c>
      <c r="AH3">
        <v>52.662999999999997</v>
      </c>
      <c r="AI3" s="12">
        <v>41425</v>
      </c>
      <c r="AJ3">
        <v>11.273</v>
      </c>
      <c r="AK3" s="12">
        <v>40207</v>
      </c>
      <c r="AL3">
        <v>6.3410000000000002</v>
      </c>
      <c r="AM3" s="12">
        <v>43251</v>
      </c>
      <c r="AN3">
        <v>74.126000000000005</v>
      </c>
      <c r="AO3" s="12">
        <v>40207</v>
      </c>
      <c r="AP3">
        <v>7.0810000000000004</v>
      </c>
      <c r="AQ3" s="12">
        <v>42825</v>
      </c>
      <c r="AR3">
        <v>16.193000000000001</v>
      </c>
      <c r="AS3" s="12">
        <v>40207</v>
      </c>
      <c r="AT3">
        <v>9.82</v>
      </c>
      <c r="AU3" s="12">
        <v>40207</v>
      </c>
      <c r="AV3">
        <v>22.744</v>
      </c>
      <c r="AW3" s="12">
        <v>43131</v>
      </c>
      <c r="AX3">
        <v>17.568000000000001</v>
      </c>
      <c r="AY3" s="12">
        <v>40207</v>
      </c>
      <c r="AZ3">
        <v>20.166</v>
      </c>
      <c r="BA3" s="12">
        <v>40207</v>
      </c>
      <c r="BB3">
        <v>9.1289999999999996</v>
      </c>
      <c r="BC3" s="12">
        <v>40207</v>
      </c>
      <c r="BD3">
        <v>5.7240000000000002</v>
      </c>
      <c r="BE3" s="12">
        <v>40298</v>
      </c>
      <c r="BF3">
        <v>6.3129999999999997</v>
      </c>
      <c r="BG3" s="12">
        <v>40207</v>
      </c>
      <c r="BH3">
        <v>6.681</v>
      </c>
      <c r="BI3" s="12">
        <v>40207</v>
      </c>
      <c r="BJ3">
        <v>32.472999999999999</v>
      </c>
      <c r="BK3" s="12">
        <v>40207</v>
      </c>
      <c r="BL3">
        <v>6.3339999999999996</v>
      </c>
      <c r="BM3" s="12">
        <v>40207</v>
      </c>
      <c r="BN3">
        <v>12.186</v>
      </c>
      <c r="BO3" s="12">
        <v>40207</v>
      </c>
      <c r="BP3">
        <v>4.6180000000000003</v>
      </c>
      <c r="BQ3" s="12">
        <v>40207</v>
      </c>
      <c r="BR3">
        <v>4.1139999999999999</v>
      </c>
      <c r="BS3" s="12">
        <v>40207</v>
      </c>
      <c r="BT3">
        <v>5.6609999999999996</v>
      </c>
      <c r="BU3" s="12">
        <v>40207</v>
      </c>
      <c r="BV3">
        <v>4.4569999999999999</v>
      </c>
      <c r="BW3" s="12">
        <v>40207</v>
      </c>
      <c r="BX3">
        <v>2.0110000000000001</v>
      </c>
      <c r="BY3" s="12">
        <v>40207</v>
      </c>
      <c r="BZ3">
        <v>12.33</v>
      </c>
      <c r="CA3" s="12">
        <v>40207</v>
      </c>
      <c r="CB3">
        <v>23.826999999999998</v>
      </c>
      <c r="CC3" s="12">
        <v>42978</v>
      </c>
      <c r="CD3">
        <v>15.247999999999999</v>
      </c>
      <c r="CE3" s="12">
        <v>40207</v>
      </c>
      <c r="CF3">
        <v>9.1129999999999995</v>
      </c>
      <c r="CG3" s="12">
        <v>40207</v>
      </c>
      <c r="CH3">
        <v>14.509</v>
      </c>
      <c r="CI3" s="12">
        <v>40207</v>
      </c>
      <c r="CJ3">
        <v>16.087</v>
      </c>
      <c r="CK3" s="12">
        <v>40207</v>
      </c>
      <c r="CL3">
        <v>17.937000000000001</v>
      </c>
      <c r="CM3" s="12">
        <v>40207</v>
      </c>
      <c r="CN3">
        <v>11.532999999999999</v>
      </c>
      <c r="CO3" s="12">
        <v>41670</v>
      </c>
      <c r="CP3">
        <v>12.406000000000001</v>
      </c>
      <c r="CQ3" s="12">
        <v>40207</v>
      </c>
      <c r="CR3">
        <v>15.433</v>
      </c>
      <c r="CS3" s="12">
        <v>40207</v>
      </c>
      <c r="CT3">
        <v>13.738</v>
      </c>
      <c r="CU3" s="12">
        <v>40207</v>
      </c>
      <c r="CV3">
        <v>7.25</v>
      </c>
      <c r="CW3" s="12">
        <v>40207</v>
      </c>
      <c r="CX3">
        <v>8.2769999999999992</v>
      </c>
      <c r="CY3" s="12">
        <v>40298</v>
      </c>
      <c r="CZ3">
        <v>6.218</v>
      </c>
      <c r="DA3" s="12">
        <v>40207</v>
      </c>
      <c r="DB3">
        <v>8.9510000000000005</v>
      </c>
      <c r="DC3" s="12">
        <v>40207</v>
      </c>
      <c r="DD3">
        <v>19.433</v>
      </c>
      <c r="DE3" s="12">
        <v>40207</v>
      </c>
      <c r="DF3">
        <v>17.696000000000002</v>
      </c>
      <c r="DG3" s="12">
        <v>40207</v>
      </c>
      <c r="DH3">
        <v>29.707000000000001</v>
      </c>
      <c r="DI3" s="12">
        <v>40207</v>
      </c>
      <c r="DJ3">
        <v>18.366</v>
      </c>
      <c r="DK3" s="12">
        <v>40207</v>
      </c>
      <c r="DL3">
        <v>8.7390000000000008</v>
      </c>
      <c r="DM3" s="12">
        <v>40633</v>
      </c>
      <c r="DN3">
        <v>14.243</v>
      </c>
      <c r="DO3" s="12">
        <v>40207</v>
      </c>
      <c r="DP3">
        <v>6.5430000000000001</v>
      </c>
      <c r="DQ3" s="12">
        <v>40207</v>
      </c>
      <c r="DR3">
        <v>325.63200000000001</v>
      </c>
      <c r="DS3" s="12">
        <v>40207</v>
      </c>
      <c r="DT3">
        <v>7.5600000000000005</v>
      </c>
      <c r="DU3" s="12">
        <v>40207</v>
      </c>
      <c r="DV3">
        <v>1.45</v>
      </c>
      <c r="DW3" s="12">
        <v>40207</v>
      </c>
      <c r="DX3">
        <v>5.7219999999999995</v>
      </c>
      <c r="DY3" s="12">
        <v>40207</v>
      </c>
      <c r="DZ3">
        <v>3.7359999999999998</v>
      </c>
      <c r="EA3" s="12">
        <v>40207</v>
      </c>
      <c r="EB3">
        <v>18.559999999999999</v>
      </c>
      <c r="EC3" s="12">
        <v>40207</v>
      </c>
      <c r="ED3">
        <v>27.620999999999999</v>
      </c>
      <c r="EE3" s="12">
        <v>40207</v>
      </c>
      <c r="EF3">
        <v>6.9139999999999997</v>
      </c>
      <c r="EG3" s="12">
        <v>40207</v>
      </c>
      <c r="EH3">
        <v>10.396000000000001</v>
      </c>
      <c r="EI3" s="12">
        <v>40207</v>
      </c>
      <c r="EJ3">
        <v>82.813000000000002</v>
      </c>
      <c r="EK3" s="12">
        <v>40207</v>
      </c>
      <c r="EL3">
        <v>15.754</v>
      </c>
      <c r="EM3" s="12">
        <v>40207</v>
      </c>
      <c r="EN3">
        <v>21.312999999999999</v>
      </c>
      <c r="EO3" s="12">
        <v>43251</v>
      </c>
      <c r="EP3">
        <v>21.327000000000002</v>
      </c>
      <c r="EQ3" s="12">
        <v>40207</v>
      </c>
      <c r="ER3">
        <v>26.169</v>
      </c>
      <c r="ES3" s="12">
        <v>40207</v>
      </c>
      <c r="ET3">
        <v>22.178000000000001</v>
      </c>
      <c r="EU3" s="12">
        <v>40207</v>
      </c>
      <c r="EV3">
        <v>1.677</v>
      </c>
      <c r="EW3" s="12">
        <v>43251</v>
      </c>
      <c r="EX3">
        <v>29.484999999999999</v>
      </c>
      <c r="EY3" s="12">
        <v>40207</v>
      </c>
      <c r="EZ3">
        <v>6.82</v>
      </c>
      <c r="FA3" s="12">
        <v>40207</v>
      </c>
      <c r="FB3">
        <v>17.698</v>
      </c>
      <c r="FC3" s="12">
        <v>40207</v>
      </c>
      <c r="FD3">
        <v>12.021000000000001</v>
      </c>
      <c r="FE3" s="12">
        <v>42978</v>
      </c>
      <c r="FF3">
        <v>9.0739999999999998</v>
      </c>
      <c r="FG3" s="12">
        <v>40207</v>
      </c>
      <c r="FH3">
        <v>3.4449999999999998</v>
      </c>
      <c r="FI3" s="12">
        <v>40207</v>
      </c>
      <c r="FJ3">
        <v>7.7249999999999996</v>
      </c>
      <c r="FK3" s="12">
        <v>40207</v>
      </c>
      <c r="FL3">
        <v>10.199999999999999</v>
      </c>
      <c r="FM3" s="12">
        <v>40207</v>
      </c>
      <c r="FN3">
        <v>8.3559999999999999</v>
      </c>
      <c r="FO3" s="12">
        <v>40207</v>
      </c>
      <c r="FP3">
        <v>23.776</v>
      </c>
      <c r="FQ3" s="12">
        <v>41698</v>
      </c>
      <c r="FR3">
        <v>9.2420000000000009</v>
      </c>
      <c r="FS3" s="12">
        <v>40207</v>
      </c>
      <c r="FT3">
        <v>0.624</v>
      </c>
      <c r="FU3" s="12">
        <v>40207</v>
      </c>
      <c r="FV3">
        <v>5.43</v>
      </c>
      <c r="FW3" s="12">
        <v>40207</v>
      </c>
      <c r="FX3">
        <v>6.33</v>
      </c>
      <c r="FY3" s="12">
        <v>41060</v>
      </c>
      <c r="FZ3">
        <v>1.698</v>
      </c>
      <c r="GA3" s="12">
        <v>40207</v>
      </c>
      <c r="GB3">
        <v>4.3600000000000003</v>
      </c>
      <c r="GC3" s="12">
        <v>40207</v>
      </c>
      <c r="GD3">
        <v>14.134</v>
      </c>
      <c r="GE3" s="12">
        <v>41362</v>
      </c>
      <c r="GF3">
        <v>9.7370000000000001</v>
      </c>
      <c r="GG3" s="12">
        <v>43496</v>
      </c>
      <c r="GH3">
        <v>19.108000000000001</v>
      </c>
      <c r="GI3" s="12">
        <v>40207</v>
      </c>
      <c r="GJ3">
        <v>4.7190000000000003</v>
      </c>
      <c r="GK3" s="12">
        <v>40207</v>
      </c>
      <c r="GL3">
        <v>65.936999999999998</v>
      </c>
      <c r="GM3" s="12">
        <v>40207</v>
      </c>
      <c r="GN3">
        <v>13.961</v>
      </c>
      <c r="GO3" s="12">
        <v>40694</v>
      </c>
      <c r="GP3">
        <v>1.8479999999999999</v>
      </c>
      <c r="GQ3" s="12">
        <v>40329</v>
      </c>
      <c r="GR3">
        <v>11.327</v>
      </c>
      <c r="GS3" s="12">
        <v>40207</v>
      </c>
      <c r="GT3">
        <v>1553.53</v>
      </c>
      <c r="GU3" s="12">
        <v>42825</v>
      </c>
      <c r="GV3">
        <v>7.7469999999999999</v>
      </c>
      <c r="GW3" s="12">
        <v>40268</v>
      </c>
      <c r="GX3">
        <v>9.6609999999999996</v>
      </c>
      <c r="GY3" s="12">
        <v>40207</v>
      </c>
      <c r="GZ3">
        <v>22.280999999999999</v>
      </c>
      <c r="HA3" s="12">
        <v>40207</v>
      </c>
      <c r="HB3">
        <v>7.2350000000000003</v>
      </c>
      <c r="HC3" s="12">
        <v>40207</v>
      </c>
      <c r="HD3">
        <v>8.1999999999999993</v>
      </c>
      <c r="HE3" s="12">
        <v>40207</v>
      </c>
      <c r="HF3">
        <v>11.182</v>
      </c>
      <c r="HG3" s="12">
        <v>40207</v>
      </c>
      <c r="HH3">
        <v>12.218</v>
      </c>
      <c r="HI3" s="12">
        <v>40207</v>
      </c>
      <c r="HJ3">
        <v>2.9569999999999999</v>
      </c>
      <c r="HK3" s="12">
        <v>40207</v>
      </c>
      <c r="HL3">
        <v>1680</v>
      </c>
      <c r="HM3" s="12">
        <v>40207</v>
      </c>
      <c r="HN3">
        <v>85.703000000000003</v>
      </c>
      <c r="HO3" s="12">
        <v>40207</v>
      </c>
      <c r="HP3">
        <v>52.771999999999998</v>
      </c>
      <c r="HQ3" s="12">
        <v>40298</v>
      </c>
      <c r="HR3">
        <v>2375.96</v>
      </c>
      <c r="HS3" s="12">
        <v>40207</v>
      </c>
      <c r="HT3">
        <v>57.424999999999997</v>
      </c>
      <c r="HU3" s="12">
        <v>40207</v>
      </c>
      <c r="HV3">
        <v>3206.7449999999999</v>
      </c>
      <c r="HW3" s="12">
        <v>40207</v>
      </c>
      <c r="HX3">
        <v>32.499000000000002</v>
      </c>
      <c r="HY3" s="12">
        <v>40207</v>
      </c>
      <c r="HZ3">
        <v>26.055</v>
      </c>
      <c r="IA3" s="12">
        <v>40207</v>
      </c>
      <c r="IB3">
        <v>103.193</v>
      </c>
      <c r="IC3" s="12">
        <v>40207</v>
      </c>
      <c r="ID3">
        <v>1.3519999999999999</v>
      </c>
      <c r="IE3" s="12">
        <v>40207</v>
      </c>
      <c r="IF3">
        <v>17.472000000000001</v>
      </c>
      <c r="IG3" s="12">
        <v>40512</v>
      </c>
      <c r="IH3">
        <v>135.4</v>
      </c>
      <c r="II3" s="12">
        <v>40207</v>
      </c>
      <c r="IJ3">
        <v>39.914999999999999</v>
      </c>
      <c r="IK3" s="12">
        <v>40574</v>
      </c>
      <c r="IL3">
        <v>3.4</v>
      </c>
      <c r="IM3" s="12">
        <v>40207</v>
      </c>
      <c r="IN3">
        <v>11.106</v>
      </c>
      <c r="IO3" s="12">
        <v>40753</v>
      </c>
      <c r="IP3">
        <v>9.0210000000000008</v>
      </c>
      <c r="IQ3" s="12">
        <v>40207</v>
      </c>
      <c r="IR3">
        <v>8.109</v>
      </c>
      <c r="IS3" s="12">
        <v>42124</v>
      </c>
      <c r="IT3">
        <v>13</v>
      </c>
      <c r="IU3" s="12">
        <v>40207</v>
      </c>
      <c r="IV3">
        <v>6.4695</v>
      </c>
      <c r="IW3" s="12">
        <v>40207</v>
      </c>
      <c r="IX3">
        <v>21.97</v>
      </c>
      <c r="IY3" s="12">
        <v>40207</v>
      </c>
      <c r="IZ3">
        <v>4.7409999999999997</v>
      </c>
      <c r="JA3" s="12">
        <v>41971</v>
      </c>
      <c r="JB3">
        <v>12.384</v>
      </c>
      <c r="JC3" s="12">
        <v>40207</v>
      </c>
      <c r="JD3">
        <v>5.22</v>
      </c>
      <c r="JE3" s="12">
        <v>40207</v>
      </c>
      <c r="JF3">
        <v>297.286</v>
      </c>
      <c r="JG3" s="12">
        <v>42124</v>
      </c>
      <c r="JH3">
        <v>13</v>
      </c>
      <c r="JI3" s="12">
        <v>40207</v>
      </c>
      <c r="JJ3">
        <v>11.673999999999999</v>
      </c>
      <c r="JK3" s="12">
        <v>43098</v>
      </c>
      <c r="JL3">
        <v>17.353999999999999</v>
      </c>
      <c r="JM3" s="12">
        <v>40207</v>
      </c>
      <c r="JN3">
        <v>0.39900000000000002</v>
      </c>
      <c r="JO3" s="12">
        <v>40207</v>
      </c>
      <c r="JP3">
        <v>7.6879999999999997</v>
      </c>
      <c r="JQ3" s="12">
        <v>41607</v>
      </c>
      <c r="JR3">
        <v>17.716000000000001</v>
      </c>
      <c r="JS3" s="12">
        <v>40207</v>
      </c>
      <c r="JT3">
        <v>6.4130000000000003</v>
      </c>
      <c r="JU3" s="12">
        <v>41425</v>
      </c>
      <c r="JV3">
        <v>14.173999999999999</v>
      </c>
      <c r="JW3" s="12">
        <v>40207</v>
      </c>
      <c r="JX3">
        <v>5.0979999999999999</v>
      </c>
      <c r="JY3" s="12">
        <v>40207</v>
      </c>
      <c r="JZ3">
        <v>8.0579999999999998</v>
      </c>
      <c r="KA3" s="12">
        <v>43098</v>
      </c>
      <c r="KB3">
        <v>18.399000000000001</v>
      </c>
      <c r="KC3" s="12">
        <v>40207</v>
      </c>
      <c r="KD3">
        <v>13.705</v>
      </c>
      <c r="KE3" s="12">
        <v>40207</v>
      </c>
      <c r="KF3">
        <v>4.9619999999999997</v>
      </c>
      <c r="KG3" s="12">
        <v>40207</v>
      </c>
      <c r="KH3">
        <v>0.13800000000000001</v>
      </c>
      <c r="KI3" s="12">
        <v>40207</v>
      </c>
      <c r="KJ3">
        <v>6.6</v>
      </c>
      <c r="KK3" s="12">
        <v>40207</v>
      </c>
      <c r="KL3">
        <v>4.6740000000000004</v>
      </c>
      <c r="KM3" s="12">
        <v>40207</v>
      </c>
      <c r="KN3">
        <v>2.3839999999999999</v>
      </c>
      <c r="KO3" s="12">
        <v>40207</v>
      </c>
      <c r="KP3">
        <v>279.685</v>
      </c>
      <c r="KQ3" s="12">
        <v>40207</v>
      </c>
      <c r="KR3">
        <v>322.55200000000002</v>
      </c>
      <c r="KS3" s="12">
        <v>40207</v>
      </c>
      <c r="KT3">
        <v>7.1529999999999996</v>
      </c>
      <c r="KU3" s="12">
        <v>40207</v>
      </c>
      <c r="KV3">
        <v>5.5730000000000004</v>
      </c>
      <c r="KW3" s="12">
        <v>40207</v>
      </c>
      <c r="KX3">
        <v>53.082000000000001</v>
      </c>
      <c r="KY3" s="12">
        <v>40207</v>
      </c>
      <c r="KZ3">
        <v>35.917000000000002</v>
      </c>
      <c r="LA3" s="12">
        <v>40207</v>
      </c>
      <c r="LB3">
        <v>29.46</v>
      </c>
      <c r="LC3" s="12">
        <v>40207</v>
      </c>
      <c r="LD3">
        <v>6.31</v>
      </c>
      <c r="LE3" s="12">
        <v>40207</v>
      </c>
      <c r="LF3">
        <v>5.6920000000000002</v>
      </c>
      <c r="LG3" s="12">
        <v>40207</v>
      </c>
      <c r="LH3">
        <v>3.8239999999999998</v>
      </c>
      <c r="LI3" s="12">
        <v>40207</v>
      </c>
      <c r="LJ3">
        <v>7.875</v>
      </c>
      <c r="LK3" s="12">
        <v>40207</v>
      </c>
      <c r="LL3">
        <v>19.451000000000001</v>
      </c>
      <c r="LM3" s="12">
        <v>40207</v>
      </c>
      <c r="LN3">
        <v>23.324000000000002</v>
      </c>
      <c r="LO3" s="12">
        <v>40207</v>
      </c>
      <c r="LP3">
        <v>22.646000000000001</v>
      </c>
      <c r="LQ3" s="12">
        <v>40207</v>
      </c>
      <c r="LR3">
        <v>32.115000000000002</v>
      </c>
      <c r="LS3" s="12">
        <v>40207</v>
      </c>
      <c r="LT3">
        <v>28.861000000000001</v>
      </c>
      <c r="LU3" s="12">
        <v>40207</v>
      </c>
      <c r="LV3">
        <v>46.915999999999997</v>
      </c>
      <c r="LW3" s="12">
        <v>40207</v>
      </c>
      <c r="LX3">
        <v>2853.1010000000001</v>
      </c>
      <c r="LY3" s="12">
        <v>40207</v>
      </c>
      <c r="LZ3">
        <v>18.501999999999999</v>
      </c>
      <c r="MA3" s="12">
        <v>40207</v>
      </c>
      <c r="MB3">
        <v>10.755000000000001</v>
      </c>
      <c r="MC3" s="12">
        <v>41670</v>
      </c>
      <c r="MD3">
        <v>22.312999999999999</v>
      </c>
      <c r="ME3" s="12">
        <v>40207</v>
      </c>
      <c r="MF3">
        <v>3.0510000000000002</v>
      </c>
      <c r="MG3" s="12">
        <v>40207</v>
      </c>
      <c r="MH3">
        <v>4.1959999999999997</v>
      </c>
      <c r="MI3" s="12">
        <v>42216</v>
      </c>
      <c r="MJ3">
        <v>9.56</v>
      </c>
      <c r="MK3" s="12">
        <v>40207</v>
      </c>
      <c r="ML3">
        <v>5.4320000000000004</v>
      </c>
    </row>
    <row r="4" spans="1:350" x14ac:dyDescent="0.3">
      <c r="A4" s="12">
        <v>40235</v>
      </c>
      <c r="B4" s="1">
        <v>4.9569999999999999</v>
      </c>
      <c r="C4" s="12">
        <v>40602</v>
      </c>
      <c r="D4" s="1">
        <v>12.305999999999999</v>
      </c>
      <c r="E4" s="12">
        <v>40235</v>
      </c>
      <c r="F4" s="13">
        <v>15.717000000000001</v>
      </c>
      <c r="G4" s="17">
        <v>40235</v>
      </c>
      <c r="H4" s="13">
        <v>2.819</v>
      </c>
      <c r="I4" s="17">
        <v>40268</v>
      </c>
      <c r="J4">
        <v>8.9550000000000001</v>
      </c>
      <c r="K4" s="12">
        <v>41453</v>
      </c>
      <c r="L4">
        <v>12.321</v>
      </c>
      <c r="M4" s="12">
        <v>40235</v>
      </c>
      <c r="N4" s="12">
        <v>25.975999999999999</v>
      </c>
      <c r="O4" s="12">
        <v>40235</v>
      </c>
      <c r="P4">
        <v>13.115</v>
      </c>
      <c r="Q4" s="12">
        <v>41639</v>
      </c>
      <c r="R4">
        <v>19.771000000000001</v>
      </c>
      <c r="S4" s="12">
        <v>40235</v>
      </c>
      <c r="T4">
        <v>6.45</v>
      </c>
      <c r="U4" s="12">
        <v>40662</v>
      </c>
      <c r="V4">
        <v>19.158000000000001</v>
      </c>
      <c r="W4" s="12">
        <v>42916</v>
      </c>
      <c r="X4">
        <v>23.45</v>
      </c>
      <c r="Y4" s="12">
        <v>40235</v>
      </c>
      <c r="Z4">
        <v>7.8369999999999997</v>
      </c>
      <c r="AA4" s="12">
        <v>40235</v>
      </c>
      <c r="AB4">
        <v>15.721</v>
      </c>
      <c r="AC4" s="12">
        <v>40235</v>
      </c>
      <c r="AD4">
        <v>6.7780000000000005</v>
      </c>
      <c r="AE4" s="12">
        <v>40235</v>
      </c>
      <c r="AF4">
        <v>8.1069999999999993</v>
      </c>
      <c r="AG4" s="12">
        <v>40235</v>
      </c>
      <c r="AH4">
        <v>54.524999999999999</v>
      </c>
      <c r="AI4" s="12">
        <v>41453</v>
      </c>
      <c r="AJ4">
        <v>10.742000000000001</v>
      </c>
      <c r="AK4" s="12">
        <v>40235</v>
      </c>
      <c r="AL4">
        <v>6.0739999999999998</v>
      </c>
      <c r="AM4" s="12">
        <v>43677</v>
      </c>
      <c r="AN4">
        <v>50.38</v>
      </c>
      <c r="AO4" s="12">
        <v>40235</v>
      </c>
      <c r="AP4">
        <v>7.766</v>
      </c>
      <c r="AQ4" s="12">
        <v>42853</v>
      </c>
      <c r="AR4">
        <v>15.340999999999999</v>
      </c>
      <c r="AS4" s="12">
        <v>40235</v>
      </c>
      <c r="AT4">
        <v>9.6129999999999995</v>
      </c>
      <c r="AU4" s="12">
        <v>40235</v>
      </c>
      <c r="AV4">
        <v>23.100999999999999</v>
      </c>
      <c r="AW4" s="12">
        <v>43159</v>
      </c>
      <c r="AX4">
        <v>18.992999999999999</v>
      </c>
      <c r="AY4" s="12">
        <v>40235</v>
      </c>
      <c r="AZ4">
        <v>19.696999999999999</v>
      </c>
      <c r="BA4" s="12">
        <v>40235</v>
      </c>
      <c r="BB4">
        <v>8.798</v>
      </c>
      <c r="BC4" s="12">
        <v>40235</v>
      </c>
      <c r="BD4">
        <v>6.5620000000000003</v>
      </c>
      <c r="BE4" s="12">
        <v>40329</v>
      </c>
      <c r="BF4">
        <v>5.8819999999999997</v>
      </c>
      <c r="BG4" s="12">
        <v>40235</v>
      </c>
      <c r="BH4">
        <v>7.39</v>
      </c>
      <c r="BI4" s="12">
        <v>40235</v>
      </c>
      <c r="BJ4">
        <v>32.045000000000002</v>
      </c>
      <c r="BK4" s="12">
        <v>40235</v>
      </c>
      <c r="BL4">
        <v>6.008</v>
      </c>
      <c r="BM4" s="12">
        <v>40235</v>
      </c>
      <c r="BN4">
        <v>12.061</v>
      </c>
      <c r="BO4" s="12">
        <v>40235</v>
      </c>
      <c r="BP4">
        <v>4.3570000000000002</v>
      </c>
      <c r="BQ4" s="12">
        <v>40235</v>
      </c>
      <c r="BR4">
        <v>3.9220000000000002</v>
      </c>
      <c r="BS4" s="12">
        <v>40235</v>
      </c>
      <c r="BT4">
        <v>5.3650000000000002</v>
      </c>
      <c r="BU4" s="12">
        <v>40235</v>
      </c>
      <c r="BV4">
        <v>4.3220000000000001</v>
      </c>
      <c r="BW4" s="12">
        <v>40235</v>
      </c>
      <c r="BX4">
        <v>1.958</v>
      </c>
      <c r="BY4" s="12">
        <v>40235</v>
      </c>
      <c r="BZ4">
        <v>12.622</v>
      </c>
      <c r="CA4" s="12">
        <v>40235</v>
      </c>
      <c r="CB4">
        <v>22.751000000000001</v>
      </c>
      <c r="CC4" s="12">
        <v>43007</v>
      </c>
      <c r="CD4">
        <v>14.968</v>
      </c>
      <c r="CE4" s="12">
        <v>40235</v>
      </c>
      <c r="CF4">
        <v>9.31</v>
      </c>
      <c r="CG4" s="12">
        <v>40235</v>
      </c>
      <c r="CH4">
        <v>16.035</v>
      </c>
      <c r="CI4" s="12">
        <v>40235</v>
      </c>
      <c r="CJ4">
        <v>15.961</v>
      </c>
      <c r="CK4" s="12">
        <v>40235</v>
      </c>
      <c r="CL4">
        <v>19.291</v>
      </c>
      <c r="CM4" s="12">
        <v>40235</v>
      </c>
      <c r="CN4">
        <v>11.509</v>
      </c>
      <c r="CO4" s="12">
        <v>41698</v>
      </c>
      <c r="CP4">
        <v>12.458</v>
      </c>
      <c r="CQ4" s="12">
        <v>40235</v>
      </c>
      <c r="CR4">
        <v>16.082000000000001</v>
      </c>
      <c r="CS4" s="12">
        <v>40235</v>
      </c>
      <c r="CT4">
        <v>14.066000000000001</v>
      </c>
      <c r="CU4" s="12">
        <v>40235</v>
      </c>
      <c r="CV4">
        <v>6.9409999999999998</v>
      </c>
      <c r="CW4" s="12">
        <v>40235</v>
      </c>
      <c r="CX4">
        <v>8.7949999999999999</v>
      </c>
      <c r="CY4" s="12">
        <v>40329</v>
      </c>
      <c r="CZ4">
        <v>6.1470000000000002</v>
      </c>
      <c r="DA4" s="12">
        <v>40235</v>
      </c>
      <c r="DB4">
        <v>9.1630000000000003</v>
      </c>
      <c r="DC4" s="12">
        <v>40235</v>
      </c>
      <c r="DD4">
        <v>17.207000000000001</v>
      </c>
      <c r="DE4" s="12">
        <v>40235</v>
      </c>
      <c r="DF4">
        <v>14.724</v>
      </c>
      <c r="DG4" s="12">
        <v>40235</v>
      </c>
      <c r="DH4">
        <v>31.201000000000001</v>
      </c>
      <c r="DI4" s="12">
        <v>40235</v>
      </c>
      <c r="DJ4">
        <v>19.195</v>
      </c>
      <c r="DK4" s="12">
        <v>40235</v>
      </c>
      <c r="DL4">
        <v>8.5820000000000007</v>
      </c>
      <c r="DM4" s="12">
        <v>40662</v>
      </c>
      <c r="DN4">
        <v>13.199</v>
      </c>
      <c r="DO4" s="12">
        <v>40235</v>
      </c>
      <c r="DP4">
        <v>6.524</v>
      </c>
      <c r="DQ4" s="12">
        <v>40235</v>
      </c>
      <c r="DR4">
        <v>380.72800000000001</v>
      </c>
      <c r="DS4" s="12">
        <v>40235</v>
      </c>
      <c r="DT4">
        <v>7.609</v>
      </c>
      <c r="DU4" s="12">
        <v>40235</v>
      </c>
      <c r="DV4">
        <v>1.4990000000000001</v>
      </c>
      <c r="DW4" s="12">
        <v>40235</v>
      </c>
      <c r="DX4">
        <v>5.6840000000000002</v>
      </c>
      <c r="DY4" s="12">
        <v>40235</v>
      </c>
      <c r="DZ4">
        <v>3.8140000000000001</v>
      </c>
      <c r="EA4" s="12">
        <v>40235</v>
      </c>
      <c r="EB4">
        <v>17.776</v>
      </c>
      <c r="EC4" s="12">
        <v>40235</v>
      </c>
      <c r="ED4">
        <v>26.619</v>
      </c>
      <c r="EE4" s="12">
        <v>40235</v>
      </c>
      <c r="EF4">
        <v>7.0919999999999996</v>
      </c>
      <c r="EG4" s="12">
        <v>40235</v>
      </c>
      <c r="EH4">
        <v>10.407</v>
      </c>
      <c r="EI4" s="12">
        <v>40235</v>
      </c>
      <c r="EJ4">
        <v>93.108999999999995</v>
      </c>
      <c r="EK4" s="12">
        <v>40235</v>
      </c>
      <c r="EL4">
        <v>16.206</v>
      </c>
      <c r="EM4" s="12">
        <v>40235</v>
      </c>
      <c r="EN4">
        <v>22.247</v>
      </c>
      <c r="EO4" s="12">
        <v>43280</v>
      </c>
      <c r="EP4">
        <v>21.425999999999998</v>
      </c>
      <c r="EQ4" s="12">
        <v>40235</v>
      </c>
      <c r="ER4">
        <v>27.43</v>
      </c>
      <c r="ES4" s="12">
        <v>40235</v>
      </c>
      <c r="ET4">
        <v>23.57</v>
      </c>
      <c r="EU4" s="12">
        <v>40235</v>
      </c>
      <c r="EV4">
        <v>1.7709999999999999</v>
      </c>
      <c r="EW4" s="12">
        <v>43280</v>
      </c>
      <c r="EX4">
        <v>29.376999999999999</v>
      </c>
      <c r="EY4" s="12">
        <v>40235</v>
      </c>
      <c r="EZ4">
        <v>7.1959999999999997</v>
      </c>
      <c r="FA4" s="12">
        <v>40235</v>
      </c>
      <c r="FB4">
        <v>17.584</v>
      </c>
      <c r="FC4" s="12">
        <v>40235</v>
      </c>
      <c r="FD4">
        <v>12.067</v>
      </c>
      <c r="FE4" s="12">
        <v>43007</v>
      </c>
      <c r="FF4">
        <v>9.1489999999999991</v>
      </c>
      <c r="FG4" s="12">
        <v>40235</v>
      </c>
      <c r="FH4">
        <v>3.5470000000000002</v>
      </c>
      <c r="FI4" s="12">
        <v>40235</v>
      </c>
      <c r="FJ4">
        <v>7.7750000000000004</v>
      </c>
      <c r="FK4" s="12">
        <v>40235</v>
      </c>
      <c r="FL4">
        <v>10.414999999999999</v>
      </c>
      <c r="FM4" s="12">
        <v>40235</v>
      </c>
      <c r="FN4">
        <v>8.1240000000000006</v>
      </c>
      <c r="FO4" s="12">
        <v>40235</v>
      </c>
      <c r="FP4">
        <v>27.172000000000001</v>
      </c>
      <c r="FQ4" s="12">
        <v>41729</v>
      </c>
      <c r="FR4">
        <v>9.3559999999999999</v>
      </c>
      <c r="FS4" s="12">
        <v>40235</v>
      </c>
      <c r="FT4">
        <v>0.60799999999999998</v>
      </c>
      <c r="FU4" s="12">
        <v>40235</v>
      </c>
      <c r="FV4">
        <v>5.1370000000000005</v>
      </c>
      <c r="FW4" s="12">
        <v>40235</v>
      </c>
      <c r="FX4">
        <v>6.22</v>
      </c>
      <c r="FY4" s="12">
        <v>41089</v>
      </c>
      <c r="FZ4">
        <v>1.8580000000000001</v>
      </c>
      <c r="GA4" s="12">
        <v>40235</v>
      </c>
      <c r="GB4">
        <v>4.3259999999999996</v>
      </c>
      <c r="GC4" s="12">
        <v>40235</v>
      </c>
      <c r="GD4">
        <v>15.11</v>
      </c>
      <c r="GE4" s="12">
        <v>41394</v>
      </c>
      <c r="GF4">
        <v>10.361000000000001</v>
      </c>
      <c r="GG4" s="12">
        <v>43524</v>
      </c>
      <c r="GH4">
        <v>17.341000000000001</v>
      </c>
      <c r="GI4" s="12">
        <v>40235</v>
      </c>
      <c r="GJ4">
        <v>5.1180000000000003</v>
      </c>
      <c r="GK4" s="12">
        <v>40235</v>
      </c>
      <c r="GL4">
        <v>59.78</v>
      </c>
      <c r="GM4" s="12">
        <v>40235</v>
      </c>
      <c r="GN4">
        <v>13.657999999999999</v>
      </c>
      <c r="GO4" s="12">
        <v>40724</v>
      </c>
      <c r="GP4">
        <v>1.877</v>
      </c>
      <c r="GQ4" s="12">
        <v>40359</v>
      </c>
      <c r="GR4">
        <v>12.939</v>
      </c>
      <c r="GS4" s="12">
        <v>40235</v>
      </c>
      <c r="GT4">
        <v>1959.6489999999999</v>
      </c>
      <c r="GU4" s="12">
        <v>42853</v>
      </c>
      <c r="GV4">
        <v>8.2309999999999999</v>
      </c>
      <c r="GW4" s="12">
        <v>40298</v>
      </c>
      <c r="GX4">
        <v>10.545</v>
      </c>
      <c r="GY4" s="12">
        <v>40235</v>
      </c>
      <c r="GZ4">
        <v>20.855</v>
      </c>
      <c r="HA4" s="12">
        <v>40235</v>
      </c>
      <c r="HB4">
        <v>7.8</v>
      </c>
      <c r="HC4" s="12">
        <v>40235</v>
      </c>
      <c r="HD4">
        <v>8.5389999999999997</v>
      </c>
      <c r="HE4" s="12">
        <v>40235</v>
      </c>
      <c r="HF4">
        <v>10.356999999999999</v>
      </c>
      <c r="HG4" s="12">
        <v>40235</v>
      </c>
      <c r="HH4">
        <v>11.988</v>
      </c>
      <c r="HI4" s="12">
        <v>40235</v>
      </c>
      <c r="HJ4">
        <v>3.383</v>
      </c>
      <c r="HK4" s="12">
        <v>40235</v>
      </c>
      <c r="HL4">
        <v>1575</v>
      </c>
      <c r="HM4" s="12">
        <v>40235</v>
      </c>
      <c r="HN4">
        <v>83.631</v>
      </c>
      <c r="HO4" s="12">
        <v>40235</v>
      </c>
      <c r="HP4">
        <v>50.070999999999998</v>
      </c>
      <c r="HQ4" s="12">
        <v>40329</v>
      </c>
      <c r="HR4">
        <v>2039.96</v>
      </c>
      <c r="HS4" s="12">
        <v>40235</v>
      </c>
      <c r="HT4">
        <v>55.744999999999997</v>
      </c>
      <c r="HU4" s="12">
        <v>40235</v>
      </c>
      <c r="HV4">
        <v>3454.5680000000002</v>
      </c>
      <c r="HW4" s="12">
        <v>40235</v>
      </c>
      <c r="HX4">
        <v>32.906999999999996</v>
      </c>
      <c r="HY4" s="12">
        <v>40235</v>
      </c>
      <c r="HZ4">
        <v>26.390999999999998</v>
      </c>
      <c r="IA4" s="12">
        <v>40235</v>
      </c>
      <c r="IB4">
        <v>127.82899999999999</v>
      </c>
      <c r="IC4" s="12">
        <v>40235</v>
      </c>
      <c r="ID4">
        <v>1.448</v>
      </c>
      <c r="IE4" s="12">
        <v>40235</v>
      </c>
      <c r="IF4">
        <v>17.16</v>
      </c>
      <c r="IG4" s="12">
        <v>40543</v>
      </c>
      <c r="IH4">
        <v>159</v>
      </c>
      <c r="II4" s="12">
        <v>40235</v>
      </c>
      <c r="IJ4">
        <v>45.658000000000001</v>
      </c>
      <c r="IK4" s="12">
        <v>40602</v>
      </c>
      <c r="IL4">
        <v>3.87</v>
      </c>
      <c r="IM4" s="12">
        <v>40235</v>
      </c>
      <c r="IN4">
        <v>10.573</v>
      </c>
      <c r="IO4" s="12">
        <v>40786</v>
      </c>
      <c r="IP4">
        <v>8.9589999999999996</v>
      </c>
      <c r="IQ4" s="12">
        <v>40235</v>
      </c>
      <c r="IR4">
        <v>8.3490000000000002</v>
      </c>
      <c r="IS4" s="12">
        <v>42153</v>
      </c>
      <c r="IT4">
        <v>12.6</v>
      </c>
      <c r="IU4" s="12">
        <v>40235</v>
      </c>
      <c r="IV4">
        <v>6.3596000000000004</v>
      </c>
      <c r="IW4" s="12">
        <v>40235</v>
      </c>
      <c r="IX4">
        <v>21.928000000000001</v>
      </c>
      <c r="IY4" s="12">
        <v>40235</v>
      </c>
      <c r="IZ4">
        <v>4.7320000000000002</v>
      </c>
      <c r="JA4" s="12">
        <v>42004</v>
      </c>
      <c r="JB4">
        <v>10.207000000000001</v>
      </c>
      <c r="JC4" s="12">
        <v>40235</v>
      </c>
      <c r="JD4">
        <v>7.282</v>
      </c>
      <c r="JE4" s="12">
        <v>40235</v>
      </c>
      <c r="JF4">
        <v>320.43299999999999</v>
      </c>
      <c r="JG4" s="12">
        <v>42153</v>
      </c>
      <c r="JH4">
        <v>12.6</v>
      </c>
      <c r="JI4" s="12">
        <v>40235</v>
      </c>
      <c r="JJ4">
        <v>11.087999999999999</v>
      </c>
      <c r="JK4" s="12">
        <v>43131</v>
      </c>
      <c r="JL4">
        <v>17.297999999999998</v>
      </c>
      <c r="JM4" s="12">
        <v>40235</v>
      </c>
      <c r="JN4">
        <v>0.47099999999999997</v>
      </c>
      <c r="JO4" s="12">
        <v>40235</v>
      </c>
      <c r="JP4">
        <v>7.4429999999999996</v>
      </c>
      <c r="JQ4" s="12">
        <v>41639</v>
      </c>
      <c r="JR4">
        <v>19.454000000000001</v>
      </c>
      <c r="JS4" s="12">
        <v>40235</v>
      </c>
      <c r="JT4">
        <v>5.4580000000000002</v>
      </c>
      <c r="JU4" s="12">
        <v>41453</v>
      </c>
      <c r="JV4">
        <v>13.946</v>
      </c>
      <c r="JW4" s="12">
        <v>40235</v>
      </c>
      <c r="JX4">
        <v>4.7859999999999996</v>
      </c>
      <c r="JY4" s="12">
        <v>40235</v>
      </c>
      <c r="JZ4">
        <v>7.8120000000000003</v>
      </c>
      <c r="KA4" s="12">
        <v>43131</v>
      </c>
      <c r="KB4">
        <v>20.338000000000001</v>
      </c>
      <c r="KC4" s="12">
        <v>40235</v>
      </c>
      <c r="KD4">
        <v>12.551</v>
      </c>
      <c r="KE4" s="12">
        <v>40235</v>
      </c>
      <c r="KF4">
        <v>4.9829999999999997</v>
      </c>
      <c r="KG4" s="12">
        <v>40235</v>
      </c>
      <c r="KH4">
        <v>0.13400000000000001</v>
      </c>
      <c r="KI4" s="12">
        <v>40235</v>
      </c>
      <c r="KJ4">
        <v>6.5579999999999998</v>
      </c>
      <c r="KK4" s="12">
        <v>40235</v>
      </c>
      <c r="KL4">
        <v>4.8529999999999998</v>
      </c>
      <c r="KM4" s="12">
        <v>40235</v>
      </c>
      <c r="KN4">
        <v>2.379</v>
      </c>
      <c r="KO4" s="12">
        <v>40235</v>
      </c>
      <c r="KP4">
        <v>240.78899999999999</v>
      </c>
      <c r="KQ4" s="12">
        <v>40235</v>
      </c>
      <c r="KR4">
        <v>324.959</v>
      </c>
      <c r="KS4" s="12">
        <v>40235</v>
      </c>
      <c r="KT4">
        <v>7.1609999999999996</v>
      </c>
      <c r="KU4" s="12">
        <v>40235</v>
      </c>
      <c r="KV4">
        <v>5.8520000000000003</v>
      </c>
      <c r="KW4" s="12">
        <v>40235</v>
      </c>
      <c r="KX4">
        <v>49.860999999999997</v>
      </c>
      <c r="KY4" s="12">
        <v>40235</v>
      </c>
      <c r="KZ4">
        <v>33.765000000000001</v>
      </c>
      <c r="LA4" s="12">
        <v>40235</v>
      </c>
      <c r="LB4">
        <v>27.443999999999999</v>
      </c>
      <c r="LC4" s="12">
        <v>40235</v>
      </c>
      <c r="LD4">
        <v>5.9619999999999997</v>
      </c>
      <c r="LE4" s="12">
        <v>40235</v>
      </c>
      <c r="LF4">
        <v>5.8120000000000003</v>
      </c>
      <c r="LG4" s="12">
        <v>40235</v>
      </c>
      <c r="LH4">
        <v>3.9950000000000001</v>
      </c>
      <c r="LI4" s="12">
        <v>40235</v>
      </c>
      <c r="LJ4">
        <v>7.6559999999999997</v>
      </c>
      <c r="LK4" s="12">
        <v>40235</v>
      </c>
      <c r="LL4">
        <v>18.911000000000001</v>
      </c>
      <c r="LM4" s="12">
        <v>40235</v>
      </c>
      <c r="LN4">
        <v>24.056999999999999</v>
      </c>
      <c r="LO4" s="12">
        <v>40235</v>
      </c>
      <c r="LP4">
        <v>23.431000000000001</v>
      </c>
      <c r="LQ4" s="12">
        <v>40235</v>
      </c>
      <c r="LR4">
        <v>33.125999999999998</v>
      </c>
      <c r="LS4" s="12">
        <v>40235</v>
      </c>
      <c r="LT4">
        <v>30.443000000000001</v>
      </c>
      <c r="LU4" s="12">
        <v>40235</v>
      </c>
      <c r="LV4">
        <v>43.064999999999998</v>
      </c>
      <c r="LW4" s="12">
        <v>40235</v>
      </c>
      <c r="LX4">
        <v>2512.674</v>
      </c>
      <c r="LY4" s="12">
        <v>40235</v>
      </c>
      <c r="LZ4">
        <v>17.532</v>
      </c>
      <c r="MA4" s="12">
        <v>40235</v>
      </c>
      <c r="MB4">
        <v>9.9930000000000003</v>
      </c>
      <c r="MC4" s="12">
        <v>41698</v>
      </c>
      <c r="MD4">
        <v>22.748000000000001</v>
      </c>
      <c r="ME4" s="12">
        <v>40235</v>
      </c>
      <c r="MF4">
        <v>2.5230000000000001</v>
      </c>
      <c r="MG4" s="12">
        <v>40235</v>
      </c>
      <c r="MH4">
        <v>4.1520000000000001</v>
      </c>
      <c r="MI4" s="12">
        <v>42247</v>
      </c>
      <c r="MJ4">
        <v>8.8119999999999994</v>
      </c>
      <c r="MK4" s="12">
        <v>40235</v>
      </c>
      <c r="ML4">
        <v>5.4290000000000003</v>
      </c>
    </row>
    <row r="5" spans="1:350" x14ac:dyDescent="0.3">
      <c r="A5" s="12">
        <v>40268</v>
      </c>
      <c r="B5" s="1">
        <v>4.6890000000000001</v>
      </c>
      <c r="C5" s="12">
        <v>40633</v>
      </c>
      <c r="D5" s="1">
        <v>13.225</v>
      </c>
      <c r="E5" s="12">
        <v>40268</v>
      </c>
      <c r="F5" s="13">
        <v>15.891999999999999</v>
      </c>
      <c r="G5" s="17">
        <v>40268</v>
      </c>
      <c r="H5" s="13">
        <v>2.774</v>
      </c>
      <c r="I5" s="17">
        <v>40298</v>
      </c>
      <c r="J5">
        <v>8.3059999999999992</v>
      </c>
      <c r="K5" s="12">
        <v>41486</v>
      </c>
      <c r="L5">
        <v>11.42</v>
      </c>
      <c r="M5" s="12">
        <v>40268</v>
      </c>
      <c r="N5" s="12">
        <v>24.297000000000001</v>
      </c>
      <c r="O5" s="12">
        <v>40268</v>
      </c>
      <c r="P5">
        <v>13.667999999999999</v>
      </c>
      <c r="Q5" s="12">
        <v>41670</v>
      </c>
      <c r="R5">
        <v>17.151</v>
      </c>
      <c r="S5" s="12">
        <v>40268</v>
      </c>
      <c r="T5">
        <v>6.9719999999999995</v>
      </c>
      <c r="U5" s="12">
        <v>40694</v>
      </c>
      <c r="V5">
        <v>20.414999999999999</v>
      </c>
      <c r="W5" s="12">
        <v>42947</v>
      </c>
      <c r="X5">
        <v>27.3</v>
      </c>
      <c r="Y5" s="12">
        <v>40268</v>
      </c>
      <c r="Z5">
        <v>7.9989999999999997</v>
      </c>
      <c r="AA5" s="12">
        <v>40268</v>
      </c>
      <c r="AB5">
        <v>15.872</v>
      </c>
      <c r="AC5" s="12">
        <v>40268</v>
      </c>
      <c r="AD5">
        <v>6.9489999999999998</v>
      </c>
      <c r="AE5" s="12">
        <v>40268</v>
      </c>
      <c r="AF5">
        <v>8.5399999999999991</v>
      </c>
      <c r="AG5" s="12">
        <v>40268</v>
      </c>
      <c r="AH5">
        <v>51.531999999999996</v>
      </c>
      <c r="AI5" s="12">
        <v>41486</v>
      </c>
      <c r="AJ5">
        <v>11.255000000000001</v>
      </c>
      <c r="AK5" s="12">
        <v>40268</v>
      </c>
      <c r="AL5">
        <v>6.9939999999999998</v>
      </c>
      <c r="AM5" s="12">
        <v>43707</v>
      </c>
      <c r="AN5">
        <v>60.853999999999999</v>
      </c>
      <c r="AO5" s="12">
        <v>40268</v>
      </c>
      <c r="AP5">
        <v>6.8239999999999998</v>
      </c>
      <c r="AQ5" s="12">
        <v>42886</v>
      </c>
      <c r="AR5">
        <v>12.06</v>
      </c>
      <c r="AS5" s="12">
        <v>40268</v>
      </c>
      <c r="AT5">
        <v>9.7029999999999994</v>
      </c>
      <c r="AU5" s="12">
        <v>40268</v>
      </c>
      <c r="AV5">
        <v>25.748999999999999</v>
      </c>
      <c r="AW5" s="12">
        <v>43189</v>
      </c>
      <c r="AX5">
        <v>19.853000000000002</v>
      </c>
      <c r="AY5" s="12">
        <v>40268</v>
      </c>
      <c r="AZ5">
        <v>21.393999999999998</v>
      </c>
      <c r="BA5" s="12">
        <v>40268</v>
      </c>
      <c r="BB5">
        <v>9.0120000000000005</v>
      </c>
      <c r="BC5" s="12">
        <v>40268</v>
      </c>
      <c r="BD5">
        <v>5.8639999999999999</v>
      </c>
      <c r="BE5" s="12">
        <v>40359</v>
      </c>
      <c r="BF5">
        <v>6.516</v>
      </c>
      <c r="BG5" s="12">
        <v>40268</v>
      </c>
      <c r="BH5">
        <v>7.6639999999999997</v>
      </c>
      <c r="BI5" s="12">
        <v>40268</v>
      </c>
      <c r="BJ5">
        <v>32.902999999999999</v>
      </c>
      <c r="BK5" s="12">
        <v>40268</v>
      </c>
      <c r="BL5">
        <v>6.2190000000000003</v>
      </c>
      <c r="BM5" s="12">
        <v>40268</v>
      </c>
      <c r="BN5">
        <v>12.7</v>
      </c>
      <c r="BO5" s="12">
        <v>40268</v>
      </c>
      <c r="BP5">
        <v>5.3469999999999995</v>
      </c>
      <c r="BQ5" s="12">
        <v>40268</v>
      </c>
      <c r="BR5">
        <v>3.8919999999999999</v>
      </c>
      <c r="BS5" s="12">
        <v>40268</v>
      </c>
      <c r="BT5">
        <v>5.33</v>
      </c>
      <c r="BU5" s="12">
        <v>40268</v>
      </c>
      <c r="BV5">
        <v>4.2679999999999998</v>
      </c>
      <c r="BW5" s="12">
        <v>40268</v>
      </c>
      <c r="BX5">
        <v>1.748</v>
      </c>
      <c r="BY5" s="12">
        <v>40268</v>
      </c>
      <c r="BZ5">
        <v>12.47</v>
      </c>
      <c r="CA5" s="12">
        <v>40268</v>
      </c>
      <c r="CB5">
        <v>22.51</v>
      </c>
      <c r="CC5" s="12">
        <v>43039</v>
      </c>
      <c r="CD5">
        <v>15.518000000000001</v>
      </c>
      <c r="CE5" s="12">
        <v>40268</v>
      </c>
      <c r="CF5">
        <v>9.6359999999999992</v>
      </c>
      <c r="CG5" s="12">
        <v>40268</v>
      </c>
      <c r="CH5">
        <v>14.768000000000001</v>
      </c>
      <c r="CI5" s="12">
        <v>40268</v>
      </c>
      <c r="CJ5">
        <v>16.213999999999999</v>
      </c>
      <c r="CK5" s="12">
        <v>40268</v>
      </c>
      <c r="CL5">
        <v>23.265999999999998</v>
      </c>
      <c r="CM5" s="12">
        <v>40268</v>
      </c>
      <c r="CN5">
        <v>11.286</v>
      </c>
      <c r="CO5" s="12">
        <v>41729</v>
      </c>
      <c r="CP5">
        <v>13.198</v>
      </c>
      <c r="CQ5" s="12">
        <v>40268</v>
      </c>
      <c r="CR5">
        <v>15.02</v>
      </c>
      <c r="CS5" s="12">
        <v>40268</v>
      </c>
      <c r="CT5">
        <v>14.826000000000001</v>
      </c>
      <c r="CU5" s="12">
        <v>40268</v>
      </c>
      <c r="CV5">
        <v>6.6820000000000004</v>
      </c>
      <c r="CW5" s="12">
        <v>40268</v>
      </c>
      <c r="CX5">
        <v>7.8490000000000002</v>
      </c>
      <c r="CY5" s="12">
        <v>40359</v>
      </c>
      <c r="CZ5">
        <v>6.4640000000000004</v>
      </c>
      <c r="DA5" s="12">
        <v>40268</v>
      </c>
      <c r="DB5">
        <v>8.8450000000000006</v>
      </c>
      <c r="DC5" s="12">
        <v>40268</v>
      </c>
      <c r="DD5">
        <v>19.265999999999998</v>
      </c>
      <c r="DE5" s="12">
        <v>40268</v>
      </c>
      <c r="DF5">
        <v>16.350999999999999</v>
      </c>
      <c r="DG5" s="12">
        <v>40268</v>
      </c>
      <c r="DH5">
        <v>29.774999999999999</v>
      </c>
      <c r="DI5" s="12">
        <v>40268</v>
      </c>
      <c r="DJ5">
        <v>19.946999999999999</v>
      </c>
      <c r="DK5" s="12">
        <v>40268</v>
      </c>
      <c r="DL5">
        <v>9.2029999999999994</v>
      </c>
      <c r="DM5" s="12">
        <v>40694</v>
      </c>
      <c r="DN5">
        <v>11.651999999999999</v>
      </c>
      <c r="DO5" s="12">
        <v>40268</v>
      </c>
      <c r="DP5">
        <v>6.33</v>
      </c>
      <c r="DQ5" s="12">
        <v>40268</v>
      </c>
      <c r="DR5">
        <v>336.22699999999998</v>
      </c>
      <c r="DS5" s="12">
        <v>40268</v>
      </c>
      <c r="DT5">
        <v>7.1130000000000004</v>
      </c>
      <c r="DU5" s="12">
        <v>40268</v>
      </c>
      <c r="DV5">
        <v>1.3340000000000001</v>
      </c>
      <c r="DW5" s="12">
        <v>40268</v>
      </c>
      <c r="DX5">
        <v>5.0019999999999998</v>
      </c>
      <c r="DY5" s="12">
        <v>40268</v>
      </c>
      <c r="DZ5">
        <v>3.7359999999999998</v>
      </c>
      <c r="EA5" s="12">
        <v>40268</v>
      </c>
      <c r="EB5">
        <v>16.872</v>
      </c>
      <c r="EC5" s="12">
        <v>40268</v>
      </c>
      <c r="ED5">
        <v>31.053999999999998</v>
      </c>
      <c r="EE5" s="12">
        <v>40268</v>
      </c>
      <c r="EF5">
        <v>6.74</v>
      </c>
      <c r="EG5" s="12">
        <v>40268</v>
      </c>
      <c r="EH5">
        <v>10.571</v>
      </c>
      <c r="EI5" s="12">
        <v>40268</v>
      </c>
      <c r="EJ5">
        <v>83.527000000000001</v>
      </c>
      <c r="EK5" s="12">
        <v>40268</v>
      </c>
      <c r="EL5">
        <v>17.773</v>
      </c>
      <c r="EM5" s="12">
        <v>40268</v>
      </c>
      <c r="EN5">
        <v>24.306999999999999</v>
      </c>
      <c r="EO5" s="12">
        <v>43312</v>
      </c>
      <c r="EP5">
        <v>24.303000000000001</v>
      </c>
      <c r="EQ5" s="12">
        <v>40268</v>
      </c>
      <c r="ER5">
        <v>30.460999999999999</v>
      </c>
      <c r="ES5" s="12">
        <v>40268</v>
      </c>
      <c r="ET5">
        <v>22.103999999999999</v>
      </c>
      <c r="EU5" s="12">
        <v>40268</v>
      </c>
      <c r="EV5">
        <v>1.742</v>
      </c>
      <c r="EW5" s="12">
        <v>43312</v>
      </c>
      <c r="EX5">
        <v>27.677</v>
      </c>
      <c r="EY5" s="12">
        <v>40268</v>
      </c>
      <c r="EZ5">
        <v>7.75</v>
      </c>
      <c r="FA5" s="12">
        <v>40268</v>
      </c>
      <c r="FB5">
        <v>17.73</v>
      </c>
      <c r="FC5" s="12">
        <v>40268</v>
      </c>
      <c r="FD5">
        <v>12.637</v>
      </c>
      <c r="FE5" s="12">
        <v>43039</v>
      </c>
      <c r="FF5">
        <v>9.9239999999999995</v>
      </c>
      <c r="FG5" s="12">
        <v>40268</v>
      </c>
      <c r="FH5">
        <v>3.8010000000000002</v>
      </c>
      <c r="FI5" s="12">
        <v>40268</v>
      </c>
      <c r="FJ5">
        <v>8.1229999999999993</v>
      </c>
      <c r="FK5" s="12">
        <v>40268</v>
      </c>
      <c r="FL5">
        <v>11.132</v>
      </c>
      <c r="FM5" s="12">
        <v>40268</v>
      </c>
      <c r="FN5">
        <v>7.1130000000000004</v>
      </c>
      <c r="FO5" s="12">
        <v>40268</v>
      </c>
      <c r="FP5">
        <v>22.501999999999999</v>
      </c>
      <c r="FQ5" s="12">
        <v>41759</v>
      </c>
      <c r="FR5">
        <v>9.4489999999999998</v>
      </c>
      <c r="FS5" s="12">
        <v>40268</v>
      </c>
      <c r="FT5">
        <v>0.7</v>
      </c>
      <c r="FU5" s="12">
        <v>40268</v>
      </c>
      <c r="FV5">
        <v>5.2089999999999996</v>
      </c>
      <c r="FW5" s="12">
        <v>40268</v>
      </c>
      <c r="FX5">
        <v>6.3650000000000002</v>
      </c>
      <c r="FY5" s="12">
        <v>41121</v>
      </c>
      <c r="FZ5">
        <v>1.8559999999999999</v>
      </c>
      <c r="GA5" s="12">
        <v>40268</v>
      </c>
      <c r="GB5">
        <v>4.6749999999999998</v>
      </c>
      <c r="GC5" s="12">
        <v>40268</v>
      </c>
      <c r="GD5">
        <v>14.81</v>
      </c>
      <c r="GE5" s="12">
        <v>41425</v>
      </c>
      <c r="GF5">
        <v>11.701000000000001</v>
      </c>
      <c r="GG5" s="12">
        <v>43553</v>
      </c>
      <c r="GH5">
        <v>16.855</v>
      </c>
      <c r="GI5" s="12">
        <v>40268</v>
      </c>
      <c r="GJ5">
        <v>5.351</v>
      </c>
      <c r="GK5" s="12">
        <v>40268</v>
      </c>
      <c r="GL5">
        <v>63.572000000000003</v>
      </c>
      <c r="GM5" s="12">
        <v>40268</v>
      </c>
      <c r="GN5">
        <v>12.707000000000001</v>
      </c>
      <c r="GO5" s="12">
        <v>40753</v>
      </c>
      <c r="GP5">
        <v>1.5939999999999999</v>
      </c>
      <c r="GQ5" s="12">
        <v>40389</v>
      </c>
      <c r="GR5">
        <v>13.952999999999999</v>
      </c>
      <c r="GS5" s="12">
        <v>40268</v>
      </c>
      <c r="GT5">
        <v>2023.973</v>
      </c>
      <c r="GU5" s="12">
        <v>42886</v>
      </c>
      <c r="GV5">
        <v>8.3889999999999993</v>
      </c>
      <c r="GW5" s="12">
        <v>40329</v>
      </c>
      <c r="GX5">
        <v>9.77</v>
      </c>
      <c r="GY5" s="12">
        <v>40268</v>
      </c>
      <c r="GZ5">
        <v>20.141999999999999</v>
      </c>
      <c r="HA5" s="12">
        <v>40268</v>
      </c>
      <c r="HB5">
        <v>7.39</v>
      </c>
      <c r="HC5" s="12">
        <v>40268</v>
      </c>
      <c r="HD5">
        <v>8.0519999999999996</v>
      </c>
      <c r="HE5" s="12">
        <v>40268</v>
      </c>
      <c r="HF5">
        <v>10.571</v>
      </c>
      <c r="HG5" s="12">
        <v>40268</v>
      </c>
      <c r="HH5">
        <v>13.317</v>
      </c>
      <c r="HI5" s="12">
        <v>40268</v>
      </c>
      <c r="HJ5">
        <v>3.38</v>
      </c>
      <c r="HK5" s="12">
        <v>40268</v>
      </c>
      <c r="HL5">
        <v>1665</v>
      </c>
      <c r="HM5" s="12">
        <v>40268</v>
      </c>
      <c r="HN5">
        <v>66.677000000000007</v>
      </c>
      <c r="HO5" s="12">
        <v>40268</v>
      </c>
      <c r="HP5">
        <v>45.959000000000003</v>
      </c>
      <c r="HQ5" s="12">
        <v>40359</v>
      </c>
      <c r="HR5">
        <v>1880</v>
      </c>
      <c r="HS5" s="12">
        <v>40268</v>
      </c>
      <c r="HT5">
        <v>53.811</v>
      </c>
      <c r="HU5" s="12">
        <v>40268</v>
      </c>
      <c r="HV5">
        <v>3164.0169999999998</v>
      </c>
      <c r="HW5" s="12">
        <v>40268</v>
      </c>
      <c r="HX5">
        <v>33.756999999999998</v>
      </c>
      <c r="HY5" s="12">
        <v>40268</v>
      </c>
      <c r="HZ5">
        <v>26.986000000000001</v>
      </c>
      <c r="IA5" s="12">
        <v>40268</v>
      </c>
      <c r="IB5">
        <v>103.813</v>
      </c>
      <c r="IC5" s="12">
        <v>40268</v>
      </c>
      <c r="ID5">
        <v>1.4339999999999999</v>
      </c>
      <c r="IE5" s="12">
        <v>40268</v>
      </c>
      <c r="IF5">
        <v>15.41</v>
      </c>
      <c r="IG5" s="12">
        <v>40574</v>
      </c>
      <c r="IH5">
        <v>181.8</v>
      </c>
      <c r="II5" s="12">
        <v>40268</v>
      </c>
      <c r="IJ5">
        <v>40.058</v>
      </c>
      <c r="IK5" s="12">
        <v>40633</v>
      </c>
      <c r="IL5">
        <v>3.86</v>
      </c>
      <c r="IM5" s="12">
        <v>40268</v>
      </c>
      <c r="IN5">
        <v>10.544</v>
      </c>
      <c r="IO5" s="12">
        <v>40816</v>
      </c>
      <c r="IP5">
        <v>8.7100000000000009</v>
      </c>
      <c r="IQ5" s="12">
        <v>40268</v>
      </c>
      <c r="IR5">
        <v>8.6140000000000008</v>
      </c>
      <c r="IS5" s="12">
        <v>42185</v>
      </c>
      <c r="IT5">
        <v>12.7</v>
      </c>
      <c r="IU5" s="12">
        <v>40268</v>
      </c>
      <c r="IV5">
        <v>5.7972000000000001</v>
      </c>
      <c r="IW5" s="12">
        <v>40268</v>
      </c>
      <c r="IX5">
        <v>27.431000000000001</v>
      </c>
      <c r="IY5" s="12">
        <v>40268</v>
      </c>
      <c r="IZ5">
        <v>4.5149999999999997</v>
      </c>
      <c r="JA5" s="12">
        <v>42034</v>
      </c>
      <c r="JB5">
        <v>7.8159999999999998</v>
      </c>
      <c r="JC5" s="12">
        <v>40268</v>
      </c>
      <c r="JD5">
        <v>5.4770000000000003</v>
      </c>
      <c r="JE5" s="12">
        <v>40268</v>
      </c>
      <c r="JF5">
        <v>281.173</v>
      </c>
      <c r="JG5" s="12">
        <v>42185</v>
      </c>
      <c r="JH5">
        <v>12.7</v>
      </c>
      <c r="JI5" s="12">
        <v>40268</v>
      </c>
      <c r="JJ5">
        <v>11.449</v>
      </c>
      <c r="JK5" s="12">
        <v>43159</v>
      </c>
      <c r="JL5">
        <v>15.926</v>
      </c>
      <c r="JM5" s="12">
        <v>40268</v>
      </c>
      <c r="JN5">
        <v>0.46400000000000002</v>
      </c>
      <c r="JO5" s="12">
        <v>40268</v>
      </c>
      <c r="JP5">
        <v>7.867</v>
      </c>
      <c r="JQ5" s="12">
        <v>41670</v>
      </c>
      <c r="JR5">
        <v>16.870999999999999</v>
      </c>
      <c r="JS5" s="12">
        <v>40268</v>
      </c>
      <c r="JT5">
        <v>5.18</v>
      </c>
      <c r="JU5" s="12">
        <v>41486</v>
      </c>
      <c r="JV5">
        <v>15.938000000000001</v>
      </c>
      <c r="JW5" s="12">
        <v>40268</v>
      </c>
      <c r="JX5">
        <v>4.6139999999999999</v>
      </c>
      <c r="JY5" s="12">
        <v>40268</v>
      </c>
      <c r="JZ5">
        <v>7.9350000000000005</v>
      </c>
      <c r="KA5" s="12">
        <v>43159</v>
      </c>
      <c r="KB5">
        <v>21.411000000000001</v>
      </c>
      <c r="KC5" s="12">
        <v>40268</v>
      </c>
      <c r="KD5">
        <v>16.398</v>
      </c>
      <c r="KE5" s="12">
        <v>40268</v>
      </c>
      <c r="KF5">
        <v>5.0620000000000003</v>
      </c>
      <c r="KG5" s="12">
        <v>40268</v>
      </c>
      <c r="KH5">
        <v>0.121</v>
      </c>
      <c r="KI5" s="12">
        <v>40268</v>
      </c>
      <c r="KJ5">
        <v>6.67</v>
      </c>
      <c r="KK5" s="12">
        <v>40268</v>
      </c>
      <c r="KL5">
        <v>4.6929999999999996</v>
      </c>
      <c r="KM5" s="12">
        <v>42886</v>
      </c>
      <c r="KN5">
        <v>6.601</v>
      </c>
      <c r="KO5" s="12">
        <v>40268</v>
      </c>
      <c r="KP5">
        <v>215.78399999999999</v>
      </c>
      <c r="KQ5" s="12">
        <v>40268</v>
      </c>
      <c r="KR5">
        <v>279.22399999999999</v>
      </c>
      <c r="KS5" s="12">
        <v>40268</v>
      </c>
      <c r="KT5">
        <v>7.274</v>
      </c>
      <c r="KU5" s="12">
        <v>40268</v>
      </c>
      <c r="KV5">
        <v>5.5730000000000004</v>
      </c>
      <c r="KW5" s="12">
        <v>40268</v>
      </c>
      <c r="KX5">
        <v>48.328000000000003</v>
      </c>
      <c r="KY5" s="12">
        <v>40268</v>
      </c>
      <c r="KZ5">
        <v>34.395000000000003</v>
      </c>
      <c r="LA5" s="12">
        <v>40268</v>
      </c>
      <c r="LB5">
        <v>27.628</v>
      </c>
      <c r="LC5" s="12">
        <v>40268</v>
      </c>
      <c r="LD5">
        <v>6.1870000000000003</v>
      </c>
      <c r="LE5" s="12">
        <v>40268</v>
      </c>
      <c r="LF5">
        <v>5.62</v>
      </c>
      <c r="LG5" s="12">
        <v>40268</v>
      </c>
      <c r="LH5">
        <v>4.1559999999999997</v>
      </c>
      <c r="LI5" s="12">
        <v>40268</v>
      </c>
      <c r="LJ5">
        <v>8.2390000000000008</v>
      </c>
      <c r="LK5" s="12">
        <v>40268</v>
      </c>
      <c r="LL5">
        <v>20.350999999999999</v>
      </c>
      <c r="LM5" s="12">
        <v>40268</v>
      </c>
      <c r="LN5">
        <v>29.364000000000001</v>
      </c>
      <c r="LO5" s="12">
        <v>40268</v>
      </c>
      <c r="LP5">
        <v>27.89</v>
      </c>
      <c r="LQ5" s="12">
        <v>40268</v>
      </c>
      <c r="LR5">
        <v>37.524999999999999</v>
      </c>
      <c r="LS5" s="12">
        <v>40268</v>
      </c>
      <c r="LT5">
        <v>33.935000000000002</v>
      </c>
      <c r="LU5" s="12">
        <v>40268</v>
      </c>
      <c r="LV5">
        <v>43.985999999999997</v>
      </c>
      <c r="LW5" s="12">
        <v>40268</v>
      </c>
      <c r="LX5">
        <v>2585.623</v>
      </c>
      <c r="LY5" s="12">
        <v>40268</v>
      </c>
      <c r="LZ5">
        <v>17.135999999999999</v>
      </c>
      <c r="MA5" s="12">
        <v>40268</v>
      </c>
      <c r="MB5">
        <v>9.5619999999999994</v>
      </c>
      <c r="MC5" s="12">
        <v>41729</v>
      </c>
      <c r="MD5">
        <v>22.940999999999999</v>
      </c>
      <c r="ME5" s="12">
        <v>40268</v>
      </c>
      <c r="MF5">
        <v>3.0710000000000002</v>
      </c>
      <c r="MG5" s="12">
        <v>40268</v>
      </c>
      <c r="MH5">
        <v>4.4800000000000004</v>
      </c>
      <c r="MI5" s="12">
        <v>42277</v>
      </c>
      <c r="MJ5">
        <v>6.2439999999999998</v>
      </c>
      <c r="MK5" s="12">
        <v>40268</v>
      </c>
      <c r="ML5">
        <v>5.2119999999999997</v>
      </c>
    </row>
    <row r="6" spans="1:350" x14ac:dyDescent="0.3">
      <c r="A6" s="12">
        <v>40298</v>
      </c>
      <c r="B6" s="1">
        <v>4.875</v>
      </c>
      <c r="C6" s="12">
        <v>40662</v>
      </c>
      <c r="D6" s="1">
        <v>11.577999999999999</v>
      </c>
      <c r="E6" s="12">
        <v>40298</v>
      </c>
      <c r="F6" s="13">
        <v>15.423999999999999</v>
      </c>
      <c r="G6" s="17">
        <v>40298</v>
      </c>
      <c r="H6" s="13">
        <v>2.7</v>
      </c>
      <c r="I6" s="17">
        <v>40329</v>
      </c>
      <c r="J6">
        <v>9.4819999999999993</v>
      </c>
      <c r="K6" s="12">
        <v>41516</v>
      </c>
      <c r="L6">
        <v>11.146000000000001</v>
      </c>
      <c r="M6" s="12">
        <v>40298</v>
      </c>
      <c r="N6" s="12">
        <v>25.896999999999998</v>
      </c>
      <c r="O6" s="12">
        <v>40298</v>
      </c>
      <c r="P6">
        <v>14.063000000000001</v>
      </c>
      <c r="Q6" s="12">
        <v>41698</v>
      </c>
      <c r="R6">
        <v>18.652000000000001</v>
      </c>
      <c r="S6" s="12">
        <v>40298</v>
      </c>
      <c r="T6">
        <v>6.9710000000000001</v>
      </c>
      <c r="U6" s="12">
        <v>40724</v>
      </c>
      <c r="V6">
        <v>17.163</v>
      </c>
      <c r="W6" s="12">
        <v>42978</v>
      </c>
      <c r="X6">
        <v>26.55</v>
      </c>
      <c r="Y6" s="12">
        <v>40298</v>
      </c>
      <c r="Z6">
        <v>7.641</v>
      </c>
      <c r="AA6" s="12">
        <v>40298</v>
      </c>
      <c r="AB6">
        <v>15.946</v>
      </c>
      <c r="AC6" s="12">
        <v>40298</v>
      </c>
      <c r="AD6">
        <v>6.8620000000000001</v>
      </c>
      <c r="AE6" s="12">
        <v>40298</v>
      </c>
      <c r="AF6">
        <v>8.2859999999999996</v>
      </c>
      <c r="AG6" s="12">
        <v>40298</v>
      </c>
      <c r="AH6">
        <v>53.37</v>
      </c>
      <c r="AI6" s="12">
        <v>41516</v>
      </c>
      <c r="AJ6">
        <v>12.01</v>
      </c>
      <c r="AK6" s="12">
        <v>40298</v>
      </c>
      <c r="AL6">
        <v>6.8659999999999997</v>
      </c>
      <c r="AM6" s="12">
        <v>43738</v>
      </c>
      <c r="AN6">
        <v>56.503</v>
      </c>
      <c r="AO6" s="12">
        <v>40298</v>
      </c>
      <c r="AP6">
        <v>6.6950000000000003</v>
      </c>
      <c r="AQ6" s="12">
        <v>42916</v>
      </c>
      <c r="AR6">
        <v>12.315</v>
      </c>
      <c r="AS6" s="12">
        <v>40298</v>
      </c>
      <c r="AT6">
        <v>9.3439999999999994</v>
      </c>
      <c r="AU6" s="12">
        <v>40298</v>
      </c>
      <c r="AV6">
        <v>23.475999999999999</v>
      </c>
      <c r="AW6" s="12">
        <v>43220</v>
      </c>
      <c r="AX6">
        <v>20.097999999999999</v>
      </c>
      <c r="AY6" s="12">
        <v>40298</v>
      </c>
      <c r="AZ6">
        <v>20.277999999999999</v>
      </c>
      <c r="BA6" s="12">
        <v>40298</v>
      </c>
      <c r="BB6">
        <v>8.6539999999999999</v>
      </c>
      <c r="BC6" s="12">
        <v>40298</v>
      </c>
      <c r="BD6">
        <v>6.1820000000000004</v>
      </c>
      <c r="BE6" s="12">
        <v>40389</v>
      </c>
      <c r="BF6">
        <v>7.0990000000000002</v>
      </c>
      <c r="BG6" s="12">
        <v>40298</v>
      </c>
      <c r="BH6">
        <v>6.8929999999999998</v>
      </c>
      <c r="BI6" s="12">
        <v>40298</v>
      </c>
      <c r="BJ6">
        <v>32.878</v>
      </c>
      <c r="BK6" s="12">
        <v>40298</v>
      </c>
      <c r="BL6">
        <v>6.3739999999999997</v>
      </c>
      <c r="BM6" s="12">
        <v>40298</v>
      </c>
      <c r="BN6">
        <v>13.063000000000001</v>
      </c>
      <c r="BO6" s="12">
        <v>40298</v>
      </c>
      <c r="BP6">
        <v>5.3879999999999999</v>
      </c>
      <c r="BQ6" s="12">
        <v>40298</v>
      </c>
      <c r="BR6">
        <v>4.3140000000000001</v>
      </c>
      <c r="BS6" s="12">
        <v>40298</v>
      </c>
      <c r="BT6">
        <v>5.742</v>
      </c>
      <c r="BU6" s="12">
        <v>40298</v>
      </c>
      <c r="BV6">
        <v>4.1479999999999997</v>
      </c>
      <c r="BW6" s="12">
        <v>40298</v>
      </c>
      <c r="BX6">
        <v>1.7210000000000001</v>
      </c>
      <c r="BY6" s="12">
        <v>40298</v>
      </c>
      <c r="BZ6">
        <v>12.555</v>
      </c>
      <c r="CA6" s="12">
        <v>40298</v>
      </c>
      <c r="CB6">
        <v>22.079000000000001</v>
      </c>
      <c r="CC6" s="12">
        <v>43069</v>
      </c>
      <c r="CD6">
        <v>14.659000000000001</v>
      </c>
      <c r="CE6" s="12">
        <v>40298</v>
      </c>
      <c r="CF6">
        <v>10.413</v>
      </c>
      <c r="CG6" s="12">
        <v>40298</v>
      </c>
      <c r="CH6">
        <v>15.054</v>
      </c>
      <c r="CI6" s="12">
        <v>40298</v>
      </c>
      <c r="CJ6">
        <v>16.454999999999998</v>
      </c>
      <c r="CK6" s="12">
        <v>40298</v>
      </c>
      <c r="CL6">
        <v>21.055</v>
      </c>
      <c r="CM6" s="12">
        <v>40298</v>
      </c>
      <c r="CN6">
        <v>10.484</v>
      </c>
      <c r="CO6" s="12">
        <v>41759</v>
      </c>
      <c r="CP6">
        <v>14.263999999999999</v>
      </c>
      <c r="CQ6" s="12">
        <v>40298</v>
      </c>
      <c r="CR6">
        <v>14.977</v>
      </c>
      <c r="CS6" s="12">
        <v>40298</v>
      </c>
      <c r="CT6">
        <v>14.350999999999999</v>
      </c>
      <c r="CU6" s="12">
        <v>40298</v>
      </c>
      <c r="CV6">
        <v>6.5809999999999995</v>
      </c>
      <c r="CW6" s="12">
        <v>40298</v>
      </c>
      <c r="CX6">
        <v>8.1300000000000008</v>
      </c>
      <c r="CY6" s="12">
        <v>40389</v>
      </c>
      <c r="CZ6">
        <v>6.95</v>
      </c>
      <c r="DA6" s="12">
        <v>40298</v>
      </c>
      <c r="DB6">
        <v>9.8000000000000007</v>
      </c>
      <c r="DC6" s="12">
        <v>40298</v>
      </c>
      <c r="DD6">
        <v>18.163</v>
      </c>
      <c r="DE6" s="12">
        <v>40298</v>
      </c>
      <c r="DF6">
        <v>15.499000000000001</v>
      </c>
      <c r="DG6" s="12">
        <v>40298</v>
      </c>
      <c r="DH6">
        <v>32.253</v>
      </c>
      <c r="DI6" s="12">
        <v>40298</v>
      </c>
      <c r="DJ6">
        <v>19.645</v>
      </c>
      <c r="DK6" s="12">
        <v>40298</v>
      </c>
      <c r="DL6">
        <v>8.9890000000000008</v>
      </c>
      <c r="DM6" s="12">
        <v>40724</v>
      </c>
      <c r="DN6">
        <v>9.9459999999999997</v>
      </c>
      <c r="DO6" s="12">
        <v>40298</v>
      </c>
      <c r="DP6">
        <v>6.5289999999999999</v>
      </c>
      <c r="DQ6" s="12">
        <v>40298</v>
      </c>
      <c r="DR6">
        <v>303.59300000000002</v>
      </c>
      <c r="DS6" s="12">
        <v>40298</v>
      </c>
      <c r="DT6">
        <v>6.8739999999999997</v>
      </c>
      <c r="DU6" s="12">
        <v>40298</v>
      </c>
      <c r="DV6">
        <v>1.365</v>
      </c>
      <c r="DW6" s="12">
        <v>40298</v>
      </c>
      <c r="DX6">
        <v>4.7089999999999996</v>
      </c>
      <c r="DY6" s="12">
        <v>40298</v>
      </c>
      <c r="DZ6">
        <v>3.8849999999999998</v>
      </c>
      <c r="EA6" s="12">
        <v>40298</v>
      </c>
      <c r="EB6">
        <v>16.137</v>
      </c>
      <c r="EC6" s="12">
        <v>40298</v>
      </c>
      <c r="ED6">
        <v>27.863</v>
      </c>
      <c r="EE6" s="12">
        <v>40298</v>
      </c>
      <c r="EF6">
        <v>6.29</v>
      </c>
      <c r="EG6" s="12">
        <v>40298</v>
      </c>
      <c r="EH6">
        <v>10.631</v>
      </c>
      <c r="EI6" s="12">
        <v>40298</v>
      </c>
      <c r="EJ6">
        <v>81.296000000000006</v>
      </c>
      <c r="EK6" s="12">
        <v>40298</v>
      </c>
      <c r="EL6">
        <v>17.523</v>
      </c>
      <c r="EM6" s="12">
        <v>40298</v>
      </c>
      <c r="EN6">
        <v>23.928999999999998</v>
      </c>
      <c r="EO6" s="12">
        <v>43343</v>
      </c>
      <c r="EP6">
        <v>25.295000000000002</v>
      </c>
      <c r="EQ6" s="12">
        <v>40298</v>
      </c>
      <c r="ER6">
        <v>28.423999999999999</v>
      </c>
      <c r="ES6" s="12">
        <v>40298</v>
      </c>
      <c r="ET6">
        <v>22.896999999999998</v>
      </c>
      <c r="EU6" s="12">
        <v>40298</v>
      </c>
      <c r="EV6">
        <v>1.554</v>
      </c>
      <c r="EW6" s="12">
        <v>43343</v>
      </c>
      <c r="EX6">
        <v>25.446000000000002</v>
      </c>
      <c r="EY6" s="12">
        <v>40298</v>
      </c>
      <c r="EZ6">
        <v>8.6959999999999997</v>
      </c>
      <c r="FA6" s="12">
        <v>40298</v>
      </c>
      <c r="FB6">
        <v>19.565000000000001</v>
      </c>
      <c r="FC6" s="12">
        <v>40298</v>
      </c>
      <c r="FD6">
        <v>12.3</v>
      </c>
      <c r="FE6" s="12">
        <v>43069</v>
      </c>
      <c r="FF6">
        <v>10.57</v>
      </c>
      <c r="FG6" s="12">
        <v>40298</v>
      </c>
      <c r="FH6">
        <v>3.7410000000000001</v>
      </c>
      <c r="FI6" s="12">
        <v>40298</v>
      </c>
      <c r="FJ6">
        <v>7.9969999999999999</v>
      </c>
      <c r="FK6" s="12">
        <v>40298</v>
      </c>
      <c r="FL6">
        <v>10.763999999999999</v>
      </c>
      <c r="FM6" s="12">
        <v>40298</v>
      </c>
      <c r="FN6">
        <v>7.3090000000000002</v>
      </c>
      <c r="FO6" s="12">
        <v>40298</v>
      </c>
      <c r="FP6">
        <v>19.106000000000002</v>
      </c>
      <c r="FQ6" s="12">
        <v>41789</v>
      </c>
      <c r="FR6">
        <v>9.2390000000000008</v>
      </c>
      <c r="FS6" s="12">
        <v>40298</v>
      </c>
      <c r="FT6">
        <v>0.70899999999999996</v>
      </c>
      <c r="FU6" s="12">
        <v>40298</v>
      </c>
      <c r="FV6">
        <v>5.2560000000000002</v>
      </c>
      <c r="FW6" s="12">
        <v>40298</v>
      </c>
      <c r="FX6">
        <v>6.2110000000000003</v>
      </c>
      <c r="FY6" s="12">
        <v>41152</v>
      </c>
      <c r="FZ6">
        <v>1.9649999999999999</v>
      </c>
      <c r="GA6" s="12">
        <v>40298</v>
      </c>
      <c r="GB6">
        <v>4.641</v>
      </c>
      <c r="GC6" s="12">
        <v>40298</v>
      </c>
      <c r="GD6">
        <v>14.459</v>
      </c>
      <c r="GE6" s="12">
        <v>41453</v>
      </c>
      <c r="GF6">
        <v>11.085000000000001</v>
      </c>
      <c r="GG6" s="12">
        <v>43585</v>
      </c>
      <c r="GH6">
        <v>17.411000000000001</v>
      </c>
      <c r="GI6" s="12">
        <v>40298</v>
      </c>
      <c r="GJ6">
        <v>5.75</v>
      </c>
      <c r="GK6" s="12">
        <v>40298</v>
      </c>
      <c r="GL6">
        <v>56.39</v>
      </c>
      <c r="GM6" s="12">
        <v>40298</v>
      </c>
      <c r="GN6">
        <v>12.239000000000001</v>
      </c>
      <c r="GO6" s="12">
        <v>40786</v>
      </c>
      <c r="GP6">
        <v>1.484</v>
      </c>
      <c r="GQ6" s="12">
        <v>40421</v>
      </c>
      <c r="GR6">
        <v>15.260999999999999</v>
      </c>
      <c r="GS6" s="12">
        <v>40298</v>
      </c>
      <c r="GT6">
        <v>1899.8119999999999</v>
      </c>
      <c r="GU6" s="12">
        <v>42916</v>
      </c>
      <c r="GV6">
        <v>9.3010000000000002</v>
      </c>
      <c r="GW6" s="12">
        <v>40359</v>
      </c>
      <c r="GX6">
        <v>9.9770000000000003</v>
      </c>
      <c r="GY6" s="12">
        <v>40298</v>
      </c>
      <c r="GZ6">
        <v>18.062000000000001</v>
      </c>
      <c r="HA6" s="12">
        <v>40298</v>
      </c>
      <c r="HB6">
        <v>7.3239999999999998</v>
      </c>
      <c r="HC6" s="12">
        <v>40298</v>
      </c>
      <c r="HD6">
        <v>8.173</v>
      </c>
      <c r="HE6" s="12">
        <v>40298</v>
      </c>
      <c r="HF6">
        <v>12.228</v>
      </c>
      <c r="HG6" s="12">
        <v>40298</v>
      </c>
      <c r="HH6">
        <v>13.612</v>
      </c>
      <c r="HI6" s="12">
        <v>40298</v>
      </c>
      <c r="HJ6">
        <v>3.109</v>
      </c>
      <c r="HK6" s="12">
        <v>40298</v>
      </c>
      <c r="HL6">
        <v>1732</v>
      </c>
      <c r="HM6" s="12">
        <v>40298</v>
      </c>
      <c r="HN6">
        <v>60.756999999999998</v>
      </c>
      <c r="HO6" s="12">
        <v>40298</v>
      </c>
      <c r="HP6">
        <v>44.991</v>
      </c>
      <c r="HQ6" s="12">
        <v>40389</v>
      </c>
      <c r="HR6">
        <v>2160.04</v>
      </c>
      <c r="HS6" s="12">
        <v>40298</v>
      </c>
      <c r="HT6">
        <v>54.366999999999997</v>
      </c>
      <c r="HU6" s="12">
        <v>40298</v>
      </c>
      <c r="HV6">
        <v>3455.7750000000001</v>
      </c>
      <c r="HW6" s="12">
        <v>40298</v>
      </c>
      <c r="HX6">
        <v>31.629000000000001</v>
      </c>
      <c r="HY6" s="12">
        <v>40298</v>
      </c>
      <c r="HZ6">
        <v>25.199000000000002</v>
      </c>
      <c r="IA6" s="12">
        <v>40298</v>
      </c>
      <c r="IB6">
        <v>88.472999999999999</v>
      </c>
      <c r="IC6" s="12">
        <v>40298</v>
      </c>
      <c r="ID6">
        <v>1.4990000000000001</v>
      </c>
      <c r="IE6" s="12">
        <v>40298</v>
      </c>
      <c r="IF6">
        <v>16.701000000000001</v>
      </c>
      <c r="IG6" s="12">
        <v>40602</v>
      </c>
      <c r="IH6">
        <v>187.499</v>
      </c>
      <c r="II6" s="12">
        <v>40298</v>
      </c>
      <c r="IJ6">
        <v>39.484000000000002</v>
      </c>
      <c r="IK6" s="12">
        <v>40662</v>
      </c>
      <c r="IL6">
        <v>3.46</v>
      </c>
      <c r="IM6" s="12">
        <v>40298</v>
      </c>
      <c r="IN6">
        <v>10.497</v>
      </c>
      <c r="IO6" s="12">
        <v>40847</v>
      </c>
      <c r="IP6">
        <v>9.7680000000000007</v>
      </c>
      <c r="IQ6" s="12">
        <v>40298</v>
      </c>
      <c r="IR6">
        <v>9.0449999999999999</v>
      </c>
      <c r="IS6" s="12">
        <v>42216</v>
      </c>
      <c r="IT6">
        <v>9.1</v>
      </c>
      <c r="IU6" s="12">
        <v>40298</v>
      </c>
      <c r="IV6">
        <v>6.1397000000000004</v>
      </c>
      <c r="IW6" s="12">
        <v>40298</v>
      </c>
      <c r="IX6">
        <v>24.791</v>
      </c>
      <c r="IY6" s="12">
        <v>40298</v>
      </c>
      <c r="IZ6">
        <v>4.6950000000000003</v>
      </c>
      <c r="JA6" s="12">
        <v>42062</v>
      </c>
      <c r="JB6">
        <v>11.742000000000001</v>
      </c>
      <c r="JC6" s="12">
        <v>40298</v>
      </c>
      <c r="JD6">
        <v>5.9930000000000003</v>
      </c>
      <c r="JE6" s="12">
        <v>40298</v>
      </c>
      <c r="JF6">
        <v>291.61200000000002</v>
      </c>
      <c r="JG6" s="12">
        <v>42216</v>
      </c>
      <c r="JH6">
        <v>9.1</v>
      </c>
      <c r="JI6" s="12">
        <v>40298</v>
      </c>
      <c r="JJ6">
        <v>10.465</v>
      </c>
      <c r="JK6" s="12">
        <v>43189</v>
      </c>
      <c r="JL6">
        <v>17.861000000000001</v>
      </c>
      <c r="JM6" s="12">
        <v>40298</v>
      </c>
      <c r="JN6">
        <v>0.45400000000000001</v>
      </c>
      <c r="JO6" s="12">
        <v>40298</v>
      </c>
      <c r="JP6">
        <v>8.2270000000000003</v>
      </c>
      <c r="JQ6" s="12">
        <v>41698</v>
      </c>
      <c r="JR6">
        <v>16.971</v>
      </c>
      <c r="JS6" s="12">
        <v>40298</v>
      </c>
      <c r="JT6">
        <v>5.9269999999999996</v>
      </c>
      <c r="JU6" s="12">
        <v>41516</v>
      </c>
      <c r="JV6">
        <v>15.85</v>
      </c>
      <c r="JW6" s="12">
        <v>40298</v>
      </c>
      <c r="JX6">
        <v>4.4320000000000004</v>
      </c>
      <c r="JY6" s="12">
        <v>40298</v>
      </c>
      <c r="JZ6">
        <v>8.14</v>
      </c>
      <c r="KA6" s="12">
        <v>43189</v>
      </c>
      <c r="KB6">
        <v>32.840000000000003</v>
      </c>
      <c r="KC6" s="12">
        <v>40298</v>
      </c>
      <c r="KD6">
        <v>14.96</v>
      </c>
      <c r="KE6" s="12">
        <v>40298</v>
      </c>
      <c r="KF6">
        <v>5.0940000000000003</v>
      </c>
      <c r="KG6" s="12">
        <v>40298</v>
      </c>
      <c r="KH6">
        <v>0.123</v>
      </c>
      <c r="KI6" s="12">
        <v>40298</v>
      </c>
      <c r="KJ6">
        <v>6.1040000000000001</v>
      </c>
      <c r="KK6" s="12">
        <v>40298</v>
      </c>
      <c r="KL6">
        <v>4.3920000000000003</v>
      </c>
      <c r="KM6" s="12">
        <v>42916</v>
      </c>
      <c r="KN6">
        <v>7.0359999999999996</v>
      </c>
      <c r="KO6" s="12">
        <v>40298</v>
      </c>
      <c r="KP6">
        <v>219.95099999999999</v>
      </c>
      <c r="KQ6" s="12">
        <v>40298</v>
      </c>
      <c r="KR6">
        <v>276.81700000000001</v>
      </c>
      <c r="KS6" s="12">
        <v>40298</v>
      </c>
      <c r="KT6">
        <v>7.3150000000000004</v>
      </c>
      <c r="KU6" s="12">
        <v>40298</v>
      </c>
      <c r="KV6">
        <v>4.8559999999999999</v>
      </c>
      <c r="KW6" s="12">
        <v>40298</v>
      </c>
      <c r="KX6">
        <v>44.845999999999997</v>
      </c>
      <c r="KY6" s="12">
        <v>40298</v>
      </c>
      <c r="KZ6">
        <v>30.748000000000001</v>
      </c>
      <c r="LA6" s="12">
        <v>40298</v>
      </c>
      <c r="LB6">
        <v>25.462</v>
      </c>
      <c r="LC6" s="12">
        <v>40298</v>
      </c>
      <c r="LD6">
        <v>6.6020000000000003</v>
      </c>
      <c r="LE6" s="12">
        <v>40298</v>
      </c>
      <c r="LF6">
        <v>5.6970000000000001</v>
      </c>
      <c r="LG6" s="12">
        <v>40298</v>
      </c>
      <c r="LH6">
        <v>4.4180000000000001</v>
      </c>
      <c r="LI6" s="12">
        <v>40298</v>
      </c>
      <c r="LJ6">
        <v>7.9020000000000001</v>
      </c>
      <c r="LK6" s="12">
        <v>40298</v>
      </c>
      <c r="LL6">
        <v>19.518000000000001</v>
      </c>
      <c r="LM6" s="12">
        <v>40298</v>
      </c>
      <c r="LN6">
        <v>25.728000000000002</v>
      </c>
      <c r="LO6" s="12">
        <v>40298</v>
      </c>
      <c r="LP6">
        <v>25.687999999999999</v>
      </c>
      <c r="LQ6" s="12">
        <v>40298</v>
      </c>
      <c r="LR6">
        <v>35.113</v>
      </c>
      <c r="LS6" s="12">
        <v>40298</v>
      </c>
      <c r="LT6">
        <v>32.131</v>
      </c>
      <c r="LU6" s="12">
        <v>40298</v>
      </c>
      <c r="LV6">
        <v>42.073</v>
      </c>
      <c r="LW6" s="12">
        <v>40298</v>
      </c>
      <c r="LX6">
        <v>2293.8290000000002</v>
      </c>
      <c r="LY6" s="12">
        <v>40298</v>
      </c>
      <c r="LZ6">
        <v>16.164000000000001</v>
      </c>
      <c r="MA6" s="12">
        <v>40298</v>
      </c>
      <c r="MB6">
        <v>9.4830000000000005</v>
      </c>
      <c r="MC6" s="12">
        <v>41759</v>
      </c>
      <c r="MD6">
        <v>23.183</v>
      </c>
      <c r="ME6" s="12">
        <v>40298</v>
      </c>
      <c r="MF6">
        <v>2.9130000000000003</v>
      </c>
      <c r="MG6" s="12">
        <v>40298</v>
      </c>
      <c r="MH6">
        <v>4.1849999999999996</v>
      </c>
      <c r="MI6" s="12">
        <v>42307</v>
      </c>
      <c r="MJ6">
        <v>7.2830000000000004</v>
      </c>
      <c r="MK6" s="12">
        <v>40298</v>
      </c>
      <c r="ML6">
        <v>4.915</v>
      </c>
    </row>
    <row r="7" spans="1:350" x14ac:dyDescent="0.3">
      <c r="A7" s="12">
        <v>40329</v>
      </c>
      <c r="B7" s="1">
        <v>4.99</v>
      </c>
      <c r="C7" s="12">
        <v>40694</v>
      </c>
      <c r="D7" s="1">
        <v>11.183999999999999</v>
      </c>
      <c r="E7" s="12">
        <v>40329</v>
      </c>
      <c r="F7" s="13">
        <v>14.129</v>
      </c>
      <c r="G7" s="17">
        <v>40329</v>
      </c>
      <c r="H7" s="13">
        <v>2.8719999999999999</v>
      </c>
      <c r="I7" s="17">
        <v>40359</v>
      </c>
      <c r="J7">
        <v>9.8740000000000006</v>
      </c>
      <c r="K7" s="12">
        <v>41547</v>
      </c>
      <c r="L7">
        <v>11.42</v>
      </c>
      <c r="M7" s="12">
        <v>40329</v>
      </c>
      <c r="N7" s="12">
        <v>25.928000000000001</v>
      </c>
      <c r="O7" s="12">
        <v>40329</v>
      </c>
      <c r="P7">
        <v>13.568999999999999</v>
      </c>
      <c r="Q7" s="12">
        <v>41729</v>
      </c>
      <c r="R7">
        <v>20.042000000000002</v>
      </c>
      <c r="S7" s="12">
        <v>40329</v>
      </c>
      <c r="T7">
        <v>6.9030000000000005</v>
      </c>
      <c r="U7" s="12">
        <v>40753</v>
      </c>
      <c r="V7">
        <v>17.521999999999998</v>
      </c>
      <c r="W7" s="12">
        <v>43007</v>
      </c>
      <c r="X7">
        <v>29.2</v>
      </c>
      <c r="Y7" s="12">
        <v>40329</v>
      </c>
      <c r="Z7">
        <v>8.1950000000000003</v>
      </c>
      <c r="AA7" s="12">
        <v>40329</v>
      </c>
      <c r="AB7">
        <v>14.019</v>
      </c>
      <c r="AC7" s="12">
        <v>40329</v>
      </c>
      <c r="AD7">
        <v>6.5330000000000004</v>
      </c>
      <c r="AE7" s="12">
        <v>40329</v>
      </c>
      <c r="AF7">
        <v>7.9219999999999997</v>
      </c>
      <c r="AG7" s="12">
        <v>40329</v>
      </c>
      <c r="AH7">
        <v>39.857999999999997</v>
      </c>
      <c r="AI7" s="12">
        <v>41547</v>
      </c>
      <c r="AJ7">
        <v>13.614000000000001</v>
      </c>
      <c r="AK7" s="12">
        <v>40329</v>
      </c>
      <c r="AL7">
        <v>6.0279999999999996</v>
      </c>
      <c r="AM7" s="12">
        <v>43769</v>
      </c>
      <c r="AN7">
        <v>51.624000000000002</v>
      </c>
      <c r="AO7" s="12">
        <v>40329</v>
      </c>
      <c r="AP7">
        <v>6.782</v>
      </c>
      <c r="AQ7" s="12">
        <v>42947</v>
      </c>
      <c r="AR7">
        <v>13.548999999999999</v>
      </c>
      <c r="AS7" s="12">
        <v>40329</v>
      </c>
      <c r="AT7">
        <v>7.875</v>
      </c>
      <c r="AU7" s="12">
        <v>40329</v>
      </c>
      <c r="AV7">
        <v>21.957000000000001</v>
      </c>
      <c r="AW7" s="12">
        <v>43251</v>
      </c>
      <c r="AX7">
        <v>15.932</v>
      </c>
      <c r="AY7" s="12">
        <v>40329</v>
      </c>
      <c r="AZ7">
        <v>20.812999999999999</v>
      </c>
      <c r="BA7" s="12">
        <v>40329</v>
      </c>
      <c r="BB7">
        <v>7.4279999999999999</v>
      </c>
      <c r="BC7" s="12">
        <v>40329</v>
      </c>
      <c r="BD7">
        <v>6.55</v>
      </c>
      <c r="BE7" s="12">
        <v>40421</v>
      </c>
      <c r="BF7">
        <v>7.17</v>
      </c>
      <c r="BG7" s="12">
        <v>40329</v>
      </c>
      <c r="BH7">
        <v>6.6929999999999996</v>
      </c>
      <c r="BI7" s="12">
        <v>40329</v>
      </c>
      <c r="BJ7">
        <v>26.22</v>
      </c>
      <c r="BK7" s="12">
        <v>40329</v>
      </c>
      <c r="BL7">
        <v>5.8849999999999998</v>
      </c>
      <c r="BM7" s="12">
        <v>40329</v>
      </c>
      <c r="BN7">
        <v>11.430999999999999</v>
      </c>
      <c r="BO7" s="12">
        <v>40329</v>
      </c>
      <c r="BP7">
        <v>4.9160000000000004</v>
      </c>
      <c r="BQ7" s="12">
        <v>40329</v>
      </c>
      <c r="BR7">
        <v>3.931</v>
      </c>
      <c r="BS7" s="12">
        <v>40329</v>
      </c>
      <c r="BT7">
        <v>5.4169999999999998</v>
      </c>
      <c r="BU7" s="12">
        <v>40329</v>
      </c>
      <c r="BV7">
        <v>3.915</v>
      </c>
      <c r="BW7" s="12">
        <v>40329</v>
      </c>
      <c r="BX7">
        <v>1.569</v>
      </c>
      <c r="BY7" s="12">
        <v>40329</v>
      </c>
      <c r="BZ7">
        <v>12.96</v>
      </c>
      <c r="CA7" s="12">
        <v>40329</v>
      </c>
      <c r="CB7">
        <v>20.957000000000001</v>
      </c>
      <c r="CC7" s="12">
        <v>43098</v>
      </c>
      <c r="CD7">
        <v>14.717000000000001</v>
      </c>
      <c r="CE7" s="12">
        <v>40329</v>
      </c>
      <c r="CF7">
        <v>10.335000000000001</v>
      </c>
      <c r="CG7" s="12">
        <v>40329</v>
      </c>
      <c r="CH7">
        <v>14.134</v>
      </c>
      <c r="CI7" s="12">
        <v>40329</v>
      </c>
      <c r="CJ7">
        <v>15.718</v>
      </c>
      <c r="CK7" s="12">
        <v>40329</v>
      </c>
      <c r="CL7">
        <v>18.797000000000001</v>
      </c>
      <c r="CM7" s="12">
        <v>40329</v>
      </c>
      <c r="CN7">
        <v>12.113</v>
      </c>
      <c r="CO7" s="12">
        <v>41789</v>
      </c>
      <c r="CP7">
        <v>12.537000000000001</v>
      </c>
      <c r="CQ7" s="12">
        <v>40329</v>
      </c>
      <c r="CR7">
        <v>14.407999999999999</v>
      </c>
      <c r="CS7" s="12">
        <v>40329</v>
      </c>
      <c r="CT7">
        <v>14.256</v>
      </c>
      <c r="CU7" s="12">
        <v>40329</v>
      </c>
      <c r="CV7">
        <v>6.6449999999999996</v>
      </c>
      <c r="CW7" s="12">
        <v>40329</v>
      </c>
      <c r="CX7">
        <v>7.9770000000000003</v>
      </c>
      <c r="CY7" s="12">
        <v>40421</v>
      </c>
      <c r="CZ7">
        <v>7.125</v>
      </c>
      <c r="DA7" s="12">
        <v>40329</v>
      </c>
      <c r="DB7">
        <v>9.1859999999999999</v>
      </c>
      <c r="DC7" s="12">
        <v>40329</v>
      </c>
      <c r="DD7">
        <v>16.946000000000002</v>
      </c>
      <c r="DE7" s="12">
        <v>40329</v>
      </c>
      <c r="DF7">
        <v>14.25</v>
      </c>
      <c r="DG7" s="12">
        <v>40329</v>
      </c>
      <c r="DH7">
        <v>31.1</v>
      </c>
      <c r="DI7" s="12">
        <v>40329</v>
      </c>
      <c r="DJ7">
        <v>17.664000000000001</v>
      </c>
      <c r="DK7" s="12">
        <v>40329</v>
      </c>
      <c r="DL7">
        <v>8.5920000000000005</v>
      </c>
      <c r="DM7" s="12">
        <v>40753</v>
      </c>
      <c r="DN7">
        <v>10.866</v>
      </c>
      <c r="DO7" s="12">
        <v>40329</v>
      </c>
      <c r="DP7">
        <v>6.5389999999999997</v>
      </c>
      <c r="DQ7" s="12">
        <v>40329</v>
      </c>
      <c r="DR7">
        <v>299.49599999999998</v>
      </c>
      <c r="DS7" s="12">
        <v>40329</v>
      </c>
      <c r="DT7">
        <v>5.9870000000000001</v>
      </c>
      <c r="DU7" s="12">
        <v>40329</v>
      </c>
      <c r="DV7">
        <v>1.339</v>
      </c>
      <c r="DW7" s="12">
        <v>40329</v>
      </c>
      <c r="DX7">
        <v>5.1289999999999996</v>
      </c>
      <c r="DY7" s="12">
        <v>40329</v>
      </c>
      <c r="DZ7">
        <v>3.7800000000000002</v>
      </c>
      <c r="EA7" s="12">
        <v>40329</v>
      </c>
      <c r="EB7">
        <v>15.432</v>
      </c>
      <c r="EC7" s="12">
        <v>40329</v>
      </c>
      <c r="ED7">
        <v>23.832000000000001</v>
      </c>
      <c r="EE7" s="12">
        <v>40329</v>
      </c>
      <c r="EF7">
        <v>6.3150000000000004</v>
      </c>
      <c r="EG7" s="12">
        <v>40329</v>
      </c>
      <c r="EH7">
        <v>11.234999999999999</v>
      </c>
      <c r="EI7" s="12">
        <v>40329</v>
      </c>
      <c r="EJ7">
        <v>75.528000000000006</v>
      </c>
      <c r="EK7" s="12">
        <v>40329</v>
      </c>
      <c r="EL7">
        <v>15.028</v>
      </c>
      <c r="EM7" s="12">
        <v>40329</v>
      </c>
      <c r="EN7">
        <v>21.128</v>
      </c>
      <c r="EO7" s="12">
        <v>43371</v>
      </c>
      <c r="EP7">
        <v>26.158000000000001</v>
      </c>
      <c r="EQ7" s="12">
        <v>40329</v>
      </c>
      <c r="ER7">
        <v>26.631</v>
      </c>
      <c r="ES7" s="12">
        <v>40329</v>
      </c>
      <c r="ET7">
        <v>20.120999999999999</v>
      </c>
      <c r="EU7" s="12">
        <v>40329</v>
      </c>
      <c r="EV7">
        <v>1.45</v>
      </c>
      <c r="EW7" s="12">
        <v>43371</v>
      </c>
      <c r="EX7">
        <v>23.588000000000001</v>
      </c>
      <c r="EY7" s="12">
        <v>40329</v>
      </c>
      <c r="EZ7">
        <v>9.2110000000000003</v>
      </c>
      <c r="FA7" s="12">
        <v>40329</v>
      </c>
      <c r="FB7">
        <v>20.053999999999998</v>
      </c>
      <c r="FC7" s="12">
        <v>40329</v>
      </c>
      <c r="FD7">
        <v>12.756</v>
      </c>
      <c r="FE7" s="12">
        <v>43098</v>
      </c>
      <c r="FF7">
        <v>10.462999999999999</v>
      </c>
      <c r="FG7" s="12">
        <v>40329</v>
      </c>
      <c r="FH7">
        <v>3.484</v>
      </c>
      <c r="FI7" s="12">
        <v>40329</v>
      </c>
      <c r="FJ7">
        <v>7.4050000000000002</v>
      </c>
      <c r="FK7" s="12">
        <v>40329</v>
      </c>
      <c r="FL7">
        <v>9.9109999999999996</v>
      </c>
      <c r="FM7" s="12">
        <v>40329</v>
      </c>
      <c r="FN7">
        <v>6.5060000000000002</v>
      </c>
      <c r="FO7" s="12">
        <v>40329</v>
      </c>
      <c r="FP7">
        <v>14.010999999999999</v>
      </c>
      <c r="FQ7" s="12">
        <v>41820</v>
      </c>
      <c r="FR7">
        <v>8.9640000000000004</v>
      </c>
      <c r="FS7" s="12">
        <v>40329</v>
      </c>
      <c r="FT7">
        <v>0.64600000000000002</v>
      </c>
      <c r="FU7" s="12">
        <v>40329</v>
      </c>
      <c r="FV7">
        <v>4.4509999999999996</v>
      </c>
      <c r="FW7" s="12">
        <v>40329</v>
      </c>
      <c r="FX7">
        <v>5.9559999999999995</v>
      </c>
      <c r="FY7" s="12">
        <v>41180</v>
      </c>
      <c r="FZ7">
        <v>1.9649999999999999</v>
      </c>
      <c r="GA7" s="12">
        <v>40329</v>
      </c>
      <c r="GB7">
        <v>4.4489999999999998</v>
      </c>
      <c r="GC7" s="12">
        <v>40329</v>
      </c>
      <c r="GD7">
        <v>12.613</v>
      </c>
      <c r="GE7" s="12">
        <v>41486</v>
      </c>
      <c r="GF7">
        <v>11.635999999999999</v>
      </c>
      <c r="GG7" s="12">
        <v>43616</v>
      </c>
      <c r="GH7">
        <v>18.850000000000001</v>
      </c>
      <c r="GI7" s="12">
        <v>40329</v>
      </c>
      <c r="GJ7">
        <v>5.8149999999999995</v>
      </c>
      <c r="GK7" s="12">
        <v>40329</v>
      </c>
      <c r="GL7">
        <v>49.518999999999998</v>
      </c>
      <c r="GM7" s="12">
        <v>40329</v>
      </c>
      <c r="GN7">
        <v>10.600999999999999</v>
      </c>
      <c r="GO7" s="12">
        <v>40816</v>
      </c>
      <c r="GP7">
        <v>1.3559999999999999</v>
      </c>
      <c r="GQ7" s="12">
        <v>40451</v>
      </c>
      <c r="GR7">
        <v>15.933999999999999</v>
      </c>
      <c r="GS7" s="12">
        <v>40329</v>
      </c>
      <c r="GT7">
        <v>1647.0029999999999</v>
      </c>
      <c r="GU7" s="12">
        <v>42947</v>
      </c>
      <c r="GV7">
        <v>9.2170000000000005</v>
      </c>
      <c r="GW7" s="12">
        <v>40389</v>
      </c>
      <c r="GX7">
        <v>11.114000000000001</v>
      </c>
      <c r="GY7" s="12">
        <v>40329</v>
      </c>
      <c r="GZ7">
        <v>16.954000000000001</v>
      </c>
      <c r="HA7" s="12">
        <v>40329</v>
      </c>
      <c r="HB7">
        <v>7.1589999999999998</v>
      </c>
      <c r="HC7" s="12">
        <v>40329</v>
      </c>
      <c r="HD7">
        <v>9.3309999999999995</v>
      </c>
      <c r="HE7" s="12">
        <v>40329</v>
      </c>
      <c r="HF7">
        <v>12.03</v>
      </c>
      <c r="HG7" s="12">
        <v>40329</v>
      </c>
      <c r="HH7">
        <v>13.981</v>
      </c>
      <c r="HI7" s="12">
        <v>40329</v>
      </c>
      <c r="HJ7">
        <v>3.339</v>
      </c>
      <c r="HK7" s="12">
        <v>40329</v>
      </c>
      <c r="HL7">
        <v>1621</v>
      </c>
      <c r="HM7" s="12">
        <v>40329</v>
      </c>
      <c r="HN7">
        <v>67.522000000000006</v>
      </c>
      <c r="HO7" s="12">
        <v>40329</v>
      </c>
      <c r="HP7">
        <v>47.933999999999997</v>
      </c>
      <c r="HQ7" s="12">
        <v>40421</v>
      </c>
      <c r="HR7">
        <v>1948</v>
      </c>
      <c r="HS7" s="12">
        <v>40329</v>
      </c>
      <c r="HT7">
        <v>53.545000000000002</v>
      </c>
      <c r="HU7" s="12">
        <v>40329</v>
      </c>
      <c r="HV7">
        <v>3315.0320000000002</v>
      </c>
      <c r="HW7" s="12">
        <v>40329</v>
      </c>
      <c r="HX7">
        <v>29.359000000000002</v>
      </c>
      <c r="HY7" s="12">
        <v>40329</v>
      </c>
      <c r="HZ7">
        <v>22.907</v>
      </c>
      <c r="IA7" s="12">
        <v>40329</v>
      </c>
      <c r="IB7">
        <v>80.415999999999997</v>
      </c>
      <c r="IC7" s="12">
        <v>40329</v>
      </c>
      <c r="ID7">
        <v>1.5169999999999999</v>
      </c>
      <c r="IE7" s="12">
        <v>40329</v>
      </c>
      <c r="IF7">
        <v>14.914999999999999</v>
      </c>
      <c r="IG7" s="12">
        <v>40633</v>
      </c>
      <c r="IH7">
        <v>170.1</v>
      </c>
      <c r="II7" s="12">
        <v>40329</v>
      </c>
      <c r="IJ7">
        <v>35.415999999999997</v>
      </c>
      <c r="IK7" s="12">
        <v>40694</v>
      </c>
      <c r="IL7">
        <v>3.4</v>
      </c>
      <c r="IM7" s="12">
        <v>40329</v>
      </c>
      <c r="IN7">
        <v>11.012</v>
      </c>
      <c r="IO7" s="12">
        <v>40877</v>
      </c>
      <c r="IP7">
        <v>9.4879999999999995</v>
      </c>
      <c r="IQ7" s="12">
        <v>40329</v>
      </c>
      <c r="IR7">
        <v>8.9239999999999995</v>
      </c>
      <c r="IS7" s="12">
        <v>42247</v>
      </c>
      <c r="IT7">
        <v>7.88</v>
      </c>
      <c r="IU7" s="12">
        <v>40329</v>
      </c>
      <c r="IV7">
        <v>6.0887000000000002</v>
      </c>
      <c r="IW7" s="12">
        <v>40329</v>
      </c>
      <c r="IX7">
        <v>23.754000000000001</v>
      </c>
      <c r="IY7" s="12">
        <v>40329</v>
      </c>
      <c r="IZ7">
        <v>4.6059999999999999</v>
      </c>
      <c r="JA7" s="12">
        <v>42094</v>
      </c>
      <c r="JB7">
        <v>9.5289999999999999</v>
      </c>
      <c r="JC7" s="12">
        <v>40329</v>
      </c>
      <c r="JD7">
        <v>4.8970000000000002</v>
      </c>
      <c r="JE7" s="12">
        <v>40329</v>
      </c>
      <c r="JF7">
        <v>300.70600000000002</v>
      </c>
      <c r="JG7" s="12">
        <v>42247</v>
      </c>
      <c r="JH7">
        <v>7.88</v>
      </c>
      <c r="JI7" s="12">
        <v>40329</v>
      </c>
      <c r="JJ7">
        <v>10.048</v>
      </c>
      <c r="JK7" s="12">
        <v>43220</v>
      </c>
      <c r="JL7">
        <v>17.582999999999998</v>
      </c>
      <c r="JM7" s="12">
        <v>40329</v>
      </c>
      <c r="JN7">
        <v>0.40699999999999997</v>
      </c>
      <c r="JO7" s="12">
        <v>40329</v>
      </c>
      <c r="JP7">
        <v>8.6259999999999994</v>
      </c>
      <c r="JQ7" s="12">
        <v>41729</v>
      </c>
      <c r="JR7">
        <v>16.474</v>
      </c>
      <c r="JS7" s="12">
        <v>40329</v>
      </c>
      <c r="JT7">
        <v>5.01</v>
      </c>
      <c r="JU7" s="12">
        <v>41547</v>
      </c>
      <c r="JV7">
        <v>16.64</v>
      </c>
      <c r="JW7" s="12">
        <v>40329</v>
      </c>
      <c r="JX7">
        <v>4.149</v>
      </c>
      <c r="JY7" s="12">
        <v>40329</v>
      </c>
      <c r="JZ7">
        <v>8.0009999999999994</v>
      </c>
      <c r="KA7" s="12">
        <v>43220</v>
      </c>
      <c r="KB7">
        <v>40.615000000000002</v>
      </c>
      <c r="KC7" s="12">
        <v>40329</v>
      </c>
      <c r="KD7">
        <v>13.503</v>
      </c>
      <c r="KE7" s="12">
        <v>40329</v>
      </c>
      <c r="KF7">
        <v>3.7450000000000001</v>
      </c>
      <c r="KG7" s="12">
        <v>40329</v>
      </c>
      <c r="KH7">
        <v>0.10199999999999999</v>
      </c>
      <c r="KI7" s="12">
        <v>40329</v>
      </c>
      <c r="KJ7">
        <v>5.32</v>
      </c>
      <c r="KK7" s="12">
        <v>40329</v>
      </c>
      <c r="KL7">
        <v>4.7910000000000004</v>
      </c>
      <c r="KM7" s="12">
        <v>42947</v>
      </c>
      <c r="KN7">
        <v>7.5149999999999997</v>
      </c>
      <c r="KO7" s="12">
        <v>40329</v>
      </c>
      <c r="KP7">
        <v>188</v>
      </c>
      <c r="KQ7" s="12">
        <v>40329</v>
      </c>
      <c r="KR7">
        <v>199.79</v>
      </c>
      <c r="KS7" s="12">
        <v>40329</v>
      </c>
      <c r="KT7">
        <v>7.7309999999999999</v>
      </c>
      <c r="KU7" s="12">
        <v>40329</v>
      </c>
      <c r="KV7">
        <v>5.5809999999999995</v>
      </c>
      <c r="KW7" s="12">
        <v>40329</v>
      </c>
      <c r="KX7">
        <v>50.054000000000002</v>
      </c>
      <c r="KY7" s="12">
        <v>40329</v>
      </c>
      <c r="KZ7">
        <v>35.158000000000001</v>
      </c>
      <c r="LA7" s="12">
        <v>40329</v>
      </c>
      <c r="LB7">
        <v>28.887</v>
      </c>
      <c r="LC7" s="12">
        <v>40329</v>
      </c>
      <c r="LD7">
        <v>7.1710000000000003</v>
      </c>
      <c r="LE7" s="12">
        <v>40329</v>
      </c>
      <c r="LF7">
        <v>5.6059999999999999</v>
      </c>
      <c r="LG7" s="12">
        <v>40329</v>
      </c>
      <c r="LH7">
        <v>4.6459999999999999</v>
      </c>
      <c r="LI7" s="12">
        <v>40329</v>
      </c>
      <c r="LJ7">
        <v>7.8810000000000002</v>
      </c>
      <c r="LK7" s="12">
        <v>40329</v>
      </c>
      <c r="LL7">
        <v>19.468</v>
      </c>
      <c r="LM7" s="12">
        <v>40329</v>
      </c>
      <c r="LN7">
        <v>21.196000000000002</v>
      </c>
      <c r="LO7" s="12">
        <v>40329</v>
      </c>
      <c r="LP7">
        <v>21.013000000000002</v>
      </c>
      <c r="LQ7" s="12">
        <v>40329</v>
      </c>
      <c r="LR7">
        <v>33.064</v>
      </c>
      <c r="LS7" s="12">
        <v>40329</v>
      </c>
      <c r="LT7">
        <v>29.611000000000001</v>
      </c>
      <c r="LU7" s="12">
        <v>40329</v>
      </c>
      <c r="LV7">
        <v>45.506999999999998</v>
      </c>
      <c r="LW7" s="12">
        <v>40329</v>
      </c>
      <c r="LX7">
        <v>2269.5120000000002</v>
      </c>
      <c r="LY7" s="12">
        <v>40329</v>
      </c>
      <c r="LZ7">
        <v>16.587</v>
      </c>
      <c r="MA7" s="12">
        <v>40329</v>
      </c>
      <c r="MB7">
        <v>8.5429999999999993</v>
      </c>
      <c r="MC7" s="12">
        <v>41789</v>
      </c>
      <c r="MD7">
        <v>23.009</v>
      </c>
      <c r="ME7" s="12">
        <v>40329</v>
      </c>
      <c r="MF7">
        <v>3.0049999999999999</v>
      </c>
      <c r="MG7" s="12">
        <v>40329</v>
      </c>
      <c r="MH7">
        <v>4.008</v>
      </c>
      <c r="MI7" s="12">
        <v>42338</v>
      </c>
      <c r="MJ7">
        <v>7.3330000000000002</v>
      </c>
      <c r="MK7" s="12">
        <v>40329</v>
      </c>
      <c r="ML7">
        <v>4.7670000000000003</v>
      </c>
    </row>
    <row r="8" spans="1:350" x14ac:dyDescent="0.3">
      <c r="A8" s="12">
        <v>40359</v>
      </c>
      <c r="B8" s="1">
        <v>5.1760000000000002</v>
      </c>
      <c r="C8" s="12">
        <v>40724</v>
      </c>
      <c r="D8" s="1">
        <v>10.992000000000001</v>
      </c>
      <c r="E8" s="12">
        <v>40359</v>
      </c>
      <c r="F8" s="13">
        <v>13.847</v>
      </c>
      <c r="G8" s="17">
        <v>40359</v>
      </c>
      <c r="H8" s="13">
        <v>3.4249999999999998</v>
      </c>
      <c r="I8" s="17">
        <v>40389</v>
      </c>
      <c r="J8">
        <v>10.526</v>
      </c>
      <c r="K8" s="12">
        <v>41578</v>
      </c>
      <c r="L8">
        <v>11.028</v>
      </c>
      <c r="M8" s="12">
        <v>40359</v>
      </c>
      <c r="N8" s="12">
        <v>27.46</v>
      </c>
      <c r="O8" s="12">
        <v>40359</v>
      </c>
      <c r="P8">
        <v>14.457000000000001</v>
      </c>
      <c r="Q8" s="12">
        <v>41759</v>
      </c>
      <c r="R8">
        <v>23.454999999999998</v>
      </c>
      <c r="S8" s="12">
        <v>40359</v>
      </c>
      <c r="T8">
        <v>7.2309999999999999</v>
      </c>
      <c r="U8" s="12">
        <v>40786</v>
      </c>
      <c r="V8">
        <v>17.356000000000002</v>
      </c>
      <c r="W8" s="12">
        <v>43039</v>
      </c>
      <c r="X8">
        <v>27.4</v>
      </c>
      <c r="Y8" s="12">
        <v>40359</v>
      </c>
      <c r="Z8">
        <v>7.8369999999999997</v>
      </c>
      <c r="AA8" s="12">
        <v>40359</v>
      </c>
      <c r="AB8">
        <v>13.301</v>
      </c>
      <c r="AC8" s="12">
        <v>40359</v>
      </c>
      <c r="AD8">
        <v>6.226</v>
      </c>
      <c r="AE8" s="12">
        <v>40359</v>
      </c>
      <c r="AF8">
        <v>7.3710000000000004</v>
      </c>
      <c r="AG8" s="12">
        <v>40359</v>
      </c>
      <c r="AH8">
        <v>39.317999999999998</v>
      </c>
      <c r="AI8" s="12">
        <v>41578</v>
      </c>
      <c r="AJ8">
        <v>15.274000000000001</v>
      </c>
      <c r="AK8" s="12">
        <v>40359</v>
      </c>
      <c r="AL8">
        <v>6.3129999999999997</v>
      </c>
      <c r="AM8" s="12">
        <v>43798</v>
      </c>
      <c r="AN8">
        <v>44.847000000000001</v>
      </c>
      <c r="AO8" s="12">
        <v>40359</v>
      </c>
      <c r="AP8">
        <v>6.7649999999999997</v>
      </c>
      <c r="AQ8" s="12">
        <v>42978</v>
      </c>
      <c r="AR8">
        <v>14.566000000000001</v>
      </c>
      <c r="AS8" s="12">
        <v>40359</v>
      </c>
      <c r="AT8">
        <v>7.8659999999999997</v>
      </c>
      <c r="AU8" s="12">
        <v>40359</v>
      </c>
      <c r="AV8">
        <v>19.459</v>
      </c>
      <c r="AW8" s="12">
        <v>43280</v>
      </c>
      <c r="AX8">
        <v>16.010000000000002</v>
      </c>
      <c r="AY8" s="12">
        <v>40359</v>
      </c>
      <c r="AZ8">
        <v>21.221</v>
      </c>
      <c r="BA8" s="12">
        <v>40359</v>
      </c>
      <c r="BB8">
        <v>8.6259999999999994</v>
      </c>
      <c r="BC8" s="12">
        <v>40359</v>
      </c>
      <c r="BD8">
        <v>6.6340000000000003</v>
      </c>
      <c r="BE8" s="12">
        <v>40451</v>
      </c>
      <c r="BF8">
        <v>8.266</v>
      </c>
      <c r="BG8" s="12">
        <v>40359</v>
      </c>
      <c r="BH8">
        <v>6.8520000000000003</v>
      </c>
      <c r="BI8" s="12">
        <v>40359</v>
      </c>
      <c r="BJ8">
        <v>25.774000000000001</v>
      </c>
      <c r="BK8" s="12">
        <v>40359</v>
      </c>
      <c r="BL8">
        <v>5.9210000000000003</v>
      </c>
      <c r="BM8" s="12">
        <v>40359</v>
      </c>
      <c r="BN8">
        <v>12.834</v>
      </c>
      <c r="BO8" s="12">
        <v>40359</v>
      </c>
      <c r="BP8">
        <v>4.8520000000000003</v>
      </c>
      <c r="BQ8" s="12">
        <v>40359</v>
      </c>
      <c r="BR8">
        <v>3.903</v>
      </c>
      <c r="BS8" s="12">
        <v>40359</v>
      </c>
      <c r="BT8">
        <v>5.4530000000000003</v>
      </c>
      <c r="BU8" s="12">
        <v>40359</v>
      </c>
      <c r="BV8">
        <v>4.55</v>
      </c>
      <c r="BW8" s="12">
        <v>40359</v>
      </c>
      <c r="BX8">
        <v>1.4060000000000001</v>
      </c>
      <c r="BY8" s="12">
        <v>40359</v>
      </c>
      <c r="BZ8">
        <v>13.898</v>
      </c>
      <c r="CA8" s="12">
        <v>40359</v>
      </c>
      <c r="CB8">
        <v>23.202000000000002</v>
      </c>
      <c r="CC8" s="12">
        <v>43131</v>
      </c>
      <c r="CD8">
        <v>15.537000000000001</v>
      </c>
      <c r="CE8" s="12">
        <v>40359</v>
      </c>
      <c r="CF8">
        <v>10.582000000000001</v>
      </c>
      <c r="CG8" s="12">
        <v>40359</v>
      </c>
      <c r="CH8">
        <v>15.381</v>
      </c>
      <c r="CI8" s="12">
        <v>40359</v>
      </c>
      <c r="CJ8">
        <v>16.305</v>
      </c>
      <c r="CK8" s="12">
        <v>40359</v>
      </c>
      <c r="CL8">
        <v>17.719000000000001</v>
      </c>
      <c r="CM8" s="12">
        <v>40359</v>
      </c>
      <c r="CN8">
        <v>11.515000000000001</v>
      </c>
      <c r="CO8" s="12">
        <v>41820</v>
      </c>
      <c r="CP8">
        <v>11.774000000000001</v>
      </c>
      <c r="CQ8" s="12">
        <v>40359</v>
      </c>
      <c r="CR8">
        <v>14.233000000000001</v>
      </c>
      <c r="CS8" s="12">
        <v>40359</v>
      </c>
      <c r="CT8">
        <v>16.146999999999998</v>
      </c>
      <c r="CU8" s="12">
        <v>40359</v>
      </c>
      <c r="CV8">
        <v>6.8239999999999998</v>
      </c>
      <c r="CW8" s="12">
        <v>40359</v>
      </c>
      <c r="CX8">
        <v>8.3859999999999992</v>
      </c>
      <c r="CY8" s="12">
        <v>40451</v>
      </c>
      <c r="CZ8">
        <v>7.2539999999999996</v>
      </c>
      <c r="DA8" s="12">
        <v>40359</v>
      </c>
      <c r="DB8">
        <v>9.43</v>
      </c>
      <c r="DC8" s="12">
        <v>40359</v>
      </c>
      <c r="DD8">
        <v>17.850999999999999</v>
      </c>
      <c r="DE8" s="12">
        <v>40359</v>
      </c>
      <c r="DF8">
        <v>15.326000000000001</v>
      </c>
      <c r="DG8" s="12">
        <v>40389</v>
      </c>
      <c r="DH8">
        <v>34.86</v>
      </c>
      <c r="DI8" s="12">
        <v>40359</v>
      </c>
      <c r="DJ8">
        <v>20.623000000000001</v>
      </c>
      <c r="DK8" s="12">
        <v>40359</v>
      </c>
      <c r="DL8">
        <v>8.218</v>
      </c>
      <c r="DM8" s="12">
        <v>40786</v>
      </c>
      <c r="DN8">
        <v>9.7919999999999998</v>
      </c>
      <c r="DO8" s="12">
        <v>40359</v>
      </c>
      <c r="DP8">
        <v>7.0090000000000003</v>
      </c>
      <c r="DQ8" s="12">
        <v>40359</v>
      </c>
      <c r="DR8">
        <v>278.30500000000001</v>
      </c>
      <c r="DS8" s="12">
        <v>40359</v>
      </c>
      <c r="DT8">
        <v>5.9509999999999996</v>
      </c>
      <c r="DU8" s="12">
        <v>40359</v>
      </c>
      <c r="DV8">
        <v>1.4219999999999999</v>
      </c>
      <c r="DW8" s="12">
        <v>40359</v>
      </c>
      <c r="DX8">
        <v>5.2140000000000004</v>
      </c>
      <c r="DY8" s="12">
        <v>40359</v>
      </c>
      <c r="DZ8">
        <v>3.923</v>
      </c>
      <c r="EA8" s="12">
        <v>40359</v>
      </c>
      <c r="EB8">
        <v>13.406000000000001</v>
      </c>
      <c r="EC8" s="12">
        <v>40359</v>
      </c>
      <c r="ED8">
        <v>21.521999999999998</v>
      </c>
      <c r="EE8" s="12">
        <v>40359</v>
      </c>
      <c r="EF8">
        <v>7.0919999999999996</v>
      </c>
      <c r="EG8" s="12">
        <v>40359</v>
      </c>
      <c r="EH8">
        <v>11.962</v>
      </c>
      <c r="EI8" s="12">
        <v>40359</v>
      </c>
      <c r="EJ8">
        <v>74.155000000000001</v>
      </c>
      <c r="EK8" s="12">
        <v>40359</v>
      </c>
      <c r="EL8">
        <v>14.141</v>
      </c>
      <c r="EM8" s="12">
        <v>40359</v>
      </c>
      <c r="EN8">
        <v>19.936</v>
      </c>
      <c r="EO8" s="12">
        <v>43404</v>
      </c>
      <c r="EP8">
        <v>23.936</v>
      </c>
      <c r="EQ8" s="12">
        <v>40359</v>
      </c>
      <c r="ER8">
        <v>24.515999999999998</v>
      </c>
      <c r="ES8" s="12">
        <v>40359</v>
      </c>
      <c r="ET8">
        <v>21.192</v>
      </c>
      <c r="EU8" s="12">
        <v>40359</v>
      </c>
      <c r="EV8">
        <v>1.5190000000000001</v>
      </c>
      <c r="EW8" s="12">
        <v>43404</v>
      </c>
      <c r="EX8">
        <v>25.042999999999999</v>
      </c>
      <c r="EY8" s="12">
        <v>40359</v>
      </c>
      <c r="EZ8">
        <v>10.507</v>
      </c>
      <c r="FA8" s="12">
        <v>40359</v>
      </c>
      <c r="FB8">
        <v>18.896000000000001</v>
      </c>
      <c r="FC8" s="12">
        <v>40359</v>
      </c>
      <c r="FD8">
        <v>13.492000000000001</v>
      </c>
      <c r="FE8" s="12">
        <v>43131</v>
      </c>
      <c r="FF8">
        <v>11.555</v>
      </c>
      <c r="FG8" s="12">
        <v>40359</v>
      </c>
      <c r="FH8">
        <v>3.351</v>
      </c>
      <c r="FI8" s="12">
        <v>40359</v>
      </c>
      <c r="FJ8">
        <v>6.9530000000000003</v>
      </c>
      <c r="FK8" s="12">
        <v>40359</v>
      </c>
      <c r="FL8">
        <v>9.2859999999999996</v>
      </c>
      <c r="FM8" s="12">
        <v>40359</v>
      </c>
      <c r="FN8">
        <v>6.8559999999999999</v>
      </c>
      <c r="FO8" s="12">
        <v>40359</v>
      </c>
      <c r="FP8">
        <v>14.435</v>
      </c>
      <c r="FQ8" s="12">
        <v>41851</v>
      </c>
      <c r="FR8">
        <v>9.1660000000000004</v>
      </c>
      <c r="FS8" s="12">
        <v>40359</v>
      </c>
      <c r="FT8">
        <v>0.64800000000000002</v>
      </c>
      <c r="FU8" s="12">
        <v>40359</v>
      </c>
      <c r="FV8">
        <v>4.7830000000000004</v>
      </c>
      <c r="FW8" s="12">
        <v>40359</v>
      </c>
      <c r="FX8">
        <v>6.2830000000000004</v>
      </c>
      <c r="FY8" s="12">
        <v>41213</v>
      </c>
      <c r="FZ8">
        <v>2.5329999999999999</v>
      </c>
      <c r="GA8" s="12">
        <v>40359</v>
      </c>
      <c r="GB8">
        <v>4.8410000000000002</v>
      </c>
      <c r="GC8" s="12">
        <v>40359</v>
      </c>
      <c r="GD8">
        <v>12.933</v>
      </c>
      <c r="GE8" s="12">
        <v>41516</v>
      </c>
      <c r="GF8">
        <v>11.946999999999999</v>
      </c>
      <c r="GG8" s="12">
        <v>43644</v>
      </c>
      <c r="GH8">
        <v>19.93</v>
      </c>
      <c r="GI8" s="12">
        <v>40359</v>
      </c>
      <c r="GJ8">
        <v>6.5510000000000002</v>
      </c>
      <c r="GK8" s="12">
        <v>40359</v>
      </c>
      <c r="GL8">
        <v>46.396999999999998</v>
      </c>
      <c r="GM8" s="12">
        <v>40359</v>
      </c>
      <c r="GN8">
        <v>11.406000000000001</v>
      </c>
      <c r="GO8" s="12">
        <v>40847</v>
      </c>
      <c r="GP8">
        <v>1.524</v>
      </c>
      <c r="GQ8" s="12">
        <v>40480</v>
      </c>
      <c r="GR8">
        <v>19.46</v>
      </c>
      <c r="GS8" s="12">
        <v>40359</v>
      </c>
      <c r="GT8">
        <v>1573.703</v>
      </c>
      <c r="GU8" s="12">
        <v>42978</v>
      </c>
      <c r="GV8">
        <v>8.8260000000000005</v>
      </c>
      <c r="GW8" s="12">
        <v>40421</v>
      </c>
      <c r="GX8">
        <v>12.122</v>
      </c>
      <c r="GY8" s="12">
        <v>40359</v>
      </c>
      <c r="GZ8">
        <v>16.756</v>
      </c>
      <c r="HA8" s="12">
        <v>40359</v>
      </c>
      <c r="HB8">
        <v>7.6980000000000004</v>
      </c>
      <c r="HC8" s="12">
        <v>40359</v>
      </c>
      <c r="HD8">
        <v>9.1270000000000007</v>
      </c>
      <c r="HE8" s="12">
        <v>40359</v>
      </c>
      <c r="HF8">
        <v>13.028</v>
      </c>
      <c r="HG8" s="12">
        <v>40359</v>
      </c>
      <c r="HH8">
        <v>14.756</v>
      </c>
      <c r="HI8" s="12">
        <v>40359</v>
      </c>
      <c r="HJ8">
        <v>3.7909999999999999</v>
      </c>
      <c r="HK8" s="12">
        <v>40359</v>
      </c>
      <c r="HL8">
        <v>1672</v>
      </c>
      <c r="HM8" s="12">
        <v>40359</v>
      </c>
      <c r="HN8">
        <v>67.649000000000001</v>
      </c>
      <c r="HO8" s="12">
        <v>40359</v>
      </c>
      <c r="HP8">
        <v>48.942</v>
      </c>
      <c r="HQ8" s="12">
        <v>40451</v>
      </c>
      <c r="HR8">
        <v>2292</v>
      </c>
      <c r="HS8" s="12">
        <v>40359</v>
      </c>
      <c r="HT8">
        <v>57.655999999999999</v>
      </c>
      <c r="HU8" s="12">
        <v>40359</v>
      </c>
      <c r="HV8">
        <v>3299.875</v>
      </c>
      <c r="HW8" s="12">
        <v>40359</v>
      </c>
      <c r="HX8">
        <v>26.706</v>
      </c>
      <c r="HY8" s="12">
        <v>40359</v>
      </c>
      <c r="HZ8">
        <v>20.786000000000001</v>
      </c>
      <c r="IA8" s="12">
        <v>40359</v>
      </c>
      <c r="IB8">
        <v>78.402000000000001</v>
      </c>
      <c r="IC8" s="12">
        <v>40359</v>
      </c>
      <c r="ID8">
        <v>1.7090000000000001</v>
      </c>
      <c r="IE8" s="12">
        <v>40359</v>
      </c>
      <c r="IF8">
        <v>15.156000000000001</v>
      </c>
      <c r="IG8" s="12">
        <v>40662</v>
      </c>
      <c r="IH8">
        <v>161</v>
      </c>
      <c r="II8" s="12">
        <v>40359</v>
      </c>
      <c r="IJ8">
        <v>35.223999999999997</v>
      </c>
      <c r="IK8" s="12">
        <v>40724</v>
      </c>
      <c r="IL8">
        <v>3.43</v>
      </c>
      <c r="IM8" s="12">
        <v>40359</v>
      </c>
      <c r="IN8">
        <v>10.923999999999999</v>
      </c>
      <c r="IO8" s="12">
        <v>40907</v>
      </c>
      <c r="IP8">
        <v>10.420999999999999</v>
      </c>
      <c r="IQ8" s="12">
        <v>40359</v>
      </c>
      <c r="IR8">
        <v>10.449</v>
      </c>
      <c r="IS8" s="12">
        <v>42277</v>
      </c>
      <c r="IT8">
        <v>6.01</v>
      </c>
      <c r="IU8" s="12">
        <v>40359</v>
      </c>
      <c r="IV8">
        <v>6.6363000000000003</v>
      </c>
      <c r="IW8" s="12">
        <v>40359</v>
      </c>
      <c r="IX8">
        <v>22.058</v>
      </c>
      <c r="IY8" s="12">
        <v>40359</v>
      </c>
      <c r="IZ8">
        <v>5.0519999999999996</v>
      </c>
      <c r="JA8" s="12">
        <v>42124</v>
      </c>
      <c r="JB8">
        <v>8.5660000000000007</v>
      </c>
      <c r="JC8" s="12">
        <v>40359</v>
      </c>
      <c r="JD8">
        <v>8.7639999999999993</v>
      </c>
      <c r="JE8" s="12">
        <v>40359</v>
      </c>
      <c r="JF8">
        <v>299.78399999999999</v>
      </c>
      <c r="JG8" s="12">
        <v>42277</v>
      </c>
      <c r="JH8">
        <v>6.01</v>
      </c>
      <c r="JI8" s="12">
        <v>40359</v>
      </c>
      <c r="JJ8">
        <v>9.6519999999999992</v>
      </c>
      <c r="JK8" s="12">
        <v>43251</v>
      </c>
      <c r="JL8">
        <v>14.923999999999999</v>
      </c>
      <c r="JM8" s="12">
        <v>40359</v>
      </c>
      <c r="JN8">
        <v>0.39900000000000002</v>
      </c>
      <c r="JO8" s="12">
        <v>40359</v>
      </c>
      <c r="JP8">
        <v>9.2420000000000009</v>
      </c>
      <c r="JQ8" s="12">
        <v>41759</v>
      </c>
      <c r="JR8">
        <v>16.170000000000002</v>
      </c>
      <c r="JS8" s="12">
        <v>40359</v>
      </c>
      <c r="JT8">
        <v>4.7990000000000004</v>
      </c>
      <c r="JU8" s="12">
        <v>41578</v>
      </c>
      <c r="JV8">
        <v>16.940000000000001</v>
      </c>
      <c r="JW8" s="12">
        <v>40359</v>
      </c>
      <c r="JX8">
        <v>3.9510000000000001</v>
      </c>
      <c r="JY8" s="12">
        <v>40359</v>
      </c>
      <c r="JZ8">
        <v>7.5709999999999997</v>
      </c>
      <c r="KA8" s="12">
        <v>43251</v>
      </c>
      <c r="KB8">
        <v>42.633000000000003</v>
      </c>
      <c r="KC8" s="12">
        <v>40359</v>
      </c>
      <c r="KD8">
        <v>12.836</v>
      </c>
      <c r="KE8" s="12">
        <v>40359</v>
      </c>
      <c r="KF8">
        <v>3.536</v>
      </c>
      <c r="KG8" s="12">
        <v>40359</v>
      </c>
      <c r="KH8">
        <v>0.105</v>
      </c>
      <c r="KI8" s="12">
        <v>40359</v>
      </c>
      <c r="KJ8">
        <v>6.133</v>
      </c>
      <c r="KK8" s="12">
        <v>40359</v>
      </c>
      <c r="KL8">
        <v>4.7130000000000001</v>
      </c>
      <c r="KM8" s="12">
        <v>42978</v>
      </c>
      <c r="KN8">
        <v>7.18</v>
      </c>
      <c r="KO8" s="12">
        <v>40359</v>
      </c>
      <c r="KP8">
        <v>175.96100000000001</v>
      </c>
      <c r="KQ8" s="12">
        <v>40359</v>
      </c>
      <c r="KR8">
        <v>202.197</v>
      </c>
      <c r="KS8" s="12">
        <v>40359</v>
      </c>
      <c r="KT8">
        <v>8.2309999999999999</v>
      </c>
      <c r="KU8" s="12">
        <v>40359</v>
      </c>
      <c r="KV8">
        <v>5.8120000000000003</v>
      </c>
      <c r="KW8" s="12">
        <v>40359</v>
      </c>
      <c r="KX8">
        <v>47.256999999999998</v>
      </c>
      <c r="KY8" s="12">
        <v>40359</v>
      </c>
      <c r="KZ8">
        <v>37.034999999999997</v>
      </c>
      <c r="LA8" s="12">
        <v>40359</v>
      </c>
      <c r="LB8">
        <v>26.199000000000002</v>
      </c>
      <c r="LC8" s="12">
        <v>40359</v>
      </c>
      <c r="LD8">
        <v>7.4</v>
      </c>
      <c r="LE8" s="12">
        <v>40359</v>
      </c>
      <c r="LF8">
        <v>5.7930000000000001</v>
      </c>
      <c r="LG8" s="12">
        <v>40359</v>
      </c>
      <c r="LH8">
        <v>4.68</v>
      </c>
      <c r="LI8" s="12">
        <v>40359</v>
      </c>
      <c r="LJ8">
        <v>8.3249999999999993</v>
      </c>
      <c r="LK8" s="12">
        <v>40359</v>
      </c>
      <c r="LL8">
        <v>20.562999999999999</v>
      </c>
      <c r="LM8" s="12">
        <v>40359</v>
      </c>
      <c r="LN8">
        <v>22.327000000000002</v>
      </c>
      <c r="LO8" s="12">
        <v>40359</v>
      </c>
      <c r="LP8">
        <v>22.024999999999999</v>
      </c>
      <c r="LQ8" s="12">
        <v>40359</v>
      </c>
      <c r="LR8">
        <v>28.864000000000001</v>
      </c>
      <c r="LS8" s="12">
        <v>40359</v>
      </c>
      <c r="LT8">
        <v>26.178999999999998</v>
      </c>
      <c r="LU8" s="12">
        <v>40359</v>
      </c>
      <c r="LV8">
        <v>42.255000000000003</v>
      </c>
      <c r="LW8" s="12">
        <v>40359</v>
      </c>
      <c r="LX8">
        <v>2228.9850000000001</v>
      </c>
      <c r="LY8" s="12">
        <v>40359</v>
      </c>
      <c r="LZ8">
        <v>17.161999999999999</v>
      </c>
      <c r="MA8" s="12">
        <v>40359</v>
      </c>
      <c r="MB8">
        <v>8.4860000000000007</v>
      </c>
      <c r="MC8" s="12">
        <v>41820</v>
      </c>
      <c r="MD8">
        <v>23.907</v>
      </c>
      <c r="ME8" s="12">
        <v>40359</v>
      </c>
      <c r="MF8">
        <v>2.9359999999999999</v>
      </c>
      <c r="MG8" s="12">
        <v>40359</v>
      </c>
      <c r="MH8">
        <v>3.9510000000000001</v>
      </c>
      <c r="MI8" s="12">
        <v>42369</v>
      </c>
      <c r="MJ8">
        <v>6.6589999999999998</v>
      </c>
      <c r="MK8" s="12">
        <v>40359</v>
      </c>
      <c r="ML8">
        <v>4.9390000000000001</v>
      </c>
    </row>
    <row r="9" spans="1:350" x14ac:dyDescent="0.3">
      <c r="A9" s="12">
        <v>40389</v>
      </c>
      <c r="B9" s="1">
        <v>5.4770000000000003</v>
      </c>
      <c r="C9" s="12">
        <v>40753</v>
      </c>
      <c r="D9" s="1">
        <v>9.9559999999999995</v>
      </c>
      <c r="E9" s="12">
        <v>40389</v>
      </c>
      <c r="F9" s="13">
        <v>16.187000000000001</v>
      </c>
      <c r="G9" s="17">
        <v>40389</v>
      </c>
      <c r="H9" s="13">
        <v>3.5089999999999999</v>
      </c>
      <c r="I9" s="17">
        <v>40421</v>
      </c>
      <c r="J9">
        <v>10.395</v>
      </c>
      <c r="K9" s="12">
        <v>41607</v>
      </c>
      <c r="L9">
        <v>10.865</v>
      </c>
      <c r="M9" s="12">
        <v>40389</v>
      </c>
      <c r="N9" s="12">
        <v>28.731999999999999</v>
      </c>
      <c r="O9" s="12">
        <v>40389</v>
      </c>
      <c r="P9">
        <v>15</v>
      </c>
      <c r="Q9" s="12">
        <v>41789</v>
      </c>
      <c r="R9">
        <v>27.623999999999999</v>
      </c>
      <c r="S9" s="12">
        <v>40389</v>
      </c>
      <c r="T9">
        <v>7.923</v>
      </c>
      <c r="U9" s="12">
        <v>40816</v>
      </c>
      <c r="V9">
        <v>14.99</v>
      </c>
      <c r="W9" s="12">
        <v>43069</v>
      </c>
      <c r="X9">
        <v>26.87</v>
      </c>
      <c r="Y9" s="12">
        <v>40389</v>
      </c>
      <c r="Z9">
        <v>8.7490000000000006</v>
      </c>
      <c r="AA9" s="12">
        <v>40389</v>
      </c>
      <c r="AB9">
        <v>16.478999999999999</v>
      </c>
      <c r="AC9" s="12">
        <v>40389</v>
      </c>
      <c r="AD9">
        <v>7.5940000000000003</v>
      </c>
      <c r="AE9" s="12">
        <v>40389</v>
      </c>
      <c r="AF9">
        <v>9.3070000000000004</v>
      </c>
      <c r="AG9" s="12">
        <v>40389</v>
      </c>
      <c r="AH9">
        <v>46.817</v>
      </c>
      <c r="AI9" s="12">
        <v>41607</v>
      </c>
      <c r="AJ9">
        <v>15.855</v>
      </c>
      <c r="AK9" s="12">
        <v>40389</v>
      </c>
      <c r="AL9">
        <v>6.3129999999999997</v>
      </c>
      <c r="AM9" s="12">
        <v>43830</v>
      </c>
      <c r="AN9">
        <v>46.506999999999998</v>
      </c>
      <c r="AO9" s="12">
        <v>40389</v>
      </c>
      <c r="AP9">
        <v>8</v>
      </c>
      <c r="AQ9" s="12">
        <v>43007</v>
      </c>
      <c r="AR9">
        <v>16.803000000000001</v>
      </c>
      <c r="AS9" s="12">
        <v>40389</v>
      </c>
      <c r="AT9">
        <v>8.343</v>
      </c>
      <c r="AU9" s="12">
        <v>40389</v>
      </c>
      <c r="AV9">
        <v>21.91</v>
      </c>
      <c r="AW9" s="12">
        <v>43312</v>
      </c>
      <c r="AX9">
        <v>17.061</v>
      </c>
      <c r="AY9" s="12">
        <v>40389</v>
      </c>
      <c r="AZ9">
        <v>22.125</v>
      </c>
      <c r="BA9" s="12">
        <v>40389</v>
      </c>
      <c r="BB9">
        <v>9.0939999999999994</v>
      </c>
      <c r="BC9" s="12">
        <v>40389</v>
      </c>
      <c r="BD9">
        <v>7.3940000000000001</v>
      </c>
      <c r="BE9" s="12">
        <v>40480</v>
      </c>
      <c r="BF9">
        <v>8.3160000000000007</v>
      </c>
      <c r="BG9" s="12">
        <v>40389</v>
      </c>
      <c r="BH9">
        <v>7.9279999999999999</v>
      </c>
      <c r="BI9" s="12">
        <v>40389</v>
      </c>
      <c r="BJ9">
        <v>28.962</v>
      </c>
      <c r="BK9" s="12">
        <v>40389</v>
      </c>
      <c r="BL9">
        <v>6.3460000000000001</v>
      </c>
      <c r="BM9" s="12">
        <v>40389</v>
      </c>
      <c r="BN9">
        <v>14.148999999999999</v>
      </c>
      <c r="BO9" s="12">
        <v>40389</v>
      </c>
      <c r="BP9">
        <v>5.0430000000000001</v>
      </c>
      <c r="BQ9" s="12">
        <v>40389</v>
      </c>
      <c r="BR9">
        <v>3.9510000000000001</v>
      </c>
      <c r="BS9" s="12">
        <v>40389</v>
      </c>
      <c r="BT9">
        <v>5.4820000000000002</v>
      </c>
      <c r="BU9" s="12">
        <v>40389</v>
      </c>
      <c r="BV9">
        <v>4.8209999999999997</v>
      </c>
      <c r="BW9" s="12">
        <v>40389</v>
      </c>
      <c r="BX9">
        <v>1.492</v>
      </c>
      <c r="BY9" s="12">
        <v>40389</v>
      </c>
      <c r="BZ9">
        <v>14.318</v>
      </c>
      <c r="CA9" s="12">
        <v>40389</v>
      </c>
      <c r="CB9">
        <v>23.763000000000002</v>
      </c>
      <c r="CC9" s="12">
        <v>43159</v>
      </c>
      <c r="CD9">
        <v>14.331</v>
      </c>
      <c r="CE9" s="12">
        <v>40389</v>
      </c>
      <c r="CF9">
        <v>12.574</v>
      </c>
      <c r="CG9" s="12">
        <v>40389</v>
      </c>
      <c r="CH9">
        <v>17.029</v>
      </c>
      <c r="CI9" s="12">
        <v>40389</v>
      </c>
      <c r="CJ9">
        <v>16.832999999999998</v>
      </c>
      <c r="CK9" s="12">
        <v>40389</v>
      </c>
      <c r="CL9">
        <v>19.7</v>
      </c>
      <c r="CM9" s="12">
        <v>40389</v>
      </c>
      <c r="CN9">
        <v>11.757999999999999</v>
      </c>
      <c r="CO9" s="12">
        <v>41851</v>
      </c>
      <c r="CP9">
        <v>12.625</v>
      </c>
      <c r="CQ9" s="12">
        <v>40389</v>
      </c>
      <c r="CR9">
        <v>18.085000000000001</v>
      </c>
      <c r="CS9" s="12">
        <v>40389</v>
      </c>
      <c r="CT9">
        <v>16.071000000000002</v>
      </c>
      <c r="CU9" s="12">
        <v>40389</v>
      </c>
      <c r="CV9">
        <v>7.891</v>
      </c>
      <c r="CW9" s="12">
        <v>40389</v>
      </c>
      <c r="CX9">
        <v>9.4339999999999993</v>
      </c>
      <c r="CY9" s="12">
        <v>40480</v>
      </c>
      <c r="CZ9">
        <v>8.3550000000000004</v>
      </c>
      <c r="DA9" s="12">
        <v>40389</v>
      </c>
      <c r="DB9">
        <v>10.169</v>
      </c>
      <c r="DC9" s="12">
        <v>40389</v>
      </c>
      <c r="DD9">
        <v>17.058</v>
      </c>
      <c r="DE9" s="12">
        <v>40389</v>
      </c>
      <c r="DF9">
        <v>14.81</v>
      </c>
      <c r="DG9" s="12">
        <v>40451</v>
      </c>
      <c r="DH9">
        <v>34.85</v>
      </c>
      <c r="DI9" s="12">
        <v>40389</v>
      </c>
      <c r="DJ9">
        <v>21.219000000000001</v>
      </c>
      <c r="DK9" s="12">
        <v>40389</v>
      </c>
      <c r="DL9">
        <v>10.175000000000001</v>
      </c>
      <c r="DM9" s="12">
        <v>40816</v>
      </c>
      <c r="DN9">
        <v>9.4969999999999999</v>
      </c>
      <c r="DO9" s="12">
        <v>40389</v>
      </c>
      <c r="DP9">
        <v>7.0289999999999999</v>
      </c>
      <c r="DQ9" s="12">
        <v>40389</v>
      </c>
      <c r="DR9">
        <v>293.84500000000003</v>
      </c>
      <c r="DS9" s="12">
        <v>40389</v>
      </c>
      <c r="DT9">
        <v>6.2679999999999998</v>
      </c>
      <c r="DU9" s="12">
        <v>40389</v>
      </c>
      <c r="DV9">
        <v>1.4570000000000001</v>
      </c>
      <c r="DW9" s="12">
        <v>40389</v>
      </c>
      <c r="DX9">
        <v>6.3639999999999999</v>
      </c>
      <c r="DY9" s="12">
        <v>40389</v>
      </c>
      <c r="DZ9">
        <v>4.4719999999999995</v>
      </c>
      <c r="EA9" s="12">
        <v>40389</v>
      </c>
      <c r="EB9">
        <v>15.292999999999999</v>
      </c>
      <c r="EC9" s="12">
        <v>40389</v>
      </c>
      <c r="ED9">
        <v>22.571999999999999</v>
      </c>
      <c r="EE9" s="12">
        <v>40389</v>
      </c>
      <c r="EF9">
        <v>7.2370000000000001</v>
      </c>
      <c r="EG9" s="12">
        <v>40389</v>
      </c>
      <c r="EH9">
        <v>12.74</v>
      </c>
      <c r="EI9" s="12">
        <v>40389</v>
      </c>
      <c r="EJ9">
        <v>90.634</v>
      </c>
      <c r="EK9" s="12">
        <v>40389</v>
      </c>
      <c r="EL9">
        <v>15.125</v>
      </c>
      <c r="EM9" s="12">
        <v>40389</v>
      </c>
      <c r="EN9">
        <v>21.466000000000001</v>
      </c>
      <c r="EO9" s="12">
        <v>43434</v>
      </c>
      <c r="EP9">
        <v>27.675000000000001</v>
      </c>
      <c r="EQ9" s="12">
        <v>40389</v>
      </c>
      <c r="ER9">
        <v>26.018000000000001</v>
      </c>
      <c r="ES9" s="12">
        <v>40389</v>
      </c>
      <c r="ET9">
        <v>24.283999999999999</v>
      </c>
      <c r="EU9" s="12">
        <v>40389</v>
      </c>
      <c r="EV9">
        <v>1.5779999999999998</v>
      </c>
      <c r="EW9" s="12">
        <v>43434</v>
      </c>
      <c r="EX9">
        <v>27.824000000000002</v>
      </c>
      <c r="EY9" s="12">
        <v>40389</v>
      </c>
      <c r="EZ9">
        <v>13.305</v>
      </c>
      <c r="FA9" s="12">
        <v>40389</v>
      </c>
      <c r="FB9">
        <v>18.667999999999999</v>
      </c>
      <c r="FC9" s="12">
        <v>40389</v>
      </c>
      <c r="FD9">
        <v>14.879</v>
      </c>
      <c r="FE9" s="12">
        <v>43159</v>
      </c>
      <c r="FF9">
        <v>11.909000000000001</v>
      </c>
      <c r="FG9" s="12">
        <v>40389</v>
      </c>
      <c r="FH9">
        <v>4.0919999999999996</v>
      </c>
      <c r="FI9" s="12">
        <v>40389</v>
      </c>
      <c r="FJ9">
        <v>8.1690000000000005</v>
      </c>
      <c r="FK9" s="12">
        <v>40389</v>
      </c>
      <c r="FL9">
        <v>11.316000000000001</v>
      </c>
      <c r="FM9" s="12">
        <v>40389</v>
      </c>
      <c r="FN9">
        <v>7.7169999999999996</v>
      </c>
      <c r="FO9" s="12">
        <v>40389</v>
      </c>
      <c r="FP9">
        <v>14.86</v>
      </c>
      <c r="FQ9" s="12">
        <v>41880</v>
      </c>
      <c r="FR9">
        <v>9.32</v>
      </c>
      <c r="FS9" s="12">
        <v>40389</v>
      </c>
      <c r="FT9">
        <v>0.67100000000000004</v>
      </c>
      <c r="FU9" s="12">
        <v>40389</v>
      </c>
      <c r="FV9">
        <v>5.3040000000000003</v>
      </c>
      <c r="FW9" s="12">
        <v>40389</v>
      </c>
      <c r="FX9">
        <v>7.2050000000000001</v>
      </c>
      <c r="FY9" s="12">
        <v>41243</v>
      </c>
      <c r="FZ9">
        <v>2.8140000000000001</v>
      </c>
      <c r="GA9" s="12">
        <v>40389</v>
      </c>
      <c r="GB9">
        <v>5.5830000000000002</v>
      </c>
      <c r="GC9" s="12">
        <v>40389</v>
      </c>
      <c r="GD9">
        <v>13.536</v>
      </c>
      <c r="GE9" s="12">
        <v>41547</v>
      </c>
      <c r="GF9">
        <v>11.47</v>
      </c>
      <c r="GG9" s="12">
        <v>43677</v>
      </c>
      <c r="GH9">
        <v>23.53</v>
      </c>
      <c r="GI9" s="12">
        <v>40389</v>
      </c>
      <c r="GJ9">
        <v>7.8819999999999997</v>
      </c>
      <c r="GK9" s="12">
        <v>40389</v>
      </c>
      <c r="GL9">
        <v>53.088000000000001</v>
      </c>
      <c r="GM9" s="12">
        <v>40389</v>
      </c>
      <c r="GN9">
        <v>11.64</v>
      </c>
      <c r="GO9" s="12">
        <v>40877</v>
      </c>
      <c r="GP9">
        <v>1.2589999999999999</v>
      </c>
      <c r="GQ9" s="12">
        <v>40512</v>
      </c>
      <c r="GR9">
        <v>23.46</v>
      </c>
      <c r="GS9" s="12">
        <v>40389</v>
      </c>
      <c r="GT9">
        <v>1774.155</v>
      </c>
      <c r="GU9" s="12">
        <v>43007</v>
      </c>
      <c r="GV9">
        <v>7.7940000000000005</v>
      </c>
      <c r="GW9" s="12">
        <v>40451</v>
      </c>
      <c r="GX9">
        <v>14.301</v>
      </c>
      <c r="GY9" s="12">
        <v>40389</v>
      </c>
      <c r="GZ9">
        <v>17.57</v>
      </c>
      <c r="HA9" s="12">
        <v>40389</v>
      </c>
      <c r="HB9">
        <v>9.5510000000000002</v>
      </c>
      <c r="HC9" s="12">
        <v>40389</v>
      </c>
      <c r="HD9">
        <v>9.093</v>
      </c>
      <c r="HE9" s="12">
        <v>40389</v>
      </c>
      <c r="HF9">
        <v>14.849</v>
      </c>
      <c r="HG9" s="12">
        <v>40389</v>
      </c>
      <c r="HH9">
        <v>17.126999999999999</v>
      </c>
      <c r="HI9" s="12">
        <v>40389</v>
      </c>
      <c r="HJ9">
        <v>3.9769999999999999</v>
      </c>
      <c r="HK9" s="12">
        <v>40389</v>
      </c>
      <c r="HL9">
        <v>1859</v>
      </c>
      <c r="HM9" s="12">
        <v>40389</v>
      </c>
      <c r="HN9">
        <v>66.972999999999999</v>
      </c>
      <c r="HO9" s="12">
        <v>40389</v>
      </c>
      <c r="HP9">
        <v>46.765000000000001</v>
      </c>
      <c r="HQ9" s="12">
        <v>40480</v>
      </c>
      <c r="HR9">
        <v>2188</v>
      </c>
      <c r="HS9" s="12">
        <v>40389</v>
      </c>
      <c r="HT9">
        <v>52.712000000000003</v>
      </c>
      <c r="HU9" s="12">
        <v>40389</v>
      </c>
      <c r="HV9">
        <v>4053.39</v>
      </c>
      <c r="HW9" s="12">
        <v>40389</v>
      </c>
      <c r="HX9">
        <v>27.602</v>
      </c>
      <c r="HY9" s="12">
        <v>40389</v>
      </c>
      <c r="HZ9">
        <v>21.553000000000001</v>
      </c>
      <c r="IA9" s="12">
        <v>40389</v>
      </c>
      <c r="IB9">
        <v>96.53</v>
      </c>
      <c r="IC9" s="12">
        <v>40389</v>
      </c>
      <c r="ID9">
        <v>1.8180000000000001</v>
      </c>
      <c r="IE9" s="12">
        <v>40389</v>
      </c>
      <c r="IF9">
        <v>16.148</v>
      </c>
      <c r="IG9" s="12">
        <v>40694</v>
      </c>
      <c r="IH9">
        <v>142</v>
      </c>
      <c r="II9" s="12">
        <v>40389</v>
      </c>
      <c r="IJ9">
        <v>42.594999999999999</v>
      </c>
      <c r="IK9" s="12">
        <v>40753</v>
      </c>
      <c r="IL9">
        <v>3.44</v>
      </c>
      <c r="IM9" s="12">
        <v>40389</v>
      </c>
      <c r="IN9">
        <v>11.861000000000001</v>
      </c>
      <c r="IO9" s="12">
        <v>40939</v>
      </c>
      <c r="IP9">
        <v>10.757</v>
      </c>
      <c r="IQ9" s="12">
        <v>40389</v>
      </c>
      <c r="IR9">
        <v>11.086</v>
      </c>
      <c r="IS9" s="12">
        <v>42307</v>
      </c>
      <c r="IT9">
        <v>7.34</v>
      </c>
      <c r="IU9" s="12">
        <v>40389</v>
      </c>
      <c r="IV9">
        <v>7.5456000000000003</v>
      </c>
      <c r="IW9" s="12">
        <v>40389</v>
      </c>
      <c r="IX9">
        <v>22.975000000000001</v>
      </c>
      <c r="IY9" s="12">
        <v>40389</v>
      </c>
      <c r="IZ9">
        <v>5.8780000000000001</v>
      </c>
      <c r="JA9" s="12">
        <v>42153</v>
      </c>
      <c r="JB9">
        <v>8.24</v>
      </c>
      <c r="JC9" s="12">
        <v>40389</v>
      </c>
      <c r="JD9">
        <v>15.3</v>
      </c>
      <c r="JE9" s="12">
        <v>40389</v>
      </c>
      <c r="JF9">
        <v>364.76400000000001</v>
      </c>
      <c r="JG9" s="12">
        <v>42307</v>
      </c>
      <c r="JH9">
        <v>7.34</v>
      </c>
      <c r="JI9" s="12">
        <v>40389</v>
      </c>
      <c r="JJ9">
        <v>12.262</v>
      </c>
      <c r="JK9" s="12">
        <v>43280</v>
      </c>
      <c r="JL9">
        <v>14.141</v>
      </c>
      <c r="JM9" s="12">
        <v>40389</v>
      </c>
      <c r="JN9">
        <v>0.46</v>
      </c>
      <c r="JO9" s="12">
        <v>40389</v>
      </c>
      <c r="JP9">
        <v>8.6679999999999993</v>
      </c>
      <c r="JQ9" s="12">
        <v>41789</v>
      </c>
      <c r="JR9">
        <v>18.864999999999998</v>
      </c>
      <c r="JS9" s="12">
        <v>40389</v>
      </c>
      <c r="JT9">
        <v>5.3890000000000002</v>
      </c>
      <c r="JU9" s="12">
        <v>41607</v>
      </c>
      <c r="JV9">
        <v>18.876000000000001</v>
      </c>
      <c r="JW9" s="12">
        <v>40389</v>
      </c>
      <c r="JX9">
        <v>4.5880000000000001</v>
      </c>
      <c r="JY9" s="12">
        <v>40389</v>
      </c>
      <c r="JZ9">
        <v>7.9509999999999996</v>
      </c>
      <c r="KA9" s="12">
        <v>43280</v>
      </c>
      <c r="KB9">
        <v>44.482999999999997</v>
      </c>
      <c r="KC9" s="12">
        <v>40389</v>
      </c>
      <c r="KD9">
        <v>14.178000000000001</v>
      </c>
      <c r="KE9" s="12">
        <v>40389</v>
      </c>
      <c r="KF9">
        <v>3.8140000000000001</v>
      </c>
      <c r="KG9" s="12">
        <v>40389</v>
      </c>
      <c r="KH9">
        <v>0.123</v>
      </c>
      <c r="KI9" s="12">
        <v>40389</v>
      </c>
      <c r="KJ9">
        <v>6.8460000000000001</v>
      </c>
      <c r="KK9" s="12">
        <v>40389</v>
      </c>
      <c r="KL9">
        <v>4.907</v>
      </c>
      <c r="KM9" s="12">
        <v>43007</v>
      </c>
      <c r="KN9">
        <v>7.86</v>
      </c>
      <c r="KO9" s="12">
        <v>40389</v>
      </c>
      <c r="KP9">
        <v>192.631</v>
      </c>
      <c r="KQ9" s="12">
        <v>40389</v>
      </c>
      <c r="KR9">
        <v>214.233</v>
      </c>
      <c r="KS9" s="12">
        <v>40389</v>
      </c>
      <c r="KT9">
        <v>8.766</v>
      </c>
      <c r="KU9" s="12">
        <v>40389</v>
      </c>
      <c r="KV9">
        <v>5.5330000000000004</v>
      </c>
      <c r="KW9" s="12">
        <v>40389</v>
      </c>
      <c r="KX9">
        <v>44.557000000000002</v>
      </c>
      <c r="KY9" s="12">
        <v>40389</v>
      </c>
      <c r="KZ9">
        <v>32.712000000000003</v>
      </c>
      <c r="LA9" s="12">
        <v>40389</v>
      </c>
      <c r="LB9">
        <v>24.986000000000001</v>
      </c>
      <c r="LC9" s="12">
        <v>40389</v>
      </c>
      <c r="LD9">
        <v>7.1210000000000004</v>
      </c>
      <c r="LE9" s="12">
        <v>40389</v>
      </c>
      <c r="LF9">
        <v>6.1379999999999999</v>
      </c>
      <c r="LG9" s="12">
        <v>40389</v>
      </c>
      <c r="LH9">
        <v>4.7640000000000002</v>
      </c>
      <c r="LI9" s="12">
        <v>40389</v>
      </c>
      <c r="LJ9">
        <v>8.6820000000000004</v>
      </c>
      <c r="LK9" s="12">
        <v>40389</v>
      </c>
      <c r="LL9">
        <v>21.446000000000002</v>
      </c>
      <c r="LM9" s="12">
        <v>40389</v>
      </c>
      <c r="LN9">
        <v>24.023</v>
      </c>
      <c r="LO9" s="12">
        <v>40389</v>
      </c>
      <c r="LP9">
        <v>22.652000000000001</v>
      </c>
      <c r="LQ9" s="12">
        <v>40389</v>
      </c>
      <c r="LR9">
        <v>32.104999999999997</v>
      </c>
      <c r="LS9" s="12">
        <v>40389</v>
      </c>
      <c r="LT9">
        <v>29.466000000000001</v>
      </c>
      <c r="LU9" s="12">
        <v>40389</v>
      </c>
      <c r="LV9">
        <v>42.847000000000001</v>
      </c>
      <c r="LW9" s="12">
        <v>40389</v>
      </c>
      <c r="LX9">
        <v>2658.5720000000001</v>
      </c>
      <c r="LY9" s="12">
        <v>40389</v>
      </c>
      <c r="LZ9">
        <v>18.027999999999999</v>
      </c>
      <c r="MA9" s="12">
        <v>40389</v>
      </c>
      <c r="MB9">
        <v>8.8520000000000003</v>
      </c>
      <c r="MC9" s="12">
        <v>41851</v>
      </c>
      <c r="MD9">
        <v>23.096</v>
      </c>
      <c r="ME9" s="12">
        <v>40389</v>
      </c>
      <c r="MF9">
        <v>3.5209999999999999</v>
      </c>
      <c r="MG9" s="12">
        <v>40389</v>
      </c>
      <c r="MH9">
        <v>4.3419999999999996</v>
      </c>
      <c r="MI9" s="12">
        <v>42398</v>
      </c>
      <c r="MJ9">
        <v>6.9480000000000004</v>
      </c>
      <c r="MK9" s="12">
        <v>40389</v>
      </c>
      <c r="ML9">
        <v>5.1580000000000004</v>
      </c>
    </row>
    <row r="10" spans="1:350" x14ac:dyDescent="0.3">
      <c r="A10" s="12">
        <v>40421</v>
      </c>
      <c r="B10" s="1">
        <v>5.5670000000000002</v>
      </c>
      <c r="C10" s="12">
        <v>40786</v>
      </c>
      <c r="D10" s="1">
        <v>8.7349999999999994</v>
      </c>
      <c r="E10" s="12">
        <v>40421</v>
      </c>
      <c r="F10" s="13">
        <v>15.787000000000001</v>
      </c>
      <c r="G10" s="17">
        <v>40421</v>
      </c>
      <c r="H10" s="13">
        <v>3.7759999999999998</v>
      </c>
      <c r="I10" s="17">
        <v>40451</v>
      </c>
      <c r="J10">
        <v>11.308999999999999</v>
      </c>
      <c r="K10" s="12">
        <v>41639</v>
      </c>
      <c r="L10">
        <v>10.603999999999999</v>
      </c>
      <c r="M10" s="12">
        <v>40421</v>
      </c>
      <c r="N10" s="12">
        <v>29.396000000000001</v>
      </c>
      <c r="O10" s="12">
        <v>40421</v>
      </c>
      <c r="P10">
        <v>15.907999999999999</v>
      </c>
      <c r="Q10" s="12">
        <v>41820</v>
      </c>
      <c r="R10">
        <v>27.895</v>
      </c>
      <c r="S10" s="12">
        <v>40421</v>
      </c>
      <c r="T10">
        <v>8.2859999999999996</v>
      </c>
      <c r="U10" s="12">
        <v>40847</v>
      </c>
      <c r="V10">
        <v>17.908999999999999</v>
      </c>
      <c r="W10" s="12">
        <v>43098</v>
      </c>
      <c r="X10">
        <v>26.9</v>
      </c>
      <c r="Y10" s="12">
        <v>40421</v>
      </c>
      <c r="Z10">
        <v>8.7309999999999999</v>
      </c>
      <c r="AA10" s="12">
        <v>40421</v>
      </c>
      <c r="AB10">
        <v>15.471</v>
      </c>
      <c r="AC10" s="12">
        <v>40421</v>
      </c>
      <c r="AD10">
        <v>7.2679999999999998</v>
      </c>
      <c r="AE10" s="12">
        <v>40421</v>
      </c>
      <c r="AF10">
        <v>8.7940000000000005</v>
      </c>
      <c r="AG10" s="12">
        <v>40421</v>
      </c>
      <c r="AH10">
        <v>44.655000000000001</v>
      </c>
      <c r="AI10" s="12">
        <v>41639</v>
      </c>
      <c r="AJ10">
        <v>15.292999999999999</v>
      </c>
      <c r="AK10" s="12">
        <v>40421</v>
      </c>
      <c r="AL10">
        <v>6.3040000000000003</v>
      </c>
      <c r="AO10" s="12">
        <v>40421</v>
      </c>
      <c r="AP10">
        <v>7.8780000000000001</v>
      </c>
      <c r="AQ10" s="12">
        <v>43039</v>
      </c>
      <c r="AR10">
        <v>19.62</v>
      </c>
      <c r="AS10" s="12">
        <v>40421</v>
      </c>
      <c r="AT10">
        <v>7.2640000000000002</v>
      </c>
      <c r="AU10" s="12">
        <v>40421</v>
      </c>
      <c r="AV10">
        <v>21.72</v>
      </c>
      <c r="AW10" s="12">
        <v>43343</v>
      </c>
      <c r="AX10">
        <v>17.315000000000001</v>
      </c>
      <c r="AY10" s="12">
        <v>40421</v>
      </c>
      <c r="AZ10">
        <v>21.087</v>
      </c>
      <c r="BA10" s="12">
        <v>40421</v>
      </c>
      <c r="BB10">
        <v>10.657</v>
      </c>
      <c r="BC10" s="12">
        <v>40421</v>
      </c>
      <c r="BD10">
        <v>7.7640000000000002</v>
      </c>
      <c r="BE10" s="12">
        <v>40512</v>
      </c>
      <c r="BF10">
        <v>9.8879999999999999</v>
      </c>
      <c r="BG10" s="12">
        <v>40421</v>
      </c>
      <c r="BH10">
        <v>8.0790000000000006</v>
      </c>
      <c r="BI10" s="12">
        <v>40421</v>
      </c>
      <c r="BJ10">
        <v>23.992000000000001</v>
      </c>
      <c r="BK10" s="12">
        <v>40421</v>
      </c>
      <c r="BL10">
        <v>6.3840000000000003</v>
      </c>
      <c r="BM10" s="12">
        <v>40421</v>
      </c>
      <c r="BN10">
        <v>13.36</v>
      </c>
      <c r="BO10" s="12">
        <v>40421</v>
      </c>
      <c r="BP10">
        <v>4.7880000000000003</v>
      </c>
      <c r="BQ10" s="12">
        <v>40421</v>
      </c>
      <c r="BR10">
        <v>4.258</v>
      </c>
      <c r="BS10" s="12">
        <v>40421</v>
      </c>
      <c r="BT10">
        <v>5.8360000000000003</v>
      </c>
      <c r="BU10" s="12">
        <v>40421</v>
      </c>
      <c r="BV10">
        <v>5.5940000000000003</v>
      </c>
      <c r="BW10" s="12">
        <v>40421</v>
      </c>
      <c r="BX10">
        <v>1.4950000000000001</v>
      </c>
      <c r="BY10" s="12">
        <v>40421</v>
      </c>
      <c r="BZ10">
        <v>14.843</v>
      </c>
      <c r="CA10" s="12">
        <v>40421</v>
      </c>
      <c r="CB10">
        <v>24.177</v>
      </c>
      <c r="CC10" s="12">
        <v>43189</v>
      </c>
      <c r="CD10">
        <v>14.475999999999999</v>
      </c>
      <c r="CE10" s="12">
        <v>40421</v>
      </c>
      <c r="CF10">
        <v>12.89</v>
      </c>
      <c r="CG10" s="12">
        <v>40421</v>
      </c>
      <c r="CH10">
        <v>15.904999999999999</v>
      </c>
      <c r="CI10" s="12">
        <v>40421</v>
      </c>
      <c r="CJ10">
        <v>16.46</v>
      </c>
      <c r="CK10" s="12">
        <v>40421</v>
      </c>
      <c r="CL10">
        <v>18.123999999999999</v>
      </c>
      <c r="CM10" s="12">
        <v>40421</v>
      </c>
      <c r="CN10">
        <v>12.56</v>
      </c>
      <c r="CO10" s="12">
        <v>41880</v>
      </c>
      <c r="CP10">
        <v>14.019</v>
      </c>
      <c r="CQ10" s="12">
        <v>40421</v>
      </c>
      <c r="CR10">
        <v>15.925000000000001</v>
      </c>
      <c r="CS10" s="12">
        <v>40421</v>
      </c>
      <c r="CT10">
        <v>17.486999999999998</v>
      </c>
      <c r="CU10" s="12">
        <v>40421</v>
      </c>
      <c r="CV10">
        <v>7.7629999999999999</v>
      </c>
      <c r="CW10" s="12">
        <v>40421</v>
      </c>
      <c r="CX10">
        <v>9.1720000000000006</v>
      </c>
      <c r="CY10" s="12">
        <v>40512</v>
      </c>
      <c r="CZ10">
        <v>9.0030000000000001</v>
      </c>
      <c r="DA10" s="12">
        <v>40421</v>
      </c>
      <c r="DB10">
        <v>10.337999999999999</v>
      </c>
      <c r="DC10" s="12">
        <v>40421</v>
      </c>
      <c r="DD10">
        <v>15.988</v>
      </c>
      <c r="DE10" s="12">
        <v>40421</v>
      </c>
      <c r="DF10">
        <v>13.782</v>
      </c>
      <c r="DG10" s="12">
        <v>40480</v>
      </c>
      <c r="DH10">
        <v>34.869</v>
      </c>
      <c r="DI10" s="12">
        <v>40421</v>
      </c>
      <c r="DJ10">
        <v>21.077000000000002</v>
      </c>
      <c r="DK10" s="12">
        <v>40421</v>
      </c>
      <c r="DL10">
        <v>9.5640000000000001</v>
      </c>
      <c r="DM10" s="12">
        <v>40847</v>
      </c>
      <c r="DN10">
        <v>10.436999999999999</v>
      </c>
      <c r="DO10" s="12">
        <v>40421</v>
      </c>
      <c r="DP10">
        <v>7.34</v>
      </c>
      <c r="DQ10" s="12">
        <v>40421</v>
      </c>
      <c r="DR10">
        <v>408.69900000000001</v>
      </c>
      <c r="DS10" s="12">
        <v>40421</v>
      </c>
      <c r="DT10">
        <v>7.0430000000000001</v>
      </c>
      <c r="DU10" s="12">
        <v>40421</v>
      </c>
      <c r="DV10">
        <v>1.6680000000000001</v>
      </c>
      <c r="DW10" s="12">
        <v>40421</v>
      </c>
      <c r="DX10">
        <v>6.4030000000000005</v>
      </c>
      <c r="DY10" s="12">
        <v>40421</v>
      </c>
      <c r="DZ10">
        <v>5.0739999999999998</v>
      </c>
      <c r="EA10" s="12">
        <v>40421</v>
      </c>
      <c r="EB10">
        <v>16.812999999999999</v>
      </c>
      <c r="EC10" s="12">
        <v>40421</v>
      </c>
      <c r="ED10">
        <v>21.861000000000001</v>
      </c>
      <c r="EE10" s="12">
        <v>40421</v>
      </c>
      <c r="EF10">
        <v>7.71</v>
      </c>
      <c r="EG10" s="12">
        <v>40421</v>
      </c>
      <c r="EH10">
        <v>12.564</v>
      </c>
      <c r="EI10" s="12">
        <v>40421</v>
      </c>
      <c r="EJ10">
        <v>83.081000000000003</v>
      </c>
      <c r="EK10" s="12">
        <v>40421</v>
      </c>
      <c r="EL10">
        <v>14.241</v>
      </c>
      <c r="EM10" s="12">
        <v>40421</v>
      </c>
      <c r="EN10">
        <v>19.853999999999999</v>
      </c>
      <c r="EO10" s="12">
        <v>43465</v>
      </c>
      <c r="EP10">
        <v>28.846</v>
      </c>
      <c r="EQ10" s="12">
        <v>40421</v>
      </c>
      <c r="ER10">
        <v>23.818000000000001</v>
      </c>
      <c r="ES10" s="12">
        <v>40421</v>
      </c>
      <c r="ET10">
        <v>22.5</v>
      </c>
      <c r="EU10" s="12">
        <v>40421</v>
      </c>
      <c r="EV10">
        <v>1.4910000000000001</v>
      </c>
      <c r="EW10" s="12">
        <v>43465</v>
      </c>
      <c r="EX10">
        <v>30.856999999999999</v>
      </c>
      <c r="EY10" s="12">
        <v>40421</v>
      </c>
      <c r="EZ10">
        <v>15.21</v>
      </c>
      <c r="FA10" s="12">
        <v>40421</v>
      </c>
      <c r="FB10">
        <v>18.855</v>
      </c>
      <c r="FC10" s="12">
        <v>40421</v>
      </c>
      <c r="FD10">
        <v>14.385999999999999</v>
      </c>
      <c r="FE10" s="12">
        <v>43189</v>
      </c>
      <c r="FF10">
        <v>13.394</v>
      </c>
      <c r="FG10" s="12">
        <v>40421</v>
      </c>
      <c r="FH10">
        <v>3.87</v>
      </c>
      <c r="FI10" s="12">
        <v>40421</v>
      </c>
      <c r="FJ10">
        <v>7.9690000000000003</v>
      </c>
      <c r="FK10" s="12">
        <v>40421</v>
      </c>
      <c r="FL10">
        <v>10.882999999999999</v>
      </c>
      <c r="FM10" s="12">
        <v>40421</v>
      </c>
      <c r="FN10">
        <v>6.6850000000000005</v>
      </c>
      <c r="FO10" s="12">
        <v>40421</v>
      </c>
      <c r="FP10">
        <v>15.284000000000001</v>
      </c>
      <c r="FQ10" s="12">
        <v>41912</v>
      </c>
      <c r="FR10">
        <v>9.7059999999999995</v>
      </c>
      <c r="FS10" s="12">
        <v>40421</v>
      </c>
      <c r="FT10">
        <v>0.64200000000000002</v>
      </c>
      <c r="FU10" s="12">
        <v>40421</v>
      </c>
      <c r="FV10">
        <v>5.54</v>
      </c>
      <c r="FW10" s="12">
        <v>40421</v>
      </c>
      <c r="FX10">
        <v>7.1040000000000001</v>
      </c>
      <c r="FY10" s="12">
        <v>41274</v>
      </c>
      <c r="FZ10">
        <v>2.875</v>
      </c>
      <c r="GA10" s="12">
        <v>40421</v>
      </c>
      <c r="GB10">
        <v>5.1619999999999999</v>
      </c>
      <c r="GC10" s="12">
        <v>40421</v>
      </c>
      <c r="GD10">
        <v>13.45</v>
      </c>
      <c r="GE10" s="12">
        <v>41578</v>
      </c>
      <c r="GF10">
        <v>12.468</v>
      </c>
      <c r="GG10" s="12">
        <v>43707</v>
      </c>
      <c r="GH10">
        <v>24.5</v>
      </c>
      <c r="GI10" s="12">
        <v>40421</v>
      </c>
      <c r="GJ10">
        <v>7.58</v>
      </c>
      <c r="GK10" s="12">
        <v>40421</v>
      </c>
      <c r="GL10">
        <v>48.537999999999997</v>
      </c>
      <c r="GM10" s="12">
        <v>40421</v>
      </c>
      <c r="GN10">
        <v>11.991</v>
      </c>
      <c r="GO10" s="12">
        <v>40907</v>
      </c>
      <c r="GP10">
        <v>1.1020000000000001</v>
      </c>
      <c r="GQ10" s="12">
        <v>40543</v>
      </c>
      <c r="GR10">
        <v>19.731000000000002</v>
      </c>
      <c r="GS10" s="12">
        <v>40421</v>
      </c>
      <c r="GT10">
        <v>1877.374</v>
      </c>
      <c r="GU10" s="12">
        <v>43039</v>
      </c>
      <c r="GV10">
        <v>7.6260000000000003</v>
      </c>
      <c r="GW10" s="12">
        <v>40480</v>
      </c>
      <c r="GX10">
        <v>15.067</v>
      </c>
      <c r="GY10" s="12">
        <v>40421</v>
      </c>
      <c r="GZ10">
        <v>16.875</v>
      </c>
      <c r="HA10" s="12">
        <v>40421</v>
      </c>
      <c r="HB10">
        <v>8.8719999999999999</v>
      </c>
      <c r="HC10" s="12">
        <v>40421</v>
      </c>
      <c r="HD10">
        <v>9.2070000000000007</v>
      </c>
      <c r="HE10" s="12">
        <v>40421</v>
      </c>
      <c r="HF10">
        <v>14.933</v>
      </c>
      <c r="HG10" s="12">
        <v>40421</v>
      </c>
      <c r="HH10">
        <v>15.853</v>
      </c>
      <c r="HI10" s="12">
        <v>40421</v>
      </c>
      <c r="HJ10">
        <v>4.5049999999999999</v>
      </c>
      <c r="HK10" s="12">
        <v>40421</v>
      </c>
      <c r="HL10">
        <v>2088</v>
      </c>
      <c r="HM10" s="12">
        <v>40421</v>
      </c>
      <c r="HN10">
        <v>63.970999999999997</v>
      </c>
      <c r="HO10" s="12">
        <v>40421</v>
      </c>
      <c r="HP10">
        <v>44.79</v>
      </c>
      <c r="HQ10" s="12">
        <v>40512</v>
      </c>
      <c r="HR10">
        <v>2439.52</v>
      </c>
      <c r="HS10" s="12">
        <v>40421</v>
      </c>
      <c r="HT10">
        <v>56.744999999999997</v>
      </c>
      <c r="HU10" s="12">
        <v>40421</v>
      </c>
      <c r="HV10">
        <v>3906.152</v>
      </c>
      <c r="HW10" s="12">
        <v>40421</v>
      </c>
      <c r="HX10">
        <v>25.651</v>
      </c>
      <c r="HY10" s="12">
        <v>40421</v>
      </c>
      <c r="HZ10">
        <v>20.312999999999999</v>
      </c>
      <c r="IA10" s="12">
        <v>40421</v>
      </c>
      <c r="IB10">
        <v>95.290999999999997</v>
      </c>
      <c r="IC10" s="12">
        <v>40421</v>
      </c>
      <c r="ID10">
        <v>1.984</v>
      </c>
      <c r="IE10" s="12">
        <v>40421</v>
      </c>
      <c r="IF10">
        <v>15.898</v>
      </c>
      <c r="IG10" s="12">
        <v>40724</v>
      </c>
      <c r="IH10">
        <v>140</v>
      </c>
      <c r="II10" s="12">
        <v>40421</v>
      </c>
      <c r="IJ10">
        <v>42.594999999999999</v>
      </c>
      <c r="IK10" s="12">
        <v>40786</v>
      </c>
      <c r="IL10">
        <v>3.05</v>
      </c>
      <c r="IM10" s="12">
        <v>40421</v>
      </c>
      <c r="IN10">
        <v>12.535</v>
      </c>
      <c r="IO10" s="12">
        <v>40968</v>
      </c>
      <c r="IP10">
        <v>9.3320000000000007</v>
      </c>
      <c r="IQ10" s="12">
        <v>40421</v>
      </c>
      <c r="IR10">
        <v>11.204000000000001</v>
      </c>
      <c r="IS10" s="12">
        <v>42338</v>
      </c>
      <c r="IT10">
        <v>6</v>
      </c>
      <c r="IU10" s="12">
        <v>40421</v>
      </c>
      <c r="IV10">
        <v>7.2361000000000004</v>
      </c>
      <c r="IW10" s="12">
        <v>40421</v>
      </c>
      <c r="IX10">
        <v>21.562999999999999</v>
      </c>
      <c r="IY10" s="12">
        <v>40421</v>
      </c>
      <c r="IZ10">
        <v>5.9219999999999997</v>
      </c>
      <c r="JA10" s="12">
        <v>42185</v>
      </c>
      <c r="JB10">
        <v>8.5329999999999995</v>
      </c>
      <c r="JC10" s="12">
        <v>40421</v>
      </c>
      <c r="JD10">
        <v>13.943999999999999</v>
      </c>
      <c r="JE10" s="12">
        <v>40421</v>
      </c>
      <c r="JF10">
        <v>349.32600000000002</v>
      </c>
      <c r="JG10" s="12">
        <v>42338</v>
      </c>
      <c r="JH10">
        <v>6</v>
      </c>
      <c r="JI10" s="12">
        <v>40421</v>
      </c>
      <c r="JJ10">
        <v>11.766</v>
      </c>
      <c r="JK10" s="12">
        <v>43312</v>
      </c>
      <c r="JL10">
        <v>13.731999999999999</v>
      </c>
      <c r="JM10" s="12">
        <v>40421</v>
      </c>
      <c r="JN10">
        <v>0.48299999999999998</v>
      </c>
      <c r="JO10" s="12">
        <v>40421</v>
      </c>
      <c r="JP10">
        <v>8.234</v>
      </c>
      <c r="JQ10" s="12">
        <v>41820</v>
      </c>
      <c r="JR10">
        <v>21.17</v>
      </c>
      <c r="JS10" s="12">
        <v>40421</v>
      </c>
      <c r="JT10">
        <v>5.73</v>
      </c>
      <c r="JU10" s="12">
        <v>41639</v>
      </c>
      <c r="JV10">
        <v>18.725999999999999</v>
      </c>
      <c r="JW10" s="12">
        <v>40421</v>
      </c>
      <c r="JX10">
        <v>4.9119999999999999</v>
      </c>
      <c r="JY10" s="12">
        <v>40421</v>
      </c>
      <c r="JZ10">
        <v>8.8539999999999992</v>
      </c>
      <c r="KA10" s="12">
        <v>43312</v>
      </c>
      <c r="KB10">
        <v>44.067</v>
      </c>
      <c r="KC10" s="12">
        <v>40421</v>
      </c>
      <c r="KD10">
        <v>13.597</v>
      </c>
      <c r="KE10" s="12">
        <v>40421</v>
      </c>
      <c r="KF10">
        <v>4.2240000000000002</v>
      </c>
      <c r="KG10" s="12">
        <v>40421</v>
      </c>
      <c r="KH10">
        <v>0.14399999999999999</v>
      </c>
      <c r="KI10" s="12">
        <v>40421</v>
      </c>
      <c r="KJ10">
        <v>6.9530000000000003</v>
      </c>
      <c r="KK10" s="12">
        <v>40421</v>
      </c>
      <c r="KL10">
        <v>4.82</v>
      </c>
      <c r="KM10" s="12">
        <v>43039</v>
      </c>
      <c r="KN10">
        <v>8.1850000000000005</v>
      </c>
      <c r="KO10" s="12">
        <v>40421</v>
      </c>
      <c r="KP10">
        <v>167.626</v>
      </c>
      <c r="KQ10" s="12">
        <v>40421</v>
      </c>
      <c r="KR10">
        <v>209.41800000000001</v>
      </c>
      <c r="KS10" s="12">
        <v>40421</v>
      </c>
      <c r="KT10">
        <v>8.6460000000000008</v>
      </c>
      <c r="KU10" s="12">
        <v>40421</v>
      </c>
      <c r="KV10">
        <v>5.5649999999999995</v>
      </c>
      <c r="KW10" s="12">
        <v>40421</v>
      </c>
      <c r="KX10">
        <v>42.927</v>
      </c>
      <c r="KY10" s="12">
        <v>40421</v>
      </c>
      <c r="KZ10">
        <v>29.913</v>
      </c>
      <c r="LA10" s="12">
        <v>40421</v>
      </c>
      <c r="LB10">
        <v>23.190999999999999</v>
      </c>
      <c r="LC10" s="12">
        <v>40421</v>
      </c>
      <c r="LD10">
        <v>7.1820000000000004</v>
      </c>
      <c r="LE10" s="12">
        <v>40421</v>
      </c>
      <c r="LF10">
        <v>6.3159999999999998</v>
      </c>
      <c r="LG10" s="12">
        <v>40421</v>
      </c>
      <c r="LH10">
        <v>6.7770000000000001</v>
      </c>
      <c r="LI10" s="12">
        <v>40421</v>
      </c>
      <c r="LJ10">
        <v>9.4260000000000002</v>
      </c>
      <c r="LK10" s="12">
        <v>40421</v>
      </c>
      <c r="LL10">
        <v>23.283999999999999</v>
      </c>
      <c r="LM10" s="12">
        <v>40421</v>
      </c>
      <c r="LN10">
        <v>21.733000000000001</v>
      </c>
      <c r="LO10" s="12">
        <v>40421</v>
      </c>
      <c r="LP10">
        <v>20.157</v>
      </c>
      <c r="LQ10" s="12">
        <v>40421</v>
      </c>
      <c r="LR10">
        <v>31</v>
      </c>
      <c r="LS10" s="12">
        <v>40421</v>
      </c>
      <c r="LT10">
        <v>28.609000000000002</v>
      </c>
      <c r="LU10" s="12">
        <v>40421</v>
      </c>
      <c r="LV10">
        <v>38.430999999999997</v>
      </c>
      <c r="LW10" s="12">
        <v>40421</v>
      </c>
      <c r="LX10">
        <v>2415.41</v>
      </c>
      <c r="LY10" s="12">
        <v>40421</v>
      </c>
      <c r="LZ10">
        <v>19.164000000000001</v>
      </c>
      <c r="MA10" s="12">
        <v>40421</v>
      </c>
      <c r="MB10">
        <v>10.054</v>
      </c>
      <c r="MC10" s="12">
        <v>41880</v>
      </c>
      <c r="MD10">
        <v>24.149000000000001</v>
      </c>
      <c r="ME10" s="12">
        <v>40421</v>
      </c>
      <c r="MF10">
        <v>3.44</v>
      </c>
      <c r="MG10" s="12">
        <v>40421</v>
      </c>
      <c r="MH10">
        <v>4.0460000000000003</v>
      </c>
      <c r="MI10" s="12">
        <v>42429</v>
      </c>
      <c r="MJ10">
        <v>6.6719999999999997</v>
      </c>
      <c r="MK10" s="12">
        <v>40421</v>
      </c>
      <c r="ML10">
        <v>4.6150000000000002</v>
      </c>
    </row>
    <row r="11" spans="1:350" x14ac:dyDescent="0.3">
      <c r="A11" s="12">
        <v>40451</v>
      </c>
      <c r="B11" s="1">
        <v>5.9950000000000001</v>
      </c>
      <c r="C11" s="12">
        <v>40816</v>
      </c>
      <c r="D11" s="1">
        <v>8.0069999999999997</v>
      </c>
      <c r="E11" s="12">
        <v>40451</v>
      </c>
      <c r="F11" s="13">
        <v>16.684000000000001</v>
      </c>
      <c r="G11" s="17">
        <v>40451</v>
      </c>
      <c r="H11" s="13">
        <v>4.22</v>
      </c>
      <c r="I11" s="17">
        <v>40480</v>
      </c>
      <c r="J11">
        <v>12.17</v>
      </c>
      <c r="K11" s="12">
        <v>41670</v>
      </c>
      <c r="L11">
        <v>10.173999999999999</v>
      </c>
      <c r="M11" s="12">
        <v>40451</v>
      </c>
      <c r="N11" s="12">
        <v>30.989000000000001</v>
      </c>
      <c r="O11" s="12">
        <v>40451</v>
      </c>
      <c r="P11">
        <v>16.056000000000001</v>
      </c>
      <c r="Q11" s="12">
        <v>41851</v>
      </c>
      <c r="R11">
        <v>27.004999999999999</v>
      </c>
      <c r="S11" s="12">
        <v>40451</v>
      </c>
      <c r="T11">
        <v>9.1489999999999991</v>
      </c>
      <c r="U11" s="12">
        <v>40877</v>
      </c>
      <c r="V11">
        <v>18.934000000000001</v>
      </c>
      <c r="W11" s="12">
        <v>43131</v>
      </c>
      <c r="X11">
        <v>31.05</v>
      </c>
      <c r="Y11" s="12">
        <v>40451</v>
      </c>
      <c r="Z11">
        <v>9.6519999999999992</v>
      </c>
      <c r="AA11" s="12">
        <v>40451</v>
      </c>
      <c r="AB11">
        <v>17.591000000000001</v>
      </c>
      <c r="AC11" s="12">
        <v>40451</v>
      </c>
      <c r="AD11">
        <v>7.9409999999999998</v>
      </c>
      <c r="AE11" s="12">
        <v>40451</v>
      </c>
      <c r="AF11">
        <v>9.798</v>
      </c>
      <c r="AG11" s="12">
        <v>40451</v>
      </c>
      <c r="AH11">
        <v>50.667000000000002</v>
      </c>
      <c r="AI11" s="12">
        <v>41670</v>
      </c>
      <c r="AJ11">
        <v>14.17</v>
      </c>
      <c r="AK11" s="12">
        <v>40451</v>
      </c>
      <c r="AL11">
        <v>6.2859999999999996</v>
      </c>
      <c r="AO11" s="12">
        <v>40451</v>
      </c>
      <c r="AP11">
        <v>7.9039999999999999</v>
      </c>
      <c r="AQ11" s="12">
        <v>43069</v>
      </c>
      <c r="AR11">
        <v>16.937000000000001</v>
      </c>
      <c r="AS11" s="12">
        <v>40451</v>
      </c>
      <c r="AT11">
        <v>7.5519999999999996</v>
      </c>
      <c r="AU11" s="12">
        <v>40451</v>
      </c>
      <c r="AV11">
        <v>24.033999999999999</v>
      </c>
      <c r="AW11" s="12">
        <v>43371</v>
      </c>
      <c r="AX11">
        <v>17.07</v>
      </c>
      <c r="AY11" s="12">
        <v>40451</v>
      </c>
      <c r="AZ11">
        <v>23.056999999999999</v>
      </c>
      <c r="BA11" s="12">
        <v>40451</v>
      </c>
      <c r="BB11">
        <v>11.827</v>
      </c>
      <c r="BC11" s="12">
        <v>40451</v>
      </c>
      <c r="BD11">
        <v>7.984</v>
      </c>
      <c r="BE11" s="12">
        <v>40543</v>
      </c>
      <c r="BF11">
        <v>9.2089999999999996</v>
      </c>
      <c r="BG11" s="12">
        <v>40451</v>
      </c>
      <c r="BH11">
        <v>8.9610000000000003</v>
      </c>
      <c r="BI11" s="12">
        <v>40451</v>
      </c>
      <c r="BJ11">
        <v>26.82</v>
      </c>
      <c r="BK11" s="12">
        <v>40451</v>
      </c>
      <c r="BL11">
        <v>7.2009999999999996</v>
      </c>
      <c r="BM11" s="12">
        <v>40451</v>
      </c>
      <c r="BN11">
        <v>13.24</v>
      </c>
      <c r="BO11" s="12">
        <v>40451</v>
      </c>
      <c r="BP11">
        <v>4.8849999999999998</v>
      </c>
      <c r="BQ11" s="12">
        <v>40451</v>
      </c>
      <c r="BR11">
        <v>4.0330000000000004</v>
      </c>
      <c r="BS11" s="12">
        <v>40451</v>
      </c>
      <c r="BT11">
        <v>5.7219999999999995</v>
      </c>
      <c r="BU11" s="12">
        <v>40451</v>
      </c>
      <c r="BV11">
        <v>5.782</v>
      </c>
      <c r="BW11" s="12">
        <v>40451</v>
      </c>
      <c r="BX11">
        <v>1.5779999999999998</v>
      </c>
      <c r="BY11" s="12">
        <v>40451</v>
      </c>
      <c r="BZ11">
        <v>14.166</v>
      </c>
      <c r="CA11" s="12">
        <v>40451</v>
      </c>
      <c r="CB11">
        <v>23.422999999999998</v>
      </c>
      <c r="CC11" s="12">
        <v>43220</v>
      </c>
      <c r="CD11">
        <v>14.571999999999999</v>
      </c>
      <c r="CE11" s="12">
        <v>40451</v>
      </c>
      <c r="CF11">
        <v>13.478999999999999</v>
      </c>
      <c r="CG11" s="12">
        <v>40451</v>
      </c>
      <c r="CH11">
        <v>17.468</v>
      </c>
      <c r="CI11" s="12">
        <v>40451</v>
      </c>
      <c r="CJ11">
        <v>17.265000000000001</v>
      </c>
      <c r="CK11" s="12">
        <v>40451</v>
      </c>
      <c r="CL11">
        <v>19.760999999999999</v>
      </c>
      <c r="CM11" s="12">
        <v>40451</v>
      </c>
      <c r="CN11">
        <v>13.524000000000001</v>
      </c>
      <c r="CO11" s="12">
        <v>41912</v>
      </c>
      <c r="CP11">
        <v>13.677</v>
      </c>
      <c r="CQ11" s="12">
        <v>40451</v>
      </c>
      <c r="CR11">
        <v>17.472000000000001</v>
      </c>
      <c r="CS11" s="12">
        <v>40451</v>
      </c>
      <c r="CT11">
        <v>19.388000000000002</v>
      </c>
      <c r="CU11" s="12">
        <v>40451</v>
      </c>
      <c r="CV11">
        <v>7.8840000000000003</v>
      </c>
      <c r="CW11" s="12">
        <v>40451</v>
      </c>
      <c r="CX11">
        <v>9.4559999999999995</v>
      </c>
      <c r="CY11" s="12">
        <v>40543</v>
      </c>
      <c r="CZ11">
        <v>8.4220000000000006</v>
      </c>
      <c r="DA11" s="12">
        <v>40451</v>
      </c>
      <c r="DB11">
        <v>11.268000000000001</v>
      </c>
      <c r="DC11" s="12">
        <v>40451</v>
      </c>
      <c r="DD11">
        <v>16.13</v>
      </c>
      <c r="DE11" s="12">
        <v>40451</v>
      </c>
      <c r="DF11">
        <v>13.804</v>
      </c>
      <c r="DG11" s="12">
        <v>40512</v>
      </c>
      <c r="DH11">
        <v>31.004999999999999</v>
      </c>
      <c r="DI11" s="12">
        <v>40451</v>
      </c>
      <c r="DJ11">
        <v>19.288</v>
      </c>
      <c r="DK11" s="12">
        <v>40451</v>
      </c>
      <c r="DL11">
        <v>10.484</v>
      </c>
      <c r="DM11" s="12">
        <v>40877</v>
      </c>
      <c r="DN11">
        <v>9.9759999999999991</v>
      </c>
      <c r="DO11" s="12">
        <v>40451</v>
      </c>
      <c r="DP11">
        <v>7.1660000000000004</v>
      </c>
      <c r="DQ11" s="12">
        <v>40451</v>
      </c>
      <c r="DR11">
        <v>391.32299999999998</v>
      </c>
      <c r="DS11" s="12">
        <v>40451</v>
      </c>
      <c r="DT11">
        <v>7.351</v>
      </c>
      <c r="DU11" s="12">
        <v>40451</v>
      </c>
      <c r="DV11">
        <v>1.5329999999999999</v>
      </c>
      <c r="DW11" s="12">
        <v>40451</v>
      </c>
      <c r="DX11">
        <v>6.8540000000000001</v>
      </c>
      <c r="DY11" s="12">
        <v>40451</v>
      </c>
      <c r="DZ11">
        <v>5.4009999999999998</v>
      </c>
      <c r="EA11" s="12">
        <v>40451</v>
      </c>
      <c r="EB11">
        <v>17.677</v>
      </c>
      <c r="EC11" s="12">
        <v>40451</v>
      </c>
      <c r="ED11">
        <v>23.638000000000002</v>
      </c>
      <c r="EE11" s="12">
        <v>40451</v>
      </c>
      <c r="EF11">
        <v>7.4960000000000004</v>
      </c>
      <c r="EG11" s="12">
        <v>40451</v>
      </c>
      <c r="EH11">
        <v>13.313000000000001</v>
      </c>
      <c r="EI11" s="12">
        <v>40451</v>
      </c>
      <c r="EJ11">
        <v>89.603999999999999</v>
      </c>
      <c r="EK11" s="12">
        <v>40451</v>
      </c>
      <c r="EL11">
        <v>14.217000000000001</v>
      </c>
      <c r="EM11" s="12">
        <v>40451</v>
      </c>
      <c r="EN11">
        <v>19.292999999999999</v>
      </c>
      <c r="EO11" s="12">
        <v>43496</v>
      </c>
      <c r="EP11">
        <v>33.308999999999997</v>
      </c>
      <c r="EQ11" s="12">
        <v>40451</v>
      </c>
      <c r="ER11">
        <v>23.099</v>
      </c>
      <c r="ES11" s="12">
        <v>40451</v>
      </c>
      <c r="ET11">
        <v>25.721</v>
      </c>
      <c r="EU11" s="12">
        <v>40451</v>
      </c>
      <c r="EV11">
        <v>1.6919999999999999</v>
      </c>
      <c r="EW11" s="12">
        <v>43496</v>
      </c>
      <c r="EX11">
        <v>33.863999999999997</v>
      </c>
      <c r="EY11" s="12">
        <v>40451</v>
      </c>
      <c r="EZ11">
        <v>16.428000000000001</v>
      </c>
      <c r="FA11" s="12">
        <v>40451</v>
      </c>
      <c r="FB11">
        <v>21.431000000000001</v>
      </c>
      <c r="FC11" s="12">
        <v>40451</v>
      </c>
      <c r="FD11">
        <v>16.172999999999998</v>
      </c>
      <c r="FE11" s="12">
        <v>43220</v>
      </c>
      <c r="FF11">
        <v>15.134</v>
      </c>
      <c r="FG11" s="12">
        <v>40451</v>
      </c>
      <c r="FH11">
        <v>4.07</v>
      </c>
      <c r="FI11" s="12">
        <v>40451</v>
      </c>
      <c r="FJ11">
        <v>8.3940000000000001</v>
      </c>
      <c r="FK11" s="12">
        <v>40451</v>
      </c>
      <c r="FL11">
        <v>11.649000000000001</v>
      </c>
      <c r="FM11" s="12">
        <v>40451</v>
      </c>
      <c r="FN11">
        <v>6.5600000000000005</v>
      </c>
      <c r="FO11" s="12">
        <v>40451</v>
      </c>
      <c r="FP11">
        <v>15.284000000000001</v>
      </c>
      <c r="FQ11" s="12">
        <v>41943</v>
      </c>
      <c r="FR11">
        <v>10.042</v>
      </c>
      <c r="FS11" s="12">
        <v>40451</v>
      </c>
      <c r="FT11">
        <v>0.626</v>
      </c>
      <c r="FU11" s="12">
        <v>40451</v>
      </c>
      <c r="FV11">
        <v>6.0469999999999997</v>
      </c>
      <c r="FW11" s="12">
        <v>40451</v>
      </c>
      <c r="FX11">
        <v>7.4359999999999999</v>
      </c>
      <c r="FY11" s="12">
        <v>41305</v>
      </c>
      <c r="FZ11">
        <v>2.83</v>
      </c>
      <c r="GA11" s="12">
        <v>40451</v>
      </c>
      <c r="GB11">
        <v>5.4809999999999999</v>
      </c>
      <c r="GC11" s="12">
        <v>40451</v>
      </c>
      <c r="GD11">
        <v>14.356999999999999</v>
      </c>
      <c r="GE11" s="12">
        <v>41607</v>
      </c>
      <c r="GF11">
        <v>14.241</v>
      </c>
      <c r="GG11" s="12">
        <v>43738</v>
      </c>
      <c r="GH11">
        <v>24.25</v>
      </c>
      <c r="GI11" s="12">
        <v>40451</v>
      </c>
      <c r="GJ11">
        <v>7.7530000000000001</v>
      </c>
      <c r="GK11" s="12">
        <v>40451</v>
      </c>
      <c r="GL11">
        <v>51.304000000000002</v>
      </c>
      <c r="GM11" s="12">
        <v>40451</v>
      </c>
      <c r="GN11">
        <v>12.134</v>
      </c>
      <c r="GO11" s="12">
        <v>40939</v>
      </c>
      <c r="GP11">
        <v>1.157</v>
      </c>
      <c r="GQ11" s="12">
        <v>40574</v>
      </c>
      <c r="GR11">
        <v>20.009</v>
      </c>
      <c r="GS11" s="12">
        <v>40451</v>
      </c>
      <c r="GT11">
        <v>1919.259</v>
      </c>
      <c r="GU11" s="12">
        <v>43069</v>
      </c>
      <c r="GV11">
        <v>6.4359999999999999</v>
      </c>
      <c r="GW11" s="12">
        <v>40512</v>
      </c>
      <c r="GX11">
        <v>17.986999999999998</v>
      </c>
      <c r="GY11" s="12">
        <v>40451</v>
      </c>
      <c r="GZ11">
        <v>17.113</v>
      </c>
      <c r="HA11" s="12">
        <v>40451</v>
      </c>
      <c r="HB11">
        <v>9.7259999999999991</v>
      </c>
      <c r="HC11" s="12">
        <v>40451</v>
      </c>
      <c r="HD11">
        <v>9.9260000000000002</v>
      </c>
      <c r="HE11" s="12">
        <v>40451</v>
      </c>
      <c r="HF11">
        <v>16.152000000000001</v>
      </c>
      <c r="HG11" s="12">
        <v>40451</v>
      </c>
      <c r="HH11">
        <v>17.052</v>
      </c>
      <c r="HI11" s="12">
        <v>40451</v>
      </c>
      <c r="HJ11">
        <v>4.7949999999999999</v>
      </c>
      <c r="HK11" s="12">
        <v>40451</v>
      </c>
      <c r="HL11">
        <v>2205</v>
      </c>
      <c r="HM11" s="12">
        <v>40451</v>
      </c>
      <c r="HN11">
        <v>63.420999999999999</v>
      </c>
      <c r="HO11" s="12">
        <v>40451</v>
      </c>
      <c r="HP11">
        <v>44.951000000000001</v>
      </c>
      <c r="HQ11" s="12">
        <v>40543</v>
      </c>
      <c r="HR11">
        <v>1932</v>
      </c>
      <c r="HS11" s="12">
        <v>40451</v>
      </c>
      <c r="HT11">
        <v>53.491</v>
      </c>
      <c r="HU11" s="12">
        <v>40451</v>
      </c>
      <c r="HV11">
        <v>4363.0240000000003</v>
      </c>
      <c r="HW11" s="12">
        <v>40451</v>
      </c>
      <c r="HX11">
        <v>26.353999999999999</v>
      </c>
      <c r="HY11" s="12">
        <v>40451</v>
      </c>
      <c r="HZ11">
        <v>21.271999999999998</v>
      </c>
      <c r="IA11" s="12">
        <v>40451</v>
      </c>
      <c r="IB11">
        <v>89.712999999999994</v>
      </c>
      <c r="IC11" s="12">
        <v>40451</v>
      </c>
      <c r="ID11">
        <v>2.0289999999999999</v>
      </c>
      <c r="IE11" s="12">
        <v>40451</v>
      </c>
      <c r="IF11">
        <v>15.183</v>
      </c>
      <c r="IG11" s="12">
        <v>40753</v>
      </c>
      <c r="IH11">
        <v>144.6</v>
      </c>
      <c r="II11" s="12">
        <v>40451</v>
      </c>
      <c r="IJ11">
        <v>44.317999999999998</v>
      </c>
      <c r="IK11" s="12">
        <v>40816</v>
      </c>
      <c r="IL11">
        <v>2.2000000000000002</v>
      </c>
      <c r="IM11" s="12">
        <v>40451</v>
      </c>
      <c r="IN11">
        <v>12.711</v>
      </c>
      <c r="IO11" s="12">
        <v>40998</v>
      </c>
      <c r="IP11">
        <v>9.7370000000000001</v>
      </c>
      <c r="IQ11" s="12">
        <v>40451</v>
      </c>
      <c r="IR11">
        <v>13.119</v>
      </c>
      <c r="IS11" s="12">
        <v>42369</v>
      </c>
      <c r="IT11">
        <v>6.24</v>
      </c>
      <c r="IU11" s="12">
        <v>40451</v>
      </c>
      <c r="IV11">
        <v>7.6745999999999999</v>
      </c>
      <c r="IW11" s="12">
        <v>40451</v>
      </c>
      <c r="IX11">
        <v>23.584</v>
      </c>
      <c r="IY11" s="12">
        <v>40451</v>
      </c>
      <c r="IZ11">
        <v>6.8769999999999998</v>
      </c>
      <c r="JA11" s="12">
        <v>42216</v>
      </c>
      <c r="JB11">
        <v>6.5919999999999996</v>
      </c>
      <c r="JC11" s="12">
        <v>40451</v>
      </c>
      <c r="JD11">
        <v>13.363</v>
      </c>
      <c r="JE11" s="12">
        <v>40451</v>
      </c>
      <c r="JF11">
        <v>373.29</v>
      </c>
      <c r="JG11" s="12">
        <v>42369</v>
      </c>
      <c r="JH11">
        <v>6.24</v>
      </c>
      <c r="JI11" s="12">
        <v>40451</v>
      </c>
      <c r="JJ11">
        <v>12.106999999999999</v>
      </c>
      <c r="JK11" s="12">
        <v>43343</v>
      </c>
      <c r="JL11">
        <v>13.541</v>
      </c>
      <c r="JM11" s="12">
        <v>40451</v>
      </c>
      <c r="JN11">
        <v>0.45800000000000002</v>
      </c>
      <c r="JO11" s="12">
        <v>40451</v>
      </c>
      <c r="JP11">
        <v>9.3409999999999993</v>
      </c>
      <c r="JQ11" s="12">
        <v>41851</v>
      </c>
      <c r="JR11">
        <v>20.149999999999999</v>
      </c>
      <c r="JS11" s="12">
        <v>40451</v>
      </c>
      <c r="JT11">
        <v>6.6820000000000004</v>
      </c>
      <c r="JU11" s="12">
        <v>41670</v>
      </c>
      <c r="JV11">
        <v>19.382999999999999</v>
      </c>
      <c r="JW11" s="12">
        <v>40451</v>
      </c>
      <c r="JX11">
        <v>5.1349999999999998</v>
      </c>
      <c r="JY11" s="12">
        <v>40451</v>
      </c>
      <c r="JZ11">
        <v>9.81</v>
      </c>
      <c r="KA11" s="12">
        <v>43343</v>
      </c>
      <c r="KB11">
        <v>46.796999999999997</v>
      </c>
      <c r="KC11" s="12">
        <v>40451</v>
      </c>
      <c r="KD11">
        <v>13.673999999999999</v>
      </c>
      <c r="KE11" s="12">
        <v>40451</v>
      </c>
      <c r="KF11">
        <v>4.3849999999999998</v>
      </c>
      <c r="KG11" s="12">
        <v>40451</v>
      </c>
      <c r="KH11">
        <v>0.161</v>
      </c>
      <c r="KI11" s="12">
        <v>40451</v>
      </c>
      <c r="KJ11">
        <v>6.7889999999999997</v>
      </c>
      <c r="KK11" s="12">
        <v>40451</v>
      </c>
      <c r="KL11">
        <v>5.2960000000000003</v>
      </c>
      <c r="KM11" s="12">
        <v>43069</v>
      </c>
      <c r="KN11">
        <v>8.1319999999999997</v>
      </c>
      <c r="KO11" s="12">
        <v>40451</v>
      </c>
      <c r="KP11">
        <v>201.429</v>
      </c>
      <c r="KQ11" s="12">
        <v>40451</v>
      </c>
      <c r="KR11">
        <v>233.489</v>
      </c>
      <c r="KS11" s="12">
        <v>40451</v>
      </c>
      <c r="KT11">
        <v>9.1609999999999996</v>
      </c>
      <c r="KU11" s="12">
        <v>40451</v>
      </c>
      <c r="KV11">
        <v>5.78</v>
      </c>
      <c r="KW11" s="12">
        <v>40451</v>
      </c>
      <c r="KX11">
        <v>43.302999999999997</v>
      </c>
      <c r="KY11" s="12">
        <v>40451</v>
      </c>
      <c r="KZ11">
        <v>30.895</v>
      </c>
      <c r="LA11" s="12">
        <v>40451</v>
      </c>
      <c r="LB11">
        <v>23.481999999999999</v>
      </c>
      <c r="LC11" s="12">
        <v>40451</v>
      </c>
      <c r="LD11">
        <v>7.1760000000000002</v>
      </c>
      <c r="LE11" s="12">
        <v>40451</v>
      </c>
      <c r="LF11">
        <v>6.5880000000000001</v>
      </c>
      <c r="LG11" s="12">
        <v>40451</v>
      </c>
      <c r="LH11">
        <v>7.1760000000000002</v>
      </c>
      <c r="LI11" s="12">
        <v>40451</v>
      </c>
      <c r="LJ11">
        <v>9.9439999999999991</v>
      </c>
      <c r="LK11" s="12">
        <v>40451</v>
      </c>
      <c r="LL11">
        <v>24.562999999999999</v>
      </c>
      <c r="LM11" s="12">
        <v>40451</v>
      </c>
      <c r="LN11">
        <v>24.277000000000001</v>
      </c>
      <c r="LO11" s="12">
        <v>40451</v>
      </c>
      <c r="LP11">
        <v>20.783999999999999</v>
      </c>
      <c r="LQ11" s="12">
        <v>40451</v>
      </c>
      <c r="LR11">
        <v>34.584000000000003</v>
      </c>
      <c r="LS11" s="12">
        <v>40451</v>
      </c>
      <c r="LT11">
        <v>31.972000000000001</v>
      </c>
      <c r="LU11" s="12">
        <v>40451</v>
      </c>
      <c r="LV11">
        <v>42.073</v>
      </c>
      <c r="LW11" s="12">
        <v>40451</v>
      </c>
      <c r="LX11">
        <v>2520.7800000000002</v>
      </c>
      <c r="LY11" s="12">
        <v>40451</v>
      </c>
      <c r="LZ11">
        <v>19.73</v>
      </c>
      <c r="MA11" s="12">
        <v>40451</v>
      </c>
      <c r="MB11">
        <v>10.404</v>
      </c>
      <c r="MC11" s="12">
        <v>41912</v>
      </c>
      <c r="MD11">
        <v>23.579000000000001</v>
      </c>
      <c r="ME11" s="12">
        <v>40451</v>
      </c>
      <c r="MF11">
        <v>3.4859999999999998</v>
      </c>
      <c r="MG11" s="12">
        <v>40451</v>
      </c>
      <c r="MH11">
        <v>4.4180000000000001</v>
      </c>
      <c r="MI11" s="12">
        <v>42460</v>
      </c>
      <c r="MJ11">
        <v>8.3919999999999995</v>
      </c>
      <c r="MK11" s="12">
        <v>40451</v>
      </c>
      <c r="ML11">
        <v>4.7699999999999996</v>
      </c>
    </row>
    <row r="12" spans="1:350" x14ac:dyDescent="0.3">
      <c r="A12" s="12">
        <v>40480</v>
      </c>
      <c r="B12" s="1">
        <v>6.915</v>
      </c>
      <c r="C12" s="12">
        <v>40847</v>
      </c>
      <c r="D12" s="1">
        <v>8.3550000000000004</v>
      </c>
      <c r="E12" s="12">
        <v>40480</v>
      </c>
      <c r="F12" s="13">
        <v>15.776999999999999</v>
      </c>
      <c r="G12" s="17">
        <v>40480</v>
      </c>
      <c r="H12" s="13">
        <v>4.665</v>
      </c>
      <c r="I12" s="17">
        <v>40512</v>
      </c>
      <c r="J12">
        <v>12.179</v>
      </c>
      <c r="K12" s="12">
        <v>41698</v>
      </c>
      <c r="L12">
        <v>11.510999999999999</v>
      </c>
      <c r="M12" s="12">
        <v>40480</v>
      </c>
      <c r="N12" s="12">
        <v>34.612000000000002</v>
      </c>
      <c r="O12" s="12">
        <v>40480</v>
      </c>
      <c r="P12">
        <v>17.073</v>
      </c>
      <c r="Q12" s="12">
        <v>41880</v>
      </c>
      <c r="R12">
        <v>28.064</v>
      </c>
      <c r="S12" s="12">
        <v>40480</v>
      </c>
      <c r="T12">
        <v>9.9689999999999994</v>
      </c>
      <c r="U12" s="12">
        <v>40907</v>
      </c>
      <c r="V12">
        <v>18.303000000000001</v>
      </c>
      <c r="W12" s="12">
        <v>43159</v>
      </c>
      <c r="X12">
        <v>33.630000000000003</v>
      </c>
      <c r="Y12" s="12">
        <v>40480</v>
      </c>
      <c r="Z12">
        <v>9.7200000000000006</v>
      </c>
      <c r="AA12" s="12">
        <v>40480</v>
      </c>
      <c r="AB12">
        <v>18.122</v>
      </c>
      <c r="AC12" s="12">
        <v>40480</v>
      </c>
      <c r="AD12">
        <v>8.077</v>
      </c>
      <c r="AE12" s="12">
        <v>40480</v>
      </c>
      <c r="AF12">
        <v>10.129</v>
      </c>
      <c r="AG12" s="12">
        <v>40480</v>
      </c>
      <c r="AH12">
        <v>63.436</v>
      </c>
      <c r="AI12" s="12">
        <v>41698</v>
      </c>
      <c r="AJ12">
        <v>14.904999999999999</v>
      </c>
      <c r="AK12" s="12">
        <v>40480</v>
      </c>
      <c r="AL12">
        <v>5.577</v>
      </c>
      <c r="AO12" s="12">
        <v>40480</v>
      </c>
      <c r="AP12">
        <v>8.0519999999999996</v>
      </c>
      <c r="AQ12" s="12">
        <v>43098</v>
      </c>
      <c r="AR12">
        <v>16.928000000000001</v>
      </c>
      <c r="AS12" s="12">
        <v>40480</v>
      </c>
      <c r="AT12">
        <v>6.8780000000000001</v>
      </c>
      <c r="AU12" s="12">
        <v>40480</v>
      </c>
      <c r="AV12">
        <v>25.856000000000002</v>
      </c>
      <c r="AW12" s="12">
        <v>43404</v>
      </c>
      <c r="AX12">
        <v>20.991</v>
      </c>
      <c r="AY12" s="12">
        <v>40480</v>
      </c>
      <c r="AZ12">
        <v>22.099</v>
      </c>
      <c r="BA12" s="12">
        <v>40480</v>
      </c>
      <c r="BB12">
        <v>12.006</v>
      </c>
      <c r="BC12" s="12">
        <v>40480</v>
      </c>
      <c r="BD12">
        <v>9.1750000000000007</v>
      </c>
      <c r="BE12" s="12">
        <v>40574</v>
      </c>
      <c r="BF12">
        <v>8.5039999999999996</v>
      </c>
      <c r="BG12" s="12">
        <v>40480</v>
      </c>
      <c r="BH12">
        <v>9.8290000000000006</v>
      </c>
      <c r="BI12" s="12">
        <v>40480</v>
      </c>
      <c r="BJ12">
        <v>26.648</v>
      </c>
      <c r="BK12" s="12">
        <v>40480</v>
      </c>
      <c r="BL12">
        <v>7.5880000000000001</v>
      </c>
      <c r="BM12" s="12">
        <v>40480</v>
      </c>
      <c r="BN12">
        <v>14.156000000000001</v>
      </c>
      <c r="BO12" s="12">
        <v>40480</v>
      </c>
      <c r="BP12">
        <v>4.8520000000000003</v>
      </c>
      <c r="BQ12" s="12">
        <v>40480</v>
      </c>
      <c r="BR12">
        <v>4.5149999999999997</v>
      </c>
      <c r="BS12" s="12">
        <v>40480</v>
      </c>
      <c r="BT12">
        <v>6.2409999999999997</v>
      </c>
      <c r="BU12" s="12">
        <v>40480</v>
      </c>
      <c r="BV12">
        <v>5.782</v>
      </c>
      <c r="BW12" s="12">
        <v>40480</v>
      </c>
      <c r="BX12">
        <v>1.847</v>
      </c>
      <c r="BY12" s="12">
        <v>40480</v>
      </c>
      <c r="BZ12">
        <v>14.602</v>
      </c>
      <c r="CA12" s="12">
        <v>40480</v>
      </c>
      <c r="CB12">
        <v>25.138999999999999</v>
      </c>
      <c r="CC12" s="12">
        <v>43251</v>
      </c>
      <c r="CD12">
        <v>15.497</v>
      </c>
      <c r="CE12" s="12">
        <v>40480</v>
      </c>
      <c r="CF12">
        <v>13.933999999999999</v>
      </c>
      <c r="CG12" s="12">
        <v>40480</v>
      </c>
      <c r="CH12">
        <v>18.657</v>
      </c>
      <c r="CI12" s="12">
        <v>40480</v>
      </c>
      <c r="CJ12">
        <v>17.702999999999999</v>
      </c>
      <c r="CK12" s="12">
        <v>40480</v>
      </c>
      <c r="CL12">
        <v>19.033000000000001</v>
      </c>
      <c r="CM12" s="12">
        <v>40480</v>
      </c>
      <c r="CN12">
        <v>14.625999999999999</v>
      </c>
      <c r="CO12" s="12">
        <v>41943</v>
      </c>
      <c r="CP12">
        <v>13.071999999999999</v>
      </c>
      <c r="CQ12" s="12">
        <v>40480</v>
      </c>
      <c r="CR12">
        <v>17.143999999999998</v>
      </c>
      <c r="CS12" s="12">
        <v>40480</v>
      </c>
      <c r="CT12">
        <v>19.957999999999998</v>
      </c>
      <c r="CU12" s="12">
        <v>40480</v>
      </c>
      <c r="CV12">
        <v>8.1530000000000005</v>
      </c>
      <c r="CW12" s="12">
        <v>40480</v>
      </c>
      <c r="CX12">
        <v>10.1</v>
      </c>
      <c r="CY12" s="12">
        <v>40574</v>
      </c>
      <c r="CZ12">
        <v>8.5670000000000002</v>
      </c>
      <c r="DA12" s="12">
        <v>40480</v>
      </c>
      <c r="DB12">
        <v>11.73</v>
      </c>
      <c r="DC12" s="12">
        <v>40480</v>
      </c>
      <c r="DD12">
        <v>17.507000000000001</v>
      </c>
      <c r="DE12" s="12">
        <v>40480</v>
      </c>
      <c r="DF12">
        <v>14.94</v>
      </c>
      <c r="DG12" s="12">
        <v>40543</v>
      </c>
      <c r="DH12">
        <v>28.631</v>
      </c>
      <c r="DI12" s="12">
        <v>40480</v>
      </c>
      <c r="DJ12">
        <v>18.969000000000001</v>
      </c>
      <c r="DK12" s="12">
        <v>40480</v>
      </c>
      <c r="DL12">
        <v>10.750999999999999</v>
      </c>
      <c r="DM12" s="12">
        <v>40907</v>
      </c>
      <c r="DN12">
        <v>10.130000000000001</v>
      </c>
      <c r="DO12" s="12">
        <v>40480</v>
      </c>
      <c r="DP12">
        <v>7.3029999999999999</v>
      </c>
      <c r="DQ12" s="12">
        <v>40480</v>
      </c>
      <c r="DR12">
        <v>401.07100000000003</v>
      </c>
      <c r="DS12" s="12">
        <v>40480</v>
      </c>
      <c r="DT12">
        <v>7.0979999999999999</v>
      </c>
      <c r="DU12" s="12">
        <v>40480</v>
      </c>
      <c r="DV12">
        <v>1.76</v>
      </c>
      <c r="DW12" s="12">
        <v>40480</v>
      </c>
      <c r="DX12">
        <v>7.5220000000000002</v>
      </c>
      <c r="DY12" s="12">
        <v>40480</v>
      </c>
      <c r="DZ12">
        <v>5.718</v>
      </c>
      <c r="EA12" s="12">
        <v>40480</v>
      </c>
      <c r="EB12">
        <v>19.117000000000001</v>
      </c>
      <c r="EC12" s="12">
        <v>40480</v>
      </c>
      <c r="ED12">
        <v>24.608000000000001</v>
      </c>
      <c r="EE12" s="12">
        <v>40480</v>
      </c>
      <c r="EF12">
        <v>7.8529999999999998</v>
      </c>
      <c r="EG12" s="12">
        <v>40480</v>
      </c>
      <c r="EH12">
        <v>13.82</v>
      </c>
      <c r="EI12" s="12">
        <v>40480</v>
      </c>
      <c r="EJ12">
        <v>96.813000000000002</v>
      </c>
      <c r="EK12" s="12">
        <v>40480</v>
      </c>
      <c r="EL12">
        <v>13.848000000000001</v>
      </c>
      <c r="EM12" s="12">
        <v>40480</v>
      </c>
      <c r="EN12">
        <v>18.698</v>
      </c>
      <c r="EO12" s="12">
        <v>43524</v>
      </c>
      <c r="EP12">
        <v>32.951999999999998</v>
      </c>
      <c r="EQ12" s="12">
        <v>40480</v>
      </c>
      <c r="ER12">
        <v>22.143999999999998</v>
      </c>
      <c r="ES12" s="12">
        <v>40480</v>
      </c>
      <c r="ET12">
        <v>29.091999999999999</v>
      </c>
      <c r="EU12" s="12">
        <v>40480</v>
      </c>
      <c r="EV12">
        <v>1.75</v>
      </c>
      <c r="EW12" s="12">
        <v>43524</v>
      </c>
      <c r="EX12">
        <v>32.231999999999999</v>
      </c>
      <c r="EY12" s="12">
        <v>40480</v>
      </c>
      <c r="EZ12">
        <v>18.899000000000001</v>
      </c>
      <c r="FA12" s="12">
        <v>40480</v>
      </c>
      <c r="FB12">
        <v>22.824999999999999</v>
      </c>
      <c r="FC12" s="12">
        <v>40480</v>
      </c>
      <c r="FD12">
        <v>16.896999999999998</v>
      </c>
      <c r="FE12" s="12">
        <v>43251</v>
      </c>
      <c r="FF12">
        <v>15.429</v>
      </c>
      <c r="FG12" s="12">
        <v>40480</v>
      </c>
      <c r="FH12">
        <v>4.2489999999999997</v>
      </c>
      <c r="FI12" s="12">
        <v>40480</v>
      </c>
      <c r="FJ12">
        <v>8.6419999999999995</v>
      </c>
      <c r="FK12" s="12">
        <v>40480</v>
      </c>
      <c r="FL12">
        <v>11.949</v>
      </c>
      <c r="FM12" s="12">
        <v>40480</v>
      </c>
      <c r="FN12">
        <v>5.8689999999999998</v>
      </c>
      <c r="FO12" s="12">
        <v>40480</v>
      </c>
      <c r="FP12">
        <v>15.709</v>
      </c>
      <c r="FQ12" s="12">
        <v>41971</v>
      </c>
      <c r="FR12">
        <v>11.525</v>
      </c>
      <c r="FS12" s="12">
        <v>40480</v>
      </c>
      <c r="FT12">
        <v>0.63200000000000001</v>
      </c>
      <c r="FU12" s="12">
        <v>40480</v>
      </c>
      <c r="FV12">
        <v>6.7350000000000003</v>
      </c>
      <c r="FW12" s="12">
        <v>40480</v>
      </c>
      <c r="FX12">
        <v>8.7970000000000006</v>
      </c>
      <c r="FY12" s="12">
        <v>41333</v>
      </c>
      <c r="FZ12">
        <v>3.137</v>
      </c>
      <c r="GA12" s="12">
        <v>40480</v>
      </c>
      <c r="GB12">
        <v>7.2919999999999998</v>
      </c>
      <c r="GC12" s="12">
        <v>40480</v>
      </c>
      <c r="GD12">
        <v>14.237</v>
      </c>
      <c r="GE12" s="12">
        <v>41639</v>
      </c>
      <c r="GF12">
        <v>14.829000000000001</v>
      </c>
      <c r="GG12" s="12">
        <v>43769</v>
      </c>
      <c r="GH12">
        <v>25.3</v>
      </c>
      <c r="GI12" s="12">
        <v>40480</v>
      </c>
      <c r="GJ12">
        <v>8.984</v>
      </c>
      <c r="GK12" s="12">
        <v>40480</v>
      </c>
      <c r="GL12">
        <v>49.564</v>
      </c>
      <c r="GM12" s="12">
        <v>40480</v>
      </c>
      <c r="GN12">
        <v>12.576000000000001</v>
      </c>
      <c r="GO12" s="12">
        <v>40968</v>
      </c>
      <c r="GP12">
        <v>1.3679999999999999</v>
      </c>
      <c r="GQ12" s="12">
        <v>40602</v>
      </c>
      <c r="GR12">
        <v>18.035</v>
      </c>
      <c r="GS12" s="12">
        <v>40480</v>
      </c>
      <c r="GT12">
        <v>2044.9159999999999</v>
      </c>
      <c r="GU12" s="12">
        <v>43098</v>
      </c>
      <c r="GV12">
        <v>6.5570000000000004</v>
      </c>
      <c r="GW12" s="12">
        <v>40543</v>
      </c>
      <c r="GX12">
        <v>17.649999999999999</v>
      </c>
      <c r="GY12" s="12">
        <v>40480</v>
      </c>
      <c r="GZ12">
        <v>15.266999999999999</v>
      </c>
      <c r="HA12" s="12">
        <v>40480</v>
      </c>
      <c r="HB12">
        <v>10.053000000000001</v>
      </c>
      <c r="HC12" s="12">
        <v>40480</v>
      </c>
      <c r="HD12">
        <v>10.782999999999999</v>
      </c>
      <c r="HE12" s="12">
        <v>40480</v>
      </c>
      <c r="HF12">
        <v>18.856999999999999</v>
      </c>
      <c r="HG12" s="12">
        <v>40480</v>
      </c>
      <c r="HH12">
        <v>18.251000000000001</v>
      </c>
      <c r="HI12" s="12">
        <v>40480</v>
      </c>
      <c r="HJ12">
        <v>6.0259999999999998</v>
      </c>
      <c r="HK12" s="12">
        <v>40480</v>
      </c>
      <c r="HL12">
        <v>2232</v>
      </c>
      <c r="HM12" s="12">
        <v>40480</v>
      </c>
      <c r="HN12">
        <v>67.352999999999994</v>
      </c>
      <c r="HO12" s="12">
        <v>40480</v>
      </c>
      <c r="HP12">
        <v>50.756</v>
      </c>
      <c r="HQ12" s="12">
        <v>40574</v>
      </c>
      <c r="HR12">
        <v>1656</v>
      </c>
      <c r="HS12" s="12">
        <v>40480</v>
      </c>
      <c r="HT12">
        <v>61.054000000000002</v>
      </c>
      <c r="HU12" s="12">
        <v>40480</v>
      </c>
      <c r="HV12">
        <v>4605.5349999999999</v>
      </c>
      <c r="HW12" s="12">
        <v>40480</v>
      </c>
      <c r="HX12">
        <v>24.75</v>
      </c>
      <c r="HY12" s="12">
        <v>40480</v>
      </c>
      <c r="HZ12">
        <v>20.149999999999999</v>
      </c>
      <c r="IA12" s="12">
        <v>40480</v>
      </c>
      <c r="IB12">
        <v>82.894999999999996</v>
      </c>
      <c r="IC12" s="12">
        <v>40480</v>
      </c>
      <c r="ID12">
        <v>2.4849999999999999</v>
      </c>
      <c r="IE12" s="12">
        <v>40480</v>
      </c>
      <c r="IF12">
        <v>14.254</v>
      </c>
      <c r="IG12" s="12">
        <v>40786</v>
      </c>
      <c r="IH12">
        <v>104.9</v>
      </c>
      <c r="II12" s="12">
        <v>40480</v>
      </c>
      <c r="IJ12">
        <v>44.892000000000003</v>
      </c>
      <c r="IK12" s="12">
        <v>40847</v>
      </c>
      <c r="IL12">
        <v>1.8399999999999999</v>
      </c>
      <c r="IM12" s="12">
        <v>40480</v>
      </c>
      <c r="IN12">
        <v>14.644</v>
      </c>
      <c r="IO12" s="12">
        <v>41029</v>
      </c>
      <c r="IP12">
        <v>10.327999999999999</v>
      </c>
      <c r="IQ12" s="12">
        <v>40480</v>
      </c>
      <c r="IR12">
        <v>13.067</v>
      </c>
      <c r="IS12" s="12">
        <v>42398</v>
      </c>
      <c r="IT12">
        <v>1.8900000000000001</v>
      </c>
      <c r="IU12" s="12">
        <v>40480</v>
      </c>
      <c r="IV12">
        <v>9.2030999999999992</v>
      </c>
      <c r="IW12" s="12">
        <v>40480</v>
      </c>
      <c r="IX12">
        <v>19.765999999999998</v>
      </c>
      <c r="IY12" s="12">
        <v>40480</v>
      </c>
      <c r="IZ12">
        <v>6.8159999999999998</v>
      </c>
      <c r="JA12" s="12">
        <v>42247</v>
      </c>
      <c r="JB12">
        <v>6.226</v>
      </c>
      <c r="JC12" s="12">
        <v>40480</v>
      </c>
      <c r="JD12">
        <v>13.757999999999999</v>
      </c>
      <c r="JE12" s="12">
        <v>40480</v>
      </c>
      <c r="JF12">
        <v>383.89</v>
      </c>
      <c r="JG12" s="12">
        <v>42398</v>
      </c>
      <c r="JH12">
        <v>1.8900000000000001</v>
      </c>
      <c r="JI12" s="12">
        <v>40480</v>
      </c>
      <c r="JJ12">
        <v>12.808</v>
      </c>
      <c r="JK12" s="12">
        <v>43371</v>
      </c>
      <c r="JL12">
        <v>12.782</v>
      </c>
      <c r="JM12" s="12">
        <v>40480</v>
      </c>
      <c r="JN12">
        <v>0.48699999999999999</v>
      </c>
      <c r="JO12" s="12">
        <v>40480</v>
      </c>
      <c r="JP12">
        <v>9.4019999999999992</v>
      </c>
      <c r="JQ12" s="12">
        <v>41880</v>
      </c>
      <c r="JR12">
        <v>22.324000000000002</v>
      </c>
      <c r="JS12" s="12">
        <v>40480</v>
      </c>
      <c r="JT12">
        <v>7.8780000000000001</v>
      </c>
      <c r="JU12" s="12">
        <v>41698</v>
      </c>
      <c r="JV12">
        <v>21.038</v>
      </c>
      <c r="JW12" s="12">
        <v>40480</v>
      </c>
      <c r="JX12">
        <v>6.14</v>
      </c>
      <c r="JY12" s="12">
        <v>40480</v>
      </c>
      <c r="JZ12">
        <v>10.372</v>
      </c>
      <c r="KA12" s="12">
        <v>43371</v>
      </c>
      <c r="KB12">
        <v>47.558999999999997</v>
      </c>
      <c r="KC12" s="12">
        <v>40480</v>
      </c>
      <c r="KD12">
        <v>13.887</v>
      </c>
      <c r="KE12" s="12">
        <v>40480</v>
      </c>
      <c r="KF12">
        <v>4.4850000000000003</v>
      </c>
      <c r="KG12" s="12">
        <v>40480</v>
      </c>
      <c r="KH12">
        <v>0.17399999999999999</v>
      </c>
      <c r="KI12" s="12">
        <v>40480</v>
      </c>
      <c r="KJ12">
        <v>7.4160000000000004</v>
      </c>
      <c r="KK12" s="12">
        <v>40480</v>
      </c>
      <c r="KL12">
        <v>5.4119999999999999</v>
      </c>
      <c r="KM12" s="12">
        <v>43098</v>
      </c>
      <c r="KN12">
        <v>9.5730000000000004</v>
      </c>
      <c r="KO12" s="12">
        <v>40480</v>
      </c>
      <c r="KP12">
        <v>192.631</v>
      </c>
      <c r="KQ12" s="12">
        <v>40480</v>
      </c>
      <c r="KR12">
        <v>255.15299999999999</v>
      </c>
      <c r="KS12" s="12">
        <v>40480</v>
      </c>
      <c r="KT12">
        <v>9.5090000000000003</v>
      </c>
      <c r="KU12" s="12">
        <v>40480</v>
      </c>
      <c r="KV12">
        <v>5.5730000000000004</v>
      </c>
      <c r="KW12" s="12">
        <v>40480</v>
      </c>
      <c r="KX12">
        <v>46.494999999999997</v>
      </c>
      <c r="KY12" s="12">
        <v>40480</v>
      </c>
      <c r="KZ12">
        <v>33.546999999999997</v>
      </c>
      <c r="LA12" s="12">
        <v>40480</v>
      </c>
      <c r="LB12">
        <v>25.277000000000001</v>
      </c>
      <c r="LC12" s="12">
        <v>40480</v>
      </c>
      <c r="LD12">
        <v>8.673</v>
      </c>
      <c r="LE12" s="12">
        <v>40480</v>
      </c>
      <c r="LF12">
        <v>6.9</v>
      </c>
      <c r="LG12" s="12">
        <v>40480</v>
      </c>
      <c r="LH12">
        <v>8.1189999999999998</v>
      </c>
      <c r="LI12" s="12">
        <v>40480</v>
      </c>
      <c r="LJ12">
        <v>10.090999999999999</v>
      </c>
      <c r="LK12" s="12">
        <v>40480</v>
      </c>
      <c r="LL12">
        <v>24.923999999999999</v>
      </c>
      <c r="LM12" s="12">
        <v>40480</v>
      </c>
      <c r="LN12">
        <v>23.574999999999999</v>
      </c>
      <c r="LO12" s="12">
        <v>40480</v>
      </c>
      <c r="LP12">
        <v>19.661999999999999</v>
      </c>
      <c r="LQ12" s="12">
        <v>40480</v>
      </c>
      <c r="LR12">
        <v>35.814</v>
      </c>
      <c r="LS12" s="12">
        <v>40480</v>
      </c>
      <c r="LT12">
        <v>33.359000000000002</v>
      </c>
      <c r="LU12" s="12">
        <v>40480</v>
      </c>
      <c r="LV12">
        <v>44.622999999999998</v>
      </c>
      <c r="LW12" s="12">
        <v>40480</v>
      </c>
      <c r="LX12">
        <v>2674.7820000000002</v>
      </c>
      <c r="LY12" s="12">
        <v>40480</v>
      </c>
      <c r="LZ12">
        <v>19.826000000000001</v>
      </c>
      <c r="MA12" s="12">
        <v>40480</v>
      </c>
      <c r="MB12">
        <v>11.147</v>
      </c>
      <c r="MC12" s="12">
        <v>41943</v>
      </c>
      <c r="MD12">
        <v>23.027999999999999</v>
      </c>
      <c r="ME12" s="12">
        <v>40480</v>
      </c>
      <c r="MF12">
        <v>3.4169999999999998</v>
      </c>
      <c r="MG12" s="12">
        <v>40480</v>
      </c>
      <c r="MH12">
        <v>5.2460000000000004</v>
      </c>
      <c r="MI12" s="12">
        <v>42489</v>
      </c>
      <c r="MJ12">
        <v>8.0779999999999994</v>
      </c>
      <c r="MK12" s="12">
        <v>40480</v>
      </c>
      <c r="ML12">
        <v>6.2439999999999998</v>
      </c>
    </row>
    <row r="13" spans="1:350" x14ac:dyDescent="0.3">
      <c r="A13" s="12">
        <v>40512</v>
      </c>
      <c r="B13" s="1">
        <v>6.7389999999999999</v>
      </c>
      <c r="C13" s="12">
        <v>40877</v>
      </c>
      <c r="D13" s="1">
        <v>5.79</v>
      </c>
      <c r="E13" s="12">
        <v>40512</v>
      </c>
      <c r="F13" s="13">
        <v>15.553000000000001</v>
      </c>
      <c r="G13" s="17">
        <v>40512</v>
      </c>
      <c r="H13" s="13">
        <v>4.3970000000000002</v>
      </c>
      <c r="I13" s="17">
        <v>40543</v>
      </c>
      <c r="J13">
        <v>11.917999999999999</v>
      </c>
      <c r="K13" s="12">
        <v>41729</v>
      </c>
      <c r="L13">
        <v>11.701000000000001</v>
      </c>
      <c r="M13" s="12">
        <v>40512</v>
      </c>
      <c r="N13" s="12">
        <v>35.646000000000001</v>
      </c>
      <c r="O13" s="12">
        <v>40512</v>
      </c>
      <c r="P13">
        <v>16.53</v>
      </c>
      <c r="Q13" s="12">
        <v>41912</v>
      </c>
      <c r="R13">
        <v>27.716999999999999</v>
      </c>
      <c r="S13" s="12">
        <v>40512</v>
      </c>
      <c r="T13">
        <v>10.1</v>
      </c>
      <c r="U13" s="12">
        <v>40939</v>
      </c>
      <c r="V13">
        <v>23.175000000000001</v>
      </c>
      <c r="W13" s="12">
        <v>43189</v>
      </c>
      <c r="X13">
        <v>38.200000000000003</v>
      </c>
      <c r="Y13" s="12">
        <v>40512</v>
      </c>
      <c r="Z13">
        <v>8.9819999999999993</v>
      </c>
      <c r="AA13" s="12">
        <v>40512</v>
      </c>
      <c r="AB13">
        <v>18.082000000000001</v>
      </c>
      <c r="AC13" s="12">
        <v>40512</v>
      </c>
      <c r="AD13">
        <v>7.8100000000000005</v>
      </c>
      <c r="AE13" s="12">
        <v>40512</v>
      </c>
      <c r="AF13">
        <v>9.7050000000000001</v>
      </c>
      <c r="AG13" s="12">
        <v>40512</v>
      </c>
      <c r="AH13">
        <v>63.503</v>
      </c>
      <c r="AI13" s="12">
        <v>41729</v>
      </c>
      <c r="AJ13">
        <v>16.062999999999999</v>
      </c>
      <c r="AK13" s="12">
        <v>40512</v>
      </c>
      <c r="AL13">
        <v>6.0190000000000001</v>
      </c>
      <c r="AO13" s="12">
        <v>40512</v>
      </c>
      <c r="AP13">
        <v>7.0780000000000003</v>
      </c>
      <c r="AQ13" s="12">
        <v>43131</v>
      </c>
      <c r="AR13">
        <v>19.553000000000001</v>
      </c>
      <c r="AS13" s="12">
        <v>40512</v>
      </c>
      <c r="AT13">
        <v>3.9649999999999999</v>
      </c>
      <c r="AU13" s="12">
        <v>40512</v>
      </c>
      <c r="AV13">
        <v>25.457000000000001</v>
      </c>
      <c r="AW13" s="12">
        <v>43434</v>
      </c>
      <c r="AX13">
        <v>21.402999999999999</v>
      </c>
      <c r="AY13" s="12">
        <v>40512</v>
      </c>
      <c r="AZ13">
        <v>22.832999999999998</v>
      </c>
      <c r="BA13" s="12">
        <v>40512</v>
      </c>
      <c r="BB13">
        <v>12.523</v>
      </c>
      <c r="BC13" s="12">
        <v>40512</v>
      </c>
      <c r="BD13">
        <v>9.5419999999999998</v>
      </c>
      <c r="BE13" s="12">
        <v>40602</v>
      </c>
      <c r="BF13">
        <v>8.9759999999999991</v>
      </c>
      <c r="BG13" s="12">
        <v>40512</v>
      </c>
      <c r="BH13">
        <v>10.25</v>
      </c>
      <c r="BI13" s="12">
        <v>40512</v>
      </c>
      <c r="BJ13">
        <v>26.134</v>
      </c>
      <c r="BK13" s="12">
        <v>40512</v>
      </c>
      <c r="BL13">
        <v>7.7119999999999997</v>
      </c>
      <c r="BM13" s="12">
        <v>40512</v>
      </c>
      <c r="BN13">
        <v>15.071999999999999</v>
      </c>
      <c r="BO13" s="12">
        <v>40512</v>
      </c>
      <c r="BP13">
        <v>4.9409999999999998</v>
      </c>
      <c r="BQ13" s="12">
        <v>40512</v>
      </c>
      <c r="BR13">
        <v>4.3339999999999996</v>
      </c>
      <c r="BS13" s="12">
        <v>40512</v>
      </c>
      <c r="BT13">
        <v>5.9399999999999995</v>
      </c>
      <c r="BU13" s="12">
        <v>40512</v>
      </c>
      <c r="BV13">
        <v>5.8250000000000002</v>
      </c>
      <c r="BW13" s="12">
        <v>40512</v>
      </c>
      <c r="BX13">
        <v>1.986</v>
      </c>
      <c r="BY13" s="12">
        <v>40512</v>
      </c>
      <c r="BZ13">
        <v>14.532</v>
      </c>
      <c r="CA13" s="12">
        <v>40512</v>
      </c>
      <c r="CB13">
        <v>26.724</v>
      </c>
      <c r="CC13" s="12">
        <v>43280</v>
      </c>
      <c r="CD13">
        <v>14.71</v>
      </c>
      <c r="CE13" s="12">
        <v>40512</v>
      </c>
      <c r="CF13">
        <v>13.73</v>
      </c>
      <c r="CG13" s="12">
        <v>40512</v>
      </c>
      <c r="CH13">
        <v>18.239999999999998</v>
      </c>
      <c r="CI13" s="12">
        <v>40512</v>
      </c>
      <c r="CJ13">
        <v>18.585000000000001</v>
      </c>
      <c r="CK13" s="12">
        <v>40512</v>
      </c>
      <c r="CL13">
        <v>17.591000000000001</v>
      </c>
      <c r="CM13" s="12">
        <v>40512</v>
      </c>
      <c r="CN13">
        <v>16.376000000000001</v>
      </c>
      <c r="CO13" s="12">
        <v>41971</v>
      </c>
      <c r="CP13">
        <v>13.589</v>
      </c>
      <c r="CQ13" s="12">
        <v>40512</v>
      </c>
      <c r="CR13">
        <v>15.831</v>
      </c>
      <c r="CS13" s="12">
        <v>40512</v>
      </c>
      <c r="CT13">
        <v>20.908000000000001</v>
      </c>
      <c r="CU13" s="12">
        <v>40512</v>
      </c>
      <c r="CV13">
        <v>8.9450000000000003</v>
      </c>
      <c r="CW13" s="12">
        <v>40512</v>
      </c>
      <c r="CX13">
        <v>10.1</v>
      </c>
      <c r="CY13" s="12">
        <v>40602</v>
      </c>
      <c r="CZ13">
        <v>8.4350000000000005</v>
      </c>
      <c r="DA13" s="12">
        <v>40512</v>
      </c>
      <c r="DB13">
        <v>12.423</v>
      </c>
      <c r="DC13" s="12">
        <v>40512</v>
      </c>
      <c r="DD13">
        <v>16.826000000000001</v>
      </c>
      <c r="DE13" s="12">
        <v>40512</v>
      </c>
      <c r="DF13">
        <v>14.292999999999999</v>
      </c>
      <c r="DG13" s="12">
        <v>40574</v>
      </c>
      <c r="DH13">
        <v>33.372</v>
      </c>
      <c r="DI13" s="12">
        <v>40512</v>
      </c>
      <c r="DJ13">
        <v>19.786999999999999</v>
      </c>
      <c r="DK13" s="12">
        <v>40512</v>
      </c>
      <c r="DL13">
        <v>10.999000000000001</v>
      </c>
      <c r="DM13" s="12">
        <v>40939</v>
      </c>
      <c r="DN13">
        <v>8.7420000000000009</v>
      </c>
      <c r="DO13" s="12">
        <v>40512</v>
      </c>
      <c r="DP13">
        <v>7.1660000000000004</v>
      </c>
      <c r="DQ13" s="12">
        <v>40512</v>
      </c>
      <c r="DR13">
        <v>374.512</v>
      </c>
      <c r="DS13" s="12">
        <v>40512</v>
      </c>
      <c r="DT13">
        <v>7.0759999999999996</v>
      </c>
      <c r="DU13" s="12">
        <v>40512</v>
      </c>
      <c r="DV13">
        <v>1.8080000000000001</v>
      </c>
      <c r="DW13" s="12">
        <v>40512</v>
      </c>
      <c r="DX13">
        <v>6.9630000000000001</v>
      </c>
      <c r="DY13" s="12">
        <v>40512</v>
      </c>
      <c r="DZ13">
        <v>6.1630000000000003</v>
      </c>
      <c r="EA13" s="12">
        <v>40512</v>
      </c>
      <c r="EB13">
        <v>18.271999999999998</v>
      </c>
      <c r="EC13" s="12">
        <v>40512</v>
      </c>
      <c r="ED13">
        <v>21.481000000000002</v>
      </c>
      <c r="EE13" s="12">
        <v>40512</v>
      </c>
      <c r="EF13">
        <v>8.1379999999999999</v>
      </c>
      <c r="EG13" s="12">
        <v>40512</v>
      </c>
      <c r="EH13">
        <v>14.206</v>
      </c>
      <c r="EI13" s="12">
        <v>40512</v>
      </c>
      <c r="EJ13">
        <v>81.914000000000001</v>
      </c>
      <c r="EK13" s="12">
        <v>40512</v>
      </c>
      <c r="EL13">
        <v>12.29</v>
      </c>
      <c r="EM13" s="12">
        <v>40512</v>
      </c>
      <c r="EN13">
        <v>16.667000000000002</v>
      </c>
      <c r="EO13" s="12">
        <v>43553</v>
      </c>
      <c r="EP13">
        <v>32.686999999999998</v>
      </c>
      <c r="EQ13" s="12">
        <v>40512</v>
      </c>
      <c r="ER13">
        <v>19.798000000000002</v>
      </c>
      <c r="ES13" s="12">
        <v>40512</v>
      </c>
      <c r="ET13">
        <v>27.207999999999998</v>
      </c>
      <c r="EU13" s="12">
        <v>40512</v>
      </c>
      <c r="EV13">
        <v>1.8759999999999999</v>
      </c>
      <c r="EW13" s="12">
        <v>43553</v>
      </c>
      <c r="EX13">
        <v>30.422000000000001</v>
      </c>
      <c r="EY13" s="12">
        <v>40512</v>
      </c>
      <c r="EZ13">
        <v>20.437999999999999</v>
      </c>
      <c r="FA13" s="12">
        <v>40512</v>
      </c>
      <c r="FB13">
        <v>22.116</v>
      </c>
      <c r="FC13" s="12">
        <v>40512</v>
      </c>
      <c r="FD13">
        <v>18.266999999999999</v>
      </c>
      <c r="FE13" s="12">
        <v>43280</v>
      </c>
      <c r="FF13">
        <v>15.47</v>
      </c>
      <c r="FG13" s="12">
        <v>40512</v>
      </c>
      <c r="FH13">
        <v>4.0819999999999999</v>
      </c>
      <c r="FI13" s="12">
        <v>40512</v>
      </c>
      <c r="FJ13">
        <v>8.4410000000000007</v>
      </c>
      <c r="FK13" s="12">
        <v>40512</v>
      </c>
      <c r="FL13">
        <v>11.305</v>
      </c>
      <c r="FM13" s="12">
        <v>40512</v>
      </c>
      <c r="FN13">
        <v>5.8780000000000001</v>
      </c>
      <c r="FO13" s="12">
        <v>40512</v>
      </c>
      <c r="FP13">
        <v>14.86</v>
      </c>
      <c r="FQ13" s="12">
        <v>42004</v>
      </c>
      <c r="FR13">
        <v>12.054</v>
      </c>
      <c r="FS13" s="12">
        <v>40512</v>
      </c>
      <c r="FT13">
        <v>0.65300000000000002</v>
      </c>
      <c r="FU13" s="12">
        <v>40512</v>
      </c>
      <c r="FV13">
        <v>6.38</v>
      </c>
      <c r="FW13" s="12">
        <v>40512</v>
      </c>
      <c r="FX13">
        <v>7.8159999999999998</v>
      </c>
      <c r="FY13" s="12">
        <v>41362</v>
      </c>
      <c r="FZ13">
        <v>2.9009999999999998</v>
      </c>
      <c r="GA13" s="12">
        <v>40512</v>
      </c>
      <c r="GB13">
        <v>7.6890000000000001</v>
      </c>
      <c r="GC13" s="12">
        <v>40512</v>
      </c>
      <c r="GD13">
        <v>14.609</v>
      </c>
      <c r="GE13" s="12">
        <v>41670</v>
      </c>
      <c r="GF13">
        <v>13.571999999999999</v>
      </c>
      <c r="GG13" s="12">
        <v>43798</v>
      </c>
      <c r="GH13">
        <v>28.14</v>
      </c>
      <c r="GI13" s="12">
        <v>40512</v>
      </c>
      <c r="GJ13">
        <v>8.0250000000000004</v>
      </c>
      <c r="GK13" s="12">
        <v>40512</v>
      </c>
      <c r="GL13">
        <v>47.2</v>
      </c>
      <c r="GM13" s="12">
        <v>40512</v>
      </c>
      <c r="GN13">
        <v>12.282999999999999</v>
      </c>
      <c r="GO13" s="12">
        <v>40998</v>
      </c>
      <c r="GP13">
        <v>1.381</v>
      </c>
      <c r="GQ13" s="12">
        <v>40633</v>
      </c>
      <c r="GR13">
        <v>17.193000000000001</v>
      </c>
      <c r="GS13" s="12">
        <v>40512</v>
      </c>
      <c r="GT13">
        <v>1825.0170000000001</v>
      </c>
      <c r="GU13" s="12">
        <v>43131</v>
      </c>
      <c r="GV13">
        <v>7.7709999999999999</v>
      </c>
      <c r="GW13" s="12">
        <v>40574</v>
      </c>
      <c r="GX13">
        <v>16.306000000000001</v>
      </c>
      <c r="GY13" s="12">
        <v>40512</v>
      </c>
      <c r="GZ13">
        <v>12.954000000000001</v>
      </c>
      <c r="HA13" s="12">
        <v>40512</v>
      </c>
      <c r="HB13">
        <v>10.265000000000001</v>
      </c>
      <c r="HC13" s="12">
        <v>40512</v>
      </c>
      <c r="HD13">
        <v>10.506</v>
      </c>
      <c r="HE13" s="12">
        <v>40512</v>
      </c>
      <c r="HF13">
        <v>19.177</v>
      </c>
      <c r="HG13" s="12">
        <v>40512</v>
      </c>
      <c r="HH13">
        <v>17.268999999999998</v>
      </c>
      <c r="HI13" s="12">
        <v>40512</v>
      </c>
      <c r="HJ13">
        <v>6.258</v>
      </c>
      <c r="HK13" s="12">
        <v>40512</v>
      </c>
      <c r="HL13">
        <v>1990</v>
      </c>
      <c r="HM13" s="12">
        <v>40512</v>
      </c>
      <c r="HN13">
        <v>60.756999999999998</v>
      </c>
      <c r="HO13" s="12">
        <v>40512</v>
      </c>
      <c r="HP13">
        <v>48.417999999999999</v>
      </c>
      <c r="HQ13" s="12">
        <v>40602</v>
      </c>
      <c r="HR13">
        <v>1999.96</v>
      </c>
      <c r="HS13" s="12">
        <v>40512</v>
      </c>
      <c r="HT13">
        <v>65.090999999999994</v>
      </c>
      <c r="HU13" s="12">
        <v>40512</v>
      </c>
      <c r="HV13">
        <v>4499.4359999999997</v>
      </c>
      <c r="HW13" s="12">
        <v>40512</v>
      </c>
      <c r="HX13">
        <v>23.841999999999999</v>
      </c>
      <c r="HY13" s="12">
        <v>40512</v>
      </c>
      <c r="HZ13">
        <v>19.268999999999998</v>
      </c>
      <c r="IA13" s="12">
        <v>40512</v>
      </c>
      <c r="IB13">
        <v>74.063000000000002</v>
      </c>
      <c r="IC13" s="12">
        <v>40512</v>
      </c>
      <c r="ID13">
        <v>2.6080000000000001</v>
      </c>
      <c r="IE13" s="12">
        <v>40512</v>
      </c>
      <c r="IF13">
        <v>9.8330000000000002</v>
      </c>
      <c r="IG13" s="12">
        <v>40816</v>
      </c>
      <c r="IH13">
        <v>75</v>
      </c>
      <c r="II13" s="12">
        <v>40512</v>
      </c>
      <c r="IJ13">
        <v>40.68</v>
      </c>
      <c r="IK13" s="12">
        <v>40877</v>
      </c>
      <c r="IL13">
        <v>1.44</v>
      </c>
      <c r="IM13" s="12">
        <v>40512</v>
      </c>
      <c r="IN13">
        <v>15.324</v>
      </c>
      <c r="IO13" s="12">
        <v>41060</v>
      </c>
      <c r="IP13">
        <v>10.701000000000001</v>
      </c>
      <c r="IQ13" s="12">
        <v>40512</v>
      </c>
      <c r="IR13">
        <v>12.747999999999999</v>
      </c>
      <c r="IS13" s="12">
        <v>42429</v>
      </c>
      <c r="IT13">
        <v>2.63</v>
      </c>
      <c r="IU13" s="12">
        <v>40512</v>
      </c>
      <c r="IV13">
        <v>8.9</v>
      </c>
      <c r="IW13" s="12">
        <v>40512</v>
      </c>
      <c r="IX13">
        <v>20.079999999999998</v>
      </c>
      <c r="IY13" s="12">
        <v>40512</v>
      </c>
      <c r="IZ13">
        <v>6.819</v>
      </c>
      <c r="JA13" s="12">
        <v>42277</v>
      </c>
      <c r="JB13">
        <v>4.2480000000000002</v>
      </c>
      <c r="JC13" s="12">
        <v>40512</v>
      </c>
      <c r="JD13">
        <v>10.076000000000001</v>
      </c>
      <c r="JE13" s="12">
        <v>40512</v>
      </c>
      <c r="JF13">
        <v>349.09500000000003</v>
      </c>
      <c r="JG13" s="12">
        <v>42429</v>
      </c>
      <c r="JH13">
        <v>2.63</v>
      </c>
      <c r="JI13" s="12">
        <v>40512</v>
      </c>
      <c r="JJ13">
        <v>11.762</v>
      </c>
      <c r="JK13" s="12">
        <v>43404</v>
      </c>
      <c r="JL13">
        <v>15.931000000000001</v>
      </c>
      <c r="JM13" s="12">
        <v>40512</v>
      </c>
      <c r="JN13">
        <v>0.49299999999999999</v>
      </c>
      <c r="JO13" s="12">
        <v>40512</v>
      </c>
      <c r="JP13">
        <v>9.3629999999999995</v>
      </c>
      <c r="JQ13" s="12">
        <v>41912</v>
      </c>
      <c r="JR13">
        <v>21.023</v>
      </c>
      <c r="JS13" s="12">
        <v>40512</v>
      </c>
      <c r="JT13">
        <v>6.718</v>
      </c>
      <c r="JU13" s="12">
        <v>41729</v>
      </c>
      <c r="JV13">
        <v>20.893999999999998</v>
      </c>
      <c r="JW13" s="12">
        <v>40512</v>
      </c>
      <c r="JX13">
        <v>6.74</v>
      </c>
      <c r="JY13" s="12">
        <v>40512</v>
      </c>
      <c r="JZ13">
        <v>10.481</v>
      </c>
      <c r="KA13" s="12">
        <v>43404</v>
      </c>
      <c r="KB13">
        <v>37.44</v>
      </c>
      <c r="KC13" s="12">
        <v>40512</v>
      </c>
      <c r="KD13">
        <v>12.779</v>
      </c>
      <c r="KE13" s="12">
        <v>40512</v>
      </c>
      <c r="KF13">
        <v>4.3140000000000001</v>
      </c>
      <c r="KG13" s="12">
        <v>40512</v>
      </c>
      <c r="KH13">
        <v>0.17</v>
      </c>
      <c r="KI13" s="12">
        <v>40512</v>
      </c>
      <c r="KJ13">
        <v>7.7370000000000001</v>
      </c>
      <c r="KK13" s="12">
        <v>40512</v>
      </c>
      <c r="KL13">
        <v>5.3739999999999997</v>
      </c>
      <c r="KM13" s="12">
        <v>43131</v>
      </c>
      <c r="KN13">
        <v>10.698</v>
      </c>
      <c r="KO13" s="12">
        <v>40512</v>
      </c>
      <c r="KP13">
        <v>167.626</v>
      </c>
      <c r="KQ13" s="12">
        <v>40512</v>
      </c>
      <c r="KR13">
        <v>238.304</v>
      </c>
      <c r="KS13" s="12">
        <v>40512</v>
      </c>
      <c r="KT13">
        <v>9.7750000000000004</v>
      </c>
      <c r="KU13" s="12">
        <v>40512</v>
      </c>
      <c r="KV13">
        <v>5.4930000000000003</v>
      </c>
      <c r="KW13" s="12">
        <v>40512</v>
      </c>
      <c r="KX13">
        <v>46.292999999999999</v>
      </c>
      <c r="KY13" s="12">
        <v>40512</v>
      </c>
      <c r="KZ13">
        <v>30.099</v>
      </c>
      <c r="LA13" s="12">
        <v>40512</v>
      </c>
      <c r="LB13">
        <v>23.190999999999999</v>
      </c>
      <c r="LC13" s="12">
        <v>40512</v>
      </c>
      <c r="LD13">
        <v>9.4109999999999996</v>
      </c>
      <c r="LE13" s="12">
        <v>40512</v>
      </c>
      <c r="LF13">
        <v>6.9</v>
      </c>
      <c r="LG13" s="12">
        <v>40512</v>
      </c>
      <c r="LH13">
        <v>9.0549999999999997</v>
      </c>
      <c r="LI13" s="12">
        <v>40512</v>
      </c>
      <c r="LJ13">
        <v>9.9730000000000008</v>
      </c>
      <c r="LK13" s="12">
        <v>40512</v>
      </c>
      <c r="LL13">
        <v>24.635000000000002</v>
      </c>
      <c r="LM13" s="12">
        <v>40512</v>
      </c>
      <c r="LN13">
        <v>20.666</v>
      </c>
      <c r="LO13" s="12">
        <v>40512</v>
      </c>
      <c r="LP13">
        <v>17.318999999999999</v>
      </c>
      <c r="LQ13" s="12">
        <v>40512</v>
      </c>
      <c r="LR13">
        <v>35.786999999999999</v>
      </c>
      <c r="LS13" s="12">
        <v>40512</v>
      </c>
      <c r="LT13">
        <v>33.533000000000001</v>
      </c>
      <c r="LU13" s="12">
        <v>40512</v>
      </c>
      <c r="LV13">
        <v>44.914999999999999</v>
      </c>
      <c r="LW13" s="12">
        <v>40512</v>
      </c>
      <c r="LX13">
        <v>2650.4659999999999</v>
      </c>
      <c r="LY13" s="12">
        <v>40512</v>
      </c>
      <c r="LZ13">
        <v>19.631</v>
      </c>
      <c r="MA13" s="12">
        <v>40512</v>
      </c>
      <c r="MB13">
        <v>11.407999999999999</v>
      </c>
      <c r="MC13" s="12">
        <v>41971</v>
      </c>
      <c r="MD13">
        <v>21.888000000000002</v>
      </c>
      <c r="ME13" s="12">
        <v>40512</v>
      </c>
      <c r="MF13">
        <v>4.3579999999999997</v>
      </c>
      <c r="MG13" s="12">
        <v>40512</v>
      </c>
      <c r="MH13">
        <v>5.39</v>
      </c>
      <c r="MI13" s="12">
        <v>42521</v>
      </c>
      <c r="MJ13">
        <v>8.0500000000000007</v>
      </c>
      <c r="MK13" s="12">
        <v>40512</v>
      </c>
      <c r="ML13">
        <v>6.6719999999999997</v>
      </c>
    </row>
    <row r="14" spans="1:350" x14ac:dyDescent="0.3">
      <c r="A14" s="12">
        <v>40543</v>
      </c>
      <c r="B14" s="1">
        <v>7.4960000000000004</v>
      </c>
      <c r="C14" s="12">
        <v>40907</v>
      </c>
      <c r="D14" s="1">
        <v>6.6509999999999998</v>
      </c>
      <c r="E14" s="12">
        <v>40543</v>
      </c>
      <c r="F14" s="13">
        <v>14.627000000000001</v>
      </c>
      <c r="G14" s="17">
        <v>40543</v>
      </c>
      <c r="H14" s="13">
        <v>4.8159999999999998</v>
      </c>
      <c r="I14" s="17">
        <v>40574</v>
      </c>
      <c r="J14">
        <v>11.308999999999999</v>
      </c>
      <c r="K14" s="12">
        <v>41759</v>
      </c>
      <c r="L14">
        <v>11.333</v>
      </c>
      <c r="M14" s="12">
        <v>40543</v>
      </c>
      <c r="N14" s="12">
        <v>39.484000000000002</v>
      </c>
      <c r="O14" s="12">
        <v>40543</v>
      </c>
      <c r="P14">
        <v>17.565999999999999</v>
      </c>
      <c r="Q14" s="12">
        <v>41943</v>
      </c>
      <c r="R14">
        <v>29.506</v>
      </c>
      <c r="S14" s="12">
        <v>40543</v>
      </c>
      <c r="T14">
        <v>10.355</v>
      </c>
      <c r="U14" s="12">
        <v>40968</v>
      </c>
      <c r="V14">
        <v>25.353999999999999</v>
      </c>
      <c r="W14" s="12">
        <v>43220</v>
      </c>
      <c r="X14">
        <v>36.4</v>
      </c>
      <c r="Y14" s="12">
        <v>40543</v>
      </c>
      <c r="Z14">
        <v>9.0489999999999995</v>
      </c>
      <c r="AA14" s="12">
        <v>40543</v>
      </c>
      <c r="AB14">
        <v>17.404</v>
      </c>
      <c r="AC14" s="12">
        <v>40543</v>
      </c>
      <c r="AD14">
        <v>7.7320000000000002</v>
      </c>
      <c r="AE14" s="12">
        <v>40543</v>
      </c>
      <c r="AF14">
        <v>9.6349999999999998</v>
      </c>
      <c r="AG14" s="12">
        <v>40543</v>
      </c>
      <c r="AH14">
        <v>64.516000000000005</v>
      </c>
      <c r="AI14" s="12">
        <v>41759</v>
      </c>
      <c r="AJ14">
        <v>16.716000000000001</v>
      </c>
      <c r="AK14" s="12">
        <v>40543</v>
      </c>
      <c r="AL14">
        <v>6.4240000000000004</v>
      </c>
      <c r="AO14" s="12">
        <v>40543</v>
      </c>
      <c r="AP14">
        <v>7.5209999999999999</v>
      </c>
      <c r="AQ14" s="12">
        <v>43159</v>
      </c>
      <c r="AR14">
        <v>21.3</v>
      </c>
      <c r="AS14" s="12">
        <v>40543</v>
      </c>
      <c r="AT14">
        <v>3.641</v>
      </c>
      <c r="AU14" s="12">
        <v>40543</v>
      </c>
      <c r="AV14">
        <v>26.009</v>
      </c>
      <c r="AW14" s="12">
        <v>43465</v>
      </c>
      <c r="AX14">
        <v>22.974</v>
      </c>
      <c r="AY14" s="12">
        <v>40543</v>
      </c>
      <c r="AZ14">
        <v>24.696000000000002</v>
      </c>
      <c r="BA14" s="12">
        <v>40543</v>
      </c>
      <c r="BB14">
        <v>14.023</v>
      </c>
      <c r="BC14" s="12">
        <v>40543</v>
      </c>
      <c r="BD14">
        <v>9.6549999999999994</v>
      </c>
      <c r="BE14" s="12">
        <v>40633</v>
      </c>
      <c r="BF14">
        <v>8.6969999999999992</v>
      </c>
      <c r="BG14" s="12">
        <v>40543</v>
      </c>
      <c r="BH14">
        <v>9.43</v>
      </c>
      <c r="BI14" s="12">
        <v>40543</v>
      </c>
      <c r="BJ14">
        <v>26.991</v>
      </c>
      <c r="BK14" s="12">
        <v>40543</v>
      </c>
      <c r="BL14">
        <v>7.7370000000000001</v>
      </c>
      <c r="BM14" s="12">
        <v>40543</v>
      </c>
      <c r="BN14">
        <v>14.169</v>
      </c>
      <c r="BO14" s="12">
        <v>40543</v>
      </c>
      <c r="BP14">
        <v>4.46</v>
      </c>
      <c r="BQ14" s="12">
        <v>40543</v>
      </c>
      <c r="BR14">
        <v>4.423</v>
      </c>
      <c r="BS14" s="12">
        <v>40543</v>
      </c>
      <c r="BT14">
        <v>5.8309999999999995</v>
      </c>
      <c r="BU14" s="12">
        <v>40543</v>
      </c>
      <c r="BV14">
        <v>5.8159999999999998</v>
      </c>
      <c r="BW14" s="12">
        <v>40543</v>
      </c>
      <c r="BX14">
        <v>2.3010000000000002</v>
      </c>
      <c r="BY14" s="12">
        <v>40543</v>
      </c>
      <c r="BZ14">
        <v>15.081</v>
      </c>
      <c r="CA14" s="12">
        <v>40543</v>
      </c>
      <c r="CB14">
        <v>26.094999999999999</v>
      </c>
      <c r="CC14" s="12">
        <v>43312</v>
      </c>
      <c r="CD14">
        <v>15.195</v>
      </c>
      <c r="CE14" s="12">
        <v>40543</v>
      </c>
      <c r="CF14">
        <v>14.425000000000001</v>
      </c>
      <c r="CG14" s="12">
        <v>40543</v>
      </c>
      <c r="CH14">
        <v>19.184999999999999</v>
      </c>
      <c r="CI14" s="12">
        <v>40543</v>
      </c>
      <c r="CJ14">
        <v>19.466000000000001</v>
      </c>
      <c r="CK14" s="12">
        <v>40543</v>
      </c>
      <c r="CL14">
        <v>17.969000000000001</v>
      </c>
      <c r="CM14" s="12">
        <v>40543</v>
      </c>
      <c r="CN14">
        <v>19.161000000000001</v>
      </c>
      <c r="CO14" s="12">
        <v>42004</v>
      </c>
      <c r="CP14">
        <v>13.688000000000001</v>
      </c>
      <c r="CQ14" s="12">
        <v>40543</v>
      </c>
      <c r="CR14">
        <v>15.94</v>
      </c>
      <c r="CS14" s="12">
        <v>40543</v>
      </c>
      <c r="CT14">
        <v>21.510999999999999</v>
      </c>
      <c r="CU14" s="12">
        <v>40543</v>
      </c>
      <c r="CV14">
        <v>8.6189999999999998</v>
      </c>
      <c r="CW14" s="12">
        <v>40543</v>
      </c>
      <c r="CX14">
        <v>9.2729999999999997</v>
      </c>
      <c r="CY14" s="12">
        <v>40633</v>
      </c>
      <c r="CZ14">
        <v>8.7379999999999995</v>
      </c>
      <c r="DA14" s="12">
        <v>40543</v>
      </c>
      <c r="DB14">
        <v>12.593</v>
      </c>
      <c r="DC14" s="12">
        <v>40543</v>
      </c>
      <c r="DD14">
        <v>16.638999999999999</v>
      </c>
      <c r="DE14" s="12">
        <v>40543</v>
      </c>
      <c r="DF14">
        <v>14.538</v>
      </c>
      <c r="DG14" s="12">
        <v>40602</v>
      </c>
      <c r="DH14">
        <v>33.295999999999999</v>
      </c>
      <c r="DI14" s="12">
        <v>40543</v>
      </c>
      <c r="DJ14">
        <v>20.800999999999998</v>
      </c>
      <c r="DK14" s="12">
        <v>40543</v>
      </c>
      <c r="DL14">
        <v>10.651</v>
      </c>
      <c r="DM14" s="12">
        <v>40968</v>
      </c>
      <c r="DN14">
        <v>9.1170000000000009</v>
      </c>
      <c r="DO14" s="12">
        <v>40543</v>
      </c>
      <c r="DP14">
        <v>7.7160000000000002</v>
      </c>
      <c r="DQ14" s="12">
        <v>40543</v>
      </c>
      <c r="DR14">
        <v>372.11</v>
      </c>
      <c r="DS14" s="12">
        <v>40543</v>
      </c>
      <c r="DT14">
        <v>7.2430000000000003</v>
      </c>
      <c r="DU14" s="12">
        <v>40543</v>
      </c>
      <c r="DV14">
        <v>1.7050000000000001</v>
      </c>
      <c r="DW14" s="12">
        <v>40543</v>
      </c>
      <c r="DX14">
        <v>6.6829999999999998</v>
      </c>
      <c r="DY14" s="12">
        <v>40543</v>
      </c>
      <c r="DZ14">
        <v>6.6459999999999999</v>
      </c>
      <c r="EA14" s="12">
        <v>40543</v>
      </c>
      <c r="EB14">
        <v>18.858000000000001</v>
      </c>
      <c r="EC14" s="12">
        <v>40543</v>
      </c>
      <c r="ED14">
        <v>21.4</v>
      </c>
      <c r="EE14" s="12">
        <v>40543</v>
      </c>
      <c r="EF14">
        <v>9.5820000000000007</v>
      </c>
      <c r="EG14" s="12">
        <v>40543</v>
      </c>
      <c r="EH14">
        <v>14.551</v>
      </c>
      <c r="EI14" s="12">
        <v>40543</v>
      </c>
      <c r="EJ14">
        <v>82.668999999999997</v>
      </c>
      <c r="EK14" s="12">
        <v>40543</v>
      </c>
      <c r="EL14">
        <v>13.842000000000001</v>
      </c>
      <c r="EM14" s="12">
        <v>40543</v>
      </c>
      <c r="EN14">
        <v>19.376999999999999</v>
      </c>
      <c r="EO14" s="12">
        <v>43585</v>
      </c>
      <c r="EP14">
        <v>34.999000000000002</v>
      </c>
      <c r="EQ14" s="12">
        <v>40543</v>
      </c>
      <c r="ER14">
        <v>22.82</v>
      </c>
      <c r="ES14" s="12">
        <v>40543</v>
      </c>
      <c r="ET14">
        <v>24.879000000000001</v>
      </c>
      <c r="EU14" s="12">
        <v>40543</v>
      </c>
      <c r="EV14">
        <v>1.8599999999999999</v>
      </c>
      <c r="EW14" s="12">
        <v>43585</v>
      </c>
      <c r="EX14">
        <v>30.055</v>
      </c>
      <c r="EY14" s="12">
        <v>40543</v>
      </c>
      <c r="EZ14">
        <v>18.401</v>
      </c>
      <c r="FA14" s="12">
        <v>40543</v>
      </c>
      <c r="FB14">
        <v>18.366</v>
      </c>
      <c r="FC14" s="12">
        <v>40543</v>
      </c>
      <c r="FD14">
        <v>17.837</v>
      </c>
      <c r="FE14" s="12">
        <v>43312</v>
      </c>
      <c r="FF14">
        <v>17.085999999999999</v>
      </c>
      <c r="FG14" s="12">
        <v>40543</v>
      </c>
      <c r="FH14">
        <v>4.1619999999999999</v>
      </c>
      <c r="FI14" s="12">
        <v>40543</v>
      </c>
      <c r="FJ14">
        <v>8.4440000000000008</v>
      </c>
      <c r="FK14" s="12">
        <v>40543</v>
      </c>
      <c r="FL14">
        <v>11.464</v>
      </c>
      <c r="FM14" s="12">
        <v>40543</v>
      </c>
      <c r="FN14">
        <v>6.4340000000000002</v>
      </c>
      <c r="FO14" s="12">
        <v>40543</v>
      </c>
      <c r="FP14">
        <v>14.86</v>
      </c>
      <c r="FQ14" s="12">
        <v>42034</v>
      </c>
      <c r="FR14">
        <v>11.31</v>
      </c>
      <c r="FS14" s="12">
        <v>40543</v>
      </c>
      <c r="FT14">
        <v>0.78</v>
      </c>
      <c r="FU14" s="12">
        <v>40543</v>
      </c>
      <c r="FV14">
        <v>5.8819999999999997</v>
      </c>
      <c r="FW14" s="12">
        <v>40543</v>
      </c>
      <c r="FX14">
        <v>7.3639999999999999</v>
      </c>
      <c r="FY14" s="12">
        <v>41394</v>
      </c>
      <c r="FZ14">
        <v>2.7389999999999999</v>
      </c>
      <c r="GA14" s="12">
        <v>40543</v>
      </c>
      <c r="GB14">
        <v>8.43</v>
      </c>
      <c r="GC14" s="12">
        <v>40543</v>
      </c>
      <c r="GD14">
        <v>16.902999999999999</v>
      </c>
      <c r="GE14" s="12">
        <v>41698</v>
      </c>
      <c r="GF14">
        <v>13.112</v>
      </c>
      <c r="GG14" s="12">
        <v>43830</v>
      </c>
      <c r="GH14">
        <v>32.46</v>
      </c>
      <c r="GI14" s="12">
        <v>40543</v>
      </c>
      <c r="GJ14">
        <v>7.62</v>
      </c>
      <c r="GK14" s="12">
        <v>40543</v>
      </c>
      <c r="GL14">
        <v>45.503999999999998</v>
      </c>
      <c r="GM14" s="12">
        <v>40543</v>
      </c>
      <c r="GN14">
        <v>11.552</v>
      </c>
      <c r="GO14" s="12">
        <v>41029</v>
      </c>
      <c r="GP14">
        <v>1.3140000000000001</v>
      </c>
      <c r="GQ14" s="12">
        <v>40662</v>
      </c>
      <c r="GR14">
        <v>20.614999999999998</v>
      </c>
      <c r="GS14" s="12">
        <v>40543</v>
      </c>
      <c r="GT14">
        <v>1679.913</v>
      </c>
      <c r="GU14" s="12">
        <v>43159</v>
      </c>
      <c r="GV14">
        <v>7.1520000000000001</v>
      </c>
      <c r="GW14" s="12">
        <v>40602</v>
      </c>
      <c r="GX14">
        <v>15.035</v>
      </c>
      <c r="GY14" s="12">
        <v>40543</v>
      </c>
      <c r="GZ14">
        <v>15.385999999999999</v>
      </c>
      <c r="HA14" s="12">
        <v>40543</v>
      </c>
      <c r="HB14">
        <v>9.5470000000000006</v>
      </c>
      <c r="HC14" s="12">
        <v>40543</v>
      </c>
      <c r="HD14">
        <v>10.202</v>
      </c>
      <c r="HE14" s="12">
        <v>40543</v>
      </c>
      <c r="HF14">
        <v>18.361999999999998</v>
      </c>
      <c r="HG14" s="12">
        <v>40543</v>
      </c>
      <c r="HH14">
        <v>17.873000000000001</v>
      </c>
      <c r="HI14" s="12">
        <v>40543</v>
      </c>
      <c r="HJ14">
        <v>6.1820000000000004</v>
      </c>
      <c r="HK14" s="12">
        <v>40543</v>
      </c>
      <c r="HL14">
        <v>2000</v>
      </c>
      <c r="HM14" s="12">
        <v>40543</v>
      </c>
      <c r="HN14">
        <v>67.591999999999999</v>
      </c>
      <c r="HO14" s="12">
        <v>40543</v>
      </c>
      <c r="HP14">
        <v>50.86</v>
      </c>
      <c r="HQ14" s="12">
        <v>40633</v>
      </c>
      <c r="HR14">
        <v>2040</v>
      </c>
      <c r="HS14" s="12">
        <v>40543</v>
      </c>
      <c r="HT14">
        <v>63.603999999999999</v>
      </c>
      <c r="HU14" s="12">
        <v>40543</v>
      </c>
      <c r="HV14">
        <v>4399.8339999999998</v>
      </c>
      <c r="HW14" s="12">
        <v>40543</v>
      </c>
      <c r="HX14">
        <v>26.8</v>
      </c>
      <c r="HY14" s="12">
        <v>40543</v>
      </c>
      <c r="HZ14">
        <v>21.552</v>
      </c>
      <c r="IA14" s="12">
        <v>40543</v>
      </c>
      <c r="IB14">
        <v>77.626999999999995</v>
      </c>
      <c r="IC14" s="12">
        <v>40543</v>
      </c>
      <c r="ID14">
        <v>2.6360000000000001</v>
      </c>
      <c r="IE14" s="12">
        <v>40543</v>
      </c>
      <c r="IF14">
        <v>8.7080000000000002</v>
      </c>
      <c r="IG14" s="12">
        <v>40847</v>
      </c>
      <c r="IH14">
        <v>85.6</v>
      </c>
      <c r="II14" s="12">
        <v>40543</v>
      </c>
      <c r="IJ14">
        <v>38.82</v>
      </c>
      <c r="IK14" s="12">
        <v>40907</v>
      </c>
      <c r="IL14">
        <v>1.54</v>
      </c>
      <c r="IM14" s="12">
        <v>40543</v>
      </c>
      <c r="IN14">
        <v>16.809000000000001</v>
      </c>
      <c r="IO14" s="12">
        <v>41089</v>
      </c>
      <c r="IP14">
        <v>10.925000000000001</v>
      </c>
      <c r="IQ14" s="12">
        <v>40543</v>
      </c>
      <c r="IR14">
        <v>12.334</v>
      </c>
      <c r="IS14" s="12">
        <v>42460</v>
      </c>
      <c r="IT14">
        <v>3.34</v>
      </c>
      <c r="IU14" s="12">
        <v>40543</v>
      </c>
      <c r="IV14">
        <v>7.9980000000000002</v>
      </c>
      <c r="IW14" s="12">
        <v>40543</v>
      </c>
      <c r="IX14">
        <v>18.948</v>
      </c>
      <c r="IY14" s="12">
        <v>40543</v>
      </c>
      <c r="IZ14">
        <v>6.5140000000000002</v>
      </c>
      <c r="JA14" s="12">
        <v>42307</v>
      </c>
      <c r="JB14">
        <v>4.7610000000000001</v>
      </c>
      <c r="JC14" s="12">
        <v>40543</v>
      </c>
      <c r="JD14">
        <v>12.595000000000001</v>
      </c>
      <c r="JE14" s="12">
        <v>40543</v>
      </c>
      <c r="JF14">
        <v>340.8</v>
      </c>
      <c r="JG14" s="12">
        <v>42460</v>
      </c>
      <c r="JH14">
        <v>3.34</v>
      </c>
      <c r="JI14" s="12">
        <v>40543</v>
      </c>
      <c r="JJ14">
        <v>12.222</v>
      </c>
      <c r="JK14" s="12">
        <v>43434</v>
      </c>
      <c r="JL14">
        <v>17.628</v>
      </c>
      <c r="JM14" s="12">
        <v>40543</v>
      </c>
      <c r="JN14">
        <v>0.49</v>
      </c>
      <c r="JO14" s="12">
        <v>40543</v>
      </c>
      <c r="JP14">
        <v>10.991</v>
      </c>
      <c r="JQ14" s="12">
        <v>41943</v>
      </c>
      <c r="JR14">
        <v>22.491</v>
      </c>
      <c r="JS14" s="12">
        <v>40543</v>
      </c>
      <c r="JT14">
        <v>7.8780000000000001</v>
      </c>
      <c r="JU14" s="12">
        <v>41759</v>
      </c>
      <c r="JV14">
        <v>24.352</v>
      </c>
      <c r="JW14" s="12">
        <v>40543</v>
      </c>
      <c r="JX14">
        <v>7.6230000000000002</v>
      </c>
      <c r="JY14" s="12">
        <v>40543</v>
      </c>
      <c r="JZ14">
        <v>10.739000000000001</v>
      </c>
      <c r="KA14" s="12">
        <v>43434</v>
      </c>
      <c r="KB14">
        <v>40.447000000000003</v>
      </c>
      <c r="KC14" s="12">
        <v>40543</v>
      </c>
      <c r="KD14">
        <v>12.948</v>
      </c>
      <c r="KE14" s="12">
        <v>40543</v>
      </c>
      <c r="KF14">
        <v>4.1790000000000003</v>
      </c>
      <c r="KG14" s="12">
        <v>40543</v>
      </c>
      <c r="KH14">
        <v>0.16400000000000001</v>
      </c>
      <c r="KI14" s="12">
        <v>40543</v>
      </c>
      <c r="KJ14">
        <v>7.9009999999999998</v>
      </c>
      <c r="KK14" s="12">
        <v>40543</v>
      </c>
      <c r="KL14">
        <v>5.3540000000000001</v>
      </c>
      <c r="KM14" s="12">
        <v>43159</v>
      </c>
      <c r="KN14">
        <v>10.875</v>
      </c>
      <c r="KO14" s="12">
        <v>40543</v>
      </c>
      <c r="KP14">
        <v>150.03</v>
      </c>
      <c r="KQ14" s="12">
        <v>40543</v>
      </c>
      <c r="KR14">
        <v>240.71100000000001</v>
      </c>
      <c r="KS14" s="12">
        <v>40543</v>
      </c>
      <c r="KT14">
        <v>10.013</v>
      </c>
      <c r="KU14" s="12">
        <v>40543</v>
      </c>
      <c r="KV14">
        <v>5.4219999999999997</v>
      </c>
      <c r="KW14" s="12">
        <v>40543</v>
      </c>
      <c r="KX14">
        <v>46.886000000000003</v>
      </c>
      <c r="KY14" s="12">
        <v>40543</v>
      </c>
      <c r="KZ14">
        <v>31.73</v>
      </c>
      <c r="LA14" s="12">
        <v>40543</v>
      </c>
      <c r="LB14">
        <v>23.568999999999999</v>
      </c>
      <c r="LC14" s="12">
        <v>40543</v>
      </c>
      <c r="LD14">
        <v>9.3829999999999991</v>
      </c>
      <c r="LE14" s="12">
        <v>40543</v>
      </c>
      <c r="LF14">
        <v>7.173</v>
      </c>
      <c r="LG14" s="12">
        <v>40543</v>
      </c>
      <c r="LH14">
        <v>8.5549999999999997</v>
      </c>
      <c r="LI14" s="12">
        <v>40543</v>
      </c>
      <c r="LJ14">
        <v>10.266</v>
      </c>
      <c r="LK14" s="12">
        <v>40543</v>
      </c>
      <c r="LL14">
        <v>25.359000000000002</v>
      </c>
      <c r="LM14" s="12">
        <v>40543</v>
      </c>
      <c r="LN14">
        <v>20.462</v>
      </c>
      <c r="LO14" s="12">
        <v>40543</v>
      </c>
      <c r="LP14">
        <v>17.925000000000001</v>
      </c>
      <c r="LQ14" s="12">
        <v>40543</v>
      </c>
      <c r="LR14">
        <v>36.97</v>
      </c>
      <c r="LS14" s="12">
        <v>40543</v>
      </c>
      <c r="LT14">
        <v>33.881999999999998</v>
      </c>
      <c r="LU14" s="12">
        <v>40543</v>
      </c>
      <c r="LV14">
        <v>48.539000000000001</v>
      </c>
      <c r="LW14" s="12">
        <v>40543</v>
      </c>
      <c r="LX14">
        <v>2796.3629999999998</v>
      </c>
      <c r="LY14" s="12">
        <v>40543</v>
      </c>
      <c r="LZ14">
        <v>20.57</v>
      </c>
      <c r="MA14" s="12">
        <v>40543</v>
      </c>
      <c r="MB14">
        <v>11.803000000000001</v>
      </c>
      <c r="MC14" s="12">
        <v>42004</v>
      </c>
      <c r="MD14">
        <v>20.062999999999999</v>
      </c>
      <c r="ME14" s="12">
        <v>40543</v>
      </c>
      <c r="MF14">
        <v>4.4749999999999996</v>
      </c>
      <c r="MG14" s="12">
        <v>40543</v>
      </c>
      <c r="MH14">
        <v>5.2190000000000003</v>
      </c>
      <c r="MI14" s="12">
        <v>42551</v>
      </c>
      <c r="MJ14">
        <v>9.2620000000000005</v>
      </c>
      <c r="MK14" s="12">
        <v>40543</v>
      </c>
      <c r="ML14">
        <v>6.6349999999999998</v>
      </c>
    </row>
    <row r="15" spans="1:350" x14ac:dyDescent="0.3">
      <c r="A15" s="12">
        <v>40574</v>
      </c>
      <c r="B15" s="1">
        <v>6.6459999999999999</v>
      </c>
      <c r="C15" s="12">
        <v>40939</v>
      </c>
      <c r="D15" s="1">
        <v>7.7759999999999998</v>
      </c>
      <c r="E15" s="12">
        <v>40574</v>
      </c>
      <c r="F15" s="13">
        <v>13.73</v>
      </c>
      <c r="G15" s="17">
        <v>40574</v>
      </c>
      <c r="H15" s="13">
        <v>4.7759999999999998</v>
      </c>
      <c r="I15" s="17">
        <v>40602</v>
      </c>
      <c r="J15">
        <v>10.603999999999999</v>
      </c>
      <c r="K15" s="12">
        <v>41789</v>
      </c>
      <c r="L15">
        <v>12.194000000000001</v>
      </c>
      <c r="M15" s="12">
        <v>40574</v>
      </c>
      <c r="N15" s="12">
        <v>34.543999999999997</v>
      </c>
      <c r="O15" s="12">
        <v>40574</v>
      </c>
      <c r="P15">
        <v>15.878</v>
      </c>
      <c r="Q15" s="12">
        <v>41971</v>
      </c>
      <c r="R15">
        <v>35.229999999999997</v>
      </c>
      <c r="S15" s="12">
        <v>40574</v>
      </c>
      <c r="T15">
        <v>9.984</v>
      </c>
      <c r="U15" s="12">
        <v>40998</v>
      </c>
      <c r="V15">
        <v>25.164000000000001</v>
      </c>
      <c r="W15" s="12">
        <v>43251</v>
      </c>
      <c r="X15">
        <v>26.51</v>
      </c>
      <c r="Y15" s="12">
        <v>40574</v>
      </c>
      <c r="Z15">
        <v>8.0289999999999999</v>
      </c>
      <c r="AA15" s="12">
        <v>40574</v>
      </c>
      <c r="AB15">
        <v>16.484000000000002</v>
      </c>
      <c r="AC15" s="12">
        <v>40574</v>
      </c>
      <c r="AD15">
        <v>7.3449999999999998</v>
      </c>
      <c r="AE15" s="12">
        <v>40574</v>
      </c>
      <c r="AF15">
        <v>9.093</v>
      </c>
      <c r="AG15" s="12">
        <v>40574</v>
      </c>
      <c r="AH15">
        <v>54.720999999999997</v>
      </c>
      <c r="AI15" s="12">
        <v>41789</v>
      </c>
      <c r="AJ15">
        <v>18.231999999999999</v>
      </c>
      <c r="AK15" s="12">
        <v>40574</v>
      </c>
      <c r="AL15">
        <v>6.0279999999999996</v>
      </c>
      <c r="AO15" s="12">
        <v>40574</v>
      </c>
      <c r="AP15">
        <v>6.6779999999999999</v>
      </c>
      <c r="AQ15" s="12">
        <v>43189</v>
      </c>
      <c r="AR15">
        <v>21.263000000000002</v>
      </c>
      <c r="AS15" s="12">
        <v>40574</v>
      </c>
      <c r="AT15">
        <v>3.83</v>
      </c>
      <c r="AU15" s="12">
        <v>40574</v>
      </c>
      <c r="AV15">
        <v>27.45</v>
      </c>
      <c r="AW15" s="12">
        <v>43496</v>
      </c>
      <c r="AX15">
        <v>23.824000000000002</v>
      </c>
      <c r="AY15" s="12">
        <v>40574</v>
      </c>
      <c r="AZ15">
        <v>24.704999999999998</v>
      </c>
      <c r="BA15" s="12">
        <v>40574</v>
      </c>
      <c r="BB15">
        <v>14.436</v>
      </c>
      <c r="BC15" s="12">
        <v>40574</v>
      </c>
      <c r="BD15">
        <v>8.5820000000000007</v>
      </c>
      <c r="BE15" s="12">
        <v>40662</v>
      </c>
      <c r="BF15">
        <v>9.6430000000000007</v>
      </c>
      <c r="BG15" s="12">
        <v>40574</v>
      </c>
      <c r="BH15">
        <v>8.7620000000000005</v>
      </c>
      <c r="BI15" s="12">
        <v>40574</v>
      </c>
      <c r="BJ15">
        <v>24.206</v>
      </c>
      <c r="BK15" s="12">
        <v>40574</v>
      </c>
      <c r="BL15">
        <v>7.593</v>
      </c>
      <c r="BM15" s="12">
        <v>40574</v>
      </c>
      <c r="BN15">
        <v>14.941000000000001</v>
      </c>
      <c r="BO15" s="12">
        <v>40574</v>
      </c>
      <c r="BP15">
        <v>4.1020000000000003</v>
      </c>
      <c r="BQ15" s="12">
        <v>40574</v>
      </c>
      <c r="BR15">
        <v>4.5549999999999997</v>
      </c>
      <c r="BS15" s="12">
        <v>40574</v>
      </c>
      <c r="BT15">
        <v>5.9820000000000002</v>
      </c>
      <c r="BU15" s="12">
        <v>40574</v>
      </c>
      <c r="BV15">
        <v>5.5110000000000001</v>
      </c>
      <c r="BW15" s="12">
        <v>40574</v>
      </c>
      <c r="BX15">
        <v>2.4409999999999998</v>
      </c>
      <c r="BY15" s="12">
        <v>40574</v>
      </c>
      <c r="BZ15">
        <v>15.023</v>
      </c>
      <c r="CA15" s="12">
        <v>40574</v>
      </c>
      <c r="CB15">
        <v>26.724</v>
      </c>
      <c r="CC15" s="12">
        <v>43343</v>
      </c>
      <c r="CD15">
        <v>14.183</v>
      </c>
      <c r="CE15" s="12">
        <v>40574</v>
      </c>
      <c r="CF15">
        <v>12.706</v>
      </c>
      <c r="CG15" s="12">
        <v>40574</v>
      </c>
      <c r="CH15">
        <v>18.087</v>
      </c>
      <c r="CI15" s="12">
        <v>40574</v>
      </c>
      <c r="CJ15">
        <v>18.550999999999998</v>
      </c>
      <c r="CK15" s="12">
        <v>40574</v>
      </c>
      <c r="CL15">
        <v>18.663</v>
      </c>
      <c r="CM15" s="12">
        <v>40574</v>
      </c>
      <c r="CN15">
        <v>17.927</v>
      </c>
      <c r="CO15" s="12">
        <v>42034</v>
      </c>
      <c r="CP15">
        <v>11.144</v>
      </c>
      <c r="CQ15" s="12">
        <v>40574</v>
      </c>
      <c r="CR15">
        <v>13.43</v>
      </c>
      <c r="CS15" s="12">
        <v>40574</v>
      </c>
      <c r="CT15">
        <v>19.36</v>
      </c>
      <c r="CU15" s="12">
        <v>40574</v>
      </c>
      <c r="CV15">
        <v>8.5329999999999995</v>
      </c>
      <c r="CW15" s="12">
        <v>40574</v>
      </c>
      <c r="CX15">
        <v>8.3119999999999994</v>
      </c>
      <c r="CY15" s="12">
        <v>40662</v>
      </c>
      <c r="CZ15">
        <v>9.3010000000000002</v>
      </c>
      <c r="DA15" s="12">
        <v>40574</v>
      </c>
      <c r="DB15">
        <v>11.836</v>
      </c>
      <c r="DC15" s="12">
        <v>40574</v>
      </c>
      <c r="DD15">
        <v>16.763000000000002</v>
      </c>
      <c r="DE15" s="12">
        <v>40574</v>
      </c>
      <c r="DF15">
        <v>14.664999999999999</v>
      </c>
      <c r="DG15" s="12">
        <v>40633</v>
      </c>
      <c r="DH15">
        <v>38.353000000000002</v>
      </c>
      <c r="DI15" s="12">
        <v>40574</v>
      </c>
      <c r="DJ15">
        <v>21.053000000000001</v>
      </c>
      <c r="DK15" s="12">
        <v>40574</v>
      </c>
      <c r="DL15">
        <v>12.202999999999999</v>
      </c>
      <c r="DM15" s="12">
        <v>40998</v>
      </c>
      <c r="DN15">
        <v>8.1340000000000003</v>
      </c>
      <c r="DO15" s="12">
        <v>40574</v>
      </c>
      <c r="DP15">
        <v>7.4649999999999999</v>
      </c>
      <c r="DQ15" s="12">
        <v>40574</v>
      </c>
      <c r="DR15">
        <v>390.19299999999998</v>
      </c>
      <c r="DS15" s="12">
        <v>40574</v>
      </c>
      <c r="DT15">
        <v>7.2430000000000003</v>
      </c>
      <c r="DU15" s="12">
        <v>40574</v>
      </c>
      <c r="DV15">
        <v>1.732</v>
      </c>
      <c r="DW15" s="12">
        <v>40574</v>
      </c>
      <c r="DX15">
        <v>6.1390000000000002</v>
      </c>
      <c r="DY15" s="12">
        <v>40574</v>
      </c>
      <c r="DZ15">
        <v>6.3810000000000002</v>
      </c>
      <c r="EA15" s="12">
        <v>40574</v>
      </c>
      <c r="EB15">
        <v>18.917999999999999</v>
      </c>
      <c r="EC15" s="12">
        <v>40574</v>
      </c>
      <c r="ED15">
        <v>20.786000000000001</v>
      </c>
      <c r="EE15" s="12">
        <v>40574</v>
      </c>
      <c r="EF15">
        <v>8.9890000000000008</v>
      </c>
      <c r="EG15" s="12">
        <v>40574</v>
      </c>
      <c r="EH15">
        <v>14.236000000000001</v>
      </c>
      <c r="EI15" s="12">
        <v>40574</v>
      </c>
      <c r="EJ15">
        <v>70.103999999999999</v>
      </c>
      <c r="EK15" s="12">
        <v>40574</v>
      </c>
      <c r="EL15">
        <v>13.454000000000001</v>
      </c>
      <c r="EM15" s="12">
        <v>40574</v>
      </c>
      <c r="EN15">
        <v>18.248000000000001</v>
      </c>
      <c r="EO15" s="12">
        <v>43616</v>
      </c>
      <c r="EP15">
        <v>40.859000000000002</v>
      </c>
      <c r="EQ15" s="12">
        <v>40574</v>
      </c>
      <c r="ER15">
        <v>21.704999999999998</v>
      </c>
      <c r="ES15" s="12">
        <v>40574</v>
      </c>
      <c r="ET15">
        <v>23.6</v>
      </c>
      <c r="EU15" s="12">
        <v>40574</v>
      </c>
      <c r="EV15">
        <v>1.8319999999999999</v>
      </c>
      <c r="EW15" s="12">
        <v>43616</v>
      </c>
      <c r="EX15">
        <v>36.530999999999999</v>
      </c>
      <c r="EY15" s="12">
        <v>40574</v>
      </c>
      <c r="EZ15">
        <v>17.446999999999999</v>
      </c>
      <c r="FA15" s="12">
        <v>40574</v>
      </c>
      <c r="FB15">
        <v>16.172999999999998</v>
      </c>
      <c r="FC15" s="12">
        <v>40574</v>
      </c>
      <c r="FD15">
        <v>15.473000000000001</v>
      </c>
      <c r="FE15" s="12">
        <v>43343</v>
      </c>
      <c r="FF15">
        <v>19.018999999999998</v>
      </c>
      <c r="FG15" s="12">
        <v>40574</v>
      </c>
      <c r="FH15">
        <v>3.7429999999999999</v>
      </c>
      <c r="FI15" s="12">
        <v>40574</v>
      </c>
      <c r="FJ15">
        <v>7.9580000000000002</v>
      </c>
      <c r="FK15" s="12">
        <v>40574</v>
      </c>
      <c r="FL15">
        <v>10.313000000000001</v>
      </c>
      <c r="FM15" s="12">
        <v>40574</v>
      </c>
      <c r="FN15">
        <v>5.6530000000000005</v>
      </c>
      <c r="FO15" s="12">
        <v>40574</v>
      </c>
      <c r="FP15">
        <v>14.435</v>
      </c>
      <c r="FQ15" s="12">
        <v>42062</v>
      </c>
      <c r="FR15">
        <v>13.218999999999999</v>
      </c>
      <c r="FS15" s="12">
        <v>40574</v>
      </c>
      <c r="FT15">
        <v>0.75700000000000001</v>
      </c>
      <c r="FU15" s="12">
        <v>40574</v>
      </c>
      <c r="FV15">
        <v>5.5969999999999995</v>
      </c>
      <c r="FW15" s="12">
        <v>40574</v>
      </c>
      <c r="FX15">
        <v>6.4450000000000003</v>
      </c>
      <c r="FY15" s="12">
        <v>41425</v>
      </c>
      <c r="FZ15">
        <v>2.4929999999999999</v>
      </c>
      <c r="GA15" s="12">
        <v>40574</v>
      </c>
      <c r="GB15">
        <v>8.65</v>
      </c>
      <c r="GC15" s="12">
        <v>40574</v>
      </c>
      <c r="GD15">
        <v>17.381</v>
      </c>
      <c r="GE15" s="12">
        <v>41729</v>
      </c>
      <c r="GF15">
        <v>13.920999999999999</v>
      </c>
      <c r="GI15" s="12">
        <v>40574</v>
      </c>
      <c r="GJ15">
        <v>6.5389999999999997</v>
      </c>
      <c r="GK15" s="12">
        <v>40574</v>
      </c>
      <c r="GL15">
        <v>42.694000000000003</v>
      </c>
      <c r="GM15" s="12">
        <v>40574</v>
      </c>
      <c r="GN15">
        <v>10.792</v>
      </c>
      <c r="GO15" s="12">
        <v>41060</v>
      </c>
      <c r="GP15">
        <v>1.079</v>
      </c>
      <c r="GQ15" s="12">
        <v>40694</v>
      </c>
      <c r="GR15">
        <v>20.213000000000001</v>
      </c>
      <c r="GS15" s="12">
        <v>40574</v>
      </c>
      <c r="GT15">
        <v>1497.4110000000001</v>
      </c>
      <c r="GU15" s="12">
        <v>43189</v>
      </c>
      <c r="GV15">
        <v>6.7670000000000003</v>
      </c>
      <c r="GW15" s="12">
        <v>40633</v>
      </c>
      <c r="GX15">
        <v>15.37</v>
      </c>
      <c r="GY15" s="12">
        <v>40574</v>
      </c>
      <c r="GZ15">
        <v>13.467000000000001</v>
      </c>
      <c r="HA15" s="12">
        <v>40574</v>
      </c>
      <c r="HB15">
        <v>8.6229999999999993</v>
      </c>
      <c r="HC15" s="12">
        <v>40574</v>
      </c>
      <c r="HD15">
        <v>8.8450000000000006</v>
      </c>
      <c r="HE15" s="12">
        <v>40574</v>
      </c>
      <c r="HF15">
        <v>15.314</v>
      </c>
      <c r="HG15" s="12">
        <v>40574</v>
      </c>
      <c r="HH15">
        <v>16.001999999999999</v>
      </c>
      <c r="HI15" s="12">
        <v>40574</v>
      </c>
      <c r="HJ15">
        <v>5.5440000000000005</v>
      </c>
      <c r="HK15" s="12">
        <v>40574</v>
      </c>
      <c r="HL15">
        <v>1721</v>
      </c>
      <c r="HM15" s="12">
        <v>40574</v>
      </c>
      <c r="HN15">
        <v>76.183999999999997</v>
      </c>
      <c r="HO15" s="12">
        <v>40574</v>
      </c>
      <c r="HP15">
        <v>54.886000000000003</v>
      </c>
      <c r="HQ15" s="12">
        <v>40662</v>
      </c>
      <c r="HR15">
        <v>1760</v>
      </c>
      <c r="HS15" s="12">
        <v>40574</v>
      </c>
      <c r="HT15">
        <v>57.62</v>
      </c>
      <c r="HU15" s="12">
        <v>40574</v>
      </c>
      <c r="HV15">
        <v>3992.7629999999999</v>
      </c>
      <c r="HW15" s="12">
        <v>40574</v>
      </c>
      <c r="HX15">
        <v>26.361000000000001</v>
      </c>
      <c r="HY15" s="12">
        <v>40574</v>
      </c>
      <c r="HZ15">
        <v>21.393999999999998</v>
      </c>
      <c r="IA15" s="12">
        <v>40574</v>
      </c>
      <c r="IB15">
        <v>79.950999999999993</v>
      </c>
      <c r="IC15" s="12">
        <v>40574</v>
      </c>
      <c r="ID15">
        <v>2.2669999999999999</v>
      </c>
      <c r="IE15" s="12">
        <v>40574</v>
      </c>
      <c r="IF15">
        <v>8.4580000000000002</v>
      </c>
      <c r="IG15" s="12">
        <v>40877</v>
      </c>
      <c r="IH15">
        <v>66.5</v>
      </c>
      <c r="II15" s="12">
        <v>40574</v>
      </c>
      <c r="IJ15">
        <v>32.829000000000001</v>
      </c>
      <c r="IK15" s="12">
        <v>40939</v>
      </c>
      <c r="IL15">
        <v>1.8900000000000001</v>
      </c>
      <c r="IM15" s="12">
        <v>40574</v>
      </c>
      <c r="IN15">
        <v>15.55</v>
      </c>
      <c r="IO15" s="12">
        <v>41121</v>
      </c>
      <c r="IP15">
        <v>11.353999999999999</v>
      </c>
      <c r="IQ15" s="12">
        <v>40574</v>
      </c>
      <c r="IR15">
        <v>10.964</v>
      </c>
      <c r="IS15" s="12">
        <v>42489</v>
      </c>
      <c r="IT15">
        <v>4.28</v>
      </c>
      <c r="IU15" s="12">
        <v>40574</v>
      </c>
      <c r="IV15">
        <v>7.5164</v>
      </c>
      <c r="IW15" s="12">
        <v>40574</v>
      </c>
      <c r="IX15">
        <v>18.542999999999999</v>
      </c>
      <c r="IY15" s="12">
        <v>40574</v>
      </c>
      <c r="IZ15">
        <v>6.0890000000000004</v>
      </c>
      <c r="JA15" s="12">
        <v>42338</v>
      </c>
      <c r="JB15">
        <v>3.6259999999999999</v>
      </c>
      <c r="JC15" s="12">
        <v>40574</v>
      </c>
      <c r="JD15">
        <v>12.401999999999999</v>
      </c>
      <c r="JE15" s="12">
        <v>40574</v>
      </c>
      <c r="JF15">
        <v>302.089</v>
      </c>
      <c r="JG15" s="12">
        <v>42489</v>
      </c>
      <c r="JH15">
        <v>4.28</v>
      </c>
      <c r="JI15" s="12">
        <v>40574</v>
      </c>
      <c r="JJ15">
        <v>10.475999999999999</v>
      </c>
      <c r="JK15" s="12">
        <v>43465</v>
      </c>
      <c r="JL15">
        <v>18.97</v>
      </c>
      <c r="JM15" s="12">
        <v>40574</v>
      </c>
      <c r="JN15">
        <v>0.53100000000000003</v>
      </c>
      <c r="JO15" s="12">
        <v>40574</v>
      </c>
      <c r="JP15">
        <v>10.529</v>
      </c>
      <c r="JQ15" s="12">
        <v>41971</v>
      </c>
      <c r="JR15">
        <v>23.369</v>
      </c>
      <c r="JS15" s="12">
        <v>40574</v>
      </c>
      <c r="JT15">
        <v>7.0869999999999997</v>
      </c>
      <c r="JU15" s="12">
        <v>41789</v>
      </c>
      <c r="JV15">
        <v>24.364999999999998</v>
      </c>
      <c r="JW15" s="12">
        <v>40574</v>
      </c>
      <c r="JX15">
        <v>6.9039999999999999</v>
      </c>
      <c r="JY15" s="12">
        <v>40574</v>
      </c>
      <c r="JZ15">
        <v>9.5050000000000008</v>
      </c>
      <c r="KA15" s="12">
        <v>43465</v>
      </c>
      <c r="KB15">
        <v>37.667000000000002</v>
      </c>
      <c r="KC15" s="12">
        <v>40574</v>
      </c>
      <c r="KD15">
        <v>12.702999999999999</v>
      </c>
      <c r="KE15" s="12">
        <v>40574</v>
      </c>
      <c r="KF15">
        <v>4.2460000000000004</v>
      </c>
      <c r="KG15" s="12">
        <v>40574</v>
      </c>
      <c r="KH15">
        <v>0.154</v>
      </c>
      <c r="KI15" s="12">
        <v>40574</v>
      </c>
      <c r="KJ15">
        <v>7.1310000000000002</v>
      </c>
      <c r="KK15" s="12">
        <v>40574</v>
      </c>
      <c r="KL15">
        <v>5.9859999999999998</v>
      </c>
      <c r="KM15" s="12">
        <v>43189</v>
      </c>
      <c r="KN15">
        <v>12.613</v>
      </c>
      <c r="KO15" s="12">
        <v>40574</v>
      </c>
      <c r="KP15">
        <v>154.66</v>
      </c>
      <c r="KQ15" s="12">
        <v>40574</v>
      </c>
      <c r="KR15">
        <v>219.047</v>
      </c>
      <c r="KS15" s="12">
        <v>40574</v>
      </c>
      <c r="KT15">
        <v>9.7959999999999994</v>
      </c>
      <c r="KU15" s="12">
        <v>40574</v>
      </c>
      <c r="KV15">
        <v>5.9630000000000001</v>
      </c>
      <c r="KW15" s="12">
        <v>40574</v>
      </c>
      <c r="KX15">
        <v>49.439</v>
      </c>
      <c r="KY15" s="12">
        <v>40574</v>
      </c>
      <c r="KZ15">
        <v>35.738</v>
      </c>
      <c r="LA15" s="12">
        <v>40574</v>
      </c>
      <c r="LB15">
        <v>25.792000000000002</v>
      </c>
      <c r="LC15" s="12">
        <v>40574</v>
      </c>
      <c r="LD15">
        <v>8.9949999999999992</v>
      </c>
      <c r="LE15" s="12">
        <v>40574</v>
      </c>
      <c r="LF15">
        <v>6.7789999999999999</v>
      </c>
      <c r="LG15" s="12">
        <v>40574</v>
      </c>
      <c r="LH15">
        <v>8.3840000000000003</v>
      </c>
      <c r="LI15" s="12">
        <v>40574</v>
      </c>
      <c r="LJ15">
        <v>10.276</v>
      </c>
      <c r="LK15" s="12">
        <v>40574</v>
      </c>
      <c r="LL15">
        <v>25.382999999999999</v>
      </c>
      <c r="LM15" s="12">
        <v>40574</v>
      </c>
      <c r="LN15">
        <v>23.951000000000001</v>
      </c>
      <c r="LO15" s="12">
        <v>40574</v>
      </c>
      <c r="LP15">
        <v>18.178000000000001</v>
      </c>
      <c r="LQ15" s="12">
        <v>40574</v>
      </c>
      <c r="LR15">
        <v>38.344000000000001</v>
      </c>
      <c r="LS15" s="12">
        <v>40574</v>
      </c>
      <c r="LT15">
        <v>35.840000000000003</v>
      </c>
      <c r="LU15" s="12">
        <v>40574</v>
      </c>
      <c r="LV15">
        <v>51.529000000000003</v>
      </c>
      <c r="LW15" s="12">
        <v>40574</v>
      </c>
      <c r="LX15">
        <v>2618.0450000000001</v>
      </c>
      <c r="LY15" s="12">
        <v>40574</v>
      </c>
      <c r="LZ15">
        <v>19.998000000000001</v>
      </c>
      <c r="MA15" s="12">
        <v>40574</v>
      </c>
      <c r="MB15">
        <v>12.135999999999999</v>
      </c>
      <c r="MC15" s="12">
        <v>42034</v>
      </c>
      <c r="MD15">
        <v>17.048999999999999</v>
      </c>
      <c r="ME15" s="12">
        <v>40574</v>
      </c>
      <c r="MF15">
        <v>5.0460000000000003</v>
      </c>
      <c r="MG15" s="12">
        <v>40574</v>
      </c>
      <c r="MH15">
        <v>4.7549999999999999</v>
      </c>
      <c r="MI15" s="12">
        <v>42580</v>
      </c>
      <c r="MJ15">
        <v>9.2690000000000001</v>
      </c>
      <c r="MK15" s="12">
        <v>40574</v>
      </c>
      <c r="ML15">
        <v>5.8979999999999997</v>
      </c>
    </row>
    <row r="16" spans="1:350" x14ac:dyDescent="0.3">
      <c r="A16" s="12">
        <v>40602</v>
      </c>
      <c r="B16" s="1">
        <v>6.5590000000000002</v>
      </c>
      <c r="C16" s="12">
        <v>40968</v>
      </c>
      <c r="D16" s="1">
        <v>7.468</v>
      </c>
      <c r="E16" s="12">
        <v>40602</v>
      </c>
      <c r="F16" s="13">
        <v>13.446999999999999</v>
      </c>
      <c r="G16" s="17">
        <v>40602</v>
      </c>
      <c r="H16" s="13">
        <v>4.7489999999999997</v>
      </c>
      <c r="I16" s="17">
        <v>40633</v>
      </c>
      <c r="J16">
        <v>11.483000000000001</v>
      </c>
      <c r="K16" s="12">
        <v>41820</v>
      </c>
      <c r="L16">
        <v>11.62</v>
      </c>
      <c r="M16" s="12">
        <v>40602</v>
      </c>
      <c r="N16" s="12">
        <v>34.070999999999998</v>
      </c>
      <c r="O16" s="12">
        <v>40602</v>
      </c>
      <c r="P16">
        <v>16.776</v>
      </c>
      <c r="Q16" s="12">
        <v>42004</v>
      </c>
      <c r="R16">
        <v>33.113</v>
      </c>
      <c r="S16" s="12">
        <v>40602</v>
      </c>
      <c r="T16">
        <v>9.5749999999999993</v>
      </c>
      <c r="U16" s="12">
        <v>41029</v>
      </c>
      <c r="V16">
        <v>23.832000000000001</v>
      </c>
      <c r="W16" s="12">
        <v>43280</v>
      </c>
      <c r="X16">
        <v>21.33</v>
      </c>
      <c r="Y16" s="12">
        <v>40602</v>
      </c>
      <c r="Z16">
        <v>7.8120000000000003</v>
      </c>
      <c r="AA16" s="12">
        <v>40602</v>
      </c>
      <c r="AB16">
        <v>16.655999999999999</v>
      </c>
      <c r="AC16" s="12">
        <v>40602</v>
      </c>
      <c r="AD16">
        <v>7.6749999999999998</v>
      </c>
      <c r="AE16" s="12">
        <v>40602</v>
      </c>
      <c r="AF16">
        <v>9.4789999999999992</v>
      </c>
      <c r="AG16" s="12">
        <v>40602</v>
      </c>
      <c r="AH16">
        <v>52.356000000000002</v>
      </c>
      <c r="AI16" s="12">
        <v>41820</v>
      </c>
      <c r="AJ16">
        <v>20.751999999999999</v>
      </c>
      <c r="AK16" s="12">
        <v>40602</v>
      </c>
      <c r="AL16">
        <v>5.9269999999999996</v>
      </c>
      <c r="AO16" s="12">
        <v>40602</v>
      </c>
      <c r="AP16">
        <v>6.73</v>
      </c>
      <c r="AQ16" s="12">
        <v>43220</v>
      </c>
      <c r="AR16">
        <v>20.69</v>
      </c>
      <c r="AS16" s="12">
        <v>40602</v>
      </c>
      <c r="AT16">
        <v>5.1689999999999996</v>
      </c>
      <c r="AU16" s="12">
        <v>40602</v>
      </c>
      <c r="AV16">
        <v>25.925000000000001</v>
      </c>
      <c r="AW16" s="12">
        <v>43524</v>
      </c>
      <c r="AX16">
        <v>21.856999999999999</v>
      </c>
      <c r="AY16" s="12">
        <v>40602</v>
      </c>
      <c r="AZ16">
        <v>26.105</v>
      </c>
      <c r="BA16" s="12">
        <v>40602</v>
      </c>
      <c r="BB16">
        <v>13.961</v>
      </c>
      <c r="BC16" s="12">
        <v>40602</v>
      </c>
      <c r="BD16">
        <v>8.9489999999999998</v>
      </c>
      <c r="BE16" s="12">
        <v>40694</v>
      </c>
      <c r="BF16">
        <v>9.1790000000000003</v>
      </c>
      <c r="BG16" s="12">
        <v>40602</v>
      </c>
      <c r="BH16">
        <v>9.7240000000000002</v>
      </c>
      <c r="BI16" s="12">
        <v>40602</v>
      </c>
      <c r="BJ16">
        <v>21.927</v>
      </c>
      <c r="BK16" s="12">
        <v>40602</v>
      </c>
      <c r="BL16">
        <v>7.6539999999999999</v>
      </c>
      <c r="BM16" s="12">
        <v>40602</v>
      </c>
      <c r="BN16">
        <v>14.327</v>
      </c>
      <c r="BO16" s="12">
        <v>40602</v>
      </c>
      <c r="BP16">
        <v>4.3540000000000001</v>
      </c>
      <c r="BQ16" s="12">
        <v>40602</v>
      </c>
      <c r="BR16">
        <v>4.5830000000000002</v>
      </c>
      <c r="BS16" s="12">
        <v>40602</v>
      </c>
      <c r="BT16">
        <v>6.0369999999999999</v>
      </c>
      <c r="BU16" s="12">
        <v>40602</v>
      </c>
      <c r="BV16">
        <v>4.758</v>
      </c>
      <c r="BW16" s="12">
        <v>40602</v>
      </c>
      <c r="BX16">
        <v>2.1059999999999999</v>
      </c>
      <c r="BY16" s="12">
        <v>40602</v>
      </c>
      <c r="BZ16">
        <v>15.839</v>
      </c>
      <c r="CA16" s="12">
        <v>40602</v>
      </c>
      <c r="CB16">
        <v>26.283999999999999</v>
      </c>
      <c r="CC16" s="12">
        <v>43371</v>
      </c>
      <c r="CD16">
        <v>14.446</v>
      </c>
      <c r="CE16" s="12">
        <v>40602</v>
      </c>
      <c r="CF16">
        <v>12.734999999999999</v>
      </c>
      <c r="CG16" s="12">
        <v>40602</v>
      </c>
      <c r="CH16">
        <v>18.059000000000001</v>
      </c>
      <c r="CI16" s="12">
        <v>40602</v>
      </c>
      <c r="CJ16">
        <v>19.670000000000002</v>
      </c>
      <c r="CK16" s="12">
        <v>40602</v>
      </c>
      <c r="CL16">
        <v>17.954999999999998</v>
      </c>
      <c r="CM16" s="12">
        <v>40602</v>
      </c>
      <c r="CN16">
        <v>19.852</v>
      </c>
      <c r="CO16" s="12">
        <v>42062</v>
      </c>
      <c r="CP16">
        <v>12.619</v>
      </c>
      <c r="CQ16" s="12">
        <v>40602</v>
      </c>
      <c r="CR16">
        <v>12.074</v>
      </c>
      <c r="CS16" s="12">
        <v>40602</v>
      </c>
      <c r="CT16">
        <v>19.216000000000001</v>
      </c>
      <c r="CU16" s="12">
        <v>40602</v>
      </c>
      <c r="CV16">
        <v>7.0620000000000003</v>
      </c>
      <c r="CW16" s="12">
        <v>40602</v>
      </c>
      <c r="CX16">
        <v>8.7070000000000007</v>
      </c>
      <c r="CY16" s="12">
        <v>40694</v>
      </c>
      <c r="CZ16">
        <v>9.3680000000000003</v>
      </c>
      <c r="DA16" s="12">
        <v>40602</v>
      </c>
      <c r="DB16">
        <v>11.928000000000001</v>
      </c>
      <c r="DC16" s="12">
        <v>40602</v>
      </c>
      <c r="DD16">
        <v>17.587</v>
      </c>
      <c r="DE16" s="12">
        <v>40602</v>
      </c>
      <c r="DF16">
        <v>16.466000000000001</v>
      </c>
      <c r="DG16" s="12">
        <v>40724</v>
      </c>
      <c r="DH16">
        <v>42.921999999999997</v>
      </c>
      <c r="DI16" s="12">
        <v>40602</v>
      </c>
      <c r="DJ16">
        <v>20.794</v>
      </c>
      <c r="DK16" s="12">
        <v>40602</v>
      </c>
      <c r="DL16">
        <v>12.646000000000001</v>
      </c>
      <c r="DM16" s="12">
        <v>41029</v>
      </c>
      <c r="DN16">
        <v>7.87</v>
      </c>
      <c r="DO16" s="12">
        <v>40602</v>
      </c>
      <c r="DP16">
        <v>7.4249999999999998</v>
      </c>
      <c r="DQ16" s="12">
        <v>40602</v>
      </c>
      <c r="DR16">
        <v>505.75299999999999</v>
      </c>
      <c r="DS16" s="12">
        <v>40602</v>
      </c>
      <c r="DT16">
        <v>7.2069999999999999</v>
      </c>
      <c r="DU16" s="12">
        <v>40602</v>
      </c>
      <c r="DV16">
        <v>1.7650000000000001</v>
      </c>
      <c r="DW16" s="12">
        <v>40602</v>
      </c>
      <c r="DX16">
        <v>5.8280000000000003</v>
      </c>
      <c r="DY16" s="12">
        <v>40602</v>
      </c>
      <c r="DZ16">
        <v>6.4329999999999998</v>
      </c>
      <c r="EA16" s="12">
        <v>40602</v>
      </c>
      <c r="EB16">
        <v>17.606999999999999</v>
      </c>
      <c r="EC16" s="12">
        <v>40602</v>
      </c>
      <c r="ED16">
        <v>19.388999999999999</v>
      </c>
      <c r="EE16" s="12">
        <v>40602</v>
      </c>
      <c r="EF16">
        <v>7.9279999999999999</v>
      </c>
      <c r="EG16" s="12">
        <v>40602</v>
      </c>
      <c r="EH16">
        <v>13.945</v>
      </c>
      <c r="EI16" s="12">
        <v>40602</v>
      </c>
      <c r="EJ16">
        <v>70.31</v>
      </c>
      <c r="EK16" s="12">
        <v>40602</v>
      </c>
      <c r="EL16">
        <v>14.073</v>
      </c>
      <c r="EM16" s="12">
        <v>40602</v>
      </c>
      <c r="EN16">
        <v>18.795000000000002</v>
      </c>
      <c r="EO16" s="12">
        <v>43644</v>
      </c>
      <c r="EP16">
        <v>40.180999999999997</v>
      </c>
      <c r="EQ16" s="12">
        <v>40602</v>
      </c>
      <c r="ER16">
        <v>22.003</v>
      </c>
      <c r="ES16" s="12">
        <v>40602</v>
      </c>
      <c r="ET16">
        <v>21.826000000000001</v>
      </c>
      <c r="EU16" s="12">
        <v>40602</v>
      </c>
      <c r="EV16">
        <v>1.8759999999999999</v>
      </c>
      <c r="EW16" s="12">
        <v>43644</v>
      </c>
      <c r="EX16">
        <v>39.162999999999997</v>
      </c>
      <c r="EY16" s="12">
        <v>40602</v>
      </c>
      <c r="EZ16">
        <v>16.922000000000001</v>
      </c>
      <c r="FA16" s="12">
        <v>40602</v>
      </c>
      <c r="FB16">
        <v>15.489000000000001</v>
      </c>
      <c r="FC16" s="12">
        <v>40602</v>
      </c>
      <c r="FD16">
        <v>15.486000000000001</v>
      </c>
      <c r="FE16" s="12">
        <v>43371</v>
      </c>
      <c r="FF16">
        <v>21.262</v>
      </c>
      <c r="FG16" s="12">
        <v>40602</v>
      </c>
      <c r="FH16">
        <v>3.8540000000000001</v>
      </c>
      <c r="FI16" s="12">
        <v>40602</v>
      </c>
      <c r="FJ16">
        <v>8.2929999999999993</v>
      </c>
      <c r="FK16" s="12">
        <v>40602</v>
      </c>
      <c r="FL16">
        <v>10.725</v>
      </c>
      <c r="FM16" s="12">
        <v>40602</v>
      </c>
      <c r="FN16">
        <v>5.5990000000000002</v>
      </c>
      <c r="FO16" s="12">
        <v>40602</v>
      </c>
      <c r="FP16">
        <v>14.010999999999999</v>
      </c>
      <c r="FQ16" s="12">
        <v>42094</v>
      </c>
      <c r="FR16">
        <v>15.132999999999999</v>
      </c>
      <c r="FS16" s="12">
        <v>40602</v>
      </c>
      <c r="FT16">
        <v>0.82099999999999995</v>
      </c>
      <c r="FU16" s="12">
        <v>40602</v>
      </c>
      <c r="FV16">
        <v>5.5919999999999996</v>
      </c>
      <c r="FW16" s="12">
        <v>40602</v>
      </c>
      <c r="FX16">
        <v>6.4489999999999998</v>
      </c>
      <c r="FY16" s="12">
        <v>41453</v>
      </c>
      <c r="FZ16">
        <v>2.3890000000000002</v>
      </c>
      <c r="GA16" s="12">
        <v>40602</v>
      </c>
      <c r="GB16">
        <v>7.5590000000000002</v>
      </c>
      <c r="GC16" s="12">
        <v>40602</v>
      </c>
      <c r="GD16">
        <v>18.146000000000001</v>
      </c>
      <c r="GE16" s="12">
        <v>41759</v>
      </c>
      <c r="GF16">
        <v>15.183999999999999</v>
      </c>
      <c r="GI16" s="12">
        <v>40602</v>
      </c>
      <c r="GJ16">
        <v>6.89</v>
      </c>
      <c r="GK16" s="12">
        <v>40602</v>
      </c>
      <c r="GL16">
        <v>36.982999999999997</v>
      </c>
      <c r="GM16" s="12">
        <v>40602</v>
      </c>
      <c r="GN16">
        <v>10.528</v>
      </c>
      <c r="GO16" s="12">
        <v>41089</v>
      </c>
      <c r="GP16">
        <v>1.087</v>
      </c>
      <c r="GQ16" s="12">
        <v>40724</v>
      </c>
      <c r="GR16">
        <v>21.574000000000002</v>
      </c>
      <c r="GS16" s="12">
        <v>40602</v>
      </c>
      <c r="GT16">
        <v>1458.5170000000001</v>
      </c>
      <c r="GU16" s="12">
        <v>43220</v>
      </c>
      <c r="GV16">
        <v>7.5809999999999995</v>
      </c>
      <c r="GW16" s="12">
        <v>40662</v>
      </c>
      <c r="GX16">
        <v>17.131</v>
      </c>
      <c r="GY16" s="12">
        <v>40602</v>
      </c>
      <c r="GZ16">
        <v>14.496</v>
      </c>
      <c r="HA16" s="12">
        <v>40602</v>
      </c>
      <c r="HB16">
        <v>8.0790000000000006</v>
      </c>
      <c r="HC16" s="12">
        <v>40602</v>
      </c>
      <c r="HD16">
        <v>8.9749999999999996</v>
      </c>
      <c r="HE16" s="12">
        <v>40602</v>
      </c>
      <c r="HF16">
        <v>15.664999999999999</v>
      </c>
      <c r="HG16" s="12">
        <v>40602</v>
      </c>
      <c r="HH16">
        <v>15.818999999999999</v>
      </c>
      <c r="HI16" s="12">
        <v>40602</v>
      </c>
      <c r="HJ16">
        <v>5.5190000000000001</v>
      </c>
      <c r="HK16" s="12">
        <v>40602</v>
      </c>
      <c r="HL16">
        <v>1945</v>
      </c>
      <c r="HM16" s="12">
        <v>40602</v>
      </c>
      <c r="HN16">
        <v>72.042000000000002</v>
      </c>
      <c r="HO16" s="12">
        <v>40602</v>
      </c>
      <c r="HP16">
        <v>53.191000000000003</v>
      </c>
      <c r="HQ16" s="12">
        <v>40694</v>
      </c>
      <c r="HR16">
        <v>1772</v>
      </c>
      <c r="HS16" s="12">
        <v>40602</v>
      </c>
      <c r="HT16">
        <v>56.720999999999997</v>
      </c>
      <c r="HU16" s="12">
        <v>40602</v>
      </c>
      <c r="HV16">
        <v>3936.4659999999999</v>
      </c>
      <c r="HW16" s="12">
        <v>40602</v>
      </c>
      <c r="HX16">
        <v>28.597999999999999</v>
      </c>
      <c r="HY16" s="12">
        <v>40602</v>
      </c>
      <c r="HZ16">
        <v>22.571000000000002</v>
      </c>
      <c r="IA16" s="12">
        <v>40602</v>
      </c>
      <c r="IB16">
        <v>80.570999999999998</v>
      </c>
      <c r="IC16" s="12">
        <v>40602</v>
      </c>
      <c r="ID16">
        <v>2.15</v>
      </c>
      <c r="IE16" s="12">
        <v>40602</v>
      </c>
      <c r="IF16">
        <v>8.8780000000000001</v>
      </c>
      <c r="IG16" s="12">
        <v>40907</v>
      </c>
      <c r="IH16">
        <v>56.8</v>
      </c>
      <c r="II16" s="12">
        <v>40602</v>
      </c>
      <c r="IJ16">
        <v>37.261000000000003</v>
      </c>
      <c r="IK16" s="12">
        <v>40968</v>
      </c>
      <c r="IL16">
        <v>2.71</v>
      </c>
      <c r="IM16" s="12">
        <v>40602</v>
      </c>
      <c r="IN16">
        <v>15.849</v>
      </c>
      <c r="IO16" s="12">
        <v>41152</v>
      </c>
      <c r="IP16">
        <v>12.412000000000001</v>
      </c>
      <c r="IQ16" s="12">
        <v>40602</v>
      </c>
      <c r="IR16">
        <v>11.603</v>
      </c>
      <c r="IS16" s="12">
        <v>42521</v>
      </c>
      <c r="IT16">
        <v>4.74</v>
      </c>
      <c r="IU16" s="12">
        <v>40602</v>
      </c>
      <c r="IV16">
        <v>7.3212000000000002</v>
      </c>
      <c r="IW16" s="12">
        <v>40602</v>
      </c>
      <c r="IX16">
        <v>19.353000000000002</v>
      </c>
      <c r="IY16" s="12">
        <v>40602</v>
      </c>
      <c r="IZ16">
        <v>5.7119999999999997</v>
      </c>
      <c r="JA16" s="12">
        <v>42369</v>
      </c>
      <c r="JB16">
        <v>3.8820000000000001</v>
      </c>
      <c r="JC16" s="12">
        <v>40602</v>
      </c>
      <c r="JD16">
        <v>11.82</v>
      </c>
      <c r="JE16" s="12">
        <v>40602</v>
      </c>
      <c r="JF16">
        <v>297.25</v>
      </c>
      <c r="JG16" s="12">
        <v>42521</v>
      </c>
      <c r="JH16">
        <v>4.74</v>
      </c>
      <c r="JI16" s="12">
        <v>40602</v>
      </c>
      <c r="JJ16">
        <v>10.888</v>
      </c>
      <c r="JK16" s="12">
        <v>43496</v>
      </c>
      <c r="JL16">
        <v>23.468</v>
      </c>
      <c r="JM16" s="12">
        <v>40602</v>
      </c>
      <c r="JN16">
        <v>0.70399999999999996</v>
      </c>
      <c r="JO16" s="12">
        <v>40602</v>
      </c>
      <c r="JP16">
        <v>10.521000000000001</v>
      </c>
      <c r="JQ16" s="12">
        <v>42004</v>
      </c>
      <c r="JR16">
        <v>24.791</v>
      </c>
      <c r="JS16" s="12">
        <v>40602</v>
      </c>
      <c r="JT16">
        <v>7.7489999999999997</v>
      </c>
      <c r="JU16" s="12">
        <v>41820</v>
      </c>
      <c r="JV16">
        <v>27.946000000000002</v>
      </c>
      <c r="JW16" s="12">
        <v>40602</v>
      </c>
      <c r="JX16">
        <v>6.6070000000000002</v>
      </c>
      <c r="JY16" s="12">
        <v>40602</v>
      </c>
      <c r="JZ16">
        <v>9.8350000000000009</v>
      </c>
      <c r="KA16" s="12">
        <v>43496</v>
      </c>
      <c r="KB16">
        <v>45.500999999999998</v>
      </c>
      <c r="KC16" s="12">
        <v>40602</v>
      </c>
      <c r="KD16">
        <v>12.449</v>
      </c>
      <c r="KE16" s="12">
        <v>40602</v>
      </c>
      <c r="KF16">
        <v>4.2620000000000005</v>
      </c>
      <c r="KG16" s="12">
        <v>40602</v>
      </c>
      <c r="KH16">
        <v>0.14699999999999999</v>
      </c>
      <c r="KI16" s="12">
        <v>40602</v>
      </c>
      <c r="KJ16">
        <v>6.8739999999999997</v>
      </c>
      <c r="KK16" s="12">
        <v>40602</v>
      </c>
      <c r="KL16">
        <v>6.1310000000000002</v>
      </c>
      <c r="KM16" s="12">
        <v>43220</v>
      </c>
      <c r="KN16">
        <v>12.211</v>
      </c>
      <c r="KO16" s="12">
        <v>40602</v>
      </c>
      <c r="KP16">
        <v>147.715</v>
      </c>
      <c r="KQ16" s="12">
        <v>40602</v>
      </c>
      <c r="KR16">
        <v>199.79</v>
      </c>
      <c r="KS16" s="12">
        <v>40602</v>
      </c>
      <c r="KT16">
        <v>9.5950000000000006</v>
      </c>
      <c r="KU16" s="12">
        <v>40602</v>
      </c>
      <c r="KV16">
        <v>6.09</v>
      </c>
      <c r="KW16" s="12">
        <v>40602</v>
      </c>
      <c r="KX16">
        <v>47.533999999999999</v>
      </c>
      <c r="KY16" s="12">
        <v>40602</v>
      </c>
      <c r="KZ16">
        <v>35.61</v>
      </c>
      <c r="LA16" s="12">
        <v>40602</v>
      </c>
      <c r="LB16">
        <v>25.18</v>
      </c>
      <c r="LC16" s="12">
        <v>40602</v>
      </c>
      <c r="LD16">
        <v>8.7140000000000004</v>
      </c>
      <c r="LE16" s="12">
        <v>40602</v>
      </c>
      <c r="LF16">
        <v>6.7750000000000004</v>
      </c>
      <c r="LG16" s="12">
        <v>40602</v>
      </c>
      <c r="LH16">
        <v>8.7230000000000008</v>
      </c>
      <c r="LI16" s="12">
        <v>40602</v>
      </c>
      <c r="LJ16">
        <v>10.233000000000001</v>
      </c>
      <c r="LK16" s="12">
        <v>40602</v>
      </c>
      <c r="LL16">
        <v>25.277000000000001</v>
      </c>
      <c r="LM16" s="12">
        <v>40602</v>
      </c>
      <c r="LN16">
        <v>25.704999999999998</v>
      </c>
      <c r="LO16" s="12">
        <v>40602</v>
      </c>
      <c r="LP16">
        <v>17.774999999999999</v>
      </c>
      <c r="LQ16" s="12">
        <v>40602</v>
      </c>
      <c r="LR16">
        <v>37.82</v>
      </c>
      <c r="LS16" s="12">
        <v>40602</v>
      </c>
      <c r="LT16">
        <v>34.863</v>
      </c>
      <c r="LU16" s="12">
        <v>40602</v>
      </c>
      <c r="LV16">
        <v>54.933</v>
      </c>
      <c r="LW16" s="12">
        <v>40602</v>
      </c>
      <c r="LX16">
        <v>2480.2530000000002</v>
      </c>
      <c r="LY16" s="12">
        <v>40602</v>
      </c>
      <c r="LZ16">
        <v>20.166</v>
      </c>
      <c r="MA16" s="12">
        <v>40602</v>
      </c>
      <c r="MB16">
        <v>11.425000000000001</v>
      </c>
      <c r="MC16" s="12">
        <v>42062</v>
      </c>
      <c r="MD16">
        <v>16.324000000000002</v>
      </c>
      <c r="ME16" s="12">
        <v>40602</v>
      </c>
      <c r="MF16">
        <v>6.2850000000000001</v>
      </c>
      <c r="MG16" s="12">
        <v>40602</v>
      </c>
      <c r="MH16">
        <v>4.8380000000000001</v>
      </c>
      <c r="MI16" s="12">
        <v>42613</v>
      </c>
      <c r="MJ16">
        <v>9.2620000000000005</v>
      </c>
      <c r="MK16" s="12">
        <v>40602</v>
      </c>
      <c r="ML16">
        <v>5.9710000000000001</v>
      </c>
    </row>
    <row r="17" spans="1:350" x14ac:dyDescent="0.3">
      <c r="A17" s="12">
        <v>40633</v>
      </c>
      <c r="B17" s="1">
        <v>6.8360000000000003</v>
      </c>
      <c r="C17" s="12">
        <v>40998</v>
      </c>
      <c r="D17" s="1">
        <v>7.2789999999999999</v>
      </c>
      <c r="E17" s="12">
        <v>40633</v>
      </c>
      <c r="F17" s="13">
        <v>13.067</v>
      </c>
      <c r="G17" s="17">
        <v>40633</v>
      </c>
      <c r="H17" s="13">
        <v>5.0599999999999996</v>
      </c>
      <c r="I17" s="17">
        <v>40662</v>
      </c>
      <c r="J17">
        <v>12.260999999999999</v>
      </c>
      <c r="K17" s="12">
        <v>41851</v>
      </c>
      <c r="L17">
        <v>12.086</v>
      </c>
      <c r="M17" s="12">
        <v>40633</v>
      </c>
      <c r="N17" s="12">
        <v>35.813000000000002</v>
      </c>
      <c r="O17" s="12">
        <v>40633</v>
      </c>
      <c r="P17">
        <v>19.052</v>
      </c>
      <c r="Q17" s="12">
        <v>42034</v>
      </c>
      <c r="R17">
        <v>19.437000000000001</v>
      </c>
      <c r="S17" s="12">
        <v>40633</v>
      </c>
      <c r="T17">
        <v>10.685</v>
      </c>
      <c r="U17" s="12">
        <v>41060</v>
      </c>
      <c r="V17">
        <v>23.434999999999999</v>
      </c>
      <c r="W17" s="12">
        <v>43312</v>
      </c>
      <c r="X17">
        <v>24.13</v>
      </c>
      <c r="Y17" s="12">
        <v>40633</v>
      </c>
      <c r="Z17">
        <v>8.1850000000000005</v>
      </c>
      <c r="AA17" s="12">
        <v>40633</v>
      </c>
      <c r="AB17">
        <v>16.690000000000001</v>
      </c>
      <c r="AC17" s="12">
        <v>40633</v>
      </c>
      <c r="AD17">
        <v>8.4290000000000003</v>
      </c>
      <c r="AE17" s="12">
        <v>40633</v>
      </c>
      <c r="AF17">
        <v>9.8840000000000003</v>
      </c>
      <c r="AG17" s="12">
        <v>40633</v>
      </c>
      <c r="AH17">
        <v>57.423000000000002</v>
      </c>
      <c r="AI17" s="12">
        <v>41851</v>
      </c>
      <c r="AJ17">
        <v>21.173999999999999</v>
      </c>
      <c r="AK17" s="12">
        <v>40633</v>
      </c>
      <c r="AL17">
        <v>5.9960000000000004</v>
      </c>
      <c r="AO17" s="12">
        <v>40633</v>
      </c>
      <c r="AP17">
        <v>7.3739999999999997</v>
      </c>
      <c r="AQ17" s="12">
        <v>43251</v>
      </c>
      <c r="AR17">
        <v>17.981000000000002</v>
      </c>
      <c r="AS17" s="12">
        <v>40633</v>
      </c>
      <c r="AT17">
        <v>5.2229999999999999</v>
      </c>
      <c r="AU17" s="12">
        <v>40633</v>
      </c>
      <c r="AV17">
        <v>25.696999999999999</v>
      </c>
      <c r="AW17" s="12">
        <v>43553</v>
      </c>
      <c r="AX17">
        <v>20.695</v>
      </c>
      <c r="AY17" s="12">
        <v>40633</v>
      </c>
      <c r="AZ17">
        <v>27.847999999999999</v>
      </c>
      <c r="BA17" s="12">
        <v>40633</v>
      </c>
      <c r="BB17">
        <v>14.898</v>
      </c>
      <c r="BC17" s="12">
        <v>40633</v>
      </c>
      <c r="BD17">
        <v>9.5990000000000002</v>
      </c>
      <c r="BE17" s="12">
        <v>40724</v>
      </c>
      <c r="BF17">
        <v>8.9290000000000003</v>
      </c>
      <c r="BG17" s="12">
        <v>40633</v>
      </c>
      <c r="BH17">
        <v>10.821999999999999</v>
      </c>
      <c r="BI17" s="12">
        <v>40633</v>
      </c>
      <c r="BJ17">
        <v>19.393000000000001</v>
      </c>
      <c r="BK17" s="12">
        <v>40633</v>
      </c>
      <c r="BL17">
        <v>7.819</v>
      </c>
      <c r="BM17" s="12">
        <v>40633</v>
      </c>
      <c r="BN17">
        <v>16.321000000000002</v>
      </c>
      <c r="BO17" s="12">
        <v>40633</v>
      </c>
      <c r="BP17">
        <v>4.7940000000000005</v>
      </c>
      <c r="BQ17" s="12">
        <v>40633</v>
      </c>
      <c r="BR17">
        <v>5.1689999999999996</v>
      </c>
      <c r="BS17" s="12">
        <v>40633</v>
      </c>
      <c r="BT17">
        <v>6.8090000000000002</v>
      </c>
      <c r="BU17" s="12">
        <v>40633</v>
      </c>
      <c r="BV17">
        <v>4.1950000000000003</v>
      </c>
      <c r="BW17" s="12">
        <v>40633</v>
      </c>
      <c r="BX17">
        <v>2.2149999999999999</v>
      </c>
      <c r="BY17" s="12">
        <v>40633</v>
      </c>
      <c r="BZ17">
        <v>16.981000000000002</v>
      </c>
      <c r="CA17" s="12">
        <v>40633</v>
      </c>
      <c r="CB17">
        <v>27.95</v>
      </c>
      <c r="CC17" s="12">
        <v>43404</v>
      </c>
      <c r="CD17">
        <v>14.865</v>
      </c>
      <c r="CE17" s="12">
        <v>40633</v>
      </c>
      <c r="CF17">
        <v>13.98</v>
      </c>
      <c r="CG17" s="12">
        <v>40633</v>
      </c>
      <c r="CH17">
        <v>17.649000000000001</v>
      </c>
      <c r="CI17" s="12">
        <v>40633</v>
      </c>
      <c r="CJ17">
        <v>19.07</v>
      </c>
      <c r="CK17" s="12">
        <v>40633</v>
      </c>
      <c r="CL17">
        <v>17.975000000000001</v>
      </c>
      <c r="CM17" s="12">
        <v>40633</v>
      </c>
      <c r="CN17">
        <v>21.922000000000001</v>
      </c>
      <c r="CO17" s="12">
        <v>42094</v>
      </c>
      <c r="CP17">
        <v>12.494999999999999</v>
      </c>
      <c r="CQ17" s="12">
        <v>40633</v>
      </c>
      <c r="CR17">
        <v>11.292999999999999</v>
      </c>
      <c r="CS17" s="12">
        <v>40633</v>
      </c>
      <c r="CT17">
        <v>20.077000000000002</v>
      </c>
      <c r="CU17" s="12">
        <v>40633</v>
      </c>
      <c r="CV17">
        <v>7.0949999999999998</v>
      </c>
      <c r="CW17" s="12">
        <v>40633</v>
      </c>
      <c r="CX17">
        <v>8.9939999999999998</v>
      </c>
      <c r="CY17" s="12">
        <v>40724</v>
      </c>
      <c r="CZ17">
        <v>9.0990000000000002</v>
      </c>
      <c r="DA17" s="12">
        <v>40633</v>
      </c>
      <c r="DB17">
        <v>12.662000000000001</v>
      </c>
      <c r="DC17" s="12">
        <v>40633</v>
      </c>
      <c r="DD17">
        <v>18.462</v>
      </c>
      <c r="DE17" s="12">
        <v>40633</v>
      </c>
      <c r="DF17">
        <v>16.661999999999999</v>
      </c>
      <c r="DG17" s="12">
        <v>40753</v>
      </c>
      <c r="DH17">
        <v>41.024000000000001</v>
      </c>
      <c r="DI17" s="12">
        <v>40633</v>
      </c>
      <c r="DJ17">
        <v>23.385000000000002</v>
      </c>
      <c r="DK17" s="12">
        <v>40633</v>
      </c>
      <c r="DL17">
        <v>12.24</v>
      </c>
      <c r="DM17" s="12">
        <v>41060</v>
      </c>
      <c r="DN17">
        <v>6.0659999999999998</v>
      </c>
      <c r="DO17" s="12">
        <v>40633</v>
      </c>
      <c r="DP17">
        <v>7.9130000000000003</v>
      </c>
      <c r="DQ17" s="12">
        <v>40633</v>
      </c>
      <c r="DR17">
        <v>564.38099999999997</v>
      </c>
      <c r="DS17" s="12">
        <v>40633</v>
      </c>
      <c r="DT17">
        <v>6.923</v>
      </c>
      <c r="DU17" s="12">
        <v>40633</v>
      </c>
      <c r="DV17">
        <v>1.901</v>
      </c>
      <c r="DW17" s="12">
        <v>40633</v>
      </c>
      <c r="DX17">
        <v>6.5430000000000001</v>
      </c>
      <c r="DY17" s="12">
        <v>40633</v>
      </c>
      <c r="DZ17">
        <v>6.6319999999999997</v>
      </c>
      <c r="EA17" s="12">
        <v>40633</v>
      </c>
      <c r="EB17">
        <v>15.84</v>
      </c>
      <c r="EC17" s="12">
        <v>40633</v>
      </c>
      <c r="ED17">
        <v>21.286999999999999</v>
      </c>
      <c r="EE17" s="12">
        <v>40633</v>
      </c>
      <c r="EF17">
        <v>8.7189999999999994</v>
      </c>
      <c r="EG17" s="12">
        <v>40633</v>
      </c>
      <c r="EH17">
        <v>15.036</v>
      </c>
      <c r="EI17" s="12">
        <v>40633</v>
      </c>
      <c r="EJ17">
        <v>70.858999999999995</v>
      </c>
      <c r="EK17" s="12">
        <v>40633</v>
      </c>
      <c r="EL17">
        <v>13.087999999999999</v>
      </c>
      <c r="EM17" s="12">
        <v>40633</v>
      </c>
      <c r="EN17">
        <v>17.305</v>
      </c>
      <c r="EO17" s="12">
        <v>43677</v>
      </c>
      <c r="EP17">
        <v>43.55</v>
      </c>
      <c r="EQ17" s="12">
        <v>40633</v>
      </c>
      <c r="ER17">
        <v>20.815000000000001</v>
      </c>
      <c r="ES17" s="12">
        <v>40633</v>
      </c>
      <c r="ET17">
        <v>21.648</v>
      </c>
      <c r="EU17" s="12">
        <v>40633</v>
      </c>
      <c r="EV17">
        <v>1.9159999999999999</v>
      </c>
      <c r="EW17" s="12">
        <v>43677</v>
      </c>
      <c r="EX17">
        <v>41.691000000000003</v>
      </c>
      <c r="EY17" s="12">
        <v>40633</v>
      </c>
      <c r="EZ17">
        <v>20.446000000000002</v>
      </c>
      <c r="FA17" s="12">
        <v>40633</v>
      </c>
      <c r="FB17">
        <v>17.608000000000001</v>
      </c>
      <c r="FC17" s="12">
        <v>40633</v>
      </c>
      <c r="FD17">
        <v>17.149000000000001</v>
      </c>
      <c r="FE17" s="12">
        <v>43404</v>
      </c>
      <c r="FF17">
        <v>23.184999999999999</v>
      </c>
      <c r="FG17" s="12">
        <v>40633</v>
      </c>
      <c r="FH17">
        <v>4.1219999999999999</v>
      </c>
      <c r="FI17" s="12">
        <v>40633</v>
      </c>
      <c r="FJ17">
        <v>8.9250000000000007</v>
      </c>
      <c r="FK17" s="12">
        <v>40633</v>
      </c>
      <c r="FL17">
        <v>11.396000000000001</v>
      </c>
      <c r="FM17" s="12">
        <v>40633</v>
      </c>
      <c r="FN17">
        <v>5.258</v>
      </c>
      <c r="FO17" s="12">
        <v>40633</v>
      </c>
      <c r="FP17">
        <v>13.162000000000001</v>
      </c>
      <c r="FQ17" s="12">
        <v>42124</v>
      </c>
      <c r="FR17">
        <v>15.366</v>
      </c>
      <c r="FS17" s="12">
        <v>40633</v>
      </c>
      <c r="FT17">
        <v>0.879</v>
      </c>
      <c r="FU17" s="12">
        <v>40633</v>
      </c>
      <c r="FV17">
        <v>5.6230000000000002</v>
      </c>
      <c r="FW17" s="12">
        <v>40633</v>
      </c>
      <c r="FX17">
        <v>6.5780000000000003</v>
      </c>
      <c r="FY17" s="12">
        <v>41486</v>
      </c>
      <c r="FZ17">
        <v>2.4319999999999999</v>
      </c>
      <c r="GA17" s="12">
        <v>40633</v>
      </c>
      <c r="GB17">
        <v>7.7789999999999999</v>
      </c>
      <c r="GC17" s="12">
        <v>40633</v>
      </c>
      <c r="GD17">
        <v>18.744</v>
      </c>
      <c r="GE17" s="12">
        <v>41789</v>
      </c>
      <c r="GF17">
        <v>14.666</v>
      </c>
      <c r="GI17" s="12">
        <v>40633</v>
      </c>
      <c r="GJ17">
        <v>7.1660000000000004</v>
      </c>
      <c r="GK17" s="12">
        <v>40633</v>
      </c>
      <c r="GL17">
        <v>38.366</v>
      </c>
      <c r="GM17" s="12">
        <v>40633</v>
      </c>
      <c r="GN17">
        <v>11.406000000000001</v>
      </c>
      <c r="GO17" s="12">
        <v>41121</v>
      </c>
      <c r="GP17">
        <v>1.1850000000000001</v>
      </c>
      <c r="GQ17" s="12">
        <v>40753</v>
      </c>
      <c r="GR17">
        <v>20.135999999999999</v>
      </c>
      <c r="GS17" s="12">
        <v>40633</v>
      </c>
      <c r="GT17">
        <v>1534.809</v>
      </c>
      <c r="GU17" s="12">
        <v>43251</v>
      </c>
      <c r="GV17">
        <v>6.5170000000000003</v>
      </c>
      <c r="GW17" s="12">
        <v>40694</v>
      </c>
      <c r="GX17">
        <v>17.105</v>
      </c>
      <c r="GY17" s="12">
        <v>40633</v>
      </c>
      <c r="GZ17">
        <v>14.576000000000001</v>
      </c>
      <c r="HA17" s="12">
        <v>40633</v>
      </c>
      <c r="HB17">
        <v>7.9870000000000001</v>
      </c>
      <c r="HC17" s="12">
        <v>40633</v>
      </c>
      <c r="HD17">
        <v>9.3309999999999995</v>
      </c>
      <c r="HE17" s="12">
        <v>40633</v>
      </c>
      <c r="HF17">
        <v>17.088999999999999</v>
      </c>
      <c r="HG17" s="12">
        <v>40633</v>
      </c>
      <c r="HH17">
        <v>17.655000000000001</v>
      </c>
      <c r="HI17" s="12">
        <v>40633</v>
      </c>
      <c r="HJ17">
        <v>6.5730000000000004</v>
      </c>
      <c r="HK17" s="12">
        <v>40633</v>
      </c>
      <c r="HL17">
        <v>1965</v>
      </c>
      <c r="HM17" s="12">
        <v>40633</v>
      </c>
      <c r="HN17">
        <v>77.813999999999993</v>
      </c>
      <c r="HO17" s="12">
        <v>40633</v>
      </c>
      <c r="HP17">
        <v>61.71</v>
      </c>
      <c r="HQ17" s="12">
        <v>40724</v>
      </c>
      <c r="HR17">
        <v>1800</v>
      </c>
      <c r="HS17" s="12">
        <v>40633</v>
      </c>
      <c r="HT17">
        <v>61.603000000000002</v>
      </c>
      <c r="HU17" s="12">
        <v>40633</v>
      </c>
      <c r="HV17">
        <v>3966.779</v>
      </c>
      <c r="HW17" s="12">
        <v>40633</v>
      </c>
      <c r="HX17">
        <v>28.753</v>
      </c>
      <c r="HY17" s="12">
        <v>40633</v>
      </c>
      <c r="HZ17">
        <v>22.638999999999999</v>
      </c>
      <c r="IA17" s="12">
        <v>40633</v>
      </c>
      <c r="IB17">
        <v>81.965000000000003</v>
      </c>
      <c r="IC17" s="12">
        <v>40633</v>
      </c>
      <c r="ID17">
        <v>2.5910000000000002</v>
      </c>
      <c r="IE17" s="12">
        <v>40633</v>
      </c>
      <c r="IF17">
        <v>7.109</v>
      </c>
      <c r="IG17" s="12">
        <v>40939</v>
      </c>
      <c r="IH17">
        <v>45.8</v>
      </c>
      <c r="II17" s="12">
        <v>40633</v>
      </c>
      <c r="IJ17">
        <v>41.283000000000001</v>
      </c>
      <c r="IK17" s="12">
        <v>40998</v>
      </c>
      <c r="IL17">
        <v>3.14</v>
      </c>
      <c r="IM17" s="12">
        <v>40633</v>
      </c>
      <c r="IN17">
        <v>16.669</v>
      </c>
      <c r="IO17" s="12">
        <v>41180</v>
      </c>
      <c r="IP17">
        <v>12.319000000000001</v>
      </c>
      <c r="IQ17" s="12">
        <v>40633</v>
      </c>
      <c r="IR17">
        <v>11.699</v>
      </c>
      <c r="IS17" s="12">
        <v>42551</v>
      </c>
      <c r="IT17">
        <v>4.9000000000000004</v>
      </c>
      <c r="IU17" s="12">
        <v>40633</v>
      </c>
      <c r="IV17">
        <v>7.2561</v>
      </c>
      <c r="IW17" s="12">
        <v>40633</v>
      </c>
      <c r="IX17">
        <v>21.649000000000001</v>
      </c>
      <c r="IY17" s="12">
        <v>40633</v>
      </c>
      <c r="IZ17">
        <v>6.3680000000000003</v>
      </c>
      <c r="JA17" s="12">
        <v>42398</v>
      </c>
      <c r="JB17">
        <v>1.9039999999999999</v>
      </c>
      <c r="JC17" s="12">
        <v>40633</v>
      </c>
      <c r="JD17">
        <v>11.239000000000001</v>
      </c>
      <c r="JE17" s="12">
        <v>40633</v>
      </c>
      <c r="JF17">
        <v>313.61</v>
      </c>
      <c r="JG17" s="12">
        <v>42551</v>
      </c>
      <c r="JH17">
        <v>4.9000000000000004</v>
      </c>
      <c r="JI17" s="12">
        <v>40633</v>
      </c>
      <c r="JJ17">
        <v>10.818</v>
      </c>
      <c r="JK17" s="12">
        <v>43524</v>
      </c>
      <c r="JL17">
        <v>24.451000000000001</v>
      </c>
      <c r="JM17" s="12">
        <v>40633</v>
      </c>
      <c r="JN17">
        <v>0.69699999999999995</v>
      </c>
      <c r="JO17" s="12">
        <v>40633</v>
      </c>
      <c r="JP17">
        <v>12.129</v>
      </c>
      <c r="JQ17" s="12">
        <v>42034</v>
      </c>
      <c r="JR17">
        <v>11.31</v>
      </c>
      <c r="JS17" s="12">
        <v>40633</v>
      </c>
      <c r="JT17">
        <v>8.2149999999999999</v>
      </c>
      <c r="JU17" s="12">
        <v>41851</v>
      </c>
      <c r="JV17">
        <v>28.538</v>
      </c>
      <c r="JW17" s="12">
        <v>40633</v>
      </c>
      <c r="JX17">
        <v>7.3609999999999998</v>
      </c>
      <c r="JY17" s="12">
        <v>40633</v>
      </c>
      <c r="JZ17">
        <v>10.532</v>
      </c>
      <c r="KA17" s="12">
        <v>43524</v>
      </c>
      <c r="KB17">
        <v>47.143000000000001</v>
      </c>
      <c r="KC17" s="12">
        <v>40633</v>
      </c>
      <c r="KD17">
        <v>13.185</v>
      </c>
      <c r="KE17" s="12">
        <v>40633</v>
      </c>
      <c r="KF17">
        <v>4.7940000000000005</v>
      </c>
      <c r="KG17" s="12">
        <v>40633</v>
      </c>
      <c r="KH17">
        <v>0.13200000000000001</v>
      </c>
      <c r="KI17" s="12">
        <v>40633</v>
      </c>
      <c r="KJ17">
        <v>8.4640000000000004</v>
      </c>
      <c r="KK17" s="12">
        <v>40633</v>
      </c>
      <c r="KL17">
        <v>6.8120000000000003</v>
      </c>
      <c r="KM17" s="12">
        <v>43251</v>
      </c>
      <c r="KN17">
        <v>11.923</v>
      </c>
      <c r="KO17" s="12">
        <v>40633</v>
      </c>
      <c r="KP17">
        <v>148.178</v>
      </c>
      <c r="KQ17" s="12">
        <v>40633</v>
      </c>
      <c r="KR17">
        <v>202.197</v>
      </c>
      <c r="KS17" s="12">
        <v>40633</v>
      </c>
      <c r="KT17">
        <v>10.346</v>
      </c>
      <c r="KU17" s="12">
        <v>40633</v>
      </c>
      <c r="KV17">
        <v>6.6719999999999997</v>
      </c>
      <c r="KW17" s="12">
        <v>40633</v>
      </c>
      <c r="KX17">
        <v>54.582000000000001</v>
      </c>
      <c r="KY17" s="12">
        <v>40633</v>
      </c>
      <c r="KZ17">
        <v>36.642000000000003</v>
      </c>
      <c r="LA17" s="12">
        <v>40633</v>
      </c>
      <c r="LB17">
        <v>27.265999999999998</v>
      </c>
      <c r="LC17" s="12">
        <v>40633</v>
      </c>
      <c r="LD17">
        <v>8.8040000000000003</v>
      </c>
      <c r="LE17" s="12">
        <v>40633</v>
      </c>
      <c r="LF17">
        <v>6.9180000000000001</v>
      </c>
      <c r="LG17" s="12">
        <v>40633</v>
      </c>
      <c r="LH17">
        <v>8.7059999999999995</v>
      </c>
      <c r="LI17" s="12">
        <v>40633</v>
      </c>
      <c r="LJ17">
        <v>10.753</v>
      </c>
      <c r="LK17" s="12">
        <v>40633</v>
      </c>
      <c r="LL17">
        <v>26.561</v>
      </c>
      <c r="LM17" s="12">
        <v>40633</v>
      </c>
      <c r="LN17">
        <v>26.959</v>
      </c>
      <c r="LO17" s="12">
        <v>40633</v>
      </c>
      <c r="LP17">
        <v>18.613</v>
      </c>
      <c r="LQ17" s="12">
        <v>40633</v>
      </c>
      <c r="LR17">
        <v>35.838000000000001</v>
      </c>
      <c r="LS17" s="12">
        <v>40633</v>
      </c>
      <c r="LT17">
        <v>33.31</v>
      </c>
      <c r="LU17" s="12">
        <v>40633</v>
      </c>
      <c r="LV17">
        <v>59.442</v>
      </c>
      <c r="LW17" s="12">
        <v>40633</v>
      </c>
      <c r="LX17">
        <v>2512.674</v>
      </c>
      <c r="LY17" s="12">
        <v>40633</v>
      </c>
      <c r="LZ17">
        <v>21.123000000000001</v>
      </c>
      <c r="MA17" s="12">
        <v>40633</v>
      </c>
      <c r="MB17">
        <v>11.629</v>
      </c>
      <c r="MC17" s="12">
        <v>42094</v>
      </c>
      <c r="MD17">
        <v>15.832000000000001</v>
      </c>
      <c r="ME17" s="12">
        <v>40633</v>
      </c>
      <c r="MF17">
        <v>6.1929999999999996</v>
      </c>
      <c r="MG17" s="12">
        <v>40633</v>
      </c>
      <c r="MH17">
        <v>5.2050000000000001</v>
      </c>
      <c r="MI17" s="12">
        <v>42643</v>
      </c>
      <c r="MJ17">
        <v>10.595000000000001</v>
      </c>
      <c r="MK17" s="12">
        <v>40633</v>
      </c>
      <c r="ML17">
        <v>6.5120000000000005</v>
      </c>
    </row>
    <row r="18" spans="1:350" x14ac:dyDescent="0.3">
      <c r="A18" s="12">
        <v>40662</v>
      </c>
      <c r="B18" s="1">
        <v>7.5350000000000001</v>
      </c>
      <c r="C18" s="12">
        <v>41029</v>
      </c>
      <c r="D18" s="1">
        <v>8.3840000000000003</v>
      </c>
      <c r="E18" s="12">
        <v>40662</v>
      </c>
      <c r="F18" s="13">
        <v>12.676</v>
      </c>
      <c r="G18" s="17">
        <v>40662</v>
      </c>
      <c r="H18" s="13">
        <v>5.1870000000000003</v>
      </c>
      <c r="I18" s="17">
        <v>40694</v>
      </c>
      <c r="J18">
        <v>12.436</v>
      </c>
      <c r="K18" s="12">
        <v>41880</v>
      </c>
      <c r="L18">
        <v>13.255000000000001</v>
      </c>
      <c r="M18" s="12">
        <v>40662</v>
      </c>
      <c r="N18" s="12">
        <v>38.932000000000002</v>
      </c>
      <c r="O18" s="12">
        <v>40662</v>
      </c>
      <c r="P18">
        <v>19.210999999999999</v>
      </c>
      <c r="Q18" s="12">
        <v>42062</v>
      </c>
      <c r="R18">
        <v>15.006</v>
      </c>
      <c r="S18" s="12">
        <v>40662</v>
      </c>
      <c r="T18">
        <v>11.706</v>
      </c>
      <c r="U18" s="12">
        <v>41089</v>
      </c>
      <c r="V18">
        <v>23.753</v>
      </c>
      <c r="W18" s="12">
        <v>43343</v>
      </c>
      <c r="X18">
        <v>23</v>
      </c>
      <c r="Y18" s="12">
        <v>40662</v>
      </c>
      <c r="Z18">
        <v>8.157</v>
      </c>
      <c r="AA18" s="12">
        <v>40662</v>
      </c>
      <c r="AB18">
        <v>16.373999999999999</v>
      </c>
      <c r="AC18" s="12">
        <v>40662</v>
      </c>
      <c r="AD18">
        <v>8.0150000000000006</v>
      </c>
      <c r="AE18" s="12">
        <v>40662</v>
      </c>
      <c r="AF18">
        <v>9.3130000000000006</v>
      </c>
      <c r="AG18" s="12">
        <v>40662</v>
      </c>
      <c r="AH18">
        <v>59.688000000000002</v>
      </c>
      <c r="AI18" s="12">
        <v>41880</v>
      </c>
      <c r="AJ18">
        <v>23.268000000000001</v>
      </c>
      <c r="AK18" s="12">
        <v>40662</v>
      </c>
      <c r="AL18">
        <v>6.2190000000000003</v>
      </c>
      <c r="AO18" s="12">
        <v>40662</v>
      </c>
      <c r="AP18">
        <v>7.6079999999999997</v>
      </c>
      <c r="AQ18" s="12">
        <v>43280</v>
      </c>
      <c r="AR18">
        <v>17.103000000000002</v>
      </c>
      <c r="AS18" s="12">
        <v>40662</v>
      </c>
      <c r="AT18">
        <v>5.0350000000000001</v>
      </c>
      <c r="AU18" s="12">
        <v>40662</v>
      </c>
      <c r="AV18">
        <v>25.012</v>
      </c>
      <c r="AW18" s="12">
        <v>43585</v>
      </c>
      <c r="AX18">
        <v>23.303000000000001</v>
      </c>
      <c r="AY18" s="12">
        <v>40662</v>
      </c>
      <c r="AZ18">
        <v>28.48</v>
      </c>
      <c r="BA18" s="12">
        <v>40662</v>
      </c>
      <c r="BB18">
        <v>15.765000000000001</v>
      </c>
      <c r="BC18" s="12">
        <v>40662</v>
      </c>
      <c r="BD18">
        <v>9.35</v>
      </c>
      <c r="BE18" s="12">
        <v>40753</v>
      </c>
      <c r="BF18">
        <v>8.7859999999999996</v>
      </c>
      <c r="BG18" s="12">
        <v>40662</v>
      </c>
      <c r="BH18">
        <v>10.176</v>
      </c>
      <c r="BI18" s="12">
        <v>40662</v>
      </c>
      <c r="BJ18">
        <v>18.742000000000001</v>
      </c>
      <c r="BK18" s="12">
        <v>40662</v>
      </c>
      <c r="BL18">
        <v>8.1219999999999999</v>
      </c>
      <c r="BM18" s="12">
        <v>40662</v>
      </c>
      <c r="BN18">
        <v>15.975</v>
      </c>
      <c r="BO18" s="12">
        <v>40662</v>
      </c>
      <c r="BP18">
        <v>5.04</v>
      </c>
      <c r="BQ18" s="12">
        <v>40662</v>
      </c>
      <c r="BR18">
        <v>5.4249999999999998</v>
      </c>
      <c r="BS18" s="12">
        <v>40662</v>
      </c>
      <c r="BT18">
        <v>7.03</v>
      </c>
      <c r="BU18" s="12">
        <v>40662</v>
      </c>
      <c r="BV18">
        <v>4.2240000000000002</v>
      </c>
      <c r="BW18" s="12">
        <v>40662</v>
      </c>
      <c r="BX18">
        <v>2.1850000000000001</v>
      </c>
      <c r="BY18" s="12">
        <v>40662</v>
      </c>
      <c r="BZ18">
        <v>17.027000000000001</v>
      </c>
      <c r="CA18" s="12">
        <v>40662</v>
      </c>
      <c r="CB18">
        <v>27.518000000000001</v>
      </c>
      <c r="CC18" s="12">
        <v>43434</v>
      </c>
      <c r="CD18">
        <v>16.690000000000001</v>
      </c>
      <c r="CE18" s="12">
        <v>40662</v>
      </c>
      <c r="CF18">
        <v>14.547000000000001</v>
      </c>
      <c r="CG18" s="12">
        <v>40662</v>
      </c>
      <c r="CH18">
        <v>16.815000000000001</v>
      </c>
      <c r="CI18" s="12">
        <v>40662</v>
      </c>
      <c r="CJ18">
        <v>20.154</v>
      </c>
      <c r="CK18" s="12">
        <v>40662</v>
      </c>
      <c r="CL18">
        <v>16.48</v>
      </c>
      <c r="CM18" s="12">
        <v>40662</v>
      </c>
      <c r="CN18">
        <v>21.190999999999999</v>
      </c>
      <c r="CO18" s="12">
        <v>42124</v>
      </c>
      <c r="CP18">
        <v>15.926</v>
      </c>
      <c r="CQ18" s="12">
        <v>40662</v>
      </c>
      <c r="CR18">
        <v>12.044</v>
      </c>
      <c r="CS18" s="12">
        <v>40662</v>
      </c>
      <c r="CT18">
        <v>20.125</v>
      </c>
      <c r="CU18" s="12">
        <v>40662</v>
      </c>
      <c r="CV18">
        <v>7.0289999999999999</v>
      </c>
      <c r="CW18" s="12">
        <v>40662</v>
      </c>
      <c r="CX18">
        <v>8.4779999999999998</v>
      </c>
      <c r="CY18" s="12">
        <v>40753</v>
      </c>
      <c r="CZ18">
        <v>8.7639999999999993</v>
      </c>
      <c r="DA18" s="12">
        <v>40662</v>
      </c>
      <c r="DB18">
        <v>12.643000000000001</v>
      </c>
      <c r="DC18" s="12">
        <v>40662</v>
      </c>
      <c r="DD18">
        <v>17.138000000000002</v>
      </c>
      <c r="DE18" s="12">
        <v>40662</v>
      </c>
      <c r="DF18">
        <v>15.568999999999999</v>
      </c>
      <c r="DG18" s="12">
        <v>40786</v>
      </c>
      <c r="DH18">
        <v>38.683</v>
      </c>
      <c r="DI18" s="12">
        <v>40662</v>
      </c>
      <c r="DJ18">
        <v>24.811</v>
      </c>
      <c r="DK18" s="12">
        <v>40662</v>
      </c>
      <c r="DL18">
        <v>11.207000000000001</v>
      </c>
      <c r="DM18" s="12">
        <v>41089</v>
      </c>
      <c r="DN18">
        <v>4.5</v>
      </c>
      <c r="DO18" s="12">
        <v>40662</v>
      </c>
      <c r="DP18">
        <v>8.0879999999999992</v>
      </c>
      <c r="DQ18" s="12">
        <v>40662</v>
      </c>
      <c r="DR18">
        <v>525.24900000000002</v>
      </c>
      <c r="DS18" s="12">
        <v>40662</v>
      </c>
      <c r="DT18">
        <v>6.9969999999999999</v>
      </c>
      <c r="DU18" s="12">
        <v>40662</v>
      </c>
      <c r="DV18">
        <v>2.004</v>
      </c>
      <c r="DW18" s="12">
        <v>40662</v>
      </c>
      <c r="DX18">
        <v>6.7219999999999995</v>
      </c>
      <c r="DY18" s="12">
        <v>40662</v>
      </c>
      <c r="DZ18">
        <v>7.8029999999999999</v>
      </c>
      <c r="EA18" s="12">
        <v>40662</v>
      </c>
      <c r="EB18">
        <v>16.34</v>
      </c>
      <c r="EC18" s="12">
        <v>40662</v>
      </c>
      <c r="ED18">
        <v>20.413</v>
      </c>
      <c r="EE18" s="12">
        <v>40662</v>
      </c>
      <c r="EF18">
        <v>8.4320000000000004</v>
      </c>
      <c r="EG18" s="12">
        <v>40662</v>
      </c>
      <c r="EH18">
        <v>15.824</v>
      </c>
      <c r="EI18" s="12">
        <v>40662</v>
      </c>
      <c r="EJ18">
        <v>66.120999999999995</v>
      </c>
      <c r="EK18" s="12">
        <v>40662</v>
      </c>
      <c r="EL18">
        <v>12.707000000000001</v>
      </c>
      <c r="EM18" s="12">
        <v>40662</v>
      </c>
      <c r="EN18">
        <v>16.199000000000002</v>
      </c>
      <c r="EO18" s="12">
        <v>43707</v>
      </c>
      <c r="EP18">
        <v>55.887</v>
      </c>
      <c r="EQ18" s="12">
        <v>40662</v>
      </c>
      <c r="ER18">
        <v>19.593</v>
      </c>
      <c r="ES18" s="12">
        <v>40662</v>
      </c>
      <c r="ET18">
        <v>21.608000000000001</v>
      </c>
      <c r="EU18" s="12">
        <v>40662</v>
      </c>
      <c r="EV18">
        <v>1.909</v>
      </c>
      <c r="EW18" s="12">
        <v>43707</v>
      </c>
      <c r="EX18">
        <v>51.575000000000003</v>
      </c>
      <c r="EY18" s="12">
        <v>40662</v>
      </c>
      <c r="EZ18">
        <v>23.32</v>
      </c>
      <c r="FA18" s="12">
        <v>40662</v>
      </c>
      <c r="FB18">
        <v>17.201000000000001</v>
      </c>
      <c r="FC18" s="12">
        <v>40662</v>
      </c>
      <c r="FD18">
        <v>17.539000000000001</v>
      </c>
      <c r="FE18" s="12">
        <v>43434</v>
      </c>
      <c r="FF18">
        <v>24.164000000000001</v>
      </c>
      <c r="FG18" s="12">
        <v>40662</v>
      </c>
      <c r="FH18">
        <v>3.9130000000000003</v>
      </c>
      <c r="FI18" s="12">
        <v>40662</v>
      </c>
      <c r="FJ18">
        <v>8.7639999999999993</v>
      </c>
      <c r="FK18" s="12">
        <v>40662</v>
      </c>
      <c r="FL18">
        <v>10.872</v>
      </c>
      <c r="FM18" s="12">
        <v>40662</v>
      </c>
      <c r="FN18">
        <v>4.819</v>
      </c>
      <c r="FO18" s="12">
        <v>40662</v>
      </c>
      <c r="FP18">
        <v>11.462999999999999</v>
      </c>
      <c r="FQ18" s="12">
        <v>42153</v>
      </c>
      <c r="FR18">
        <v>15.798</v>
      </c>
      <c r="FS18" s="12">
        <v>40662</v>
      </c>
      <c r="FT18">
        <v>0.82599999999999996</v>
      </c>
      <c r="FU18" s="12">
        <v>40662</v>
      </c>
      <c r="FV18">
        <v>5.8230000000000004</v>
      </c>
      <c r="FW18" s="12">
        <v>40662</v>
      </c>
      <c r="FX18">
        <v>6.7709999999999999</v>
      </c>
      <c r="FY18" s="12">
        <v>41516</v>
      </c>
      <c r="FZ18">
        <v>1.9910000000000001</v>
      </c>
      <c r="GA18" s="12">
        <v>40662</v>
      </c>
      <c r="GB18">
        <v>7.8550000000000004</v>
      </c>
      <c r="GC18" s="12">
        <v>40662</v>
      </c>
      <c r="GD18">
        <v>18.754000000000001</v>
      </c>
      <c r="GE18" s="12">
        <v>41820</v>
      </c>
      <c r="GF18">
        <v>16.161000000000001</v>
      </c>
      <c r="GI18" s="12">
        <v>40662</v>
      </c>
      <c r="GJ18">
        <v>8.0589999999999993</v>
      </c>
      <c r="GK18" s="12">
        <v>40662</v>
      </c>
      <c r="GL18">
        <v>37.207000000000001</v>
      </c>
      <c r="GM18" s="12">
        <v>40662</v>
      </c>
      <c r="GN18">
        <v>12.2</v>
      </c>
      <c r="GO18" s="12">
        <v>41152</v>
      </c>
      <c r="GP18">
        <v>1.3069999999999999</v>
      </c>
      <c r="GQ18" s="12">
        <v>40786</v>
      </c>
      <c r="GR18">
        <v>19.187000000000001</v>
      </c>
      <c r="GS18" s="12">
        <v>40662</v>
      </c>
      <c r="GT18">
        <v>1513.866</v>
      </c>
      <c r="GU18" s="12">
        <v>43280</v>
      </c>
      <c r="GV18">
        <v>5.0860000000000003</v>
      </c>
      <c r="GW18" s="12">
        <v>40724</v>
      </c>
      <c r="GX18">
        <v>16.331</v>
      </c>
      <c r="GY18" s="12">
        <v>40662</v>
      </c>
      <c r="GZ18">
        <v>16.184999999999999</v>
      </c>
      <c r="HA18" s="12">
        <v>40662</v>
      </c>
      <c r="HB18">
        <v>8.3170000000000002</v>
      </c>
      <c r="HC18" s="12">
        <v>40662</v>
      </c>
      <c r="HD18">
        <v>9.0549999999999997</v>
      </c>
      <c r="HE18" s="12">
        <v>40662</v>
      </c>
      <c r="HF18">
        <v>17.57</v>
      </c>
      <c r="HG18" s="12">
        <v>40662</v>
      </c>
      <c r="HH18">
        <v>17.003</v>
      </c>
      <c r="HI18" s="12">
        <v>40662</v>
      </c>
      <c r="HJ18">
        <v>6.2780000000000005</v>
      </c>
      <c r="HK18" s="12">
        <v>40662</v>
      </c>
      <c r="HL18">
        <v>1689</v>
      </c>
      <c r="HM18" s="12">
        <v>40662</v>
      </c>
      <c r="HN18">
        <v>75.665999999999997</v>
      </c>
      <c r="HO18" s="12">
        <v>40662</v>
      </c>
      <c r="HP18">
        <v>63.127000000000002</v>
      </c>
      <c r="HQ18" s="12">
        <v>40753</v>
      </c>
      <c r="HR18">
        <v>1520</v>
      </c>
      <c r="HS18" s="12">
        <v>40662</v>
      </c>
      <c r="HT18">
        <v>64.709999999999994</v>
      </c>
      <c r="HU18" s="12">
        <v>40662</v>
      </c>
      <c r="HV18">
        <v>4071.9369999999999</v>
      </c>
      <c r="HW18" s="12">
        <v>40662</v>
      </c>
      <c r="HX18">
        <v>25.576999999999998</v>
      </c>
      <c r="HY18" s="12">
        <v>40662</v>
      </c>
      <c r="HZ18">
        <v>20.43</v>
      </c>
      <c r="IA18" s="12">
        <v>40662</v>
      </c>
      <c r="IB18">
        <v>81.191000000000003</v>
      </c>
      <c r="IC18" s="12">
        <v>40662</v>
      </c>
      <c r="ID18">
        <v>2.6669999999999998</v>
      </c>
      <c r="IE18" s="12">
        <v>40662</v>
      </c>
      <c r="IF18">
        <v>6.3860000000000001</v>
      </c>
      <c r="IG18" s="12">
        <v>40968</v>
      </c>
      <c r="IH18">
        <v>68.2</v>
      </c>
      <c r="II18" s="12">
        <v>40662</v>
      </c>
      <c r="IJ18">
        <v>37.343000000000004</v>
      </c>
      <c r="IK18" s="12">
        <v>41029</v>
      </c>
      <c r="IL18">
        <v>2.98</v>
      </c>
      <c r="IM18" s="12">
        <v>40662</v>
      </c>
      <c r="IN18">
        <v>16.004999999999999</v>
      </c>
      <c r="IO18" s="12">
        <v>41213</v>
      </c>
      <c r="IP18">
        <v>12.965999999999999</v>
      </c>
      <c r="IQ18" s="12">
        <v>40662</v>
      </c>
      <c r="IR18">
        <v>10.375</v>
      </c>
      <c r="IS18" s="12">
        <v>42580</v>
      </c>
      <c r="IT18">
        <v>6.12</v>
      </c>
      <c r="IU18" s="12">
        <v>40662</v>
      </c>
      <c r="IV18">
        <v>7.6934000000000005</v>
      </c>
      <c r="IW18" s="12">
        <v>40662</v>
      </c>
      <c r="IX18">
        <v>21.29</v>
      </c>
      <c r="IY18" s="12">
        <v>40662</v>
      </c>
      <c r="IZ18">
        <v>6.577</v>
      </c>
      <c r="JA18" s="12">
        <v>42429</v>
      </c>
      <c r="JB18">
        <v>2.3439999999999999</v>
      </c>
      <c r="JC18" s="12">
        <v>40662</v>
      </c>
      <c r="JD18">
        <v>9.4949999999999992</v>
      </c>
      <c r="JE18" s="12">
        <v>40662</v>
      </c>
      <c r="JF18">
        <v>339.87799999999999</v>
      </c>
      <c r="JG18" s="12">
        <v>42580</v>
      </c>
      <c r="JH18">
        <v>6.12</v>
      </c>
      <c r="JI18" s="12">
        <v>40662</v>
      </c>
      <c r="JJ18">
        <v>9.8889999999999993</v>
      </c>
      <c r="JK18" s="12">
        <v>43553</v>
      </c>
      <c r="JL18">
        <v>23.765999999999998</v>
      </c>
      <c r="JM18" s="12">
        <v>40662</v>
      </c>
      <c r="JN18">
        <v>0.67200000000000004</v>
      </c>
      <c r="JO18" s="12">
        <v>40662</v>
      </c>
      <c r="JP18">
        <v>11.76</v>
      </c>
      <c r="JQ18" s="12">
        <v>42062</v>
      </c>
      <c r="JR18">
        <v>9.048</v>
      </c>
      <c r="JS18" s="12">
        <v>40662</v>
      </c>
      <c r="JT18">
        <v>7.1470000000000002</v>
      </c>
      <c r="JU18" s="12">
        <v>41880</v>
      </c>
      <c r="JV18">
        <v>28.61</v>
      </c>
      <c r="JW18" s="12">
        <v>40662</v>
      </c>
      <c r="JX18">
        <v>6.9610000000000003</v>
      </c>
      <c r="JY18" s="12">
        <v>40662</v>
      </c>
      <c r="JZ18">
        <v>10.996</v>
      </c>
      <c r="KA18" s="12">
        <v>43553</v>
      </c>
      <c r="KB18">
        <v>46.045000000000002</v>
      </c>
      <c r="KC18" s="12">
        <v>40662</v>
      </c>
      <c r="KD18">
        <v>13.483000000000001</v>
      </c>
      <c r="KE18" s="12">
        <v>40662</v>
      </c>
      <c r="KF18">
        <v>4.657</v>
      </c>
      <c r="KG18" s="12">
        <v>40662</v>
      </c>
      <c r="KH18">
        <v>0.14099999999999999</v>
      </c>
      <c r="KI18" s="12">
        <v>40662</v>
      </c>
      <c r="KJ18">
        <v>8.9890000000000008</v>
      </c>
      <c r="KK18" s="12">
        <v>40662</v>
      </c>
      <c r="KL18">
        <v>7.22</v>
      </c>
      <c r="KM18" s="12">
        <v>43280</v>
      </c>
      <c r="KN18">
        <v>11.387</v>
      </c>
      <c r="KO18" s="12">
        <v>40662</v>
      </c>
      <c r="KP18">
        <v>154.197</v>
      </c>
      <c r="KQ18" s="12">
        <v>40662</v>
      </c>
      <c r="KR18">
        <v>199.79</v>
      </c>
      <c r="KS18" s="12">
        <v>40662</v>
      </c>
      <c r="KT18">
        <v>10.888999999999999</v>
      </c>
      <c r="KU18" s="12">
        <v>40662</v>
      </c>
      <c r="KV18">
        <v>7.0060000000000002</v>
      </c>
      <c r="KW18" s="12">
        <v>40662</v>
      </c>
      <c r="KX18">
        <v>54.5</v>
      </c>
      <c r="KY18" s="12">
        <v>40662</v>
      </c>
      <c r="KZ18">
        <v>34</v>
      </c>
      <c r="LA18" s="12">
        <v>40662</v>
      </c>
      <c r="LB18">
        <v>26.27</v>
      </c>
      <c r="LC18" s="12">
        <v>40662</v>
      </c>
      <c r="LD18">
        <v>8.4250000000000007</v>
      </c>
      <c r="LE18" s="12">
        <v>40662</v>
      </c>
      <c r="LF18">
        <v>6.9870000000000001</v>
      </c>
      <c r="LG18" s="12">
        <v>40662</v>
      </c>
      <c r="LH18">
        <v>8.84</v>
      </c>
      <c r="LI18" s="12">
        <v>40662</v>
      </c>
      <c r="LJ18">
        <v>10.92</v>
      </c>
      <c r="LK18" s="12">
        <v>40662</v>
      </c>
      <c r="LL18">
        <v>26.974</v>
      </c>
      <c r="LM18" s="12">
        <v>40662</v>
      </c>
      <c r="LN18">
        <v>24.841000000000001</v>
      </c>
      <c r="LO18" s="12">
        <v>40662</v>
      </c>
      <c r="LP18">
        <v>15.22</v>
      </c>
      <c r="LQ18" s="12">
        <v>40662</v>
      </c>
      <c r="LR18">
        <v>35.207999999999998</v>
      </c>
      <c r="LS18" s="12">
        <v>40662</v>
      </c>
      <c r="LT18">
        <v>32.817</v>
      </c>
      <c r="LU18" s="12">
        <v>40662</v>
      </c>
      <c r="LV18">
        <v>63.6</v>
      </c>
      <c r="LW18" s="12">
        <v>40662</v>
      </c>
      <c r="LX18">
        <v>2415.41</v>
      </c>
      <c r="LY18" s="12">
        <v>40662</v>
      </c>
      <c r="LZ18">
        <v>22.323</v>
      </c>
      <c r="MA18" s="12">
        <v>40662</v>
      </c>
      <c r="MB18">
        <v>12.659000000000001</v>
      </c>
      <c r="MC18" s="12">
        <v>42124</v>
      </c>
      <c r="MD18">
        <v>18.788</v>
      </c>
      <c r="ME18" s="12">
        <v>40662</v>
      </c>
      <c r="MF18">
        <v>5.9630000000000001</v>
      </c>
      <c r="MG18" s="12">
        <v>40662</v>
      </c>
      <c r="MH18">
        <v>4.7690000000000001</v>
      </c>
      <c r="MI18" s="12">
        <v>42674</v>
      </c>
      <c r="MJ18">
        <v>10.951000000000001</v>
      </c>
      <c r="MK18" s="12">
        <v>40662</v>
      </c>
      <c r="ML18">
        <v>5.7670000000000003</v>
      </c>
    </row>
    <row r="19" spans="1:350" x14ac:dyDescent="0.3">
      <c r="A19" s="12">
        <v>40694</v>
      </c>
      <c r="B19" s="1">
        <v>7.3280000000000003</v>
      </c>
      <c r="C19" s="12">
        <v>41060</v>
      </c>
      <c r="D19" s="1">
        <v>7.9089999999999998</v>
      </c>
      <c r="E19" s="12">
        <v>40694</v>
      </c>
      <c r="F19" s="13">
        <v>12.91</v>
      </c>
      <c r="G19" s="17">
        <v>40694</v>
      </c>
      <c r="H19" s="13">
        <v>5.5869999999999997</v>
      </c>
      <c r="I19" s="17">
        <v>40724</v>
      </c>
      <c r="J19">
        <v>12.506</v>
      </c>
      <c r="K19" s="12">
        <v>41912</v>
      </c>
      <c r="L19">
        <v>12.445</v>
      </c>
      <c r="M19" s="12">
        <v>40694</v>
      </c>
      <c r="N19" s="12">
        <v>37.97</v>
      </c>
      <c r="O19" s="12">
        <v>40694</v>
      </c>
      <c r="P19">
        <v>19.617999999999999</v>
      </c>
      <c r="Q19" s="12">
        <v>42094</v>
      </c>
      <c r="R19">
        <v>14.704000000000001</v>
      </c>
      <c r="S19" s="12">
        <v>40694</v>
      </c>
      <c r="T19">
        <v>11.619</v>
      </c>
      <c r="U19" s="12">
        <v>41121</v>
      </c>
      <c r="V19">
        <v>25.725999999999999</v>
      </c>
      <c r="W19" s="12">
        <v>43371</v>
      </c>
      <c r="X19">
        <v>24.05</v>
      </c>
      <c r="Y19" s="12">
        <v>40694</v>
      </c>
      <c r="Z19">
        <v>7.9589999999999996</v>
      </c>
      <c r="AA19" s="12">
        <v>40694</v>
      </c>
      <c r="AB19">
        <v>15.933999999999999</v>
      </c>
      <c r="AC19" s="12">
        <v>40694</v>
      </c>
      <c r="AD19">
        <v>7.944</v>
      </c>
      <c r="AE19" s="12">
        <v>40694</v>
      </c>
      <c r="AF19">
        <v>9.2010000000000005</v>
      </c>
      <c r="AG19" s="12">
        <v>40694</v>
      </c>
      <c r="AH19">
        <v>57.963000000000001</v>
      </c>
      <c r="AI19" s="12">
        <v>41912</v>
      </c>
      <c r="AJ19">
        <v>20.963999999999999</v>
      </c>
      <c r="AK19" s="12">
        <v>40694</v>
      </c>
      <c r="AL19">
        <v>5.0199999999999996</v>
      </c>
      <c r="AO19" s="12">
        <v>40694</v>
      </c>
      <c r="AP19">
        <v>7.4219999999999997</v>
      </c>
      <c r="AQ19" s="12">
        <v>43312</v>
      </c>
      <c r="AR19">
        <v>18.305</v>
      </c>
      <c r="AS19" s="12">
        <v>40694</v>
      </c>
      <c r="AT19">
        <v>4.9450000000000003</v>
      </c>
      <c r="AU19" s="12">
        <v>40694</v>
      </c>
      <c r="AV19">
        <v>24.888999999999999</v>
      </c>
      <c r="AW19" s="12">
        <v>43616</v>
      </c>
      <c r="AX19">
        <v>25.122</v>
      </c>
      <c r="AY19" s="12">
        <v>40694</v>
      </c>
      <c r="AZ19">
        <v>26.448</v>
      </c>
      <c r="BA19" s="12">
        <v>40694</v>
      </c>
      <c r="BB19">
        <v>17.646000000000001</v>
      </c>
      <c r="BC19" s="12">
        <v>40694</v>
      </c>
      <c r="BD19">
        <v>10.414</v>
      </c>
      <c r="BE19" s="12">
        <v>40786</v>
      </c>
      <c r="BF19">
        <v>8.9849999999999994</v>
      </c>
      <c r="BG19" s="12">
        <v>40694</v>
      </c>
      <c r="BH19">
        <v>9.4649999999999999</v>
      </c>
      <c r="BI19" s="12">
        <v>40694</v>
      </c>
      <c r="BJ19">
        <v>19.132000000000001</v>
      </c>
      <c r="BK19" s="12">
        <v>40694</v>
      </c>
      <c r="BL19">
        <v>8.1869999999999994</v>
      </c>
      <c r="BM19" s="12">
        <v>40694</v>
      </c>
      <c r="BN19">
        <v>16.356000000000002</v>
      </c>
      <c r="BO19" s="12">
        <v>40694</v>
      </c>
      <c r="BP19">
        <v>5.4450000000000003</v>
      </c>
      <c r="BQ19" s="12">
        <v>40694</v>
      </c>
      <c r="BR19">
        <v>5.44</v>
      </c>
      <c r="BS19" s="12">
        <v>40694</v>
      </c>
      <c r="BT19">
        <v>6.8289999999999997</v>
      </c>
      <c r="BU19" s="12">
        <v>40694</v>
      </c>
      <c r="BV19">
        <v>4.41</v>
      </c>
      <c r="BW19" s="12">
        <v>40694</v>
      </c>
      <c r="BX19">
        <v>2.1890000000000001</v>
      </c>
      <c r="BY19" s="12">
        <v>40694</v>
      </c>
      <c r="BZ19">
        <v>16.948</v>
      </c>
      <c r="CA19" s="12">
        <v>40694</v>
      </c>
      <c r="CB19">
        <v>26.238</v>
      </c>
      <c r="CC19" s="12">
        <v>43465</v>
      </c>
      <c r="CD19">
        <v>17.864999999999998</v>
      </c>
      <c r="CE19" s="12">
        <v>40694</v>
      </c>
      <c r="CF19">
        <v>16.29</v>
      </c>
      <c r="CG19" s="12">
        <v>40694</v>
      </c>
      <c r="CH19">
        <v>16.780999999999999</v>
      </c>
      <c r="CI19" s="12">
        <v>40694</v>
      </c>
      <c r="CJ19">
        <v>22.19</v>
      </c>
      <c r="CK19" s="12">
        <v>40694</v>
      </c>
      <c r="CL19">
        <v>15.657999999999999</v>
      </c>
      <c r="CM19" s="12">
        <v>40694</v>
      </c>
      <c r="CN19">
        <v>19.827999999999999</v>
      </c>
      <c r="CO19" s="12">
        <v>42153</v>
      </c>
      <c r="CP19">
        <v>17.91</v>
      </c>
      <c r="CQ19" s="12">
        <v>40694</v>
      </c>
      <c r="CR19">
        <v>12.586</v>
      </c>
      <c r="CS19" s="12">
        <v>40694</v>
      </c>
      <c r="CT19">
        <v>21.414999999999999</v>
      </c>
      <c r="CU19" s="12">
        <v>40694</v>
      </c>
      <c r="CV19">
        <v>7.3170000000000002</v>
      </c>
      <c r="CW19" s="12">
        <v>40694</v>
      </c>
      <c r="CX19">
        <v>8.0329999999999995</v>
      </c>
      <c r="CY19" s="12">
        <v>40786</v>
      </c>
      <c r="CZ19">
        <v>9.2669999999999995</v>
      </c>
      <c r="DA19" s="12">
        <v>40694</v>
      </c>
      <c r="DB19">
        <v>12.381</v>
      </c>
      <c r="DC19" s="12">
        <v>40694</v>
      </c>
      <c r="DD19">
        <v>16.763000000000002</v>
      </c>
      <c r="DE19" s="12">
        <v>40694</v>
      </c>
      <c r="DF19">
        <v>15.4</v>
      </c>
      <c r="DG19" s="12">
        <v>40816</v>
      </c>
      <c r="DH19">
        <v>40.667000000000002</v>
      </c>
      <c r="DI19" s="12">
        <v>40694</v>
      </c>
      <c r="DJ19">
        <v>26.184000000000001</v>
      </c>
      <c r="DK19" s="12">
        <v>40694</v>
      </c>
      <c r="DL19">
        <v>11.343</v>
      </c>
      <c r="DM19" s="12">
        <v>41121</v>
      </c>
      <c r="DN19">
        <v>5.5309999999999997</v>
      </c>
      <c r="DO19" s="12">
        <v>40694</v>
      </c>
      <c r="DP19">
        <v>7.8810000000000002</v>
      </c>
      <c r="DQ19" s="12">
        <v>40694</v>
      </c>
      <c r="DR19">
        <v>599.55799999999999</v>
      </c>
      <c r="DS19" s="12">
        <v>40694</v>
      </c>
      <c r="DT19">
        <v>7.07</v>
      </c>
      <c r="DU19" s="12">
        <v>40694</v>
      </c>
      <c r="DV19">
        <v>2.016</v>
      </c>
      <c r="DW19" s="12">
        <v>40694</v>
      </c>
      <c r="DX19">
        <v>6.8879999999999999</v>
      </c>
      <c r="DY19" s="12">
        <v>40694</v>
      </c>
      <c r="DZ19">
        <v>8.2159999999999993</v>
      </c>
      <c r="EA19" s="12">
        <v>40694</v>
      </c>
      <c r="EB19">
        <v>17.79</v>
      </c>
      <c r="EC19" s="12">
        <v>40694</v>
      </c>
      <c r="ED19">
        <v>20.198</v>
      </c>
      <c r="EE19" s="12">
        <v>40694</v>
      </c>
      <c r="EF19">
        <v>9.3480000000000008</v>
      </c>
      <c r="EG19" s="12">
        <v>40694</v>
      </c>
      <c r="EH19">
        <v>15.707000000000001</v>
      </c>
      <c r="EI19" s="12">
        <v>40694</v>
      </c>
      <c r="EJ19">
        <v>61.191000000000003</v>
      </c>
      <c r="EK19" s="12">
        <v>40694</v>
      </c>
      <c r="EL19">
        <v>12.313000000000001</v>
      </c>
      <c r="EM19" s="12">
        <v>40694</v>
      </c>
      <c r="EN19">
        <v>14.89</v>
      </c>
      <c r="EO19" s="12">
        <v>43738</v>
      </c>
      <c r="EP19">
        <v>54.064</v>
      </c>
      <c r="EQ19" s="12">
        <v>40694</v>
      </c>
      <c r="ER19">
        <v>18.684999999999999</v>
      </c>
      <c r="ES19" s="12">
        <v>40694</v>
      </c>
      <c r="ET19">
        <v>19.940000000000001</v>
      </c>
      <c r="EU19" s="12">
        <v>40694</v>
      </c>
      <c r="EV19">
        <v>1.8180000000000001</v>
      </c>
      <c r="EW19" s="12">
        <v>43738</v>
      </c>
      <c r="EX19">
        <v>53.709000000000003</v>
      </c>
      <c r="EY19" s="12">
        <v>40694</v>
      </c>
      <c r="EZ19">
        <v>24.689</v>
      </c>
      <c r="FA19" s="12">
        <v>40694</v>
      </c>
      <c r="FB19">
        <v>12.175000000000001</v>
      </c>
      <c r="FC19" s="12">
        <v>40694</v>
      </c>
      <c r="FD19">
        <v>17.539000000000001</v>
      </c>
      <c r="FE19" s="12">
        <v>43465</v>
      </c>
      <c r="FF19">
        <v>26.943999999999999</v>
      </c>
      <c r="FG19" s="12">
        <v>40694</v>
      </c>
      <c r="FH19">
        <v>3.8090000000000002</v>
      </c>
      <c r="FI19" s="12">
        <v>40694</v>
      </c>
      <c r="FJ19">
        <v>8.4359999999999999</v>
      </c>
      <c r="FK19" s="12">
        <v>40694</v>
      </c>
      <c r="FL19">
        <v>10.506</v>
      </c>
      <c r="FM19" s="12">
        <v>40694</v>
      </c>
      <c r="FN19">
        <v>5.0789999999999997</v>
      </c>
      <c r="FO19" s="12">
        <v>40694</v>
      </c>
      <c r="FP19">
        <v>10.19</v>
      </c>
      <c r="FQ19" s="12">
        <v>42185</v>
      </c>
      <c r="FR19">
        <v>15.872999999999999</v>
      </c>
      <c r="FS19" s="12">
        <v>40694</v>
      </c>
      <c r="FT19">
        <v>0.81100000000000005</v>
      </c>
      <c r="FU19" s="12">
        <v>40694</v>
      </c>
      <c r="FV19">
        <v>6.641</v>
      </c>
      <c r="FW19" s="12">
        <v>40694</v>
      </c>
      <c r="FX19">
        <v>7.7140000000000004</v>
      </c>
      <c r="FY19" s="12">
        <v>41547</v>
      </c>
      <c r="FZ19">
        <v>2.3980000000000001</v>
      </c>
      <c r="GA19" s="12">
        <v>40694</v>
      </c>
      <c r="GB19">
        <v>9.0589999999999993</v>
      </c>
      <c r="GC19" s="12">
        <v>40694</v>
      </c>
      <c r="GD19">
        <v>19.213999999999999</v>
      </c>
      <c r="GE19" s="12">
        <v>41851</v>
      </c>
      <c r="GF19">
        <v>16.850999999999999</v>
      </c>
      <c r="GI19" s="12">
        <v>40694</v>
      </c>
      <c r="GJ19">
        <v>8.3089999999999993</v>
      </c>
      <c r="GK19" s="12">
        <v>40694</v>
      </c>
      <c r="GL19">
        <v>33.459000000000003</v>
      </c>
      <c r="GM19" s="12">
        <v>40694</v>
      </c>
      <c r="GN19">
        <v>12.826000000000001</v>
      </c>
      <c r="GO19" s="12">
        <v>41180</v>
      </c>
      <c r="GP19">
        <v>1.415</v>
      </c>
      <c r="GQ19" s="12">
        <v>40816</v>
      </c>
      <c r="GR19">
        <v>18.687000000000001</v>
      </c>
      <c r="GS19" s="12">
        <v>40694</v>
      </c>
      <c r="GT19">
        <v>1413.64</v>
      </c>
      <c r="GU19" s="12">
        <v>43312</v>
      </c>
      <c r="GV19">
        <v>5.5049999999999999</v>
      </c>
      <c r="GW19" s="12">
        <v>40753</v>
      </c>
      <c r="GX19">
        <v>16.138999999999999</v>
      </c>
      <c r="GY19" s="12">
        <v>40694</v>
      </c>
      <c r="GZ19">
        <v>14.3</v>
      </c>
      <c r="HA19" s="12">
        <v>40694</v>
      </c>
      <c r="HB19">
        <v>9.0079999999999991</v>
      </c>
      <c r="HC19" s="12">
        <v>40694</v>
      </c>
      <c r="HD19">
        <v>10.141</v>
      </c>
      <c r="HE19" s="12">
        <v>40694</v>
      </c>
      <c r="HF19">
        <v>18.286999999999999</v>
      </c>
      <c r="HG19" s="12">
        <v>40694</v>
      </c>
      <c r="HH19">
        <v>16.234999999999999</v>
      </c>
      <c r="HI19" s="12">
        <v>40694</v>
      </c>
      <c r="HJ19">
        <v>7.0439999999999996</v>
      </c>
      <c r="HK19" s="12">
        <v>40694</v>
      </c>
      <c r="HL19">
        <v>1606</v>
      </c>
      <c r="HM19" s="12">
        <v>40694</v>
      </c>
      <c r="HN19">
        <v>77.998000000000005</v>
      </c>
      <c r="HO19" s="12">
        <v>40694</v>
      </c>
      <c r="HP19">
        <v>68.704999999999998</v>
      </c>
      <c r="HQ19" s="12">
        <v>40786</v>
      </c>
      <c r="HR19">
        <v>1340</v>
      </c>
      <c r="HS19" s="12">
        <v>40694</v>
      </c>
      <c r="HT19">
        <v>58.512999999999998</v>
      </c>
      <c r="HU19" s="12">
        <v>40694</v>
      </c>
      <c r="HV19">
        <v>4362.7889999999998</v>
      </c>
      <c r="HW19" s="12">
        <v>40694</v>
      </c>
      <c r="HX19">
        <v>23.928999999999998</v>
      </c>
      <c r="HY19" s="12">
        <v>40694</v>
      </c>
      <c r="HZ19">
        <v>19.385999999999999</v>
      </c>
      <c r="IA19" s="12">
        <v>40694</v>
      </c>
      <c r="IB19">
        <v>74.721999999999994</v>
      </c>
      <c r="IC19" s="12">
        <v>40694</v>
      </c>
      <c r="ID19">
        <v>2.81</v>
      </c>
      <c r="IE19" s="12">
        <v>40694</v>
      </c>
      <c r="IF19">
        <v>6.58</v>
      </c>
      <c r="IG19" s="12">
        <v>40998</v>
      </c>
      <c r="IH19">
        <v>63.225999999999999</v>
      </c>
      <c r="II19" s="12">
        <v>40694</v>
      </c>
      <c r="IJ19">
        <v>39.231000000000002</v>
      </c>
      <c r="IK19" s="12">
        <v>41060</v>
      </c>
      <c r="IL19">
        <v>2.69</v>
      </c>
      <c r="IM19" s="12">
        <v>40694</v>
      </c>
      <c r="IN19">
        <v>14.791</v>
      </c>
      <c r="IO19" s="12">
        <v>41243</v>
      </c>
      <c r="IP19">
        <v>12.91</v>
      </c>
      <c r="IQ19" s="12">
        <v>40694</v>
      </c>
      <c r="IR19">
        <v>10.284000000000001</v>
      </c>
      <c r="IS19" s="12">
        <v>42613</v>
      </c>
      <c r="IT19">
        <v>7.2</v>
      </c>
      <c r="IU19" s="12">
        <v>40694</v>
      </c>
      <c r="IV19">
        <v>8.1730999999999998</v>
      </c>
      <c r="IW19" s="12">
        <v>40694</v>
      </c>
      <c r="IX19">
        <v>22.271999999999998</v>
      </c>
      <c r="IY19" s="12">
        <v>40694</v>
      </c>
      <c r="IZ19">
        <v>6.4349999999999996</v>
      </c>
      <c r="JA19" s="12">
        <v>42460</v>
      </c>
      <c r="JB19">
        <v>2.105</v>
      </c>
      <c r="JC19" s="12">
        <v>40694</v>
      </c>
      <c r="JD19">
        <v>11.627000000000001</v>
      </c>
      <c r="JE19" s="12">
        <v>40694</v>
      </c>
      <c r="JF19">
        <v>329.53300000000002</v>
      </c>
      <c r="JG19" s="12">
        <v>42613</v>
      </c>
      <c r="JH19">
        <v>7.2</v>
      </c>
      <c r="JI19" s="12">
        <v>40694</v>
      </c>
      <c r="JJ19">
        <v>9.7520000000000007</v>
      </c>
      <c r="JK19" s="12">
        <v>43585</v>
      </c>
      <c r="JL19">
        <v>25.17</v>
      </c>
      <c r="JM19" s="12">
        <v>40694</v>
      </c>
      <c r="JN19">
        <v>0.68500000000000005</v>
      </c>
      <c r="JO19" s="12">
        <v>40694</v>
      </c>
      <c r="JP19">
        <v>12.462</v>
      </c>
      <c r="JQ19" s="12">
        <v>42094</v>
      </c>
      <c r="JR19">
        <v>10.54</v>
      </c>
      <c r="JS19" s="12">
        <v>40694</v>
      </c>
      <c r="JT19">
        <v>7.3520000000000003</v>
      </c>
      <c r="JU19" s="12">
        <v>41912</v>
      </c>
      <c r="JV19">
        <v>28.032</v>
      </c>
      <c r="JW19" s="12">
        <v>40694</v>
      </c>
      <c r="JX19">
        <v>7.0190000000000001</v>
      </c>
      <c r="JY19" s="12">
        <v>40694</v>
      </c>
      <c r="JZ19">
        <v>10.907</v>
      </c>
      <c r="KA19" s="12">
        <v>43585</v>
      </c>
      <c r="KB19">
        <v>40.729999999999997</v>
      </c>
      <c r="KC19" s="12">
        <v>40694</v>
      </c>
      <c r="KD19">
        <v>12.818999999999999</v>
      </c>
      <c r="KE19" s="12">
        <v>40694</v>
      </c>
      <c r="KF19">
        <v>4.657</v>
      </c>
      <c r="KG19" s="12">
        <v>40694</v>
      </c>
      <c r="KH19">
        <v>0.15</v>
      </c>
      <c r="KI19" s="12">
        <v>40694</v>
      </c>
      <c r="KJ19">
        <v>9.4700000000000006</v>
      </c>
      <c r="KK19" s="12">
        <v>40694</v>
      </c>
      <c r="KL19">
        <v>7.59</v>
      </c>
      <c r="KM19" s="12">
        <v>43312</v>
      </c>
      <c r="KN19">
        <v>12.727</v>
      </c>
      <c r="KO19" s="12">
        <v>40694</v>
      </c>
      <c r="KP19">
        <v>143.084</v>
      </c>
      <c r="KQ19" s="12">
        <v>40694</v>
      </c>
      <c r="KR19">
        <v>166.09</v>
      </c>
      <c r="KS19" s="12">
        <v>40694</v>
      </c>
      <c r="KT19">
        <v>10.808</v>
      </c>
      <c r="KU19" s="12">
        <v>40694</v>
      </c>
      <c r="KV19">
        <v>7.1769999999999996</v>
      </c>
      <c r="KW19" s="12">
        <v>40694</v>
      </c>
      <c r="KX19">
        <v>58.6</v>
      </c>
      <c r="KY19" s="12">
        <v>40694</v>
      </c>
      <c r="KZ19">
        <v>32.61</v>
      </c>
      <c r="LA19" s="12">
        <v>40694</v>
      </c>
      <c r="LB19">
        <v>27.65</v>
      </c>
      <c r="LC19" s="12">
        <v>40694</v>
      </c>
      <c r="LD19">
        <v>8.8460000000000001</v>
      </c>
      <c r="LE19" s="12">
        <v>40694</v>
      </c>
      <c r="LF19">
        <v>6.9089999999999998</v>
      </c>
      <c r="LG19" s="12">
        <v>40694</v>
      </c>
      <c r="LH19">
        <v>9.8130000000000006</v>
      </c>
      <c r="LI19" s="12">
        <v>40694</v>
      </c>
      <c r="LJ19">
        <v>10.992000000000001</v>
      </c>
      <c r="LK19" s="12">
        <v>40694</v>
      </c>
      <c r="LL19">
        <v>27.151</v>
      </c>
      <c r="LM19" s="12">
        <v>40694</v>
      </c>
      <c r="LN19">
        <v>22.385000000000002</v>
      </c>
      <c r="LO19" s="12">
        <v>40694</v>
      </c>
      <c r="LP19">
        <v>14.278</v>
      </c>
      <c r="LQ19" s="12">
        <v>40694</v>
      </c>
      <c r="LR19">
        <v>34.161000000000001</v>
      </c>
      <c r="LS19" s="12">
        <v>40694</v>
      </c>
      <c r="LT19">
        <v>31.940999999999999</v>
      </c>
      <c r="LU19" s="12">
        <v>40694</v>
      </c>
      <c r="LV19">
        <v>69.8</v>
      </c>
      <c r="LW19" s="12">
        <v>40694</v>
      </c>
      <c r="LX19">
        <v>2261.4070000000002</v>
      </c>
      <c r="LY19" s="12">
        <v>40694</v>
      </c>
      <c r="LZ19">
        <v>24.326000000000001</v>
      </c>
      <c r="MA19" s="12">
        <v>40694</v>
      </c>
      <c r="MB19">
        <v>12.952999999999999</v>
      </c>
      <c r="MC19" s="12">
        <v>42153</v>
      </c>
      <c r="MD19">
        <v>15.228999999999999</v>
      </c>
      <c r="ME19" s="12">
        <v>40694</v>
      </c>
      <c r="MF19">
        <v>6.0780000000000003</v>
      </c>
      <c r="MG19" s="12">
        <v>40694</v>
      </c>
      <c r="MH19">
        <v>4.3579999999999997</v>
      </c>
      <c r="MI19" s="12">
        <v>42704</v>
      </c>
      <c r="MJ19">
        <v>9.6880000000000006</v>
      </c>
      <c r="MK19" s="12">
        <v>40694</v>
      </c>
      <c r="ML19">
        <v>5.8170000000000002</v>
      </c>
    </row>
    <row r="20" spans="1:350" x14ac:dyDescent="0.3">
      <c r="A20" s="12">
        <v>40724</v>
      </c>
      <c r="B20" s="1">
        <v>7.7240000000000002</v>
      </c>
      <c r="C20" s="12">
        <v>41089</v>
      </c>
      <c r="D20" s="1">
        <v>8.4710000000000001</v>
      </c>
      <c r="E20" s="12">
        <v>40724</v>
      </c>
      <c r="F20" s="13">
        <v>12.89</v>
      </c>
      <c r="G20" s="17">
        <v>40724</v>
      </c>
      <c r="H20" s="13">
        <v>5.4960000000000004</v>
      </c>
      <c r="I20" s="17">
        <v>40753</v>
      </c>
      <c r="J20">
        <v>11.77</v>
      </c>
      <c r="K20" s="12">
        <v>41943</v>
      </c>
      <c r="L20">
        <v>13.432</v>
      </c>
      <c r="M20" s="12">
        <v>40724</v>
      </c>
      <c r="N20" s="12">
        <v>39.706000000000003</v>
      </c>
      <c r="O20" s="12">
        <v>40724</v>
      </c>
      <c r="P20">
        <v>18.218</v>
      </c>
      <c r="Q20" s="12">
        <v>42124</v>
      </c>
      <c r="R20">
        <v>19.495999999999999</v>
      </c>
      <c r="S20" s="12">
        <v>40724</v>
      </c>
      <c r="T20">
        <v>11.706</v>
      </c>
      <c r="U20" s="12">
        <v>41152</v>
      </c>
      <c r="V20">
        <v>27.166</v>
      </c>
      <c r="W20" s="12">
        <v>43404</v>
      </c>
      <c r="X20">
        <v>30.59</v>
      </c>
      <c r="Y20" s="12">
        <v>40724</v>
      </c>
      <c r="Z20">
        <v>7.3220000000000001</v>
      </c>
      <c r="AA20" s="12">
        <v>40724</v>
      </c>
      <c r="AB20">
        <v>16.062000000000001</v>
      </c>
      <c r="AC20" s="12">
        <v>40724</v>
      </c>
      <c r="AD20">
        <v>8.157</v>
      </c>
      <c r="AE20" s="12">
        <v>40724</v>
      </c>
      <c r="AF20">
        <v>9.4600000000000009</v>
      </c>
      <c r="AG20" s="12">
        <v>40724</v>
      </c>
      <c r="AH20">
        <v>52.787999999999997</v>
      </c>
      <c r="AI20" s="12">
        <v>41943</v>
      </c>
      <c r="AJ20">
        <v>21.524000000000001</v>
      </c>
      <c r="AK20" s="12">
        <v>40724</v>
      </c>
      <c r="AL20">
        <v>4.5449999999999999</v>
      </c>
      <c r="AO20" s="12">
        <v>40724</v>
      </c>
      <c r="AP20">
        <v>6.8209999999999997</v>
      </c>
      <c r="AQ20" s="12">
        <v>43343</v>
      </c>
      <c r="AR20">
        <v>19.599</v>
      </c>
      <c r="AS20" s="12">
        <v>40724</v>
      </c>
      <c r="AT20">
        <v>5.4210000000000003</v>
      </c>
      <c r="AU20" s="12">
        <v>40724</v>
      </c>
      <c r="AV20">
        <v>24.335999999999999</v>
      </c>
      <c r="AW20" s="12">
        <v>43644</v>
      </c>
      <c r="AX20">
        <v>24.581</v>
      </c>
      <c r="AY20" s="12">
        <v>40724</v>
      </c>
      <c r="AZ20">
        <v>24.242000000000001</v>
      </c>
      <c r="BA20" s="12">
        <v>40724</v>
      </c>
      <c r="BB20">
        <v>15.925000000000001</v>
      </c>
      <c r="BC20" s="12">
        <v>40724</v>
      </c>
      <c r="BD20">
        <v>10.18</v>
      </c>
      <c r="BE20" s="12">
        <v>40816</v>
      </c>
      <c r="BF20">
        <v>8.7149999999999999</v>
      </c>
      <c r="BG20" s="12">
        <v>40724</v>
      </c>
      <c r="BH20">
        <v>9.7430000000000003</v>
      </c>
      <c r="BI20" s="12">
        <v>40724</v>
      </c>
      <c r="BJ20">
        <v>16.529</v>
      </c>
      <c r="BK20" s="12">
        <v>40724</v>
      </c>
      <c r="BL20">
        <v>7.7</v>
      </c>
      <c r="BM20" s="12">
        <v>40724</v>
      </c>
      <c r="BN20">
        <v>16.382999999999999</v>
      </c>
      <c r="BO20" s="12">
        <v>40724</v>
      </c>
      <c r="BP20">
        <v>5.4039999999999999</v>
      </c>
      <c r="BQ20" s="12">
        <v>40724</v>
      </c>
      <c r="BR20">
        <v>5.8309999999999995</v>
      </c>
      <c r="BS20" s="12">
        <v>40724</v>
      </c>
      <c r="BT20">
        <v>7.3070000000000004</v>
      </c>
      <c r="BU20" s="12">
        <v>40724</v>
      </c>
      <c r="BV20">
        <v>4.1680000000000001</v>
      </c>
      <c r="BW20" s="12">
        <v>40724</v>
      </c>
      <c r="BX20">
        <v>2.1320000000000001</v>
      </c>
      <c r="BY20" s="12">
        <v>40724</v>
      </c>
      <c r="BZ20">
        <v>16.681999999999999</v>
      </c>
      <c r="CA20" s="12">
        <v>40724</v>
      </c>
      <c r="CB20">
        <v>26.558</v>
      </c>
      <c r="CC20" s="12">
        <v>43496</v>
      </c>
      <c r="CD20">
        <v>19.741</v>
      </c>
      <c r="CE20" s="12">
        <v>40724</v>
      </c>
      <c r="CF20">
        <v>16.344999999999999</v>
      </c>
      <c r="CG20" s="12">
        <v>40724</v>
      </c>
      <c r="CH20">
        <v>17.093</v>
      </c>
      <c r="CI20" s="12">
        <v>40724</v>
      </c>
      <c r="CJ20">
        <v>21.98</v>
      </c>
      <c r="CK20" s="12">
        <v>40724</v>
      </c>
      <c r="CL20">
        <v>13.632999999999999</v>
      </c>
      <c r="CM20" s="12">
        <v>40724</v>
      </c>
      <c r="CN20">
        <v>19.753</v>
      </c>
      <c r="CO20" s="12">
        <v>42185</v>
      </c>
      <c r="CP20">
        <v>17.266999999999999</v>
      </c>
      <c r="CQ20" s="12">
        <v>40724</v>
      </c>
      <c r="CR20">
        <v>11.074</v>
      </c>
      <c r="CS20" s="12">
        <v>40724</v>
      </c>
      <c r="CT20">
        <v>20.077000000000002</v>
      </c>
      <c r="CU20" s="12">
        <v>40724</v>
      </c>
      <c r="CV20">
        <v>6.899</v>
      </c>
      <c r="CW20" s="12">
        <v>40724</v>
      </c>
      <c r="CX20">
        <v>8.2650000000000006</v>
      </c>
      <c r="CY20" s="12">
        <v>40816</v>
      </c>
      <c r="CZ20">
        <v>9.2669999999999995</v>
      </c>
      <c r="DA20" s="12">
        <v>40724</v>
      </c>
      <c r="DB20">
        <v>12.728</v>
      </c>
      <c r="DC20" s="12">
        <v>40724</v>
      </c>
      <c r="DD20">
        <v>16.302</v>
      </c>
      <c r="DE20" s="12">
        <v>40724</v>
      </c>
      <c r="DF20">
        <v>15.285</v>
      </c>
      <c r="DG20" s="12">
        <v>40847</v>
      </c>
      <c r="DH20">
        <v>44.137999999999998</v>
      </c>
      <c r="DI20" s="12">
        <v>40724</v>
      </c>
      <c r="DJ20">
        <v>25.404</v>
      </c>
      <c r="DK20" s="12">
        <v>40724</v>
      </c>
      <c r="DL20">
        <v>10.877000000000001</v>
      </c>
      <c r="DM20" s="12">
        <v>41152</v>
      </c>
      <c r="DN20">
        <v>6.8639999999999999</v>
      </c>
      <c r="DO20" s="12">
        <v>40724</v>
      </c>
      <c r="DP20">
        <v>7.798</v>
      </c>
      <c r="DQ20" s="12">
        <v>40724</v>
      </c>
      <c r="DR20">
        <v>593.23900000000003</v>
      </c>
      <c r="DS20" s="12">
        <v>40724</v>
      </c>
      <c r="DT20">
        <v>8.8379999999999992</v>
      </c>
      <c r="DU20" s="12">
        <v>40724</v>
      </c>
      <c r="DV20">
        <v>2.0499999999999998</v>
      </c>
      <c r="DW20" s="12">
        <v>40724</v>
      </c>
      <c r="DX20">
        <v>6.3109999999999999</v>
      </c>
      <c r="DY20" s="12">
        <v>40724</v>
      </c>
      <c r="DZ20">
        <v>8.24</v>
      </c>
      <c r="EA20" s="12">
        <v>40724</v>
      </c>
      <c r="EB20">
        <v>23.61</v>
      </c>
      <c r="EC20" s="12">
        <v>40724</v>
      </c>
      <c r="ED20">
        <v>16.983000000000001</v>
      </c>
      <c r="EE20" s="12">
        <v>40724</v>
      </c>
      <c r="EF20">
        <v>8.173</v>
      </c>
      <c r="EG20" s="12">
        <v>40724</v>
      </c>
      <c r="EH20">
        <v>16.042999999999999</v>
      </c>
      <c r="EI20" s="12">
        <v>40724</v>
      </c>
      <c r="EJ20">
        <v>52.259</v>
      </c>
      <c r="EK20" s="12">
        <v>40724</v>
      </c>
      <c r="EL20">
        <v>11.88</v>
      </c>
      <c r="EM20" s="12">
        <v>40724</v>
      </c>
      <c r="EN20">
        <v>14.021000000000001</v>
      </c>
      <c r="EO20" s="12">
        <v>43769</v>
      </c>
      <c r="EP20">
        <v>59.793999999999997</v>
      </c>
      <c r="EQ20" s="12">
        <v>40724</v>
      </c>
      <c r="ER20">
        <v>17.173999999999999</v>
      </c>
      <c r="ES20" s="12">
        <v>40724</v>
      </c>
      <c r="ET20">
        <v>18.63</v>
      </c>
      <c r="EU20" s="12">
        <v>40724</v>
      </c>
      <c r="EV20">
        <v>1.859</v>
      </c>
      <c r="EW20" s="12">
        <v>43769</v>
      </c>
      <c r="EX20">
        <v>56.152999999999999</v>
      </c>
      <c r="EY20" s="12">
        <v>40724</v>
      </c>
      <c r="EZ20">
        <v>24.652000000000001</v>
      </c>
      <c r="FA20" s="12">
        <v>40724</v>
      </c>
      <c r="FB20">
        <v>12.052</v>
      </c>
      <c r="FC20" s="12">
        <v>40724</v>
      </c>
      <c r="FD20">
        <v>16.608000000000001</v>
      </c>
      <c r="FE20" s="12">
        <v>43496</v>
      </c>
      <c r="FF20">
        <v>27.524999999999999</v>
      </c>
      <c r="FG20" s="12">
        <v>40724</v>
      </c>
      <c r="FH20">
        <v>3.8719999999999999</v>
      </c>
      <c r="FI20" s="12">
        <v>40724</v>
      </c>
      <c r="FJ20">
        <v>8.5760000000000005</v>
      </c>
      <c r="FK20" s="12">
        <v>40724</v>
      </c>
      <c r="FL20">
        <v>10.688000000000001</v>
      </c>
      <c r="FM20" s="12">
        <v>40724</v>
      </c>
      <c r="FN20">
        <v>4.8280000000000003</v>
      </c>
      <c r="FO20" s="12">
        <v>40724</v>
      </c>
      <c r="FP20">
        <v>11.039</v>
      </c>
      <c r="FQ20" s="12">
        <v>42216</v>
      </c>
      <c r="FR20">
        <v>17.812000000000001</v>
      </c>
      <c r="FS20" s="12">
        <v>40724</v>
      </c>
      <c r="FT20">
        <v>0.78300000000000003</v>
      </c>
      <c r="FU20" s="12">
        <v>40724</v>
      </c>
      <c r="FV20">
        <v>6.3680000000000003</v>
      </c>
      <c r="FW20" s="12">
        <v>40724</v>
      </c>
      <c r="FX20">
        <v>7.468</v>
      </c>
      <c r="FY20" s="12">
        <v>41578</v>
      </c>
      <c r="FZ20">
        <v>2.0409999999999999</v>
      </c>
      <c r="GA20" s="12">
        <v>40724</v>
      </c>
      <c r="GB20">
        <v>7.9660000000000002</v>
      </c>
      <c r="GC20" s="12">
        <v>40724</v>
      </c>
      <c r="GD20">
        <v>20.777999999999999</v>
      </c>
      <c r="GE20" s="12">
        <v>41880</v>
      </c>
      <c r="GF20">
        <v>16.117000000000001</v>
      </c>
      <c r="GI20" s="12">
        <v>40724</v>
      </c>
      <c r="GJ20">
        <v>8.282</v>
      </c>
      <c r="GK20" s="12">
        <v>40724</v>
      </c>
      <c r="GL20">
        <v>33.905000000000001</v>
      </c>
      <c r="GM20" s="12">
        <v>40724</v>
      </c>
      <c r="GN20">
        <v>12.379</v>
      </c>
      <c r="GO20" s="12">
        <v>41213</v>
      </c>
      <c r="GP20">
        <v>1.3080000000000001</v>
      </c>
      <c r="GQ20" s="12">
        <v>40847</v>
      </c>
      <c r="GR20">
        <v>16.606000000000002</v>
      </c>
      <c r="GS20" s="12">
        <v>40724</v>
      </c>
      <c r="GT20">
        <v>1249.0889999999999</v>
      </c>
      <c r="GU20" s="12">
        <v>43343</v>
      </c>
      <c r="GV20">
        <v>5.7039999999999997</v>
      </c>
      <c r="GW20" s="12">
        <v>40786</v>
      </c>
      <c r="GX20">
        <v>16.030999999999999</v>
      </c>
      <c r="GY20" s="12">
        <v>40724</v>
      </c>
      <c r="GZ20">
        <v>15.4</v>
      </c>
      <c r="HA20" s="12">
        <v>40724</v>
      </c>
      <c r="HB20">
        <v>8.0229999999999997</v>
      </c>
      <c r="HC20" s="12">
        <v>40724</v>
      </c>
      <c r="HD20">
        <v>9.5980000000000008</v>
      </c>
      <c r="HE20" s="12">
        <v>40724</v>
      </c>
      <c r="HF20">
        <v>16.79</v>
      </c>
      <c r="HG20" s="12">
        <v>40724</v>
      </c>
      <c r="HH20">
        <v>14.968999999999999</v>
      </c>
      <c r="HI20" s="12">
        <v>40724</v>
      </c>
      <c r="HJ20">
        <v>6.4260000000000002</v>
      </c>
      <c r="HK20" s="12">
        <v>40724</v>
      </c>
      <c r="HL20">
        <v>1459</v>
      </c>
      <c r="HM20" s="12">
        <v>40724</v>
      </c>
      <c r="HN20">
        <v>76.472999999999999</v>
      </c>
      <c r="HO20" s="12">
        <v>40724</v>
      </c>
      <c r="HP20">
        <v>64.856999999999999</v>
      </c>
      <c r="HQ20" s="12">
        <v>40816</v>
      </c>
      <c r="HR20">
        <v>1468</v>
      </c>
      <c r="HS20" s="12">
        <v>40724</v>
      </c>
      <c r="HT20">
        <v>66.787999999999997</v>
      </c>
      <c r="HU20" s="12">
        <v>40724</v>
      </c>
      <c r="HV20">
        <v>3873.6280000000002</v>
      </c>
      <c r="HW20" s="12">
        <v>40724</v>
      </c>
      <c r="HX20">
        <v>23.411999999999999</v>
      </c>
      <c r="HY20" s="12">
        <v>40724</v>
      </c>
      <c r="HZ20">
        <v>19.088999999999999</v>
      </c>
      <c r="IA20" s="12">
        <v>40724</v>
      </c>
      <c r="IB20">
        <v>81.513999999999996</v>
      </c>
      <c r="IC20" s="12">
        <v>40724</v>
      </c>
      <c r="ID20">
        <v>2.6619999999999999</v>
      </c>
      <c r="IE20" s="12">
        <v>40724</v>
      </c>
      <c r="IF20">
        <v>6.6719999999999997</v>
      </c>
      <c r="IG20" s="12">
        <v>41029</v>
      </c>
      <c r="IH20">
        <v>54.8</v>
      </c>
      <c r="II20" s="12">
        <v>40724</v>
      </c>
      <c r="IJ20">
        <v>39.395000000000003</v>
      </c>
      <c r="IK20" s="12">
        <v>41089</v>
      </c>
      <c r="IL20">
        <v>3</v>
      </c>
      <c r="IM20" s="12">
        <v>40724</v>
      </c>
      <c r="IN20">
        <v>14.676</v>
      </c>
      <c r="IO20" s="12">
        <v>41274</v>
      </c>
      <c r="IP20">
        <v>13.196</v>
      </c>
      <c r="IQ20" s="12">
        <v>40724</v>
      </c>
      <c r="IR20">
        <v>9.8209999999999997</v>
      </c>
      <c r="IS20" s="12">
        <v>42643</v>
      </c>
      <c r="IT20">
        <v>6.32</v>
      </c>
      <c r="IU20" s="12">
        <v>40724</v>
      </c>
      <c r="IV20">
        <v>8.2309999999999999</v>
      </c>
      <c r="IW20" s="12">
        <v>40724</v>
      </c>
      <c r="IX20">
        <v>22.048999999999999</v>
      </c>
      <c r="IY20" s="12">
        <v>40724</v>
      </c>
      <c r="IZ20">
        <v>6.8259999999999996</v>
      </c>
      <c r="JA20" s="12">
        <v>42489</v>
      </c>
      <c r="JB20">
        <v>3.1960000000000002</v>
      </c>
      <c r="JC20" s="12">
        <v>40724</v>
      </c>
      <c r="JD20">
        <v>11.433</v>
      </c>
      <c r="JE20" s="12">
        <v>40724</v>
      </c>
      <c r="JF20">
        <v>300.346</v>
      </c>
      <c r="JG20" s="12">
        <v>42643</v>
      </c>
      <c r="JH20">
        <v>6.32</v>
      </c>
      <c r="JI20" s="12">
        <v>40724</v>
      </c>
      <c r="JJ20">
        <v>10.209</v>
      </c>
      <c r="JK20" s="12">
        <v>43616</v>
      </c>
      <c r="JL20">
        <v>23.154</v>
      </c>
      <c r="JM20" s="12">
        <v>40724</v>
      </c>
      <c r="JN20">
        <v>0.70699999999999996</v>
      </c>
      <c r="JO20" s="12">
        <v>40724</v>
      </c>
      <c r="JP20">
        <v>11.994999999999999</v>
      </c>
      <c r="JQ20" s="12">
        <v>42124</v>
      </c>
      <c r="JR20">
        <v>12.372</v>
      </c>
      <c r="JS20" s="12">
        <v>40724</v>
      </c>
      <c r="JT20">
        <v>6.6740000000000004</v>
      </c>
      <c r="JU20" s="12">
        <v>41943</v>
      </c>
      <c r="JV20">
        <v>30.922000000000001</v>
      </c>
      <c r="JW20" s="12">
        <v>40724</v>
      </c>
      <c r="JX20">
        <v>6.9329999999999998</v>
      </c>
      <c r="JY20" s="12">
        <v>40724</v>
      </c>
      <c r="JZ20">
        <v>10.689</v>
      </c>
      <c r="KA20" s="12">
        <v>43616</v>
      </c>
      <c r="KB20">
        <v>32.08</v>
      </c>
      <c r="KC20" s="12">
        <v>40724</v>
      </c>
      <c r="KD20">
        <v>9.9130000000000003</v>
      </c>
      <c r="KE20" s="12">
        <v>40724</v>
      </c>
      <c r="KF20">
        <v>4.7940000000000005</v>
      </c>
      <c r="KG20" s="12">
        <v>40724</v>
      </c>
      <c r="KH20">
        <v>0.14599999999999999</v>
      </c>
      <c r="KI20" s="12">
        <v>40724</v>
      </c>
      <c r="KJ20">
        <v>9.5060000000000002</v>
      </c>
      <c r="KK20" s="12">
        <v>40724</v>
      </c>
      <c r="KL20">
        <v>7.55</v>
      </c>
      <c r="KM20" s="12">
        <v>43343</v>
      </c>
      <c r="KN20">
        <v>14.12</v>
      </c>
      <c r="KO20" s="12">
        <v>40724</v>
      </c>
      <c r="KP20">
        <v>142.62</v>
      </c>
      <c r="KQ20" s="12">
        <v>40724</v>
      </c>
      <c r="KR20">
        <v>168.49700000000001</v>
      </c>
      <c r="KS20" s="12">
        <v>40724</v>
      </c>
      <c r="KT20">
        <v>11.039</v>
      </c>
      <c r="KU20" s="12">
        <v>40724</v>
      </c>
      <c r="KV20">
        <v>7.2590000000000003</v>
      </c>
      <c r="KW20" s="12">
        <v>40724</v>
      </c>
      <c r="KX20">
        <v>51.9</v>
      </c>
      <c r="KY20" s="12">
        <v>40724</v>
      </c>
      <c r="KZ20">
        <v>27.15</v>
      </c>
      <c r="LA20" s="12">
        <v>40724</v>
      </c>
      <c r="LB20">
        <v>23.95</v>
      </c>
      <c r="LC20" s="12">
        <v>40724</v>
      </c>
      <c r="LD20">
        <v>8.0879999999999992</v>
      </c>
      <c r="LE20" s="12">
        <v>40724</v>
      </c>
      <c r="LF20">
        <v>6.8940000000000001</v>
      </c>
      <c r="LG20" s="12">
        <v>40724</v>
      </c>
      <c r="LH20">
        <v>10.268000000000001</v>
      </c>
      <c r="LI20" s="12">
        <v>40724</v>
      </c>
      <c r="LJ20">
        <v>11</v>
      </c>
      <c r="LK20" s="12">
        <v>40724</v>
      </c>
      <c r="LL20">
        <v>27.17</v>
      </c>
      <c r="LM20" s="12">
        <v>40724</v>
      </c>
      <c r="LN20">
        <v>22.606999999999999</v>
      </c>
      <c r="LO20" s="12">
        <v>40724</v>
      </c>
      <c r="LP20">
        <v>12.911</v>
      </c>
      <c r="LQ20" s="12">
        <v>40724</v>
      </c>
      <c r="LR20">
        <v>33.645000000000003</v>
      </c>
      <c r="LS20" s="12">
        <v>40724</v>
      </c>
      <c r="LT20">
        <v>31.798000000000002</v>
      </c>
      <c r="LU20" s="12">
        <v>40724</v>
      </c>
      <c r="LV20">
        <v>71.8</v>
      </c>
      <c r="LW20" s="12">
        <v>40724</v>
      </c>
      <c r="LX20">
        <v>2083.0880000000002</v>
      </c>
      <c r="LY20" s="12">
        <v>40724</v>
      </c>
      <c r="LZ20">
        <v>24.439</v>
      </c>
      <c r="MA20" s="12">
        <v>40724</v>
      </c>
      <c r="MB20">
        <v>13.574999999999999</v>
      </c>
      <c r="MC20" s="12">
        <v>42185</v>
      </c>
      <c r="MD20">
        <v>11.163</v>
      </c>
      <c r="ME20" s="12">
        <v>40724</v>
      </c>
      <c r="MF20">
        <v>5.5049999999999999</v>
      </c>
      <c r="MG20" s="12">
        <v>40724</v>
      </c>
      <c r="MH20">
        <v>4.3289999999999997</v>
      </c>
      <c r="MI20" s="12">
        <v>42734</v>
      </c>
      <c r="MJ20">
        <v>9.9369999999999994</v>
      </c>
      <c r="MK20" s="12">
        <v>40724</v>
      </c>
      <c r="ML20">
        <v>5.0149999999999997</v>
      </c>
    </row>
    <row r="21" spans="1:350" x14ac:dyDescent="0.3">
      <c r="A21" s="12">
        <v>40753</v>
      </c>
      <c r="B21" s="1">
        <v>6.9480000000000004</v>
      </c>
      <c r="C21" s="12">
        <v>41121</v>
      </c>
      <c r="D21" s="1">
        <v>9.6460000000000008</v>
      </c>
      <c r="E21" s="12">
        <v>40753</v>
      </c>
      <c r="F21" s="13">
        <v>10.994999999999999</v>
      </c>
      <c r="G21" s="17">
        <v>40753</v>
      </c>
      <c r="H21" s="13">
        <v>4.8789999999999996</v>
      </c>
      <c r="I21" s="17">
        <v>40786</v>
      </c>
      <c r="J21">
        <v>10.991</v>
      </c>
      <c r="K21" s="12">
        <v>41971</v>
      </c>
      <c r="L21">
        <v>14.103999999999999</v>
      </c>
      <c r="M21" s="12">
        <v>40753</v>
      </c>
      <c r="N21" s="12">
        <v>35.792000000000002</v>
      </c>
      <c r="O21" s="12">
        <v>40753</v>
      </c>
      <c r="P21">
        <v>17.573</v>
      </c>
      <c r="Q21" s="12">
        <v>42153</v>
      </c>
      <c r="R21">
        <v>20.684000000000001</v>
      </c>
      <c r="S21" s="12">
        <v>40753</v>
      </c>
      <c r="T21">
        <v>11.303000000000001</v>
      </c>
      <c r="U21" s="12">
        <v>41180</v>
      </c>
      <c r="V21">
        <v>29.236999999999998</v>
      </c>
      <c r="W21" s="12">
        <v>43434</v>
      </c>
      <c r="X21">
        <v>34.74</v>
      </c>
      <c r="Y21" s="12">
        <v>40753</v>
      </c>
      <c r="Z21">
        <v>6.4290000000000003</v>
      </c>
      <c r="AA21" s="12">
        <v>40753</v>
      </c>
      <c r="AB21">
        <v>15.081</v>
      </c>
      <c r="AC21" s="12">
        <v>40753</v>
      </c>
      <c r="AD21">
        <v>7.6120000000000001</v>
      </c>
      <c r="AE21" s="12">
        <v>40753</v>
      </c>
      <c r="AF21">
        <v>8.8079999999999998</v>
      </c>
      <c r="AG21" s="12">
        <v>40753</v>
      </c>
      <c r="AH21">
        <v>48.993000000000002</v>
      </c>
      <c r="AI21" s="12">
        <v>41971</v>
      </c>
      <c r="AJ21">
        <v>21.856000000000002</v>
      </c>
      <c r="AK21" s="12">
        <v>40753</v>
      </c>
      <c r="AL21">
        <v>5.1130000000000004</v>
      </c>
      <c r="AO21" s="12">
        <v>40753</v>
      </c>
      <c r="AP21">
        <v>6.1130000000000004</v>
      </c>
      <c r="AQ21" s="12">
        <v>43371</v>
      </c>
      <c r="AR21">
        <v>20.364000000000001</v>
      </c>
      <c r="AS21" s="12">
        <v>40753</v>
      </c>
      <c r="AT21">
        <v>5.367</v>
      </c>
      <c r="AU21" s="12">
        <v>40753</v>
      </c>
      <c r="AV21">
        <v>24.533000000000001</v>
      </c>
      <c r="AW21" s="12">
        <v>43677</v>
      </c>
      <c r="AX21">
        <v>26.155000000000001</v>
      </c>
      <c r="AY21" s="12">
        <v>40753</v>
      </c>
      <c r="AZ21">
        <v>26.986999999999998</v>
      </c>
      <c r="BA21" s="12">
        <v>40753</v>
      </c>
      <c r="BB21">
        <v>13.138</v>
      </c>
      <c r="BC21" s="12">
        <v>40753</v>
      </c>
      <c r="BD21">
        <v>10.3</v>
      </c>
      <c r="BE21" s="12">
        <v>40847</v>
      </c>
      <c r="BF21">
        <v>8.827</v>
      </c>
      <c r="BG21" s="12">
        <v>40753</v>
      </c>
      <c r="BH21">
        <v>8.5449999999999999</v>
      </c>
      <c r="BI21" s="12">
        <v>40753</v>
      </c>
      <c r="BJ21">
        <v>12.555</v>
      </c>
      <c r="BK21" s="12">
        <v>40753</v>
      </c>
      <c r="BL21">
        <v>7.7389999999999999</v>
      </c>
      <c r="BM21" s="12">
        <v>40753</v>
      </c>
      <c r="BN21">
        <v>17.105</v>
      </c>
      <c r="BO21" s="12">
        <v>40753</v>
      </c>
      <c r="BP21">
        <v>5.9719999999999995</v>
      </c>
      <c r="BQ21" s="12">
        <v>40753</v>
      </c>
      <c r="BR21">
        <v>5.6020000000000003</v>
      </c>
      <c r="BS21" s="12">
        <v>40753</v>
      </c>
      <c r="BT21">
        <v>6.8410000000000002</v>
      </c>
      <c r="BU21" s="12">
        <v>40753</v>
      </c>
      <c r="BV21">
        <v>4.0030000000000001</v>
      </c>
      <c r="BW21" s="12">
        <v>40753</v>
      </c>
      <c r="BX21">
        <v>2.0270000000000001</v>
      </c>
      <c r="BY21" s="12">
        <v>40753</v>
      </c>
      <c r="BZ21">
        <v>16.495000000000001</v>
      </c>
      <c r="CA21" s="12">
        <v>40753</v>
      </c>
      <c r="CB21">
        <v>23.934000000000001</v>
      </c>
      <c r="CC21" s="12">
        <v>43524</v>
      </c>
      <c r="CD21">
        <v>19.277000000000001</v>
      </c>
      <c r="CE21" s="12">
        <v>40753</v>
      </c>
      <c r="CF21">
        <v>15.617000000000001</v>
      </c>
      <c r="CG21" s="12">
        <v>40753</v>
      </c>
      <c r="CH21">
        <v>16.536999999999999</v>
      </c>
      <c r="CI21" s="12">
        <v>40753</v>
      </c>
      <c r="CJ21">
        <v>23.088000000000001</v>
      </c>
      <c r="CK21" s="12">
        <v>40753</v>
      </c>
      <c r="CL21">
        <v>11.494999999999999</v>
      </c>
      <c r="CM21" s="12">
        <v>40753</v>
      </c>
      <c r="CN21">
        <v>21.675000000000001</v>
      </c>
      <c r="CO21" s="12">
        <v>42216</v>
      </c>
      <c r="CP21">
        <v>17.175000000000001</v>
      </c>
      <c r="CQ21" s="12">
        <v>40753</v>
      </c>
      <c r="CR21">
        <v>11.32</v>
      </c>
      <c r="CS21" s="12">
        <v>40753</v>
      </c>
      <c r="CT21">
        <v>18.404</v>
      </c>
      <c r="CU21" s="12">
        <v>40753</v>
      </c>
      <c r="CV21">
        <v>6.7869999999999999</v>
      </c>
      <c r="CW21" s="12">
        <v>40753</v>
      </c>
      <c r="CX21">
        <v>7.226</v>
      </c>
      <c r="CY21" s="12">
        <v>40847</v>
      </c>
      <c r="CZ21">
        <v>8.73</v>
      </c>
      <c r="DA21" s="12">
        <v>40753</v>
      </c>
      <c r="DB21">
        <v>12.093999999999999</v>
      </c>
      <c r="DC21" s="12">
        <v>40753</v>
      </c>
      <c r="DD21">
        <v>14.624000000000001</v>
      </c>
      <c r="DE21" s="12">
        <v>40753</v>
      </c>
      <c r="DF21">
        <v>13.645</v>
      </c>
      <c r="DG21" s="12">
        <v>40877</v>
      </c>
      <c r="DH21">
        <v>44.137999999999998</v>
      </c>
      <c r="DI21" s="12">
        <v>40753</v>
      </c>
      <c r="DJ21">
        <v>27.212</v>
      </c>
      <c r="DK21" s="12">
        <v>40753</v>
      </c>
      <c r="DL21">
        <v>10.247</v>
      </c>
      <c r="DM21" s="12">
        <v>41180</v>
      </c>
      <c r="DN21">
        <v>7.4279999999999999</v>
      </c>
      <c r="DO21" s="12">
        <v>40753</v>
      </c>
      <c r="DP21">
        <v>8.0470000000000006</v>
      </c>
      <c r="DQ21" s="12">
        <v>40753</v>
      </c>
      <c r="DR21">
        <v>567.51900000000001</v>
      </c>
      <c r="DS21" s="12">
        <v>40753</v>
      </c>
      <c r="DT21">
        <v>8.359</v>
      </c>
      <c r="DU21" s="12">
        <v>40753</v>
      </c>
      <c r="DV21">
        <v>1.9809999999999999</v>
      </c>
      <c r="DW21" s="12">
        <v>40753</v>
      </c>
      <c r="DX21">
        <v>6.0789999999999997</v>
      </c>
      <c r="DY21" s="12">
        <v>40753</v>
      </c>
      <c r="DZ21">
        <v>7.2830000000000004</v>
      </c>
      <c r="EA21" s="12">
        <v>40753</v>
      </c>
      <c r="EB21">
        <v>23.87</v>
      </c>
      <c r="EC21" s="12">
        <v>40753</v>
      </c>
      <c r="ED21">
        <v>15.347</v>
      </c>
      <c r="EE21" s="12">
        <v>40753</v>
      </c>
      <c r="EF21">
        <v>7.6580000000000004</v>
      </c>
      <c r="EG21" s="12">
        <v>40753</v>
      </c>
      <c r="EH21">
        <v>15.358000000000001</v>
      </c>
      <c r="EI21" s="12">
        <v>40753</v>
      </c>
      <c r="EJ21">
        <v>52.750999999999998</v>
      </c>
      <c r="EK21" s="12">
        <v>40753</v>
      </c>
      <c r="EL21">
        <v>9.9</v>
      </c>
      <c r="EM21" s="12">
        <v>40753</v>
      </c>
      <c r="EN21">
        <v>12.06</v>
      </c>
      <c r="EO21" s="12">
        <v>43798</v>
      </c>
      <c r="EP21">
        <v>56.494999999999997</v>
      </c>
      <c r="EQ21" s="12">
        <v>40753</v>
      </c>
      <c r="ER21">
        <v>15.233000000000001</v>
      </c>
      <c r="ES21" s="12">
        <v>40753</v>
      </c>
      <c r="ET21">
        <v>12</v>
      </c>
      <c r="EU21" s="12">
        <v>40753</v>
      </c>
      <c r="EV21">
        <v>1.7970000000000002</v>
      </c>
      <c r="EW21" s="12">
        <v>43798</v>
      </c>
      <c r="EX21">
        <v>55.554000000000002</v>
      </c>
      <c r="EY21" s="12">
        <v>40753</v>
      </c>
      <c r="EZ21">
        <v>22.826000000000001</v>
      </c>
      <c r="FA21" s="12">
        <v>40753</v>
      </c>
      <c r="FB21">
        <v>9.7729999999999997</v>
      </c>
      <c r="FC21" s="12">
        <v>40753</v>
      </c>
      <c r="FD21">
        <v>14.681000000000001</v>
      </c>
      <c r="FE21" s="12">
        <v>43524</v>
      </c>
      <c r="FF21">
        <v>28.731999999999999</v>
      </c>
      <c r="FG21" s="12">
        <v>40753</v>
      </c>
      <c r="FH21">
        <v>3.3650000000000002</v>
      </c>
      <c r="FI21" s="12">
        <v>40753</v>
      </c>
      <c r="FJ21">
        <v>7.7080000000000002</v>
      </c>
      <c r="FK21" s="12">
        <v>40753</v>
      </c>
      <c r="FL21">
        <v>9.2219999999999995</v>
      </c>
      <c r="FM21" s="12">
        <v>40753</v>
      </c>
      <c r="FN21">
        <v>4.1639999999999997</v>
      </c>
      <c r="FO21" s="12">
        <v>40753</v>
      </c>
      <c r="FP21">
        <v>11.462999999999999</v>
      </c>
      <c r="FQ21" s="12">
        <v>42247</v>
      </c>
      <c r="FR21">
        <v>16.998000000000001</v>
      </c>
      <c r="FS21" s="12">
        <v>40753</v>
      </c>
      <c r="FT21">
        <v>0.72599999999999998</v>
      </c>
      <c r="FU21" s="12">
        <v>40753</v>
      </c>
      <c r="FV21">
        <v>6.0759999999999996</v>
      </c>
      <c r="FW21" s="12">
        <v>40753</v>
      </c>
      <c r="FX21">
        <v>6.9749999999999996</v>
      </c>
      <c r="FY21" s="12">
        <v>41607</v>
      </c>
      <c r="FZ21">
        <v>1.8129999999999999</v>
      </c>
      <c r="GA21" s="12">
        <v>40753</v>
      </c>
      <c r="GB21">
        <v>7.7789999999999999</v>
      </c>
      <c r="GC21" s="12">
        <v>40753</v>
      </c>
      <c r="GD21">
        <v>19.673999999999999</v>
      </c>
      <c r="GE21" s="12">
        <v>41912</v>
      </c>
      <c r="GF21">
        <v>16.076000000000001</v>
      </c>
      <c r="GI21" s="12">
        <v>40753</v>
      </c>
      <c r="GJ21">
        <v>7.7590000000000003</v>
      </c>
      <c r="GK21" s="12">
        <v>40753</v>
      </c>
      <c r="GL21">
        <v>27.972000000000001</v>
      </c>
      <c r="GM21" s="12">
        <v>40753</v>
      </c>
      <c r="GN21">
        <v>11.487</v>
      </c>
      <c r="GO21" s="12">
        <v>41243</v>
      </c>
      <c r="GP21">
        <v>1.3009999999999999</v>
      </c>
      <c r="GQ21" s="12">
        <v>40877</v>
      </c>
      <c r="GR21">
        <v>15.492000000000001</v>
      </c>
      <c r="GS21" s="12">
        <v>40753</v>
      </c>
      <c r="GT21">
        <v>1214.683</v>
      </c>
      <c r="GU21" s="12">
        <v>43371</v>
      </c>
      <c r="GV21">
        <v>5.5529999999999999</v>
      </c>
      <c r="GW21" s="12">
        <v>40816</v>
      </c>
      <c r="GX21">
        <v>15.7</v>
      </c>
      <c r="GY21" s="12">
        <v>40753</v>
      </c>
      <c r="GZ21">
        <v>15.2</v>
      </c>
      <c r="HA21" s="12">
        <v>40753</v>
      </c>
      <c r="HB21">
        <v>7.12</v>
      </c>
      <c r="HC21" s="12">
        <v>40753</v>
      </c>
      <c r="HD21">
        <v>9.4290000000000003</v>
      </c>
      <c r="HE21" s="12">
        <v>40753</v>
      </c>
      <c r="HF21">
        <v>15.923</v>
      </c>
      <c r="HG21" s="12">
        <v>40753</v>
      </c>
      <c r="HH21">
        <v>13.835000000000001</v>
      </c>
      <c r="HI21" s="12">
        <v>40753</v>
      </c>
      <c r="HJ21">
        <v>6.5620000000000003</v>
      </c>
      <c r="HK21" s="12">
        <v>40753</v>
      </c>
      <c r="HL21">
        <v>1292</v>
      </c>
      <c r="HM21" s="12">
        <v>40753</v>
      </c>
      <c r="HN21">
        <v>68.534000000000006</v>
      </c>
      <c r="HO21" s="12">
        <v>40753</v>
      </c>
      <c r="HP21">
        <v>56.728000000000002</v>
      </c>
      <c r="HQ21" s="12">
        <v>40847</v>
      </c>
      <c r="HR21">
        <v>1472</v>
      </c>
      <c r="HS21" s="12">
        <v>40753</v>
      </c>
      <c r="HT21">
        <v>61.512</v>
      </c>
      <c r="HU21" s="12">
        <v>40753</v>
      </c>
      <c r="HV21">
        <v>3613.623</v>
      </c>
      <c r="HW21" s="12">
        <v>40753</v>
      </c>
      <c r="HX21">
        <v>23.234000000000002</v>
      </c>
      <c r="HY21" s="12">
        <v>40753</v>
      </c>
      <c r="HZ21">
        <v>18.911999999999999</v>
      </c>
      <c r="IA21" s="12">
        <v>40753</v>
      </c>
      <c r="IB21">
        <v>83.454999999999998</v>
      </c>
      <c r="IC21" s="12">
        <v>40753</v>
      </c>
      <c r="ID21">
        <v>2.4079999999999999</v>
      </c>
      <c r="IE21" s="12">
        <v>40753</v>
      </c>
      <c r="IF21">
        <v>5.5600000000000005</v>
      </c>
      <c r="IG21" s="12">
        <v>41060</v>
      </c>
      <c r="IH21">
        <v>33.75</v>
      </c>
      <c r="II21" s="12">
        <v>40753</v>
      </c>
      <c r="IJ21">
        <v>35.537999999999997</v>
      </c>
      <c r="IK21" s="12">
        <v>41121</v>
      </c>
      <c r="IL21">
        <v>2.94</v>
      </c>
      <c r="IM21" s="12">
        <v>40753</v>
      </c>
      <c r="IN21">
        <v>13.106</v>
      </c>
      <c r="IO21" s="12">
        <v>41305</v>
      </c>
      <c r="IP21">
        <v>12.817</v>
      </c>
      <c r="IQ21" s="12">
        <v>40753</v>
      </c>
      <c r="IR21">
        <v>11.526999999999999</v>
      </c>
      <c r="IS21" s="12">
        <v>42674</v>
      </c>
      <c r="IT21">
        <v>7.14</v>
      </c>
      <c r="IU21" s="12">
        <v>40753</v>
      </c>
      <c r="IV21">
        <v>7.2153999999999998</v>
      </c>
      <c r="IW21" s="12">
        <v>40753</v>
      </c>
      <c r="IX21">
        <v>25.03</v>
      </c>
      <c r="IY21" s="12">
        <v>40753</v>
      </c>
      <c r="IZ21">
        <v>6.1639999999999997</v>
      </c>
      <c r="JA21" s="12">
        <v>42521</v>
      </c>
      <c r="JB21">
        <v>3.2349999999999999</v>
      </c>
      <c r="JC21" s="12">
        <v>40753</v>
      </c>
      <c r="JD21">
        <v>18.795999999999999</v>
      </c>
      <c r="JE21" s="12">
        <v>40753</v>
      </c>
      <c r="JF21">
        <v>274.21800000000002</v>
      </c>
      <c r="JG21" s="12">
        <v>42674</v>
      </c>
      <c r="JH21">
        <v>7.14</v>
      </c>
      <c r="JI21" s="12">
        <v>40753</v>
      </c>
      <c r="JJ21">
        <v>8.1280000000000001</v>
      </c>
      <c r="JK21" s="12">
        <v>43644</v>
      </c>
      <c r="JL21">
        <v>25.87</v>
      </c>
      <c r="JM21" s="12">
        <v>40753</v>
      </c>
      <c r="JN21">
        <v>0.82199999999999995</v>
      </c>
      <c r="JO21" s="12">
        <v>40753</v>
      </c>
      <c r="JP21">
        <v>11.949</v>
      </c>
      <c r="JQ21" s="12">
        <v>42153</v>
      </c>
      <c r="JR21">
        <v>11.516999999999999</v>
      </c>
      <c r="JS21" s="12">
        <v>40753</v>
      </c>
      <c r="JT21">
        <v>6.2080000000000002</v>
      </c>
      <c r="JU21" s="12">
        <v>41971</v>
      </c>
      <c r="JV21">
        <v>33.957000000000001</v>
      </c>
      <c r="JW21" s="12">
        <v>40753</v>
      </c>
      <c r="JX21">
        <v>6.484</v>
      </c>
      <c r="JY21" s="12">
        <v>40753</v>
      </c>
      <c r="JZ21">
        <v>9.8710000000000004</v>
      </c>
      <c r="KA21" s="12">
        <v>43644</v>
      </c>
      <c r="KB21">
        <v>32.85</v>
      </c>
      <c r="KC21" s="12">
        <v>40753</v>
      </c>
      <c r="KD21">
        <v>9.0440000000000005</v>
      </c>
      <c r="KE21" s="12">
        <v>40753</v>
      </c>
      <c r="KF21">
        <v>4.4850000000000003</v>
      </c>
      <c r="KG21" s="12">
        <v>40753</v>
      </c>
      <c r="KH21">
        <v>0.13</v>
      </c>
      <c r="KI21" s="12">
        <v>40753</v>
      </c>
      <c r="KJ21">
        <v>8.6539999999999999</v>
      </c>
      <c r="KK21" s="12">
        <v>40753</v>
      </c>
      <c r="KL21">
        <v>7.65</v>
      </c>
      <c r="KM21" s="12">
        <v>43371</v>
      </c>
      <c r="KN21">
        <v>12.683999999999999</v>
      </c>
      <c r="KO21" s="12">
        <v>40753</v>
      </c>
      <c r="KP21">
        <v>135.489</v>
      </c>
      <c r="KQ21" s="12">
        <v>40753</v>
      </c>
      <c r="KR21">
        <v>168.49700000000001</v>
      </c>
      <c r="KS21" s="12">
        <v>40753</v>
      </c>
      <c r="KT21">
        <v>10.568</v>
      </c>
      <c r="KU21" s="12">
        <v>40753</v>
      </c>
      <c r="KV21">
        <v>7.4219999999999997</v>
      </c>
      <c r="KW21" s="12">
        <v>40753</v>
      </c>
      <c r="KX21">
        <v>44.75</v>
      </c>
      <c r="KY21" s="12">
        <v>40753</v>
      </c>
      <c r="KZ21">
        <v>23.94</v>
      </c>
      <c r="LA21" s="12">
        <v>40753</v>
      </c>
      <c r="LB21">
        <v>21.49</v>
      </c>
      <c r="LC21" s="12">
        <v>40753</v>
      </c>
      <c r="LD21">
        <v>7.8040000000000003</v>
      </c>
      <c r="LE21" s="12">
        <v>40753</v>
      </c>
      <c r="LF21">
        <v>6.6449999999999996</v>
      </c>
      <c r="LG21" s="12">
        <v>40753</v>
      </c>
      <c r="LH21">
        <v>9.7070000000000007</v>
      </c>
      <c r="LI21" s="12">
        <v>40753</v>
      </c>
      <c r="LJ21">
        <v>11.02</v>
      </c>
      <c r="LK21" s="12">
        <v>40753</v>
      </c>
      <c r="LL21">
        <v>27.22</v>
      </c>
      <c r="LM21" s="12">
        <v>40753</v>
      </c>
      <c r="LN21">
        <v>20.411999999999999</v>
      </c>
      <c r="LO21" s="12">
        <v>40753</v>
      </c>
      <c r="LP21">
        <v>10.507999999999999</v>
      </c>
      <c r="LQ21" s="12">
        <v>40753</v>
      </c>
      <c r="LR21">
        <v>34.113999999999997</v>
      </c>
      <c r="LS21" s="12">
        <v>40753</v>
      </c>
      <c r="LT21">
        <v>32.488999999999997</v>
      </c>
      <c r="LW21" s="12">
        <v>40753</v>
      </c>
      <c r="LX21">
        <v>1896.664</v>
      </c>
      <c r="LY21" s="12">
        <v>40753</v>
      </c>
      <c r="LZ21">
        <v>26.268999999999998</v>
      </c>
      <c r="MA21" s="12">
        <v>40753</v>
      </c>
      <c r="MB21">
        <v>12.573</v>
      </c>
      <c r="MC21" s="12">
        <v>42216</v>
      </c>
      <c r="MD21">
        <v>8.5990000000000002</v>
      </c>
      <c r="ME21" s="12">
        <v>40753</v>
      </c>
      <c r="MF21">
        <v>5.5049999999999999</v>
      </c>
      <c r="MG21" s="12">
        <v>40753</v>
      </c>
      <c r="MH21">
        <v>4.1059999999999999</v>
      </c>
      <c r="MI21" s="12">
        <v>42766</v>
      </c>
      <c r="MJ21">
        <v>10.41</v>
      </c>
      <c r="MK21" s="12">
        <v>40753</v>
      </c>
      <c r="ML21">
        <v>4.8170000000000002</v>
      </c>
    </row>
    <row r="22" spans="1:350" x14ac:dyDescent="0.3">
      <c r="A22" s="12">
        <v>40786</v>
      </c>
      <c r="B22" s="1">
        <v>8.3990000000000009</v>
      </c>
      <c r="C22" s="12">
        <v>41152</v>
      </c>
      <c r="D22" s="1">
        <v>9.9969999999999999</v>
      </c>
      <c r="E22" s="12">
        <v>40786</v>
      </c>
      <c r="F22" s="13">
        <v>9.0609999999999999</v>
      </c>
      <c r="G22" s="17">
        <v>40786</v>
      </c>
      <c r="H22" s="13">
        <v>4.9139999999999997</v>
      </c>
      <c r="I22" s="17">
        <v>40816</v>
      </c>
      <c r="J22">
        <v>11.016999999999999</v>
      </c>
      <c r="K22" s="12">
        <v>42004</v>
      </c>
      <c r="L22">
        <v>13.026</v>
      </c>
      <c r="M22" s="12">
        <v>40786</v>
      </c>
      <c r="N22" s="12">
        <v>42.398000000000003</v>
      </c>
      <c r="O22" s="12">
        <v>40786</v>
      </c>
      <c r="P22">
        <v>17.861000000000001</v>
      </c>
      <c r="Q22" s="12">
        <v>42185</v>
      </c>
      <c r="R22">
        <v>21.012</v>
      </c>
      <c r="S22" s="12">
        <v>40786</v>
      </c>
      <c r="T22">
        <v>10.911</v>
      </c>
      <c r="U22" s="12">
        <v>41213</v>
      </c>
      <c r="V22">
        <v>28.989000000000001</v>
      </c>
      <c r="W22" s="12">
        <v>43465</v>
      </c>
      <c r="X22">
        <v>36</v>
      </c>
      <c r="Y22" s="12">
        <v>40786</v>
      </c>
      <c r="Z22">
        <v>6.7059999999999995</v>
      </c>
      <c r="AA22" s="12">
        <v>40786</v>
      </c>
      <c r="AB22">
        <v>15.458</v>
      </c>
      <c r="AC22" s="12">
        <v>40786</v>
      </c>
      <c r="AD22">
        <v>7.2110000000000003</v>
      </c>
      <c r="AE22" s="12">
        <v>40786</v>
      </c>
      <c r="AF22">
        <v>8.4090000000000007</v>
      </c>
      <c r="AG22" s="12">
        <v>40786</v>
      </c>
      <c r="AH22">
        <v>53.133000000000003</v>
      </c>
      <c r="AI22" s="12">
        <v>42004</v>
      </c>
      <c r="AJ22">
        <v>20.937999999999999</v>
      </c>
      <c r="AK22" s="12">
        <v>40786</v>
      </c>
      <c r="AL22">
        <v>4.9359999999999999</v>
      </c>
      <c r="AO22" s="12">
        <v>40786</v>
      </c>
      <c r="AP22">
        <v>6.274</v>
      </c>
      <c r="AQ22" s="12">
        <v>43404</v>
      </c>
      <c r="AR22">
        <v>18.901</v>
      </c>
      <c r="AS22" s="12">
        <v>40786</v>
      </c>
      <c r="AT22">
        <v>5.0259999999999998</v>
      </c>
      <c r="AU22" s="12">
        <v>40786</v>
      </c>
      <c r="AV22">
        <v>21.724</v>
      </c>
      <c r="AW22" s="12">
        <v>43707</v>
      </c>
      <c r="AX22">
        <v>28.318000000000001</v>
      </c>
      <c r="AY22" s="12">
        <v>40786</v>
      </c>
      <c r="AZ22">
        <v>28.486999999999998</v>
      </c>
      <c r="BA22" s="12">
        <v>40786</v>
      </c>
      <c r="BB22">
        <v>13.503</v>
      </c>
      <c r="BC22" s="12">
        <v>40786</v>
      </c>
      <c r="BD22">
        <v>10.122999999999999</v>
      </c>
      <c r="BE22" s="12">
        <v>40877</v>
      </c>
      <c r="BF22">
        <v>9.1890000000000001</v>
      </c>
      <c r="BG22" s="12">
        <v>40786</v>
      </c>
      <c r="BH22">
        <v>9.5689999999999991</v>
      </c>
      <c r="BI22" s="12">
        <v>40786</v>
      </c>
      <c r="BJ22">
        <v>13.926</v>
      </c>
      <c r="BK22" s="12">
        <v>40786</v>
      </c>
      <c r="BL22">
        <v>8.2330000000000005</v>
      </c>
      <c r="BM22" s="12">
        <v>40786</v>
      </c>
      <c r="BN22">
        <v>16.015000000000001</v>
      </c>
      <c r="BO22" s="12">
        <v>40786</v>
      </c>
      <c r="BP22">
        <v>5.6669999999999998</v>
      </c>
      <c r="BQ22" s="12">
        <v>40786</v>
      </c>
      <c r="BR22">
        <v>5.524</v>
      </c>
      <c r="BS22" s="12">
        <v>40786</v>
      </c>
      <c r="BT22">
        <v>6.806</v>
      </c>
      <c r="BU22" s="12">
        <v>40786</v>
      </c>
      <c r="BV22">
        <v>4.7549999999999999</v>
      </c>
      <c r="BW22" s="12">
        <v>40786</v>
      </c>
      <c r="BX22">
        <v>1.8639999999999999</v>
      </c>
      <c r="BY22" s="12">
        <v>40786</v>
      </c>
      <c r="BZ22">
        <v>16.113</v>
      </c>
      <c r="CA22" s="12">
        <v>40786</v>
      </c>
      <c r="CB22">
        <v>22.943000000000001</v>
      </c>
      <c r="CC22" s="12">
        <v>43553</v>
      </c>
      <c r="CD22">
        <v>19.84</v>
      </c>
      <c r="CE22" s="12">
        <v>40786</v>
      </c>
      <c r="CF22">
        <v>16.782</v>
      </c>
      <c r="CG22" s="12">
        <v>40786</v>
      </c>
      <c r="CH22">
        <v>16.957999999999998</v>
      </c>
      <c r="CI22" s="12">
        <v>40786</v>
      </c>
      <c r="CJ22">
        <v>22.234999999999999</v>
      </c>
      <c r="CK22" s="12">
        <v>40786</v>
      </c>
      <c r="CL22">
        <v>11.225</v>
      </c>
      <c r="CM22" s="12">
        <v>40786</v>
      </c>
      <c r="CN22">
        <v>20.366</v>
      </c>
      <c r="CO22" s="12">
        <v>42247</v>
      </c>
      <c r="CP22">
        <v>15.237</v>
      </c>
      <c r="CQ22" s="12">
        <v>40786</v>
      </c>
      <c r="CR22">
        <v>11.238</v>
      </c>
      <c r="CS22" s="12">
        <v>40786</v>
      </c>
      <c r="CT22">
        <v>15.727</v>
      </c>
      <c r="CU22" s="12">
        <v>40786</v>
      </c>
      <c r="CV22">
        <v>6.3949999999999996</v>
      </c>
      <c r="CW22" s="12">
        <v>40786</v>
      </c>
      <c r="CX22">
        <v>6.7519999999999998</v>
      </c>
      <c r="CY22" s="12">
        <v>40877</v>
      </c>
      <c r="CZ22">
        <v>9.109</v>
      </c>
      <c r="DA22" s="12">
        <v>40786</v>
      </c>
      <c r="DB22">
        <v>12.19</v>
      </c>
      <c r="DC22" s="12">
        <v>40786</v>
      </c>
      <c r="DD22">
        <v>12.72</v>
      </c>
      <c r="DE22" s="12">
        <v>40786</v>
      </c>
      <c r="DF22">
        <v>12.249000000000001</v>
      </c>
      <c r="DG22" s="12">
        <v>40907</v>
      </c>
      <c r="DH22">
        <v>43.722000000000001</v>
      </c>
      <c r="DI22" s="12">
        <v>40786</v>
      </c>
      <c r="DJ22">
        <v>22.32</v>
      </c>
      <c r="DK22" s="12">
        <v>40786</v>
      </c>
      <c r="DL22">
        <v>9.2319999999999993</v>
      </c>
      <c r="DM22" s="12">
        <v>41213</v>
      </c>
      <c r="DN22">
        <v>7.7110000000000003</v>
      </c>
      <c r="DO22" s="12">
        <v>40786</v>
      </c>
      <c r="DP22">
        <v>7.93</v>
      </c>
      <c r="DQ22" s="12">
        <v>40786</v>
      </c>
      <c r="DR22">
        <v>569.19299999999998</v>
      </c>
      <c r="DS22" s="12">
        <v>40786</v>
      </c>
      <c r="DT22">
        <v>8.6910000000000007</v>
      </c>
      <c r="DU22" s="12">
        <v>40786</v>
      </c>
      <c r="DV22">
        <v>2.0419999999999998</v>
      </c>
      <c r="DW22" s="12">
        <v>40786</v>
      </c>
      <c r="DX22">
        <v>5.55</v>
      </c>
      <c r="DY22" s="12">
        <v>40786</v>
      </c>
      <c r="DZ22">
        <v>7.7930000000000001</v>
      </c>
      <c r="EA22" s="12">
        <v>40786</v>
      </c>
      <c r="EB22">
        <v>23.83</v>
      </c>
      <c r="EC22" s="12">
        <v>40786</v>
      </c>
      <c r="ED22">
        <v>12.891999999999999</v>
      </c>
      <c r="EE22" s="12">
        <v>40786</v>
      </c>
      <c r="EF22">
        <v>8.327</v>
      </c>
      <c r="EG22" s="12">
        <v>40786</v>
      </c>
      <c r="EH22">
        <v>14.606</v>
      </c>
      <c r="EI22" s="12">
        <v>40786</v>
      </c>
      <c r="EJ22">
        <v>52.329000000000001</v>
      </c>
      <c r="EK22" s="12">
        <v>40786</v>
      </c>
      <c r="EL22">
        <v>9.5850000000000009</v>
      </c>
      <c r="EM22" s="12">
        <v>40786</v>
      </c>
      <c r="EN22">
        <v>11.778</v>
      </c>
      <c r="EO22" s="12">
        <v>43830</v>
      </c>
      <c r="EP22">
        <v>68.015000000000001</v>
      </c>
      <c r="EQ22" s="12">
        <v>40786</v>
      </c>
      <c r="ER22">
        <v>14.874000000000001</v>
      </c>
      <c r="ES22" s="12">
        <v>40786</v>
      </c>
      <c r="ET22">
        <v>12.04</v>
      </c>
      <c r="EU22" s="12">
        <v>40786</v>
      </c>
      <c r="EV22">
        <v>1.546</v>
      </c>
      <c r="EW22" s="12">
        <v>43830</v>
      </c>
      <c r="EX22">
        <v>63.732999999999997</v>
      </c>
      <c r="EY22" s="12">
        <v>40786</v>
      </c>
      <c r="EZ22">
        <v>24.164999999999999</v>
      </c>
      <c r="FA22" s="12">
        <v>40786</v>
      </c>
      <c r="FB22">
        <v>10.936999999999999</v>
      </c>
      <c r="FC22" s="12">
        <v>40786</v>
      </c>
      <c r="FD22">
        <v>14.616</v>
      </c>
      <c r="FE22" s="12">
        <v>43553</v>
      </c>
      <c r="FF22">
        <v>30.239000000000001</v>
      </c>
      <c r="FG22" s="12">
        <v>40786</v>
      </c>
      <c r="FH22">
        <v>3.121</v>
      </c>
      <c r="FI22" s="12">
        <v>40786</v>
      </c>
      <c r="FJ22">
        <v>7.1829999999999998</v>
      </c>
      <c r="FK22" s="12">
        <v>40786</v>
      </c>
      <c r="FL22">
        <v>8.5500000000000007</v>
      </c>
      <c r="FM22" s="12">
        <v>40786</v>
      </c>
      <c r="FN22">
        <v>3.8319999999999999</v>
      </c>
      <c r="FO22" s="12">
        <v>40786</v>
      </c>
      <c r="FP22">
        <v>11.039</v>
      </c>
      <c r="FQ22" s="12">
        <v>42277</v>
      </c>
      <c r="FR22">
        <v>18.358000000000001</v>
      </c>
      <c r="FS22" s="12">
        <v>40786</v>
      </c>
      <c r="FT22">
        <v>0.73</v>
      </c>
      <c r="FU22" s="12">
        <v>40786</v>
      </c>
      <c r="FV22">
        <v>6.665</v>
      </c>
      <c r="FW22" s="12">
        <v>40786</v>
      </c>
      <c r="FX22">
        <v>7.7</v>
      </c>
      <c r="FY22" s="12">
        <v>41639</v>
      </c>
      <c r="FZ22">
        <v>1.681</v>
      </c>
      <c r="GA22" s="12">
        <v>40786</v>
      </c>
      <c r="GB22">
        <v>6.9459999999999997</v>
      </c>
      <c r="GC22" s="12">
        <v>40786</v>
      </c>
      <c r="GD22">
        <v>19.390999999999998</v>
      </c>
      <c r="GE22" s="12">
        <v>41943</v>
      </c>
      <c r="GF22">
        <v>16.164000000000001</v>
      </c>
      <c r="GI22" s="12">
        <v>40786</v>
      </c>
      <c r="GJ22">
        <v>8.3309999999999995</v>
      </c>
      <c r="GK22" s="12">
        <v>40786</v>
      </c>
      <c r="GL22">
        <v>27.213000000000001</v>
      </c>
      <c r="GM22" s="12">
        <v>40786</v>
      </c>
      <c r="GN22">
        <v>11.925000000000001</v>
      </c>
      <c r="GO22" s="12">
        <v>41274</v>
      </c>
      <c r="GP22">
        <v>1.405</v>
      </c>
      <c r="GQ22" s="12">
        <v>40907</v>
      </c>
      <c r="GR22">
        <v>17.158000000000001</v>
      </c>
      <c r="GS22" s="12">
        <v>40786</v>
      </c>
      <c r="GT22">
        <v>1214.683</v>
      </c>
      <c r="GU22" s="12">
        <v>43404</v>
      </c>
      <c r="GV22">
        <v>7.5750000000000002</v>
      </c>
      <c r="GW22" s="12">
        <v>40847</v>
      </c>
      <c r="GX22">
        <v>17.411999999999999</v>
      </c>
      <c r="GY22" s="12">
        <v>40786</v>
      </c>
      <c r="GZ22">
        <v>7.6899999999999995</v>
      </c>
      <c r="HA22" s="12">
        <v>40786</v>
      </c>
      <c r="HB22">
        <v>8.2959999999999994</v>
      </c>
      <c r="HC22" s="12">
        <v>40786</v>
      </c>
      <c r="HD22">
        <v>9.423</v>
      </c>
      <c r="HE22" s="12">
        <v>40786</v>
      </c>
      <c r="HF22">
        <v>14.583</v>
      </c>
      <c r="HG22" s="12">
        <v>40786</v>
      </c>
      <c r="HH22">
        <v>14.961</v>
      </c>
      <c r="HI22" s="12">
        <v>40786</v>
      </c>
      <c r="HJ22">
        <v>6.9050000000000002</v>
      </c>
      <c r="HK22" s="12">
        <v>40786</v>
      </c>
      <c r="HL22">
        <v>1147</v>
      </c>
      <c r="HM22" s="12">
        <v>40786</v>
      </c>
      <c r="HN22">
        <v>57.634999999999998</v>
      </c>
      <c r="HO22" s="12">
        <v>40786</v>
      </c>
      <c r="HP22">
        <v>51.668999999999997</v>
      </c>
      <c r="HQ22" s="12">
        <v>40877</v>
      </c>
      <c r="HR22">
        <v>1200</v>
      </c>
      <c r="HS22" s="12">
        <v>40786</v>
      </c>
      <c r="HT22">
        <v>59.787999999999997</v>
      </c>
      <c r="HU22" s="12">
        <v>40786</v>
      </c>
      <c r="HV22">
        <v>3450.57</v>
      </c>
      <c r="HW22" s="12">
        <v>40786</v>
      </c>
      <c r="HX22">
        <v>20.63</v>
      </c>
      <c r="HY22" s="12">
        <v>40786</v>
      </c>
      <c r="HZ22">
        <v>16.885000000000002</v>
      </c>
      <c r="IA22" s="12">
        <v>40786</v>
      </c>
      <c r="IB22">
        <v>62.268000000000001</v>
      </c>
      <c r="IC22" s="12">
        <v>40786</v>
      </c>
      <c r="ID22">
        <v>2.3239999999999998</v>
      </c>
      <c r="IE22" s="12">
        <v>40786</v>
      </c>
      <c r="IF22">
        <v>5.319</v>
      </c>
      <c r="IG22" s="12">
        <v>41089</v>
      </c>
      <c r="IH22">
        <v>31.3</v>
      </c>
      <c r="II22" s="12">
        <v>40786</v>
      </c>
      <c r="IJ22">
        <v>33.485999999999997</v>
      </c>
      <c r="IK22" s="12">
        <v>41152</v>
      </c>
      <c r="IL22">
        <v>2.77</v>
      </c>
      <c r="IM22" s="12">
        <v>40786</v>
      </c>
      <c r="IN22">
        <v>11.85</v>
      </c>
      <c r="IO22" s="12">
        <v>41333</v>
      </c>
      <c r="IP22">
        <v>13.768000000000001</v>
      </c>
      <c r="IQ22" s="12">
        <v>40786</v>
      </c>
      <c r="IR22">
        <v>11.526999999999999</v>
      </c>
      <c r="IS22" s="12">
        <v>42704</v>
      </c>
      <c r="IT22">
        <v>6.36</v>
      </c>
      <c r="IU22" s="12">
        <v>40786</v>
      </c>
      <c r="IV22">
        <v>6.9233000000000002</v>
      </c>
      <c r="IW22" s="12">
        <v>40786</v>
      </c>
      <c r="IX22">
        <v>23.677</v>
      </c>
      <c r="IY22" s="12">
        <v>40786</v>
      </c>
      <c r="IZ22">
        <v>6.7869999999999999</v>
      </c>
      <c r="JA22" s="12">
        <v>42551</v>
      </c>
      <c r="JB22">
        <v>3.823</v>
      </c>
      <c r="JC22" s="12">
        <v>40786</v>
      </c>
      <c r="JD22">
        <v>17.440000000000001</v>
      </c>
      <c r="JE22" s="12">
        <v>40786</v>
      </c>
      <c r="JF22">
        <v>287.16399999999999</v>
      </c>
      <c r="JG22" s="12">
        <v>42704</v>
      </c>
      <c r="JH22">
        <v>6.36</v>
      </c>
      <c r="JI22" s="12">
        <v>40786</v>
      </c>
      <c r="JJ22">
        <v>8.5410000000000004</v>
      </c>
      <c r="JK22" s="12">
        <v>43677</v>
      </c>
      <c r="JL22">
        <v>28.091999999999999</v>
      </c>
      <c r="JM22" s="12">
        <v>40786</v>
      </c>
      <c r="JN22">
        <v>0.82</v>
      </c>
      <c r="JO22" s="12">
        <v>40786</v>
      </c>
      <c r="JP22">
        <v>11.871</v>
      </c>
      <c r="JQ22" s="12">
        <v>42185</v>
      </c>
      <c r="JR22">
        <v>12.061999999999999</v>
      </c>
      <c r="JS22" s="12">
        <v>40786</v>
      </c>
      <c r="JT22">
        <v>5.7069999999999999</v>
      </c>
      <c r="JU22" s="12">
        <v>42004</v>
      </c>
      <c r="JV22">
        <v>33.463999999999999</v>
      </c>
      <c r="JW22" s="12">
        <v>40786</v>
      </c>
      <c r="JX22">
        <v>6.6289999999999996</v>
      </c>
      <c r="JY22" s="12">
        <v>40786</v>
      </c>
      <c r="JZ22">
        <v>9.8219999999999992</v>
      </c>
      <c r="KA22" s="12">
        <v>43677</v>
      </c>
      <c r="KB22">
        <v>30.67</v>
      </c>
      <c r="KC22" s="12">
        <v>40786</v>
      </c>
      <c r="KD22">
        <v>7.9459999999999997</v>
      </c>
      <c r="KE22" s="12">
        <v>40786</v>
      </c>
      <c r="KF22">
        <v>4.657</v>
      </c>
      <c r="KG22" s="12">
        <v>40786</v>
      </c>
      <c r="KH22">
        <v>0.14399999999999999</v>
      </c>
      <c r="KI22" s="12">
        <v>40786</v>
      </c>
      <c r="KJ22">
        <v>8.2680000000000007</v>
      </c>
      <c r="KK22" s="12">
        <v>40786</v>
      </c>
      <c r="KL22">
        <v>7.82</v>
      </c>
      <c r="KM22" s="12">
        <v>43404</v>
      </c>
      <c r="KN22">
        <v>13.656000000000001</v>
      </c>
      <c r="KO22" s="12">
        <v>40786</v>
      </c>
      <c r="KP22">
        <v>122.17700000000001</v>
      </c>
      <c r="KQ22" s="12">
        <v>40786</v>
      </c>
      <c r="KR22">
        <v>146.834</v>
      </c>
      <c r="KS22" s="12">
        <v>40786</v>
      </c>
      <c r="KT22">
        <v>10.051</v>
      </c>
      <c r="KU22" s="12">
        <v>40786</v>
      </c>
      <c r="KV22">
        <v>7.9279999999999999</v>
      </c>
      <c r="KW22" s="12">
        <v>40786</v>
      </c>
      <c r="KX22">
        <v>45.59</v>
      </c>
      <c r="KY22" s="12">
        <v>40786</v>
      </c>
      <c r="KZ22">
        <v>22.11</v>
      </c>
      <c r="LA22" s="12">
        <v>40786</v>
      </c>
      <c r="LB22">
        <v>20.58</v>
      </c>
      <c r="LC22" s="12">
        <v>40786</v>
      </c>
      <c r="LD22">
        <v>8.032</v>
      </c>
      <c r="LE22" s="12">
        <v>40786</v>
      </c>
      <c r="LF22">
        <v>6.6</v>
      </c>
      <c r="LG22" s="12">
        <v>40786</v>
      </c>
      <c r="LH22">
        <v>9.4239999999999995</v>
      </c>
      <c r="LI22" s="12">
        <v>40786</v>
      </c>
      <c r="LJ22">
        <v>11.246</v>
      </c>
      <c r="LK22" s="12">
        <v>40786</v>
      </c>
      <c r="LL22">
        <v>26.63</v>
      </c>
      <c r="LM22" s="12">
        <v>40786</v>
      </c>
      <c r="LN22">
        <v>21.904</v>
      </c>
      <c r="LO22" s="12">
        <v>40786</v>
      </c>
      <c r="LP22">
        <v>11.308999999999999</v>
      </c>
      <c r="LQ22" s="12">
        <v>40786</v>
      </c>
      <c r="LR22">
        <v>31.120999999999999</v>
      </c>
      <c r="LS22" s="12">
        <v>40786</v>
      </c>
      <c r="LT22">
        <v>29.645</v>
      </c>
      <c r="LW22" s="12">
        <v>40786</v>
      </c>
      <c r="LX22">
        <v>1864.242</v>
      </c>
      <c r="LY22" s="12">
        <v>40786</v>
      </c>
      <c r="LZ22">
        <v>27.001000000000001</v>
      </c>
      <c r="MA22" s="12">
        <v>40786</v>
      </c>
      <c r="MB22">
        <v>12.115</v>
      </c>
      <c r="MC22" s="12">
        <v>42247</v>
      </c>
      <c r="MD22">
        <v>6.77</v>
      </c>
      <c r="ME22" s="12">
        <v>40786</v>
      </c>
      <c r="MF22">
        <v>4.8170000000000002</v>
      </c>
      <c r="MG22" s="12">
        <v>40786</v>
      </c>
      <c r="MH22">
        <v>4.2060000000000004</v>
      </c>
      <c r="MI22" s="12">
        <v>42794</v>
      </c>
      <c r="MJ22">
        <v>11.584</v>
      </c>
      <c r="MK22" s="12">
        <v>40786</v>
      </c>
      <c r="ML22">
        <v>4.5609999999999999</v>
      </c>
    </row>
    <row r="23" spans="1:350" x14ac:dyDescent="0.3">
      <c r="A23" s="12">
        <v>40816</v>
      </c>
      <c r="B23" s="1">
        <v>8.6110000000000007</v>
      </c>
      <c r="C23" s="12">
        <v>41180</v>
      </c>
      <c r="D23" s="1">
        <v>11.151999999999999</v>
      </c>
      <c r="E23" s="12">
        <v>40816</v>
      </c>
      <c r="F23" s="13">
        <v>8.3740000000000006</v>
      </c>
      <c r="G23" s="17">
        <v>40816</v>
      </c>
      <c r="H23" s="13">
        <v>4.7720000000000002</v>
      </c>
      <c r="I23" s="17">
        <v>40847</v>
      </c>
      <c r="J23">
        <v>11.340999999999999</v>
      </c>
      <c r="K23" s="12">
        <v>42034</v>
      </c>
      <c r="L23">
        <v>14.03</v>
      </c>
      <c r="M23" s="12">
        <v>40816</v>
      </c>
      <c r="N23" s="12">
        <v>42.854999999999997</v>
      </c>
      <c r="O23" s="12">
        <v>40816</v>
      </c>
      <c r="P23">
        <v>16.629000000000001</v>
      </c>
      <c r="Q23" s="12">
        <v>42216</v>
      </c>
      <c r="R23">
        <v>15.311999999999999</v>
      </c>
      <c r="S23" s="12">
        <v>40816</v>
      </c>
      <c r="T23">
        <v>10.585000000000001</v>
      </c>
      <c r="U23" s="12">
        <v>41243</v>
      </c>
      <c r="V23">
        <v>29.588999999999999</v>
      </c>
      <c r="W23" s="12">
        <v>43496</v>
      </c>
      <c r="X23">
        <v>37.11</v>
      </c>
      <c r="Y23" s="12">
        <v>40816</v>
      </c>
      <c r="Z23">
        <v>6.3179999999999996</v>
      </c>
      <c r="AA23" s="12">
        <v>40816</v>
      </c>
      <c r="AB23">
        <v>14.531000000000001</v>
      </c>
      <c r="AC23" s="12">
        <v>40816</v>
      </c>
      <c r="AD23">
        <v>6.9989999999999997</v>
      </c>
      <c r="AE23" s="12">
        <v>40816</v>
      </c>
      <c r="AF23">
        <v>8.282</v>
      </c>
      <c r="AG23" s="12">
        <v>40816</v>
      </c>
      <c r="AH23">
        <v>40.85</v>
      </c>
      <c r="AI23" s="12">
        <v>42034</v>
      </c>
      <c r="AJ23">
        <v>19.140999999999998</v>
      </c>
      <c r="AK23" s="12">
        <v>40816</v>
      </c>
      <c r="AL23">
        <v>4.5830000000000002</v>
      </c>
      <c r="AO23" s="12">
        <v>40816</v>
      </c>
      <c r="AP23">
        <v>4.9480000000000004</v>
      </c>
      <c r="AQ23" s="12">
        <v>43434</v>
      </c>
      <c r="AR23">
        <v>21.177</v>
      </c>
      <c r="AS23" s="12">
        <v>40816</v>
      </c>
      <c r="AT23">
        <v>5.5380000000000003</v>
      </c>
      <c r="AU23" s="12">
        <v>40816</v>
      </c>
      <c r="AV23">
        <v>20.335000000000001</v>
      </c>
      <c r="AW23" s="12">
        <v>43738</v>
      </c>
      <c r="AX23">
        <v>27.068999999999999</v>
      </c>
      <c r="AY23" s="12">
        <v>40816</v>
      </c>
      <c r="AZ23">
        <v>29.439</v>
      </c>
      <c r="BA23" s="12">
        <v>40816</v>
      </c>
      <c r="BB23">
        <v>10.416</v>
      </c>
      <c r="BC23" s="12">
        <v>40816</v>
      </c>
      <c r="BD23">
        <v>10.956</v>
      </c>
      <c r="BE23" s="12">
        <v>40907</v>
      </c>
      <c r="BF23">
        <v>9.4390000000000001</v>
      </c>
      <c r="BG23" s="12">
        <v>40816</v>
      </c>
      <c r="BH23">
        <v>8.7789999999999999</v>
      </c>
      <c r="BI23" s="12">
        <v>40816</v>
      </c>
      <c r="BJ23">
        <v>12.755000000000001</v>
      </c>
      <c r="BK23" s="12">
        <v>40816</v>
      </c>
      <c r="BL23">
        <v>8.3979999999999997</v>
      </c>
      <c r="BM23" s="12">
        <v>40816</v>
      </c>
      <c r="BN23">
        <v>14.945</v>
      </c>
      <c r="BO23" s="12">
        <v>40816</v>
      </c>
      <c r="BP23">
        <v>5.9450000000000003</v>
      </c>
      <c r="BQ23" s="12">
        <v>40816</v>
      </c>
      <c r="BR23">
        <v>5.0990000000000002</v>
      </c>
      <c r="BS23" s="12">
        <v>40816</v>
      </c>
      <c r="BT23">
        <v>6.3979999999999997</v>
      </c>
      <c r="BU23" s="12">
        <v>40816</v>
      </c>
      <c r="BV23">
        <v>4.97</v>
      </c>
      <c r="BW23" s="12">
        <v>40816</v>
      </c>
      <c r="BX23">
        <v>1.8900000000000001</v>
      </c>
      <c r="BY23" s="12">
        <v>40816</v>
      </c>
      <c r="BZ23">
        <v>16.018999999999998</v>
      </c>
      <c r="CA23" s="12">
        <v>40816</v>
      </c>
      <c r="CB23">
        <v>22.222000000000001</v>
      </c>
      <c r="CC23" s="12">
        <v>43585</v>
      </c>
      <c r="CD23">
        <v>20.936</v>
      </c>
      <c r="CE23" s="12">
        <v>40816</v>
      </c>
      <c r="CF23">
        <v>15.984</v>
      </c>
      <c r="CG23" s="12">
        <v>40816</v>
      </c>
      <c r="CH23">
        <v>17.007000000000001</v>
      </c>
      <c r="CI23" s="12">
        <v>40816</v>
      </c>
      <c r="CJ23">
        <v>21.378</v>
      </c>
      <c r="CK23" s="12">
        <v>40816</v>
      </c>
      <c r="CL23">
        <v>10.486000000000001</v>
      </c>
      <c r="CM23" s="12">
        <v>40816</v>
      </c>
      <c r="CN23">
        <v>19.221</v>
      </c>
      <c r="CO23" s="12">
        <v>42277</v>
      </c>
      <c r="CP23">
        <v>12.673999999999999</v>
      </c>
      <c r="CQ23" s="12">
        <v>40816</v>
      </c>
      <c r="CR23">
        <v>8.7210000000000001</v>
      </c>
      <c r="CS23" s="12">
        <v>40816</v>
      </c>
      <c r="CT23">
        <v>15.287000000000001</v>
      </c>
      <c r="CU23" s="12">
        <v>40816</v>
      </c>
      <c r="CV23">
        <v>6.3949999999999996</v>
      </c>
      <c r="CW23" s="12">
        <v>40816</v>
      </c>
      <c r="CX23">
        <v>5.4379999999999997</v>
      </c>
      <c r="CY23" s="12">
        <v>40907</v>
      </c>
      <c r="CZ23">
        <v>9.5470000000000006</v>
      </c>
      <c r="DA23" s="12">
        <v>40816</v>
      </c>
      <c r="DB23">
        <v>12.574999999999999</v>
      </c>
      <c r="DC23" s="12">
        <v>40816</v>
      </c>
      <c r="DD23">
        <v>12.641999999999999</v>
      </c>
      <c r="DE23" s="12">
        <v>40816</v>
      </c>
      <c r="DF23">
        <v>12.446</v>
      </c>
      <c r="DG23" s="12">
        <v>41060</v>
      </c>
      <c r="DH23">
        <v>43.146999999999998</v>
      </c>
      <c r="DI23" s="12">
        <v>40816</v>
      </c>
      <c r="DJ23">
        <v>22.582000000000001</v>
      </c>
      <c r="DK23" s="12">
        <v>40816</v>
      </c>
      <c r="DL23">
        <v>10.824999999999999</v>
      </c>
      <c r="DM23" s="12">
        <v>41243</v>
      </c>
      <c r="DN23">
        <v>8.1590000000000007</v>
      </c>
      <c r="DO23" s="12">
        <v>40816</v>
      </c>
      <c r="DP23">
        <v>7.8810000000000002</v>
      </c>
      <c r="DQ23" s="12">
        <v>40816</v>
      </c>
      <c r="DR23">
        <v>542.255</v>
      </c>
      <c r="DS23" s="12">
        <v>40816</v>
      </c>
      <c r="DT23">
        <v>8.3130000000000006</v>
      </c>
      <c r="DU23" s="12">
        <v>40816</v>
      </c>
      <c r="DV23">
        <v>1.9990000000000001</v>
      </c>
      <c r="DW23" s="12">
        <v>40816</v>
      </c>
      <c r="DX23">
        <v>4.2850000000000001</v>
      </c>
      <c r="DY23" s="12">
        <v>40816</v>
      </c>
      <c r="DZ23">
        <v>6.0209999999999999</v>
      </c>
      <c r="EA23" s="12">
        <v>40816</v>
      </c>
      <c r="EB23">
        <v>24.32</v>
      </c>
      <c r="EC23" s="12">
        <v>40816</v>
      </c>
      <c r="ED23">
        <v>11.818</v>
      </c>
      <c r="EE23" s="12">
        <v>40816</v>
      </c>
      <c r="EF23">
        <v>8.1240000000000006</v>
      </c>
      <c r="EG23" s="12">
        <v>40816</v>
      </c>
      <c r="EH23">
        <v>15.249000000000001</v>
      </c>
      <c r="EI23" s="12">
        <v>40816</v>
      </c>
      <c r="EJ23">
        <v>37.770000000000003</v>
      </c>
      <c r="EK23" s="12">
        <v>40816</v>
      </c>
      <c r="EL23">
        <v>9.3249999999999993</v>
      </c>
      <c r="EM23" s="12">
        <v>40816</v>
      </c>
      <c r="EN23">
        <v>11.561999999999999</v>
      </c>
      <c r="EQ23" s="12">
        <v>40816</v>
      </c>
      <c r="ER23">
        <v>14.518000000000001</v>
      </c>
      <c r="ES23" s="12">
        <v>40816</v>
      </c>
      <c r="ET23">
        <v>10.24</v>
      </c>
      <c r="EU23" s="12">
        <v>40816</v>
      </c>
      <c r="EV23">
        <v>1.621</v>
      </c>
      <c r="EY23" s="12">
        <v>40816</v>
      </c>
      <c r="EZ23">
        <v>21.716999999999999</v>
      </c>
      <c r="FA23" s="12">
        <v>40816</v>
      </c>
      <c r="FB23">
        <v>7.2480000000000002</v>
      </c>
      <c r="FC23" s="12">
        <v>40816</v>
      </c>
      <c r="FD23">
        <v>13.641</v>
      </c>
      <c r="FE23" s="12">
        <v>43585</v>
      </c>
      <c r="FF23">
        <v>31.117000000000001</v>
      </c>
      <c r="FG23" s="12">
        <v>40816</v>
      </c>
      <c r="FH23">
        <v>3.11</v>
      </c>
      <c r="FI23" s="12">
        <v>40816</v>
      </c>
      <c r="FJ23">
        <v>7.1920000000000002</v>
      </c>
      <c r="FK23" s="12">
        <v>40816</v>
      </c>
      <c r="FL23">
        <v>8.6129999999999995</v>
      </c>
      <c r="FM23" s="12">
        <v>40816</v>
      </c>
      <c r="FN23">
        <v>3.2570000000000001</v>
      </c>
      <c r="FO23" s="12">
        <v>40816</v>
      </c>
      <c r="FP23">
        <v>10.614000000000001</v>
      </c>
      <c r="FQ23" s="12">
        <v>42307</v>
      </c>
      <c r="FR23">
        <v>18.492999999999999</v>
      </c>
      <c r="FS23" s="12">
        <v>40816</v>
      </c>
      <c r="FT23">
        <v>0.71299999999999997</v>
      </c>
      <c r="FU23" s="12">
        <v>40816</v>
      </c>
      <c r="FV23">
        <v>6.0759999999999996</v>
      </c>
      <c r="FW23" s="12">
        <v>40816</v>
      </c>
      <c r="FX23">
        <v>7</v>
      </c>
      <c r="FY23" s="12">
        <v>41670</v>
      </c>
      <c r="FZ23">
        <v>1.1719999999999999</v>
      </c>
      <c r="GA23" s="12">
        <v>40816</v>
      </c>
      <c r="GB23">
        <v>7.6890000000000001</v>
      </c>
      <c r="GC23" s="12">
        <v>40816</v>
      </c>
      <c r="GD23">
        <v>17.509</v>
      </c>
      <c r="GE23" s="12">
        <v>41971</v>
      </c>
      <c r="GF23">
        <v>18.148</v>
      </c>
      <c r="GI23" s="12">
        <v>40816</v>
      </c>
      <c r="GJ23">
        <v>7.0720000000000001</v>
      </c>
      <c r="GK23" s="12">
        <v>40816</v>
      </c>
      <c r="GL23">
        <v>26.99</v>
      </c>
      <c r="GM23" s="12">
        <v>40816</v>
      </c>
      <c r="GN23">
        <v>11.141</v>
      </c>
      <c r="GO23" s="12">
        <v>41305</v>
      </c>
      <c r="GP23">
        <v>1.3879999999999999</v>
      </c>
      <c r="GQ23" s="12">
        <v>40939</v>
      </c>
      <c r="GR23">
        <v>21.016999999999999</v>
      </c>
      <c r="GS23" s="12">
        <v>40816</v>
      </c>
      <c r="GT23">
        <v>1054.6199999999999</v>
      </c>
      <c r="GU23" s="12">
        <v>43434</v>
      </c>
      <c r="GV23">
        <v>7.68</v>
      </c>
      <c r="GW23" s="12">
        <v>40877</v>
      </c>
      <c r="GX23">
        <v>19.033000000000001</v>
      </c>
      <c r="GY23" s="12">
        <v>40816</v>
      </c>
      <c r="GZ23">
        <v>6.13</v>
      </c>
      <c r="HA23" s="12">
        <v>40816</v>
      </c>
      <c r="HB23">
        <v>5.9619999999999997</v>
      </c>
      <c r="HC23" s="12">
        <v>40816</v>
      </c>
      <c r="HD23">
        <v>9.8089999999999993</v>
      </c>
      <c r="HE23" s="12">
        <v>40816</v>
      </c>
      <c r="HF23">
        <v>14.992000000000001</v>
      </c>
      <c r="HG23" s="12">
        <v>40816</v>
      </c>
      <c r="HH23">
        <v>12.558999999999999</v>
      </c>
      <c r="HI23" s="12">
        <v>40816</v>
      </c>
      <c r="HJ23">
        <v>6.9779999999999998</v>
      </c>
      <c r="HK23" s="12">
        <v>40816</v>
      </c>
      <c r="HL23">
        <v>1150</v>
      </c>
      <c r="HM23" s="12">
        <v>40816</v>
      </c>
      <c r="HN23">
        <v>55.122999999999998</v>
      </c>
      <c r="HO23" s="12">
        <v>40816</v>
      </c>
      <c r="HP23">
        <v>47.432000000000002</v>
      </c>
      <c r="HQ23" s="12">
        <v>40907</v>
      </c>
      <c r="HR23">
        <v>1150</v>
      </c>
      <c r="HS23" s="12">
        <v>40816</v>
      </c>
      <c r="HT23">
        <v>52.679000000000002</v>
      </c>
      <c r="HU23" s="12">
        <v>40816</v>
      </c>
      <c r="HV23">
        <v>2701.404</v>
      </c>
      <c r="HW23" s="12">
        <v>40816</v>
      </c>
      <c r="HX23">
        <v>18.786999999999999</v>
      </c>
      <c r="HY23" s="12">
        <v>40816</v>
      </c>
      <c r="HZ23">
        <v>15.505000000000001</v>
      </c>
      <c r="IA23" s="12">
        <v>40816</v>
      </c>
      <c r="IB23">
        <v>62.106000000000002</v>
      </c>
      <c r="IC23" s="12">
        <v>40816</v>
      </c>
      <c r="ID23">
        <v>2.6360000000000001</v>
      </c>
      <c r="IE23" s="12">
        <v>40816</v>
      </c>
      <c r="IF23">
        <v>4.9950000000000001</v>
      </c>
      <c r="IG23" s="12">
        <v>41121</v>
      </c>
      <c r="IH23">
        <v>24.9</v>
      </c>
      <c r="II23" s="12">
        <v>40816</v>
      </c>
      <c r="IJ23">
        <v>29.792000000000002</v>
      </c>
      <c r="IM23" s="12">
        <v>40816</v>
      </c>
      <c r="IN23">
        <v>10.568999999999999</v>
      </c>
      <c r="IO23" s="12">
        <v>41362</v>
      </c>
      <c r="IP23">
        <v>12.635999999999999</v>
      </c>
      <c r="IQ23" s="12">
        <v>40816</v>
      </c>
      <c r="IR23">
        <v>10.374000000000001</v>
      </c>
      <c r="IS23" s="12">
        <v>42734</v>
      </c>
      <c r="IT23">
        <v>6.14</v>
      </c>
      <c r="IU23" s="12">
        <v>40816</v>
      </c>
      <c r="IV23">
        <v>6.7507000000000001</v>
      </c>
      <c r="IW23" s="12">
        <v>40816</v>
      </c>
      <c r="IX23">
        <v>24.74</v>
      </c>
      <c r="IY23" s="12">
        <v>40816</v>
      </c>
      <c r="IZ23">
        <v>6.1050000000000004</v>
      </c>
      <c r="JA23" s="12">
        <v>42580</v>
      </c>
      <c r="JB23">
        <v>4.4470000000000001</v>
      </c>
      <c r="JC23" s="12">
        <v>40816</v>
      </c>
      <c r="JD23">
        <v>15.308</v>
      </c>
      <c r="JE23" s="12">
        <v>40816</v>
      </c>
      <c r="JF23">
        <v>206.66399999999999</v>
      </c>
      <c r="JG23" s="12">
        <v>42734</v>
      </c>
      <c r="JH23">
        <v>6.14</v>
      </c>
      <c r="JI23" s="12">
        <v>40816</v>
      </c>
      <c r="JJ23">
        <v>7.71</v>
      </c>
      <c r="JK23" s="12">
        <v>43707</v>
      </c>
      <c r="JL23">
        <v>28.681999999999999</v>
      </c>
      <c r="JM23" s="12">
        <v>40816</v>
      </c>
      <c r="JN23">
        <v>0.78100000000000003</v>
      </c>
      <c r="JO23" s="12">
        <v>40816</v>
      </c>
      <c r="JP23">
        <v>11.278</v>
      </c>
      <c r="JQ23" s="12">
        <v>42216</v>
      </c>
      <c r="JR23">
        <v>9.0589999999999993</v>
      </c>
      <c r="JS23" s="12">
        <v>40816</v>
      </c>
      <c r="JT23">
        <v>5.649</v>
      </c>
      <c r="JU23" s="12">
        <v>42034</v>
      </c>
      <c r="JV23">
        <v>30.701999999999998</v>
      </c>
      <c r="JW23" s="12">
        <v>40816</v>
      </c>
      <c r="JX23">
        <v>5.8369999999999997</v>
      </c>
      <c r="JY23" s="12">
        <v>40816</v>
      </c>
      <c r="JZ23">
        <v>8.7449999999999992</v>
      </c>
      <c r="KA23" s="12">
        <v>43707</v>
      </c>
      <c r="KB23">
        <v>29.08</v>
      </c>
      <c r="KC23" s="12">
        <v>40816</v>
      </c>
      <c r="KD23">
        <v>7.34</v>
      </c>
      <c r="KE23" s="12">
        <v>40816</v>
      </c>
      <c r="KF23">
        <v>4.6559999999999997</v>
      </c>
      <c r="KG23" s="12">
        <v>40816</v>
      </c>
      <c r="KH23">
        <v>0.126</v>
      </c>
      <c r="KI23" s="12">
        <v>40816</v>
      </c>
      <c r="KJ23">
        <v>6.7160000000000002</v>
      </c>
      <c r="KM23" s="12">
        <v>43434</v>
      </c>
      <c r="KN23">
        <v>14.718999999999999</v>
      </c>
      <c r="KO23" s="12">
        <v>40816</v>
      </c>
      <c r="KP23">
        <v>113.62</v>
      </c>
      <c r="KQ23" s="12">
        <v>40816</v>
      </c>
      <c r="KR23">
        <v>137.20500000000001</v>
      </c>
      <c r="KS23" s="12">
        <v>40816</v>
      </c>
      <c r="KT23">
        <v>10.493</v>
      </c>
      <c r="KU23" s="12">
        <v>40816</v>
      </c>
      <c r="KV23">
        <v>7.0960000000000001</v>
      </c>
      <c r="KW23" s="12">
        <v>40816</v>
      </c>
      <c r="KX23">
        <v>38.700000000000003</v>
      </c>
      <c r="KY23" s="12">
        <v>40816</v>
      </c>
      <c r="KZ23">
        <v>20.6</v>
      </c>
      <c r="LA23" s="12">
        <v>40816</v>
      </c>
      <c r="LB23">
        <v>17.8</v>
      </c>
      <c r="LC23" s="12">
        <v>40816</v>
      </c>
      <c r="LD23">
        <v>8.9870000000000001</v>
      </c>
      <c r="LE23" s="12">
        <v>40816</v>
      </c>
      <c r="LF23">
        <v>6.7839999999999998</v>
      </c>
      <c r="LG23" s="12">
        <v>40816</v>
      </c>
      <c r="LH23">
        <v>9.4589999999999996</v>
      </c>
      <c r="LI23" s="12">
        <v>40816</v>
      </c>
      <c r="LJ23">
        <v>11.938000000000001</v>
      </c>
      <c r="LM23" s="12">
        <v>40816</v>
      </c>
      <c r="LN23">
        <v>20.7</v>
      </c>
      <c r="LO23" s="12">
        <v>40816</v>
      </c>
      <c r="LP23">
        <v>9.9149999999999991</v>
      </c>
      <c r="LQ23" s="12">
        <v>40816</v>
      </c>
      <c r="LR23">
        <v>29.626999999999999</v>
      </c>
      <c r="LS23" s="12">
        <v>40816</v>
      </c>
      <c r="LT23">
        <v>28.61</v>
      </c>
      <c r="LW23" s="12">
        <v>40816</v>
      </c>
      <c r="LX23">
        <v>1823.7149999999999</v>
      </c>
      <c r="LY23" s="12">
        <v>40816</v>
      </c>
      <c r="LZ23">
        <v>26.806999999999999</v>
      </c>
      <c r="MA23" s="12">
        <v>40816</v>
      </c>
      <c r="MB23">
        <v>12.54</v>
      </c>
      <c r="MC23" s="12">
        <v>42277</v>
      </c>
      <c r="MD23">
        <v>3.9359999999999999</v>
      </c>
      <c r="ME23" s="12">
        <v>40816</v>
      </c>
      <c r="MF23">
        <v>4.2450000000000001</v>
      </c>
      <c r="MG23" s="12">
        <v>40816</v>
      </c>
      <c r="MH23">
        <v>4.5910000000000002</v>
      </c>
      <c r="MI23" s="12">
        <v>42825</v>
      </c>
      <c r="MJ23">
        <v>13.105</v>
      </c>
      <c r="MK23" s="12">
        <v>40816</v>
      </c>
      <c r="ML23">
        <v>4.1370000000000005</v>
      </c>
    </row>
    <row r="24" spans="1:350" x14ac:dyDescent="0.3">
      <c r="A24" s="12">
        <v>40847</v>
      </c>
      <c r="B24" s="1">
        <v>8.8249999999999993</v>
      </c>
      <c r="C24" s="12">
        <v>41213</v>
      </c>
      <c r="D24" s="1">
        <v>11.781000000000001</v>
      </c>
      <c r="E24" s="12">
        <v>40847</v>
      </c>
      <c r="F24" s="13">
        <v>8.3940000000000001</v>
      </c>
      <c r="G24" s="17">
        <v>40847</v>
      </c>
      <c r="H24" s="13">
        <v>5.2110000000000003</v>
      </c>
      <c r="I24" s="17">
        <v>40877</v>
      </c>
      <c r="J24">
        <v>12.348000000000001</v>
      </c>
      <c r="K24" s="12">
        <v>42062</v>
      </c>
      <c r="L24">
        <v>13.513</v>
      </c>
      <c r="M24" s="12">
        <v>40847</v>
      </c>
      <c r="N24" s="12">
        <v>43.887999999999998</v>
      </c>
      <c r="O24" s="12">
        <v>40847</v>
      </c>
      <c r="P24">
        <v>17.245000000000001</v>
      </c>
      <c r="Q24" s="12">
        <v>42247</v>
      </c>
      <c r="R24">
        <v>11.013</v>
      </c>
      <c r="S24" s="12">
        <v>40847</v>
      </c>
      <c r="T24">
        <v>10.068</v>
      </c>
      <c r="U24" s="12">
        <v>41274</v>
      </c>
      <c r="V24">
        <v>31.628</v>
      </c>
      <c r="W24" s="12">
        <v>43524</v>
      </c>
      <c r="X24">
        <v>37.65</v>
      </c>
      <c r="Y24" s="12">
        <v>40847</v>
      </c>
      <c r="Z24">
        <v>7.3680000000000003</v>
      </c>
      <c r="AA24" s="12">
        <v>40847</v>
      </c>
      <c r="AB24">
        <v>15.151</v>
      </c>
      <c r="AC24" s="12">
        <v>40847</v>
      </c>
      <c r="AD24">
        <v>7.6319999999999997</v>
      </c>
      <c r="AE24" s="12">
        <v>40847</v>
      </c>
      <c r="AF24">
        <v>9.2859999999999996</v>
      </c>
      <c r="AG24" s="12">
        <v>40847</v>
      </c>
      <c r="AH24">
        <v>47.889000000000003</v>
      </c>
      <c r="AI24" s="12">
        <v>42062</v>
      </c>
      <c r="AJ24">
        <v>21.667999999999999</v>
      </c>
      <c r="AK24" s="12">
        <v>40847</v>
      </c>
      <c r="AL24">
        <v>4.62</v>
      </c>
      <c r="AO24" s="12">
        <v>40847</v>
      </c>
      <c r="AP24">
        <v>5.9160000000000004</v>
      </c>
      <c r="AQ24" s="12">
        <v>43465</v>
      </c>
      <c r="AR24">
        <v>22.515000000000001</v>
      </c>
      <c r="AS24" s="12">
        <v>40847</v>
      </c>
      <c r="AT24">
        <v>6.8330000000000002</v>
      </c>
      <c r="AU24" s="12">
        <v>40847</v>
      </c>
      <c r="AV24">
        <v>21.509</v>
      </c>
      <c r="AW24" s="12">
        <v>43769</v>
      </c>
      <c r="AX24">
        <v>27.806000000000001</v>
      </c>
      <c r="AY24" s="12">
        <v>40847</v>
      </c>
      <c r="AZ24">
        <v>32.704000000000001</v>
      </c>
      <c r="BA24" s="12">
        <v>40847</v>
      </c>
      <c r="BB24">
        <v>10.931000000000001</v>
      </c>
      <c r="BC24" s="12">
        <v>40847</v>
      </c>
      <c r="BD24">
        <v>10.579000000000001</v>
      </c>
      <c r="BE24" s="12">
        <v>40939</v>
      </c>
      <c r="BF24">
        <v>9.7200000000000006</v>
      </c>
      <c r="BG24" s="12">
        <v>40847</v>
      </c>
      <c r="BH24">
        <v>9.9310000000000009</v>
      </c>
      <c r="BI24" s="12">
        <v>40847</v>
      </c>
      <c r="BJ24">
        <v>12.103999999999999</v>
      </c>
      <c r="BK24" s="12">
        <v>40847</v>
      </c>
      <c r="BL24">
        <v>8.1059999999999999</v>
      </c>
      <c r="BM24" s="12">
        <v>40847</v>
      </c>
      <c r="BN24">
        <v>15.724</v>
      </c>
      <c r="BO24" s="12">
        <v>40847</v>
      </c>
      <c r="BP24">
        <v>6.4560000000000004</v>
      </c>
      <c r="BQ24" s="12">
        <v>40847</v>
      </c>
      <c r="BR24">
        <v>5.3620000000000001</v>
      </c>
      <c r="BS24" s="12">
        <v>40847</v>
      </c>
      <c r="BT24">
        <v>6.6210000000000004</v>
      </c>
      <c r="BU24" s="12">
        <v>40847</v>
      </c>
      <c r="BV24">
        <v>5.2249999999999996</v>
      </c>
      <c r="BW24" s="12">
        <v>40847</v>
      </c>
      <c r="BX24">
        <v>2.0219999999999998</v>
      </c>
      <c r="BY24" s="12">
        <v>40847</v>
      </c>
      <c r="BZ24">
        <v>17.059999999999999</v>
      </c>
      <c r="CA24" s="12">
        <v>40847</v>
      </c>
      <c r="CB24">
        <v>22.516999999999999</v>
      </c>
      <c r="CC24" s="12">
        <v>43616</v>
      </c>
      <c r="CD24">
        <v>22.913</v>
      </c>
      <c r="CE24" s="12">
        <v>40847</v>
      </c>
      <c r="CF24">
        <v>17.792000000000002</v>
      </c>
      <c r="CG24" s="12">
        <v>40847</v>
      </c>
      <c r="CH24">
        <v>19.015000000000001</v>
      </c>
      <c r="CI24" s="12">
        <v>40847</v>
      </c>
      <c r="CJ24">
        <v>23.167000000000002</v>
      </c>
      <c r="CK24" s="12">
        <v>40847</v>
      </c>
      <c r="CL24">
        <v>11.303000000000001</v>
      </c>
      <c r="CM24" s="12">
        <v>40847</v>
      </c>
      <c r="CN24">
        <v>19.385000000000002</v>
      </c>
      <c r="CO24" s="12">
        <v>42307</v>
      </c>
      <c r="CP24">
        <v>13.409000000000001</v>
      </c>
      <c r="CQ24" s="12">
        <v>40847</v>
      </c>
      <c r="CR24">
        <v>11.178000000000001</v>
      </c>
      <c r="CS24" s="12">
        <v>40847</v>
      </c>
      <c r="CT24">
        <v>13.131</v>
      </c>
      <c r="CU24" s="12">
        <v>40847</v>
      </c>
      <c r="CV24">
        <v>5.8849999999999998</v>
      </c>
      <c r="CW24" s="12">
        <v>40847</v>
      </c>
      <c r="CX24">
        <v>5.8739999999999997</v>
      </c>
      <c r="CY24" s="12">
        <v>40939</v>
      </c>
      <c r="CZ24">
        <v>8.4179999999999993</v>
      </c>
      <c r="DA24" s="12">
        <v>40847</v>
      </c>
      <c r="DB24">
        <v>13.25</v>
      </c>
      <c r="DC24" s="12">
        <v>40847</v>
      </c>
      <c r="DD24">
        <v>13.414999999999999</v>
      </c>
      <c r="DE24" s="12">
        <v>40847</v>
      </c>
      <c r="DF24">
        <v>13.715</v>
      </c>
      <c r="DG24" s="12">
        <v>41121</v>
      </c>
      <c r="DH24">
        <v>27.277000000000001</v>
      </c>
      <c r="DI24" s="12">
        <v>40847</v>
      </c>
      <c r="DJ24">
        <v>24.439</v>
      </c>
      <c r="DK24" s="12">
        <v>40847</v>
      </c>
      <c r="DL24">
        <v>10.917</v>
      </c>
      <c r="DM24" s="12">
        <v>41274</v>
      </c>
      <c r="DN24">
        <v>8.0549999999999997</v>
      </c>
      <c r="DO24" s="12">
        <v>40847</v>
      </c>
      <c r="DP24">
        <v>7.673</v>
      </c>
      <c r="DQ24" s="12">
        <v>40847</v>
      </c>
      <c r="DR24">
        <v>569.95399999999995</v>
      </c>
      <c r="DS24" s="12">
        <v>40847</v>
      </c>
      <c r="DT24">
        <v>8.3130000000000006</v>
      </c>
      <c r="DU24" s="12">
        <v>40847</v>
      </c>
      <c r="DV24">
        <v>1.9140000000000001</v>
      </c>
      <c r="DW24" s="12">
        <v>40847</v>
      </c>
      <c r="DX24">
        <v>5.1180000000000003</v>
      </c>
      <c r="DY24" s="12">
        <v>40847</v>
      </c>
      <c r="DZ24">
        <v>7.4290000000000003</v>
      </c>
      <c r="EA24" s="12">
        <v>40847</v>
      </c>
      <c r="EB24">
        <v>24.23</v>
      </c>
      <c r="EC24" s="12">
        <v>40847</v>
      </c>
      <c r="ED24">
        <v>12.635999999999999</v>
      </c>
      <c r="EE24" s="12">
        <v>40847</v>
      </c>
      <c r="EF24">
        <v>7.8380000000000001</v>
      </c>
      <c r="EG24" s="12">
        <v>40847</v>
      </c>
      <c r="EH24">
        <v>15.878</v>
      </c>
      <c r="EI24" s="12">
        <v>40847</v>
      </c>
      <c r="EJ24">
        <v>44.802999999999997</v>
      </c>
      <c r="EK24" s="12">
        <v>40847</v>
      </c>
      <c r="EL24">
        <v>10.984999999999999</v>
      </c>
      <c r="EM24" s="12">
        <v>40847</v>
      </c>
      <c r="EN24">
        <v>13.38</v>
      </c>
      <c r="EQ24" s="12">
        <v>40847</v>
      </c>
      <c r="ER24">
        <v>16.856999999999999</v>
      </c>
      <c r="ES24" s="12">
        <v>40847</v>
      </c>
      <c r="ET24">
        <v>13.51</v>
      </c>
      <c r="EU24" s="12">
        <v>40847</v>
      </c>
      <c r="EV24">
        <v>1.6419999999999999</v>
      </c>
      <c r="EY24" s="12">
        <v>40847</v>
      </c>
      <c r="EZ24">
        <v>26.515999999999998</v>
      </c>
      <c r="FA24" s="12">
        <v>40847</v>
      </c>
      <c r="FB24">
        <v>7.5759999999999996</v>
      </c>
      <c r="FC24" s="12">
        <v>40847</v>
      </c>
      <c r="FD24">
        <v>14.407999999999999</v>
      </c>
      <c r="FE24" s="12">
        <v>43616</v>
      </c>
      <c r="FF24">
        <v>33.761000000000003</v>
      </c>
      <c r="FG24" s="12">
        <v>40847</v>
      </c>
      <c r="FH24">
        <v>3.508</v>
      </c>
      <c r="FI24" s="12">
        <v>40847</v>
      </c>
      <c r="FJ24">
        <v>7.9180000000000001</v>
      </c>
      <c r="FK24" s="12">
        <v>40847</v>
      </c>
      <c r="FL24">
        <v>9.7080000000000002</v>
      </c>
      <c r="FM24" s="12">
        <v>40847</v>
      </c>
      <c r="FN24">
        <v>4.63</v>
      </c>
      <c r="FO24" s="12">
        <v>40847</v>
      </c>
      <c r="FP24">
        <v>10.614000000000001</v>
      </c>
      <c r="FQ24" s="12">
        <v>42338</v>
      </c>
      <c r="FR24">
        <v>20.010999999999999</v>
      </c>
      <c r="FS24" s="12">
        <v>40847</v>
      </c>
      <c r="FT24">
        <v>0.878</v>
      </c>
      <c r="FU24" s="12">
        <v>40847</v>
      </c>
      <c r="FV24">
        <v>6.5519999999999996</v>
      </c>
      <c r="FW24" s="12">
        <v>40847</v>
      </c>
      <c r="FX24">
        <v>7.4569999999999999</v>
      </c>
      <c r="FY24" s="12">
        <v>41698</v>
      </c>
      <c r="FZ24">
        <v>0.84</v>
      </c>
      <c r="GA24" s="12">
        <v>40847</v>
      </c>
      <c r="GB24">
        <v>8.1639999999999997</v>
      </c>
      <c r="GC24" s="12">
        <v>40847</v>
      </c>
      <c r="GD24">
        <v>18.931000000000001</v>
      </c>
      <c r="GE24" s="12">
        <v>42004</v>
      </c>
      <c r="GF24">
        <v>15.856</v>
      </c>
      <c r="GI24" s="12">
        <v>40847</v>
      </c>
      <c r="GJ24">
        <v>7.2690000000000001</v>
      </c>
      <c r="GK24" s="12">
        <v>40847</v>
      </c>
      <c r="GL24">
        <v>27.792999999999999</v>
      </c>
      <c r="GM24" s="12">
        <v>40847</v>
      </c>
      <c r="GN24">
        <v>13.121</v>
      </c>
      <c r="GO24" s="12">
        <v>41333</v>
      </c>
      <c r="GP24">
        <v>1.173</v>
      </c>
      <c r="GQ24" s="12">
        <v>40968</v>
      </c>
      <c r="GR24">
        <v>21.715</v>
      </c>
      <c r="GS24" s="12">
        <v>40847</v>
      </c>
      <c r="GT24">
        <v>1123.432</v>
      </c>
      <c r="GU24" s="12">
        <v>43465</v>
      </c>
      <c r="GV24">
        <v>8.4079999999999995</v>
      </c>
      <c r="GW24" s="12">
        <v>40907</v>
      </c>
      <c r="GX24">
        <v>19.446999999999999</v>
      </c>
      <c r="GY24" s="12">
        <v>40847</v>
      </c>
      <c r="GZ24">
        <v>7.45</v>
      </c>
      <c r="HA24" s="12">
        <v>40847</v>
      </c>
      <c r="HB24">
        <v>7.4909999999999997</v>
      </c>
      <c r="HC24" s="12">
        <v>40847</v>
      </c>
      <c r="HD24">
        <v>9.7720000000000002</v>
      </c>
      <c r="HE24" s="12">
        <v>40847</v>
      </c>
      <c r="HF24">
        <v>19.076000000000001</v>
      </c>
      <c r="HG24" s="12">
        <v>40847</v>
      </c>
      <c r="HH24">
        <v>13.109</v>
      </c>
      <c r="HI24" s="12">
        <v>40847</v>
      </c>
      <c r="HJ24">
        <v>6.7839999999999998</v>
      </c>
      <c r="HK24" s="12">
        <v>40847</v>
      </c>
      <c r="HL24">
        <v>1420</v>
      </c>
      <c r="HM24" s="12">
        <v>40847</v>
      </c>
      <c r="HN24">
        <v>57.904000000000003</v>
      </c>
      <c r="HO24" s="12">
        <v>40847</v>
      </c>
      <c r="HP24">
        <v>51.106999999999999</v>
      </c>
      <c r="HQ24" s="12">
        <v>40939</v>
      </c>
      <c r="HR24">
        <v>1344</v>
      </c>
      <c r="HS24" s="12">
        <v>40847</v>
      </c>
      <c r="HT24">
        <v>60.715000000000003</v>
      </c>
      <c r="HU24" s="12">
        <v>40847</v>
      </c>
      <c r="HV24">
        <v>3335.991</v>
      </c>
      <c r="HW24" s="12">
        <v>40847</v>
      </c>
      <c r="HX24">
        <v>20.747</v>
      </c>
      <c r="HY24" s="12">
        <v>40847</v>
      </c>
      <c r="HZ24">
        <v>17.306999999999999</v>
      </c>
      <c r="IA24" s="12">
        <v>40847</v>
      </c>
      <c r="IB24">
        <v>63.238</v>
      </c>
      <c r="IC24" s="12">
        <v>40847</v>
      </c>
      <c r="ID24">
        <v>2.9039999999999999</v>
      </c>
      <c r="IE24" s="12">
        <v>40847</v>
      </c>
      <c r="IF24">
        <v>5.0599999999999996</v>
      </c>
      <c r="IG24" s="12">
        <v>41152</v>
      </c>
      <c r="IH24">
        <v>23.25</v>
      </c>
      <c r="II24" s="12">
        <v>40847</v>
      </c>
      <c r="IJ24">
        <v>31.352</v>
      </c>
      <c r="IM24" s="12">
        <v>40847</v>
      </c>
      <c r="IN24">
        <v>11.465999999999999</v>
      </c>
      <c r="IO24" s="12">
        <v>41394</v>
      </c>
      <c r="IP24">
        <v>12.132</v>
      </c>
      <c r="IQ24" s="12">
        <v>40847</v>
      </c>
      <c r="IR24">
        <v>9.9589999999999996</v>
      </c>
      <c r="IS24" s="12">
        <v>42766</v>
      </c>
      <c r="IT24">
        <v>7.5</v>
      </c>
      <c r="IU24" s="12">
        <v>40847</v>
      </c>
      <c r="IV24">
        <v>7.2685000000000004</v>
      </c>
      <c r="IW24" s="12">
        <v>40847</v>
      </c>
      <c r="IX24">
        <v>27.88</v>
      </c>
      <c r="IY24" s="12">
        <v>40847</v>
      </c>
      <c r="IZ24">
        <v>6.38</v>
      </c>
      <c r="JA24" s="12">
        <v>42613</v>
      </c>
      <c r="JB24">
        <v>4.8760000000000003</v>
      </c>
      <c r="JC24" s="12">
        <v>40847</v>
      </c>
      <c r="JD24">
        <v>18.795999999999999</v>
      </c>
      <c r="JE24" s="12">
        <v>40847</v>
      </c>
      <c r="JF24">
        <v>255.38800000000001</v>
      </c>
      <c r="JG24" s="12">
        <v>42766</v>
      </c>
      <c r="JH24">
        <v>7.5</v>
      </c>
      <c r="JI24" s="12">
        <v>40847</v>
      </c>
      <c r="JJ24">
        <v>8.6820000000000004</v>
      </c>
      <c r="JK24" s="12">
        <v>43738</v>
      </c>
      <c r="JL24">
        <v>27.632000000000001</v>
      </c>
      <c r="JM24" s="12">
        <v>40847</v>
      </c>
      <c r="JN24">
        <v>0.78100000000000003</v>
      </c>
      <c r="JO24" s="12">
        <v>40847</v>
      </c>
      <c r="JP24">
        <v>12.154999999999999</v>
      </c>
      <c r="JQ24" s="12">
        <v>42247</v>
      </c>
      <c r="JR24">
        <v>8.16</v>
      </c>
      <c r="JS24" s="12">
        <v>40847</v>
      </c>
      <c r="JT24">
        <v>6.165</v>
      </c>
      <c r="JU24" s="12">
        <v>42062</v>
      </c>
      <c r="JV24">
        <v>34.539000000000001</v>
      </c>
      <c r="JW24" s="12">
        <v>40847</v>
      </c>
      <c r="JX24">
        <v>5.9359999999999999</v>
      </c>
      <c r="JY24" s="12">
        <v>40847</v>
      </c>
      <c r="JZ24">
        <v>7.5369999999999999</v>
      </c>
      <c r="KA24" s="12">
        <v>43738</v>
      </c>
      <c r="KB24">
        <v>33.65</v>
      </c>
      <c r="KC24" s="12">
        <v>40847</v>
      </c>
      <c r="KD24">
        <v>7.3760000000000003</v>
      </c>
      <c r="KE24" s="12">
        <v>40847</v>
      </c>
      <c r="KF24">
        <v>4.657</v>
      </c>
      <c r="KG24" s="12">
        <v>40847</v>
      </c>
      <c r="KH24">
        <v>0.15</v>
      </c>
      <c r="KI24" s="12">
        <v>40847</v>
      </c>
      <c r="KJ24">
        <v>8.0129999999999999</v>
      </c>
      <c r="KM24" s="12">
        <v>43465</v>
      </c>
      <c r="KN24">
        <v>15.624000000000001</v>
      </c>
      <c r="KO24" s="12">
        <v>40847</v>
      </c>
      <c r="KP24">
        <v>117.899</v>
      </c>
      <c r="KQ24" s="12">
        <v>40847</v>
      </c>
      <c r="KR24">
        <v>149.24100000000001</v>
      </c>
      <c r="KS24" s="12">
        <v>40847</v>
      </c>
      <c r="KT24">
        <v>10.926</v>
      </c>
      <c r="KU24" s="12">
        <v>40847</v>
      </c>
      <c r="KV24">
        <v>7.2430000000000003</v>
      </c>
      <c r="KW24" s="12">
        <v>40847</v>
      </c>
      <c r="KX24">
        <v>46.95</v>
      </c>
      <c r="KY24" s="12">
        <v>40847</v>
      </c>
      <c r="KZ24">
        <v>21</v>
      </c>
      <c r="LA24" s="12">
        <v>40847</v>
      </c>
      <c r="LB24">
        <v>18.52</v>
      </c>
      <c r="LC24" s="12">
        <v>40847</v>
      </c>
      <c r="LD24">
        <v>8.0039999999999996</v>
      </c>
      <c r="LE24" s="12">
        <v>40847</v>
      </c>
      <c r="LF24">
        <v>7.1779999999999999</v>
      </c>
      <c r="LG24" s="12">
        <v>40847</v>
      </c>
      <c r="LH24">
        <v>9.5950000000000006</v>
      </c>
      <c r="LI24" s="12">
        <v>40847</v>
      </c>
      <c r="LJ24">
        <v>12.384</v>
      </c>
      <c r="LM24" s="12">
        <v>40847</v>
      </c>
      <c r="LN24">
        <v>23.733000000000001</v>
      </c>
      <c r="LO24" s="12">
        <v>40847</v>
      </c>
      <c r="LP24">
        <v>11.121</v>
      </c>
      <c r="LQ24" s="12">
        <v>40847</v>
      </c>
      <c r="LR24">
        <v>31.082999999999998</v>
      </c>
      <c r="LS24" s="12">
        <v>40847</v>
      </c>
      <c r="LT24">
        <v>30.507999999999999</v>
      </c>
      <c r="LW24" s="12">
        <v>40847</v>
      </c>
      <c r="LX24">
        <v>1920.98</v>
      </c>
      <c r="LY24" s="12">
        <v>40847</v>
      </c>
      <c r="LZ24">
        <v>27.716999999999999</v>
      </c>
      <c r="MA24" s="12">
        <v>40847</v>
      </c>
      <c r="MB24">
        <v>13.637</v>
      </c>
      <c r="MC24" s="12">
        <v>42307</v>
      </c>
      <c r="MD24">
        <v>4.2249999999999996</v>
      </c>
      <c r="ME24" s="12">
        <v>40847</v>
      </c>
      <c r="MF24">
        <v>4.1289999999999996</v>
      </c>
      <c r="MG24" s="12">
        <v>40847</v>
      </c>
      <c r="MH24">
        <v>4.6769999999999996</v>
      </c>
      <c r="MI24" s="12">
        <v>42853</v>
      </c>
      <c r="MJ24">
        <v>14.12</v>
      </c>
      <c r="MK24" s="12">
        <v>40847</v>
      </c>
      <c r="ML24">
        <v>5.0250000000000004</v>
      </c>
    </row>
    <row r="25" spans="1:350" x14ac:dyDescent="0.3">
      <c r="A25" s="12">
        <v>40877</v>
      </c>
      <c r="B25" s="1">
        <v>9.2949999999999999</v>
      </c>
      <c r="C25" s="12">
        <v>41243</v>
      </c>
      <c r="D25" s="1">
        <v>10.679</v>
      </c>
      <c r="E25" s="12">
        <v>40877</v>
      </c>
      <c r="F25" s="13">
        <v>8.4329999999999998</v>
      </c>
      <c r="G25" s="17">
        <v>40877</v>
      </c>
      <c r="H25" s="13">
        <v>5.04</v>
      </c>
      <c r="I25" s="17">
        <v>40907</v>
      </c>
      <c r="J25">
        <v>12.48</v>
      </c>
      <c r="K25" s="12">
        <v>42094</v>
      </c>
      <c r="L25">
        <v>14.252000000000001</v>
      </c>
      <c r="M25" s="12">
        <v>40877</v>
      </c>
      <c r="N25" s="12">
        <v>46.954999999999998</v>
      </c>
      <c r="O25" s="12">
        <v>40877</v>
      </c>
      <c r="P25">
        <v>16.678999999999998</v>
      </c>
      <c r="Q25" s="12">
        <v>42277</v>
      </c>
      <c r="R25">
        <v>9.3610000000000007</v>
      </c>
      <c r="S25" s="12">
        <v>40877</v>
      </c>
      <c r="T25">
        <v>10.443</v>
      </c>
      <c r="U25" s="12">
        <v>41305</v>
      </c>
      <c r="V25">
        <v>30.077999999999999</v>
      </c>
      <c r="W25" s="12">
        <v>43553</v>
      </c>
      <c r="X25">
        <v>38.270000000000003</v>
      </c>
      <c r="Y25" s="12">
        <v>40877</v>
      </c>
      <c r="Z25">
        <v>7.1829999999999998</v>
      </c>
      <c r="AA25" s="12">
        <v>40877</v>
      </c>
      <c r="AB25">
        <v>14.228999999999999</v>
      </c>
      <c r="AC25" s="12">
        <v>40877</v>
      </c>
      <c r="AD25">
        <v>7.5910000000000002</v>
      </c>
      <c r="AE25" s="12">
        <v>40877</v>
      </c>
      <c r="AF25">
        <v>8.8659999999999997</v>
      </c>
      <c r="AG25" s="12">
        <v>40877</v>
      </c>
      <c r="AH25">
        <v>42.023000000000003</v>
      </c>
      <c r="AI25" s="12">
        <v>42094</v>
      </c>
      <c r="AJ25">
        <v>21.936</v>
      </c>
      <c r="AK25" s="12">
        <v>40877</v>
      </c>
      <c r="AL25">
        <v>4.4619999999999997</v>
      </c>
      <c r="AO25" s="12">
        <v>40877</v>
      </c>
      <c r="AP25">
        <v>5.3239999999999998</v>
      </c>
      <c r="AQ25" s="12">
        <v>43496</v>
      </c>
      <c r="AR25">
        <v>29.023</v>
      </c>
      <c r="AS25" s="12">
        <v>40877</v>
      </c>
      <c r="AT25">
        <v>6.2119999999999997</v>
      </c>
      <c r="AU25" s="12">
        <v>40877</v>
      </c>
      <c r="AV25">
        <v>20.82</v>
      </c>
      <c r="AW25" s="12">
        <v>43798</v>
      </c>
      <c r="AX25">
        <v>27.963999999999999</v>
      </c>
      <c r="AY25" s="12">
        <v>40877</v>
      </c>
      <c r="AZ25">
        <v>32.292999999999999</v>
      </c>
      <c r="BA25" s="12">
        <v>40877</v>
      </c>
      <c r="BB25">
        <v>9.9949999999999992</v>
      </c>
      <c r="BC25" s="12">
        <v>40877</v>
      </c>
      <c r="BD25">
        <v>10.442</v>
      </c>
      <c r="BE25" s="12">
        <v>40968</v>
      </c>
      <c r="BF25">
        <v>11.250999999999999</v>
      </c>
      <c r="BG25" s="12">
        <v>40877</v>
      </c>
      <c r="BH25">
        <v>10.67</v>
      </c>
      <c r="BI25" s="12">
        <v>40877</v>
      </c>
      <c r="BJ25">
        <v>8.8070000000000004</v>
      </c>
      <c r="BK25" s="12">
        <v>40877</v>
      </c>
      <c r="BL25">
        <v>7.9260000000000002</v>
      </c>
      <c r="BM25" s="12">
        <v>40877</v>
      </c>
      <c r="BN25">
        <v>16.939</v>
      </c>
      <c r="BO25" s="12">
        <v>40877</v>
      </c>
      <c r="BP25">
        <v>6.8319999999999999</v>
      </c>
      <c r="BQ25" s="12">
        <v>40877</v>
      </c>
      <c r="BR25">
        <v>5.7140000000000004</v>
      </c>
      <c r="BS25" s="12">
        <v>40877</v>
      </c>
      <c r="BT25">
        <v>7.157</v>
      </c>
      <c r="BU25" s="12">
        <v>40877</v>
      </c>
      <c r="BV25">
        <v>3.698</v>
      </c>
      <c r="BW25" s="12">
        <v>40877</v>
      </c>
      <c r="BX25">
        <v>1.9790000000000001</v>
      </c>
      <c r="BY25" s="12">
        <v>40877</v>
      </c>
      <c r="BZ25">
        <v>17.782</v>
      </c>
      <c r="CA25" s="12">
        <v>40877</v>
      </c>
      <c r="CB25">
        <v>23.92</v>
      </c>
      <c r="CC25" s="12">
        <v>43644</v>
      </c>
      <c r="CD25">
        <v>21.774999999999999</v>
      </c>
      <c r="CE25" s="12">
        <v>40877</v>
      </c>
      <c r="CF25">
        <v>19.38</v>
      </c>
      <c r="CG25" s="12">
        <v>40877</v>
      </c>
      <c r="CH25">
        <v>19.085999999999999</v>
      </c>
      <c r="CI25" s="12">
        <v>40877</v>
      </c>
      <c r="CJ25">
        <v>23.189</v>
      </c>
      <c r="CK25" s="12">
        <v>40877</v>
      </c>
      <c r="CL25">
        <v>10.478999999999999</v>
      </c>
      <c r="CM25" s="12">
        <v>40877</v>
      </c>
      <c r="CN25">
        <v>21.512</v>
      </c>
      <c r="CO25" s="12">
        <v>42338</v>
      </c>
      <c r="CP25">
        <v>12.673999999999999</v>
      </c>
      <c r="CQ25" s="12">
        <v>40877</v>
      </c>
      <c r="CR25">
        <v>11.193</v>
      </c>
      <c r="CS25" s="12">
        <v>40877</v>
      </c>
      <c r="CT25">
        <v>12.600999999999999</v>
      </c>
      <c r="CU25" s="12">
        <v>40877</v>
      </c>
      <c r="CV25">
        <v>5.8849999999999998</v>
      </c>
      <c r="CW25" s="12">
        <v>40877</v>
      </c>
      <c r="CX25">
        <v>5.8040000000000003</v>
      </c>
      <c r="CY25" s="12">
        <v>40968</v>
      </c>
      <c r="CZ25">
        <v>9.4789999999999992</v>
      </c>
      <c r="DA25" s="12">
        <v>40877</v>
      </c>
      <c r="DB25">
        <v>13.786</v>
      </c>
      <c r="DC25" s="12">
        <v>40877</v>
      </c>
      <c r="DD25">
        <v>12.931000000000001</v>
      </c>
      <c r="DE25" s="12">
        <v>40877</v>
      </c>
      <c r="DF25">
        <v>13.64</v>
      </c>
      <c r="DG25" s="12">
        <v>41152</v>
      </c>
      <c r="DH25">
        <v>27.773</v>
      </c>
      <c r="DI25" s="12">
        <v>40877</v>
      </c>
      <c r="DJ25">
        <v>25.986000000000001</v>
      </c>
      <c r="DK25" s="12">
        <v>40877</v>
      </c>
      <c r="DL25">
        <v>10.42</v>
      </c>
      <c r="DM25" s="12">
        <v>41305</v>
      </c>
      <c r="DN25">
        <v>8.4049999999999994</v>
      </c>
      <c r="DO25" s="12">
        <v>40877</v>
      </c>
      <c r="DP25">
        <v>8.0050000000000008</v>
      </c>
      <c r="DQ25" s="12">
        <v>40877</v>
      </c>
      <c r="DR25">
        <v>657.46400000000006</v>
      </c>
      <c r="DS25" s="12">
        <v>40877</v>
      </c>
      <c r="DT25">
        <v>8.3509999999999991</v>
      </c>
      <c r="DU25" s="12">
        <v>40877</v>
      </c>
      <c r="DV25">
        <v>1.9809999999999999</v>
      </c>
      <c r="DW25" s="12">
        <v>40877</v>
      </c>
      <c r="DX25">
        <v>5.2060000000000004</v>
      </c>
      <c r="DY25" s="12">
        <v>40877</v>
      </c>
      <c r="DZ25">
        <v>7.5259999999999998</v>
      </c>
      <c r="EA25" s="12">
        <v>40877</v>
      </c>
      <c r="EB25">
        <v>24.74</v>
      </c>
      <c r="EC25" s="12">
        <v>40877</v>
      </c>
      <c r="ED25">
        <v>11.339</v>
      </c>
      <c r="EE25" s="12">
        <v>40877</v>
      </c>
      <c r="EF25">
        <v>7.4580000000000002</v>
      </c>
      <c r="EG25" s="12">
        <v>40877</v>
      </c>
      <c r="EH25">
        <v>16.446999999999999</v>
      </c>
      <c r="EI25" s="12">
        <v>40877</v>
      </c>
      <c r="EJ25">
        <v>37.770000000000003</v>
      </c>
      <c r="EK25" s="12">
        <v>40877</v>
      </c>
      <c r="EL25">
        <v>9.8189999999999991</v>
      </c>
      <c r="EM25" s="12">
        <v>40877</v>
      </c>
      <c r="EN25">
        <v>11.792999999999999</v>
      </c>
      <c r="EQ25" s="12">
        <v>40877</v>
      </c>
      <c r="ER25">
        <v>14.99</v>
      </c>
      <c r="ES25" s="12">
        <v>40877</v>
      </c>
      <c r="ET25">
        <v>13.5</v>
      </c>
      <c r="EU25" s="12">
        <v>40877</v>
      </c>
      <c r="EV25">
        <v>1.718</v>
      </c>
      <c r="EY25" s="12">
        <v>40877</v>
      </c>
      <c r="EZ25">
        <v>26.481000000000002</v>
      </c>
      <c r="FA25" s="12">
        <v>40877</v>
      </c>
      <c r="FB25">
        <v>6.6820000000000004</v>
      </c>
      <c r="FC25" s="12">
        <v>40877</v>
      </c>
      <c r="FD25">
        <v>14.321</v>
      </c>
      <c r="FE25" s="12">
        <v>43644</v>
      </c>
      <c r="FF25">
        <v>32.640999999999998</v>
      </c>
      <c r="FG25" s="12">
        <v>40877</v>
      </c>
      <c r="FH25">
        <v>3.4420000000000002</v>
      </c>
      <c r="FI25" s="12">
        <v>40877</v>
      </c>
      <c r="FJ25">
        <v>7.7629999999999999</v>
      </c>
      <c r="FK25" s="12">
        <v>40877</v>
      </c>
      <c r="FL25">
        <v>9.4659999999999993</v>
      </c>
      <c r="FM25" s="12">
        <v>40877</v>
      </c>
      <c r="FN25">
        <v>5.3390000000000004</v>
      </c>
      <c r="FO25" s="12">
        <v>40877</v>
      </c>
      <c r="FP25">
        <v>10.19</v>
      </c>
      <c r="FQ25" s="12">
        <v>42369</v>
      </c>
      <c r="FR25">
        <v>19.774999999999999</v>
      </c>
      <c r="FS25" s="12">
        <v>40877</v>
      </c>
      <c r="FT25">
        <v>1.0029999999999999</v>
      </c>
      <c r="FU25" s="12">
        <v>40877</v>
      </c>
      <c r="FV25">
        <v>6.4059999999999997</v>
      </c>
      <c r="FW25" s="12">
        <v>40877</v>
      </c>
      <c r="FX25">
        <v>7.4569999999999999</v>
      </c>
      <c r="FY25" s="12">
        <v>41729</v>
      </c>
      <c r="FZ25">
        <v>0.84099999999999997</v>
      </c>
      <c r="GA25" s="12">
        <v>40877</v>
      </c>
      <c r="GB25">
        <v>8.0310000000000006</v>
      </c>
      <c r="GC25" s="12">
        <v>40877</v>
      </c>
      <c r="GD25">
        <v>19.398</v>
      </c>
      <c r="GE25" s="12">
        <v>42034</v>
      </c>
      <c r="GF25">
        <v>14.954000000000001</v>
      </c>
      <c r="GI25" s="12">
        <v>40877</v>
      </c>
      <c r="GJ25">
        <v>7.5679999999999996</v>
      </c>
      <c r="GK25" s="12">
        <v>40877</v>
      </c>
      <c r="GL25">
        <v>26.454999999999998</v>
      </c>
      <c r="GM25" s="12">
        <v>40877</v>
      </c>
      <c r="GN25">
        <v>13.303000000000001</v>
      </c>
      <c r="GO25" s="12">
        <v>41362</v>
      </c>
      <c r="GP25">
        <v>1.0589999999999999</v>
      </c>
      <c r="GQ25" s="12">
        <v>40998</v>
      </c>
      <c r="GR25">
        <v>22.587</v>
      </c>
      <c r="GS25" s="12">
        <v>40877</v>
      </c>
      <c r="GT25">
        <v>961.87300000000005</v>
      </c>
      <c r="GU25" s="12">
        <v>43496</v>
      </c>
      <c r="GV25">
        <v>9.6989999999999998</v>
      </c>
      <c r="GW25" s="12">
        <v>40939</v>
      </c>
      <c r="GX25">
        <v>18.524000000000001</v>
      </c>
      <c r="GY25" s="12">
        <v>40877</v>
      </c>
      <c r="GZ25">
        <v>8.2200000000000006</v>
      </c>
      <c r="HA25" s="12">
        <v>40877</v>
      </c>
      <c r="HB25">
        <v>7.2119999999999997</v>
      </c>
      <c r="HC25" s="12">
        <v>40877</v>
      </c>
      <c r="HD25">
        <v>10.355</v>
      </c>
      <c r="HE25" s="12">
        <v>40877</v>
      </c>
      <c r="HF25">
        <v>17.577999999999999</v>
      </c>
      <c r="HG25" s="12">
        <v>40877</v>
      </c>
      <c r="HH25">
        <v>14.247</v>
      </c>
      <c r="HI25" s="12">
        <v>40877</v>
      </c>
      <c r="HJ25">
        <v>6.3019999999999996</v>
      </c>
      <c r="HK25" s="12">
        <v>40877</v>
      </c>
      <c r="HL25">
        <v>1396</v>
      </c>
      <c r="HM25" s="12">
        <v>40877</v>
      </c>
      <c r="HN25">
        <v>53.597999999999999</v>
      </c>
      <c r="HO25" s="12">
        <v>40877</v>
      </c>
      <c r="HP25">
        <v>46.697000000000003</v>
      </c>
      <c r="HQ25" s="12">
        <v>40968</v>
      </c>
      <c r="HR25">
        <v>1575</v>
      </c>
      <c r="HS25" s="12">
        <v>40877</v>
      </c>
      <c r="HT25">
        <v>61.405000000000001</v>
      </c>
      <c r="HU25" s="12">
        <v>40877</v>
      </c>
      <c r="HV25">
        <v>2961.4079999999999</v>
      </c>
      <c r="HW25" s="12">
        <v>40877</v>
      </c>
      <c r="HX25">
        <v>21.864999999999998</v>
      </c>
      <c r="HY25" s="12">
        <v>40877</v>
      </c>
      <c r="HZ25">
        <v>18.064</v>
      </c>
      <c r="IA25" s="12">
        <v>40877</v>
      </c>
      <c r="IB25">
        <v>49.814</v>
      </c>
      <c r="IC25" s="12">
        <v>40877</v>
      </c>
      <c r="ID25">
        <v>3.1179999999999999</v>
      </c>
      <c r="IE25" s="12">
        <v>40877</v>
      </c>
      <c r="IF25">
        <v>4.93</v>
      </c>
      <c r="IG25" s="12">
        <v>41180</v>
      </c>
      <c r="IH25">
        <v>22.25</v>
      </c>
      <c r="II25" s="12">
        <v>40877</v>
      </c>
      <c r="IJ25">
        <v>24.622</v>
      </c>
      <c r="IM25" s="12">
        <v>40877</v>
      </c>
      <c r="IN25">
        <v>11.678000000000001</v>
      </c>
      <c r="IO25" s="12">
        <v>41425</v>
      </c>
      <c r="IP25">
        <v>11.821</v>
      </c>
      <c r="IQ25" s="12">
        <v>40877</v>
      </c>
      <c r="IR25">
        <v>11.619</v>
      </c>
      <c r="IS25" s="12">
        <v>42794</v>
      </c>
      <c r="IT25">
        <v>8.58</v>
      </c>
      <c r="IU25" s="12">
        <v>40877</v>
      </c>
      <c r="IV25">
        <v>6.5781000000000001</v>
      </c>
      <c r="IW25" s="12">
        <v>40877</v>
      </c>
      <c r="IX25">
        <v>29.475000000000001</v>
      </c>
      <c r="IY25" s="12">
        <v>40877</v>
      </c>
      <c r="IZ25">
        <v>6.7359999999999998</v>
      </c>
      <c r="JA25" s="12">
        <v>42643</v>
      </c>
      <c r="JB25">
        <v>4.3109999999999999</v>
      </c>
      <c r="JC25" s="12">
        <v>40877</v>
      </c>
      <c r="JD25">
        <v>20.54</v>
      </c>
      <c r="JE25" s="12">
        <v>40877</v>
      </c>
      <c r="JF25">
        <v>234.67400000000001</v>
      </c>
      <c r="JG25" s="12">
        <v>42794</v>
      </c>
      <c r="JH25">
        <v>8.58</v>
      </c>
      <c r="JI25" s="12">
        <v>40877</v>
      </c>
      <c r="JJ25">
        <v>7.8170000000000002</v>
      </c>
      <c r="JK25" s="12">
        <v>43769</v>
      </c>
      <c r="JL25">
        <v>29.928999999999998</v>
      </c>
      <c r="JM25" s="12">
        <v>40877</v>
      </c>
      <c r="JN25">
        <v>0.83399999999999996</v>
      </c>
      <c r="JO25" s="12">
        <v>40877</v>
      </c>
      <c r="JP25">
        <v>12.901</v>
      </c>
      <c r="JQ25" s="12">
        <v>42277</v>
      </c>
      <c r="JR25">
        <v>7.21</v>
      </c>
      <c r="JS25" s="12">
        <v>40877</v>
      </c>
      <c r="JT25">
        <v>5.7460000000000004</v>
      </c>
      <c r="JU25" s="12">
        <v>42094</v>
      </c>
      <c r="JV25">
        <v>36.697000000000003</v>
      </c>
      <c r="JW25" s="12">
        <v>40877</v>
      </c>
      <c r="JX25">
        <v>5.3390000000000004</v>
      </c>
      <c r="JY25" s="12">
        <v>40877</v>
      </c>
      <c r="JZ25">
        <v>7.234</v>
      </c>
      <c r="KA25" s="12">
        <v>43769</v>
      </c>
      <c r="KB25">
        <v>32.64</v>
      </c>
      <c r="KC25" s="12">
        <v>40877</v>
      </c>
      <c r="KD25">
        <v>6.2869999999999999</v>
      </c>
      <c r="KE25" s="12">
        <v>40877</v>
      </c>
      <c r="KF25">
        <v>4.8899999999999997</v>
      </c>
      <c r="KG25" s="12">
        <v>40877</v>
      </c>
      <c r="KH25">
        <v>0.151</v>
      </c>
      <c r="KI25" s="12">
        <v>40877</v>
      </c>
      <c r="KJ25">
        <v>7.9690000000000003</v>
      </c>
      <c r="KM25" s="12">
        <v>43496</v>
      </c>
      <c r="KN25">
        <v>18.010000000000002</v>
      </c>
      <c r="KO25" s="12">
        <v>40877</v>
      </c>
      <c r="KP25">
        <v>108.39100000000001</v>
      </c>
      <c r="KQ25" s="12">
        <v>40877</v>
      </c>
      <c r="KR25">
        <v>127.577</v>
      </c>
      <c r="KS25" s="12">
        <v>40877</v>
      </c>
      <c r="KT25">
        <v>11.317</v>
      </c>
      <c r="KU25" s="12">
        <v>40877</v>
      </c>
      <c r="KV25">
        <v>6.8920000000000003</v>
      </c>
      <c r="KW25" s="12">
        <v>40877</v>
      </c>
      <c r="KX25">
        <v>43</v>
      </c>
      <c r="KY25" s="12">
        <v>40877</v>
      </c>
      <c r="KZ25">
        <v>19.760000000000002</v>
      </c>
      <c r="LA25" s="12">
        <v>40877</v>
      </c>
      <c r="LB25">
        <v>16.809999999999999</v>
      </c>
      <c r="LC25" s="12">
        <v>40877</v>
      </c>
      <c r="LD25">
        <v>9.1549999999999994</v>
      </c>
      <c r="LE25" s="12">
        <v>40877</v>
      </c>
      <c r="LF25">
        <v>7.2919999999999998</v>
      </c>
      <c r="LG25" s="12">
        <v>40877</v>
      </c>
      <c r="LH25">
        <v>9.2690000000000001</v>
      </c>
      <c r="LI25" s="12">
        <v>40877</v>
      </c>
      <c r="LJ25">
        <v>12.877000000000001</v>
      </c>
      <c r="LM25" s="12">
        <v>40877</v>
      </c>
      <c r="LN25">
        <v>17.138000000000002</v>
      </c>
      <c r="LO25" s="12">
        <v>40877</v>
      </c>
      <c r="LP25">
        <v>9.7639999999999993</v>
      </c>
      <c r="LQ25" s="12">
        <v>40877</v>
      </c>
      <c r="LR25">
        <v>29.617999999999999</v>
      </c>
      <c r="LS25" s="12">
        <v>40877</v>
      </c>
      <c r="LT25">
        <v>29.184999999999999</v>
      </c>
      <c r="LW25" s="12">
        <v>40877</v>
      </c>
      <c r="LX25">
        <v>1685.923</v>
      </c>
      <c r="LY25" s="12">
        <v>40877</v>
      </c>
      <c r="LZ25">
        <v>27.079000000000001</v>
      </c>
      <c r="MA25" s="12">
        <v>40877</v>
      </c>
      <c r="MB25">
        <v>13.795</v>
      </c>
      <c r="MC25" s="12">
        <v>42338</v>
      </c>
      <c r="MD25">
        <v>3.4790000000000001</v>
      </c>
      <c r="ME25" s="12">
        <v>40877</v>
      </c>
      <c r="MF25">
        <v>3.532</v>
      </c>
      <c r="MG25" s="12">
        <v>40877</v>
      </c>
      <c r="MH25">
        <v>4.3940000000000001</v>
      </c>
      <c r="MI25" s="12">
        <v>42886</v>
      </c>
      <c r="MJ25">
        <v>17.347999999999999</v>
      </c>
      <c r="MK25" s="12">
        <v>40877</v>
      </c>
      <c r="ML25">
        <v>4.5629999999999997</v>
      </c>
    </row>
    <row r="26" spans="1:350" x14ac:dyDescent="0.3">
      <c r="A26" s="12">
        <v>40907</v>
      </c>
      <c r="B26" s="1">
        <v>10.356</v>
      </c>
      <c r="C26" s="12">
        <v>41274</v>
      </c>
      <c r="D26" s="1">
        <v>11.44</v>
      </c>
      <c r="E26" s="12">
        <v>40907</v>
      </c>
      <c r="F26" s="13">
        <v>9.1300000000000008</v>
      </c>
      <c r="G26" s="17">
        <v>40907</v>
      </c>
      <c r="H26" s="13">
        <v>5.6970000000000001</v>
      </c>
      <c r="I26" s="17">
        <v>40939</v>
      </c>
      <c r="J26">
        <v>12.786</v>
      </c>
      <c r="K26" s="12">
        <v>42124</v>
      </c>
      <c r="L26">
        <v>14.503</v>
      </c>
      <c r="M26" s="12">
        <v>40907</v>
      </c>
      <c r="N26" s="12">
        <v>51.688000000000002</v>
      </c>
      <c r="O26" s="12">
        <v>40907</v>
      </c>
      <c r="P26">
        <v>16.312000000000001</v>
      </c>
      <c r="Q26" s="12">
        <v>42307</v>
      </c>
      <c r="R26">
        <v>12.849</v>
      </c>
      <c r="S26" s="12">
        <v>40907</v>
      </c>
      <c r="T26">
        <v>10.888999999999999</v>
      </c>
      <c r="U26" s="12">
        <v>41333</v>
      </c>
      <c r="V26">
        <v>32.084000000000003</v>
      </c>
      <c r="W26" s="12">
        <v>43585</v>
      </c>
      <c r="X26">
        <v>34</v>
      </c>
      <c r="Y26" s="12">
        <v>40907</v>
      </c>
      <c r="Z26">
        <v>7.125</v>
      </c>
      <c r="AA26" s="12">
        <v>40907</v>
      </c>
      <c r="AB26">
        <v>14.103999999999999</v>
      </c>
      <c r="AC26" s="12">
        <v>40907</v>
      </c>
      <c r="AD26">
        <v>7.91</v>
      </c>
      <c r="AE26" s="12">
        <v>40907</v>
      </c>
      <c r="AF26">
        <v>9.3970000000000002</v>
      </c>
      <c r="AG26" s="12">
        <v>40907</v>
      </c>
      <c r="AH26">
        <v>38.503999999999998</v>
      </c>
      <c r="AI26" s="12">
        <v>42124</v>
      </c>
      <c r="AJ26">
        <v>23.574000000000002</v>
      </c>
      <c r="AK26" s="12">
        <v>40907</v>
      </c>
      <c r="AL26">
        <v>4.9269999999999996</v>
      </c>
      <c r="AO26" s="12">
        <v>40907</v>
      </c>
      <c r="AP26">
        <v>4.4370000000000003</v>
      </c>
      <c r="AQ26" s="12">
        <v>43524</v>
      </c>
      <c r="AR26">
        <v>33.496000000000002</v>
      </c>
      <c r="AS26" s="12">
        <v>40907</v>
      </c>
      <c r="AT26">
        <v>5.4390000000000001</v>
      </c>
      <c r="AU26" s="12">
        <v>40907</v>
      </c>
      <c r="AV26">
        <v>19.902999999999999</v>
      </c>
      <c r="AW26" s="12">
        <v>43830</v>
      </c>
      <c r="AX26">
        <v>30.07</v>
      </c>
      <c r="AY26" s="12">
        <v>40907</v>
      </c>
      <c r="AZ26">
        <v>33.680999999999997</v>
      </c>
      <c r="BA26" s="12">
        <v>40907</v>
      </c>
      <c r="BB26">
        <v>9.1449999999999996</v>
      </c>
      <c r="BC26" s="12">
        <v>40907</v>
      </c>
      <c r="BD26">
        <v>10.334</v>
      </c>
      <c r="BE26" s="12">
        <v>40998</v>
      </c>
      <c r="BF26">
        <v>11.96</v>
      </c>
      <c r="BG26" s="12">
        <v>40907</v>
      </c>
      <c r="BH26">
        <v>11.148</v>
      </c>
      <c r="BI26" s="12">
        <v>40907</v>
      </c>
      <c r="BJ26">
        <v>7.8090000000000002</v>
      </c>
      <c r="BK26" s="12">
        <v>40907</v>
      </c>
      <c r="BL26">
        <v>8.3859999999999992</v>
      </c>
      <c r="BM26" s="12">
        <v>40907</v>
      </c>
      <c r="BN26">
        <v>17.766999999999999</v>
      </c>
      <c r="BO26" s="12">
        <v>40907</v>
      </c>
      <c r="BP26">
        <v>6.8390000000000004</v>
      </c>
      <c r="BQ26" s="12">
        <v>40907</v>
      </c>
      <c r="BR26">
        <v>6.5659999999999998</v>
      </c>
      <c r="BS26" s="12">
        <v>40907</v>
      </c>
      <c r="BT26">
        <v>7.9969999999999999</v>
      </c>
      <c r="BU26" s="12">
        <v>40907</v>
      </c>
      <c r="BV26">
        <v>4.0119999999999996</v>
      </c>
      <c r="BW26" s="12">
        <v>40907</v>
      </c>
      <c r="BX26">
        <v>1.9359999999999999</v>
      </c>
      <c r="BY26" s="12">
        <v>40907</v>
      </c>
      <c r="BZ26">
        <v>20.204999999999998</v>
      </c>
      <c r="CA26" s="12">
        <v>40907</v>
      </c>
      <c r="CB26">
        <v>25.5</v>
      </c>
      <c r="CC26" s="12">
        <v>43677</v>
      </c>
      <c r="CD26">
        <v>23.17</v>
      </c>
      <c r="CE26" s="12">
        <v>40907</v>
      </c>
      <c r="CF26">
        <v>19.369</v>
      </c>
      <c r="CG26" s="12">
        <v>40907</v>
      </c>
      <c r="CH26">
        <v>19.157</v>
      </c>
      <c r="CI26" s="12">
        <v>40907</v>
      </c>
      <c r="CJ26">
        <v>24.001000000000001</v>
      </c>
      <c r="CK26" s="12">
        <v>40907</v>
      </c>
      <c r="CL26">
        <v>10.641999999999999</v>
      </c>
      <c r="CM26" s="12">
        <v>40907</v>
      </c>
      <c r="CN26">
        <v>22.143999999999998</v>
      </c>
      <c r="CO26" s="12">
        <v>42369</v>
      </c>
      <c r="CP26">
        <v>12.51</v>
      </c>
      <c r="CQ26" s="12">
        <v>40907</v>
      </c>
      <c r="CR26">
        <v>11.052</v>
      </c>
      <c r="CS26" s="12">
        <v>40907</v>
      </c>
      <c r="CT26">
        <v>14.91</v>
      </c>
      <c r="CU26" s="12">
        <v>40907</v>
      </c>
      <c r="CV26">
        <v>6.2119999999999997</v>
      </c>
      <c r="CW26" s="12">
        <v>40907</v>
      </c>
      <c r="CX26">
        <v>5.7080000000000002</v>
      </c>
      <c r="CY26" s="12">
        <v>40998</v>
      </c>
      <c r="CZ26">
        <v>10.981</v>
      </c>
      <c r="DA26" s="12">
        <v>40907</v>
      </c>
      <c r="DB26">
        <v>14.635999999999999</v>
      </c>
      <c r="DC26" s="12">
        <v>40907</v>
      </c>
      <c r="DD26">
        <v>13.922000000000001</v>
      </c>
      <c r="DE26" s="12">
        <v>40907</v>
      </c>
      <c r="DF26">
        <v>15.557</v>
      </c>
      <c r="DG26" s="12">
        <v>41213</v>
      </c>
      <c r="DH26">
        <v>23.805</v>
      </c>
      <c r="DI26" s="12">
        <v>40907</v>
      </c>
      <c r="DJ26">
        <v>29.356999999999999</v>
      </c>
      <c r="DK26" s="12">
        <v>40907</v>
      </c>
      <c r="DL26">
        <v>10.835000000000001</v>
      </c>
      <c r="DM26" s="12">
        <v>41333</v>
      </c>
      <c r="DN26">
        <v>7.6559999999999997</v>
      </c>
      <c r="DO26" s="12">
        <v>40907</v>
      </c>
      <c r="DP26">
        <v>8.7919999999999998</v>
      </c>
      <c r="DQ26" s="12">
        <v>40907</v>
      </c>
      <c r="DR26">
        <v>707.68700000000001</v>
      </c>
      <c r="DS26" s="12">
        <v>40907</v>
      </c>
      <c r="DT26">
        <v>8.8119999999999994</v>
      </c>
      <c r="DU26" s="12">
        <v>40907</v>
      </c>
      <c r="DV26">
        <v>2.1829999999999998</v>
      </c>
      <c r="DW26" s="12">
        <v>40907</v>
      </c>
      <c r="DX26">
        <v>4.95</v>
      </c>
      <c r="DY26" s="12">
        <v>40907</v>
      </c>
      <c r="DZ26">
        <v>7.6669999999999998</v>
      </c>
      <c r="EA26" s="12">
        <v>40907</v>
      </c>
      <c r="EB26">
        <v>25.06</v>
      </c>
      <c r="EC26" s="12">
        <v>40907</v>
      </c>
      <c r="ED26">
        <v>11.462999999999999</v>
      </c>
      <c r="EE26" s="12">
        <v>40907</v>
      </c>
      <c r="EF26">
        <v>7.77</v>
      </c>
      <c r="EG26" s="12">
        <v>40907</v>
      </c>
      <c r="EH26">
        <v>17.995000000000001</v>
      </c>
      <c r="EI26" s="12">
        <v>40907</v>
      </c>
      <c r="EJ26">
        <v>28.978000000000002</v>
      </c>
      <c r="EK26" s="12">
        <v>40907</v>
      </c>
      <c r="EL26">
        <v>10.378</v>
      </c>
      <c r="EM26" s="12">
        <v>40907</v>
      </c>
      <c r="EN26">
        <v>12.667</v>
      </c>
      <c r="EQ26" s="12">
        <v>40907</v>
      </c>
      <c r="ER26">
        <v>15.682</v>
      </c>
      <c r="ES26" s="12">
        <v>40907</v>
      </c>
      <c r="ET26">
        <v>12.44</v>
      </c>
      <c r="EU26" s="12">
        <v>40907</v>
      </c>
      <c r="EV26">
        <v>1.649</v>
      </c>
      <c r="EY26" s="12">
        <v>40907</v>
      </c>
      <c r="EZ26">
        <v>22.504000000000001</v>
      </c>
      <c r="FA26" s="12">
        <v>40907</v>
      </c>
      <c r="FB26">
        <v>6.9690000000000003</v>
      </c>
      <c r="FC26" s="12">
        <v>40907</v>
      </c>
      <c r="FD26">
        <v>15.183999999999999</v>
      </c>
      <c r="FE26" s="12">
        <v>43677</v>
      </c>
      <c r="FF26">
        <v>31.481000000000002</v>
      </c>
      <c r="FG26" s="12">
        <v>40907</v>
      </c>
      <c r="FH26">
        <v>3.7309999999999999</v>
      </c>
      <c r="FI26" s="12">
        <v>40907</v>
      </c>
      <c r="FJ26">
        <v>7.7059999999999995</v>
      </c>
      <c r="FK26" s="12">
        <v>40907</v>
      </c>
      <c r="FL26">
        <v>10.175000000000001</v>
      </c>
      <c r="FM26" s="12">
        <v>40907</v>
      </c>
      <c r="FN26">
        <v>5.4560000000000004</v>
      </c>
      <c r="FO26" s="12">
        <v>40907</v>
      </c>
      <c r="FP26">
        <v>9.7650000000000006</v>
      </c>
      <c r="FQ26" s="12">
        <v>42398</v>
      </c>
      <c r="FR26">
        <v>17.709</v>
      </c>
      <c r="FS26" s="12">
        <v>40907</v>
      </c>
      <c r="FT26">
        <v>1.111</v>
      </c>
      <c r="FU26" s="12">
        <v>40907</v>
      </c>
      <c r="FV26">
        <v>6.27</v>
      </c>
      <c r="FW26" s="12">
        <v>40907</v>
      </c>
      <c r="FX26">
        <v>7.0620000000000003</v>
      </c>
      <c r="FY26" s="12">
        <v>41759</v>
      </c>
      <c r="FZ26">
        <v>0.70699999999999996</v>
      </c>
      <c r="GA26" s="12">
        <v>40907</v>
      </c>
      <c r="GB26">
        <v>8.718</v>
      </c>
      <c r="GC26" s="12">
        <v>40907</v>
      </c>
      <c r="GD26">
        <v>21.091000000000001</v>
      </c>
      <c r="GE26" s="12">
        <v>42062</v>
      </c>
      <c r="GF26">
        <v>13.899000000000001</v>
      </c>
      <c r="GI26" s="12">
        <v>40907</v>
      </c>
      <c r="GJ26">
        <v>6.7809999999999997</v>
      </c>
      <c r="GK26" s="12">
        <v>40907</v>
      </c>
      <c r="GL26">
        <v>25.741</v>
      </c>
      <c r="GM26" s="12">
        <v>40907</v>
      </c>
      <c r="GN26">
        <v>14.461</v>
      </c>
      <c r="GO26" s="12">
        <v>41394</v>
      </c>
      <c r="GP26">
        <v>0.82799999999999996</v>
      </c>
      <c r="GQ26" s="12">
        <v>41029</v>
      </c>
      <c r="GR26">
        <v>24.039000000000001</v>
      </c>
      <c r="GS26" s="12">
        <v>40907</v>
      </c>
      <c r="GT26">
        <v>997.77499999999998</v>
      </c>
      <c r="GU26" s="12">
        <v>43524</v>
      </c>
      <c r="GV26">
        <v>11.340999999999999</v>
      </c>
      <c r="GW26" s="12">
        <v>40968</v>
      </c>
      <c r="GX26">
        <v>21.902000000000001</v>
      </c>
      <c r="GY26" s="12">
        <v>40907</v>
      </c>
      <c r="GZ26">
        <v>8.5399999999999991</v>
      </c>
      <c r="HA26" s="12">
        <v>40907</v>
      </c>
      <c r="HB26">
        <v>6.6239999999999997</v>
      </c>
      <c r="HC26" s="12">
        <v>40907</v>
      </c>
      <c r="HD26">
        <v>10.946999999999999</v>
      </c>
      <c r="HE26" s="12">
        <v>40907</v>
      </c>
      <c r="HF26">
        <v>19.902999999999999</v>
      </c>
      <c r="HG26" s="12">
        <v>40907</v>
      </c>
      <c r="HH26">
        <v>14.231</v>
      </c>
      <c r="HI26" s="12">
        <v>40907</v>
      </c>
      <c r="HJ26">
        <v>6.7039999999999997</v>
      </c>
      <c r="HK26" s="12">
        <v>40907</v>
      </c>
      <c r="HL26">
        <v>1362</v>
      </c>
      <c r="HM26" s="12">
        <v>40907</v>
      </c>
      <c r="HN26">
        <v>52.432000000000002</v>
      </c>
      <c r="HO26" s="12">
        <v>40907</v>
      </c>
      <c r="HP26">
        <v>47.042999999999999</v>
      </c>
      <c r="HQ26" s="12">
        <v>40998</v>
      </c>
      <c r="HR26">
        <v>1630</v>
      </c>
      <c r="HS26" s="12">
        <v>40907</v>
      </c>
      <c r="HT26">
        <v>62.194000000000003</v>
      </c>
      <c r="HU26" s="12">
        <v>40907</v>
      </c>
      <c r="HV26">
        <v>2600.0459999999998</v>
      </c>
      <c r="HW26" s="12">
        <v>40907</v>
      </c>
      <c r="HX26">
        <v>20.85</v>
      </c>
      <c r="HY26" s="12">
        <v>40907</v>
      </c>
      <c r="HZ26">
        <v>17.605</v>
      </c>
      <c r="IA26" s="12">
        <v>40907</v>
      </c>
      <c r="IB26">
        <v>47.712000000000003</v>
      </c>
      <c r="IC26" s="12">
        <v>40907</v>
      </c>
      <c r="ID26">
        <v>2.8159999999999998</v>
      </c>
      <c r="IE26" s="12">
        <v>40907</v>
      </c>
      <c r="IF26">
        <v>5.3559999999999999</v>
      </c>
      <c r="IG26" s="12">
        <v>41213</v>
      </c>
      <c r="IH26">
        <v>30.5</v>
      </c>
      <c r="II26" s="12">
        <v>40907</v>
      </c>
      <c r="IJ26">
        <v>27.658999999999999</v>
      </c>
      <c r="IM26" s="12">
        <v>40907</v>
      </c>
      <c r="IN26">
        <v>13.4</v>
      </c>
      <c r="IO26" s="12">
        <v>41453</v>
      </c>
      <c r="IP26">
        <v>10.515000000000001</v>
      </c>
      <c r="IQ26" s="12">
        <v>40907</v>
      </c>
      <c r="IR26">
        <v>12.004</v>
      </c>
      <c r="IS26" s="12">
        <v>42825</v>
      </c>
      <c r="IT26">
        <v>8.5500000000000007</v>
      </c>
      <c r="IU26" s="12">
        <v>40907</v>
      </c>
      <c r="IV26">
        <v>5.7305000000000001</v>
      </c>
      <c r="IW26" s="12">
        <v>40907</v>
      </c>
      <c r="IX26">
        <v>28.271000000000001</v>
      </c>
      <c r="IY26" s="12">
        <v>40907</v>
      </c>
      <c r="IZ26">
        <v>6.2939999999999996</v>
      </c>
      <c r="JA26" s="12">
        <v>42674</v>
      </c>
      <c r="JB26">
        <v>4.8079999999999998</v>
      </c>
      <c r="JC26" s="12">
        <v>40907</v>
      </c>
      <c r="JD26">
        <v>26.16</v>
      </c>
      <c r="JE26" s="12">
        <v>40907</v>
      </c>
      <c r="JF26">
        <v>188.304</v>
      </c>
      <c r="JG26" s="12">
        <v>42825</v>
      </c>
      <c r="JH26">
        <v>8.41</v>
      </c>
      <c r="JI26" s="12">
        <v>40907</v>
      </c>
      <c r="JJ26">
        <v>8.5240000000000009</v>
      </c>
      <c r="JK26" s="12">
        <v>43798</v>
      </c>
      <c r="JL26">
        <v>30.126000000000001</v>
      </c>
      <c r="JM26" s="12">
        <v>40907</v>
      </c>
      <c r="JN26">
        <v>0.81299999999999994</v>
      </c>
      <c r="JO26" s="12">
        <v>40907</v>
      </c>
      <c r="JP26">
        <v>13.427</v>
      </c>
      <c r="JQ26" s="12">
        <v>42307</v>
      </c>
      <c r="JR26">
        <v>7.899</v>
      </c>
      <c r="JS26" s="12">
        <v>40907</v>
      </c>
      <c r="JT26">
        <v>5.5949999999999998</v>
      </c>
      <c r="JU26" s="12">
        <v>42124</v>
      </c>
      <c r="JV26">
        <v>38.365000000000002</v>
      </c>
      <c r="JW26" s="12">
        <v>40907</v>
      </c>
      <c r="JX26">
        <v>4.8760000000000003</v>
      </c>
      <c r="JY26" s="12">
        <v>40907</v>
      </c>
      <c r="JZ26">
        <v>8.4290000000000003</v>
      </c>
      <c r="KA26" s="12">
        <v>43798</v>
      </c>
      <c r="KB26">
        <v>38.56</v>
      </c>
      <c r="KC26" s="12">
        <v>40907</v>
      </c>
      <c r="KD26">
        <v>6.1420000000000003</v>
      </c>
      <c r="KE26" s="12">
        <v>40907</v>
      </c>
      <c r="KF26">
        <v>5.0960000000000001</v>
      </c>
      <c r="KG26" s="12">
        <v>40907</v>
      </c>
      <c r="KH26">
        <v>0.156</v>
      </c>
      <c r="KI26" s="12">
        <v>40907</v>
      </c>
      <c r="KJ26">
        <v>7.3209999999999997</v>
      </c>
      <c r="KM26" s="12">
        <v>43524</v>
      </c>
      <c r="KN26">
        <v>16.311</v>
      </c>
      <c r="KO26" s="12">
        <v>40907</v>
      </c>
      <c r="KP26">
        <v>129.30799999999999</v>
      </c>
      <c r="KQ26" s="12">
        <v>40907</v>
      </c>
      <c r="KR26">
        <v>77.027000000000001</v>
      </c>
      <c r="KS26" s="12">
        <v>40907</v>
      </c>
      <c r="KT26">
        <v>12.382999999999999</v>
      </c>
      <c r="KU26" s="12">
        <v>40907</v>
      </c>
      <c r="KV26">
        <v>7.5359999999999996</v>
      </c>
      <c r="KW26" s="12">
        <v>40907</v>
      </c>
      <c r="KX26">
        <v>44.78</v>
      </c>
      <c r="KY26" s="12">
        <v>40907</v>
      </c>
      <c r="KZ26">
        <v>21.46</v>
      </c>
      <c r="LA26" s="12">
        <v>40907</v>
      </c>
      <c r="LB26">
        <v>17.559999999999999</v>
      </c>
      <c r="LC26" s="12">
        <v>40907</v>
      </c>
      <c r="LD26">
        <v>9.4039999999999999</v>
      </c>
      <c r="LE26" s="12">
        <v>40907</v>
      </c>
      <c r="LF26">
        <v>8.4610000000000003</v>
      </c>
      <c r="LG26" s="12">
        <v>40907</v>
      </c>
      <c r="LH26">
        <v>9.7780000000000005</v>
      </c>
      <c r="LI26" s="12">
        <v>40907</v>
      </c>
      <c r="LJ26">
        <v>12.954000000000001</v>
      </c>
      <c r="LM26" s="12">
        <v>40907</v>
      </c>
      <c r="LN26">
        <v>16.512</v>
      </c>
      <c r="LO26" s="12">
        <v>40907</v>
      </c>
      <c r="LP26">
        <v>9.5660000000000007</v>
      </c>
      <c r="LQ26" s="12">
        <v>40907</v>
      </c>
      <c r="LR26">
        <v>28.053000000000001</v>
      </c>
      <c r="LS26" s="12">
        <v>40907</v>
      </c>
      <c r="LT26">
        <v>28.28</v>
      </c>
      <c r="LW26" s="12">
        <v>40907</v>
      </c>
      <c r="LX26">
        <v>1621.08</v>
      </c>
      <c r="LY26" s="12">
        <v>40907</v>
      </c>
      <c r="LZ26">
        <v>28.8</v>
      </c>
      <c r="MA26" s="12">
        <v>40907</v>
      </c>
      <c r="MB26">
        <v>14.566000000000001</v>
      </c>
      <c r="MC26" s="12">
        <v>42369</v>
      </c>
      <c r="MD26">
        <v>3.2509999999999999</v>
      </c>
      <c r="ME26" s="12">
        <v>40907</v>
      </c>
      <c r="MF26">
        <v>3.5550000000000002</v>
      </c>
      <c r="MG26" s="12">
        <v>40907</v>
      </c>
      <c r="MH26">
        <v>4.6310000000000002</v>
      </c>
      <c r="MI26" s="12">
        <v>42916</v>
      </c>
      <c r="MJ26">
        <v>13.878</v>
      </c>
      <c r="MK26" s="12">
        <v>40907</v>
      </c>
      <c r="ML26">
        <v>4.5110000000000001</v>
      </c>
    </row>
    <row r="27" spans="1:350" x14ac:dyDescent="0.3">
      <c r="A27" s="12">
        <v>40939</v>
      </c>
      <c r="B27" s="1">
        <v>9.8490000000000002</v>
      </c>
      <c r="C27" s="12">
        <v>41305</v>
      </c>
      <c r="D27" s="1">
        <v>12.823</v>
      </c>
      <c r="E27" s="12">
        <v>40939</v>
      </c>
      <c r="F27" s="13">
        <v>9.8659999999999997</v>
      </c>
      <c r="G27" s="17">
        <v>40939</v>
      </c>
      <c r="H27" s="13">
        <v>6.4560000000000004</v>
      </c>
      <c r="I27" s="17">
        <v>40968</v>
      </c>
      <c r="J27">
        <v>13.916</v>
      </c>
      <c r="K27" s="12">
        <v>42153</v>
      </c>
      <c r="L27">
        <v>13.663</v>
      </c>
      <c r="M27" s="12">
        <v>40939</v>
      </c>
      <c r="N27" s="12">
        <v>49.226999999999997</v>
      </c>
      <c r="O27" s="12">
        <v>40939</v>
      </c>
      <c r="P27">
        <v>17.364000000000001</v>
      </c>
      <c r="Q27" s="12">
        <v>42338</v>
      </c>
      <c r="R27">
        <v>12.124000000000001</v>
      </c>
      <c r="S27" s="12">
        <v>40939</v>
      </c>
      <c r="T27">
        <v>11.244</v>
      </c>
      <c r="U27" s="12">
        <v>41362</v>
      </c>
      <c r="V27">
        <v>32.637</v>
      </c>
      <c r="W27" s="12">
        <v>43616</v>
      </c>
      <c r="X27">
        <v>39.200000000000003</v>
      </c>
      <c r="Y27" s="12">
        <v>40939</v>
      </c>
      <c r="Z27">
        <v>7.99</v>
      </c>
      <c r="AA27" s="12">
        <v>40939</v>
      </c>
      <c r="AB27">
        <v>16.181000000000001</v>
      </c>
      <c r="AC27" s="12">
        <v>40939</v>
      </c>
      <c r="AD27">
        <v>8.1180000000000003</v>
      </c>
      <c r="AE27" s="12">
        <v>40939</v>
      </c>
      <c r="AF27">
        <v>9.6</v>
      </c>
      <c r="AG27" s="12">
        <v>40939</v>
      </c>
      <c r="AH27">
        <v>47.061</v>
      </c>
      <c r="AI27" s="12">
        <v>42153</v>
      </c>
      <c r="AJ27">
        <v>22.303999999999998</v>
      </c>
      <c r="AK27" s="12">
        <v>40939</v>
      </c>
      <c r="AL27">
        <v>4.899</v>
      </c>
      <c r="AO27" s="12">
        <v>40939</v>
      </c>
      <c r="AP27">
        <v>5.5039999999999996</v>
      </c>
      <c r="AQ27" s="12">
        <v>43553</v>
      </c>
      <c r="AR27">
        <v>35.506999999999998</v>
      </c>
      <c r="AS27" s="12">
        <v>40939</v>
      </c>
      <c r="AT27">
        <v>6.24</v>
      </c>
      <c r="AU27" s="12">
        <v>40939</v>
      </c>
      <c r="AV27">
        <v>22.088999999999999</v>
      </c>
      <c r="AY27" s="12">
        <v>40939</v>
      </c>
      <c r="AZ27">
        <v>31.998000000000001</v>
      </c>
      <c r="BA27" s="12">
        <v>40939</v>
      </c>
      <c r="BB27">
        <v>11.173999999999999</v>
      </c>
      <c r="BC27" s="12">
        <v>40939</v>
      </c>
      <c r="BD27">
        <v>10.875999999999999</v>
      </c>
      <c r="BE27" s="12">
        <v>41029</v>
      </c>
      <c r="BF27">
        <v>12.067</v>
      </c>
      <c r="BG27" s="12">
        <v>40939</v>
      </c>
      <c r="BH27">
        <v>11.215</v>
      </c>
      <c r="BI27" s="12">
        <v>40939</v>
      </c>
      <c r="BJ27">
        <v>9.0410000000000004</v>
      </c>
      <c r="BK27" s="12">
        <v>40939</v>
      </c>
      <c r="BL27">
        <v>8.3450000000000006</v>
      </c>
      <c r="BM27" s="12">
        <v>40939</v>
      </c>
      <c r="BN27">
        <v>17.632999999999999</v>
      </c>
      <c r="BO27" s="12">
        <v>40939</v>
      </c>
      <c r="BP27">
        <v>7.3849999999999998</v>
      </c>
      <c r="BQ27" s="12">
        <v>40939</v>
      </c>
      <c r="BR27">
        <v>7.0910000000000002</v>
      </c>
      <c r="BS27" s="12">
        <v>40939</v>
      </c>
      <c r="BT27">
        <v>8.5020000000000007</v>
      </c>
      <c r="BU27" s="12">
        <v>40939</v>
      </c>
      <c r="BV27">
        <v>5.7059999999999995</v>
      </c>
      <c r="BW27" s="12">
        <v>40939</v>
      </c>
      <c r="BX27">
        <v>2.169</v>
      </c>
      <c r="BY27" s="12">
        <v>40939</v>
      </c>
      <c r="BZ27">
        <v>20.033999999999999</v>
      </c>
      <c r="CA27" s="12">
        <v>40939</v>
      </c>
      <c r="CB27">
        <v>26.581</v>
      </c>
      <c r="CC27" s="12">
        <v>43707</v>
      </c>
      <c r="CD27">
        <v>22.3</v>
      </c>
      <c r="CE27" s="12">
        <v>40939</v>
      </c>
      <c r="CF27">
        <v>19.225000000000001</v>
      </c>
      <c r="CG27" s="12">
        <v>40939</v>
      </c>
      <c r="CH27">
        <v>20.058</v>
      </c>
      <c r="CI27" s="12">
        <v>40939</v>
      </c>
      <c r="CJ27">
        <v>27.802</v>
      </c>
      <c r="CK27" s="12">
        <v>40939</v>
      </c>
      <c r="CL27">
        <v>12.965</v>
      </c>
      <c r="CM27" s="12">
        <v>40939</v>
      </c>
      <c r="CN27">
        <v>22.143999999999998</v>
      </c>
      <c r="CO27" s="12">
        <v>42398</v>
      </c>
      <c r="CP27">
        <v>11.583</v>
      </c>
      <c r="CQ27" s="12">
        <v>40939</v>
      </c>
      <c r="CR27">
        <v>12.05</v>
      </c>
      <c r="CS27" s="12">
        <v>40939</v>
      </c>
      <c r="CT27">
        <v>16.161000000000001</v>
      </c>
      <c r="CU27" s="12">
        <v>40939</v>
      </c>
      <c r="CV27">
        <v>6.2119999999999997</v>
      </c>
      <c r="CW27" s="12">
        <v>40939</v>
      </c>
      <c r="CX27">
        <v>6.2649999999999997</v>
      </c>
      <c r="CY27" s="12">
        <v>41029</v>
      </c>
      <c r="CZ27">
        <v>10.946999999999999</v>
      </c>
      <c r="DA27" s="12">
        <v>40939</v>
      </c>
      <c r="DB27">
        <v>14.821</v>
      </c>
      <c r="DC27" s="12">
        <v>40939</v>
      </c>
      <c r="DD27">
        <v>14.007999999999999</v>
      </c>
      <c r="DE27" s="12">
        <v>40939</v>
      </c>
      <c r="DF27">
        <v>14.833</v>
      </c>
      <c r="DG27" s="12">
        <v>41243</v>
      </c>
      <c r="DH27">
        <v>23.805</v>
      </c>
      <c r="DI27" s="12">
        <v>40939</v>
      </c>
      <c r="DJ27">
        <v>29.123999999999999</v>
      </c>
      <c r="DK27" s="12">
        <v>40939</v>
      </c>
      <c r="DL27">
        <v>11.111000000000001</v>
      </c>
      <c r="DM27" s="12">
        <v>41362</v>
      </c>
      <c r="DN27">
        <v>7.3609999999999998</v>
      </c>
      <c r="DO27" s="12">
        <v>40939</v>
      </c>
      <c r="DP27">
        <v>8.6219999999999999</v>
      </c>
      <c r="DQ27" s="12">
        <v>40939</v>
      </c>
      <c r="DR27">
        <v>713.774</v>
      </c>
      <c r="DS27" s="12">
        <v>40939</v>
      </c>
      <c r="DT27">
        <v>8.577</v>
      </c>
      <c r="DU27" s="12">
        <v>40939</v>
      </c>
      <c r="DV27">
        <v>2.1189999999999998</v>
      </c>
      <c r="DW27" s="12">
        <v>40939</v>
      </c>
      <c r="DX27">
        <v>5.7670000000000003</v>
      </c>
      <c r="DY27" s="12">
        <v>40939</v>
      </c>
      <c r="DZ27">
        <v>8.6140000000000008</v>
      </c>
      <c r="EC27" s="12">
        <v>40939</v>
      </c>
      <c r="ED27">
        <v>11.776999999999999</v>
      </c>
      <c r="EE27" s="12">
        <v>40939</v>
      </c>
      <c r="EF27">
        <v>8.2970000000000006</v>
      </c>
      <c r="EG27" s="12">
        <v>40939</v>
      </c>
      <c r="EH27">
        <v>16.742999999999999</v>
      </c>
      <c r="EI27" s="12">
        <v>40939</v>
      </c>
      <c r="EJ27">
        <v>33.549999999999997</v>
      </c>
      <c r="EK27" s="12">
        <v>40939</v>
      </c>
      <c r="EL27">
        <v>11.691000000000001</v>
      </c>
      <c r="EM27" s="12">
        <v>40939</v>
      </c>
      <c r="EN27">
        <v>14.545</v>
      </c>
      <c r="EQ27" s="12">
        <v>40939</v>
      </c>
      <c r="ER27">
        <v>18.388000000000002</v>
      </c>
      <c r="ES27" s="12">
        <v>40939</v>
      </c>
      <c r="ET27">
        <v>12.02</v>
      </c>
      <c r="EU27" s="12">
        <v>40939</v>
      </c>
      <c r="EV27">
        <v>1.823</v>
      </c>
      <c r="EY27" s="12">
        <v>40939</v>
      </c>
      <c r="EZ27">
        <v>29.117999999999999</v>
      </c>
      <c r="FA27" s="12">
        <v>40939</v>
      </c>
      <c r="FB27">
        <v>8.7070000000000007</v>
      </c>
      <c r="FC27" s="12">
        <v>40939</v>
      </c>
      <c r="FD27">
        <v>16.300999999999998</v>
      </c>
      <c r="FE27" s="12">
        <v>43707</v>
      </c>
      <c r="FF27">
        <v>35.954999999999998</v>
      </c>
      <c r="FG27" s="12">
        <v>40939</v>
      </c>
      <c r="FH27">
        <v>3.7839999999999998</v>
      </c>
      <c r="FI27" s="12">
        <v>40939</v>
      </c>
      <c r="FJ27">
        <v>8.702</v>
      </c>
      <c r="FK27" s="12">
        <v>40939</v>
      </c>
      <c r="FL27">
        <v>10.516999999999999</v>
      </c>
      <c r="FM27" s="12">
        <v>40939</v>
      </c>
      <c r="FN27">
        <v>5.734</v>
      </c>
      <c r="FO27" s="12">
        <v>40939</v>
      </c>
      <c r="FP27">
        <v>9.7650000000000006</v>
      </c>
      <c r="FQ27" s="12">
        <v>42429</v>
      </c>
      <c r="FR27">
        <v>18.25</v>
      </c>
      <c r="FS27" s="12">
        <v>40939</v>
      </c>
      <c r="FT27">
        <v>1.125</v>
      </c>
      <c r="FU27" s="12">
        <v>40939</v>
      </c>
      <c r="FV27">
        <v>7.4409999999999998</v>
      </c>
      <c r="FW27" s="12">
        <v>40939</v>
      </c>
      <c r="FX27">
        <v>8.3469999999999995</v>
      </c>
      <c r="FY27" s="12">
        <v>41789</v>
      </c>
      <c r="FZ27">
        <v>0.97799999999999998</v>
      </c>
      <c r="GA27" s="12">
        <v>40939</v>
      </c>
      <c r="GB27">
        <v>10.035</v>
      </c>
      <c r="GC27" s="12">
        <v>40939</v>
      </c>
      <c r="GD27">
        <v>20.094999999999999</v>
      </c>
      <c r="GE27" s="12">
        <v>42094</v>
      </c>
      <c r="GF27">
        <v>14.752000000000001</v>
      </c>
      <c r="GI27" s="12">
        <v>40939</v>
      </c>
      <c r="GJ27">
        <v>8.2639999999999993</v>
      </c>
      <c r="GK27" s="12">
        <v>40939</v>
      </c>
      <c r="GL27">
        <v>28.195</v>
      </c>
      <c r="GM27" s="12">
        <v>40939</v>
      </c>
      <c r="GN27">
        <v>14.031000000000001</v>
      </c>
      <c r="GO27" s="12">
        <v>41425</v>
      </c>
      <c r="GP27">
        <v>0.94199999999999995</v>
      </c>
      <c r="GQ27" s="12">
        <v>41060</v>
      </c>
      <c r="GR27">
        <v>24</v>
      </c>
      <c r="GS27" s="12">
        <v>40939</v>
      </c>
      <c r="GT27">
        <v>1228.146</v>
      </c>
      <c r="GU27" s="12">
        <v>43553</v>
      </c>
      <c r="GV27">
        <v>10.608000000000001</v>
      </c>
      <c r="GW27" s="12">
        <v>40998</v>
      </c>
      <c r="GX27">
        <v>23.808</v>
      </c>
      <c r="GY27" s="12">
        <v>40939</v>
      </c>
      <c r="GZ27">
        <v>8.02</v>
      </c>
      <c r="HA27" s="12">
        <v>40939</v>
      </c>
      <c r="HB27">
        <v>8.327</v>
      </c>
      <c r="HC27" s="12">
        <v>40939</v>
      </c>
      <c r="HD27">
        <v>11.442</v>
      </c>
      <c r="HE27" s="12">
        <v>40939</v>
      </c>
      <c r="HF27">
        <v>23.253</v>
      </c>
      <c r="HG27" s="12">
        <v>40939</v>
      </c>
      <c r="HH27">
        <v>14.686</v>
      </c>
      <c r="HI27" s="12">
        <v>40939</v>
      </c>
      <c r="HJ27">
        <v>7.359</v>
      </c>
      <c r="HK27" s="12">
        <v>40939</v>
      </c>
      <c r="HL27">
        <v>1655</v>
      </c>
      <c r="HM27" s="12">
        <v>40939</v>
      </c>
      <c r="HN27">
        <v>52.656999999999996</v>
      </c>
      <c r="HO27" s="12">
        <v>40939</v>
      </c>
      <c r="HP27">
        <v>48.21</v>
      </c>
      <c r="HQ27" s="12">
        <v>41029</v>
      </c>
      <c r="HR27">
        <v>1500</v>
      </c>
      <c r="HS27" s="12">
        <v>40939</v>
      </c>
      <c r="HT27">
        <v>67.763999999999996</v>
      </c>
      <c r="HU27" s="12">
        <v>40939</v>
      </c>
      <c r="HV27">
        <v>3120.0549999999998</v>
      </c>
      <c r="HW27" s="12">
        <v>40939</v>
      </c>
      <c r="HX27">
        <v>24.582000000000001</v>
      </c>
      <c r="HY27" s="12">
        <v>40939</v>
      </c>
      <c r="HZ27">
        <v>20.294</v>
      </c>
      <c r="IA27" s="12">
        <v>40939</v>
      </c>
      <c r="IB27">
        <v>55.313000000000002</v>
      </c>
      <c r="IC27" s="12">
        <v>40939</v>
      </c>
      <c r="ID27">
        <v>3.1459999999999999</v>
      </c>
      <c r="IE27" s="12">
        <v>40939</v>
      </c>
      <c r="IF27">
        <v>5.3929999999999998</v>
      </c>
      <c r="IG27" s="12">
        <v>41243</v>
      </c>
      <c r="IH27">
        <v>25.5</v>
      </c>
      <c r="II27" s="12">
        <v>40939</v>
      </c>
      <c r="IJ27">
        <v>29.3</v>
      </c>
      <c r="IM27" s="12">
        <v>40939</v>
      </c>
      <c r="IN27">
        <v>13.066000000000001</v>
      </c>
      <c r="IO27" s="12">
        <v>41486</v>
      </c>
      <c r="IP27">
        <v>10.39</v>
      </c>
      <c r="IQ27" s="12">
        <v>40939</v>
      </c>
      <c r="IR27">
        <v>13.42</v>
      </c>
      <c r="IS27" s="12">
        <v>42853</v>
      </c>
      <c r="IT27">
        <v>8.73</v>
      </c>
      <c r="IU27" s="12">
        <v>40939</v>
      </c>
      <c r="IV27">
        <v>6.2618</v>
      </c>
      <c r="IW27" s="12">
        <v>40939</v>
      </c>
      <c r="IX27">
        <v>30.507999999999999</v>
      </c>
      <c r="IY27" s="12">
        <v>40939</v>
      </c>
      <c r="IZ27">
        <v>7.0730000000000004</v>
      </c>
      <c r="JA27" s="12">
        <v>42704</v>
      </c>
      <c r="JB27">
        <v>4.8179999999999996</v>
      </c>
      <c r="JC27" s="12">
        <v>40939</v>
      </c>
      <c r="JD27">
        <v>22.478000000000002</v>
      </c>
      <c r="JE27" s="12">
        <v>40939</v>
      </c>
      <c r="JF27">
        <v>222.19900000000001</v>
      </c>
      <c r="JI27" s="12">
        <v>40939</v>
      </c>
      <c r="JJ27">
        <v>9.2309999999999999</v>
      </c>
      <c r="JK27" s="12">
        <v>43830</v>
      </c>
      <c r="JL27">
        <v>33.283000000000001</v>
      </c>
      <c r="JM27" s="12">
        <v>40939</v>
      </c>
      <c r="JN27">
        <v>0.98099999999999998</v>
      </c>
      <c r="JO27" s="12">
        <v>40939</v>
      </c>
      <c r="JP27">
        <v>15.055999999999999</v>
      </c>
      <c r="JQ27" s="12">
        <v>42338</v>
      </c>
      <c r="JR27">
        <v>7.2770000000000001</v>
      </c>
      <c r="JS27" s="12">
        <v>40939</v>
      </c>
      <c r="JT27">
        <v>5.7750000000000004</v>
      </c>
      <c r="JU27" s="12">
        <v>42153</v>
      </c>
      <c r="JV27">
        <v>38.343000000000004</v>
      </c>
      <c r="JW27" s="12">
        <v>40939</v>
      </c>
      <c r="JX27">
        <v>5.8689999999999998</v>
      </c>
      <c r="JY27" s="12">
        <v>40939</v>
      </c>
      <c r="JZ27">
        <v>9.8239999999999998</v>
      </c>
      <c r="KA27" s="12">
        <v>43830</v>
      </c>
      <c r="KB27">
        <v>39.68</v>
      </c>
      <c r="KC27" s="12">
        <v>40939</v>
      </c>
      <c r="KD27">
        <v>6.7430000000000003</v>
      </c>
      <c r="KE27" s="12">
        <v>40939</v>
      </c>
      <c r="KF27">
        <v>5.74</v>
      </c>
      <c r="KG27" s="12">
        <v>40939</v>
      </c>
      <c r="KH27">
        <v>0.16300000000000001</v>
      </c>
      <c r="KI27" s="12">
        <v>40939</v>
      </c>
      <c r="KJ27">
        <v>6.774</v>
      </c>
      <c r="KM27" s="12">
        <v>43553</v>
      </c>
      <c r="KN27">
        <v>16.437000000000001</v>
      </c>
      <c r="KO27" s="12">
        <v>40939</v>
      </c>
      <c r="KP27">
        <v>127.88200000000001</v>
      </c>
      <c r="KQ27" s="12">
        <v>40939</v>
      </c>
      <c r="KR27">
        <v>86.656000000000006</v>
      </c>
      <c r="KS27" s="12">
        <v>40939</v>
      </c>
      <c r="KT27">
        <v>11.521000000000001</v>
      </c>
      <c r="KU27" s="12">
        <v>40939</v>
      </c>
      <c r="KV27">
        <v>7.9109999999999996</v>
      </c>
      <c r="KW27" s="12">
        <v>40939</v>
      </c>
      <c r="KX27">
        <v>45</v>
      </c>
      <c r="KY27" s="12">
        <v>40939</v>
      </c>
      <c r="KZ27">
        <v>19.91</v>
      </c>
      <c r="LA27" s="12">
        <v>40939</v>
      </c>
      <c r="LB27">
        <v>16.8</v>
      </c>
      <c r="LC27" s="12">
        <v>40939</v>
      </c>
      <c r="LD27">
        <v>8.4939999999999998</v>
      </c>
      <c r="LE27" s="12">
        <v>40939</v>
      </c>
      <c r="LF27">
        <v>8.2759999999999998</v>
      </c>
      <c r="LG27" s="12">
        <v>40939</v>
      </c>
      <c r="LH27">
        <v>9.7780000000000005</v>
      </c>
      <c r="LI27" s="12">
        <v>40939</v>
      </c>
      <c r="LJ27">
        <v>14.305999999999999</v>
      </c>
      <c r="LM27" s="12">
        <v>40939</v>
      </c>
      <c r="LN27">
        <v>16.309999999999999</v>
      </c>
      <c r="LO27" s="12">
        <v>40939</v>
      </c>
      <c r="LP27">
        <v>11.045</v>
      </c>
      <c r="LQ27" s="12">
        <v>40939</v>
      </c>
      <c r="LR27">
        <v>31.786999999999999</v>
      </c>
      <c r="LS27" s="12">
        <v>40939</v>
      </c>
      <c r="LT27">
        <v>31.922000000000001</v>
      </c>
      <c r="LW27" s="12">
        <v>40939</v>
      </c>
      <c r="LX27">
        <v>1694.029</v>
      </c>
      <c r="LY27" s="12">
        <v>40939</v>
      </c>
      <c r="LZ27">
        <v>27.294</v>
      </c>
      <c r="MA27" s="12">
        <v>40939</v>
      </c>
      <c r="MB27">
        <v>14.372</v>
      </c>
      <c r="MC27" s="12">
        <v>42398</v>
      </c>
      <c r="MD27">
        <v>2.903</v>
      </c>
      <c r="ME27" s="12">
        <v>40939</v>
      </c>
      <c r="MF27">
        <v>3.9910000000000001</v>
      </c>
      <c r="MG27" s="12">
        <v>40939</v>
      </c>
      <c r="MH27">
        <v>4.8040000000000003</v>
      </c>
      <c r="MI27" s="12">
        <v>42947</v>
      </c>
      <c r="MJ27">
        <v>14.933999999999999</v>
      </c>
      <c r="MK27" s="12">
        <v>40939</v>
      </c>
      <c r="ML27">
        <v>4.9820000000000002</v>
      </c>
    </row>
    <row r="28" spans="1:350" x14ac:dyDescent="0.3">
      <c r="A28" s="12">
        <v>40968</v>
      </c>
      <c r="B28" s="1">
        <v>10.632999999999999</v>
      </c>
      <c r="C28" s="12">
        <v>41333</v>
      </c>
      <c r="D28" s="1">
        <v>13.568</v>
      </c>
      <c r="E28" s="12">
        <v>40968</v>
      </c>
      <c r="F28" s="13">
        <v>9.7680000000000007</v>
      </c>
      <c r="G28" s="17">
        <v>40968</v>
      </c>
      <c r="H28" s="13">
        <v>7.1950000000000003</v>
      </c>
      <c r="I28" s="17">
        <v>40998</v>
      </c>
      <c r="J28">
        <v>15.02</v>
      </c>
      <c r="K28" s="12">
        <v>42185</v>
      </c>
      <c r="L28">
        <v>13.044</v>
      </c>
      <c r="M28" s="12">
        <v>40968</v>
      </c>
      <c r="N28" s="12">
        <v>55.02</v>
      </c>
      <c r="O28" s="12">
        <v>40968</v>
      </c>
      <c r="P28">
        <v>19.658000000000001</v>
      </c>
      <c r="Q28" s="12">
        <v>42369</v>
      </c>
      <c r="R28">
        <v>13.332000000000001</v>
      </c>
      <c r="S28" s="12">
        <v>40968</v>
      </c>
      <c r="T28">
        <v>12.595000000000001</v>
      </c>
      <c r="U28" s="12">
        <v>41394</v>
      </c>
      <c r="V28">
        <v>36.094000000000001</v>
      </c>
      <c r="W28" s="12">
        <v>43644</v>
      </c>
      <c r="X28">
        <v>43.29</v>
      </c>
      <c r="Y28" s="12">
        <v>40968</v>
      </c>
      <c r="Z28">
        <v>8.3529999999999998</v>
      </c>
      <c r="AA28" s="12">
        <v>40968</v>
      </c>
      <c r="AB28">
        <v>16.547000000000001</v>
      </c>
      <c r="AC28" s="12">
        <v>40968</v>
      </c>
      <c r="AD28">
        <v>8.3569999999999993</v>
      </c>
      <c r="AE28" s="12">
        <v>40968</v>
      </c>
      <c r="AF28">
        <v>9.5570000000000004</v>
      </c>
      <c r="AG28" s="12">
        <v>40968</v>
      </c>
      <c r="AH28">
        <v>51.615000000000002</v>
      </c>
      <c r="AI28" s="12">
        <v>42185</v>
      </c>
      <c r="AJ28">
        <v>22.805</v>
      </c>
      <c r="AK28" s="12">
        <v>40968</v>
      </c>
      <c r="AL28">
        <v>5.9489999999999998</v>
      </c>
      <c r="AO28" s="12">
        <v>40968</v>
      </c>
      <c r="AP28">
        <v>5.8259999999999996</v>
      </c>
      <c r="AQ28" s="12">
        <v>43585</v>
      </c>
      <c r="AR28">
        <v>40.588000000000001</v>
      </c>
      <c r="AS28" s="12">
        <v>40968</v>
      </c>
      <c r="AT28">
        <v>6.1929999999999996</v>
      </c>
      <c r="AU28" s="12">
        <v>40968</v>
      </c>
      <c r="AV28">
        <v>22.742000000000001</v>
      </c>
      <c r="AY28" s="12">
        <v>40968</v>
      </c>
      <c r="AZ28">
        <v>33.200000000000003</v>
      </c>
      <c r="BA28" s="12">
        <v>40968</v>
      </c>
      <c r="BB28">
        <v>11.131</v>
      </c>
      <c r="BC28" s="12">
        <v>40968</v>
      </c>
      <c r="BD28">
        <v>12.553000000000001</v>
      </c>
      <c r="BE28" s="12">
        <v>41060</v>
      </c>
      <c r="BF28">
        <v>11.781000000000001</v>
      </c>
      <c r="BG28" s="12">
        <v>40968</v>
      </c>
      <c r="BH28">
        <v>11.404999999999999</v>
      </c>
      <c r="BI28" s="12">
        <v>40968</v>
      </c>
      <c r="BJ28">
        <v>9.5440000000000005</v>
      </c>
      <c r="BK28" s="12">
        <v>40968</v>
      </c>
      <c r="BL28">
        <v>9.4149999999999991</v>
      </c>
      <c r="BM28" s="12">
        <v>40968</v>
      </c>
      <c r="BN28">
        <v>20.218</v>
      </c>
      <c r="BO28" s="12">
        <v>40968</v>
      </c>
      <c r="BP28">
        <v>8.7110000000000003</v>
      </c>
      <c r="BQ28" s="12">
        <v>40968</v>
      </c>
      <c r="BR28">
        <v>8.0579999999999998</v>
      </c>
      <c r="BS28" s="12">
        <v>40968</v>
      </c>
      <c r="BT28">
        <v>9.4629999999999992</v>
      </c>
      <c r="BU28" s="12">
        <v>40968</v>
      </c>
      <c r="BV28">
        <v>5.79</v>
      </c>
      <c r="BW28" s="12">
        <v>40968</v>
      </c>
      <c r="BX28">
        <v>2.4849999999999999</v>
      </c>
      <c r="BY28" s="12">
        <v>40968</v>
      </c>
      <c r="BZ28">
        <v>21.486000000000001</v>
      </c>
      <c r="CA28" s="12">
        <v>40968</v>
      </c>
      <c r="CB28">
        <v>28.338000000000001</v>
      </c>
      <c r="CC28" s="12">
        <v>43738</v>
      </c>
      <c r="CD28">
        <v>21.05</v>
      </c>
      <c r="CE28" s="12">
        <v>40968</v>
      </c>
      <c r="CF28">
        <v>21.736000000000001</v>
      </c>
      <c r="CG28" s="12">
        <v>40968</v>
      </c>
      <c r="CH28">
        <v>21.818000000000001</v>
      </c>
      <c r="CI28" s="12">
        <v>40968</v>
      </c>
      <c r="CJ28">
        <v>31.33</v>
      </c>
      <c r="CK28" s="12">
        <v>40968</v>
      </c>
      <c r="CL28">
        <v>12.44</v>
      </c>
      <c r="CM28" s="12">
        <v>40968</v>
      </c>
      <c r="CN28">
        <v>26.294</v>
      </c>
      <c r="CO28" s="12">
        <v>42429</v>
      </c>
      <c r="CP28">
        <v>12.223000000000001</v>
      </c>
      <c r="CQ28" s="12">
        <v>40968</v>
      </c>
      <c r="CR28">
        <v>12.899000000000001</v>
      </c>
      <c r="CS28" s="12">
        <v>40968</v>
      </c>
      <c r="CT28">
        <v>15.391</v>
      </c>
      <c r="CU28" s="12">
        <v>40968</v>
      </c>
      <c r="CV28">
        <v>6.9180000000000001</v>
      </c>
      <c r="CW28" s="12">
        <v>40968</v>
      </c>
      <c r="CX28">
        <v>6.1550000000000002</v>
      </c>
      <c r="CY28" s="12">
        <v>41060</v>
      </c>
      <c r="CZ28">
        <v>11.112</v>
      </c>
      <c r="DA28" s="12">
        <v>40968</v>
      </c>
      <c r="DB28">
        <v>14.840999999999999</v>
      </c>
      <c r="DC28" s="12">
        <v>40968</v>
      </c>
      <c r="DD28">
        <v>14.577</v>
      </c>
      <c r="DE28" s="12">
        <v>40968</v>
      </c>
      <c r="DF28">
        <v>15.134</v>
      </c>
      <c r="DG28" s="12">
        <v>41305</v>
      </c>
      <c r="DH28">
        <v>14.907999999999999</v>
      </c>
      <c r="DI28" s="12">
        <v>40968</v>
      </c>
      <c r="DJ28">
        <v>29.734999999999999</v>
      </c>
      <c r="DK28" s="12">
        <v>40968</v>
      </c>
      <c r="DL28">
        <v>11.792999999999999</v>
      </c>
      <c r="DM28" s="12">
        <v>41394</v>
      </c>
      <c r="DN28">
        <v>7.0049999999999999</v>
      </c>
      <c r="DO28" s="12">
        <v>40968</v>
      </c>
      <c r="DP28">
        <v>8.8979999999999997</v>
      </c>
      <c r="DQ28" s="12">
        <v>40968</v>
      </c>
      <c r="DR28">
        <v>726.10199999999998</v>
      </c>
      <c r="DS28" s="12">
        <v>40968</v>
      </c>
      <c r="DT28">
        <v>8.6910000000000007</v>
      </c>
      <c r="DU28" s="12">
        <v>40968</v>
      </c>
      <c r="DV28">
        <v>2.145</v>
      </c>
      <c r="DW28" s="12">
        <v>40968</v>
      </c>
      <c r="DX28">
        <v>5.9829999999999997</v>
      </c>
      <c r="DY28" s="12">
        <v>40968</v>
      </c>
      <c r="DZ28">
        <v>9.7059999999999995</v>
      </c>
      <c r="EC28" s="12">
        <v>40968</v>
      </c>
      <c r="ED28">
        <v>12.850999999999999</v>
      </c>
      <c r="EE28" s="12">
        <v>40968</v>
      </c>
      <c r="EF28">
        <v>8.8919999999999995</v>
      </c>
      <c r="EG28" s="12">
        <v>40968</v>
      </c>
      <c r="EH28">
        <v>17.038</v>
      </c>
      <c r="EI28" s="12">
        <v>40968</v>
      </c>
      <c r="EJ28">
        <v>33.619999999999997</v>
      </c>
      <c r="EK28" s="12">
        <v>40968</v>
      </c>
      <c r="EL28">
        <v>12.436999999999999</v>
      </c>
      <c r="EM28" s="12">
        <v>40968</v>
      </c>
      <c r="EN28">
        <v>15.753</v>
      </c>
      <c r="EQ28" s="12">
        <v>40968</v>
      </c>
      <c r="ER28">
        <v>20.106999999999999</v>
      </c>
      <c r="ES28" s="12">
        <v>40968</v>
      </c>
      <c r="ET28">
        <v>14.99</v>
      </c>
      <c r="EU28" s="12">
        <v>40968</v>
      </c>
      <c r="EV28">
        <v>1.9510000000000001</v>
      </c>
      <c r="EY28" s="12">
        <v>40968</v>
      </c>
      <c r="EZ28">
        <v>32.023000000000003</v>
      </c>
      <c r="FA28" s="12">
        <v>40968</v>
      </c>
      <c r="FB28">
        <v>9.1660000000000004</v>
      </c>
      <c r="FC28" s="12">
        <v>40968</v>
      </c>
      <c r="FD28">
        <v>18.137</v>
      </c>
      <c r="FE28" s="12">
        <v>43738</v>
      </c>
      <c r="FF28">
        <v>37.44</v>
      </c>
      <c r="FG28" s="12">
        <v>40968</v>
      </c>
      <c r="FH28">
        <v>3.9689999999999999</v>
      </c>
      <c r="FI28" s="12">
        <v>40968</v>
      </c>
      <c r="FJ28">
        <v>9.0510000000000002</v>
      </c>
      <c r="FK28" s="12">
        <v>40968</v>
      </c>
      <c r="FL28">
        <v>11.023</v>
      </c>
      <c r="FM28" s="12">
        <v>40968</v>
      </c>
      <c r="FN28">
        <v>6.5510000000000002</v>
      </c>
      <c r="FO28" s="12">
        <v>40968</v>
      </c>
      <c r="FP28">
        <v>11.039</v>
      </c>
      <c r="FQ28" s="12">
        <v>42460</v>
      </c>
      <c r="FR28">
        <v>16.442</v>
      </c>
      <c r="FS28" s="12">
        <v>40968</v>
      </c>
      <c r="FT28">
        <v>1.1859999999999999</v>
      </c>
      <c r="FU28" s="12">
        <v>40968</v>
      </c>
      <c r="FV28">
        <v>7.9290000000000003</v>
      </c>
      <c r="FW28" s="12">
        <v>40968</v>
      </c>
      <c r="FX28">
        <v>9.0440000000000005</v>
      </c>
      <c r="FY28" s="12">
        <v>41820</v>
      </c>
      <c r="FZ28">
        <v>1.0760000000000001</v>
      </c>
      <c r="GA28" s="12">
        <v>40968</v>
      </c>
      <c r="GB28">
        <v>10.843999999999999</v>
      </c>
      <c r="GC28" s="12">
        <v>40968</v>
      </c>
      <c r="GD28">
        <v>19.920000000000002</v>
      </c>
      <c r="GE28" s="12">
        <v>42124</v>
      </c>
      <c r="GF28">
        <v>14.025</v>
      </c>
      <c r="GI28" s="12">
        <v>40968</v>
      </c>
      <c r="GJ28">
        <v>9.1579999999999995</v>
      </c>
      <c r="GK28" s="12">
        <v>40968</v>
      </c>
      <c r="GL28">
        <v>33.012999999999998</v>
      </c>
      <c r="GM28" s="12">
        <v>40968</v>
      </c>
      <c r="GN28">
        <v>14.913</v>
      </c>
      <c r="GO28" s="12">
        <v>41453</v>
      </c>
      <c r="GP28">
        <v>0.622</v>
      </c>
      <c r="GQ28" s="12">
        <v>41089</v>
      </c>
      <c r="GR28">
        <v>26.948</v>
      </c>
      <c r="GS28" s="12">
        <v>40968</v>
      </c>
      <c r="GT28">
        <v>1442.0619999999999</v>
      </c>
      <c r="GU28" s="12">
        <v>43585</v>
      </c>
      <c r="GV28">
        <v>11.722</v>
      </c>
      <c r="GW28" s="12">
        <v>41029</v>
      </c>
      <c r="GX28">
        <v>26.151</v>
      </c>
      <c r="GY28" s="12">
        <v>40968</v>
      </c>
      <c r="GZ28">
        <v>10.55</v>
      </c>
      <c r="HA28" s="12">
        <v>40968</v>
      </c>
      <c r="HB28">
        <v>8.5739999999999998</v>
      </c>
      <c r="HC28" s="12">
        <v>40968</v>
      </c>
      <c r="HD28">
        <v>11.156000000000001</v>
      </c>
      <c r="HE28" s="12">
        <v>40968</v>
      </c>
      <c r="HF28">
        <v>25.46</v>
      </c>
      <c r="HG28" s="12">
        <v>40968</v>
      </c>
      <c r="HH28">
        <v>16.344000000000001</v>
      </c>
      <c r="HI28" s="12">
        <v>40968</v>
      </c>
      <c r="HJ28">
        <v>7.5350000000000001</v>
      </c>
      <c r="HK28" s="12">
        <v>40968</v>
      </c>
      <c r="HL28">
        <v>1700</v>
      </c>
      <c r="HM28" s="12">
        <v>40968</v>
      </c>
      <c r="HN28">
        <v>56.738</v>
      </c>
      <c r="HO28" s="12">
        <v>40968</v>
      </c>
      <c r="HP28">
        <v>50.155999999999999</v>
      </c>
      <c r="HQ28" s="12">
        <v>41060</v>
      </c>
      <c r="HR28">
        <v>1355</v>
      </c>
      <c r="HS28" s="12">
        <v>40968</v>
      </c>
      <c r="HT28">
        <v>73.89</v>
      </c>
      <c r="HU28" s="12">
        <v>40968</v>
      </c>
      <c r="HV28">
        <v>3234.634</v>
      </c>
      <c r="HW28" s="12">
        <v>40968</v>
      </c>
      <c r="HX28">
        <v>23.477</v>
      </c>
      <c r="HY28" s="12">
        <v>40968</v>
      </c>
      <c r="HZ28">
        <v>20.079000000000001</v>
      </c>
      <c r="IA28" s="12">
        <v>40968</v>
      </c>
      <c r="IB28">
        <v>54.180999999999997</v>
      </c>
      <c r="IC28" s="12">
        <v>40968</v>
      </c>
      <c r="ID28">
        <v>3.4279999999999999</v>
      </c>
      <c r="IE28" s="12">
        <v>40968</v>
      </c>
      <c r="IF28">
        <v>6.0789999999999997</v>
      </c>
      <c r="IG28" s="12">
        <v>41274</v>
      </c>
      <c r="IH28">
        <v>23.65</v>
      </c>
      <c r="II28" s="12">
        <v>40968</v>
      </c>
      <c r="IJ28">
        <v>30.039000000000001</v>
      </c>
      <c r="IM28" s="12">
        <v>40968</v>
      </c>
      <c r="IN28">
        <v>13.526</v>
      </c>
      <c r="IO28" s="12">
        <v>41516</v>
      </c>
      <c r="IP28">
        <v>11.603</v>
      </c>
      <c r="IQ28" s="12">
        <v>40968</v>
      </c>
      <c r="IR28">
        <v>15.475</v>
      </c>
      <c r="IS28" s="12">
        <v>42886</v>
      </c>
      <c r="IT28">
        <v>8.48</v>
      </c>
      <c r="IU28" s="12">
        <v>40968</v>
      </c>
      <c r="IV28">
        <v>7.3110999999999997</v>
      </c>
      <c r="IW28" s="12">
        <v>40968</v>
      </c>
      <c r="IX28">
        <v>34.576000000000001</v>
      </c>
      <c r="IY28" s="12">
        <v>40968</v>
      </c>
      <c r="IZ28">
        <v>7.82</v>
      </c>
      <c r="JA28" s="12">
        <v>42734</v>
      </c>
      <c r="JB28">
        <v>4.867</v>
      </c>
      <c r="JC28" s="12">
        <v>40968</v>
      </c>
      <c r="JD28">
        <v>24.027999999999999</v>
      </c>
      <c r="JE28" s="12">
        <v>40968</v>
      </c>
      <c r="JF28">
        <v>242.20699999999999</v>
      </c>
      <c r="JI28" s="12">
        <v>40968</v>
      </c>
      <c r="JJ28">
        <v>10.513</v>
      </c>
      <c r="JM28" s="12">
        <v>40968</v>
      </c>
      <c r="JN28">
        <v>1.2490000000000001</v>
      </c>
      <c r="JO28" s="12">
        <v>40968</v>
      </c>
      <c r="JP28">
        <v>17.420999999999999</v>
      </c>
      <c r="JQ28" s="12">
        <v>42369</v>
      </c>
      <c r="JR28">
        <v>6.4779999999999998</v>
      </c>
      <c r="JS28" s="12">
        <v>40968</v>
      </c>
      <c r="JT28">
        <v>5.7389999999999999</v>
      </c>
      <c r="JU28" s="12">
        <v>42185</v>
      </c>
      <c r="JV28">
        <v>39.759</v>
      </c>
      <c r="JW28" s="12">
        <v>40968</v>
      </c>
      <c r="JX28">
        <v>6.14</v>
      </c>
      <c r="JY28" s="12">
        <v>40968</v>
      </c>
      <c r="JZ28">
        <v>10.55</v>
      </c>
      <c r="KC28" s="12">
        <v>40968</v>
      </c>
      <c r="KD28">
        <v>7.49</v>
      </c>
      <c r="KE28" s="12">
        <v>40968</v>
      </c>
      <c r="KF28">
        <v>6.5750000000000002</v>
      </c>
      <c r="KG28" s="12">
        <v>40968</v>
      </c>
      <c r="KH28">
        <v>0.17399999999999999</v>
      </c>
      <c r="KI28" s="12">
        <v>40968</v>
      </c>
      <c r="KJ28">
        <v>7.423</v>
      </c>
      <c r="KM28" s="12">
        <v>43585</v>
      </c>
      <c r="KN28">
        <v>17.635999999999999</v>
      </c>
      <c r="KO28" s="12">
        <v>40968</v>
      </c>
      <c r="KP28">
        <v>151.17699999999999</v>
      </c>
      <c r="KQ28" s="12">
        <v>40968</v>
      </c>
      <c r="KR28">
        <v>105.913</v>
      </c>
      <c r="KS28" s="12">
        <v>40968</v>
      </c>
      <c r="KT28">
        <v>11.724</v>
      </c>
      <c r="KU28" s="12">
        <v>40968</v>
      </c>
      <c r="KV28">
        <v>8.4740000000000002</v>
      </c>
      <c r="KW28" s="12">
        <v>40968</v>
      </c>
      <c r="KX28">
        <v>43.01</v>
      </c>
      <c r="KY28" s="12">
        <v>40968</v>
      </c>
      <c r="KZ28">
        <v>23.15</v>
      </c>
      <c r="LA28" s="12">
        <v>40968</v>
      </c>
      <c r="LB28">
        <v>18.64</v>
      </c>
      <c r="LC28" s="12">
        <v>40968</v>
      </c>
      <c r="LD28">
        <v>9.0139999999999993</v>
      </c>
      <c r="LE28" s="12">
        <v>40968</v>
      </c>
      <c r="LF28">
        <v>8.6620000000000008</v>
      </c>
      <c r="LG28" s="12">
        <v>40968</v>
      </c>
      <c r="LH28">
        <v>10.856999999999999</v>
      </c>
      <c r="LI28" s="12">
        <v>40968</v>
      </c>
      <c r="LJ28">
        <v>15.991</v>
      </c>
      <c r="LM28" s="12">
        <v>40968</v>
      </c>
      <c r="LN28">
        <v>14.827</v>
      </c>
      <c r="LO28" s="12">
        <v>40968</v>
      </c>
      <c r="LP28">
        <v>10.978999999999999</v>
      </c>
      <c r="LQ28" s="12">
        <v>40968</v>
      </c>
      <c r="LR28">
        <v>30.969000000000001</v>
      </c>
      <c r="LS28" s="12">
        <v>40968</v>
      </c>
      <c r="LT28">
        <v>31.78</v>
      </c>
      <c r="LW28" s="12">
        <v>40968</v>
      </c>
      <c r="LX28">
        <v>1880.453</v>
      </c>
      <c r="LY28" s="12">
        <v>40968</v>
      </c>
      <c r="LZ28">
        <v>28.837</v>
      </c>
      <c r="MA28" s="12">
        <v>40968</v>
      </c>
      <c r="MB28">
        <v>17.038</v>
      </c>
      <c r="MC28" s="12">
        <v>42429</v>
      </c>
      <c r="MD28">
        <v>4.3040000000000003</v>
      </c>
      <c r="ME28" s="12">
        <v>40968</v>
      </c>
      <c r="MF28">
        <v>5.5049999999999999</v>
      </c>
      <c r="MG28" s="12">
        <v>40968</v>
      </c>
      <c r="MH28">
        <v>4.7450000000000001</v>
      </c>
      <c r="MI28" s="12">
        <v>42978</v>
      </c>
      <c r="MJ28">
        <v>12.845000000000001</v>
      </c>
      <c r="MK28" s="12">
        <v>40968</v>
      </c>
      <c r="ML28">
        <v>5.2229999999999999</v>
      </c>
    </row>
    <row r="29" spans="1:350" x14ac:dyDescent="0.3">
      <c r="A29" s="12">
        <v>40998</v>
      </c>
      <c r="B29" s="1">
        <v>11.772</v>
      </c>
      <c r="C29" s="12">
        <v>41362</v>
      </c>
      <c r="D29" s="1">
        <v>10.788</v>
      </c>
      <c r="E29" s="12">
        <v>40998</v>
      </c>
      <c r="F29" s="13">
        <v>8.8840000000000003</v>
      </c>
      <c r="G29" s="17">
        <v>40998</v>
      </c>
      <c r="H29" s="13">
        <v>7.2850000000000001</v>
      </c>
      <c r="I29" s="17">
        <v>41029</v>
      </c>
      <c r="J29">
        <v>15.943999999999999</v>
      </c>
      <c r="K29" s="12">
        <v>42216</v>
      </c>
      <c r="L29">
        <v>12.901999999999999</v>
      </c>
      <c r="M29" s="12">
        <v>40998</v>
      </c>
      <c r="N29" s="12">
        <v>60.420999999999999</v>
      </c>
      <c r="O29" s="12">
        <v>40998</v>
      </c>
      <c r="P29">
        <v>19</v>
      </c>
      <c r="Q29" s="12">
        <v>42398</v>
      </c>
      <c r="R29">
        <v>9.641</v>
      </c>
      <c r="S29" s="12">
        <v>40998</v>
      </c>
      <c r="T29">
        <v>13.743</v>
      </c>
      <c r="U29" s="12">
        <v>41425</v>
      </c>
      <c r="V29">
        <v>30.241</v>
      </c>
      <c r="W29" s="12">
        <v>43677</v>
      </c>
      <c r="X29">
        <v>51.78</v>
      </c>
      <c r="Y29" s="12">
        <v>40998</v>
      </c>
      <c r="Z29">
        <v>8.2569999999999997</v>
      </c>
      <c r="AA29" s="12">
        <v>40998</v>
      </c>
      <c r="AB29">
        <v>15.699</v>
      </c>
      <c r="AC29" s="12">
        <v>40998</v>
      </c>
      <c r="AD29">
        <v>8.5719999999999992</v>
      </c>
      <c r="AE29" s="12">
        <v>40998</v>
      </c>
      <c r="AF29">
        <v>9.7729999999999997</v>
      </c>
      <c r="AG29" s="12">
        <v>40998</v>
      </c>
      <c r="AH29">
        <v>53.892000000000003</v>
      </c>
      <c r="AI29" s="12">
        <v>42216</v>
      </c>
      <c r="AJ29">
        <v>21.568000000000001</v>
      </c>
      <c r="AK29" s="12">
        <v>40998</v>
      </c>
      <c r="AL29">
        <v>6.8789999999999996</v>
      </c>
      <c r="AO29" s="12">
        <v>40998</v>
      </c>
      <c r="AP29">
        <v>5.226</v>
      </c>
      <c r="AQ29" s="12">
        <v>43616</v>
      </c>
      <c r="AR29">
        <v>45.835000000000001</v>
      </c>
      <c r="AS29" s="12">
        <v>40998</v>
      </c>
      <c r="AT29">
        <v>6.3410000000000002</v>
      </c>
      <c r="AU29" s="12">
        <v>40998</v>
      </c>
      <c r="AV29">
        <v>21.893999999999998</v>
      </c>
      <c r="AY29" s="12">
        <v>40998</v>
      </c>
      <c r="AZ29">
        <v>33.292999999999999</v>
      </c>
      <c r="BA29" s="12">
        <v>40998</v>
      </c>
      <c r="BB29">
        <v>10.323</v>
      </c>
      <c r="BC29" s="12">
        <v>40998</v>
      </c>
      <c r="BD29">
        <v>13.568</v>
      </c>
      <c r="BE29" s="12">
        <v>41089</v>
      </c>
      <c r="BF29">
        <v>12.192</v>
      </c>
      <c r="BG29" s="12">
        <v>40998</v>
      </c>
      <c r="BH29">
        <v>11.066000000000001</v>
      </c>
      <c r="BI29" s="12">
        <v>40998</v>
      </c>
      <c r="BJ29">
        <v>7.202</v>
      </c>
      <c r="BK29" s="12">
        <v>40998</v>
      </c>
      <c r="BL29">
        <v>10.143000000000001</v>
      </c>
      <c r="BM29" s="12">
        <v>40998</v>
      </c>
      <c r="BN29">
        <v>19.718</v>
      </c>
      <c r="BO29" s="12">
        <v>40998</v>
      </c>
      <c r="BP29">
        <v>8.9619999999999997</v>
      </c>
      <c r="BQ29" s="12">
        <v>40998</v>
      </c>
      <c r="BR29">
        <v>9.1059999999999999</v>
      </c>
      <c r="BS29" s="12">
        <v>40998</v>
      </c>
      <c r="BT29">
        <v>10.483000000000001</v>
      </c>
      <c r="BU29" s="12">
        <v>40998</v>
      </c>
      <c r="BV29">
        <v>5.83</v>
      </c>
      <c r="BW29" s="12">
        <v>40998</v>
      </c>
      <c r="BX29">
        <v>2.8</v>
      </c>
      <c r="BY29" s="12">
        <v>40998</v>
      </c>
      <c r="BZ29">
        <v>21.315000000000001</v>
      </c>
      <c r="CA29" s="12">
        <v>40998</v>
      </c>
      <c r="CB29">
        <v>28.023</v>
      </c>
      <c r="CC29" s="12">
        <v>43769</v>
      </c>
      <c r="CD29">
        <v>19.11</v>
      </c>
      <c r="CE29" s="12">
        <v>40998</v>
      </c>
      <c r="CF29">
        <v>24.096</v>
      </c>
      <c r="CG29" s="12">
        <v>40998</v>
      </c>
      <c r="CH29">
        <v>24.094999999999999</v>
      </c>
      <c r="CI29" s="12">
        <v>40998</v>
      </c>
      <c r="CJ29">
        <v>31.032</v>
      </c>
      <c r="CK29" s="12">
        <v>40998</v>
      </c>
      <c r="CL29">
        <v>12.234</v>
      </c>
      <c r="CM29" s="12">
        <v>40998</v>
      </c>
      <c r="CN29">
        <v>24.951999999999998</v>
      </c>
      <c r="CO29" s="12">
        <v>42460</v>
      </c>
      <c r="CP29">
        <v>15.512</v>
      </c>
      <c r="CQ29" s="12">
        <v>40998</v>
      </c>
      <c r="CR29">
        <v>12.026999999999999</v>
      </c>
      <c r="CS29" s="12">
        <v>40998</v>
      </c>
      <c r="CT29">
        <v>13.477</v>
      </c>
      <c r="CU29" s="12">
        <v>40998</v>
      </c>
      <c r="CV29">
        <v>6.891</v>
      </c>
      <c r="CW29" s="12">
        <v>40998</v>
      </c>
      <c r="CX29">
        <v>7.3719999999999999</v>
      </c>
      <c r="CY29" s="12">
        <v>41089</v>
      </c>
      <c r="CZ29">
        <v>11.132999999999999</v>
      </c>
      <c r="DA29" s="12">
        <v>40998</v>
      </c>
      <c r="DB29">
        <v>15.984</v>
      </c>
      <c r="DC29" s="12">
        <v>40998</v>
      </c>
      <c r="DD29">
        <v>13.375999999999999</v>
      </c>
      <c r="DE29" s="12">
        <v>40998</v>
      </c>
      <c r="DF29">
        <v>13.738</v>
      </c>
      <c r="DG29" s="12">
        <v>41333</v>
      </c>
      <c r="DH29">
        <v>14.878</v>
      </c>
      <c r="DI29" s="12">
        <v>40998</v>
      </c>
      <c r="DJ29">
        <v>30.885000000000002</v>
      </c>
      <c r="DK29" s="12">
        <v>40998</v>
      </c>
      <c r="DL29">
        <v>13.488</v>
      </c>
      <c r="DM29" s="12">
        <v>41425</v>
      </c>
      <c r="DN29">
        <v>7.6740000000000004</v>
      </c>
      <c r="DO29" s="12">
        <v>40998</v>
      </c>
      <c r="DP29">
        <v>8.8719999999999999</v>
      </c>
      <c r="DQ29" s="12">
        <v>40998</v>
      </c>
      <c r="DR29">
        <v>720.16600000000005</v>
      </c>
      <c r="DS29" s="12">
        <v>40998</v>
      </c>
      <c r="DT29">
        <v>8.2750000000000004</v>
      </c>
      <c r="DU29" s="12">
        <v>40998</v>
      </c>
      <c r="DV29">
        <v>2.444</v>
      </c>
      <c r="DW29" s="12">
        <v>40998</v>
      </c>
      <c r="DX29">
        <v>5.63</v>
      </c>
      <c r="DY29" s="12">
        <v>40998</v>
      </c>
      <c r="DZ29">
        <v>10.925000000000001</v>
      </c>
      <c r="EC29" s="12">
        <v>40998</v>
      </c>
      <c r="ED29">
        <v>12.396000000000001</v>
      </c>
      <c r="EE29" s="12">
        <v>40998</v>
      </c>
      <c r="EF29">
        <v>8.7509999999999994</v>
      </c>
      <c r="EG29" s="12">
        <v>40998</v>
      </c>
      <c r="EH29">
        <v>18.611000000000001</v>
      </c>
      <c r="EI29" s="12">
        <v>40998</v>
      </c>
      <c r="EJ29">
        <v>30.244</v>
      </c>
      <c r="EK29" s="12">
        <v>40998</v>
      </c>
      <c r="EL29">
        <v>12.148</v>
      </c>
      <c r="EM29" s="12">
        <v>40998</v>
      </c>
      <c r="EN29">
        <v>15.323</v>
      </c>
      <c r="EQ29" s="12">
        <v>40998</v>
      </c>
      <c r="ER29">
        <v>19.79</v>
      </c>
      <c r="ES29" s="12">
        <v>40998</v>
      </c>
      <c r="ET29">
        <v>12.19</v>
      </c>
      <c r="EU29" s="12">
        <v>40998</v>
      </c>
      <c r="EV29">
        <v>2.1230000000000002</v>
      </c>
      <c r="EY29" s="12">
        <v>40998</v>
      </c>
      <c r="EZ29">
        <v>32.689</v>
      </c>
      <c r="FA29" s="12">
        <v>40998</v>
      </c>
      <c r="FB29">
        <v>10.535</v>
      </c>
      <c r="FC29" s="12">
        <v>40998</v>
      </c>
      <c r="FD29">
        <v>18.399000000000001</v>
      </c>
      <c r="FE29" s="12">
        <v>43769</v>
      </c>
      <c r="FF29">
        <v>37.569000000000003</v>
      </c>
      <c r="FG29" s="12">
        <v>40998</v>
      </c>
      <c r="FH29">
        <v>3.7720000000000002</v>
      </c>
      <c r="FI29" s="12">
        <v>40998</v>
      </c>
      <c r="FJ29">
        <v>8.7710000000000008</v>
      </c>
      <c r="FK29" s="12">
        <v>40998</v>
      </c>
      <c r="FL29">
        <v>10.587</v>
      </c>
      <c r="FM29" s="12">
        <v>40998</v>
      </c>
      <c r="FN29">
        <v>6.73</v>
      </c>
      <c r="FO29" s="12">
        <v>40998</v>
      </c>
      <c r="FP29">
        <v>11.888</v>
      </c>
      <c r="FQ29" s="12">
        <v>42489</v>
      </c>
      <c r="FR29">
        <v>14.795</v>
      </c>
      <c r="FS29" s="12">
        <v>40998</v>
      </c>
      <c r="FT29">
        <v>1.1719999999999999</v>
      </c>
      <c r="FU29" s="12">
        <v>40998</v>
      </c>
      <c r="FV29">
        <v>7.8049999999999997</v>
      </c>
      <c r="FW29" s="12">
        <v>40998</v>
      </c>
      <c r="FX29">
        <v>8.5340000000000007</v>
      </c>
      <c r="FY29" s="12">
        <v>41851</v>
      </c>
      <c r="FZ29">
        <v>1.08</v>
      </c>
      <c r="GA29" s="12">
        <v>40998</v>
      </c>
      <c r="GB29">
        <v>11.446</v>
      </c>
      <c r="GC29" s="12">
        <v>40998</v>
      </c>
      <c r="GD29">
        <v>19.004000000000001</v>
      </c>
      <c r="GE29" s="12">
        <v>42153</v>
      </c>
      <c r="GF29">
        <v>15.617000000000001</v>
      </c>
      <c r="GI29" s="12">
        <v>40998</v>
      </c>
      <c r="GJ29">
        <v>8.8040000000000003</v>
      </c>
      <c r="GK29" s="12">
        <v>40998</v>
      </c>
      <c r="GL29">
        <v>30.649000000000001</v>
      </c>
      <c r="GM29" s="12">
        <v>40998</v>
      </c>
      <c r="GN29">
        <v>14.492000000000001</v>
      </c>
      <c r="GO29" s="12">
        <v>41486</v>
      </c>
      <c r="GP29">
        <v>0.59099999999999997</v>
      </c>
      <c r="GQ29" s="12">
        <v>41121</v>
      </c>
      <c r="GR29">
        <v>26.978000000000002</v>
      </c>
      <c r="GS29" s="12">
        <v>40998</v>
      </c>
      <c r="GT29">
        <v>1358.2909999999999</v>
      </c>
      <c r="GU29" s="12">
        <v>43616</v>
      </c>
      <c r="GV29">
        <v>12.465</v>
      </c>
      <c r="GW29" s="12">
        <v>41060</v>
      </c>
      <c r="GX29">
        <v>29.317</v>
      </c>
      <c r="GY29" s="12">
        <v>40998</v>
      </c>
      <c r="GZ29">
        <v>11.5</v>
      </c>
      <c r="HA29" s="12">
        <v>40998</v>
      </c>
      <c r="HB29">
        <v>8.0169999999999995</v>
      </c>
      <c r="HC29" s="12">
        <v>40998</v>
      </c>
      <c r="HD29">
        <v>12.2</v>
      </c>
      <c r="HE29" s="12">
        <v>40998</v>
      </c>
      <c r="HF29">
        <v>29.164000000000001</v>
      </c>
      <c r="HG29" s="12">
        <v>40998</v>
      </c>
      <c r="HH29">
        <v>16.024999999999999</v>
      </c>
      <c r="HI29" s="12">
        <v>40998</v>
      </c>
      <c r="HJ29">
        <v>7.8120000000000003</v>
      </c>
      <c r="HK29" s="12">
        <v>40998</v>
      </c>
      <c r="HL29">
        <v>1510</v>
      </c>
      <c r="HM29" s="12">
        <v>40998</v>
      </c>
      <c r="HN29">
        <v>61.584000000000003</v>
      </c>
      <c r="HO29" s="12">
        <v>40998</v>
      </c>
      <c r="HP29">
        <v>52.863</v>
      </c>
      <c r="HQ29" s="12">
        <v>41089</v>
      </c>
      <c r="HR29">
        <v>900</v>
      </c>
      <c r="HS29" s="12">
        <v>40998</v>
      </c>
      <c r="HT29">
        <v>80.759</v>
      </c>
      <c r="HU29" s="12">
        <v>40998</v>
      </c>
      <c r="HV29">
        <v>2780.7269999999999</v>
      </c>
      <c r="HW29" s="12">
        <v>40998</v>
      </c>
      <c r="HX29">
        <v>22.308</v>
      </c>
      <c r="HY29" s="12">
        <v>40998</v>
      </c>
      <c r="HZ29">
        <v>19.384</v>
      </c>
      <c r="IA29" s="12">
        <v>40998</v>
      </c>
      <c r="IB29">
        <v>51.432000000000002</v>
      </c>
      <c r="IC29" s="12">
        <v>40998</v>
      </c>
      <c r="ID29">
        <v>3.7279999999999998</v>
      </c>
      <c r="IE29" s="12">
        <v>40998</v>
      </c>
      <c r="IF29">
        <v>6.58</v>
      </c>
      <c r="IG29" s="12">
        <v>41305</v>
      </c>
      <c r="IH29">
        <v>18.75</v>
      </c>
      <c r="II29" s="12">
        <v>40998</v>
      </c>
      <c r="IJ29">
        <v>27.823</v>
      </c>
      <c r="IM29" s="12">
        <v>40998</v>
      </c>
      <c r="IN29">
        <v>12.773</v>
      </c>
      <c r="IO29" s="12">
        <v>41547</v>
      </c>
      <c r="IP29">
        <v>12.599</v>
      </c>
      <c r="IQ29" s="12">
        <v>40998</v>
      </c>
      <c r="IR29">
        <v>16.449000000000002</v>
      </c>
      <c r="IS29" s="12">
        <v>42916</v>
      </c>
      <c r="IT29">
        <v>8.65</v>
      </c>
      <c r="IU29" s="12">
        <v>40998</v>
      </c>
      <c r="IV29">
        <v>8.0170999999999992</v>
      </c>
      <c r="IW29" s="12">
        <v>40998</v>
      </c>
      <c r="IX29">
        <v>34.334000000000003</v>
      </c>
      <c r="IY29" s="12">
        <v>40998</v>
      </c>
      <c r="IZ29">
        <v>8.3019999999999996</v>
      </c>
      <c r="JA29" s="12">
        <v>42766</v>
      </c>
      <c r="JB29">
        <v>5.7439999999999998</v>
      </c>
      <c r="JC29" s="12">
        <v>40998</v>
      </c>
      <c r="JD29">
        <v>24.222000000000001</v>
      </c>
      <c r="JE29" s="12">
        <v>40998</v>
      </c>
      <c r="JF29">
        <v>232.08500000000001</v>
      </c>
      <c r="JI29" s="12">
        <v>40998</v>
      </c>
      <c r="JJ29">
        <v>9.6310000000000002</v>
      </c>
      <c r="JM29" s="12">
        <v>40998</v>
      </c>
      <c r="JN29">
        <v>1.3080000000000001</v>
      </c>
      <c r="JO29" s="12">
        <v>40998</v>
      </c>
      <c r="JP29">
        <v>18.713000000000001</v>
      </c>
      <c r="JQ29" s="12">
        <v>42398</v>
      </c>
      <c r="JR29">
        <v>6.3520000000000003</v>
      </c>
      <c r="JS29" s="12">
        <v>40998</v>
      </c>
      <c r="JT29">
        <v>7.0350000000000001</v>
      </c>
      <c r="JU29" s="12">
        <v>42216</v>
      </c>
      <c r="JV29">
        <v>41.735999999999997</v>
      </c>
      <c r="JW29" s="12">
        <v>40998</v>
      </c>
      <c r="JX29">
        <v>6.8090000000000002</v>
      </c>
      <c r="JY29" s="12">
        <v>40998</v>
      </c>
      <c r="JZ29">
        <v>9.5449999999999999</v>
      </c>
      <c r="KC29" s="12">
        <v>40998</v>
      </c>
      <c r="KD29">
        <v>7.117</v>
      </c>
      <c r="KE29" s="12">
        <v>40998</v>
      </c>
      <c r="KF29">
        <v>8.1780000000000008</v>
      </c>
      <c r="KG29" s="12">
        <v>40998</v>
      </c>
      <c r="KH29">
        <v>0.19800000000000001</v>
      </c>
      <c r="KI29" s="12">
        <v>40998</v>
      </c>
      <c r="KJ29">
        <v>7.1749999999999998</v>
      </c>
      <c r="KM29" s="12">
        <v>43616</v>
      </c>
      <c r="KN29">
        <v>20.05</v>
      </c>
      <c r="KO29" s="12">
        <v>40998</v>
      </c>
      <c r="KP29">
        <v>163.06200000000001</v>
      </c>
      <c r="KQ29" s="12">
        <v>40998</v>
      </c>
      <c r="KR29">
        <v>103.506</v>
      </c>
      <c r="KS29" s="12">
        <v>40998</v>
      </c>
      <c r="KT29">
        <v>12.806000000000001</v>
      </c>
      <c r="KU29" s="12">
        <v>40998</v>
      </c>
      <c r="KV29">
        <v>9.5020000000000007</v>
      </c>
      <c r="KW29" s="12">
        <v>40998</v>
      </c>
      <c r="KX29">
        <v>47.91</v>
      </c>
      <c r="KY29" s="12">
        <v>40998</v>
      </c>
      <c r="KZ29">
        <v>26</v>
      </c>
      <c r="LA29" s="12">
        <v>40998</v>
      </c>
      <c r="LB29">
        <v>20.84</v>
      </c>
      <c r="LC29" s="12">
        <v>40998</v>
      </c>
      <c r="LD29">
        <v>9.6470000000000002</v>
      </c>
      <c r="LE29" s="12">
        <v>40998</v>
      </c>
      <c r="LF29">
        <v>9.359</v>
      </c>
      <c r="LG29" s="12">
        <v>40998</v>
      </c>
      <c r="LH29">
        <v>10.335000000000001</v>
      </c>
      <c r="LI29" s="12">
        <v>40998</v>
      </c>
      <c r="LJ29">
        <v>16.405000000000001</v>
      </c>
      <c r="LM29" s="12">
        <v>40998</v>
      </c>
      <c r="LN29">
        <v>19.143000000000001</v>
      </c>
      <c r="LO29" s="12">
        <v>40998</v>
      </c>
      <c r="LP29">
        <v>11.391</v>
      </c>
      <c r="LQ29" s="12">
        <v>40998</v>
      </c>
      <c r="LR29">
        <v>30.507000000000001</v>
      </c>
      <c r="LS29" s="12">
        <v>40998</v>
      </c>
      <c r="LT29">
        <v>31.001999999999999</v>
      </c>
      <c r="LW29" s="12">
        <v>40998</v>
      </c>
      <c r="LX29">
        <v>2050.6660000000002</v>
      </c>
      <c r="LY29" s="12">
        <v>40998</v>
      </c>
      <c r="LZ29">
        <v>31.692</v>
      </c>
      <c r="MA29" s="12">
        <v>40998</v>
      </c>
      <c r="MB29">
        <v>18.347999999999999</v>
      </c>
      <c r="MC29" s="12">
        <v>42460</v>
      </c>
      <c r="MD29">
        <v>5.5369999999999999</v>
      </c>
      <c r="ME29" s="12">
        <v>40998</v>
      </c>
      <c r="MF29">
        <v>5.5049999999999999</v>
      </c>
      <c r="MG29" s="12">
        <v>40998</v>
      </c>
      <c r="MH29">
        <v>4.9379999999999997</v>
      </c>
      <c r="MI29" s="12">
        <v>43007</v>
      </c>
      <c r="MJ29">
        <v>13.178000000000001</v>
      </c>
      <c r="MK29" s="12">
        <v>40998</v>
      </c>
      <c r="ML29">
        <v>4.9399999999999995</v>
      </c>
    </row>
    <row r="30" spans="1:350" x14ac:dyDescent="0.3">
      <c r="A30" s="12">
        <v>41029</v>
      </c>
      <c r="B30" s="1">
        <v>12.516999999999999</v>
      </c>
      <c r="C30" s="12">
        <v>41394</v>
      </c>
      <c r="D30" s="1">
        <v>11.913</v>
      </c>
      <c r="E30" s="12">
        <v>41029</v>
      </c>
      <c r="F30" s="13">
        <v>8.6059999999999999</v>
      </c>
      <c r="G30" s="17">
        <v>41029</v>
      </c>
      <c r="H30" s="13">
        <v>7.8659999999999997</v>
      </c>
      <c r="I30" s="17">
        <v>41060</v>
      </c>
      <c r="J30">
        <v>15.483000000000001</v>
      </c>
      <c r="K30" s="12">
        <v>42247</v>
      </c>
      <c r="L30">
        <v>11.459</v>
      </c>
      <c r="M30" s="12">
        <v>41029</v>
      </c>
      <c r="N30" s="12">
        <v>64.718999999999994</v>
      </c>
      <c r="O30" s="12">
        <v>41029</v>
      </c>
      <c r="P30">
        <v>18.55</v>
      </c>
      <c r="Q30" s="12">
        <v>42429</v>
      </c>
      <c r="R30">
        <v>11.4</v>
      </c>
      <c r="S30" s="12">
        <v>41029</v>
      </c>
      <c r="T30">
        <v>15.047000000000001</v>
      </c>
      <c r="U30" s="12">
        <v>41453</v>
      </c>
      <c r="V30">
        <v>27.370999999999999</v>
      </c>
      <c r="W30" s="12">
        <v>43707</v>
      </c>
      <c r="X30">
        <v>47.1</v>
      </c>
      <c r="Y30" s="12">
        <v>41029</v>
      </c>
      <c r="Z30">
        <v>7.875</v>
      </c>
      <c r="AA30" s="12">
        <v>41029</v>
      </c>
      <c r="AB30">
        <v>14.265000000000001</v>
      </c>
      <c r="AC30" s="12">
        <v>41029</v>
      </c>
      <c r="AD30">
        <v>8.1310000000000002</v>
      </c>
      <c r="AE30" s="12">
        <v>41029</v>
      </c>
      <c r="AF30">
        <v>9.3919999999999995</v>
      </c>
      <c r="AG30" s="12">
        <v>41029</v>
      </c>
      <c r="AH30">
        <v>47.085000000000001</v>
      </c>
      <c r="AI30" s="12">
        <v>42247</v>
      </c>
      <c r="AJ30">
        <v>19.756</v>
      </c>
      <c r="AK30" s="12">
        <v>41029</v>
      </c>
      <c r="AL30">
        <v>8.4060000000000006</v>
      </c>
      <c r="AO30" s="12">
        <v>41029</v>
      </c>
      <c r="AP30">
        <v>4.6749999999999998</v>
      </c>
      <c r="AQ30" s="12">
        <v>43644</v>
      </c>
      <c r="AR30">
        <v>49.905999999999999</v>
      </c>
      <c r="AS30" s="12">
        <v>41029</v>
      </c>
      <c r="AT30">
        <v>5.71</v>
      </c>
      <c r="AU30" s="12">
        <v>41029</v>
      </c>
      <c r="AV30">
        <v>22.670999999999999</v>
      </c>
      <c r="AY30" s="12">
        <v>41029</v>
      </c>
      <c r="AZ30">
        <v>32.228999999999999</v>
      </c>
      <c r="BA30" s="12">
        <v>41029</v>
      </c>
      <c r="BB30">
        <v>10</v>
      </c>
      <c r="BC30" s="12">
        <v>41029</v>
      </c>
      <c r="BD30">
        <v>13.595000000000001</v>
      </c>
      <c r="BE30" s="12">
        <v>41121</v>
      </c>
      <c r="BF30">
        <v>12.295</v>
      </c>
      <c r="BG30" s="12">
        <v>41029</v>
      </c>
      <c r="BH30">
        <v>9.2789999999999999</v>
      </c>
      <c r="BI30" s="12">
        <v>41029</v>
      </c>
      <c r="BJ30">
        <v>7.0540000000000003</v>
      </c>
      <c r="BK30" s="12">
        <v>41029</v>
      </c>
      <c r="BL30">
        <v>10.195</v>
      </c>
      <c r="BM30" s="12">
        <v>41029</v>
      </c>
      <c r="BN30">
        <v>20.186</v>
      </c>
      <c r="BO30" s="12">
        <v>41029</v>
      </c>
      <c r="BP30">
        <v>9.9390000000000001</v>
      </c>
      <c r="BQ30" s="12">
        <v>41029</v>
      </c>
      <c r="BR30">
        <v>10.169</v>
      </c>
      <c r="BS30" s="12">
        <v>41029</v>
      </c>
      <c r="BT30">
        <v>11.81</v>
      </c>
      <c r="BU30" s="12">
        <v>41029</v>
      </c>
      <c r="BV30">
        <v>5.9</v>
      </c>
      <c r="BW30" s="12">
        <v>41029</v>
      </c>
      <c r="BX30">
        <v>2.927</v>
      </c>
      <c r="BY30" s="12">
        <v>41029</v>
      </c>
      <c r="BZ30">
        <v>21.318999999999999</v>
      </c>
      <c r="CA30" s="12">
        <v>41029</v>
      </c>
      <c r="CB30">
        <v>32.164000000000001</v>
      </c>
      <c r="CC30" s="12">
        <v>43798</v>
      </c>
      <c r="CD30">
        <v>18.809999999999999</v>
      </c>
      <c r="CE30" s="12">
        <v>41029</v>
      </c>
      <c r="CF30">
        <v>25.55</v>
      </c>
      <c r="CG30" s="12">
        <v>41029</v>
      </c>
      <c r="CH30">
        <v>23.484999999999999</v>
      </c>
      <c r="CI30" s="12">
        <v>41029</v>
      </c>
      <c r="CJ30">
        <v>32.417000000000002</v>
      </c>
      <c r="CK30" s="12">
        <v>41029</v>
      </c>
      <c r="CL30">
        <v>12.208</v>
      </c>
      <c r="CM30" s="12">
        <v>41029</v>
      </c>
      <c r="CN30">
        <v>24.2</v>
      </c>
      <c r="CO30" s="12">
        <v>42489</v>
      </c>
      <c r="CP30">
        <v>18.298999999999999</v>
      </c>
      <c r="CQ30" s="12">
        <v>41029</v>
      </c>
      <c r="CR30">
        <v>11.682</v>
      </c>
      <c r="CS30" s="12">
        <v>41029</v>
      </c>
      <c r="CT30">
        <v>13.257999999999999</v>
      </c>
      <c r="CU30" s="12">
        <v>41029</v>
      </c>
      <c r="CV30">
        <v>6.5490000000000004</v>
      </c>
      <c r="CW30" s="12">
        <v>41029</v>
      </c>
      <c r="CX30">
        <v>7.173</v>
      </c>
      <c r="CY30" s="12">
        <v>41121</v>
      </c>
      <c r="CZ30">
        <v>11.422000000000001</v>
      </c>
      <c r="DA30" s="12">
        <v>41029</v>
      </c>
      <c r="DB30">
        <v>16.439</v>
      </c>
      <c r="DC30" s="12">
        <v>41029</v>
      </c>
      <c r="DD30">
        <v>12.72</v>
      </c>
      <c r="DE30" s="12">
        <v>41029</v>
      </c>
      <c r="DF30">
        <v>13.274000000000001</v>
      </c>
      <c r="DG30" s="12">
        <v>41394</v>
      </c>
      <c r="DH30">
        <v>14.878</v>
      </c>
      <c r="DI30" s="12">
        <v>41029</v>
      </c>
      <c r="DJ30">
        <v>26.158000000000001</v>
      </c>
      <c r="DK30" s="12">
        <v>41029</v>
      </c>
      <c r="DL30">
        <v>15.146000000000001</v>
      </c>
      <c r="DM30" s="12">
        <v>41453</v>
      </c>
      <c r="DN30">
        <v>6.8149999999999995</v>
      </c>
      <c r="DO30" s="12">
        <v>41029</v>
      </c>
      <c r="DP30">
        <v>8.7859999999999996</v>
      </c>
      <c r="DQ30" s="12">
        <v>41029</v>
      </c>
      <c r="DR30">
        <v>779.36800000000005</v>
      </c>
      <c r="DS30" s="12">
        <v>41029</v>
      </c>
      <c r="DT30">
        <v>8.2370000000000001</v>
      </c>
      <c r="DU30" s="12">
        <v>41029</v>
      </c>
      <c r="DV30">
        <v>2.5099999999999998</v>
      </c>
      <c r="DW30" s="12">
        <v>41029</v>
      </c>
      <c r="DX30">
        <v>5.8920000000000003</v>
      </c>
      <c r="DY30" s="12">
        <v>41029</v>
      </c>
      <c r="DZ30">
        <v>10.475999999999999</v>
      </c>
      <c r="EC30" s="12">
        <v>41029</v>
      </c>
      <c r="ED30">
        <v>12.677</v>
      </c>
      <c r="EE30" s="12">
        <v>41029</v>
      </c>
      <c r="EF30">
        <v>8.9179999999999993</v>
      </c>
      <c r="EG30" s="12">
        <v>41029</v>
      </c>
      <c r="EH30">
        <v>18.347000000000001</v>
      </c>
      <c r="EI30" s="12">
        <v>41029</v>
      </c>
      <c r="EJ30">
        <v>24.899000000000001</v>
      </c>
      <c r="EK30" s="12">
        <v>41029</v>
      </c>
      <c r="EL30">
        <v>12.65</v>
      </c>
      <c r="EM30" s="12">
        <v>41029</v>
      </c>
      <c r="EN30">
        <v>15.727</v>
      </c>
      <c r="EQ30" s="12">
        <v>41029</v>
      </c>
      <c r="ER30">
        <v>20.459</v>
      </c>
      <c r="ES30" s="12">
        <v>41029</v>
      </c>
      <c r="ET30">
        <v>10.15</v>
      </c>
      <c r="EU30" s="12">
        <v>41029</v>
      </c>
      <c r="EV30">
        <v>2.1789999999999998</v>
      </c>
      <c r="EY30" s="12">
        <v>41029</v>
      </c>
      <c r="EZ30">
        <v>32.792999999999999</v>
      </c>
      <c r="FA30" s="12">
        <v>41029</v>
      </c>
      <c r="FB30">
        <v>10.026999999999999</v>
      </c>
      <c r="FC30" s="12">
        <v>41029</v>
      </c>
      <c r="FD30">
        <v>18.524000000000001</v>
      </c>
      <c r="FE30" s="12">
        <v>43798</v>
      </c>
      <c r="FF30">
        <v>37.130000000000003</v>
      </c>
      <c r="FG30" s="12">
        <v>41029</v>
      </c>
      <c r="FH30">
        <v>3.3420000000000001</v>
      </c>
      <c r="FI30" s="12">
        <v>41029</v>
      </c>
      <c r="FJ30">
        <v>7.8170000000000002</v>
      </c>
      <c r="FK30" s="12">
        <v>41029</v>
      </c>
      <c r="FL30">
        <v>9.0969999999999995</v>
      </c>
      <c r="FM30" s="12">
        <v>41029</v>
      </c>
      <c r="FN30">
        <v>6.73</v>
      </c>
      <c r="FO30" s="12">
        <v>41029</v>
      </c>
      <c r="FP30">
        <v>10.19</v>
      </c>
      <c r="FQ30" s="12">
        <v>42521</v>
      </c>
      <c r="FR30">
        <v>15.506</v>
      </c>
      <c r="FS30" s="12">
        <v>41029</v>
      </c>
      <c r="FT30">
        <v>1.2829999999999999</v>
      </c>
      <c r="FU30" s="12">
        <v>41029</v>
      </c>
      <c r="FV30">
        <v>8.1289999999999996</v>
      </c>
      <c r="FW30" s="12">
        <v>41029</v>
      </c>
      <c r="FX30">
        <v>8.891</v>
      </c>
      <c r="FY30" s="12">
        <v>41880</v>
      </c>
      <c r="FZ30">
        <v>1.268</v>
      </c>
      <c r="GA30" s="12">
        <v>41029</v>
      </c>
      <c r="GB30">
        <v>12.975</v>
      </c>
      <c r="GC30" s="12">
        <v>41029</v>
      </c>
      <c r="GD30">
        <v>18.849</v>
      </c>
      <c r="GE30" s="12">
        <v>42185</v>
      </c>
      <c r="GF30">
        <v>15.333</v>
      </c>
      <c r="GI30" s="12">
        <v>41029</v>
      </c>
      <c r="GJ30">
        <v>8.8130000000000006</v>
      </c>
      <c r="GK30" s="12">
        <v>41029</v>
      </c>
      <c r="GL30">
        <v>29.677</v>
      </c>
      <c r="GM30" s="12">
        <v>41029</v>
      </c>
      <c r="GN30">
        <v>16.943999999999999</v>
      </c>
      <c r="GO30" s="12">
        <v>41516</v>
      </c>
      <c r="GP30">
        <v>0.66400000000000003</v>
      </c>
      <c r="GQ30" s="12">
        <v>41152</v>
      </c>
      <c r="GR30">
        <v>29.292000000000002</v>
      </c>
      <c r="GS30" s="12">
        <v>41029</v>
      </c>
      <c r="GT30">
        <v>1325.3810000000001</v>
      </c>
      <c r="GU30" s="12">
        <v>43644</v>
      </c>
      <c r="GV30">
        <v>14.567</v>
      </c>
      <c r="GW30" s="12">
        <v>41089</v>
      </c>
      <c r="GX30">
        <v>29.867999999999999</v>
      </c>
      <c r="GY30" s="12">
        <v>41029</v>
      </c>
      <c r="GZ30">
        <v>10.49</v>
      </c>
      <c r="HA30" s="12">
        <v>41029</v>
      </c>
      <c r="HB30">
        <v>6.8659999999999997</v>
      </c>
      <c r="HC30" s="12">
        <v>41029</v>
      </c>
      <c r="HD30">
        <v>12.872</v>
      </c>
      <c r="HE30" s="12">
        <v>41029</v>
      </c>
      <c r="HF30">
        <v>26.907</v>
      </c>
      <c r="HG30" s="12">
        <v>41029</v>
      </c>
      <c r="HH30">
        <v>17.658999999999999</v>
      </c>
      <c r="HI30" s="12">
        <v>41029</v>
      </c>
      <c r="HJ30">
        <v>7.8520000000000003</v>
      </c>
      <c r="HK30" s="12">
        <v>41029</v>
      </c>
      <c r="HL30">
        <v>1323</v>
      </c>
      <c r="HM30" s="12">
        <v>41029</v>
      </c>
      <c r="HN30">
        <v>70.876999999999995</v>
      </c>
      <c r="HO30" s="12">
        <v>41029</v>
      </c>
      <c r="HP30">
        <v>62.168999999999997</v>
      </c>
      <c r="HQ30" s="12">
        <v>41121</v>
      </c>
      <c r="HR30">
        <v>1199</v>
      </c>
      <c r="HS30" s="12">
        <v>41029</v>
      </c>
      <c r="HT30">
        <v>82.55</v>
      </c>
      <c r="HU30" s="12">
        <v>41029</v>
      </c>
      <c r="HV30">
        <v>1983.086</v>
      </c>
      <c r="HW30" s="12">
        <v>41029</v>
      </c>
      <c r="HX30">
        <v>20.553999999999998</v>
      </c>
      <c r="HY30" s="12">
        <v>41029</v>
      </c>
      <c r="HZ30">
        <v>17.673999999999999</v>
      </c>
      <c r="IA30" s="12">
        <v>41029</v>
      </c>
      <c r="IB30">
        <v>47.064999999999998</v>
      </c>
      <c r="IC30" s="12">
        <v>41029</v>
      </c>
      <c r="ID30">
        <v>4.0869999999999997</v>
      </c>
      <c r="IE30" s="12">
        <v>41029</v>
      </c>
      <c r="IF30">
        <v>6.2460000000000004</v>
      </c>
      <c r="IG30" s="12">
        <v>41333</v>
      </c>
      <c r="IH30">
        <v>18.399999999999999</v>
      </c>
      <c r="II30" s="12">
        <v>41029</v>
      </c>
      <c r="IJ30">
        <v>26.181000000000001</v>
      </c>
      <c r="IM30" s="12">
        <v>41029</v>
      </c>
      <c r="IN30">
        <v>11.929</v>
      </c>
      <c r="IO30" s="12">
        <v>41578</v>
      </c>
      <c r="IP30">
        <v>13.053000000000001</v>
      </c>
      <c r="IQ30" s="12">
        <v>41029</v>
      </c>
      <c r="IR30">
        <v>19.033999999999999</v>
      </c>
      <c r="IS30" s="12">
        <v>42947</v>
      </c>
      <c r="IT30">
        <v>10.34</v>
      </c>
      <c r="IU30" s="12">
        <v>41029</v>
      </c>
      <c r="IV30">
        <v>6.8853999999999997</v>
      </c>
      <c r="IW30" s="12">
        <v>41029</v>
      </c>
      <c r="IX30">
        <v>32.1</v>
      </c>
      <c r="IY30" s="12">
        <v>41029</v>
      </c>
      <c r="IZ30">
        <v>8.0419999999999998</v>
      </c>
      <c r="JA30" s="12">
        <v>42794</v>
      </c>
      <c r="JB30">
        <v>6.6319999999999997</v>
      </c>
      <c r="JC30" s="12">
        <v>41029</v>
      </c>
      <c r="JD30">
        <v>23.059000000000001</v>
      </c>
      <c r="JE30" s="12">
        <v>41029</v>
      </c>
      <c r="JF30">
        <v>195.62899999999999</v>
      </c>
      <c r="JI30" s="12">
        <v>41029</v>
      </c>
      <c r="JJ30">
        <v>8.9090000000000007</v>
      </c>
      <c r="JM30" s="12">
        <v>41029</v>
      </c>
      <c r="JN30">
        <v>1.337</v>
      </c>
      <c r="JO30" s="12">
        <v>41029</v>
      </c>
      <c r="JP30">
        <v>20.103999999999999</v>
      </c>
      <c r="JQ30" s="12">
        <v>42429</v>
      </c>
      <c r="JR30">
        <v>7.1840000000000002</v>
      </c>
      <c r="JS30" s="12">
        <v>41029</v>
      </c>
      <c r="JT30">
        <v>6.8</v>
      </c>
      <c r="JU30" s="12">
        <v>42247</v>
      </c>
      <c r="JV30">
        <v>36.1</v>
      </c>
      <c r="JW30" s="12">
        <v>41029</v>
      </c>
      <c r="JX30">
        <v>6.6550000000000002</v>
      </c>
      <c r="JY30" s="12">
        <v>41029</v>
      </c>
      <c r="JZ30">
        <v>9.0920000000000005</v>
      </c>
      <c r="KC30" s="12">
        <v>41029</v>
      </c>
      <c r="KD30">
        <v>6.5609999999999999</v>
      </c>
      <c r="KE30" s="12">
        <v>41029</v>
      </c>
      <c r="KF30">
        <v>9.6869999999999994</v>
      </c>
      <c r="KG30" s="12">
        <v>41029</v>
      </c>
      <c r="KH30">
        <v>0.20100000000000001</v>
      </c>
      <c r="KI30" s="12">
        <v>41029</v>
      </c>
      <c r="KJ30">
        <v>6.4610000000000003</v>
      </c>
      <c r="KM30" s="12">
        <v>43644</v>
      </c>
      <c r="KN30">
        <v>23.588000000000001</v>
      </c>
      <c r="KO30" s="12">
        <v>41029</v>
      </c>
      <c r="KP30">
        <v>164.488</v>
      </c>
      <c r="KQ30" s="12">
        <v>41029</v>
      </c>
      <c r="KR30">
        <v>93.876999999999995</v>
      </c>
      <c r="KS30" s="12">
        <v>41029</v>
      </c>
      <c r="KT30">
        <v>12.625</v>
      </c>
      <c r="KU30" s="12">
        <v>41029</v>
      </c>
      <c r="KV30">
        <v>9.43</v>
      </c>
      <c r="KW30" s="12">
        <v>41029</v>
      </c>
      <c r="KX30">
        <v>42.67</v>
      </c>
      <c r="KY30" s="12">
        <v>41029</v>
      </c>
      <c r="KZ30">
        <v>27.75</v>
      </c>
      <c r="LA30" s="12">
        <v>41029</v>
      </c>
      <c r="LB30">
        <v>20.36</v>
      </c>
      <c r="LC30" s="12">
        <v>41029</v>
      </c>
      <c r="LD30">
        <v>10.634</v>
      </c>
      <c r="LE30" s="12">
        <v>41029</v>
      </c>
      <c r="LF30">
        <v>9.3559999999999999</v>
      </c>
      <c r="LG30" s="12">
        <v>41029</v>
      </c>
      <c r="LH30">
        <v>11.984999999999999</v>
      </c>
      <c r="LI30" s="12">
        <v>41029</v>
      </c>
      <c r="LJ30">
        <v>17.757999999999999</v>
      </c>
      <c r="LM30" s="12">
        <v>41029</v>
      </c>
      <c r="LN30">
        <v>17.596</v>
      </c>
      <c r="LO30" s="12">
        <v>41029</v>
      </c>
      <c r="LP30">
        <v>10.356999999999999</v>
      </c>
      <c r="LQ30" s="12">
        <v>41029</v>
      </c>
      <c r="LR30">
        <v>31.050999999999998</v>
      </c>
      <c r="LS30" s="12">
        <v>41029</v>
      </c>
      <c r="LT30">
        <v>31.786999999999999</v>
      </c>
      <c r="LW30" s="12">
        <v>41029</v>
      </c>
      <c r="LX30">
        <v>1929.085</v>
      </c>
      <c r="LY30" s="12">
        <v>41029</v>
      </c>
      <c r="LZ30">
        <v>31.504999999999999</v>
      </c>
      <c r="MA30" s="12">
        <v>41029</v>
      </c>
      <c r="MB30">
        <v>20.704999999999998</v>
      </c>
      <c r="MC30" s="12">
        <v>42489</v>
      </c>
      <c r="MD30">
        <v>6.0949999999999998</v>
      </c>
      <c r="ME30" s="12">
        <v>41029</v>
      </c>
      <c r="MF30">
        <v>4.5869999999999997</v>
      </c>
      <c r="MG30" s="12">
        <v>41029</v>
      </c>
      <c r="MH30">
        <v>5.0229999999999997</v>
      </c>
      <c r="MI30" s="12">
        <v>43039</v>
      </c>
      <c r="MJ30">
        <v>12.504</v>
      </c>
      <c r="MK30" s="12">
        <v>41029</v>
      </c>
      <c r="ML30">
        <v>6.0270000000000001</v>
      </c>
    </row>
    <row r="31" spans="1:350" x14ac:dyDescent="0.3">
      <c r="A31" s="12">
        <v>41060</v>
      </c>
      <c r="B31" s="1">
        <v>12.02</v>
      </c>
      <c r="C31" s="12">
        <v>41425</v>
      </c>
      <c r="D31" s="1">
        <v>13.336</v>
      </c>
      <c r="E31" s="12">
        <v>41060</v>
      </c>
      <c r="F31" s="13">
        <v>8.3089999999999993</v>
      </c>
      <c r="G31" s="17">
        <v>41060</v>
      </c>
      <c r="H31" s="13">
        <v>6.4980000000000002</v>
      </c>
      <c r="I31" s="17">
        <v>41089</v>
      </c>
      <c r="J31">
        <v>15.307</v>
      </c>
      <c r="K31" s="12">
        <v>42277</v>
      </c>
      <c r="L31">
        <v>11.686999999999999</v>
      </c>
      <c r="M31" s="12">
        <v>41060</v>
      </c>
      <c r="N31" s="12">
        <v>60.091000000000001</v>
      </c>
      <c r="O31" s="12">
        <v>41060</v>
      </c>
      <c r="P31">
        <v>19</v>
      </c>
      <c r="Q31" s="12">
        <v>42460</v>
      </c>
      <c r="R31">
        <v>9.6129999999999995</v>
      </c>
      <c r="S31" s="12">
        <v>41060</v>
      </c>
      <c r="T31">
        <v>14.865</v>
      </c>
      <c r="U31" s="12">
        <v>41486</v>
      </c>
      <c r="V31">
        <v>28.905000000000001</v>
      </c>
      <c r="W31" s="12">
        <v>43738</v>
      </c>
      <c r="X31">
        <v>49.71</v>
      </c>
      <c r="Y31" s="12">
        <v>41060</v>
      </c>
      <c r="Z31">
        <v>7.1</v>
      </c>
      <c r="AA31" s="12">
        <v>41060</v>
      </c>
      <c r="AB31">
        <v>12.134</v>
      </c>
      <c r="AC31" s="12">
        <v>41060</v>
      </c>
      <c r="AD31">
        <v>7.835</v>
      </c>
      <c r="AE31" s="12">
        <v>41060</v>
      </c>
      <c r="AF31">
        <v>9.0820000000000007</v>
      </c>
      <c r="AG31" s="12">
        <v>41060</v>
      </c>
      <c r="AH31">
        <v>43.113</v>
      </c>
      <c r="AI31" s="12">
        <v>42277</v>
      </c>
      <c r="AJ31">
        <v>17.077999999999999</v>
      </c>
      <c r="AK31" s="12">
        <v>41060</v>
      </c>
      <c r="AL31">
        <v>7.5309999999999997</v>
      </c>
      <c r="AO31" s="12">
        <v>41060</v>
      </c>
      <c r="AP31">
        <v>3.306</v>
      </c>
      <c r="AQ31" s="12">
        <v>43677</v>
      </c>
      <c r="AR31">
        <v>58.616</v>
      </c>
      <c r="AS31" s="12">
        <v>41060</v>
      </c>
      <c r="AT31">
        <v>4.3170000000000002</v>
      </c>
      <c r="AU31" s="12">
        <v>41060</v>
      </c>
      <c r="AV31">
        <v>20.501999999999999</v>
      </c>
      <c r="AY31" s="12">
        <v>41060</v>
      </c>
      <c r="AZ31">
        <v>29.03</v>
      </c>
      <c r="BA31" s="12">
        <v>41060</v>
      </c>
      <c r="BB31">
        <v>8.3960000000000008</v>
      </c>
      <c r="BC31" s="12">
        <v>41060</v>
      </c>
      <c r="BD31">
        <v>12.744999999999999</v>
      </c>
      <c r="BE31" s="12">
        <v>41152</v>
      </c>
      <c r="BF31">
        <v>12.707000000000001</v>
      </c>
      <c r="BG31" s="12">
        <v>41060</v>
      </c>
      <c r="BH31">
        <v>9.077</v>
      </c>
      <c r="BI31" s="12">
        <v>41060</v>
      </c>
      <c r="BJ31">
        <v>5.258</v>
      </c>
      <c r="BK31" s="12">
        <v>41060</v>
      </c>
      <c r="BL31">
        <v>10.815</v>
      </c>
      <c r="BM31" s="12">
        <v>41060</v>
      </c>
      <c r="BN31">
        <v>19.446999999999999</v>
      </c>
      <c r="BO31" s="12">
        <v>41060</v>
      </c>
      <c r="BP31">
        <v>9.4700000000000006</v>
      </c>
      <c r="BQ31" s="12">
        <v>41060</v>
      </c>
      <c r="BR31">
        <v>9.2889999999999997</v>
      </c>
      <c r="BS31" s="12">
        <v>41060</v>
      </c>
      <c r="BT31">
        <v>10.997</v>
      </c>
      <c r="BU31" s="12">
        <v>41060</v>
      </c>
      <c r="BV31">
        <v>5.99</v>
      </c>
      <c r="BW31" s="12">
        <v>41060</v>
      </c>
      <c r="BX31">
        <v>3.1480000000000001</v>
      </c>
      <c r="BY31" s="12">
        <v>41060</v>
      </c>
      <c r="BZ31">
        <v>19.742999999999999</v>
      </c>
      <c r="CA31" s="12">
        <v>41060</v>
      </c>
      <c r="CB31">
        <v>27.321000000000002</v>
      </c>
      <c r="CC31" s="12">
        <v>43830</v>
      </c>
      <c r="CD31">
        <v>23.35</v>
      </c>
      <c r="CE31" s="12">
        <v>41060</v>
      </c>
      <c r="CF31">
        <v>23.234999999999999</v>
      </c>
      <c r="CG31" s="12">
        <v>41060</v>
      </c>
      <c r="CH31">
        <v>21.257000000000001</v>
      </c>
      <c r="CI31" s="12">
        <v>41060</v>
      </c>
      <c r="CJ31">
        <v>31.346</v>
      </c>
      <c r="CK31" s="12">
        <v>41060</v>
      </c>
      <c r="CL31">
        <v>9.6989999999999998</v>
      </c>
      <c r="CM31" s="12">
        <v>41060</v>
      </c>
      <c r="CN31">
        <v>23.991</v>
      </c>
      <c r="CO31" s="12">
        <v>42521</v>
      </c>
      <c r="CP31">
        <v>20.611000000000001</v>
      </c>
      <c r="CQ31" s="12">
        <v>41060</v>
      </c>
      <c r="CR31">
        <v>11.47</v>
      </c>
      <c r="CS31" s="12">
        <v>41060</v>
      </c>
      <c r="CT31">
        <v>13.644</v>
      </c>
      <c r="CU31" s="12">
        <v>41060</v>
      </c>
      <c r="CV31">
        <v>6.3280000000000003</v>
      </c>
      <c r="CW31" s="12">
        <v>41060</v>
      </c>
      <c r="CX31">
        <v>6.1870000000000003</v>
      </c>
      <c r="CY31" s="12">
        <v>41152</v>
      </c>
      <c r="CZ31">
        <v>11.600999999999999</v>
      </c>
      <c r="DA31" s="12">
        <v>41060</v>
      </c>
      <c r="DB31">
        <v>16.739000000000001</v>
      </c>
      <c r="DC31" s="12">
        <v>41060</v>
      </c>
      <c r="DD31">
        <v>11.281000000000001</v>
      </c>
      <c r="DE31" s="12">
        <v>41060</v>
      </c>
      <c r="DF31">
        <v>11.798</v>
      </c>
      <c r="DG31" s="12">
        <v>41425</v>
      </c>
      <c r="DH31">
        <v>10.129</v>
      </c>
      <c r="DI31" s="12">
        <v>41060</v>
      </c>
      <c r="DJ31">
        <v>21.529</v>
      </c>
      <c r="DK31" s="12">
        <v>41060</v>
      </c>
      <c r="DL31">
        <v>13.221</v>
      </c>
      <c r="DM31" s="12">
        <v>41486</v>
      </c>
      <c r="DN31">
        <v>7.2690000000000001</v>
      </c>
      <c r="DO31" s="12">
        <v>41060</v>
      </c>
      <c r="DP31">
        <v>8.5020000000000007</v>
      </c>
      <c r="DQ31" s="12">
        <v>41060</v>
      </c>
      <c r="DR31">
        <v>641.20000000000005</v>
      </c>
      <c r="DS31" s="12">
        <v>41060</v>
      </c>
      <c r="DT31">
        <v>8.2370000000000001</v>
      </c>
      <c r="DU31" s="12">
        <v>41060</v>
      </c>
      <c r="DV31">
        <v>2.6219999999999999</v>
      </c>
      <c r="DW31" s="12">
        <v>41060</v>
      </c>
      <c r="DX31">
        <v>5.4870000000000001</v>
      </c>
      <c r="DY31" s="12">
        <v>41060</v>
      </c>
      <c r="DZ31">
        <v>9.9529999999999994</v>
      </c>
      <c r="EC31" s="12">
        <v>41060</v>
      </c>
      <c r="ED31">
        <v>10.925000000000001</v>
      </c>
      <c r="EE31" s="12">
        <v>41060</v>
      </c>
      <c r="EF31">
        <v>8.7650000000000006</v>
      </c>
      <c r="EG31" s="12">
        <v>41060</v>
      </c>
      <c r="EH31">
        <v>19.204000000000001</v>
      </c>
      <c r="EI31" s="12">
        <v>41060</v>
      </c>
      <c r="EJ31">
        <v>18.286999999999999</v>
      </c>
      <c r="EK31" s="12">
        <v>41060</v>
      </c>
      <c r="EL31">
        <v>11.662000000000001</v>
      </c>
      <c r="EM31" s="12">
        <v>41060</v>
      </c>
      <c r="EN31">
        <v>13.968999999999999</v>
      </c>
      <c r="EQ31" s="12">
        <v>41060</v>
      </c>
      <c r="ER31">
        <v>17.620999999999999</v>
      </c>
      <c r="ES31" s="12">
        <v>41060</v>
      </c>
      <c r="ET31">
        <v>8.0399999999999991</v>
      </c>
      <c r="EU31" s="12">
        <v>41060</v>
      </c>
      <c r="EV31">
        <v>2.3220000000000001</v>
      </c>
      <c r="EY31" s="12">
        <v>41060</v>
      </c>
      <c r="EZ31">
        <v>29.440999999999999</v>
      </c>
      <c r="FA31" s="12">
        <v>41060</v>
      </c>
      <c r="FB31">
        <v>9.0429999999999993</v>
      </c>
      <c r="FC31" s="12">
        <v>41060</v>
      </c>
      <c r="FD31">
        <v>17.126000000000001</v>
      </c>
      <c r="FE31" s="12">
        <v>43830</v>
      </c>
      <c r="FF31">
        <v>38.950000000000003</v>
      </c>
      <c r="FG31" s="12">
        <v>41060</v>
      </c>
      <c r="FH31">
        <v>3.2490000000000001</v>
      </c>
      <c r="FI31" s="12">
        <v>41060</v>
      </c>
      <c r="FJ31">
        <v>7.5110000000000001</v>
      </c>
      <c r="FK31" s="12">
        <v>41060</v>
      </c>
      <c r="FL31">
        <v>8.8889999999999993</v>
      </c>
      <c r="FM31" s="12">
        <v>41060</v>
      </c>
      <c r="FN31">
        <v>4.891</v>
      </c>
      <c r="FO31" s="12">
        <v>41060</v>
      </c>
      <c r="FP31">
        <v>9.7650000000000006</v>
      </c>
      <c r="FQ31" s="12">
        <v>42551</v>
      </c>
      <c r="FR31">
        <v>13.173</v>
      </c>
      <c r="FS31" s="12">
        <v>41060</v>
      </c>
      <c r="FT31">
        <v>1.1930000000000001</v>
      </c>
      <c r="FU31" s="12">
        <v>41060</v>
      </c>
      <c r="FV31">
        <v>6.84</v>
      </c>
      <c r="FW31" s="12">
        <v>41060</v>
      </c>
      <c r="FX31">
        <v>7.7059999999999995</v>
      </c>
      <c r="FY31" s="12">
        <v>41912</v>
      </c>
      <c r="FZ31">
        <v>1.1499999999999999</v>
      </c>
      <c r="GA31" s="12">
        <v>41060</v>
      </c>
      <c r="GB31">
        <v>13.288</v>
      </c>
      <c r="GC31" s="12">
        <v>41060</v>
      </c>
      <c r="GD31">
        <v>18.013000000000002</v>
      </c>
      <c r="GE31" s="12">
        <v>42216</v>
      </c>
      <c r="GF31">
        <v>16.048999999999999</v>
      </c>
      <c r="GI31" s="12">
        <v>41060</v>
      </c>
      <c r="GJ31">
        <v>8.3640000000000008</v>
      </c>
      <c r="GK31" s="12">
        <v>41060</v>
      </c>
      <c r="GL31">
        <v>28.242000000000001</v>
      </c>
      <c r="GM31" s="12">
        <v>41060</v>
      </c>
      <c r="GN31">
        <v>16.902000000000001</v>
      </c>
      <c r="GO31" s="12">
        <v>41547</v>
      </c>
      <c r="GP31">
        <v>0.873</v>
      </c>
      <c r="GQ31" s="12">
        <v>41180</v>
      </c>
      <c r="GR31">
        <v>28.608000000000001</v>
      </c>
      <c r="GS31" s="12">
        <v>41060</v>
      </c>
      <c r="GT31">
        <v>948.41</v>
      </c>
      <c r="GU31" s="12">
        <v>43677</v>
      </c>
      <c r="GV31">
        <v>14.672000000000001</v>
      </c>
      <c r="GW31" s="12">
        <v>41121</v>
      </c>
      <c r="GX31">
        <v>31.312000000000001</v>
      </c>
      <c r="GY31" s="12">
        <v>41060</v>
      </c>
      <c r="GZ31">
        <v>9.1</v>
      </c>
      <c r="HA31" s="12">
        <v>41060</v>
      </c>
      <c r="HB31">
        <v>5.5759999999999996</v>
      </c>
      <c r="HC31" s="12">
        <v>41060</v>
      </c>
      <c r="HD31">
        <v>13.786</v>
      </c>
      <c r="HE31" s="12">
        <v>41060</v>
      </c>
      <c r="HF31">
        <v>20.422000000000001</v>
      </c>
      <c r="HG31" s="12">
        <v>41060</v>
      </c>
      <c r="HH31">
        <v>17.478000000000002</v>
      </c>
      <c r="HI31" s="12">
        <v>41060</v>
      </c>
      <c r="HJ31">
        <v>8.3390000000000004</v>
      </c>
      <c r="HK31" s="12">
        <v>41060</v>
      </c>
      <c r="HL31">
        <v>1030</v>
      </c>
      <c r="HM31" s="12">
        <v>41060</v>
      </c>
      <c r="HN31">
        <v>57.695</v>
      </c>
      <c r="HO31" s="12">
        <v>41060</v>
      </c>
      <c r="HP31">
        <v>48.426000000000002</v>
      </c>
      <c r="HQ31" s="12">
        <v>41152</v>
      </c>
      <c r="HR31">
        <v>1115</v>
      </c>
      <c r="HS31" s="12">
        <v>41060</v>
      </c>
      <c r="HT31">
        <v>71.263999999999996</v>
      </c>
      <c r="HU31" s="12">
        <v>41060</v>
      </c>
      <c r="HV31">
        <v>1524.761</v>
      </c>
      <c r="HW31" s="12">
        <v>41060</v>
      </c>
      <c r="HX31">
        <v>18.356999999999999</v>
      </c>
      <c r="HY31" s="12">
        <v>41060</v>
      </c>
      <c r="HZ31">
        <v>16.045000000000002</v>
      </c>
      <c r="IA31" s="12">
        <v>41060</v>
      </c>
      <c r="IB31">
        <v>36.067</v>
      </c>
      <c r="IC31" s="12">
        <v>41060</v>
      </c>
      <c r="ID31">
        <v>3.7480000000000002</v>
      </c>
      <c r="IE31" s="12">
        <v>41060</v>
      </c>
      <c r="IF31">
        <v>5.4859999999999998</v>
      </c>
      <c r="IG31" s="12">
        <v>41362</v>
      </c>
      <c r="IH31">
        <v>16.649999999999999</v>
      </c>
      <c r="II31" s="12">
        <v>41060</v>
      </c>
      <c r="IJ31">
        <v>19.369</v>
      </c>
      <c r="IM31" s="12">
        <v>41060</v>
      </c>
      <c r="IN31">
        <v>11.358000000000001</v>
      </c>
      <c r="IO31" s="12">
        <v>41607</v>
      </c>
      <c r="IP31">
        <v>13.557</v>
      </c>
      <c r="IQ31" s="12">
        <v>41060</v>
      </c>
      <c r="IR31">
        <v>17.283000000000001</v>
      </c>
      <c r="IS31" s="12">
        <v>42978</v>
      </c>
      <c r="IT31">
        <v>10.33</v>
      </c>
      <c r="IU31" s="12">
        <v>41060</v>
      </c>
      <c r="IV31">
        <v>6.3468999999999998</v>
      </c>
      <c r="IW31" s="12">
        <v>41060</v>
      </c>
      <c r="IX31">
        <v>31</v>
      </c>
      <c r="IY31" s="12">
        <v>41060</v>
      </c>
      <c r="IZ31">
        <v>7.9390000000000001</v>
      </c>
      <c r="JA31" s="12">
        <v>42825</v>
      </c>
      <c r="JB31">
        <v>6.5839999999999996</v>
      </c>
      <c r="JC31" s="12">
        <v>41060</v>
      </c>
      <c r="JD31">
        <v>18.408999999999999</v>
      </c>
      <c r="JE31" s="12">
        <v>41060</v>
      </c>
      <c r="JF31">
        <v>129.11500000000001</v>
      </c>
      <c r="JI31" s="12">
        <v>41060</v>
      </c>
      <c r="JJ31">
        <v>9.3450000000000006</v>
      </c>
      <c r="JM31" s="12">
        <v>41060</v>
      </c>
      <c r="JN31">
        <v>1.3149999999999999</v>
      </c>
      <c r="JO31" s="12">
        <v>41060</v>
      </c>
      <c r="JP31">
        <v>19.074999999999999</v>
      </c>
      <c r="JQ31" s="12">
        <v>42460</v>
      </c>
      <c r="JR31">
        <v>9.0449999999999999</v>
      </c>
      <c r="JS31" s="12">
        <v>41060</v>
      </c>
      <c r="JT31">
        <v>7.2610000000000001</v>
      </c>
      <c r="JU31" s="12">
        <v>42277</v>
      </c>
      <c r="JV31">
        <v>22.675000000000001</v>
      </c>
      <c r="JW31" s="12">
        <v>41060</v>
      </c>
      <c r="JX31">
        <v>5.8220000000000001</v>
      </c>
      <c r="JY31" s="12">
        <v>41060</v>
      </c>
      <c r="JZ31">
        <v>8.1959999999999997</v>
      </c>
      <c r="KC31" s="12">
        <v>41060</v>
      </c>
      <c r="KD31">
        <v>4.5739999999999998</v>
      </c>
      <c r="KE31" s="12">
        <v>41060</v>
      </c>
      <c r="KF31">
        <v>8.1349999999999998</v>
      </c>
      <c r="KG31" s="12">
        <v>41060</v>
      </c>
      <c r="KH31">
        <v>0.19</v>
      </c>
      <c r="KI31" s="12">
        <v>41060</v>
      </c>
      <c r="KJ31">
        <v>5.7679999999999998</v>
      </c>
      <c r="KM31" s="12">
        <v>43677</v>
      </c>
      <c r="KN31">
        <v>25.009</v>
      </c>
      <c r="KO31" s="12">
        <v>41060</v>
      </c>
      <c r="KP31">
        <v>132.636</v>
      </c>
      <c r="KQ31" s="12">
        <v>41060</v>
      </c>
      <c r="KR31">
        <v>89.063000000000002</v>
      </c>
      <c r="KS31" s="12">
        <v>41060</v>
      </c>
      <c r="KT31">
        <v>13.214</v>
      </c>
      <c r="KU31" s="12">
        <v>41060</v>
      </c>
      <c r="KV31">
        <v>8.1080000000000005</v>
      </c>
      <c r="LC31" s="12">
        <v>41060</v>
      </c>
      <c r="LD31">
        <v>10.448</v>
      </c>
      <c r="LE31" s="12">
        <v>41060</v>
      </c>
      <c r="LF31">
        <v>9.0630000000000006</v>
      </c>
      <c r="LG31" s="12">
        <v>41060</v>
      </c>
      <c r="LH31">
        <v>14.827999999999999</v>
      </c>
      <c r="LI31" s="12">
        <v>41060</v>
      </c>
      <c r="LJ31">
        <v>17.015999999999998</v>
      </c>
      <c r="LM31" s="12">
        <v>41060</v>
      </c>
      <c r="LN31">
        <v>8.8659999999999997</v>
      </c>
      <c r="LO31" s="12">
        <v>41060</v>
      </c>
      <c r="LP31">
        <v>8.0619999999999994</v>
      </c>
      <c r="LQ31" s="12">
        <v>41060</v>
      </c>
      <c r="LR31">
        <v>27.399000000000001</v>
      </c>
      <c r="LS31" s="12">
        <v>41060</v>
      </c>
      <c r="LT31">
        <v>28.16</v>
      </c>
      <c r="LW31" s="12">
        <v>41060</v>
      </c>
      <c r="LX31">
        <v>1540.0260000000001</v>
      </c>
      <c r="LY31" s="12">
        <v>41060</v>
      </c>
      <c r="LZ31">
        <v>27.798000000000002</v>
      </c>
      <c r="MA31" s="12">
        <v>41060</v>
      </c>
      <c r="MB31">
        <v>19.236999999999998</v>
      </c>
      <c r="MC31" s="12">
        <v>42521</v>
      </c>
      <c r="MD31">
        <v>6.194</v>
      </c>
      <c r="ME31" s="12">
        <v>41060</v>
      </c>
      <c r="MF31">
        <v>4.3579999999999997</v>
      </c>
      <c r="MG31" s="12">
        <v>41060</v>
      </c>
      <c r="MH31">
        <v>5.1879999999999997</v>
      </c>
      <c r="MI31" s="12">
        <v>43069</v>
      </c>
      <c r="MJ31">
        <v>8.5429999999999993</v>
      </c>
      <c r="MK31" s="12">
        <v>41060</v>
      </c>
      <c r="ML31">
        <v>6.407</v>
      </c>
    </row>
    <row r="32" spans="1:350" x14ac:dyDescent="0.3">
      <c r="A32" s="12">
        <v>41089</v>
      </c>
      <c r="B32" s="1">
        <v>12.118</v>
      </c>
      <c r="C32" s="12">
        <v>41453</v>
      </c>
      <c r="D32" s="1">
        <v>12.81</v>
      </c>
      <c r="E32" s="12">
        <v>41089</v>
      </c>
      <c r="F32" s="13">
        <v>8.4079999999999995</v>
      </c>
      <c r="G32" s="17">
        <v>41089</v>
      </c>
      <c r="H32" s="13">
        <v>6.8289999999999997</v>
      </c>
      <c r="I32" s="17">
        <v>41121</v>
      </c>
      <c r="J32">
        <v>16.792999999999999</v>
      </c>
      <c r="K32" s="12">
        <v>42307</v>
      </c>
      <c r="L32">
        <v>12.432</v>
      </c>
      <c r="M32" s="12">
        <v>41089</v>
      </c>
      <c r="N32" s="12">
        <v>61.01</v>
      </c>
      <c r="O32" s="12">
        <v>41089</v>
      </c>
      <c r="P32">
        <v>20.100000000000001</v>
      </c>
      <c r="Q32" s="12">
        <v>42489</v>
      </c>
      <c r="R32">
        <v>10.319000000000001</v>
      </c>
      <c r="S32" s="12">
        <v>41089</v>
      </c>
      <c r="T32">
        <v>16.279</v>
      </c>
      <c r="U32" s="12">
        <v>41516</v>
      </c>
      <c r="V32">
        <v>26.972000000000001</v>
      </c>
      <c r="W32" s="12">
        <v>43769</v>
      </c>
      <c r="X32">
        <v>52.52</v>
      </c>
      <c r="Y32" s="12">
        <v>41089</v>
      </c>
      <c r="Z32">
        <v>7.62</v>
      </c>
      <c r="AA32" s="12">
        <v>41089</v>
      </c>
      <c r="AB32">
        <v>12.023999999999999</v>
      </c>
      <c r="AC32" s="12">
        <v>41089</v>
      </c>
      <c r="AD32">
        <v>7.9190000000000005</v>
      </c>
      <c r="AE32" s="12">
        <v>41089</v>
      </c>
      <c r="AF32">
        <v>9.2560000000000002</v>
      </c>
      <c r="AG32" s="12">
        <v>41089</v>
      </c>
      <c r="AH32">
        <v>47.156999999999996</v>
      </c>
      <c r="AI32" s="12">
        <v>42307</v>
      </c>
      <c r="AJ32">
        <v>18.309999999999999</v>
      </c>
      <c r="AK32" s="12">
        <v>41089</v>
      </c>
      <c r="AL32">
        <v>8.2509999999999994</v>
      </c>
      <c r="AO32" s="12">
        <v>41089</v>
      </c>
      <c r="AP32">
        <v>3.0819999999999999</v>
      </c>
      <c r="AQ32" s="12">
        <v>43707</v>
      </c>
      <c r="AR32">
        <v>58.097999999999999</v>
      </c>
      <c r="AS32" s="12">
        <v>41089</v>
      </c>
      <c r="AT32">
        <v>4.7350000000000003</v>
      </c>
      <c r="AU32" s="12">
        <v>41089</v>
      </c>
      <c r="AV32">
        <v>21.398</v>
      </c>
      <c r="AY32" s="12">
        <v>41089</v>
      </c>
      <c r="AZ32">
        <v>28.210999999999999</v>
      </c>
      <c r="BA32" s="12">
        <v>41089</v>
      </c>
      <c r="BB32">
        <v>9.9849999999999994</v>
      </c>
      <c r="BC32" s="12">
        <v>41089</v>
      </c>
      <c r="BD32">
        <v>13.204000000000001</v>
      </c>
      <c r="BE32" s="12">
        <v>41180</v>
      </c>
      <c r="BF32">
        <v>13.606999999999999</v>
      </c>
      <c r="BG32" s="12">
        <v>41089</v>
      </c>
      <c r="BH32">
        <v>8.14</v>
      </c>
      <c r="BI32" s="12">
        <v>41089</v>
      </c>
      <c r="BJ32">
        <v>5.0759999999999996</v>
      </c>
      <c r="BK32" s="12">
        <v>41089</v>
      </c>
      <c r="BL32">
        <v>11.249000000000001</v>
      </c>
      <c r="BM32" s="12">
        <v>41089</v>
      </c>
      <c r="BN32">
        <v>20.515000000000001</v>
      </c>
      <c r="BO32" s="12">
        <v>41089</v>
      </c>
      <c r="BP32">
        <v>10.266</v>
      </c>
      <c r="BQ32" s="12">
        <v>41089</v>
      </c>
      <c r="BR32">
        <v>10.003</v>
      </c>
      <c r="BS32" s="12">
        <v>41089</v>
      </c>
      <c r="BT32">
        <v>11.731999999999999</v>
      </c>
      <c r="BW32" s="12">
        <v>41089</v>
      </c>
      <c r="BX32">
        <v>3.0590000000000002</v>
      </c>
      <c r="BY32" s="12">
        <v>41089</v>
      </c>
      <c r="BZ32">
        <v>20.318999999999999</v>
      </c>
      <c r="CA32" s="12">
        <v>41089</v>
      </c>
      <c r="CB32">
        <v>29.439</v>
      </c>
      <c r="CE32" s="12">
        <v>41089</v>
      </c>
      <c r="CF32">
        <v>25.385999999999999</v>
      </c>
      <c r="CG32" s="12">
        <v>41089</v>
      </c>
      <c r="CH32">
        <v>21.988</v>
      </c>
      <c r="CI32" s="12">
        <v>41089</v>
      </c>
      <c r="CJ32">
        <v>31.939</v>
      </c>
      <c r="CK32" s="12">
        <v>41089</v>
      </c>
      <c r="CL32">
        <v>8.4969999999999999</v>
      </c>
      <c r="CM32" s="12">
        <v>41089</v>
      </c>
      <c r="CN32">
        <v>20.751000000000001</v>
      </c>
      <c r="CO32" s="12">
        <v>42551</v>
      </c>
      <c r="CP32">
        <v>22.045999999999999</v>
      </c>
      <c r="CQ32" s="12">
        <v>41089</v>
      </c>
      <c r="CR32">
        <v>11.227</v>
      </c>
      <c r="CS32" s="12">
        <v>41089</v>
      </c>
      <c r="CT32">
        <v>12.738</v>
      </c>
      <c r="CU32" s="12">
        <v>41089</v>
      </c>
      <c r="CV32">
        <v>6.5289999999999999</v>
      </c>
      <c r="CW32" s="12">
        <v>41089</v>
      </c>
      <c r="CX32">
        <v>6.8079999999999998</v>
      </c>
      <c r="CY32" s="12">
        <v>41180</v>
      </c>
      <c r="CZ32">
        <v>12.151999999999999</v>
      </c>
      <c r="DA32" s="12">
        <v>41089</v>
      </c>
      <c r="DB32">
        <v>18.59</v>
      </c>
      <c r="DC32" s="12">
        <v>41089</v>
      </c>
      <c r="DD32">
        <v>12.114000000000001</v>
      </c>
      <c r="DE32" s="12">
        <v>41089</v>
      </c>
      <c r="DF32">
        <v>12.315</v>
      </c>
      <c r="DG32" s="12">
        <v>41486</v>
      </c>
      <c r="DH32">
        <v>10.138999999999999</v>
      </c>
      <c r="DI32" s="12">
        <v>41089</v>
      </c>
      <c r="DJ32">
        <v>22.731999999999999</v>
      </c>
      <c r="DK32" s="12">
        <v>41089</v>
      </c>
      <c r="DL32">
        <v>12.394</v>
      </c>
      <c r="DM32" s="12">
        <v>41516</v>
      </c>
      <c r="DN32">
        <v>7.1580000000000004</v>
      </c>
      <c r="DO32" s="12">
        <v>41089</v>
      </c>
      <c r="DP32">
        <v>8.4960000000000004</v>
      </c>
      <c r="DQ32" s="12">
        <v>41089</v>
      </c>
      <c r="DR32">
        <v>569.95600000000002</v>
      </c>
      <c r="DS32" s="12">
        <v>41089</v>
      </c>
      <c r="DT32">
        <v>8.2750000000000004</v>
      </c>
      <c r="DU32" s="12">
        <v>41089</v>
      </c>
      <c r="DV32">
        <v>2.6760000000000002</v>
      </c>
      <c r="DW32" s="12">
        <v>41089</v>
      </c>
      <c r="DX32">
        <v>5.6530000000000005</v>
      </c>
      <c r="DY32" s="12">
        <v>41089</v>
      </c>
      <c r="DZ32">
        <v>10.262</v>
      </c>
      <c r="EC32" s="12">
        <v>41089</v>
      </c>
      <c r="ED32">
        <v>12.297000000000001</v>
      </c>
      <c r="EE32" s="12">
        <v>41089</v>
      </c>
      <c r="EF32">
        <v>9.2590000000000003</v>
      </c>
      <c r="EG32" s="12">
        <v>41089</v>
      </c>
      <c r="EH32">
        <v>20.184999999999999</v>
      </c>
      <c r="EI32" s="12">
        <v>41089</v>
      </c>
      <c r="EJ32">
        <v>18.498000000000001</v>
      </c>
      <c r="EK32" s="12">
        <v>41089</v>
      </c>
      <c r="EL32">
        <v>12.5</v>
      </c>
      <c r="EM32" s="12">
        <v>41089</v>
      </c>
      <c r="EN32">
        <v>15.59</v>
      </c>
      <c r="EQ32" s="12">
        <v>41089</v>
      </c>
      <c r="ER32">
        <v>19.555</v>
      </c>
      <c r="ES32" s="12">
        <v>41089</v>
      </c>
      <c r="ET32">
        <v>8.92</v>
      </c>
      <c r="EU32" s="12">
        <v>41089</v>
      </c>
      <c r="EV32">
        <v>2.37</v>
      </c>
      <c r="EY32" s="12">
        <v>41089</v>
      </c>
      <c r="EZ32">
        <v>26.856000000000002</v>
      </c>
      <c r="FA32" s="12">
        <v>41089</v>
      </c>
      <c r="FB32">
        <v>9.7319999999999993</v>
      </c>
      <c r="FC32" s="12">
        <v>41089</v>
      </c>
      <c r="FD32">
        <v>18.356000000000002</v>
      </c>
      <c r="FG32" s="12">
        <v>41089</v>
      </c>
      <c r="FH32">
        <v>3.14</v>
      </c>
      <c r="FI32" s="12">
        <v>41089</v>
      </c>
      <c r="FJ32">
        <v>7.367</v>
      </c>
      <c r="FK32" s="12">
        <v>41089</v>
      </c>
      <c r="FL32">
        <v>8.5869999999999997</v>
      </c>
      <c r="FM32" s="12">
        <v>41089</v>
      </c>
      <c r="FN32">
        <v>5.4109999999999996</v>
      </c>
      <c r="FO32" s="12">
        <v>41089</v>
      </c>
      <c r="FP32">
        <v>9.7650000000000006</v>
      </c>
      <c r="FQ32" s="12">
        <v>42580</v>
      </c>
      <c r="FR32">
        <v>14.515000000000001</v>
      </c>
      <c r="FS32" s="12">
        <v>41089</v>
      </c>
      <c r="FT32">
        <v>1.278</v>
      </c>
      <c r="FU32" s="12">
        <v>41089</v>
      </c>
      <c r="FV32">
        <v>7.2030000000000003</v>
      </c>
      <c r="FW32" s="12">
        <v>41089</v>
      </c>
      <c r="FX32">
        <v>8.4039999999999999</v>
      </c>
      <c r="FY32" s="12">
        <v>41943</v>
      </c>
      <c r="FZ32">
        <v>0.93500000000000005</v>
      </c>
      <c r="GA32" s="12">
        <v>41089</v>
      </c>
      <c r="GB32">
        <v>12.749000000000001</v>
      </c>
      <c r="GC32" s="12">
        <v>41089</v>
      </c>
      <c r="GD32">
        <v>18.849</v>
      </c>
      <c r="GE32" s="12">
        <v>42247</v>
      </c>
      <c r="GF32">
        <v>13.861000000000001</v>
      </c>
      <c r="GI32" s="12">
        <v>41089</v>
      </c>
      <c r="GJ32">
        <v>8.1280000000000001</v>
      </c>
      <c r="GK32" s="12">
        <v>41089</v>
      </c>
      <c r="GL32">
        <v>28.690999999999999</v>
      </c>
      <c r="GM32" s="12">
        <v>41089</v>
      </c>
      <c r="GN32">
        <v>17.887</v>
      </c>
      <c r="GO32" s="12">
        <v>41578</v>
      </c>
      <c r="GP32">
        <v>1.099</v>
      </c>
      <c r="GQ32" s="12">
        <v>41213</v>
      </c>
      <c r="GR32">
        <v>30.405000000000001</v>
      </c>
      <c r="GS32" s="12">
        <v>41089</v>
      </c>
      <c r="GT32">
        <v>875.11</v>
      </c>
      <c r="GU32" s="12">
        <v>43707</v>
      </c>
      <c r="GV32">
        <v>15.202</v>
      </c>
      <c r="GW32" s="12">
        <v>41152</v>
      </c>
      <c r="GX32">
        <v>27.353999999999999</v>
      </c>
      <c r="GY32" s="12">
        <v>41089</v>
      </c>
      <c r="GZ32">
        <v>9.34</v>
      </c>
      <c r="HA32" s="12">
        <v>41089</v>
      </c>
      <c r="HB32">
        <v>5.9879999999999995</v>
      </c>
      <c r="HC32" s="12">
        <v>41089</v>
      </c>
      <c r="HD32">
        <v>14.148</v>
      </c>
      <c r="HE32" s="12">
        <v>41089</v>
      </c>
      <c r="HF32">
        <v>19.039000000000001</v>
      </c>
      <c r="HG32" s="12">
        <v>41089</v>
      </c>
      <c r="HH32">
        <v>18.971</v>
      </c>
      <c r="HI32" s="12">
        <v>41089</v>
      </c>
      <c r="HJ32">
        <v>7.8760000000000003</v>
      </c>
      <c r="HK32" s="12">
        <v>41089</v>
      </c>
      <c r="HL32">
        <v>550</v>
      </c>
      <c r="HM32" s="12">
        <v>41089</v>
      </c>
      <c r="HN32">
        <v>57.390999999999998</v>
      </c>
      <c r="HO32" s="12">
        <v>41089</v>
      </c>
      <c r="HP32">
        <v>49.939</v>
      </c>
      <c r="HQ32" s="12">
        <v>41180</v>
      </c>
      <c r="HR32">
        <v>1243</v>
      </c>
      <c r="HS32" s="12">
        <v>41089</v>
      </c>
      <c r="HT32">
        <v>74.730999999999995</v>
      </c>
      <c r="HU32" s="12">
        <v>41089</v>
      </c>
      <c r="HV32">
        <v>1592.8309999999999</v>
      </c>
      <c r="HW32" s="12">
        <v>41089</v>
      </c>
      <c r="HX32">
        <v>17.521999999999998</v>
      </c>
      <c r="HY32" s="12">
        <v>41089</v>
      </c>
      <c r="HZ32">
        <v>15.307</v>
      </c>
      <c r="IA32" s="12">
        <v>41089</v>
      </c>
      <c r="IB32">
        <v>35.582000000000001</v>
      </c>
      <c r="IC32" s="12">
        <v>41089</v>
      </c>
      <c r="ID32">
        <v>3.6230000000000002</v>
      </c>
      <c r="IE32" s="12">
        <v>41089</v>
      </c>
      <c r="IF32">
        <v>5.2169999999999996</v>
      </c>
      <c r="IG32" s="12">
        <v>41394</v>
      </c>
      <c r="IH32">
        <v>21.75</v>
      </c>
      <c r="II32" s="12">
        <v>41089</v>
      </c>
      <c r="IJ32">
        <v>18.138000000000002</v>
      </c>
      <c r="IM32" s="12">
        <v>41089</v>
      </c>
      <c r="IN32">
        <v>10.863</v>
      </c>
      <c r="IO32" s="12">
        <v>41639</v>
      </c>
      <c r="IP32">
        <v>13.999000000000001</v>
      </c>
      <c r="IQ32" s="12">
        <v>41089</v>
      </c>
      <c r="IR32">
        <v>18.818000000000001</v>
      </c>
      <c r="IS32" s="12">
        <v>43007</v>
      </c>
      <c r="IT32">
        <v>12.09</v>
      </c>
      <c r="IU32" s="12">
        <v>41089</v>
      </c>
      <c r="IV32">
        <v>6.1764999999999999</v>
      </c>
      <c r="IW32" s="12">
        <v>41089</v>
      </c>
      <c r="IX32">
        <v>32.85</v>
      </c>
      <c r="IY32" s="12">
        <v>41089</v>
      </c>
      <c r="IZ32">
        <v>7.5289999999999999</v>
      </c>
      <c r="JA32" s="12">
        <v>42853</v>
      </c>
      <c r="JB32">
        <v>6.4379999999999997</v>
      </c>
      <c r="JC32" s="12">
        <v>41089</v>
      </c>
      <c r="JD32">
        <v>17.245999999999999</v>
      </c>
      <c r="JE32" s="12">
        <v>41089</v>
      </c>
      <c r="JF32">
        <v>120.556</v>
      </c>
      <c r="JI32" s="12">
        <v>41089</v>
      </c>
      <c r="JJ32">
        <v>8.9939999999999998</v>
      </c>
      <c r="JM32" s="12">
        <v>41089</v>
      </c>
      <c r="JN32">
        <v>1.4259999999999999</v>
      </c>
      <c r="JO32" s="12">
        <v>41089</v>
      </c>
      <c r="JP32">
        <v>20.684000000000001</v>
      </c>
      <c r="JQ32" s="12">
        <v>42489</v>
      </c>
      <c r="JR32">
        <v>9.8070000000000004</v>
      </c>
      <c r="JS32" s="12">
        <v>41089</v>
      </c>
      <c r="JT32">
        <v>7.4669999999999996</v>
      </c>
      <c r="JU32" s="12">
        <v>42307</v>
      </c>
      <c r="JV32">
        <v>22.713000000000001</v>
      </c>
      <c r="JW32" s="12">
        <v>41089</v>
      </c>
      <c r="JX32">
        <v>6.0090000000000003</v>
      </c>
      <c r="JY32" s="12">
        <v>41089</v>
      </c>
      <c r="JZ32">
        <v>9.1129999999999995</v>
      </c>
      <c r="KC32" s="12">
        <v>41089</v>
      </c>
      <c r="KD32">
        <v>3.6179999999999999</v>
      </c>
      <c r="KE32" s="12">
        <v>41089</v>
      </c>
      <c r="KF32">
        <v>9.8369999999999997</v>
      </c>
      <c r="KG32" s="12">
        <v>41089</v>
      </c>
      <c r="KH32">
        <v>0.22900000000000001</v>
      </c>
      <c r="KI32" s="12">
        <v>41089</v>
      </c>
      <c r="KJ32">
        <v>5.5570000000000004</v>
      </c>
      <c r="KM32" s="12">
        <v>43707</v>
      </c>
      <c r="KN32">
        <v>25.184999999999999</v>
      </c>
      <c r="KO32" s="12">
        <v>41089</v>
      </c>
      <c r="KP32">
        <v>123.035</v>
      </c>
      <c r="KQ32" s="12">
        <v>41089</v>
      </c>
      <c r="KR32">
        <v>91.47</v>
      </c>
      <c r="KS32" s="12">
        <v>41089</v>
      </c>
      <c r="KT32">
        <v>13.89</v>
      </c>
      <c r="KU32" s="12">
        <v>41089</v>
      </c>
      <c r="KV32">
        <v>9.2799999999999994</v>
      </c>
      <c r="LC32" s="12">
        <v>41089</v>
      </c>
      <c r="LD32">
        <v>11.077999999999999</v>
      </c>
      <c r="LE32" s="12">
        <v>41089</v>
      </c>
      <c r="LF32">
        <v>9.7469999999999999</v>
      </c>
      <c r="LG32" s="12">
        <v>41089</v>
      </c>
      <c r="LH32">
        <v>15.010999999999999</v>
      </c>
      <c r="LI32" s="12">
        <v>41089</v>
      </c>
      <c r="LJ32">
        <v>18.538</v>
      </c>
      <c r="LM32" s="12">
        <v>41089</v>
      </c>
      <c r="LN32">
        <v>7.4640000000000004</v>
      </c>
      <c r="LO32" s="12">
        <v>41089</v>
      </c>
      <c r="LP32">
        <v>5.9939999999999998</v>
      </c>
      <c r="LQ32" s="12">
        <v>41089</v>
      </c>
      <c r="LR32">
        <v>29.251000000000001</v>
      </c>
      <c r="LS32" s="12">
        <v>41089</v>
      </c>
      <c r="LT32">
        <v>30.030999999999999</v>
      </c>
      <c r="LW32" s="12">
        <v>41089</v>
      </c>
      <c r="LX32">
        <v>1215.81</v>
      </c>
      <c r="LY32" s="12">
        <v>41089</v>
      </c>
      <c r="LZ32">
        <v>28.945</v>
      </c>
      <c r="MA32" s="12">
        <v>41089</v>
      </c>
      <c r="MB32">
        <v>20.870999999999999</v>
      </c>
      <c r="MC32" s="12">
        <v>42551</v>
      </c>
      <c r="MD32">
        <v>7.4080000000000004</v>
      </c>
      <c r="ME32" s="12">
        <v>41089</v>
      </c>
      <c r="MF32">
        <v>4.1289999999999996</v>
      </c>
      <c r="MG32" s="12">
        <v>41089</v>
      </c>
      <c r="MH32">
        <v>4.88</v>
      </c>
      <c r="MI32" s="12">
        <v>43098</v>
      </c>
      <c r="MJ32">
        <v>8.98</v>
      </c>
      <c r="MK32" s="12">
        <v>41089</v>
      </c>
      <c r="ML32">
        <v>6.1539999999999999</v>
      </c>
    </row>
    <row r="33" spans="1:350" x14ac:dyDescent="0.3">
      <c r="A33" s="12">
        <v>41121</v>
      </c>
      <c r="B33" s="1">
        <v>12.323</v>
      </c>
      <c r="C33" s="12">
        <v>41486</v>
      </c>
      <c r="D33" s="1">
        <v>13.734</v>
      </c>
      <c r="E33" s="12">
        <v>41121</v>
      </c>
      <c r="F33" s="13">
        <v>9.3800000000000008</v>
      </c>
      <c r="G33" s="17">
        <v>41121</v>
      </c>
      <c r="H33" s="13">
        <v>6.2069999999999999</v>
      </c>
      <c r="I33" s="17">
        <v>41152</v>
      </c>
      <c r="J33">
        <v>17.951999999999998</v>
      </c>
      <c r="K33" s="12">
        <v>42338</v>
      </c>
      <c r="L33">
        <v>11.114000000000001</v>
      </c>
      <c r="M33" s="12">
        <v>41121</v>
      </c>
      <c r="N33" s="12">
        <v>62.112000000000002</v>
      </c>
      <c r="O33" s="12">
        <v>41121</v>
      </c>
      <c r="P33">
        <v>19.54</v>
      </c>
      <c r="Q33" s="12">
        <v>42521</v>
      </c>
      <c r="R33">
        <v>10.093</v>
      </c>
      <c r="S33" s="12">
        <v>41121</v>
      </c>
      <c r="T33">
        <v>16.141999999999999</v>
      </c>
      <c r="U33" s="12">
        <v>41547</v>
      </c>
      <c r="V33">
        <v>31.838000000000001</v>
      </c>
      <c r="W33" s="12">
        <v>43798</v>
      </c>
      <c r="X33">
        <v>53.1</v>
      </c>
      <c r="Y33" s="12">
        <v>41121</v>
      </c>
      <c r="Z33">
        <v>8.5489999999999995</v>
      </c>
      <c r="AA33" s="12">
        <v>41121</v>
      </c>
      <c r="AB33">
        <v>13.420999999999999</v>
      </c>
      <c r="AC33" s="12">
        <v>41121</v>
      </c>
      <c r="AD33">
        <v>8.3089999999999993</v>
      </c>
      <c r="AE33" s="12">
        <v>41121</v>
      </c>
      <c r="AF33">
        <v>9.7759999999999998</v>
      </c>
      <c r="AG33" s="12">
        <v>41121</v>
      </c>
      <c r="AH33">
        <v>45.496000000000002</v>
      </c>
      <c r="AI33" s="12">
        <v>42338</v>
      </c>
      <c r="AJ33">
        <v>17.876000000000001</v>
      </c>
      <c r="AK33" s="12">
        <v>41121</v>
      </c>
      <c r="AL33">
        <v>8.9610000000000003</v>
      </c>
      <c r="AO33" s="12">
        <v>41121</v>
      </c>
      <c r="AP33">
        <v>2.859</v>
      </c>
      <c r="AQ33" s="12">
        <v>43738</v>
      </c>
      <c r="AR33">
        <v>58.069000000000003</v>
      </c>
      <c r="AS33" s="12">
        <v>41121</v>
      </c>
      <c r="AT33">
        <v>3.6669999999999998</v>
      </c>
      <c r="AU33" s="12">
        <v>41121</v>
      </c>
      <c r="AV33">
        <v>19.962</v>
      </c>
      <c r="AY33" s="12">
        <v>41121</v>
      </c>
      <c r="AZ33">
        <v>27.236999999999998</v>
      </c>
      <c r="BA33" s="12">
        <v>41121</v>
      </c>
      <c r="BB33">
        <v>9.2460000000000004</v>
      </c>
      <c r="BC33" s="12">
        <v>41121</v>
      </c>
      <c r="BD33">
        <v>13.733000000000001</v>
      </c>
      <c r="BE33" s="12">
        <v>41213</v>
      </c>
      <c r="BF33">
        <v>13.683999999999999</v>
      </c>
      <c r="BG33" s="12">
        <v>41121</v>
      </c>
      <c r="BH33">
        <v>9.3149999999999995</v>
      </c>
      <c r="BI33" s="12">
        <v>41121</v>
      </c>
      <c r="BJ33">
        <v>5.7960000000000003</v>
      </c>
      <c r="BK33" s="12">
        <v>41121</v>
      </c>
      <c r="BL33">
        <v>11.78</v>
      </c>
      <c r="BM33" s="12">
        <v>41121</v>
      </c>
      <c r="BN33">
        <v>20.838999999999999</v>
      </c>
      <c r="BO33" s="12">
        <v>41121</v>
      </c>
      <c r="BP33">
        <v>10.38</v>
      </c>
      <c r="BQ33" s="12">
        <v>41121</v>
      </c>
      <c r="BR33">
        <v>10.427</v>
      </c>
      <c r="BS33" s="12">
        <v>41121</v>
      </c>
      <c r="BT33">
        <v>12.247999999999999</v>
      </c>
      <c r="BW33" s="12">
        <v>41121</v>
      </c>
      <c r="BX33">
        <v>3.2439999999999998</v>
      </c>
      <c r="BY33" s="12">
        <v>41121</v>
      </c>
      <c r="BZ33">
        <v>18.911000000000001</v>
      </c>
      <c r="CA33" s="12">
        <v>41121</v>
      </c>
      <c r="CB33">
        <v>28.027000000000001</v>
      </c>
      <c r="CE33" s="12">
        <v>41121</v>
      </c>
      <c r="CF33">
        <v>24.887</v>
      </c>
      <c r="CG33" s="12">
        <v>41121</v>
      </c>
      <c r="CH33">
        <v>22.137</v>
      </c>
      <c r="CI33" s="12">
        <v>41121</v>
      </c>
      <c r="CJ33">
        <v>37.180999999999997</v>
      </c>
      <c r="CK33" s="12">
        <v>41121</v>
      </c>
      <c r="CL33">
        <v>7.8620000000000001</v>
      </c>
      <c r="CM33" s="12">
        <v>41121</v>
      </c>
      <c r="CN33">
        <v>21.47</v>
      </c>
      <c r="CO33" s="12">
        <v>42580</v>
      </c>
      <c r="CP33">
        <v>20.803000000000001</v>
      </c>
      <c r="CQ33" s="12">
        <v>41121</v>
      </c>
      <c r="CR33">
        <v>11.227</v>
      </c>
      <c r="CS33" s="12">
        <v>41121</v>
      </c>
      <c r="CT33">
        <v>11.089</v>
      </c>
      <c r="CU33" s="12">
        <v>41121</v>
      </c>
      <c r="CV33">
        <v>6.5220000000000002</v>
      </c>
      <c r="CW33" s="12">
        <v>41121</v>
      </c>
      <c r="CX33">
        <v>7.7290000000000001</v>
      </c>
      <c r="CY33" s="12">
        <v>41213</v>
      </c>
      <c r="CZ33">
        <v>12.214</v>
      </c>
      <c r="DA33" s="12">
        <v>41121</v>
      </c>
      <c r="DB33">
        <v>18.29</v>
      </c>
      <c r="DC33" s="12">
        <v>41121</v>
      </c>
      <c r="DD33">
        <v>12.029</v>
      </c>
      <c r="DE33" s="12">
        <v>41121</v>
      </c>
      <c r="DF33">
        <v>12.65</v>
      </c>
      <c r="DG33" s="12">
        <v>41547</v>
      </c>
      <c r="DH33">
        <v>10.02</v>
      </c>
      <c r="DI33" s="12">
        <v>41121</v>
      </c>
      <c r="DJ33">
        <v>17.268000000000001</v>
      </c>
      <c r="DK33" s="12">
        <v>41121</v>
      </c>
      <c r="DL33">
        <v>12.19</v>
      </c>
      <c r="DM33" s="12">
        <v>41547</v>
      </c>
      <c r="DN33">
        <v>7.0110000000000001</v>
      </c>
      <c r="DO33" s="12">
        <v>41121</v>
      </c>
      <c r="DP33">
        <v>8.9310000000000009</v>
      </c>
      <c r="DQ33" s="12">
        <v>41121</v>
      </c>
      <c r="DR33">
        <v>612.51700000000005</v>
      </c>
      <c r="DS33" s="12">
        <v>41121</v>
      </c>
      <c r="DT33">
        <v>7.89</v>
      </c>
      <c r="DU33" s="12">
        <v>41121</v>
      </c>
      <c r="DV33">
        <v>2.7039999999999997</v>
      </c>
      <c r="DW33" s="12">
        <v>41121</v>
      </c>
      <c r="DX33">
        <v>5.4130000000000003</v>
      </c>
      <c r="DY33" s="12">
        <v>41121</v>
      </c>
      <c r="DZ33">
        <v>10.839</v>
      </c>
      <c r="EC33" s="12">
        <v>41121</v>
      </c>
      <c r="ED33">
        <v>12.81</v>
      </c>
      <c r="EE33" s="12">
        <v>41121</v>
      </c>
      <c r="EF33">
        <v>7.774</v>
      </c>
      <c r="EG33" s="12">
        <v>41121</v>
      </c>
      <c r="EH33">
        <v>20.722000000000001</v>
      </c>
      <c r="EI33" s="12">
        <v>41121</v>
      </c>
      <c r="EJ33">
        <v>17.654</v>
      </c>
      <c r="EK33" s="12">
        <v>41121</v>
      </c>
      <c r="EL33">
        <v>13.005000000000001</v>
      </c>
      <c r="EM33" s="12">
        <v>41121</v>
      </c>
      <c r="EN33">
        <v>16.399999999999999</v>
      </c>
      <c r="EQ33" s="12">
        <v>41121</v>
      </c>
      <c r="ER33">
        <v>20.597000000000001</v>
      </c>
      <c r="ES33" s="12">
        <v>41121</v>
      </c>
      <c r="ET33">
        <v>9.5500000000000007</v>
      </c>
      <c r="EU33" s="12">
        <v>41121</v>
      </c>
      <c r="EV33">
        <v>2.6109999999999998</v>
      </c>
      <c r="EY33" s="12">
        <v>41121</v>
      </c>
      <c r="EZ33">
        <v>28.518999999999998</v>
      </c>
      <c r="FA33" s="12">
        <v>41121</v>
      </c>
      <c r="FB33">
        <v>10.576000000000001</v>
      </c>
      <c r="FC33" s="12">
        <v>41121</v>
      </c>
      <c r="FD33">
        <v>19.395</v>
      </c>
      <c r="FG33" s="12">
        <v>41121</v>
      </c>
      <c r="FH33">
        <v>3.55</v>
      </c>
      <c r="FI33" s="12">
        <v>41121</v>
      </c>
      <c r="FJ33">
        <v>8.2509999999999994</v>
      </c>
      <c r="FK33" s="12">
        <v>41121</v>
      </c>
      <c r="FL33">
        <v>9.8610000000000007</v>
      </c>
      <c r="FM33" s="12">
        <v>41121</v>
      </c>
      <c r="FN33">
        <v>4.8100000000000005</v>
      </c>
      <c r="FO33" s="12">
        <v>41121</v>
      </c>
      <c r="FP33">
        <v>10.19</v>
      </c>
      <c r="FQ33" s="12">
        <v>42613</v>
      </c>
      <c r="FR33">
        <v>14.625</v>
      </c>
      <c r="FS33" s="12">
        <v>41121</v>
      </c>
      <c r="FT33">
        <v>1.2909999999999999</v>
      </c>
      <c r="FU33" s="12">
        <v>41121</v>
      </c>
      <c r="FV33">
        <v>8.3620000000000001</v>
      </c>
      <c r="FW33" s="12">
        <v>41121</v>
      </c>
      <c r="FX33">
        <v>9.2349999999999994</v>
      </c>
      <c r="FY33" s="12">
        <v>41971</v>
      </c>
      <c r="FZ33">
        <v>1.0449999999999999</v>
      </c>
      <c r="GA33" s="12">
        <v>41121</v>
      </c>
      <c r="GB33">
        <v>13.914999999999999</v>
      </c>
      <c r="GC33" s="12">
        <v>41121</v>
      </c>
      <c r="GD33">
        <v>19.062000000000001</v>
      </c>
      <c r="GE33" s="12">
        <v>42277</v>
      </c>
      <c r="GF33">
        <v>13.991</v>
      </c>
      <c r="GI33" s="12">
        <v>41121</v>
      </c>
      <c r="GJ33">
        <v>8.8379999999999992</v>
      </c>
      <c r="GK33" s="12">
        <v>41121</v>
      </c>
      <c r="GL33">
        <v>27.346</v>
      </c>
      <c r="GM33" s="12">
        <v>41121</v>
      </c>
      <c r="GN33">
        <v>17.402000000000001</v>
      </c>
      <c r="GO33" s="12">
        <v>41607</v>
      </c>
      <c r="GP33">
        <v>0.97099999999999997</v>
      </c>
      <c r="GQ33" s="12">
        <v>41243</v>
      </c>
      <c r="GR33">
        <v>30.707999999999998</v>
      </c>
      <c r="GS33" s="12">
        <v>41121</v>
      </c>
      <c r="GT33">
        <v>855.66300000000001</v>
      </c>
      <c r="GU33" s="12">
        <v>43738</v>
      </c>
      <c r="GV33">
        <v>15.201000000000001</v>
      </c>
      <c r="GW33" s="12">
        <v>41180</v>
      </c>
      <c r="GX33">
        <v>25.645</v>
      </c>
      <c r="GY33" s="12">
        <v>41121</v>
      </c>
      <c r="GZ33">
        <v>9.4499999999999993</v>
      </c>
      <c r="HA33" s="12">
        <v>41121</v>
      </c>
      <c r="HB33">
        <v>7.1790000000000003</v>
      </c>
      <c r="HC33" s="12">
        <v>41121</v>
      </c>
      <c r="HD33">
        <v>14.914</v>
      </c>
      <c r="HE33" s="12">
        <v>41121</v>
      </c>
      <c r="HF33">
        <v>17.981000000000002</v>
      </c>
      <c r="HG33" s="12">
        <v>41121</v>
      </c>
      <c r="HH33">
        <v>21.7</v>
      </c>
      <c r="HI33" s="12">
        <v>41121</v>
      </c>
      <c r="HJ33">
        <v>7.74</v>
      </c>
      <c r="HK33" s="12">
        <v>41121</v>
      </c>
      <c r="HL33">
        <v>565</v>
      </c>
      <c r="HM33" s="12">
        <v>41121</v>
      </c>
      <c r="HN33">
        <v>71.602999999999994</v>
      </c>
      <c r="HO33" s="12">
        <v>41121</v>
      </c>
      <c r="HP33">
        <v>61.622</v>
      </c>
      <c r="HQ33" s="12">
        <v>41213</v>
      </c>
      <c r="HR33">
        <v>1145</v>
      </c>
      <c r="HS33" s="12">
        <v>41121</v>
      </c>
      <c r="HT33">
        <v>78.001000000000005</v>
      </c>
      <c r="HU33" s="12">
        <v>41121</v>
      </c>
      <c r="HV33">
        <v>1547.451</v>
      </c>
      <c r="HW33" s="12">
        <v>41121</v>
      </c>
      <c r="HX33">
        <v>18.588999999999999</v>
      </c>
      <c r="HY33" s="12">
        <v>41121</v>
      </c>
      <c r="HZ33">
        <v>16.356000000000002</v>
      </c>
      <c r="IA33" s="12">
        <v>41121</v>
      </c>
      <c r="IB33">
        <v>35.582000000000001</v>
      </c>
      <c r="IC33" s="12">
        <v>41121</v>
      </c>
      <c r="ID33">
        <v>4.0430000000000001</v>
      </c>
      <c r="IE33" s="12">
        <v>41121</v>
      </c>
      <c r="IF33">
        <v>4.8739999999999997</v>
      </c>
      <c r="IG33" s="12">
        <v>41425</v>
      </c>
      <c r="IH33">
        <v>11.55</v>
      </c>
      <c r="II33" s="12">
        <v>41121</v>
      </c>
      <c r="IJ33">
        <v>24.457999999999998</v>
      </c>
      <c r="IM33" s="12">
        <v>41121</v>
      </c>
      <c r="IN33">
        <v>11.364000000000001</v>
      </c>
      <c r="IO33" s="12">
        <v>41670</v>
      </c>
      <c r="IP33">
        <v>12.747999999999999</v>
      </c>
      <c r="IQ33" s="12">
        <v>41121</v>
      </c>
      <c r="IR33">
        <v>21.745000000000001</v>
      </c>
      <c r="IS33" s="12">
        <v>43039</v>
      </c>
      <c r="IT33">
        <v>12.7</v>
      </c>
      <c r="IU33" s="12">
        <v>41121</v>
      </c>
      <c r="IV33">
        <v>6.1764999999999999</v>
      </c>
      <c r="IW33" s="12">
        <v>41121</v>
      </c>
      <c r="IX33">
        <v>33.049999999999997</v>
      </c>
      <c r="IY33" s="12">
        <v>41121</v>
      </c>
      <c r="IZ33">
        <v>8.2650000000000006</v>
      </c>
      <c r="JA33" s="12">
        <v>42886</v>
      </c>
      <c r="JB33">
        <v>6.3109999999999999</v>
      </c>
      <c r="JC33" s="12">
        <v>41121</v>
      </c>
      <c r="JD33">
        <v>15.502000000000001</v>
      </c>
      <c r="JE33" s="12">
        <v>41121</v>
      </c>
      <c r="JF33">
        <v>113.709</v>
      </c>
      <c r="JI33" s="12">
        <v>41121</v>
      </c>
      <c r="JJ33">
        <v>9.0579999999999998</v>
      </c>
      <c r="JM33" s="12">
        <v>41121</v>
      </c>
      <c r="JN33">
        <v>1.4279999999999999</v>
      </c>
      <c r="JO33" s="12">
        <v>41121</v>
      </c>
      <c r="JP33">
        <v>23.5</v>
      </c>
      <c r="JQ33" s="12">
        <v>42521</v>
      </c>
      <c r="JR33">
        <v>9.73</v>
      </c>
      <c r="JS33" s="12">
        <v>41121</v>
      </c>
      <c r="JT33">
        <v>8.3970000000000002</v>
      </c>
      <c r="JU33" s="12">
        <v>42338</v>
      </c>
      <c r="JV33">
        <v>27.007000000000001</v>
      </c>
      <c r="JW33" s="12">
        <v>41121</v>
      </c>
      <c r="JX33">
        <v>6.5</v>
      </c>
      <c r="JY33" s="12">
        <v>41121</v>
      </c>
      <c r="JZ33">
        <v>7.3239999999999998</v>
      </c>
      <c r="KC33" s="12">
        <v>41121</v>
      </c>
      <c r="KD33">
        <v>3.7090000000000001</v>
      </c>
      <c r="KE33" s="12">
        <v>41121</v>
      </c>
      <c r="KF33">
        <v>10.502000000000001</v>
      </c>
      <c r="KG33" s="12">
        <v>41121</v>
      </c>
      <c r="KH33">
        <v>0.23</v>
      </c>
      <c r="KI33" s="12">
        <v>41121</v>
      </c>
      <c r="KJ33">
        <v>5.444</v>
      </c>
      <c r="KM33" s="12">
        <v>43738</v>
      </c>
      <c r="KN33">
        <v>24.49</v>
      </c>
      <c r="KO33" s="12">
        <v>41121</v>
      </c>
      <c r="KP33">
        <v>128.405</v>
      </c>
      <c r="KQ33" s="12">
        <v>41121</v>
      </c>
      <c r="KR33">
        <v>86.656000000000006</v>
      </c>
      <c r="KS33" s="12">
        <v>41121</v>
      </c>
      <c r="KT33">
        <v>14.259</v>
      </c>
      <c r="KU33" s="12">
        <v>41121</v>
      </c>
      <c r="KV33">
        <v>7.101</v>
      </c>
      <c r="LC33" s="12">
        <v>41121</v>
      </c>
      <c r="LD33">
        <v>10.82</v>
      </c>
      <c r="LE33" s="12">
        <v>41121</v>
      </c>
      <c r="LF33">
        <v>8.8970000000000002</v>
      </c>
      <c r="LG33" s="12">
        <v>41121</v>
      </c>
      <c r="LH33">
        <v>17.573</v>
      </c>
      <c r="LI33" s="12">
        <v>41121</v>
      </c>
      <c r="LJ33">
        <v>19.809000000000001</v>
      </c>
      <c r="LM33" s="12">
        <v>41121</v>
      </c>
      <c r="LN33">
        <v>7.976</v>
      </c>
      <c r="LO33" s="12">
        <v>41121</v>
      </c>
      <c r="LP33">
        <v>6.9989999999999997</v>
      </c>
      <c r="LQ33" s="12">
        <v>41121</v>
      </c>
      <c r="LR33">
        <v>27.079000000000001</v>
      </c>
      <c r="LS33" s="12">
        <v>41121</v>
      </c>
      <c r="LT33">
        <v>27.914999999999999</v>
      </c>
      <c r="LW33" s="12">
        <v>41121</v>
      </c>
      <c r="LX33">
        <v>1191.4939999999999</v>
      </c>
      <c r="LY33" s="12">
        <v>41121</v>
      </c>
      <c r="LZ33">
        <v>27.815999999999999</v>
      </c>
      <c r="MA33" s="12">
        <v>41121</v>
      </c>
      <c r="MB33">
        <v>22.263000000000002</v>
      </c>
      <c r="MC33" s="12">
        <v>42580</v>
      </c>
      <c r="MD33">
        <v>6.6619999999999999</v>
      </c>
      <c r="ME33" s="12">
        <v>41121</v>
      </c>
      <c r="MF33">
        <v>4.1740000000000004</v>
      </c>
      <c r="MG33" s="12">
        <v>41121</v>
      </c>
      <c r="MH33">
        <v>4.6609999999999996</v>
      </c>
      <c r="MI33" s="12">
        <v>43131</v>
      </c>
      <c r="MJ33">
        <v>10.465999999999999</v>
      </c>
      <c r="MK33" s="12">
        <v>41121</v>
      </c>
      <c r="ML33">
        <v>6.3890000000000002</v>
      </c>
    </row>
    <row r="34" spans="1:350" x14ac:dyDescent="0.3">
      <c r="A34" s="12">
        <v>41152</v>
      </c>
      <c r="B34" s="1">
        <v>12.047000000000001</v>
      </c>
      <c r="C34" s="12">
        <v>41516</v>
      </c>
      <c r="D34" s="1">
        <v>13.754</v>
      </c>
      <c r="E34" s="12">
        <v>41152</v>
      </c>
      <c r="F34" s="13">
        <v>8.8539999999999992</v>
      </c>
      <c r="G34" s="17">
        <v>41152</v>
      </c>
      <c r="H34" s="13">
        <v>6.7119999999999997</v>
      </c>
      <c r="I34" s="17">
        <v>41180</v>
      </c>
      <c r="J34">
        <v>19.446999999999999</v>
      </c>
      <c r="K34" s="12">
        <v>42369</v>
      </c>
      <c r="L34">
        <v>10.314</v>
      </c>
      <c r="M34" s="12">
        <v>41152</v>
      </c>
      <c r="N34" s="12">
        <v>61.6</v>
      </c>
      <c r="O34" s="12">
        <v>41152</v>
      </c>
      <c r="P34">
        <v>20.6</v>
      </c>
      <c r="Q34" s="12">
        <v>42551</v>
      </c>
      <c r="R34">
        <v>14.156000000000001</v>
      </c>
      <c r="S34" s="12">
        <v>41152</v>
      </c>
      <c r="T34">
        <v>17.920000000000002</v>
      </c>
      <c r="U34" s="12">
        <v>41578</v>
      </c>
      <c r="V34">
        <v>27.215</v>
      </c>
      <c r="W34" s="12">
        <v>43830</v>
      </c>
      <c r="X34">
        <v>58.28</v>
      </c>
      <c r="Y34" s="12">
        <v>41152</v>
      </c>
      <c r="Z34">
        <v>8.077</v>
      </c>
      <c r="AA34" s="12">
        <v>41152</v>
      </c>
      <c r="AB34">
        <v>14.347</v>
      </c>
      <c r="AC34" s="12">
        <v>41152</v>
      </c>
      <c r="AD34">
        <v>8.5969999999999995</v>
      </c>
      <c r="AE34" s="12">
        <v>41152</v>
      </c>
      <c r="AF34">
        <v>10.215999999999999</v>
      </c>
      <c r="AG34" s="12">
        <v>41152</v>
      </c>
      <c r="AH34">
        <v>47.807000000000002</v>
      </c>
      <c r="AI34" s="12">
        <v>42369</v>
      </c>
      <c r="AJ34">
        <v>16.748000000000001</v>
      </c>
      <c r="AK34" s="12">
        <v>41152</v>
      </c>
      <c r="AL34">
        <v>10.333</v>
      </c>
      <c r="AO34" s="12">
        <v>41152</v>
      </c>
      <c r="AP34">
        <v>3.79</v>
      </c>
      <c r="AQ34" s="12">
        <v>43769</v>
      </c>
      <c r="AR34">
        <v>64.426000000000002</v>
      </c>
      <c r="AS34" s="12">
        <v>41152</v>
      </c>
      <c r="AT34">
        <v>4.5030000000000001</v>
      </c>
      <c r="AU34" s="12">
        <v>41152</v>
      </c>
      <c r="AV34">
        <v>17.215</v>
      </c>
      <c r="AY34" s="12">
        <v>41152</v>
      </c>
      <c r="AZ34">
        <v>30.271999999999998</v>
      </c>
      <c r="BA34" s="12">
        <v>41152</v>
      </c>
      <c r="BB34">
        <v>9.5519999999999996</v>
      </c>
      <c r="BC34" s="12">
        <v>41152</v>
      </c>
      <c r="BD34">
        <v>14.525</v>
      </c>
      <c r="BE34" s="12">
        <v>41243</v>
      </c>
      <c r="BF34">
        <v>12.964</v>
      </c>
      <c r="BG34" s="12">
        <v>41152</v>
      </c>
      <c r="BH34">
        <v>9.4870000000000001</v>
      </c>
      <c r="BI34" s="12">
        <v>41152</v>
      </c>
      <c r="BJ34">
        <v>6.915</v>
      </c>
      <c r="BK34" s="12">
        <v>41152</v>
      </c>
      <c r="BL34">
        <v>12.565</v>
      </c>
      <c r="BM34" s="12">
        <v>41152</v>
      </c>
      <c r="BN34">
        <v>17.641999999999999</v>
      </c>
      <c r="BO34" s="12">
        <v>41152</v>
      </c>
      <c r="BP34">
        <v>10.427</v>
      </c>
      <c r="BQ34" s="12">
        <v>41152</v>
      </c>
      <c r="BR34">
        <v>9.4329999999999998</v>
      </c>
      <c r="BS34" s="12">
        <v>41152</v>
      </c>
      <c r="BT34">
        <v>10.832000000000001</v>
      </c>
      <c r="BW34" s="12">
        <v>41152</v>
      </c>
      <c r="BX34">
        <v>3.496</v>
      </c>
      <c r="BY34" s="12">
        <v>41152</v>
      </c>
      <c r="BZ34">
        <v>17.687999999999999</v>
      </c>
      <c r="CA34" s="12">
        <v>41152</v>
      </c>
      <c r="CB34">
        <v>24.238</v>
      </c>
      <c r="CE34" s="12">
        <v>41152</v>
      </c>
      <c r="CF34">
        <v>23.795000000000002</v>
      </c>
      <c r="CG34" s="12">
        <v>41152</v>
      </c>
      <c r="CH34">
        <v>24.466999999999999</v>
      </c>
      <c r="CI34" s="12">
        <v>41152</v>
      </c>
      <c r="CJ34">
        <v>35.61</v>
      </c>
      <c r="CK34" s="12">
        <v>41152</v>
      </c>
      <c r="CL34">
        <v>7.4660000000000002</v>
      </c>
      <c r="CM34" s="12">
        <v>41152</v>
      </c>
      <c r="CN34">
        <v>21.576999999999998</v>
      </c>
      <c r="CO34" s="12">
        <v>42613</v>
      </c>
      <c r="CP34">
        <v>21.622</v>
      </c>
      <c r="CQ34" s="12">
        <v>41152</v>
      </c>
      <c r="CR34">
        <v>12.524000000000001</v>
      </c>
      <c r="CS34" s="12">
        <v>41152</v>
      </c>
      <c r="CT34">
        <v>12.352</v>
      </c>
      <c r="CU34" s="12">
        <v>41152</v>
      </c>
      <c r="CV34">
        <v>7.5670000000000002</v>
      </c>
      <c r="CW34" s="12">
        <v>41152</v>
      </c>
      <c r="CX34">
        <v>7.8970000000000002</v>
      </c>
      <c r="CY34" s="12">
        <v>41243</v>
      </c>
      <c r="CZ34">
        <v>11.919</v>
      </c>
      <c r="DA34" s="12">
        <v>41152</v>
      </c>
      <c r="DB34">
        <v>17.398</v>
      </c>
      <c r="DC34" s="12">
        <v>41152</v>
      </c>
      <c r="DD34">
        <v>11.068</v>
      </c>
      <c r="DE34" s="12">
        <v>41152</v>
      </c>
      <c r="DF34">
        <v>11.702999999999999</v>
      </c>
      <c r="DG34" s="12">
        <v>41578</v>
      </c>
      <c r="DH34">
        <v>11.696999999999999</v>
      </c>
      <c r="DI34" s="12">
        <v>41152</v>
      </c>
      <c r="DJ34">
        <v>16.684999999999999</v>
      </c>
      <c r="DK34" s="12">
        <v>41152</v>
      </c>
      <c r="DL34">
        <v>12.988</v>
      </c>
      <c r="DM34" s="12">
        <v>41578</v>
      </c>
      <c r="DN34">
        <v>6.6609999999999996</v>
      </c>
      <c r="DO34" s="12">
        <v>41152</v>
      </c>
      <c r="DP34">
        <v>8.5489999999999995</v>
      </c>
      <c r="DQ34" s="12">
        <v>41152</v>
      </c>
      <c r="DR34">
        <v>699.49099999999999</v>
      </c>
      <c r="DS34" s="12">
        <v>41152</v>
      </c>
      <c r="DT34">
        <v>8.0060000000000002</v>
      </c>
      <c r="DU34" s="12">
        <v>41152</v>
      </c>
      <c r="DV34">
        <v>2.774</v>
      </c>
      <c r="DW34" s="12">
        <v>41152</v>
      </c>
      <c r="DX34">
        <v>6.3629999999999995</v>
      </c>
      <c r="DY34" s="12">
        <v>41152</v>
      </c>
      <c r="DZ34">
        <v>12.193</v>
      </c>
      <c r="EC34" s="12">
        <v>41152</v>
      </c>
      <c r="ED34">
        <v>13.048999999999999</v>
      </c>
      <c r="EE34" s="12">
        <v>41152</v>
      </c>
      <c r="EF34">
        <v>8.0530000000000008</v>
      </c>
      <c r="EG34" s="12">
        <v>41152</v>
      </c>
      <c r="EH34">
        <v>20.088000000000001</v>
      </c>
      <c r="EI34" s="12">
        <v>41152</v>
      </c>
      <c r="EJ34">
        <v>28.486000000000001</v>
      </c>
      <c r="EK34" s="12">
        <v>41152</v>
      </c>
      <c r="EL34">
        <v>12.734</v>
      </c>
      <c r="EM34" s="12">
        <v>41152</v>
      </c>
      <c r="EN34">
        <v>15.882</v>
      </c>
      <c r="EQ34" s="12">
        <v>41152</v>
      </c>
      <c r="ER34">
        <v>19.728000000000002</v>
      </c>
      <c r="ES34" s="12">
        <v>41152</v>
      </c>
      <c r="ET34">
        <v>9.6999999999999993</v>
      </c>
      <c r="EU34" s="12">
        <v>41152</v>
      </c>
      <c r="EV34">
        <v>2.8890000000000002</v>
      </c>
      <c r="EY34" s="12">
        <v>41152</v>
      </c>
      <c r="EZ34">
        <v>31.260999999999999</v>
      </c>
      <c r="FA34" s="12">
        <v>41152</v>
      </c>
      <c r="FB34">
        <v>10.683</v>
      </c>
      <c r="FC34" s="12">
        <v>41152</v>
      </c>
      <c r="FD34">
        <v>21.584</v>
      </c>
      <c r="FG34" s="12">
        <v>41152</v>
      </c>
      <c r="FH34">
        <v>3.4540000000000002</v>
      </c>
      <c r="FI34" s="12">
        <v>41152</v>
      </c>
      <c r="FJ34">
        <v>8.2940000000000005</v>
      </c>
      <c r="FK34" s="12">
        <v>41152</v>
      </c>
      <c r="FL34">
        <v>9.7149999999999999</v>
      </c>
      <c r="FM34" s="12">
        <v>41152</v>
      </c>
      <c r="FN34">
        <v>5.1779999999999999</v>
      </c>
      <c r="FO34" s="12">
        <v>41152</v>
      </c>
      <c r="FP34">
        <v>9.3569999999999993</v>
      </c>
      <c r="FQ34" s="12">
        <v>42643</v>
      </c>
      <c r="FR34">
        <v>14.659000000000001</v>
      </c>
      <c r="FS34" s="12">
        <v>41152</v>
      </c>
      <c r="FT34">
        <v>1.298</v>
      </c>
      <c r="FU34" s="12">
        <v>41152</v>
      </c>
      <c r="FV34">
        <v>8.3000000000000007</v>
      </c>
      <c r="FW34" s="12">
        <v>41152</v>
      </c>
      <c r="FX34">
        <v>9.2669999999999995</v>
      </c>
      <c r="FY34" s="12">
        <v>42004</v>
      </c>
      <c r="FZ34">
        <v>1.0649999999999999</v>
      </c>
      <c r="GA34" s="12">
        <v>41152</v>
      </c>
      <c r="GB34">
        <v>14.209</v>
      </c>
      <c r="GC34" s="12">
        <v>41152</v>
      </c>
      <c r="GD34">
        <v>18.712</v>
      </c>
      <c r="GE34" s="12">
        <v>42307</v>
      </c>
      <c r="GF34">
        <v>14.945</v>
      </c>
      <c r="GI34" s="12">
        <v>41152</v>
      </c>
      <c r="GJ34">
        <v>9.6530000000000005</v>
      </c>
      <c r="GK34" s="12">
        <v>41152</v>
      </c>
      <c r="GL34">
        <v>32.456000000000003</v>
      </c>
      <c r="GM34" s="12">
        <v>41152</v>
      </c>
      <c r="GN34">
        <v>19.100000000000001</v>
      </c>
      <c r="GO34" s="12">
        <v>41639</v>
      </c>
      <c r="GP34">
        <v>0.873</v>
      </c>
      <c r="GQ34" s="12">
        <v>41274</v>
      </c>
      <c r="GR34">
        <v>33.197000000000003</v>
      </c>
      <c r="GS34" s="12">
        <v>41152</v>
      </c>
      <c r="GT34">
        <v>815.274</v>
      </c>
      <c r="GU34" s="12">
        <v>43769</v>
      </c>
      <c r="GV34">
        <v>14.95</v>
      </c>
      <c r="GW34" s="12">
        <v>41213</v>
      </c>
      <c r="GX34">
        <v>29.881</v>
      </c>
      <c r="GY34" s="12">
        <v>41152</v>
      </c>
      <c r="GZ34">
        <v>11.5</v>
      </c>
      <c r="HA34" s="12">
        <v>41152</v>
      </c>
      <c r="HB34">
        <v>7.5839999999999996</v>
      </c>
      <c r="HC34" s="12">
        <v>41152</v>
      </c>
      <c r="HD34">
        <v>14.936999999999999</v>
      </c>
      <c r="HE34" s="12">
        <v>41152</v>
      </c>
      <c r="HF34">
        <v>23.425000000000001</v>
      </c>
      <c r="HG34" s="12">
        <v>41152</v>
      </c>
      <c r="HH34">
        <v>20.873999999999999</v>
      </c>
      <c r="HI34" s="12">
        <v>41152</v>
      </c>
      <c r="HJ34">
        <v>8.5570000000000004</v>
      </c>
      <c r="HK34" s="12">
        <v>41152</v>
      </c>
      <c r="HL34">
        <v>630</v>
      </c>
      <c r="HM34" s="12">
        <v>41152</v>
      </c>
      <c r="HN34">
        <v>59.189</v>
      </c>
      <c r="HO34" s="12">
        <v>41152</v>
      </c>
      <c r="HP34">
        <v>50.231999999999999</v>
      </c>
      <c r="HQ34" s="12">
        <v>41243</v>
      </c>
      <c r="HR34">
        <v>899</v>
      </c>
      <c r="HS34" s="12">
        <v>41152</v>
      </c>
      <c r="HT34">
        <v>79.881</v>
      </c>
      <c r="HU34" s="12">
        <v>41152</v>
      </c>
      <c r="HV34">
        <v>1792.502</v>
      </c>
      <c r="HW34" s="12">
        <v>41152</v>
      </c>
      <c r="HX34">
        <v>19.747</v>
      </c>
      <c r="HY34" s="12">
        <v>41152</v>
      </c>
      <c r="HZ34">
        <v>17.404</v>
      </c>
      <c r="IA34" s="12">
        <v>41152</v>
      </c>
      <c r="IB34">
        <v>35.258000000000003</v>
      </c>
      <c r="IC34" s="12">
        <v>41152</v>
      </c>
      <c r="ID34">
        <v>4.5549999999999997</v>
      </c>
      <c r="IE34" s="12">
        <v>41152</v>
      </c>
      <c r="IF34">
        <v>5.0599999999999996</v>
      </c>
      <c r="IG34" s="12">
        <v>41453</v>
      </c>
      <c r="IH34">
        <v>13.1</v>
      </c>
      <c r="II34" s="12">
        <v>41152</v>
      </c>
      <c r="IJ34">
        <v>26.263000000000002</v>
      </c>
      <c r="IM34" s="12">
        <v>41152</v>
      </c>
      <c r="IN34">
        <v>11.897</v>
      </c>
      <c r="IO34" s="12">
        <v>41698</v>
      </c>
      <c r="IP34">
        <v>13.215</v>
      </c>
      <c r="IQ34" s="12">
        <v>41152</v>
      </c>
      <c r="IR34">
        <v>19.951999999999998</v>
      </c>
      <c r="IS34" s="12">
        <v>43069</v>
      </c>
      <c r="IT34">
        <v>13.02</v>
      </c>
      <c r="IU34" s="12">
        <v>41152</v>
      </c>
      <c r="IV34">
        <v>7.2744999999999997</v>
      </c>
      <c r="IW34" s="12">
        <v>41152</v>
      </c>
      <c r="IX34">
        <v>33.549999999999997</v>
      </c>
      <c r="IY34" s="12">
        <v>41152</v>
      </c>
      <c r="IZ34">
        <v>8.9039999999999999</v>
      </c>
      <c r="JA34" s="12">
        <v>42916</v>
      </c>
      <c r="JB34">
        <v>6.4080000000000004</v>
      </c>
      <c r="JC34" s="12">
        <v>41152</v>
      </c>
      <c r="JD34">
        <v>15.308</v>
      </c>
      <c r="JE34" s="12">
        <v>41152</v>
      </c>
      <c r="JF34">
        <v>148.678</v>
      </c>
      <c r="JI34" s="12">
        <v>41152</v>
      </c>
      <c r="JJ34">
        <v>9.11</v>
      </c>
      <c r="JM34" s="12">
        <v>41152</v>
      </c>
      <c r="JN34">
        <v>1.623</v>
      </c>
      <c r="JO34" s="12">
        <v>41152</v>
      </c>
      <c r="JP34">
        <v>23.047999999999998</v>
      </c>
      <c r="JQ34" s="12">
        <v>42551</v>
      </c>
      <c r="JR34">
        <v>10.681000000000001</v>
      </c>
      <c r="JS34" s="12">
        <v>41152</v>
      </c>
      <c r="JT34">
        <v>7.9559999999999995</v>
      </c>
      <c r="JU34" s="12">
        <v>42369</v>
      </c>
      <c r="JV34">
        <v>26.388000000000002</v>
      </c>
      <c r="JW34" s="12">
        <v>41152</v>
      </c>
      <c r="JX34">
        <v>6.9989999999999997</v>
      </c>
      <c r="JY34" s="12">
        <v>41152</v>
      </c>
      <c r="JZ34">
        <v>8.4489999999999998</v>
      </c>
      <c r="KC34" s="12">
        <v>41152</v>
      </c>
      <c r="KD34">
        <v>4.101</v>
      </c>
      <c r="KE34" s="12">
        <v>41152</v>
      </c>
      <c r="KF34">
        <v>10.872</v>
      </c>
      <c r="KI34" s="12">
        <v>41152</v>
      </c>
      <c r="KJ34">
        <v>6.4379999999999997</v>
      </c>
      <c r="KM34" s="12">
        <v>43769</v>
      </c>
      <c r="KN34">
        <v>23.466000000000001</v>
      </c>
      <c r="KO34" s="12">
        <v>41152</v>
      </c>
      <c r="KP34">
        <v>136.70500000000001</v>
      </c>
      <c r="KQ34" s="12">
        <v>41152</v>
      </c>
      <c r="KR34">
        <v>86.656000000000006</v>
      </c>
      <c r="KS34" s="12">
        <v>41152</v>
      </c>
      <c r="KT34">
        <v>13.821999999999999</v>
      </c>
      <c r="KU34" s="12">
        <v>41152</v>
      </c>
      <c r="KV34">
        <v>6.7110000000000003</v>
      </c>
      <c r="LC34" s="12">
        <v>41152</v>
      </c>
      <c r="LD34">
        <v>11.292999999999999</v>
      </c>
      <c r="LE34" s="12">
        <v>41152</v>
      </c>
      <c r="LF34">
        <v>6.9719999999999995</v>
      </c>
      <c r="LG34" s="12">
        <v>41152</v>
      </c>
      <c r="LH34">
        <v>17.170999999999999</v>
      </c>
      <c r="LI34" s="12">
        <v>41152</v>
      </c>
      <c r="LJ34">
        <v>17.998999999999999</v>
      </c>
      <c r="LM34" s="12">
        <v>41152</v>
      </c>
      <c r="LN34">
        <v>9.1649999999999991</v>
      </c>
      <c r="LO34" s="12">
        <v>41152</v>
      </c>
      <c r="LP34">
        <v>7.73</v>
      </c>
      <c r="LQ34" s="12">
        <v>41152</v>
      </c>
      <c r="LR34">
        <v>24.622</v>
      </c>
      <c r="LS34" s="12">
        <v>41152</v>
      </c>
      <c r="LT34">
        <v>25.445</v>
      </c>
      <c r="LW34" s="12">
        <v>41152</v>
      </c>
      <c r="LX34">
        <v>1013.175</v>
      </c>
      <c r="LY34" s="12">
        <v>41152</v>
      </c>
      <c r="LZ34">
        <v>25.481999999999999</v>
      </c>
      <c r="MA34" s="12">
        <v>41152</v>
      </c>
      <c r="MB34">
        <v>24.581</v>
      </c>
      <c r="MC34" s="12">
        <v>42613</v>
      </c>
      <c r="MD34">
        <v>6.165</v>
      </c>
      <c r="ME34" s="12">
        <v>41152</v>
      </c>
      <c r="MF34">
        <v>4.1559999999999997</v>
      </c>
      <c r="MG34" s="12">
        <v>41152</v>
      </c>
      <c r="MH34">
        <v>5.0609999999999999</v>
      </c>
      <c r="MI34" s="12">
        <v>43159</v>
      </c>
      <c r="MJ34">
        <v>9.4619999999999997</v>
      </c>
      <c r="MK34" s="12">
        <v>41152</v>
      </c>
      <c r="ML34">
        <v>7.9770000000000003</v>
      </c>
    </row>
    <row r="35" spans="1:350" x14ac:dyDescent="0.3">
      <c r="A35" s="12">
        <v>41180</v>
      </c>
      <c r="B35" s="1">
        <v>12.179</v>
      </c>
      <c r="C35" s="12">
        <v>41547</v>
      </c>
      <c r="D35" s="1">
        <v>13.167999999999999</v>
      </c>
      <c r="E35" s="12">
        <v>41180</v>
      </c>
      <c r="F35" s="13">
        <v>8.3089999999999993</v>
      </c>
      <c r="G35" s="17">
        <v>41180</v>
      </c>
      <c r="H35" s="13">
        <v>7.2949999999999999</v>
      </c>
      <c r="I35" s="17">
        <v>41213</v>
      </c>
      <c r="J35">
        <v>20.437999999999999</v>
      </c>
      <c r="K35" s="12">
        <v>42398</v>
      </c>
      <c r="L35">
        <v>9.7100000000000009</v>
      </c>
      <c r="M35" s="12">
        <v>41180</v>
      </c>
      <c r="N35" s="12">
        <v>62.101999999999997</v>
      </c>
      <c r="O35" s="12">
        <v>41180</v>
      </c>
      <c r="P35">
        <v>24.35</v>
      </c>
      <c r="Q35" s="12">
        <v>42580</v>
      </c>
      <c r="R35">
        <v>14.972</v>
      </c>
      <c r="S35" s="12">
        <v>41180</v>
      </c>
      <c r="T35">
        <v>16.963000000000001</v>
      </c>
      <c r="U35" s="12">
        <v>41607</v>
      </c>
      <c r="V35">
        <v>23.56</v>
      </c>
      <c r="Y35" s="12">
        <v>41180</v>
      </c>
      <c r="Z35">
        <v>9.2029999999999994</v>
      </c>
      <c r="AA35" s="12">
        <v>41180</v>
      </c>
      <c r="AB35">
        <v>15.526</v>
      </c>
      <c r="AC35" s="12">
        <v>41180</v>
      </c>
      <c r="AD35">
        <v>8.4730000000000008</v>
      </c>
      <c r="AE35" s="12">
        <v>41180</v>
      </c>
      <c r="AF35">
        <v>10.089</v>
      </c>
      <c r="AG35" s="12">
        <v>41180</v>
      </c>
      <c r="AH35">
        <v>51.561999999999998</v>
      </c>
      <c r="AI35" s="12">
        <v>42398</v>
      </c>
      <c r="AJ35">
        <v>15.922000000000001</v>
      </c>
      <c r="AK35" s="12">
        <v>41180</v>
      </c>
      <c r="AL35">
        <v>10.936</v>
      </c>
      <c r="AO35" s="12">
        <v>41180</v>
      </c>
      <c r="AP35">
        <v>3.95</v>
      </c>
      <c r="AQ35" s="12">
        <v>43798</v>
      </c>
      <c r="AR35">
        <v>69.671999999999997</v>
      </c>
      <c r="AS35" s="12">
        <v>41180</v>
      </c>
      <c r="AT35">
        <v>4.7160000000000002</v>
      </c>
      <c r="AU35" s="12">
        <v>41180</v>
      </c>
      <c r="AV35">
        <v>18.28</v>
      </c>
      <c r="AY35" s="12">
        <v>41180</v>
      </c>
      <c r="AZ35">
        <v>32.5</v>
      </c>
      <c r="BA35" s="12">
        <v>41180</v>
      </c>
      <c r="BB35">
        <v>10.649000000000001</v>
      </c>
      <c r="BC35" s="12">
        <v>41180</v>
      </c>
      <c r="BD35">
        <v>16.161000000000001</v>
      </c>
      <c r="BE35" s="12">
        <v>41274</v>
      </c>
      <c r="BF35">
        <v>13.118</v>
      </c>
      <c r="BG35" s="12">
        <v>41180</v>
      </c>
      <c r="BH35">
        <v>9.9730000000000008</v>
      </c>
      <c r="BI35" s="12">
        <v>41180</v>
      </c>
      <c r="BJ35">
        <v>9.2409999999999997</v>
      </c>
      <c r="BK35" s="12">
        <v>41180</v>
      </c>
      <c r="BL35">
        <v>12.641</v>
      </c>
      <c r="BM35" s="12">
        <v>41180</v>
      </c>
      <c r="BN35">
        <v>12.145</v>
      </c>
      <c r="BO35" s="12">
        <v>41180</v>
      </c>
      <c r="BP35">
        <v>8.9640000000000004</v>
      </c>
      <c r="BQ35" s="12">
        <v>41180</v>
      </c>
      <c r="BR35">
        <v>7.0460000000000003</v>
      </c>
      <c r="BS35" s="12">
        <v>41180</v>
      </c>
      <c r="BT35">
        <v>7.6840000000000002</v>
      </c>
      <c r="BW35" s="12">
        <v>41180</v>
      </c>
      <c r="BX35">
        <v>3.6539999999999999</v>
      </c>
      <c r="BY35" s="12">
        <v>41180</v>
      </c>
      <c r="BZ35">
        <v>18.420000000000002</v>
      </c>
      <c r="CA35" s="12">
        <v>41180</v>
      </c>
      <c r="CB35">
        <v>22.045999999999999</v>
      </c>
      <c r="CE35" s="12">
        <v>41180</v>
      </c>
      <c r="CF35">
        <v>24.064</v>
      </c>
      <c r="CG35" s="12">
        <v>41180</v>
      </c>
      <c r="CH35">
        <v>26.805</v>
      </c>
      <c r="CI35" s="12">
        <v>41180</v>
      </c>
      <c r="CJ35">
        <v>34.093000000000004</v>
      </c>
      <c r="CK35" s="12">
        <v>41180</v>
      </c>
      <c r="CL35">
        <v>8.5269999999999992</v>
      </c>
      <c r="CM35" s="12">
        <v>41180</v>
      </c>
      <c r="CN35">
        <v>22.045999999999999</v>
      </c>
      <c r="CO35" s="12">
        <v>42643</v>
      </c>
      <c r="CP35">
        <v>23.163</v>
      </c>
      <c r="CQ35" s="12">
        <v>41180</v>
      </c>
      <c r="CR35">
        <v>13.2</v>
      </c>
      <c r="CS35" s="12">
        <v>41180</v>
      </c>
      <c r="CT35">
        <v>11.763999999999999</v>
      </c>
      <c r="CU35" s="12">
        <v>41180</v>
      </c>
      <c r="CV35">
        <v>7.5600000000000005</v>
      </c>
      <c r="CW35" s="12">
        <v>41180</v>
      </c>
      <c r="CX35">
        <v>8.5960000000000001</v>
      </c>
      <c r="CY35" s="12">
        <v>41274</v>
      </c>
      <c r="CZ35">
        <v>12.086</v>
      </c>
      <c r="DA35" s="12">
        <v>41180</v>
      </c>
      <c r="DB35">
        <v>16.491</v>
      </c>
      <c r="DC35" s="12">
        <v>41180</v>
      </c>
      <c r="DD35">
        <v>10.286</v>
      </c>
      <c r="DE35" s="12">
        <v>41180</v>
      </c>
      <c r="DF35">
        <v>11.502000000000001</v>
      </c>
      <c r="DG35" s="12">
        <v>41607</v>
      </c>
      <c r="DH35">
        <v>10.913</v>
      </c>
      <c r="DI35" s="12">
        <v>41180</v>
      </c>
      <c r="DJ35">
        <v>17.672000000000001</v>
      </c>
      <c r="DK35" s="12">
        <v>41180</v>
      </c>
      <c r="DL35">
        <v>12.692</v>
      </c>
      <c r="DM35" s="12">
        <v>41607</v>
      </c>
      <c r="DN35">
        <v>6.3049999999999997</v>
      </c>
      <c r="DO35" s="12">
        <v>41180</v>
      </c>
      <c r="DP35">
        <v>8.4830000000000005</v>
      </c>
      <c r="DQ35" s="12">
        <v>41180</v>
      </c>
      <c r="DR35">
        <v>599.56399999999996</v>
      </c>
      <c r="DS35" s="12">
        <v>41180</v>
      </c>
      <c r="DT35">
        <v>8.5060000000000002</v>
      </c>
      <c r="DU35" s="12">
        <v>41180</v>
      </c>
      <c r="DV35">
        <v>3.1930000000000001</v>
      </c>
      <c r="DW35" s="12">
        <v>41180</v>
      </c>
      <c r="DX35">
        <v>6.4539999999999997</v>
      </c>
      <c r="DY35" s="12">
        <v>41180</v>
      </c>
      <c r="DZ35">
        <v>12.531000000000001</v>
      </c>
      <c r="EC35" s="12">
        <v>41180</v>
      </c>
      <c r="ED35">
        <v>15.231</v>
      </c>
      <c r="EE35" s="12">
        <v>41180</v>
      </c>
      <c r="EF35">
        <v>8.8569999999999993</v>
      </c>
      <c r="EG35" s="12">
        <v>41180</v>
      </c>
      <c r="EH35">
        <v>16.504000000000001</v>
      </c>
      <c r="EI35" s="12">
        <v>41180</v>
      </c>
      <c r="EJ35">
        <v>31.369</v>
      </c>
      <c r="EK35" s="12">
        <v>41180</v>
      </c>
      <c r="EL35">
        <v>13.707000000000001</v>
      </c>
      <c r="EM35" s="12">
        <v>41180</v>
      </c>
      <c r="EN35">
        <v>17.059000000000001</v>
      </c>
      <c r="EQ35" s="12">
        <v>41180</v>
      </c>
      <c r="ER35">
        <v>21.69</v>
      </c>
      <c r="ES35" s="12">
        <v>41180</v>
      </c>
      <c r="ET35">
        <v>11.57</v>
      </c>
      <c r="EU35" s="12">
        <v>41180</v>
      </c>
      <c r="EV35">
        <v>3.141</v>
      </c>
      <c r="EY35" s="12">
        <v>41180</v>
      </c>
      <c r="EZ35">
        <v>32.304000000000002</v>
      </c>
      <c r="FA35" s="12">
        <v>41180</v>
      </c>
      <c r="FB35">
        <v>12.208</v>
      </c>
      <c r="FC35" s="12">
        <v>41180</v>
      </c>
      <c r="FD35">
        <v>22.916</v>
      </c>
      <c r="FG35" s="12">
        <v>41180</v>
      </c>
      <c r="FH35">
        <v>3.3410000000000002</v>
      </c>
      <c r="FI35" s="12">
        <v>41180</v>
      </c>
      <c r="FJ35">
        <v>7.9930000000000003</v>
      </c>
      <c r="FK35" s="12">
        <v>41180</v>
      </c>
      <c r="FL35">
        <v>9.3800000000000008</v>
      </c>
      <c r="FM35" s="12">
        <v>41180</v>
      </c>
      <c r="FN35">
        <v>6.03</v>
      </c>
      <c r="FO35" s="12">
        <v>41180</v>
      </c>
      <c r="FP35">
        <v>7.4719999999999995</v>
      </c>
      <c r="FQ35" s="12">
        <v>42674</v>
      </c>
      <c r="FR35">
        <v>14.151</v>
      </c>
      <c r="FS35" s="12">
        <v>41180</v>
      </c>
      <c r="FT35">
        <v>1.512</v>
      </c>
      <c r="FU35" s="12">
        <v>41180</v>
      </c>
      <c r="FV35">
        <v>9.1630000000000003</v>
      </c>
      <c r="FW35" s="12">
        <v>41180</v>
      </c>
      <c r="FX35">
        <v>10.084</v>
      </c>
      <c r="FY35" s="12">
        <v>42034</v>
      </c>
      <c r="FZ35">
        <v>0.93700000000000006</v>
      </c>
      <c r="GA35" s="12">
        <v>41180</v>
      </c>
      <c r="GB35">
        <v>15.850999999999999</v>
      </c>
      <c r="GC35" s="12">
        <v>41180</v>
      </c>
      <c r="GD35">
        <v>18.126999999999999</v>
      </c>
      <c r="GE35" s="12">
        <v>42338</v>
      </c>
      <c r="GF35">
        <v>15.327</v>
      </c>
      <c r="GI35" s="12">
        <v>41180</v>
      </c>
      <c r="GJ35">
        <v>9.8160000000000007</v>
      </c>
      <c r="GK35" s="12">
        <v>41180</v>
      </c>
      <c r="GL35">
        <v>33.622</v>
      </c>
      <c r="GM35" s="12">
        <v>41180</v>
      </c>
      <c r="GN35">
        <v>20.131</v>
      </c>
      <c r="GO35" s="12">
        <v>41670</v>
      </c>
      <c r="GP35">
        <v>0.91900000000000004</v>
      </c>
      <c r="GQ35" s="12">
        <v>41305</v>
      </c>
      <c r="GR35">
        <v>32.865000000000002</v>
      </c>
      <c r="GS35" s="12">
        <v>41180</v>
      </c>
      <c r="GT35">
        <v>743.47</v>
      </c>
      <c r="GU35" s="12">
        <v>43798</v>
      </c>
      <c r="GV35">
        <v>16.39</v>
      </c>
      <c r="GW35" s="12">
        <v>41243</v>
      </c>
      <c r="GX35">
        <v>32.024999999999999</v>
      </c>
      <c r="GY35" s="12">
        <v>41180</v>
      </c>
      <c r="GZ35">
        <v>11.8</v>
      </c>
      <c r="HA35" s="12">
        <v>41180</v>
      </c>
      <c r="HB35">
        <v>7.8100000000000005</v>
      </c>
      <c r="HC35" s="12">
        <v>41180</v>
      </c>
      <c r="HD35">
        <v>17.178999999999998</v>
      </c>
      <c r="HE35" s="12">
        <v>41180</v>
      </c>
      <c r="HF35">
        <v>21.643000000000001</v>
      </c>
      <c r="HG35" s="12">
        <v>41180</v>
      </c>
      <c r="HH35">
        <v>22.658000000000001</v>
      </c>
      <c r="HI35" s="12">
        <v>41180</v>
      </c>
      <c r="HJ35">
        <v>8.8290000000000006</v>
      </c>
      <c r="HK35" s="12">
        <v>41180</v>
      </c>
      <c r="HL35">
        <v>615</v>
      </c>
      <c r="HM35" s="12">
        <v>41180</v>
      </c>
      <c r="HN35">
        <v>64.17</v>
      </c>
      <c r="HO35" s="12">
        <v>41180</v>
      </c>
      <c r="HP35">
        <v>53.097999999999999</v>
      </c>
      <c r="HQ35" s="12">
        <v>41274</v>
      </c>
      <c r="HR35">
        <v>1065</v>
      </c>
      <c r="HS35" s="12">
        <v>41180</v>
      </c>
      <c r="HT35">
        <v>84.697999999999993</v>
      </c>
      <c r="HU35" s="12">
        <v>41180</v>
      </c>
      <c r="HV35">
        <v>1733.508</v>
      </c>
      <c r="HW35" s="12">
        <v>41180</v>
      </c>
      <c r="HX35">
        <v>21.602</v>
      </c>
      <c r="HY35" s="12">
        <v>41180</v>
      </c>
      <c r="HZ35">
        <v>18.763000000000002</v>
      </c>
      <c r="IA35" s="12">
        <v>41180</v>
      </c>
      <c r="IB35">
        <v>41.566000000000003</v>
      </c>
      <c r="IC35" s="12">
        <v>41180</v>
      </c>
      <c r="ID35">
        <v>4.758</v>
      </c>
      <c r="IE35" s="12">
        <v>41180</v>
      </c>
      <c r="IF35">
        <v>4.7169999999999996</v>
      </c>
      <c r="IG35" s="12">
        <v>41486</v>
      </c>
      <c r="IH35">
        <v>8.4499999999999993</v>
      </c>
      <c r="II35" s="12">
        <v>41180</v>
      </c>
      <c r="IJ35">
        <v>23.637</v>
      </c>
      <c r="IM35" s="12">
        <v>41180</v>
      </c>
      <c r="IN35">
        <v>12.945</v>
      </c>
      <c r="IO35" s="12">
        <v>41729</v>
      </c>
      <c r="IP35">
        <v>14.279</v>
      </c>
      <c r="IQ35" s="12">
        <v>41180</v>
      </c>
      <c r="IR35">
        <v>21.684999999999999</v>
      </c>
      <c r="IS35" s="12">
        <v>43098</v>
      </c>
      <c r="IT35">
        <v>12.97</v>
      </c>
      <c r="IU35" s="12">
        <v>41180</v>
      </c>
      <c r="IV35">
        <v>8.0775000000000006</v>
      </c>
      <c r="IW35" s="12">
        <v>41180</v>
      </c>
      <c r="IX35">
        <v>34.950000000000003</v>
      </c>
      <c r="IY35" s="12">
        <v>41180</v>
      </c>
      <c r="IZ35">
        <v>8.8539999999999992</v>
      </c>
      <c r="JA35" s="12">
        <v>42947</v>
      </c>
      <c r="JB35">
        <v>7.335</v>
      </c>
      <c r="JC35" s="12">
        <v>41180</v>
      </c>
      <c r="JD35">
        <v>14.920999999999999</v>
      </c>
      <c r="JE35" s="12">
        <v>41180</v>
      </c>
      <c r="JF35">
        <v>123.002</v>
      </c>
      <c r="JI35" s="12">
        <v>41180</v>
      </c>
      <c r="JJ35">
        <v>8.7289999999999992</v>
      </c>
      <c r="JM35" s="12">
        <v>41180</v>
      </c>
      <c r="JN35">
        <v>1.571</v>
      </c>
      <c r="JO35" s="12">
        <v>41180</v>
      </c>
      <c r="JP35">
        <v>22.294</v>
      </c>
      <c r="JQ35" s="12">
        <v>42580</v>
      </c>
      <c r="JR35">
        <v>13.388</v>
      </c>
      <c r="JS35" s="12">
        <v>41180</v>
      </c>
      <c r="JT35">
        <v>8.1240000000000006</v>
      </c>
      <c r="JU35" s="12">
        <v>42398</v>
      </c>
      <c r="JV35">
        <v>21.594999999999999</v>
      </c>
      <c r="JW35" s="12">
        <v>41180</v>
      </c>
      <c r="JX35">
        <v>7.0670000000000002</v>
      </c>
      <c r="JY35" s="12">
        <v>41180</v>
      </c>
      <c r="JZ35">
        <v>8.7880000000000003</v>
      </c>
      <c r="KC35" s="12">
        <v>41180</v>
      </c>
      <c r="KD35">
        <v>4.8570000000000002</v>
      </c>
      <c r="KE35" s="12">
        <v>41180</v>
      </c>
      <c r="KF35">
        <v>10.872</v>
      </c>
      <c r="KI35" s="12">
        <v>41180</v>
      </c>
      <c r="KJ35">
        <v>7.1159999999999997</v>
      </c>
      <c r="KM35" s="12">
        <v>43798</v>
      </c>
      <c r="KN35">
        <v>23.83</v>
      </c>
      <c r="KO35" s="12">
        <v>41180</v>
      </c>
      <c r="KP35">
        <v>141.09899999999999</v>
      </c>
      <c r="KQ35" s="12">
        <v>41180</v>
      </c>
      <c r="KR35">
        <v>89.063000000000002</v>
      </c>
      <c r="KS35" s="12">
        <v>41180</v>
      </c>
      <c r="KT35">
        <v>11.356999999999999</v>
      </c>
      <c r="KU35" s="12">
        <v>41180</v>
      </c>
      <c r="KV35">
        <v>6.5110000000000001</v>
      </c>
      <c r="LC35" s="12">
        <v>41180</v>
      </c>
      <c r="LD35">
        <v>12.054</v>
      </c>
      <c r="LE35" s="12">
        <v>41180</v>
      </c>
      <c r="LF35">
        <v>5.8250000000000002</v>
      </c>
      <c r="LG35" s="12">
        <v>41180</v>
      </c>
      <c r="LH35">
        <v>17.204000000000001</v>
      </c>
      <c r="LI35" s="12">
        <v>41180</v>
      </c>
      <c r="LJ35">
        <v>18.914999999999999</v>
      </c>
      <c r="LM35" s="12">
        <v>41180</v>
      </c>
      <c r="LN35">
        <v>11.234</v>
      </c>
      <c r="LO35" s="12">
        <v>41180</v>
      </c>
      <c r="LP35">
        <v>9.5980000000000008</v>
      </c>
      <c r="LQ35" s="12">
        <v>41180</v>
      </c>
      <c r="LR35">
        <v>26.597000000000001</v>
      </c>
      <c r="LS35" s="12">
        <v>41180</v>
      </c>
      <c r="LT35">
        <v>27.047999999999998</v>
      </c>
      <c r="LW35" s="12">
        <v>41180</v>
      </c>
      <c r="LX35">
        <v>972.64800000000002</v>
      </c>
      <c r="LY35" s="12">
        <v>41180</v>
      </c>
      <c r="LZ35">
        <v>25.65</v>
      </c>
      <c r="MA35" s="12">
        <v>41180</v>
      </c>
      <c r="MB35">
        <v>26.652000000000001</v>
      </c>
      <c r="MC35" s="12">
        <v>42643</v>
      </c>
      <c r="MD35">
        <v>6.34</v>
      </c>
      <c r="ME35" s="12">
        <v>41180</v>
      </c>
      <c r="MF35">
        <v>4.1289999999999996</v>
      </c>
      <c r="MG35" s="12">
        <v>41180</v>
      </c>
      <c r="MH35">
        <v>5.968</v>
      </c>
      <c r="MI35" s="12">
        <v>43189</v>
      </c>
      <c r="MJ35">
        <v>8.5050000000000008</v>
      </c>
      <c r="MK35" s="12">
        <v>41180</v>
      </c>
      <c r="ML35">
        <v>8.61</v>
      </c>
    </row>
    <row r="36" spans="1:350" x14ac:dyDescent="0.3">
      <c r="A36" s="12">
        <v>41213</v>
      </c>
      <c r="B36" s="1">
        <v>13.109</v>
      </c>
      <c r="C36" s="12">
        <v>41578</v>
      </c>
      <c r="D36" s="1">
        <v>13.307</v>
      </c>
      <c r="E36" s="12">
        <v>41213</v>
      </c>
      <c r="F36" s="13">
        <v>9.1620000000000008</v>
      </c>
      <c r="G36" s="17">
        <v>41213</v>
      </c>
      <c r="H36" s="13">
        <v>7.8739999999999997</v>
      </c>
      <c r="I36" s="17">
        <v>41243</v>
      </c>
      <c r="J36">
        <v>19.332000000000001</v>
      </c>
      <c r="K36" s="12">
        <v>42429</v>
      </c>
      <c r="L36">
        <v>9.891</v>
      </c>
      <c r="M36" s="12">
        <v>41213</v>
      </c>
      <c r="N36" s="12">
        <v>66.522999999999996</v>
      </c>
      <c r="O36" s="12">
        <v>41213</v>
      </c>
      <c r="P36">
        <v>30.55</v>
      </c>
      <c r="Q36" s="12">
        <v>42613</v>
      </c>
      <c r="R36">
        <v>13.861000000000001</v>
      </c>
      <c r="S36" s="12">
        <v>41213</v>
      </c>
      <c r="T36">
        <v>17.611999999999998</v>
      </c>
      <c r="U36" s="12">
        <v>41639</v>
      </c>
      <c r="V36">
        <v>24.265000000000001</v>
      </c>
      <c r="Y36" s="12">
        <v>41213</v>
      </c>
      <c r="Z36">
        <v>9.7669999999999995</v>
      </c>
      <c r="AA36" s="12">
        <v>41213</v>
      </c>
      <c r="AB36">
        <v>13.566000000000001</v>
      </c>
      <c r="AC36" s="12">
        <v>41213</v>
      </c>
      <c r="AD36">
        <v>8.4909999999999997</v>
      </c>
      <c r="AE36" s="12">
        <v>41213</v>
      </c>
      <c r="AF36">
        <v>9.9179999999999993</v>
      </c>
      <c r="AG36" s="12">
        <v>41213</v>
      </c>
      <c r="AH36">
        <v>41.162999999999997</v>
      </c>
      <c r="AI36" s="12">
        <v>42429</v>
      </c>
      <c r="AJ36">
        <v>17.178000000000001</v>
      </c>
      <c r="AK36" s="12">
        <v>41213</v>
      </c>
      <c r="AL36">
        <v>10.702999999999999</v>
      </c>
      <c r="AO36" s="12">
        <v>41213</v>
      </c>
      <c r="AP36">
        <v>3.55</v>
      </c>
      <c r="AQ36" s="12">
        <v>43830</v>
      </c>
      <c r="AR36">
        <v>75.504000000000005</v>
      </c>
      <c r="AS36" s="12">
        <v>41213</v>
      </c>
      <c r="AT36">
        <v>4.3259999999999996</v>
      </c>
      <c r="AU36" s="12">
        <v>41213</v>
      </c>
      <c r="AV36">
        <v>19.488</v>
      </c>
      <c r="AY36" s="12">
        <v>41213</v>
      </c>
      <c r="AZ36">
        <v>34.301000000000002</v>
      </c>
      <c r="BA36" s="12">
        <v>41213</v>
      </c>
      <c r="BB36">
        <v>10.015000000000001</v>
      </c>
      <c r="BC36" s="12">
        <v>41213</v>
      </c>
      <c r="BD36">
        <v>15.329000000000001</v>
      </c>
      <c r="BE36" s="12">
        <v>41305</v>
      </c>
      <c r="BF36">
        <v>13.298</v>
      </c>
      <c r="BG36" s="12">
        <v>41213</v>
      </c>
      <c r="BH36">
        <v>9.2840000000000007</v>
      </c>
      <c r="BI36" s="12">
        <v>41213</v>
      </c>
      <c r="BJ36">
        <v>8.5730000000000004</v>
      </c>
      <c r="BK36" s="12">
        <v>41213</v>
      </c>
      <c r="BL36">
        <v>12.676</v>
      </c>
      <c r="BM36" s="12">
        <v>41213</v>
      </c>
      <c r="BN36">
        <v>10.238</v>
      </c>
      <c r="BO36" s="12">
        <v>41213</v>
      </c>
      <c r="BP36">
        <v>8.9039999999999999</v>
      </c>
      <c r="BQ36" s="12">
        <v>41213</v>
      </c>
      <c r="BR36">
        <v>6.9509999999999996</v>
      </c>
      <c r="BS36" s="12">
        <v>41213</v>
      </c>
      <c r="BT36">
        <v>7.5960000000000001</v>
      </c>
      <c r="BW36" s="12">
        <v>41213</v>
      </c>
      <c r="BX36">
        <v>4.2750000000000004</v>
      </c>
      <c r="BY36" s="12">
        <v>41213</v>
      </c>
      <c r="BZ36">
        <v>19.414999999999999</v>
      </c>
      <c r="CA36" s="12">
        <v>41213</v>
      </c>
      <c r="CB36">
        <v>19.981000000000002</v>
      </c>
      <c r="CE36" s="12">
        <v>41213</v>
      </c>
      <c r="CF36">
        <v>23.189</v>
      </c>
      <c r="CG36" s="12">
        <v>41213</v>
      </c>
      <c r="CH36">
        <v>28.195</v>
      </c>
      <c r="CI36" s="12">
        <v>41213</v>
      </c>
      <c r="CJ36">
        <v>35.454000000000001</v>
      </c>
      <c r="CK36" s="12">
        <v>41213</v>
      </c>
      <c r="CL36">
        <v>8.3849999999999998</v>
      </c>
      <c r="CM36" s="12">
        <v>41213</v>
      </c>
      <c r="CN36">
        <v>19.393999999999998</v>
      </c>
      <c r="CO36" s="12">
        <v>42674</v>
      </c>
      <c r="CP36">
        <v>23.596</v>
      </c>
      <c r="CQ36" s="12">
        <v>41213</v>
      </c>
      <c r="CR36">
        <v>13.063000000000001</v>
      </c>
      <c r="CS36" s="12">
        <v>41213</v>
      </c>
      <c r="CT36">
        <v>13.016999999999999</v>
      </c>
      <c r="CU36" s="12">
        <v>41213</v>
      </c>
      <c r="CV36">
        <v>8.1430000000000007</v>
      </c>
      <c r="CW36" s="12">
        <v>41213</v>
      </c>
      <c r="CX36">
        <v>9.1389999999999993</v>
      </c>
      <c r="CY36" s="12">
        <v>41305</v>
      </c>
      <c r="CZ36">
        <v>12.31</v>
      </c>
      <c r="DA36" s="12">
        <v>41213</v>
      </c>
      <c r="DB36">
        <v>18.036999999999999</v>
      </c>
      <c r="DC36" s="12">
        <v>41213</v>
      </c>
      <c r="DD36">
        <v>9.4779999999999998</v>
      </c>
      <c r="DE36" s="12">
        <v>41213</v>
      </c>
      <c r="DF36">
        <v>10.189</v>
      </c>
      <c r="DG36" s="12">
        <v>41698</v>
      </c>
      <c r="DH36">
        <v>13.095000000000001</v>
      </c>
      <c r="DI36" s="12">
        <v>41213</v>
      </c>
      <c r="DJ36">
        <v>14.47</v>
      </c>
      <c r="DK36" s="12">
        <v>41213</v>
      </c>
      <c r="DL36">
        <v>13.242000000000001</v>
      </c>
      <c r="DM36" s="12">
        <v>41639</v>
      </c>
      <c r="DN36">
        <v>6.0039999999999996</v>
      </c>
      <c r="DO36" s="12">
        <v>41213</v>
      </c>
      <c r="DP36">
        <v>8.3710000000000004</v>
      </c>
      <c r="DQ36" s="12">
        <v>41213</v>
      </c>
      <c r="DR36">
        <v>595.678</v>
      </c>
      <c r="DS36" s="12">
        <v>41213</v>
      </c>
      <c r="DT36">
        <v>8.8529999999999998</v>
      </c>
      <c r="DU36" s="12">
        <v>41213</v>
      </c>
      <c r="DV36">
        <v>3.2109999999999999</v>
      </c>
      <c r="DW36" s="12">
        <v>41213</v>
      </c>
      <c r="DX36">
        <v>6.694</v>
      </c>
      <c r="DY36" s="12">
        <v>41213</v>
      </c>
      <c r="DZ36">
        <v>13.288</v>
      </c>
      <c r="EC36" s="12">
        <v>41213</v>
      </c>
      <c r="ED36">
        <v>14.247999999999999</v>
      </c>
      <c r="EE36" s="12">
        <v>41213</v>
      </c>
      <c r="EF36">
        <v>8.7249999999999996</v>
      </c>
      <c r="EG36" s="12">
        <v>41213</v>
      </c>
      <c r="EH36">
        <v>16.7</v>
      </c>
      <c r="EI36" s="12">
        <v>41213</v>
      </c>
      <c r="EJ36">
        <v>26.234999999999999</v>
      </c>
      <c r="EK36" s="12">
        <v>41213</v>
      </c>
      <c r="EL36">
        <v>12.709</v>
      </c>
      <c r="EM36" s="12">
        <v>41213</v>
      </c>
      <c r="EN36">
        <v>15.705</v>
      </c>
      <c r="EQ36" s="12">
        <v>41213</v>
      </c>
      <c r="ER36">
        <v>20.207000000000001</v>
      </c>
      <c r="ES36" s="12">
        <v>41213</v>
      </c>
      <c r="ET36">
        <v>10.15</v>
      </c>
      <c r="EU36" s="12">
        <v>41213</v>
      </c>
      <c r="EV36">
        <v>3.5060000000000002</v>
      </c>
      <c r="EY36" s="12">
        <v>41213</v>
      </c>
      <c r="EZ36">
        <v>33.328000000000003</v>
      </c>
      <c r="FA36" s="12">
        <v>41213</v>
      </c>
      <c r="FB36">
        <v>13.241</v>
      </c>
      <c r="FC36" s="12">
        <v>41213</v>
      </c>
      <c r="FD36">
        <v>22.823</v>
      </c>
      <c r="FG36" s="12">
        <v>41213</v>
      </c>
      <c r="FH36">
        <v>3.2930000000000001</v>
      </c>
      <c r="FI36" s="12">
        <v>41213</v>
      </c>
      <c r="FJ36">
        <v>7.8070000000000004</v>
      </c>
      <c r="FK36" s="12">
        <v>41213</v>
      </c>
      <c r="FL36">
        <v>9.1110000000000007</v>
      </c>
      <c r="FM36" s="12">
        <v>41213</v>
      </c>
      <c r="FN36">
        <v>5.8959999999999999</v>
      </c>
      <c r="FO36" s="12">
        <v>41213</v>
      </c>
      <c r="FP36">
        <v>8.76</v>
      </c>
      <c r="FQ36" s="12">
        <v>42704</v>
      </c>
      <c r="FR36">
        <v>14.718</v>
      </c>
      <c r="FS36" s="12">
        <v>41213</v>
      </c>
      <c r="FT36">
        <v>1.702</v>
      </c>
      <c r="FU36" s="12">
        <v>41213</v>
      </c>
      <c r="FV36">
        <v>9.6649999999999991</v>
      </c>
      <c r="FW36" s="12">
        <v>41213</v>
      </c>
      <c r="FX36">
        <v>10.802</v>
      </c>
      <c r="FY36" s="12">
        <v>42062</v>
      </c>
      <c r="FZ36">
        <v>0.86099999999999999</v>
      </c>
      <c r="GA36" s="12">
        <v>41213</v>
      </c>
      <c r="GB36">
        <v>16.161000000000001</v>
      </c>
      <c r="GC36" s="12">
        <v>41213</v>
      </c>
      <c r="GD36">
        <v>16.847000000000001</v>
      </c>
      <c r="GE36" s="12">
        <v>42369</v>
      </c>
      <c r="GF36">
        <v>14.144</v>
      </c>
      <c r="GI36" s="12">
        <v>41213</v>
      </c>
      <c r="GJ36">
        <v>10.872</v>
      </c>
      <c r="GK36" s="12">
        <v>41213</v>
      </c>
      <c r="GL36">
        <v>33.981000000000002</v>
      </c>
      <c r="GM36" s="12">
        <v>41213</v>
      </c>
      <c r="GN36">
        <v>20.675999999999998</v>
      </c>
      <c r="GO36" s="12">
        <v>41698</v>
      </c>
      <c r="GP36">
        <v>0.82199999999999995</v>
      </c>
      <c r="GQ36" s="12">
        <v>41333</v>
      </c>
      <c r="GR36">
        <v>31.550999999999998</v>
      </c>
      <c r="GS36" s="12">
        <v>41213</v>
      </c>
      <c r="GT36">
        <v>601.35799999999995</v>
      </c>
      <c r="GU36" s="12">
        <v>43830</v>
      </c>
      <c r="GV36">
        <v>18.992999999999999</v>
      </c>
      <c r="GW36" s="12">
        <v>41274</v>
      </c>
      <c r="GX36">
        <v>30.873999999999999</v>
      </c>
      <c r="GY36" s="12">
        <v>41213</v>
      </c>
      <c r="GZ36">
        <v>10.5</v>
      </c>
      <c r="HA36" s="12">
        <v>41213</v>
      </c>
      <c r="HB36">
        <v>6.6319999999999997</v>
      </c>
      <c r="HC36" s="12">
        <v>41213</v>
      </c>
      <c r="HD36">
        <v>17.123999999999999</v>
      </c>
      <c r="HE36" s="12">
        <v>41213</v>
      </c>
      <c r="HF36">
        <v>20.260000000000002</v>
      </c>
      <c r="HG36" s="12">
        <v>41213</v>
      </c>
      <c r="HH36">
        <v>22.207000000000001</v>
      </c>
      <c r="HI36" s="12">
        <v>41213</v>
      </c>
      <c r="HJ36">
        <v>8.218</v>
      </c>
      <c r="HK36" s="12">
        <v>41213</v>
      </c>
      <c r="HL36">
        <v>471</v>
      </c>
      <c r="HM36" s="12">
        <v>41213</v>
      </c>
      <c r="HN36">
        <v>62.1</v>
      </c>
      <c r="HO36" s="12">
        <v>41213</v>
      </c>
      <c r="HP36">
        <v>53.033000000000001</v>
      </c>
      <c r="HQ36" s="12">
        <v>41305</v>
      </c>
      <c r="HR36">
        <v>900</v>
      </c>
      <c r="HS36" s="12">
        <v>41213</v>
      </c>
      <c r="HT36">
        <v>87.177000000000007</v>
      </c>
      <c r="HU36" s="12">
        <v>41213</v>
      </c>
      <c r="HV36">
        <v>1551.989</v>
      </c>
      <c r="HW36" s="12">
        <v>41213</v>
      </c>
      <c r="HX36">
        <v>19.933</v>
      </c>
      <c r="HY36" s="12">
        <v>41213</v>
      </c>
      <c r="HZ36">
        <v>17.446000000000002</v>
      </c>
      <c r="IA36" s="12">
        <v>41213</v>
      </c>
      <c r="IB36">
        <v>55.152000000000001</v>
      </c>
      <c r="IC36" s="12">
        <v>41213</v>
      </c>
      <c r="ID36">
        <v>4.782</v>
      </c>
      <c r="IE36" s="12">
        <v>41213</v>
      </c>
      <c r="IF36">
        <v>4.8739999999999997</v>
      </c>
      <c r="IG36" s="12">
        <v>41516</v>
      </c>
      <c r="IH36">
        <v>7.5</v>
      </c>
      <c r="II36" s="12">
        <v>41213</v>
      </c>
      <c r="IJ36">
        <v>18.631</v>
      </c>
      <c r="IM36" s="12">
        <v>41213</v>
      </c>
      <c r="IN36">
        <v>14.11</v>
      </c>
      <c r="IO36" s="12">
        <v>41759</v>
      </c>
      <c r="IP36">
        <v>13.481999999999999</v>
      </c>
      <c r="IQ36" s="12">
        <v>41213</v>
      </c>
      <c r="IR36">
        <v>20.81</v>
      </c>
      <c r="IS36" s="12">
        <v>43131</v>
      </c>
      <c r="IT36">
        <v>14.27</v>
      </c>
      <c r="IU36" s="12">
        <v>41213</v>
      </c>
      <c r="IV36">
        <v>7.3705999999999996</v>
      </c>
      <c r="IW36" s="12">
        <v>41213</v>
      </c>
      <c r="IX36">
        <v>35.159999999999997</v>
      </c>
      <c r="IY36" s="12">
        <v>41213</v>
      </c>
      <c r="IZ36">
        <v>8.8729999999999993</v>
      </c>
      <c r="JA36" s="12">
        <v>42978</v>
      </c>
      <c r="JB36">
        <v>7.8330000000000002</v>
      </c>
      <c r="JC36" s="12">
        <v>41213</v>
      </c>
      <c r="JD36">
        <v>6.5880000000000001</v>
      </c>
      <c r="JE36" s="12">
        <v>41213</v>
      </c>
      <c r="JF36">
        <v>104.417</v>
      </c>
      <c r="JI36" s="12">
        <v>41213</v>
      </c>
      <c r="JJ36">
        <v>8.2170000000000005</v>
      </c>
      <c r="JM36" s="12">
        <v>41213</v>
      </c>
      <c r="JN36">
        <v>1.6320000000000001</v>
      </c>
      <c r="JO36" s="12">
        <v>41213</v>
      </c>
      <c r="JP36">
        <v>23.097000000000001</v>
      </c>
      <c r="JQ36" s="12">
        <v>42613</v>
      </c>
      <c r="JR36">
        <v>13.91</v>
      </c>
      <c r="JS36" s="12">
        <v>41213</v>
      </c>
      <c r="JT36">
        <v>7.2460000000000004</v>
      </c>
      <c r="JU36" s="12">
        <v>42429</v>
      </c>
      <c r="JV36">
        <v>22.081</v>
      </c>
      <c r="JW36" s="12">
        <v>41213</v>
      </c>
      <c r="JX36">
        <v>7.4980000000000002</v>
      </c>
      <c r="JY36" s="12">
        <v>41213</v>
      </c>
      <c r="JZ36">
        <v>9.3960000000000008</v>
      </c>
      <c r="KC36" s="12">
        <v>41213</v>
      </c>
      <c r="KD36">
        <v>4.8109999999999999</v>
      </c>
      <c r="KE36" s="12">
        <v>41213</v>
      </c>
      <c r="KF36">
        <v>9.91</v>
      </c>
      <c r="KI36" s="12">
        <v>41213</v>
      </c>
      <c r="KJ36">
        <v>6.3250000000000002</v>
      </c>
      <c r="KM36" s="12">
        <v>43830</v>
      </c>
      <c r="KN36">
        <v>30.19</v>
      </c>
      <c r="KO36" s="12">
        <v>41213</v>
      </c>
      <c r="KP36">
        <v>133.77600000000001</v>
      </c>
      <c r="KQ36" s="12">
        <v>41213</v>
      </c>
      <c r="KR36">
        <v>84.248999999999995</v>
      </c>
      <c r="KS36" s="12">
        <v>41213</v>
      </c>
      <c r="KT36">
        <v>11.491</v>
      </c>
      <c r="KU36" s="12">
        <v>41213</v>
      </c>
      <c r="KV36">
        <v>5.9870000000000001</v>
      </c>
      <c r="LC36" s="12">
        <v>41213</v>
      </c>
      <c r="LD36">
        <v>11.821999999999999</v>
      </c>
      <c r="LE36" s="12">
        <v>41213</v>
      </c>
      <c r="LF36">
        <v>5.032</v>
      </c>
      <c r="LG36" s="12">
        <v>41213</v>
      </c>
      <c r="LH36">
        <v>17.72</v>
      </c>
      <c r="LI36" s="12">
        <v>41213</v>
      </c>
      <c r="LJ36">
        <v>17.667000000000002</v>
      </c>
      <c r="LM36" s="12">
        <v>41213</v>
      </c>
      <c r="LN36">
        <v>10.268000000000001</v>
      </c>
      <c r="LO36" s="12">
        <v>41213</v>
      </c>
      <c r="LP36">
        <v>9.3040000000000003</v>
      </c>
      <c r="LQ36" s="12">
        <v>41213</v>
      </c>
      <c r="LR36">
        <v>28.167000000000002</v>
      </c>
      <c r="LS36" s="12">
        <v>41213</v>
      </c>
      <c r="LT36">
        <v>28.794</v>
      </c>
      <c r="LW36" s="12">
        <v>41213</v>
      </c>
      <c r="LX36">
        <v>1032.4849999999999</v>
      </c>
      <c r="LY36" s="12">
        <v>41213</v>
      </c>
      <c r="LZ36">
        <v>26.061</v>
      </c>
      <c r="MA36" s="12">
        <v>41213</v>
      </c>
      <c r="MB36">
        <v>26.849</v>
      </c>
      <c r="MC36" s="12">
        <v>42674</v>
      </c>
      <c r="MD36">
        <v>9.1069999999999993</v>
      </c>
      <c r="ME36" s="12">
        <v>41213</v>
      </c>
      <c r="MF36">
        <v>3.899</v>
      </c>
      <c r="MG36" s="12">
        <v>41213</v>
      </c>
      <c r="MH36">
        <v>5.8940000000000001</v>
      </c>
      <c r="MI36" s="12">
        <v>43220</v>
      </c>
      <c r="MJ36">
        <v>8.0020000000000007</v>
      </c>
      <c r="MK36" s="12">
        <v>41213</v>
      </c>
      <c r="ML36">
        <v>9.8000000000000007</v>
      </c>
    </row>
    <row r="37" spans="1:350" x14ac:dyDescent="0.3">
      <c r="A37" s="12">
        <v>41243</v>
      </c>
      <c r="B37" s="1">
        <v>13.978</v>
      </c>
      <c r="C37" s="12">
        <v>41607</v>
      </c>
      <c r="D37" s="1">
        <v>15.75</v>
      </c>
      <c r="E37" s="12">
        <v>41243</v>
      </c>
      <c r="F37" s="13">
        <v>7.8129999999999997</v>
      </c>
      <c r="G37" s="17">
        <v>41243</v>
      </c>
      <c r="H37" s="13">
        <v>7.2210000000000001</v>
      </c>
      <c r="I37" s="17">
        <v>41274</v>
      </c>
      <c r="J37">
        <v>21.640999999999998</v>
      </c>
      <c r="K37" s="12">
        <v>42460</v>
      </c>
      <c r="L37">
        <v>11.648</v>
      </c>
      <c r="M37" s="12">
        <v>41243</v>
      </c>
      <c r="N37" s="12">
        <v>75.677999999999997</v>
      </c>
      <c r="O37" s="12">
        <v>41243</v>
      </c>
      <c r="P37">
        <v>30.83</v>
      </c>
      <c r="Q37" s="12">
        <v>42643</v>
      </c>
      <c r="R37">
        <v>12.198</v>
      </c>
      <c r="S37" s="12">
        <v>41243</v>
      </c>
      <c r="T37">
        <v>17.52</v>
      </c>
      <c r="U37" s="12">
        <v>41670</v>
      </c>
      <c r="V37">
        <v>21.207000000000001</v>
      </c>
      <c r="Y37" s="12">
        <v>41243</v>
      </c>
      <c r="Z37">
        <v>9.7349999999999994</v>
      </c>
      <c r="AA37" s="12">
        <v>41243</v>
      </c>
      <c r="AB37">
        <v>13.787000000000001</v>
      </c>
      <c r="AC37" s="12">
        <v>41243</v>
      </c>
      <c r="AD37">
        <v>10.315</v>
      </c>
      <c r="AE37" s="12">
        <v>41243</v>
      </c>
      <c r="AF37">
        <v>11.007</v>
      </c>
      <c r="AG37" s="12">
        <v>41243</v>
      </c>
      <c r="AH37">
        <v>46.435000000000002</v>
      </c>
      <c r="AI37" s="12">
        <v>42460</v>
      </c>
      <c r="AJ37">
        <v>21.152000000000001</v>
      </c>
      <c r="AK37" s="12">
        <v>41243</v>
      </c>
      <c r="AL37">
        <v>10.45</v>
      </c>
      <c r="AO37" s="12">
        <v>41243</v>
      </c>
      <c r="AP37">
        <v>3.3</v>
      </c>
      <c r="AS37" s="12">
        <v>41243</v>
      </c>
      <c r="AT37">
        <v>4.3170000000000002</v>
      </c>
      <c r="AU37" s="12">
        <v>41243</v>
      </c>
      <c r="AV37">
        <v>18.923999999999999</v>
      </c>
      <c r="AY37" s="12">
        <v>41243</v>
      </c>
      <c r="AZ37">
        <v>36.018000000000001</v>
      </c>
      <c r="BA37" s="12">
        <v>41243</v>
      </c>
      <c r="BB37">
        <v>10.284000000000001</v>
      </c>
      <c r="BC37" s="12">
        <v>41243</v>
      </c>
      <c r="BD37">
        <v>15.759</v>
      </c>
      <c r="BE37" s="12">
        <v>41333</v>
      </c>
      <c r="BF37">
        <v>12.654999999999999</v>
      </c>
      <c r="BG37" s="12">
        <v>41243</v>
      </c>
      <c r="BH37">
        <v>8.8520000000000003</v>
      </c>
      <c r="BI37" s="12">
        <v>41243</v>
      </c>
      <c r="BJ37">
        <v>13.275</v>
      </c>
      <c r="BK37" s="12">
        <v>41243</v>
      </c>
      <c r="BL37">
        <v>13.031000000000001</v>
      </c>
      <c r="BM37" s="12">
        <v>41243</v>
      </c>
      <c r="BN37">
        <v>9.7889999999999997</v>
      </c>
      <c r="BO37" s="12">
        <v>41243</v>
      </c>
      <c r="BP37">
        <v>9.8610000000000007</v>
      </c>
      <c r="BQ37" s="12">
        <v>41243</v>
      </c>
      <c r="BR37">
        <v>7.25</v>
      </c>
      <c r="BS37" s="12">
        <v>41243</v>
      </c>
      <c r="BT37">
        <v>8.0250000000000004</v>
      </c>
      <c r="BW37" s="12">
        <v>41243</v>
      </c>
      <c r="BX37">
        <v>4.3629999999999995</v>
      </c>
      <c r="BY37" s="12">
        <v>41243</v>
      </c>
      <c r="BZ37">
        <v>18.798000000000002</v>
      </c>
      <c r="CA37" s="12">
        <v>41243</v>
      </c>
      <c r="CB37">
        <v>18.981999999999999</v>
      </c>
      <c r="CE37" s="12">
        <v>41243</v>
      </c>
      <c r="CF37">
        <v>27.187999999999999</v>
      </c>
      <c r="CG37" s="12">
        <v>41243</v>
      </c>
      <c r="CH37">
        <v>28.440999999999999</v>
      </c>
      <c r="CI37" s="12">
        <v>41243</v>
      </c>
      <c r="CJ37">
        <v>33.279000000000003</v>
      </c>
      <c r="CK37" s="12">
        <v>41243</v>
      </c>
      <c r="CL37">
        <v>7.8319999999999999</v>
      </c>
      <c r="CM37" s="12">
        <v>41243</v>
      </c>
      <c r="CN37">
        <v>18.192</v>
      </c>
      <c r="CO37" s="12">
        <v>42704</v>
      </c>
      <c r="CP37">
        <v>22.911999999999999</v>
      </c>
      <c r="CQ37" s="12">
        <v>41243</v>
      </c>
      <c r="CR37">
        <v>13.518000000000001</v>
      </c>
      <c r="CS37" s="12">
        <v>41243</v>
      </c>
      <c r="CT37">
        <v>11.975999999999999</v>
      </c>
      <c r="CU37" s="12">
        <v>41243</v>
      </c>
      <c r="CV37">
        <v>8.7390000000000008</v>
      </c>
      <c r="CW37" s="12">
        <v>41243</v>
      </c>
      <c r="CX37">
        <v>9.5399999999999991</v>
      </c>
      <c r="CY37" s="12">
        <v>41333</v>
      </c>
      <c r="CZ37">
        <v>11.996</v>
      </c>
      <c r="DA37" s="12">
        <v>41243</v>
      </c>
      <c r="DB37">
        <v>18.184000000000001</v>
      </c>
      <c r="DC37" s="12">
        <v>41243</v>
      </c>
      <c r="DD37">
        <v>6.5030000000000001</v>
      </c>
      <c r="DE37" s="12">
        <v>41243</v>
      </c>
      <c r="DF37">
        <v>6.0880000000000001</v>
      </c>
      <c r="DG37" s="12">
        <v>41729</v>
      </c>
      <c r="DH37">
        <v>15.179</v>
      </c>
      <c r="DI37" s="12">
        <v>41243</v>
      </c>
      <c r="DJ37">
        <v>12.191000000000001</v>
      </c>
      <c r="DK37" s="12">
        <v>41243</v>
      </c>
      <c r="DL37">
        <v>12.226000000000001</v>
      </c>
      <c r="DM37" s="12">
        <v>41670</v>
      </c>
      <c r="DN37">
        <v>5.4640000000000004</v>
      </c>
      <c r="DO37" s="12">
        <v>41243</v>
      </c>
      <c r="DP37">
        <v>7.9879999999999995</v>
      </c>
      <c r="DQ37" s="12">
        <v>41243</v>
      </c>
      <c r="DR37">
        <v>618.99400000000003</v>
      </c>
      <c r="DS37" s="12">
        <v>41243</v>
      </c>
      <c r="DT37">
        <v>9.2989999999999995</v>
      </c>
      <c r="DU37" s="12">
        <v>41243</v>
      </c>
      <c r="DV37">
        <v>3.077</v>
      </c>
      <c r="DW37" s="12">
        <v>41243</v>
      </c>
      <c r="DX37">
        <v>7.1150000000000002</v>
      </c>
      <c r="DY37" s="12">
        <v>41243</v>
      </c>
      <c r="DZ37">
        <v>12.85</v>
      </c>
      <c r="EC37" s="12">
        <v>41243</v>
      </c>
      <c r="ED37">
        <v>17.363</v>
      </c>
      <c r="EE37" s="12">
        <v>41243</v>
      </c>
      <c r="EF37">
        <v>8.4</v>
      </c>
      <c r="EG37" s="12">
        <v>41243</v>
      </c>
      <c r="EH37">
        <v>17.006</v>
      </c>
      <c r="EI37" s="12">
        <v>41243</v>
      </c>
      <c r="EJ37">
        <v>29.611000000000001</v>
      </c>
      <c r="EK37" s="12">
        <v>41243</v>
      </c>
      <c r="EL37">
        <v>12.803000000000001</v>
      </c>
      <c r="EM37" s="12">
        <v>41243</v>
      </c>
      <c r="EN37">
        <v>15.739000000000001</v>
      </c>
      <c r="EQ37" s="12">
        <v>41243</v>
      </c>
      <c r="ER37">
        <v>20.010000000000002</v>
      </c>
      <c r="ES37" s="12">
        <v>41243</v>
      </c>
      <c r="ET37">
        <v>10.25</v>
      </c>
      <c r="EU37" s="12">
        <v>41243</v>
      </c>
      <c r="EV37">
        <v>3.5270000000000001</v>
      </c>
      <c r="EY37" s="12">
        <v>41243</v>
      </c>
      <c r="EZ37">
        <v>34.170999999999999</v>
      </c>
      <c r="FA37" s="12">
        <v>41243</v>
      </c>
      <c r="FB37">
        <v>12.625999999999999</v>
      </c>
      <c r="FC37" s="12">
        <v>41243</v>
      </c>
      <c r="FD37">
        <v>22.991</v>
      </c>
      <c r="FG37" s="12">
        <v>41243</v>
      </c>
      <c r="FH37">
        <v>3.5640000000000001</v>
      </c>
      <c r="FI37" s="12">
        <v>41243</v>
      </c>
      <c r="FJ37">
        <v>8.5449999999999999</v>
      </c>
      <c r="FK37" s="12">
        <v>41243</v>
      </c>
      <c r="FL37">
        <v>9.8650000000000002</v>
      </c>
      <c r="FM37" s="12">
        <v>41243</v>
      </c>
      <c r="FN37">
        <v>4.8550000000000004</v>
      </c>
      <c r="FO37" s="12">
        <v>41243</v>
      </c>
      <c r="FP37">
        <v>8.4920000000000009</v>
      </c>
      <c r="FQ37" s="12">
        <v>42734</v>
      </c>
      <c r="FR37">
        <v>15.368</v>
      </c>
      <c r="FS37" s="12">
        <v>41243</v>
      </c>
      <c r="FT37">
        <v>1.73</v>
      </c>
      <c r="FU37" s="12">
        <v>41243</v>
      </c>
      <c r="FV37">
        <v>11.077</v>
      </c>
      <c r="FW37" s="12">
        <v>41243</v>
      </c>
      <c r="FX37">
        <v>11.945</v>
      </c>
      <c r="FY37" s="12">
        <v>42094</v>
      </c>
      <c r="FZ37">
        <v>0.89100000000000001</v>
      </c>
      <c r="GA37" s="12">
        <v>41243</v>
      </c>
      <c r="GB37">
        <v>16.754000000000001</v>
      </c>
      <c r="GC37" s="12">
        <v>41243</v>
      </c>
      <c r="GD37">
        <v>18.274000000000001</v>
      </c>
      <c r="GE37" s="12">
        <v>42398</v>
      </c>
      <c r="GF37">
        <v>16.004999999999999</v>
      </c>
      <c r="GI37" s="12">
        <v>41243</v>
      </c>
      <c r="GJ37">
        <v>11.298</v>
      </c>
      <c r="GK37" s="12">
        <v>41243</v>
      </c>
      <c r="GL37">
        <v>35.594000000000001</v>
      </c>
      <c r="GM37" s="12">
        <v>41243</v>
      </c>
      <c r="GN37">
        <v>21.594999999999999</v>
      </c>
      <c r="GO37" s="12">
        <v>41729</v>
      </c>
      <c r="GP37">
        <v>0.75600000000000001</v>
      </c>
      <c r="GQ37" s="12">
        <v>41362</v>
      </c>
      <c r="GR37">
        <v>31.981999999999999</v>
      </c>
      <c r="GS37" s="12">
        <v>41243</v>
      </c>
      <c r="GT37">
        <v>526.56200000000001</v>
      </c>
      <c r="GW37" s="12">
        <v>41305</v>
      </c>
      <c r="GX37">
        <v>27.690999999999999</v>
      </c>
      <c r="GY37" s="12">
        <v>41243</v>
      </c>
      <c r="GZ37">
        <v>11.6</v>
      </c>
      <c r="HA37" s="12">
        <v>41243</v>
      </c>
      <c r="HB37">
        <v>7.282</v>
      </c>
      <c r="HC37" s="12">
        <v>41243</v>
      </c>
      <c r="HD37">
        <v>16.98</v>
      </c>
      <c r="HE37" s="12">
        <v>41243</v>
      </c>
      <c r="HF37">
        <v>20.919</v>
      </c>
      <c r="HG37" s="12">
        <v>41243</v>
      </c>
      <c r="HH37">
        <v>23.195</v>
      </c>
      <c r="HI37" s="12">
        <v>41243</v>
      </c>
      <c r="HJ37">
        <v>8.4529999999999994</v>
      </c>
      <c r="HK37" s="12">
        <v>41243</v>
      </c>
      <c r="HL37">
        <v>434</v>
      </c>
      <c r="HM37" s="12">
        <v>41243</v>
      </c>
      <c r="HN37">
        <v>58.347999999999999</v>
      </c>
      <c r="HO37" s="12">
        <v>41243</v>
      </c>
      <c r="HP37">
        <v>52.447000000000003</v>
      </c>
      <c r="HQ37" s="12">
        <v>41333</v>
      </c>
      <c r="HR37">
        <v>730</v>
      </c>
      <c r="HS37" s="12">
        <v>41243</v>
      </c>
      <c r="HT37">
        <v>85.221000000000004</v>
      </c>
      <c r="HU37" s="12">
        <v>41243</v>
      </c>
      <c r="HV37">
        <v>1365.932</v>
      </c>
      <c r="HW37" s="12">
        <v>41243</v>
      </c>
      <c r="HX37">
        <v>17.707999999999998</v>
      </c>
      <c r="HY37" s="12">
        <v>41243</v>
      </c>
      <c r="HZ37">
        <v>15.651</v>
      </c>
      <c r="IA37" s="12">
        <v>41243</v>
      </c>
      <c r="IB37">
        <v>65.664000000000001</v>
      </c>
      <c r="IC37" s="12">
        <v>41243</v>
      </c>
      <c r="ID37">
        <v>5.0430000000000001</v>
      </c>
      <c r="IE37" s="12">
        <v>41243</v>
      </c>
      <c r="IF37">
        <v>4.569</v>
      </c>
      <c r="IG37" s="12">
        <v>41547</v>
      </c>
      <c r="IH37">
        <v>5.8</v>
      </c>
      <c r="II37" s="12">
        <v>41243</v>
      </c>
      <c r="IJ37">
        <v>17.728000000000002</v>
      </c>
      <c r="IM37" s="12">
        <v>41243</v>
      </c>
      <c r="IN37">
        <v>14.717000000000001</v>
      </c>
      <c r="IO37" s="12">
        <v>41789</v>
      </c>
      <c r="IP37">
        <v>14.683</v>
      </c>
      <c r="IQ37" s="12">
        <v>41243</v>
      </c>
      <c r="IR37">
        <v>19.553000000000001</v>
      </c>
      <c r="IS37" s="12">
        <v>43159</v>
      </c>
      <c r="IT37">
        <v>14.24</v>
      </c>
      <c r="IU37" s="12">
        <v>41243</v>
      </c>
      <c r="IV37">
        <v>7.8235000000000001</v>
      </c>
      <c r="IY37" s="12">
        <v>41243</v>
      </c>
      <c r="IZ37">
        <v>8.8610000000000007</v>
      </c>
      <c r="JA37" s="12">
        <v>43007</v>
      </c>
      <c r="JB37">
        <v>8.9499999999999993</v>
      </c>
      <c r="JC37" s="12">
        <v>41243</v>
      </c>
      <c r="JD37">
        <v>6.0069999999999997</v>
      </c>
      <c r="JE37" s="12">
        <v>41243</v>
      </c>
      <c r="JF37">
        <v>102</v>
      </c>
      <c r="JI37" s="12">
        <v>41243</v>
      </c>
      <c r="JJ37">
        <v>8.5410000000000004</v>
      </c>
      <c r="JM37" s="12">
        <v>41243</v>
      </c>
      <c r="JN37">
        <v>1.6280000000000001</v>
      </c>
      <c r="JO37" s="12">
        <v>41243</v>
      </c>
      <c r="JP37">
        <v>23.236000000000001</v>
      </c>
      <c r="JQ37" s="12">
        <v>42643</v>
      </c>
      <c r="JR37">
        <v>14.775</v>
      </c>
      <c r="JS37" s="12">
        <v>41243</v>
      </c>
      <c r="JT37">
        <v>6.6820000000000004</v>
      </c>
      <c r="JU37" s="12">
        <v>42460</v>
      </c>
      <c r="JV37">
        <v>28.821999999999999</v>
      </c>
      <c r="JW37" s="12">
        <v>41243</v>
      </c>
      <c r="JX37">
        <v>7.1109999999999998</v>
      </c>
      <c r="JY37" s="12">
        <v>41243</v>
      </c>
      <c r="JZ37">
        <v>9.1020000000000003</v>
      </c>
      <c r="KC37" s="12">
        <v>41243</v>
      </c>
      <c r="KD37">
        <v>5.7859999999999996</v>
      </c>
      <c r="KE37" s="12">
        <v>41243</v>
      </c>
      <c r="KF37">
        <v>9.91</v>
      </c>
      <c r="KI37" s="12">
        <v>41243</v>
      </c>
      <c r="KJ37">
        <v>5.5419999999999998</v>
      </c>
      <c r="KO37" s="12">
        <v>41243</v>
      </c>
      <c r="KP37">
        <v>131.82300000000001</v>
      </c>
      <c r="KQ37" s="12">
        <v>41243</v>
      </c>
      <c r="KR37">
        <v>91.774000000000001</v>
      </c>
      <c r="KS37" s="12">
        <v>41243</v>
      </c>
      <c r="KT37">
        <v>11.702</v>
      </c>
      <c r="KU37" s="12">
        <v>41243</v>
      </c>
      <c r="KV37">
        <v>6.2530000000000001</v>
      </c>
      <c r="LC37" s="12">
        <v>41243</v>
      </c>
      <c r="LD37">
        <v>11.446999999999999</v>
      </c>
      <c r="LE37" s="12">
        <v>41243</v>
      </c>
      <c r="LF37">
        <v>4.8309999999999995</v>
      </c>
      <c r="LG37" s="12">
        <v>41243</v>
      </c>
      <c r="LH37">
        <v>18.306000000000001</v>
      </c>
      <c r="LI37" s="12">
        <v>41243</v>
      </c>
      <c r="LJ37">
        <v>18.247</v>
      </c>
      <c r="LM37" s="12">
        <v>41243</v>
      </c>
      <c r="LN37">
        <v>13.196999999999999</v>
      </c>
      <c r="LO37" s="12">
        <v>41243</v>
      </c>
      <c r="LP37">
        <v>11.855</v>
      </c>
      <c r="LQ37" s="12">
        <v>41243</v>
      </c>
      <c r="LR37">
        <v>28.28</v>
      </c>
      <c r="LS37" s="12">
        <v>41243</v>
      </c>
      <c r="LT37">
        <v>29.071000000000002</v>
      </c>
      <c r="LW37" s="12">
        <v>41243</v>
      </c>
      <c r="LX37">
        <v>755.47699999999998</v>
      </c>
      <c r="LY37" s="12">
        <v>41243</v>
      </c>
      <c r="LZ37">
        <v>27.45</v>
      </c>
      <c r="MA37" s="12">
        <v>41243</v>
      </c>
      <c r="MB37">
        <v>27.596</v>
      </c>
      <c r="MC37" s="12">
        <v>42704</v>
      </c>
      <c r="MD37">
        <v>9.5950000000000006</v>
      </c>
      <c r="ME37" s="12">
        <v>41243</v>
      </c>
      <c r="MF37">
        <v>4.1289999999999996</v>
      </c>
      <c r="MG37" s="12">
        <v>41243</v>
      </c>
      <c r="MH37">
        <v>6.8849999999999998</v>
      </c>
      <c r="MI37" s="12">
        <v>43251</v>
      </c>
      <c r="MJ37">
        <v>6.1059999999999999</v>
      </c>
      <c r="MK37" s="12">
        <v>41243</v>
      </c>
      <c r="ML37">
        <v>9.9139999999999997</v>
      </c>
    </row>
    <row r="38" spans="1:350" x14ac:dyDescent="0.3">
      <c r="A38" s="12">
        <v>41274</v>
      </c>
      <c r="B38" s="1">
        <v>13.679</v>
      </c>
      <c r="C38" s="12">
        <v>41639</v>
      </c>
      <c r="D38" s="1">
        <v>14.795999999999999</v>
      </c>
      <c r="E38" s="12">
        <v>41274</v>
      </c>
      <c r="F38" s="13">
        <v>8.2390000000000008</v>
      </c>
      <c r="G38" s="17">
        <v>41274</v>
      </c>
      <c r="H38" s="13">
        <v>7.7610000000000001</v>
      </c>
      <c r="I38" s="17">
        <v>41305</v>
      </c>
      <c r="J38">
        <v>22.870999999999999</v>
      </c>
      <c r="K38" s="12">
        <v>42489</v>
      </c>
      <c r="L38">
        <v>11.711</v>
      </c>
      <c r="M38" s="12">
        <v>41274</v>
      </c>
      <c r="N38" s="12">
        <v>82.426000000000002</v>
      </c>
      <c r="O38" s="12">
        <v>41274</v>
      </c>
      <c r="P38">
        <v>30.85</v>
      </c>
      <c r="Q38" s="12">
        <v>42674</v>
      </c>
      <c r="R38">
        <v>13.28</v>
      </c>
      <c r="S38" s="12">
        <v>41274</v>
      </c>
      <c r="T38">
        <v>17.474</v>
      </c>
      <c r="U38" s="12">
        <v>41698</v>
      </c>
      <c r="V38">
        <v>22.552</v>
      </c>
      <c r="Y38" s="12">
        <v>41274</v>
      </c>
      <c r="Z38">
        <v>10.615</v>
      </c>
      <c r="AA38" s="12">
        <v>41274</v>
      </c>
      <c r="AB38">
        <v>16.317</v>
      </c>
      <c r="AC38" s="12">
        <v>41274</v>
      </c>
      <c r="AD38">
        <v>10.952999999999999</v>
      </c>
      <c r="AE38" s="12">
        <v>41274</v>
      </c>
      <c r="AF38">
        <v>11.083</v>
      </c>
      <c r="AG38" s="12">
        <v>41274</v>
      </c>
      <c r="AH38">
        <v>49.106999999999999</v>
      </c>
      <c r="AI38" s="12">
        <v>42489</v>
      </c>
      <c r="AJ38">
        <v>21.366</v>
      </c>
      <c r="AK38" s="12">
        <v>41274</v>
      </c>
      <c r="AL38">
        <v>10.936</v>
      </c>
      <c r="AO38" s="12">
        <v>41274</v>
      </c>
      <c r="AP38">
        <v>3.42</v>
      </c>
      <c r="AS38" s="12">
        <v>41274</v>
      </c>
      <c r="AT38">
        <v>4.7809999999999997</v>
      </c>
      <c r="AU38" s="12">
        <v>41274</v>
      </c>
      <c r="AV38">
        <v>21.798999999999999</v>
      </c>
      <c r="AY38" s="12">
        <v>41274</v>
      </c>
      <c r="AZ38">
        <v>39.164999999999999</v>
      </c>
      <c r="BA38" s="12">
        <v>41274</v>
      </c>
      <c r="BB38">
        <v>9.5519999999999996</v>
      </c>
      <c r="BC38" s="12">
        <v>41274</v>
      </c>
      <c r="BD38">
        <v>15.512</v>
      </c>
      <c r="BE38" s="12">
        <v>41362</v>
      </c>
      <c r="BF38">
        <v>11.523</v>
      </c>
      <c r="BG38" s="12">
        <v>41274</v>
      </c>
      <c r="BH38">
        <v>9.1150000000000002</v>
      </c>
      <c r="BI38" s="12">
        <v>41274</v>
      </c>
      <c r="BJ38">
        <v>14.75</v>
      </c>
      <c r="BK38" s="12">
        <v>41274</v>
      </c>
      <c r="BL38">
        <v>13.805</v>
      </c>
      <c r="BM38" s="12">
        <v>41274</v>
      </c>
      <c r="BN38">
        <v>10.877000000000001</v>
      </c>
      <c r="BO38" s="12">
        <v>41274</v>
      </c>
      <c r="BP38">
        <v>10.098000000000001</v>
      </c>
      <c r="BQ38" s="12">
        <v>41274</v>
      </c>
      <c r="BR38">
        <v>8.0299999999999994</v>
      </c>
      <c r="BS38" s="12">
        <v>41274</v>
      </c>
      <c r="BT38">
        <v>8.1690000000000005</v>
      </c>
      <c r="BW38" s="12">
        <v>41274</v>
      </c>
      <c r="BX38">
        <v>4.87</v>
      </c>
      <c r="BY38" s="12">
        <v>41274</v>
      </c>
      <c r="BZ38">
        <v>17.605</v>
      </c>
      <c r="CA38" s="12">
        <v>41274</v>
      </c>
      <c r="CB38">
        <v>21.114000000000001</v>
      </c>
      <c r="CE38" s="12">
        <v>41274</v>
      </c>
      <c r="CF38">
        <v>26.977</v>
      </c>
      <c r="CG38" s="12">
        <v>41274</v>
      </c>
      <c r="CH38">
        <v>30.222000000000001</v>
      </c>
      <c r="CI38" s="12">
        <v>41274</v>
      </c>
      <c r="CJ38">
        <v>32.354999999999997</v>
      </c>
      <c r="CK38" s="12">
        <v>41274</v>
      </c>
      <c r="CL38">
        <v>9.0120000000000005</v>
      </c>
      <c r="CM38" s="12">
        <v>41274</v>
      </c>
      <c r="CN38">
        <v>21.1</v>
      </c>
      <c r="CO38" s="12">
        <v>42734</v>
      </c>
      <c r="CP38">
        <v>22.99</v>
      </c>
      <c r="CQ38" s="12">
        <v>41274</v>
      </c>
      <c r="CR38">
        <v>13.571</v>
      </c>
      <c r="CS38" s="12">
        <v>41274</v>
      </c>
      <c r="CT38">
        <v>12.718</v>
      </c>
      <c r="CU38" s="12">
        <v>41274</v>
      </c>
      <c r="CV38">
        <v>9.4759999999999991</v>
      </c>
      <c r="CW38" s="12">
        <v>41274</v>
      </c>
      <c r="CX38">
        <v>9.7129999999999992</v>
      </c>
      <c r="CY38" s="12">
        <v>41362</v>
      </c>
      <c r="CZ38">
        <v>12.148999999999999</v>
      </c>
      <c r="DA38" s="12">
        <v>41274</v>
      </c>
      <c r="DB38">
        <v>17.401</v>
      </c>
      <c r="DC38" s="12">
        <v>41274</v>
      </c>
      <c r="DD38">
        <v>5.3810000000000002</v>
      </c>
      <c r="DE38" s="12">
        <v>41274</v>
      </c>
      <c r="DF38">
        <v>6.6120000000000001</v>
      </c>
      <c r="DG38" s="12">
        <v>41789</v>
      </c>
      <c r="DH38">
        <v>13.879</v>
      </c>
      <c r="DI38" s="12">
        <v>41274</v>
      </c>
      <c r="DJ38">
        <v>15.443</v>
      </c>
      <c r="DK38" s="12">
        <v>41274</v>
      </c>
      <c r="DL38">
        <v>13.526</v>
      </c>
      <c r="DM38" s="12">
        <v>41698</v>
      </c>
      <c r="DN38">
        <v>5.0960000000000001</v>
      </c>
      <c r="DO38" s="12">
        <v>41274</v>
      </c>
      <c r="DP38">
        <v>8.4160000000000004</v>
      </c>
      <c r="DQ38" s="12">
        <v>41274</v>
      </c>
      <c r="DR38">
        <v>618.99400000000003</v>
      </c>
      <c r="DS38" s="12">
        <v>41274</v>
      </c>
      <c r="DT38">
        <v>9.907</v>
      </c>
      <c r="DU38" s="12">
        <v>41274</v>
      </c>
      <c r="DV38">
        <v>3.3410000000000002</v>
      </c>
      <c r="DW38" s="12">
        <v>41274</v>
      </c>
      <c r="DX38">
        <v>7.7679999999999998</v>
      </c>
      <c r="DY38" s="12">
        <v>41274</v>
      </c>
      <c r="DZ38">
        <v>12.79</v>
      </c>
      <c r="EC38" s="12">
        <v>41274</v>
      </c>
      <c r="ED38">
        <v>18.652000000000001</v>
      </c>
      <c r="EE38" s="12">
        <v>41274</v>
      </c>
      <c r="EF38">
        <v>8.4550000000000001</v>
      </c>
      <c r="EG38" s="12">
        <v>41274</v>
      </c>
      <c r="EH38">
        <v>17.651</v>
      </c>
      <c r="EI38" s="12">
        <v>41274</v>
      </c>
      <c r="EJ38">
        <v>33.128</v>
      </c>
      <c r="EK38" s="12">
        <v>41274</v>
      </c>
      <c r="EL38">
        <v>13.321999999999999</v>
      </c>
      <c r="EM38" s="12">
        <v>41274</v>
      </c>
      <c r="EN38">
        <v>15.925000000000001</v>
      </c>
      <c r="EQ38" s="12">
        <v>41274</v>
      </c>
      <c r="ER38">
        <v>20.411000000000001</v>
      </c>
      <c r="ES38" s="12">
        <v>41274</v>
      </c>
      <c r="ET38">
        <v>12.9</v>
      </c>
      <c r="EU38" s="12">
        <v>41274</v>
      </c>
      <c r="EV38">
        <v>3.839</v>
      </c>
      <c r="EY38" s="12">
        <v>41274</v>
      </c>
      <c r="EZ38">
        <v>30.074999999999999</v>
      </c>
      <c r="FA38" s="12">
        <v>41274</v>
      </c>
      <c r="FB38">
        <v>13.625999999999999</v>
      </c>
      <c r="FC38" s="12">
        <v>41274</v>
      </c>
      <c r="FD38">
        <v>24.097000000000001</v>
      </c>
      <c r="FG38" s="12">
        <v>41274</v>
      </c>
      <c r="FH38">
        <v>3.6659999999999999</v>
      </c>
      <c r="FI38" s="12">
        <v>41274</v>
      </c>
      <c r="FJ38">
        <v>9.25</v>
      </c>
      <c r="FK38" s="12">
        <v>41274</v>
      </c>
      <c r="FL38">
        <v>10.347</v>
      </c>
      <c r="FM38" s="12">
        <v>41274</v>
      </c>
      <c r="FN38">
        <v>5.3840000000000003</v>
      </c>
      <c r="FO38" s="12">
        <v>41274</v>
      </c>
      <c r="FP38">
        <v>10.571999999999999</v>
      </c>
      <c r="FQ38" s="12">
        <v>42766</v>
      </c>
      <c r="FR38">
        <v>14.085000000000001</v>
      </c>
      <c r="FS38" s="12">
        <v>41274</v>
      </c>
      <c r="FT38">
        <v>1.8380000000000001</v>
      </c>
      <c r="FU38" s="12">
        <v>41274</v>
      </c>
      <c r="FV38">
        <v>11.183999999999999</v>
      </c>
      <c r="FW38" s="12">
        <v>41274</v>
      </c>
      <c r="FX38">
        <v>11.647</v>
      </c>
      <c r="FY38" s="12">
        <v>42124</v>
      </c>
      <c r="FZ38">
        <v>0.95299999999999996</v>
      </c>
      <c r="GA38" s="12">
        <v>41274</v>
      </c>
      <c r="GB38">
        <v>16.25</v>
      </c>
      <c r="GC38" s="12">
        <v>41274</v>
      </c>
      <c r="GD38">
        <v>17.923000000000002</v>
      </c>
      <c r="GE38" s="12">
        <v>42429</v>
      </c>
      <c r="GF38">
        <v>14.846</v>
      </c>
      <c r="GI38" s="12">
        <v>41274</v>
      </c>
      <c r="GJ38">
        <v>11.553000000000001</v>
      </c>
      <c r="GK38" s="12">
        <v>41274</v>
      </c>
      <c r="GL38">
        <v>36.984000000000002</v>
      </c>
      <c r="GM38" s="12">
        <v>41274</v>
      </c>
      <c r="GN38">
        <v>23.989000000000001</v>
      </c>
      <c r="GO38" s="12">
        <v>41759</v>
      </c>
      <c r="GP38">
        <v>0.90400000000000003</v>
      </c>
      <c r="GQ38" s="12">
        <v>41394</v>
      </c>
      <c r="GR38">
        <v>32.226999999999997</v>
      </c>
      <c r="GS38" s="12">
        <v>41274</v>
      </c>
      <c r="GT38">
        <v>667.5</v>
      </c>
      <c r="GW38" s="12">
        <v>41333</v>
      </c>
      <c r="GX38">
        <v>23.841000000000001</v>
      </c>
      <c r="GY38" s="12">
        <v>41274</v>
      </c>
      <c r="GZ38">
        <v>8.48</v>
      </c>
      <c r="HA38" s="12">
        <v>41274</v>
      </c>
      <c r="HB38">
        <v>7.7130000000000001</v>
      </c>
      <c r="HC38" s="12">
        <v>41274</v>
      </c>
      <c r="HD38">
        <v>17.526</v>
      </c>
      <c r="HE38" s="12">
        <v>41274</v>
      </c>
      <c r="HF38">
        <v>22.361000000000001</v>
      </c>
      <c r="HG38" s="12">
        <v>41274</v>
      </c>
      <c r="HH38">
        <v>24.047999999999998</v>
      </c>
      <c r="HI38" s="12">
        <v>41274</v>
      </c>
      <c r="HJ38">
        <v>8.3979999999999997</v>
      </c>
      <c r="HK38" s="12">
        <v>41274</v>
      </c>
      <c r="HL38">
        <v>438</v>
      </c>
      <c r="HM38" s="12">
        <v>41274</v>
      </c>
      <c r="HN38">
        <v>59.253999999999998</v>
      </c>
      <c r="HO38" s="12">
        <v>41274</v>
      </c>
      <c r="HP38">
        <v>54.206000000000003</v>
      </c>
      <c r="HQ38" s="12">
        <v>41362</v>
      </c>
      <c r="HR38">
        <v>418</v>
      </c>
      <c r="HS38" s="12">
        <v>41274</v>
      </c>
      <c r="HT38">
        <v>84.753</v>
      </c>
      <c r="HU38" s="12">
        <v>41274</v>
      </c>
      <c r="HV38">
        <v>1502.0709999999999</v>
      </c>
      <c r="HW38" s="12">
        <v>41274</v>
      </c>
      <c r="HX38">
        <v>18.125</v>
      </c>
      <c r="HY38" s="12">
        <v>41274</v>
      </c>
      <c r="HZ38">
        <v>16.373000000000001</v>
      </c>
      <c r="IA38" s="12">
        <v>41274</v>
      </c>
      <c r="IB38">
        <v>80.221000000000004</v>
      </c>
      <c r="IC38" s="12">
        <v>41274</v>
      </c>
      <c r="ID38">
        <v>5.266</v>
      </c>
      <c r="IE38" s="12">
        <v>41274</v>
      </c>
      <c r="IF38">
        <v>4.6710000000000003</v>
      </c>
      <c r="IG38" s="12">
        <v>41578</v>
      </c>
      <c r="IH38">
        <v>3.3</v>
      </c>
      <c r="II38" s="12">
        <v>41274</v>
      </c>
      <c r="IJ38">
        <v>19.696999999999999</v>
      </c>
      <c r="IM38" s="12">
        <v>41274</v>
      </c>
      <c r="IN38">
        <v>15.475</v>
      </c>
      <c r="IO38" s="12">
        <v>41820</v>
      </c>
      <c r="IP38">
        <v>16.238</v>
      </c>
      <c r="IQ38" s="12">
        <v>41274</v>
      </c>
      <c r="IR38">
        <v>21.48</v>
      </c>
      <c r="IS38" s="12">
        <v>43189</v>
      </c>
      <c r="IT38">
        <v>13.15</v>
      </c>
      <c r="IU38" s="12">
        <v>41274</v>
      </c>
      <c r="IV38">
        <v>8.7088000000000001</v>
      </c>
      <c r="IY38" s="12">
        <v>41274</v>
      </c>
      <c r="IZ38">
        <v>9.3469999999999995</v>
      </c>
      <c r="JA38" s="12">
        <v>43039</v>
      </c>
      <c r="JB38">
        <v>9.35</v>
      </c>
      <c r="JC38" s="12">
        <v>41274</v>
      </c>
      <c r="JD38">
        <v>5.0380000000000003</v>
      </c>
      <c r="JE38" s="12">
        <v>41274</v>
      </c>
      <c r="JF38">
        <v>113.75</v>
      </c>
      <c r="JI38" s="12">
        <v>41274</v>
      </c>
      <c r="JJ38">
        <v>8.9280000000000008</v>
      </c>
      <c r="JM38" s="12">
        <v>41274</v>
      </c>
      <c r="JN38">
        <v>1.6779999999999999</v>
      </c>
      <c r="JO38" s="12">
        <v>41274</v>
      </c>
      <c r="JP38">
        <v>23.335999999999999</v>
      </c>
      <c r="JQ38" s="12">
        <v>42674</v>
      </c>
      <c r="JR38">
        <v>17.704999999999998</v>
      </c>
      <c r="JS38" s="12">
        <v>41274</v>
      </c>
      <c r="JT38">
        <v>7.4139999999999997</v>
      </c>
      <c r="JU38" s="12">
        <v>42489</v>
      </c>
      <c r="JV38">
        <v>30.254999999999999</v>
      </c>
      <c r="JW38" s="12">
        <v>41274</v>
      </c>
      <c r="JX38">
        <v>8.2720000000000002</v>
      </c>
      <c r="JY38" s="12">
        <v>41274</v>
      </c>
      <c r="JZ38">
        <v>10.454000000000001</v>
      </c>
      <c r="KC38" s="12">
        <v>41274</v>
      </c>
      <c r="KD38">
        <v>6.3970000000000002</v>
      </c>
      <c r="KE38" s="12">
        <v>41274</v>
      </c>
      <c r="KF38">
        <v>9.8829999999999991</v>
      </c>
      <c r="KI38" s="12">
        <v>41274</v>
      </c>
      <c r="KJ38">
        <v>6.069</v>
      </c>
      <c r="KO38" s="12">
        <v>41274</v>
      </c>
      <c r="KP38">
        <v>150.864</v>
      </c>
      <c r="KQ38" s="12">
        <v>41274</v>
      </c>
      <c r="KR38">
        <v>104.52</v>
      </c>
      <c r="KS38" s="12">
        <v>41274</v>
      </c>
      <c r="KT38">
        <v>12.146000000000001</v>
      </c>
      <c r="KU38" s="12">
        <v>41274</v>
      </c>
      <c r="KV38">
        <v>6.819</v>
      </c>
      <c r="LC38" s="12">
        <v>41274</v>
      </c>
      <c r="LD38">
        <v>11.632999999999999</v>
      </c>
      <c r="LE38" s="12">
        <v>41274</v>
      </c>
      <c r="LF38">
        <v>5.0999999999999996</v>
      </c>
      <c r="LG38" s="12">
        <v>41274</v>
      </c>
      <c r="LH38">
        <v>18.119</v>
      </c>
      <c r="LI38" s="12">
        <v>41274</v>
      </c>
      <c r="LJ38">
        <v>19.196999999999999</v>
      </c>
      <c r="LM38" s="12">
        <v>41274</v>
      </c>
      <c r="LN38">
        <v>13.215999999999999</v>
      </c>
      <c r="LO38" s="12">
        <v>41274</v>
      </c>
      <c r="LP38">
        <v>12.14</v>
      </c>
      <c r="LQ38" s="12">
        <v>41274</v>
      </c>
      <c r="LR38">
        <v>31.8</v>
      </c>
      <c r="LS38" s="12">
        <v>41274</v>
      </c>
      <c r="LT38">
        <v>32.374000000000002</v>
      </c>
      <c r="LW38" s="12">
        <v>41274</v>
      </c>
      <c r="LX38">
        <v>537.22799999999995</v>
      </c>
      <c r="LY38" s="12">
        <v>41274</v>
      </c>
      <c r="LZ38">
        <v>28.988</v>
      </c>
      <c r="MA38" s="12">
        <v>41274</v>
      </c>
      <c r="MB38">
        <v>32.195</v>
      </c>
      <c r="MC38" s="12">
        <v>42734</v>
      </c>
      <c r="MD38">
        <v>10.699</v>
      </c>
      <c r="ME38" s="12">
        <v>41274</v>
      </c>
      <c r="MF38">
        <v>4.1289999999999996</v>
      </c>
      <c r="MG38" s="12">
        <v>41274</v>
      </c>
      <c r="MH38">
        <v>6.8390000000000004</v>
      </c>
      <c r="MI38" s="12">
        <v>43280</v>
      </c>
      <c r="MJ38">
        <v>6.5720000000000001</v>
      </c>
      <c r="MK38" s="12">
        <v>41274</v>
      </c>
      <c r="ML38">
        <v>10.565</v>
      </c>
    </row>
    <row r="39" spans="1:350" x14ac:dyDescent="0.3">
      <c r="A39" s="12">
        <v>41305</v>
      </c>
      <c r="B39" s="1">
        <v>14.992000000000001</v>
      </c>
      <c r="C39" s="12">
        <v>41670</v>
      </c>
      <c r="D39" s="1">
        <v>12.612</v>
      </c>
      <c r="E39" s="12">
        <v>41305</v>
      </c>
      <c r="F39" s="13">
        <v>8.5960000000000001</v>
      </c>
      <c r="G39" s="17">
        <v>41305</v>
      </c>
      <c r="H39" s="13">
        <v>7.4009999999999998</v>
      </c>
      <c r="I39" s="17">
        <v>41333</v>
      </c>
      <c r="J39">
        <v>21.677</v>
      </c>
      <c r="K39" s="12">
        <v>42521</v>
      </c>
      <c r="L39">
        <v>10.952</v>
      </c>
      <c r="M39" s="12">
        <v>41305</v>
      </c>
      <c r="N39" s="12">
        <v>88.659000000000006</v>
      </c>
      <c r="O39" s="12">
        <v>41305</v>
      </c>
      <c r="P39">
        <v>31.22</v>
      </c>
      <c r="Q39" s="12">
        <v>42704</v>
      </c>
      <c r="R39">
        <v>13.33</v>
      </c>
      <c r="S39" s="12">
        <v>41305</v>
      </c>
      <c r="T39">
        <v>19.097000000000001</v>
      </c>
      <c r="U39" s="12">
        <v>41729</v>
      </c>
      <c r="V39">
        <v>22.43</v>
      </c>
      <c r="Y39" s="12">
        <v>41305</v>
      </c>
      <c r="Z39">
        <v>10.568999999999999</v>
      </c>
      <c r="AA39" s="12">
        <v>41305</v>
      </c>
      <c r="AB39">
        <v>15.553000000000001</v>
      </c>
      <c r="AC39" s="12">
        <v>41305</v>
      </c>
      <c r="AD39">
        <v>11.427</v>
      </c>
      <c r="AE39" s="12">
        <v>41305</v>
      </c>
      <c r="AF39">
        <v>11.54</v>
      </c>
      <c r="AG39" s="12">
        <v>41305</v>
      </c>
      <c r="AH39">
        <v>45.64</v>
      </c>
      <c r="AI39" s="12">
        <v>42521</v>
      </c>
      <c r="AJ39">
        <v>19.414000000000001</v>
      </c>
      <c r="AK39" s="12">
        <v>41305</v>
      </c>
      <c r="AL39">
        <v>12.649000000000001</v>
      </c>
      <c r="AO39" s="12">
        <v>41305</v>
      </c>
      <c r="AP39">
        <v>3.38</v>
      </c>
      <c r="AS39" s="12">
        <v>41305</v>
      </c>
      <c r="AT39">
        <v>5.5149999999999997</v>
      </c>
      <c r="AU39" s="12">
        <v>41305</v>
      </c>
      <c r="AV39">
        <v>20.510999999999999</v>
      </c>
      <c r="AY39" s="12">
        <v>41305</v>
      </c>
      <c r="AZ39">
        <v>40.798000000000002</v>
      </c>
      <c r="BA39" s="12">
        <v>41305</v>
      </c>
      <c r="BB39">
        <v>11.202</v>
      </c>
      <c r="BC39" s="12">
        <v>41305</v>
      </c>
      <c r="BD39">
        <v>14.8</v>
      </c>
      <c r="BE39" s="12">
        <v>41394</v>
      </c>
      <c r="BF39">
        <v>11.472</v>
      </c>
      <c r="BG39" s="12">
        <v>41305</v>
      </c>
      <c r="BH39">
        <v>10.02</v>
      </c>
      <c r="BI39" s="12">
        <v>41305</v>
      </c>
      <c r="BJ39">
        <v>13.241</v>
      </c>
      <c r="BK39" s="12">
        <v>41305</v>
      </c>
      <c r="BL39">
        <v>14.585000000000001</v>
      </c>
      <c r="BM39" s="12">
        <v>41305</v>
      </c>
      <c r="BN39">
        <v>11.085000000000001</v>
      </c>
      <c r="BO39" s="12">
        <v>41305</v>
      </c>
      <c r="BP39">
        <v>9.9789999999999992</v>
      </c>
      <c r="BQ39" s="12">
        <v>41305</v>
      </c>
      <c r="BR39">
        <v>7.8940000000000001</v>
      </c>
      <c r="BS39" s="12">
        <v>41305</v>
      </c>
      <c r="BT39">
        <v>7.8079999999999998</v>
      </c>
      <c r="BW39" s="12">
        <v>41305</v>
      </c>
      <c r="BX39">
        <v>5.149</v>
      </c>
      <c r="BY39" s="12">
        <v>41305</v>
      </c>
      <c r="BZ39">
        <v>16.7</v>
      </c>
      <c r="CA39" s="12">
        <v>41305</v>
      </c>
      <c r="CB39">
        <v>22.074000000000002</v>
      </c>
      <c r="CE39" s="12">
        <v>41305</v>
      </c>
      <c r="CF39">
        <v>28.850999999999999</v>
      </c>
      <c r="CG39" s="12">
        <v>41305</v>
      </c>
      <c r="CH39">
        <v>34.021999999999998</v>
      </c>
      <c r="CI39" s="12">
        <v>41305</v>
      </c>
      <c r="CJ39">
        <v>35.838000000000001</v>
      </c>
      <c r="CK39" s="12">
        <v>41305</v>
      </c>
      <c r="CL39">
        <v>8.1690000000000005</v>
      </c>
      <c r="CM39" s="12">
        <v>41305</v>
      </c>
      <c r="CN39">
        <v>20.818000000000001</v>
      </c>
      <c r="CO39" s="12">
        <v>42766</v>
      </c>
      <c r="CP39">
        <v>25.221</v>
      </c>
      <c r="CQ39" s="12">
        <v>41305</v>
      </c>
      <c r="CR39">
        <v>13.313000000000001</v>
      </c>
      <c r="CS39" s="12">
        <v>41305</v>
      </c>
      <c r="CT39">
        <v>13.644</v>
      </c>
      <c r="CU39" s="12">
        <v>41305</v>
      </c>
      <c r="CV39">
        <v>10.077999999999999</v>
      </c>
      <c r="CW39" s="12">
        <v>41305</v>
      </c>
      <c r="CX39">
        <v>9.0519999999999996</v>
      </c>
      <c r="CY39" s="12">
        <v>41394</v>
      </c>
      <c r="CZ39">
        <v>12.233000000000001</v>
      </c>
      <c r="DA39" s="12">
        <v>41305</v>
      </c>
      <c r="DB39">
        <v>18.465</v>
      </c>
      <c r="DC39" s="12">
        <v>41305</v>
      </c>
      <c r="DD39">
        <v>6.0529999999999999</v>
      </c>
      <c r="DE39" s="12">
        <v>41305</v>
      </c>
      <c r="DF39">
        <v>7.9749999999999996</v>
      </c>
      <c r="DG39" s="12">
        <v>41851</v>
      </c>
      <c r="DH39">
        <v>13.879</v>
      </c>
      <c r="DI39" s="12">
        <v>41305</v>
      </c>
      <c r="DJ39">
        <v>12.547000000000001</v>
      </c>
      <c r="DK39" s="12">
        <v>41305</v>
      </c>
      <c r="DL39">
        <v>15.398</v>
      </c>
      <c r="DM39" s="12">
        <v>41729</v>
      </c>
      <c r="DN39">
        <v>4.9850000000000003</v>
      </c>
      <c r="DO39" s="12">
        <v>41305</v>
      </c>
      <c r="DP39">
        <v>8.2129999999999992</v>
      </c>
      <c r="DQ39" s="12">
        <v>41305</v>
      </c>
      <c r="DR39">
        <v>547.93499999999995</v>
      </c>
      <c r="DS39" s="12">
        <v>41305</v>
      </c>
      <c r="DT39">
        <v>9.9610000000000003</v>
      </c>
      <c r="DU39" s="12">
        <v>41305</v>
      </c>
      <c r="DV39">
        <v>3.3609999999999998</v>
      </c>
      <c r="DW39" s="12">
        <v>41305</v>
      </c>
      <c r="DX39">
        <v>8.0739999999999998</v>
      </c>
      <c r="DY39" s="12">
        <v>41305</v>
      </c>
      <c r="DZ39">
        <v>12.89</v>
      </c>
      <c r="EC39" s="12">
        <v>41305</v>
      </c>
      <c r="ED39">
        <v>20.164999999999999</v>
      </c>
      <c r="EE39" s="12">
        <v>41305</v>
      </c>
      <c r="EF39">
        <v>8.1620000000000008</v>
      </c>
      <c r="EG39" s="12">
        <v>41305</v>
      </c>
      <c r="EH39">
        <v>15.526</v>
      </c>
      <c r="EI39" s="12">
        <v>41305</v>
      </c>
      <c r="EJ39">
        <v>34.956000000000003</v>
      </c>
      <c r="EK39" s="12">
        <v>41305</v>
      </c>
      <c r="EL39">
        <v>13.279</v>
      </c>
      <c r="EM39" s="12">
        <v>41305</v>
      </c>
      <c r="EN39">
        <v>15.516999999999999</v>
      </c>
      <c r="EQ39" s="12">
        <v>41305</v>
      </c>
      <c r="ER39">
        <v>19.867000000000001</v>
      </c>
      <c r="ES39" s="12">
        <v>41305</v>
      </c>
      <c r="ET39">
        <v>14.49</v>
      </c>
      <c r="EU39" s="12">
        <v>41305</v>
      </c>
      <c r="EV39">
        <v>4.0789999999999997</v>
      </c>
      <c r="EY39" s="12">
        <v>41305</v>
      </c>
      <c r="EZ39">
        <v>27.131</v>
      </c>
      <c r="FA39" s="12">
        <v>41305</v>
      </c>
      <c r="FB39">
        <v>14.102</v>
      </c>
      <c r="FC39" s="12">
        <v>41305</v>
      </c>
      <c r="FD39">
        <v>25.53</v>
      </c>
      <c r="FG39" s="12">
        <v>41305</v>
      </c>
      <c r="FH39">
        <v>3.8140000000000001</v>
      </c>
      <c r="FI39" s="12">
        <v>41305</v>
      </c>
      <c r="FJ39">
        <v>9.9459999999999997</v>
      </c>
      <c r="FK39" s="12">
        <v>41305</v>
      </c>
      <c r="FL39">
        <v>10.649000000000001</v>
      </c>
      <c r="FM39" s="12">
        <v>41305</v>
      </c>
      <c r="FN39">
        <v>6.8469999999999995</v>
      </c>
      <c r="FO39" s="12">
        <v>41305</v>
      </c>
      <c r="FP39">
        <v>10.589</v>
      </c>
      <c r="FQ39" s="12">
        <v>42794</v>
      </c>
      <c r="FR39">
        <v>13.568999999999999</v>
      </c>
      <c r="FS39" s="12">
        <v>41305</v>
      </c>
      <c r="FT39">
        <v>1.9609999999999999</v>
      </c>
      <c r="FU39" s="12">
        <v>41305</v>
      </c>
      <c r="FV39">
        <v>10.632</v>
      </c>
      <c r="FW39" s="12">
        <v>41305</v>
      </c>
      <c r="FX39">
        <v>11.298</v>
      </c>
      <c r="FY39" s="12">
        <v>42153</v>
      </c>
      <c r="FZ39">
        <v>0.995</v>
      </c>
      <c r="GA39" s="12">
        <v>41305</v>
      </c>
      <c r="GB39">
        <v>17.559000000000001</v>
      </c>
      <c r="GC39" s="12">
        <v>41305</v>
      </c>
      <c r="GD39">
        <v>16.446000000000002</v>
      </c>
      <c r="GE39" s="12">
        <v>42460</v>
      </c>
      <c r="GF39">
        <v>15.305999999999999</v>
      </c>
      <c r="GI39" s="12">
        <v>41305</v>
      </c>
      <c r="GJ39">
        <v>11.547000000000001</v>
      </c>
      <c r="GK39" s="12">
        <v>41305</v>
      </c>
      <c r="GL39">
        <v>35.953000000000003</v>
      </c>
      <c r="GM39" s="12">
        <v>41305</v>
      </c>
      <c r="GN39">
        <v>24.271999999999998</v>
      </c>
      <c r="GO39" s="12">
        <v>41789</v>
      </c>
      <c r="GP39">
        <v>0.96399999999999997</v>
      </c>
      <c r="GQ39" s="12">
        <v>41425</v>
      </c>
      <c r="GR39">
        <v>34.866</v>
      </c>
      <c r="GS39" s="12">
        <v>41305</v>
      </c>
      <c r="GT39">
        <v>508.5</v>
      </c>
      <c r="GW39" s="12">
        <v>41362</v>
      </c>
      <c r="GX39">
        <v>19.510999999999999</v>
      </c>
      <c r="GY39" s="12">
        <v>41305</v>
      </c>
      <c r="GZ39">
        <v>10.25</v>
      </c>
      <c r="HA39" s="12">
        <v>41305</v>
      </c>
      <c r="HB39">
        <v>7.34</v>
      </c>
      <c r="HC39" s="12">
        <v>41305</v>
      </c>
      <c r="HD39">
        <v>16.754999999999999</v>
      </c>
      <c r="HE39" s="12">
        <v>41305</v>
      </c>
      <c r="HF39">
        <v>21.338999999999999</v>
      </c>
      <c r="HG39" s="12">
        <v>41305</v>
      </c>
      <c r="HH39">
        <v>22.021999999999998</v>
      </c>
      <c r="HI39" s="12">
        <v>41305</v>
      </c>
      <c r="HJ39">
        <v>7.944</v>
      </c>
      <c r="HK39" s="12">
        <v>41305</v>
      </c>
      <c r="HL39">
        <v>410</v>
      </c>
      <c r="HM39" s="12">
        <v>41305</v>
      </c>
      <c r="HN39">
        <v>65.658000000000001</v>
      </c>
      <c r="HO39" s="12">
        <v>41305</v>
      </c>
      <c r="HP39">
        <v>52.447000000000003</v>
      </c>
      <c r="HQ39" s="12">
        <v>41394</v>
      </c>
      <c r="HR39">
        <v>307</v>
      </c>
      <c r="HS39" s="12">
        <v>41305</v>
      </c>
      <c r="HT39">
        <v>87.936999999999998</v>
      </c>
      <c r="HU39" s="12">
        <v>41305</v>
      </c>
      <c r="HV39">
        <v>1434.002</v>
      </c>
      <c r="HW39" s="12">
        <v>41305</v>
      </c>
      <c r="HX39">
        <v>16.901</v>
      </c>
      <c r="HY39" s="12">
        <v>41305</v>
      </c>
      <c r="HZ39">
        <v>15.164999999999999</v>
      </c>
      <c r="IA39" s="12">
        <v>41305</v>
      </c>
      <c r="IB39">
        <v>84.102000000000004</v>
      </c>
      <c r="IC39" s="12">
        <v>41305</v>
      </c>
      <c r="ID39">
        <v>5.4909999999999997</v>
      </c>
      <c r="IE39" s="12">
        <v>41305</v>
      </c>
      <c r="IF39">
        <v>4.6980000000000004</v>
      </c>
      <c r="IG39" s="12">
        <v>41607</v>
      </c>
      <c r="IH39">
        <v>3.7</v>
      </c>
      <c r="II39" s="12">
        <v>41305</v>
      </c>
      <c r="IJ39">
        <v>18.302</v>
      </c>
      <c r="IM39" s="12">
        <v>41305</v>
      </c>
      <c r="IN39">
        <v>15.744999999999999</v>
      </c>
      <c r="IO39" s="12">
        <v>41851</v>
      </c>
      <c r="IP39">
        <v>16.332000000000001</v>
      </c>
      <c r="IQ39" s="12">
        <v>41305</v>
      </c>
      <c r="IR39">
        <v>20.716999999999999</v>
      </c>
      <c r="IS39" s="12">
        <v>43220</v>
      </c>
      <c r="IT39">
        <v>14.85</v>
      </c>
      <c r="IU39" s="12">
        <v>41305</v>
      </c>
      <c r="IV39">
        <v>8.0637000000000008</v>
      </c>
      <c r="IY39" s="12">
        <v>41305</v>
      </c>
      <c r="IZ39">
        <v>9.1419999999999995</v>
      </c>
      <c r="JA39" s="12">
        <v>43069</v>
      </c>
      <c r="JB39">
        <v>9.02</v>
      </c>
      <c r="JC39" s="12">
        <v>41305</v>
      </c>
      <c r="JD39">
        <v>4.4569999999999999</v>
      </c>
      <c r="JE39" s="12">
        <v>41305</v>
      </c>
      <c r="JF39">
        <v>105</v>
      </c>
      <c r="JI39" s="12">
        <v>41305</v>
      </c>
      <c r="JJ39">
        <v>8.7370000000000001</v>
      </c>
      <c r="JM39" s="12">
        <v>41305</v>
      </c>
      <c r="JN39">
        <v>1.9239999999999999</v>
      </c>
      <c r="JO39" s="12">
        <v>41305</v>
      </c>
      <c r="JP39">
        <v>24.096</v>
      </c>
      <c r="JQ39" s="12">
        <v>42704</v>
      </c>
      <c r="JR39">
        <v>17.388000000000002</v>
      </c>
      <c r="JS39" s="12">
        <v>41305</v>
      </c>
      <c r="JT39">
        <v>8.0609999999999999</v>
      </c>
      <c r="JU39" s="12">
        <v>42521</v>
      </c>
      <c r="JV39">
        <v>32.844000000000001</v>
      </c>
      <c r="JW39" s="12">
        <v>41305</v>
      </c>
      <c r="JX39">
        <v>8.42</v>
      </c>
      <c r="JY39" s="12">
        <v>41305</v>
      </c>
      <c r="JZ39">
        <v>10.997999999999999</v>
      </c>
      <c r="KC39" s="12">
        <v>41305</v>
      </c>
      <c r="KD39">
        <v>6.6520000000000001</v>
      </c>
      <c r="KE39" s="12">
        <v>41305</v>
      </c>
      <c r="KF39">
        <v>10.653</v>
      </c>
      <c r="KI39" s="12">
        <v>41305</v>
      </c>
      <c r="KJ39">
        <v>5.6029999999999998</v>
      </c>
      <c r="KO39" s="12">
        <v>41305</v>
      </c>
      <c r="KP39">
        <v>141.58799999999999</v>
      </c>
      <c r="KQ39" s="12">
        <v>41305</v>
      </c>
      <c r="KR39">
        <v>112.16800000000001</v>
      </c>
      <c r="KS39" s="12">
        <v>41305</v>
      </c>
      <c r="KT39">
        <v>10.683999999999999</v>
      </c>
      <c r="KU39" s="12">
        <v>41305</v>
      </c>
      <c r="KV39">
        <v>7.3179999999999996</v>
      </c>
      <c r="LC39" s="12">
        <v>41305</v>
      </c>
      <c r="LD39">
        <v>12.492000000000001</v>
      </c>
      <c r="LE39" s="12">
        <v>41305</v>
      </c>
      <c r="LF39">
        <v>5.4109999999999996</v>
      </c>
      <c r="LG39" s="12">
        <v>41305</v>
      </c>
      <c r="LH39">
        <v>16.841000000000001</v>
      </c>
      <c r="LI39" s="12">
        <v>41305</v>
      </c>
      <c r="LJ39">
        <v>19.934999999999999</v>
      </c>
      <c r="LM39" s="12">
        <v>41305</v>
      </c>
      <c r="LN39">
        <v>10.78</v>
      </c>
      <c r="LO39" s="12">
        <v>41305</v>
      </c>
      <c r="LP39">
        <v>9.8070000000000004</v>
      </c>
      <c r="LQ39" s="12">
        <v>41305</v>
      </c>
      <c r="LR39">
        <v>30.280999999999999</v>
      </c>
      <c r="LS39" s="12">
        <v>41305</v>
      </c>
      <c r="LT39">
        <v>30.655000000000001</v>
      </c>
      <c r="LW39" s="12">
        <v>41305</v>
      </c>
      <c r="LX39">
        <v>747.08299999999997</v>
      </c>
      <c r="LY39" s="12">
        <v>41305</v>
      </c>
      <c r="LZ39">
        <v>30.643999999999998</v>
      </c>
      <c r="MA39" s="12">
        <v>41305</v>
      </c>
      <c r="MB39">
        <v>30.190999999999999</v>
      </c>
      <c r="MC39" s="12">
        <v>42766</v>
      </c>
      <c r="MD39">
        <v>8.9280000000000008</v>
      </c>
      <c r="ME39" s="12">
        <v>41305</v>
      </c>
      <c r="MF39">
        <v>4.1289999999999996</v>
      </c>
      <c r="MG39" s="12">
        <v>41305</v>
      </c>
      <c r="MH39">
        <v>6.3979999999999997</v>
      </c>
      <c r="MI39" s="12">
        <v>43312</v>
      </c>
      <c r="MJ39">
        <v>6.3469999999999995</v>
      </c>
      <c r="MK39" s="12">
        <v>41305</v>
      </c>
      <c r="ML39">
        <v>11.167999999999999</v>
      </c>
    </row>
    <row r="40" spans="1:350" x14ac:dyDescent="0.3">
      <c r="A40" s="12">
        <v>41333</v>
      </c>
      <c r="B40" s="1">
        <v>14.15</v>
      </c>
      <c r="C40" s="12">
        <v>41698</v>
      </c>
      <c r="D40" s="1">
        <v>13.039</v>
      </c>
      <c r="E40" s="12">
        <v>41333</v>
      </c>
      <c r="F40" s="13">
        <v>9.7170000000000005</v>
      </c>
      <c r="G40" s="17">
        <v>41333</v>
      </c>
      <c r="H40" s="13">
        <v>6.9130000000000003</v>
      </c>
      <c r="I40" s="17">
        <v>41362</v>
      </c>
      <c r="J40">
        <v>21.234000000000002</v>
      </c>
      <c r="K40" s="12">
        <v>42551</v>
      </c>
      <c r="L40">
        <v>12.465</v>
      </c>
      <c r="M40" s="12">
        <v>41333</v>
      </c>
      <c r="N40" s="12">
        <v>86.617999999999995</v>
      </c>
      <c r="O40" s="12">
        <v>41333</v>
      </c>
      <c r="P40">
        <v>31.33</v>
      </c>
      <c r="Q40" s="12">
        <v>42734</v>
      </c>
      <c r="R40">
        <v>13.407999999999999</v>
      </c>
      <c r="S40" s="12">
        <v>41333</v>
      </c>
      <c r="T40">
        <v>19.640999999999998</v>
      </c>
      <c r="U40" s="12">
        <v>41759</v>
      </c>
      <c r="V40">
        <v>20.552</v>
      </c>
      <c r="Y40" s="12">
        <v>41333</v>
      </c>
      <c r="Z40">
        <v>10.167999999999999</v>
      </c>
      <c r="AA40" s="12">
        <v>41333</v>
      </c>
      <c r="AB40">
        <v>16.789000000000001</v>
      </c>
      <c r="AC40" s="12">
        <v>41333</v>
      </c>
      <c r="AD40">
        <v>11.4</v>
      </c>
      <c r="AE40" s="12">
        <v>41333</v>
      </c>
      <c r="AF40">
        <v>11.166</v>
      </c>
      <c r="AG40" s="12">
        <v>41333</v>
      </c>
      <c r="AH40">
        <v>51.634</v>
      </c>
      <c r="AI40" s="12">
        <v>42551</v>
      </c>
      <c r="AJ40">
        <v>20.02</v>
      </c>
      <c r="AK40" s="12">
        <v>41333</v>
      </c>
      <c r="AL40">
        <v>12.551</v>
      </c>
      <c r="AO40" s="12">
        <v>41333</v>
      </c>
      <c r="AP40">
        <v>3.15</v>
      </c>
      <c r="AS40" s="12">
        <v>41333</v>
      </c>
      <c r="AT40">
        <v>6.1280000000000001</v>
      </c>
      <c r="AU40" s="12">
        <v>41333</v>
      </c>
      <c r="AV40">
        <v>19.289000000000001</v>
      </c>
      <c r="AY40" s="12">
        <v>41333</v>
      </c>
      <c r="AZ40">
        <v>40.061999999999998</v>
      </c>
      <c r="BA40" s="12">
        <v>41333</v>
      </c>
      <c r="BB40">
        <v>10.881</v>
      </c>
      <c r="BC40" s="12">
        <v>41333</v>
      </c>
      <c r="BD40">
        <v>14.696999999999999</v>
      </c>
      <c r="BE40" s="12">
        <v>41425</v>
      </c>
      <c r="BF40">
        <v>11.063000000000001</v>
      </c>
      <c r="BG40" s="12">
        <v>41333</v>
      </c>
      <c r="BH40">
        <v>10.637</v>
      </c>
      <c r="BI40" s="12">
        <v>41333</v>
      </c>
      <c r="BJ40">
        <v>12.138999999999999</v>
      </c>
      <c r="BK40" s="12">
        <v>41333</v>
      </c>
      <c r="BL40">
        <v>14.089</v>
      </c>
      <c r="BM40" s="12">
        <v>41333</v>
      </c>
      <c r="BN40">
        <v>10.288</v>
      </c>
      <c r="BO40" s="12">
        <v>41333</v>
      </c>
      <c r="BP40">
        <v>10.53</v>
      </c>
      <c r="BQ40" s="12">
        <v>41333</v>
      </c>
      <c r="BR40">
        <v>8.25</v>
      </c>
      <c r="BS40" s="12">
        <v>41333</v>
      </c>
      <c r="BT40">
        <v>8.4689999999999994</v>
      </c>
      <c r="BW40" s="12">
        <v>41333</v>
      </c>
      <c r="BX40">
        <v>5.4539999999999997</v>
      </c>
      <c r="BY40" s="12">
        <v>41333</v>
      </c>
      <c r="BZ40">
        <v>16.602</v>
      </c>
      <c r="CA40" s="12">
        <v>41333</v>
      </c>
      <c r="CB40">
        <v>19.637</v>
      </c>
      <c r="CE40" s="12">
        <v>41333</v>
      </c>
      <c r="CF40">
        <v>27.66</v>
      </c>
      <c r="CG40" s="12">
        <v>41333</v>
      </c>
      <c r="CH40">
        <v>33.776000000000003</v>
      </c>
      <c r="CI40" s="12">
        <v>41333</v>
      </c>
      <c r="CJ40">
        <v>37.939</v>
      </c>
      <c r="CK40" s="12">
        <v>41333</v>
      </c>
      <c r="CL40">
        <v>7.5990000000000002</v>
      </c>
      <c r="CM40" s="12">
        <v>41333</v>
      </c>
      <c r="CN40">
        <v>19.861999999999998</v>
      </c>
      <c r="CO40" s="12">
        <v>42794</v>
      </c>
      <c r="CP40">
        <v>27.675000000000001</v>
      </c>
      <c r="CQ40" s="12">
        <v>41333</v>
      </c>
      <c r="CR40">
        <v>13.2</v>
      </c>
      <c r="CS40" s="12">
        <v>41333</v>
      </c>
      <c r="CT40">
        <v>13.162000000000001</v>
      </c>
      <c r="CU40" s="12">
        <v>41333</v>
      </c>
      <c r="CV40">
        <v>10.58</v>
      </c>
      <c r="CW40" s="12">
        <v>41333</v>
      </c>
      <c r="CX40">
        <v>10.833</v>
      </c>
      <c r="CY40" s="12">
        <v>41425</v>
      </c>
      <c r="CZ40">
        <v>12.166</v>
      </c>
      <c r="DA40" s="12">
        <v>41333</v>
      </c>
      <c r="DB40">
        <v>18.741</v>
      </c>
      <c r="DC40" s="12">
        <v>41333</v>
      </c>
      <c r="DD40">
        <v>5.9080000000000004</v>
      </c>
      <c r="DE40" s="12">
        <v>41333</v>
      </c>
      <c r="DF40">
        <v>7.9119999999999999</v>
      </c>
      <c r="DG40" s="12">
        <v>41880</v>
      </c>
      <c r="DH40">
        <v>16.765999999999998</v>
      </c>
      <c r="DI40" s="12">
        <v>41333</v>
      </c>
      <c r="DJ40">
        <v>10.984999999999999</v>
      </c>
      <c r="DK40" s="12">
        <v>41333</v>
      </c>
      <c r="DL40">
        <v>15.651</v>
      </c>
      <c r="DM40" s="12">
        <v>41759</v>
      </c>
      <c r="DN40">
        <v>5.3689999999999998</v>
      </c>
      <c r="DO40" s="12">
        <v>41333</v>
      </c>
      <c r="DP40">
        <v>8.0920000000000005</v>
      </c>
      <c r="DQ40" s="12">
        <v>41333</v>
      </c>
      <c r="DR40">
        <v>583.46400000000006</v>
      </c>
      <c r="DS40" s="12">
        <v>41333</v>
      </c>
      <c r="DT40">
        <v>10.462</v>
      </c>
      <c r="DU40" s="12">
        <v>41333</v>
      </c>
      <c r="DV40">
        <v>3.5830000000000002</v>
      </c>
      <c r="DW40" s="12">
        <v>41333</v>
      </c>
      <c r="DX40">
        <v>8.2639999999999993</v>
      </c>
      <c r="DY40" s="12">
        <v>41333</v>
      </c>
      <c r="DZ40">
        <v>13.661</v>
      </c>
      <c r="EC40" s="12">
        <v>41333</v>
      </c>
      <c r="ED40">
        <v>18.536999999999999</v>
      </c>
      <c r="EE40" s="12">
        <v>41333</v>
      </c>
      <c r="EF40">
        <v>8.07</v>
      </c>
      <c r="EG40" s="12">
        <v>41333</v>
      </c>
      <c r="EH40">
        <v>15.635</v>
      </c>
      <c r="EI40" s="12">
        <v>41333</v>
      </c>
      <c r="EJ40">
        <v>30.103000000000002</v>
      </c>
      <c r="EK40" s="12">
        <v>41333</v>
      </c>
      <c r="EL40">
        <v>12.492000000000001</v>
      </c>
      <c r="EM40" s="12">
        <v>41333</v>
      </c>
      <c r="EN40">
        <v>14.611000000000001</v>
      </c>
      <c r="EQ40" s="12">
        <v>41333</v>
      </c>
      <c r="ER40">
        <v>18.673000000000002</v>
      </c>
      <c r="ES40" s="12">
        <v>41333</v>
      </c>
      <c r="ET40">
        <v>12.57</v>
      </c>
      <c r="EU40" s="12">
        <v>41333</v>
      </c>
      <c r="EV40">
        <v>4.2699999999999996</v>
      </c>
      <c r="EY40" s="12">
        <v>41333</v>
      </c>
      <c r="EZ40">
        <v>27.510999999999999</v>
      </c>
      <c r="FA40" s="12">
        <v>41333</v>
      </c>
      <c r="FB40">
        <v>14.34</v>
      </c>
      <c r="FC40" s="12">
        <v>41333</v>
      </c>
      <c r="FD40">
        <v>24.079000000000001</v>
      </c>
      <c r="FG40" s="12">
        <v>41333</v>
      </c>
      <c r="FH40">
        <v>3.9159999999999999</v>
      </c>
      <c r="FI40" s="12">
        <v>41333</v>
      </c>
      <c r="FJ40">
        <v>10.116</v>
      </c>
      <c r="FK40" s="12">
        <v>41333</v>
      </c>
      <c r="FL40">
        <v>10.877000000000001</v>
      </c>
      <c r="FM40" s="12">
        <v>41333</v>
      </c>
      <c r="FN40">
        <v>6.1559999999999997</v>
      </c>
      <c r="FO40" s="12">
        <v>41333</v>
      </c>
      <c r="FP40">
        <v>12.781000000000001</v>
      </c>
      <c r="FQ40" s="12">
        <v>42825</v>
      </c>
      <c r="FR40">
        <v>13.262</v>
      </c>
      <c r="FS40" s="12">
        <v>41333</v>
      </c>
      <c r="FT40">
        <v>1.9119999999999999</v>
      </c>
      <c r="FU40" s="12">
        <v>41333</v>
      </c>
      <c r="FV40">
        <v>10.802</v>
      </c>
      <c r="FW40" s="12">
        <v>41333</v>
      </c>
      <c r="FX40">
        <v>11.483000000000001</v>
      </c>
      <c r="FY40" s="12">
        <v>42185</v>
      </c>
      <c r="FZ40">
        <v>0.93300000000000005</v>
      </c>
      <c r="GA40" s="12">
        <v>41333</v>
      </c>
      <c r="GB40">
        <v>18.047999999999998</v>
      </c>
      <c r="GC40" s="12">
        <v>41333</v>
      </c>
      <c r="GD40">
        <v>15.497999999999999</v>
      </c>
      <c r="GE40" s="12">
        <v>42489</v>
      </c>
      <c r="GF40">
        <v>15.154999999999999</v>
      </c>
      <c r="GI40" s="12">
        <v>41333</v>
      </c>
      <c r="GJ40">
        <v>10.917</v>
      </c>
      <c r="GK40" s="12">
        <v>41333</v>
      </c>
      <c r="GL40">
        <v>35.414999999999999</v>
      </c>
      <c r="GM40" s="12">
        <v>41333</v>
      </c>
      <c r="GN40">
        <v>23.347000000000001</v>
      </c>
      <c r="GO40" s="12">
        <v>41820</v>
      </c>
      <c r="GP40">
        <v>1.089</v>
      </c>
      <c r="GQ40" s="12">
        <v>41453</v>
      </c>
      <c r="GR40">
        <v>29.824000000000002</v>
      </c>
      <c r="GS40" s="12">
        <v>41333</v>
      </c>
      <c r="GT40">
        <v>501</v>
      </c>
      <c r="GW40" s="12">
        <v>41394</v>
      </c>
      <c r="GX40">
        <v>21.501999999999999</v>
      </c>
      <c r="GY40" s="12">
        <v>41333</v>
      </c>
      <c r="GZ40">
        <v>9.85</v>
      </c>
      <c r="HA40" s="12">
        <v>41333</v>
      </c>
      <c r="HB40">
        <v>8.1769999999999996</v>
      </c>
      <c r="HC40" s="12">
        <v>41333</v>
      </c>
      <c r="HD40">
        <v>16.492999999999999</v>
      </c>
      <c r="HE40" s="12">
        <v>41333</v>
      </c>
      <c r="HF40">
        <v>21.298999999999999</v>
      </c>
      <c r="HG40" s="12">
        <v>41333</v>
      </c>
      <c r="HH40">
        <v>21.414999999999999</v>
      </c>
      <c r="HI40" s="12">
        <v>41333</v>
      </c>
      <c r="HJ40">
        <v>7.1689999999999996</v>
      </c>
      <c r="HK40" s="12">
        <v>41333</v>
      </c>
      <c r="HL40">
        <v>315</v>
      </c>
      <c r="HM40" s="12">
        <v>41333</v>
      </c>
      <c r="HN40">
        <v>54.661000000000001</v>
      </c>
      <c r="HO40" s="12">
        <v>41333</v>
      </c>
      <c r="HP40">
        <v>47.886000000000003</v>
      </c>
      <c r="HQ40" s="12">
        <v>41425</v>
      </c>
      <c r="HR40">
        <v>275</v>
      </c>
      <c r="HS40" s="12">
        <v>41333</v>
      </c>
      <c r="HT40">
        <v>92.900999999999996</v>
      </c>
      <c r="HU40" s="12">
        <v>41333</v>
      </c>
      <c r="HV40">
        <v>1456.692</v>
      </c>
      <c r="HW40" s="12">
        <v>41333</v>
      </c>
      <c r="HX40">
        <v>13.433999999999999</v>
      </c>
      <c r="HY40" s="12">
        <v>41333</v>
      </c>
      <c r="HZ40">
        <v>13.932</v>
      </c>
      <c r="IA40" s="12">
        <v>41333</v>
      </c>
      <c r="IB40">
        <v>84.911000000000001</v>
      </c>
      <c r="IC40" s="12">
        <v>41333</v>
      </c>
      <c r="ID40">
        <v>5.4089999999999998</v>
      </c>
      <c r="IE40" s="12">
        <v>41333</v>
      </c>
      <c r="IF40">
        <v>4.4020000000000001</v>
      </c>
      <c r="IG40" s="12">
        <v>41639</v>
      </c>
      <c r="IH40">
        <v>4.55</v>
      </c>
      <c r="II40" s="12">
        <v>41333</v>
      </c>
      <c r="IJ40">
        <v>16.414999999999999</v>
      </c>
      <c r="IM40" s="12">
        <v>41333</v>
      </c>
      <c r="IN40">
        <v>17.292999999999999</v>
      </c>
      <c r="IO40" s="12">
        <v>41880</v>
      </c>
      <c r="IP40">
        <v>17.420999999999999</v>
      </c>
      <c r="IQ40" s="12">
        <v>41333</v>
      </c>
      <c r="IR40">
        <v>21.248000000000001</v>
      </c>
      <c r="IS40" s="12">
        <v>43251</v>
      </c>
      <c r="IT40">
        <v>13.81</v>
      </c>
      <c r="IU40" s="12">
        <v>41333</v>
      </c>
      <c r="IV40">
        <v>8.0980000000000008</v>
      </c>
      <c r="IY40" s="12">
        <v>41333</v>
      </c>
      <c r="IZ40">
        <v>9.3770000000000007</v>
      </c>
      <c r="JA40" s="12">
        <v>43098</v>
      </c>
      <c r="JB40">
        <v>9.2799999999999994</v>
      </c>
      <c r="JC40" s="12">
        <v>41333</v>
      </c>
      <c r="JD40">
        <v>6.3949999999999996</v>
      </c>
      <c r="JE40" s="12">
        <v>41333</v>
      </c>
      <c r="JF40">
        <v>87.75</v>
      </c>
      <c r="JI40" s="12">
        <v>41333</v>
      </c>
      <c r="JJ40">
        <v>8.5760000000000005</v>
      </c>
      <c r="JM40" s="12">
        <v>41333</v>
      </c>
      <c r="JN40">
        <v>1.6970000000000001</v>
      </c>
      <c r="JO40" s="12">
        <v>41333</v>
      </c>
      <c r="JP40">
        <v>25.78</v>
      </c>
      <c r="JQ40" s="12">
        <v>42734</v>
      </c>
      <c r="JR40">
        <v>15.991</v>
      </c>
      <c r="JS40" s="12">
        <v>41333</v>
      </c>
      <c r="JT40">
        <v>7.2389999999999999</v>
      </c>
      <c r="JU40" s="12">
        <v>42551</v>
      </c>
      <c r="JV40">
        <v>39.052999999999997</v>
      </c>
      <c r="JW40" s="12">
        <v>41333</v>
      </c>
      <c r="JX40">
        <v>8.2430000000000003</v>
      </c>
      <c r="JY40" s="12">
        <v>41333</v>
      </c>
      <c r="JZ40">
        <v>11.146000000000001</v>
      </c>
      <c r="KC40" s="12">
        <v>41333</v>
      </c>
      <c r="KD40">
        <v>6.06</v>
      </c>
      <c r="KE40" s="12">
        <v>41333</v>
      </c>
      <c r="KF40">
        <v>10.54</v>
      </c>
      <c r="KI40" s="12">
        <v>41333</v>
      </c>
      <c r="KJ40">
        <v>6.5819999999999999</v>
      </c>
      <c r="KO40" s="12">
        <v>41333</v>
      </c>
      <c r="KP40">
        <v>137.19399999999999</v>
      </c>
      <c r="KQ40" s="12">
        <v>41333</v>
      </c>
      <c r="KR40">
        <v>119.816</v>
      </c>
      <c r="KS40" s="12">
        <v>41333</v>
      </c>
      <c r="KT40">
        <v>10.759</v>
      </c>
      <c r="KU40" s="12">
        <v>41333</v>
      </c>
      <c r="KV40">
        <v>7.1929999999999996</v>
      </c>
      <c r="LC40" s="12">
        <v>41333</v>
      </c>
      <c r="LD40">
        <v>12.600999999999999</v>
      </c>
      <c r="LE40" s="12">
        <v>41333</v>
      </c>
      <c r="LF40">
        <v>5.524</v>
      </c>
      <c r="LG40" s="12">
        <v>41333</v>
      </c>
      <c r="LH40">
        <v>17.061</v>
      </c>
      <c r="LI40" s="12">
        <v>41333</v>
      </c>
      <c r="LJ40">
        <v>21.55</v>
      </c>
      <c r="LM40" s="12">
        <v>41333</v>
      </c>
      <c r="LN40">
        <v>9.9489999999999998</v>
      </c>
      <c r="LO40" s="12">
        <v>41333</v>
      </c>
      <c r="LP40">
        <v>9.2949999999999999</v>
      </c>
      <c r="LQ40" s="12">
        <v>41333</v>
      </c>
      <c r="LR40">
        <v>28.431000000000001</v>
      </c>
      <c r="LS40" s="12">
        <v>41333</v>
      </c>
      <c r="LT40">
        <v>28.951999999999998</v>
      </c>
      <c r="LW40" s="12">
        <v>41333</v>
      </c>
      <c r="LX40">
        <v>847.81299999999999</v>
      </c>
      <c r="LY40" s="12">
        <v>41333</v>
      </c>
      <c r="LZ40">
        <v>31.771999999999998</v>
      </c>
      <c r="MA40" s="12">
        <v>41333</v>
      </c>
      <c r="MB40">
        <v>29.658000000000001</v>
      </c>
      <c r="MC40" s="12">
        <v>42794</v>
      </c>
      <c r="MD40">
        <v>11.744</v>
      </c>
      <c r="ME40" s="12">
        <v>41333</v>
      </c>
      <c r="MF40">
        <v>5.1609999999999996</v>
      </c>
      <c r="MG40" s="12">
        <v>41333</v>
      </c>
      <c r="MH40">
        <v>6.766</v>
      </c>
      <c r="MI40" s="12">
        <v>43343</v>
      </c>
      <c r="MJ40">
        <v>6.87</v>
      </c>
      <c r="MK40" s="12">
        <v>41333</v>
      </c>
      <c r="ML40">
        <v>12.282</v>
      </c>
    </row>
    <row r="41" spans="1:350" x14ac:dyDescent="0.3">
      <c r="A41" s="12">
        <v>41362</v>
      </c>
      <c r="B41" s="1">
        <v>13.590999999999999</v>
      </c>
      <c r="C41" s="12">
        <v>41729</v>
      </c>
      <c r="D41" s="1">
        <v>13.901999999999999</v>
      </c>
      <c r="E41" s="12">
        <v>41362</v>
      </c>
      <c r="F41" s="13">
        <v>10.013999999999999</v>
      </c>
      <c r="G41" s="17">
        <v>41362</v>
      </c>
      <c r="H41" s="13">
        <v>7.06</v>
      </c>
      <c r="I41" s="17">
        <v>41394</v>
      </c>
      <c r="J41">
        <v>20.297999999999998</v>
      </c>
      <c r="K41" s="12">
        <v>42580</v>
      </c>
      <c r="L41">
        <v>14.949</v>
      </c>
      <c r="M41" s="12">
        <v>41362</v>
      </c>
      <c r="N41" s="12">
        <v>82.043999999999997</v>
      </c>
      <c r="O41" s="12">
        <v>41362</v>
      </c>
      <c r="P41">
        <v>31.62</v>
      </c>
      <c r="Q41" s="12">
        <v>42766</v>
      </c>
      <c r="R41">
        <v>13.182</v>
      </c>
      <c r="S41" s="12">
        <v>41362</v>
      </c>
      <c r="T41">
        <v>20.940999999999999</v>
      </c>
      <c r="U41" s="12">
        <v>41789</v>
      </c>
      <c r="V41">
        <v>23.475999999999999</v>
      </c>
      <c r="Y41" s="12">
        <v>41362</v>
      </c>
      <c r="Z41">
        <v>10.342000000000001</v>
      </c>
      <c r="AA41" s="12">
        <v>41362</v>
      </c>
      <c r="AB41">
        <v>17.843</v>
      </c>
      <c r="AC41" s="12">
        <v>41362</v>
      </c>
      <c r="AD41">
        <v>12.539</v>
      </c>
      <c r="AE41" s="12">
        <v>41362</v>
      </c>
      <c r="AF41">
        <v>11.879</v>
      </c>
      <c r="AG41" s="12">
        <v>41362</v>
      </c>
      <c r="AH41">
        <v>51.994999999999997</v>
      </c>
      <c r="AI41" s="12">
        <v>42580</v>
      </c>
      <c r="AJ41">
        <v>21.465</v>
      </c>
      <c r="AK41" s="12">
        <v>41362</v>
      </c>
      <c r="AL41">
        <v>12.746</v>
      </c>
      <c r="AO41" s="12">
        <v>41362</v>
      </c>
      <c r="AP41">
        <v>2.5099999999999998</v>
      </c>
      <c r="AS41" s="12">
        <v>41362</v>
      </c>
      <c r="AT41">
        <v>6.5549999999999997</v>
      </c>
      <c r="AU41" s="12">
        <v>41362</v>
      </c>
      <c r="AV41">
        <v>17.483000000000001</v>
      </c>
      <c r="AY41" s="12">
        <v>41362</v>
      </c>
      <c r="AZ41">
        <v>41.600999999999999</v>
      </c>
      <c r="BA41" s="12">
        <v>41362</v>
      </c>
      <c r="BB41">
        <v>10.186999999999999</v>
      </c>
      <c r="BC41" s="12">
        <v>41362</v>
      </c>
      <c r="BD41">
        <v>14.445</v>
      </c>
      <c r="BE41" s="12">
        <v>41453</v>
      </c>
      <c r="BF41">
        <v>10.005000000000001</v>
      </c>
      <c r="BG41" s="12">
        <v>41362</v>
      </c>
      <c r="BH41">
        <v>10.382</v>
      </c>
      <c r="BI41" s="12">
        <v>41362</v>
      </c>
      <c r="BJ41">
        <v>12.928000000000001</v>
      </c>
      <c r="BK41" s="12">
        <v>41362</v>
      </c>
      <c r="BL41">
        <v>14.577999999999999</v>
      </c>
      <c r="BM41" s="12">
        <v>41362</v>
      </c>
      <c r="BN41">
        <v>11.416</v>
      </c>
      <c r="BO41" s="12">
        <v>41362</v>
      </c>
      <c r="BP41">
        <v>10.788</v>
      </c>
      <c r="BQ41" s="12">
        <v>41362</v>
      </c>
      <c r="BR41">
        <v>8.5909999999999993</v>
      </c>
      <c r="BS41" s="12">
        <v>41362</v>
      </c>
      <c r="BT41">
        <v>8.5380000000000003</v>
      </c>
      <c r="BW41" s="12">
        <v>41362</v>
      </c>
      <c r="BX41">
        <v>5.5019999999999998</v>
      </c>
      <c r="BY41" s="12">
        <v>41362</v>
      </c>
      <c r="BZ41">
        <v>17.359000000000002</v>
      </c>
      <c r="CA41" s="12">
        <v>41362</v>
      </c>
      <c r="CB41">
        <v>20.943000000000001</v>
      </c>
      <c r="CE41" s="12">
        <v>41362</v>
      </c>
      <c r="CF41">
        <v>26.34</v>
      </c>
      <c r="CG41" s="12">
        <v>41362</v>
      </c>
      <c r="CH41">
        <v>32.82</v>
      </c>
      <c r="CI41" s="12">
        <v>41362</v>
      </c>
      <c r="CJ41">
        <v>37.029000000000003</v>
      </c>
      <c r="CK41" s="12">
        <v>41362</v>
      </c>
      <c r="CL41">
        <v>6.9379999999999997</v>
      </c>
      <c r="CM41" s="12">
        <v>41362</v>
      </c>
      <c r="CN41">
        <v>20.001999999999999</v>
      </c>
      <c r="CO41" s="12">
        <v>42825</v>
      </c>
      <c r="CP41">
        <v>28.033999999999999</v>
      </c>
      <c r="CQ41" s="12">
        <v>41362</v>
      </c>
      <c r="CR41">
        <v>13.147</v>
      </c>
      <c r="CS41" s="12">
        <v>41362</v>
      </c>
      <c r="CT41">
        <v>11.272</v>
      </c>
      <c r="CU41" s="12">
        <v>41362</v>
      </c>
      <c r="CV41">
        <v>9.7100000000000009</v>
      </c>
      <c r="CW41" s="12">
        <v>41362</v>
      </c>
      <c r="CX41">
        <v>10.67</v>
      </c>
      <c r="CY41" s="12">
        <v>41453</v>
      </c>
      <c r="CZ41">
        <v>11.24</v>
      </c>
      <c r="DA41" s="12">
        <v>41362</v>
      </c>
      <c r="DB41">
        <v>18.602</v>
      </c>
      <c r="DC41" s="12">
        <v>41362</v>
      </c>
      <c r="DD41">
        <v>5.9420000000000002</v>
      </c>
      <c r="DE41" s="12">
        <v>41362</v>
      </c>
      <c r="DF41">
        <v>8.0129999999999999</v>
      </c>
      <c r="DG41" s="12">
        <v>41912</v>
      </c>
      <c r="DH41">
        <v>12.58</v>
      </c>
      <c r="DI41" s="12">
        <v>41362</v>
      </c>
      <c r="DJ41">
        <v>9.0909999999999993</v>
      </c>
      <c r="DK41" s="12">
        <v>41362</v>
      </c>
      <c r="DL41">
        <v>16.887</v>
      </c>
      <c r="DM41" s="12">
        <v>41789</v>
      </c>
      <c r="DN41">
        <v>5.569</v>
      </c>
      <c r="DO41" s="12">
        <v>41362</v>
      </c>
      <c r="DP41">
        <v>8.5030000000000001</v>
      </c>
      <c r="DQ41" s="12">
        <v>41362</v>
      </c>
      <c r="DR41">
        <v>527.39400000000001</v>
      </c>
      <c r="DS41" s="12">
        <v>41362</v>
      </c>
      <c r="DT41">
        <v>9.8209999999999997</v>
      </c>
      <c r="DU41" s="12">
        <v>41362</v>
      </c>
      <c r="DV41">
        <v>3.6379999999999999</v>
      </c>
      <c r="DW41" s="12">
        <v>41362</v>
      </c>
      <c r="DX41">
        <v>8.0990000000000002</v>
      </c>
      <c r="DY41" s="12">
        <v>41362</v>
      </c>
      <c r="DZ41">
        <v>13.502000000000001</v>
      </c>
      <c r="EC41" s="12">
        <v>41362</v>
      </c>
      <c r="ED41">
        <v>20.164999999999999</v>
      </c>
      <c r="EE41" s="12">
        <v>41362</v>
      </c>
      <c r="EF41">
        <v>7.0060000000000002</v>
      </c>
      <c r="EG41" s="12">
        <v>41362</v>
      </c>
      <c r="EH41">
        <v>15.029</v>
      </c>
      <c r="EI41" s="12">
        <v>41362</v>
      </c>
      <c r="EJ41">
        <v>28.414999999999999</v>
      </c>
      <c r="EK41" s="12">
        <v>41362</v>
      </c>
      <c r="EL41">
        <v>12.06</v>
      </c>
      <c r="EM41" s="12">
        <v>41362</v>
      </c>
      <c r="EN41">
        <v>13.837999999999999</v>
      </c>
      <c r="EQ41" s="12">
        <v>41362</v>
      </c>
      <c r="ER41">
        <v>17.398</v>
      </c>
      <c r="ES41" s="12">
        <v>41362</v>
      </c>
      <c r="ET41">
        <v>11.8</v>
      </c>
      <c r="EU41" s="12">
        <v>41362</v>
      </c>
      <c r="EV41">
        <v>5.0030000000000001</v>
      </c>
      <c r="EY41" s="12">
        <v>41362</v>
      </c>
      <c r="EZ41">
        <v>25.856000000000002</v>
      </c>
      <c r="FA41" s="12">
        <v>41362</v>
      </c>
      <c r="FB41">
        <v>13.028</v>
      </c>
      <c r="FC41" s="12">
        <v>41362</v>
      </c>
      <c r="FD41">
        <v>22.556999999999999</v>
      </c>
      <c r="FG41" s="12">
        <v>41362</v>
      </c>
      <c r="FH41">
        <v>4.0460000000000003</v>
      </c>
      <c r="FI41" s="12">
        <v>41362</v>
      </c>
      <c r="FJ41">
        <v>10.903</v>
      </c>
      <c r="FK41" s="12">
        <v>41362</v>
      </c>
      <c r="FL41">
        <v>11.289</v>
      </c>
      <c r="FM41" s="12">
        <v>41362</v>
      </c>
      <c r="FN41">
        <v>6.1020000000000003</v>
      </c>
      <c r="FO41" s="12">
        <v>41362</v>
      </c>
      <c r="FP41">
        <v>12.087999999999999</v>
      </c>
      <c r="FQ41" s="12">
        <v>42853</v>
      </c>
      <c r="FR41">
        <v>13.88</v>
      </c>
      <c r="FS41" s="12">
        <v>41362</v>
      </c>
      <c r="FT41">
        <v>2.004</v>
      </c>
      <c r="FU41" s="12">
        <v>41362</v>
      </c>
      <c r="FV41">
        <v>10.49</v>
      </c>
      <c r="FW41" s="12">
        <v>41362</v>
      </c>
      <c r="FX41">
        <v>11.103999999999999</v>
      </c>
      <c r="FY41" s="12">
        <v>42216</v>
      </c>
      <c r="FZ41">
        <v>0.84499999999999997</v>
      </c>
      <c r="GA41" s="12">
        <v>41362</v>
      </c>
      <c r="GB41">
        <v>18.244</v>
      </c>
      <c r="GC41" s="12">
        <v>41362</v>
      </c>
      <c r="GD41">
        <v>16.059999999999999</v>
      </c>
      <c r="GE41" s="12">
        <v>42521</v>
      </c>
      <c r="GF41">
        <v>15.058999999999999</v>
      </c>
      <c r="GI41" s="12">
        <v>41362</v>
      </c>
      <c r="GJ41">
        <v>10.972</v>
      </c>
      <c r="GK41" s="12">
        <v>41362</v>
      </c>
      <c r="GL41">
        <v>32.277000000000001</v>
      </c>
      <c r="GM41" s="12">
        <v>41362</v>
      </c>
      <c r="GN41">
        <v>24.498999999999999</v>
      </c>
      <c r="GO41" s="12">
        <v>41851</v>
      </c>
      <c r="GP41">
        <v>1.06</v>
      </c>
      <c r="GQ41" s="12">
        <v>41486</v>
      </c>
      <c r="GR41">
        <v>28.135999999999999</v>
      </c>
      <c r="GS41" s="12">
        <v>41362</v>
      </c>
      <c r="GT41">
        <v>331.5</v>
      </c>
      <c r="GW41" s="12">
        <v>41425</v>
      </c>
      <c r="GX41">
        <v>24.241</v>
      </c>
      <c r="GY41" s="12">
        <v>41362</v>
      </c>
      <c r="GZ41">
        <v>8.44</v>
      </c>
      <c r="HA41" s="12">
        <v>41362</v>
      </c>
      <c r="HB41">
        <v>5.4020000000000001</v>
      </c>
      <c r="HC41" s="12">
        <v>41362</v>
      </c>
      <c r="HD41">
        <v>16.98</v>
      </c>
      <c r="HE41" s="12">
        <v>41362</v>
      </c>
      <c r="HF41">
        <v>21.738</v>
      </c>
      <c r="HG41" s="12">
        <v>41362</v>
      </c>
      <c r="HH41">
        <v>20.693999999999999</v>
      </c>
      <c r="HI41" s="12">
        <v>41362</v>
      </c>
      <c r="HJ41">
        <v>7.2519999999999998</v>
      </c>
      <c r="HK41" s="12">
        <v>41362</v>
      </c>
      <c r="HL41">
        <v>231</v>
      </c>
      <c r="HM41" s="12">
        <v>41362</v>
      </c>
      <c r="HN41">
        <v>48.594000000000001</v>
      </c>
      <c r="HO41" s="12">
        <v>41362</v>
      </c>
      <c r="HP41">
        <v>43.523000000000003</v>
      </c>
      <c r="HQ41" s="12">
        <v>41453</v>
      </c>
      <c r="HR41">
        <v>140</v>
      </c>
      <c r="HS41" s="12">
        <v>41362</v>
      </c>
      <c r="HT41">
        <v>100.027</v>
      </c>
      <c r="HU41" s="12">
        <v>41362</v>
      </c>
      <c r="HV41">
        <v>1411.3119999999999</v>
      </c>
      <c r="HW41" s="12">
        <v>41362</v>
      </c>
      <c r="HX41">
        <v>15.622</v>
      </c>
      <c r="HY41" s="12">
        <v>41362</v>
      </c>
      <c r="HZ41">
        <v>15.391</v>
      </c>
      <c r="IA41" s="12">
        <v>41362</v>
      </c>
      <c r="IB41">
        <v>89.763000000000005</v>
      </c>
      <c r="IC41" s="12">
        <v>41362</v>
      </c>
      <c r="ID41">
        <v>5.8730000000000002</v>
      </c>
      <c r="IE41" s="12">
        <v>41362</v>
      </c>
      <c r="IF41">
        <v>3.8090000000000002</v>
      </c>
      <c r="IG41" s="12">
        <v>41670</v>
      </c>
      <c r="IH41">
        <v>5.8</v>
      </c>
      <c r="II41" s="12">
        <v>41362</v>
      </c>
      <c r="IJ41">
        <v>17.234999999999999</v>
      </c>
      <c r="IM41" s="12">
        <v>41362</v>
      </c>
      <c r="IN41">
        <v>18.623999999999999</v>
      </c>
      <c r="IO41" s="12">
        <v>41912</v>
      </c>
      <c r="IP41">
        <v>15.069000000000001</v>
      </c>
      <c r="IQ41" s="12">
        <v>41362</v>
      </c>
      <c r="IR41">
        <v>20.074999999999999</v>
      </c>
      <c r="IS41" s="12">
        <v>43280</v>
      </c>
      <c r="IT41">
        <v>14.1</v>
      </c>
      <c r="IU41" s="12">
        <v>41362</v>
      </c>
      <c r="IV41">
        <v>8.6471</v>
      </c>
      <c r="IY41" s="12">
        <v>41362</v>
      </c>
      <c r="IZ41">
        <v>9.0350000000000001</v>
      </c>
      <c r="JA41" s="12">
        <v>43131</v>
      </c>
      <c r="JB41">
        <v>10.02</v>
      </c>
      <c r="JC41" s="12">
        <v>41362</v>
      </c>
      <c r="JD41">
        <v>5.2320000000000002</v>
      </c>
      <c r="JE41" s="12">
        <v>41362</v>
      </c>
      <c r="JF41">
        <v>77</v>
      </c>
      <c r="JI41" s="12">
        <v>41362</v>
      </c>
      <c r="JJ41">
        <v>8.7620000000000005</v>
      </c>
      <c r="JM41" s="12">
        <v>41362</v>
      </c>
      <c r="JN41">
        <v>1.528</v>
      </c>
      <c r="JO41" s="12">
        <v>41362</v>
      </c>
      <c r="JP41">
        <v>25.896000000000001</v>
      </c>
      <c r="JQ41" s="12">
        <v>42766</v>
      </c>
      <c r="JR41">
        <v>15.195</v>
      </c>
      <c r="JS41" s="12">
        <v>41362</v>
      </c>
      <c r="JT41">
        <v>6.9619999999999997</v>
      </c>
      <c r="JU41" s="12">
        <v>42580</v>
      </c>
      <c r="JV41">
        <v>42.283000000000001</v>
      </c>
      <c r="JW41" s="12">
        <v>41362</v>
      </c>
      <c r="JX41">
        <v>8.4049999999999994</v>
      </c>
      <c r="JY41" s="12">
        <v>41362</v>
      </c>
      <c r="JZ41">
        <v>11.925000000000001</v>
      </c>
      <c r="KC41" s="12">
        <v>41362</v>
      </c>
      <c r="KD41">
        <v>7.0620000000000003</v>
      </c>
      <c r="KE41" s="12">
        <v>41362</v>
      </c>
      <c r="KF41">
        <v>10.199999999999999</v>
      </c>
      <c r="KI41" s="12">
        <v>41362</v>
      </c>
      <c r="KJ41">
        <v>6.3629999999999995</v>
      </c>
      <c r="KO41" s="12">
        <v>41362</v>
      </c>
      <c r="KP41">
        <v>155.25800000000001</v>
      </c>
      <c r="KQ41" s="12">
        <v>41362</v>
      </c>
      <c r="KR41">
        <v>109.619</v>
      </c>
      <c r="KS41" s="12">
        <v>41362</v>
      </c>
      <c r="KT41">
        <v>10.342000000000001</v>
      </c>
      <c r="KU41" s="12">
        <v>41362</v>
      </c>
      <c r="KV41">
        <v>7.4169999999999998</v>
      </c>
      <c r="LC41" s="12">
        <v>41362</v>
      </c>
      <c r="LD41">
        <v>12.069000000000001</v>
      </c>
      <c r="LE41" s="12">
        <v>41362</v>
      </c>
      <c r="LF41">
        <v>5.1790000000000003</v>
      </c>
      <c r="LG41" s="12">
        <v>41362</v>
      </c>
      <c r="LH41">
        <v>17.559000000000001</v>
      </c>
      <c r="LI41" s="12">
        <v>41362</v>
      </c>
      <c r="LJ41">
        <v>21.466000000000001</v>
      </c>
      <c r="LM41" s="12">
        <v>41362</v>
      </c>
      <c r="LN41">
        <v>10.798999999999999</v>
      </c>
      <c r="LO41" s="12">
        <v>41362</v>
      </c>
      <c r="LP41">
        <v>10.262</v>
      </c>
      <c r="LQ41" s="12">
        <v>41362</v>
      </c>
      <c r="LR41">
        <v>26.25</v>
      </c>
      <c r="LS41" s="12">
        <v>41362</v>
      </c>
      <c r="LT41">
        <v>26.33</v>
      </c>
      <c r="LW41" s="12">
        <v>41362</v>
      </c>
      <c r="LX41">
        <v>663.14099999999996</v>
      </c>
      <c r="LY41" s="12">
        <v>41362</v>
      </c>
      <c r="LZ41">
        <v>32.875</v>
      </c>
      <c r="MA41" s="12">
        <v>41362</v>
      </c>
      <c r="MB41">
        <v>27.738</v>
      </c>
      <c r="MC41" s="12">
        <v>42825</v>
      </c>
      <c r="MD41">
        <v>10.321</v>
      </c>
      <c r="ME41" s="12">
        <v>41362</v>
      </c>
      <c r="MF41">
        <v>5.2750000000000004</v>
      </c>
      <c r="MG41" s="12">
        <v>41362</v>
      </c>
      <c r="MH41">
        <v>6.6669999999999998</v>
      </c>
      <c r="MI41" s="12">
        <v>43371</v>
      </c>
      <c r="MJ41">
        <v>6.2670000000000003</v>
      </c>
      <c r="MK41" s="12">
        <v>41362</v>
      </c>
      <c r="ML41">
        <v>11.117000000000001</v>
      </c>
    </row>
    <row r="42" spans="1:350" x14ac:dyDescent="0.3">
      <c r="A42" s="12">
        <v>41394</v>
      </c>
      <c r="B42" s="1">
        <v>13.343999999999999</v>
      </c>
      <c r="C42" s="12">
        <v>41759</v>
      </c>
      <c r="D42" s="1">
        <v>13.707000000000001</v>
      </c>
      <c r="E42" s="12">
        <v>41394</v>
      </c>
      <c r="F42" s="13">
        <v>10.183999999999999</v>
      </c>
      <c r="G42" s="17">
        <v>41394</v>
      </c>
      <c r="H42" s="13">
        <v>7.577</v>
      </c>
      <c r="I42" s="17">
        <v>41425</v>
      </c>
      <c r="J42">
        <v>19.417000000000002</v>
      </c>
      <c r="K42" s="12">
        <v>42613</v>
      </c>
      <c r="L42">
        <v>14.414999999999999</v>
      </c>
      <c r="M42" s="12">
        <v>41394</v>
      </c>
      <c r="N42" s="12">
        <v>81.171000000000006</v>
      </c>
      <c r="O42" s="12">
        <v>41394</v>
      </c>
      <c r="P42">
        <v>31.83</v>
      </c>
      <c r="Q42" s="12">
        <v>42794</v>
      </c>
      <c r="R42">
        <v>13.566000000000001</v>
      </c>
      <c r="S42" s="12">
        <v>41394</v>
      </c>
      <c r="T42">
        <v>20.867999999999999</v>
      </c>
      <c r="U42" s="12">
        <v>41820</v>
      </c>
      <c r="V42">
        <v>26.123999999999999</v>
      </c>
      <c r="Y42" s="12">
        <v>41394</v>
      </c>
      <c r="Z42">
        <v>10.696999999999999</v>
      </c>
      <c r="AA42" s="12">
        <v>41394</v>
      </c>
      <c r="AB42">
        <v>16.335000000000001</v>
      </c>
      <c r="AC42" s="12">
        <v>41394</v>
      </c>
      <c r="AD42">
        <v>12.346</v>
      </c>
      <c r="AE42" s="12">
        <v>41394</v>
      </c>
      <c r="AF42">
        <v>11.455</v>
      </c>
      <c r="AG42" s="12">
        <v>41394</v>
      </c>
      <c r="AH42">
        <v>53.228000000000002</v>
      </c>
      <c r="AI42" s="12">
        <v>42613</v>
      </c>
      <c r="AJ42">
        <v>21.343</v>
      </c>
      <c r="AK42" s="12">
        <v>41394</v>
      </c>
      <c r="AL42">
        <v>11.092000000000001</v>
      </c>
      <c r="AO42" s="12">
        <v>41394</v>
      </c>
      <c r="AP42">
        <v>2.19</v>
      </c>
      <c r="AS42" s="12">
        <v>41394</v>
      </c>
      <c r="AT42">
        <v>6.4429999999999996</v>
      </c>
      <c r="AU42" s="12">
        <v>41394</v>
      </c>
      <c r="AV42">
        <v>17.414000000000001</v>
      </c>
      <c r="AY42" s="12">
        <v>41394</v>
      </c>
      <c r="AZ42">
        <v>46.220999999999997</v>
      </c>
      <c r="BA42" s="12">
        <v>41394</v>
      </c>
      <c r="BB42">
        <v>12.984999999999999</v>
      </c>
      <c r="BC42" s="12">
        <v>41394</v>
      </c>
      <c r="BD42">
        <v>13.635</v>
      </c>
      <c r="BE42" s="12">
        <v>41486</v>
      </c>
      <c r="BF42">
        <v>9.952</v>
      </c>
      <c r="BG42" s="12">
        <v>41394</v>
      </c>
      <c r="BH42">
        <v>10.132999999999999</v>
      </c>
      <c r="BI42" s="12">
        <v>41394</v>
      </c>
      <c r="BJ42">
        <v>9.9779999999999998</v>
      </c>
      <c r="BK42" s="12">
        <v>41394</v>
      </c>
      <c r="BL42">
        <v>14.08</v>
      </c>
      <c r="BM42" s="12">
        <v>41394</v>
      </c>
      <c r="BN42">
        <v>12.381</v>
      </c>
      <c r="BO42" s="12">
        <v>41394</v>
      </c>
      <c r="BP42">
        <v>11.542999999999999</v>
      </c>
      <c r="BQ42" s="12">
        <v>41394</v>
      </c>
      <c r="BR42">
        <v>9.2769999999999992</v>
      </c>
      <c r="BS42" s="12">
        <v>41394</v>
      </c>
      <c r="BT42">
        <v>9.25</v>
      </c>
      <c r="BW42" s="12">
        <v>41394</v>
      </c>
      <c r="BX42">
        <v>5.95</v>
      </c>
      <c r="BY42" s="12">
        <v>41394</v>
      </c>
      <c r="BZ42">
        <v>18.128</v>
      </c>
      <c r="CA42" s="12">
        <v>41394</v>
      </c>
      <c r="CB42">
        <v>24.434000000000001</v>
      </c>
      <c r="CE42" s="12">
        <v>41394</v>
      </c>
      <c r="CF42">
        <v>27.196000000000002</v>
      </c>
      <c r="CG42" s="12">
        <v>41394</v>
      </c>
      <c r="CH42">
        <v>34.384</v>
      </c>
      <c r="CI42" s="12">
        <v>41394</v>
      </c>
      <c r="CJ42">
        <v>34.890999999999998</v>
      </c>
      <c r="CK42" s="12">
        <v>41394</v>
      </c>
      <c r="CL42">
        <v>6.25</v>
      </c>
      <c r="CM42" s="12">
        <v>41394</v>
      </c>
      <c r="CN42">
        <v>20.114999999999998</v>
      </c>
      <c r="CO42" s="12">
        <v>42853</v>
      </c>
      <c r="CP42">
        <v>30.032</v>
      </c>
      <c r="CQ42" s="12">
        <v>41394</v>
      </c>
      <c r="CR42">
        <v>13.791</v>
      </c>
      <c r="CS42" s="12">
        <v>41394</v>
      </c>
      <c r="CT42">
        <v>10.649000000000001</v>
      </c>
      <c r="CU42" s="12">
        <v>41394</v>
      </c>
      <c r="CV42">
        <v>10.654</v>
      </c>
      <c r="CW42" s="12">
        <v>41394</v>
      </c>
      <c r="CX42">
        <v>10.894</v>
      </c>
      <c r="CY42" s="12">
        <v>41486</v>
      </c>
      <c r="CZ42">
        <v>11.52</v>
      </c>
      <c r="DA42" s="12">
        <v>41394</v>
      </c>
      <c r="DB42">
        <v>19.088999999999999</v>
      </c>
      <c r="DC42" s="12">
        <v>41394</v>
      </c>
      <c r="DD42">
        <v>4.6159999999999997</v>
      </c>
      <c r="DE42" s="12">
        <v>41394</v>
      </c>
      <c r="DF42">
        <v>6.593</v>
      </c>
      <c r="DG42" s="12">
        <v>41971</v>
      </c>
      <c r="DH42">
        <v>11.409000000000001</v>
      </c>
      <c r="DI42" s="12">
        <v>41394</v>
      </c>
      <c r="DJ42">
        <v>7.6230000000000002</v>
      </c>
      <c r="DK42" s="12">
        <v>41394</v>
      </c>
      <c r="DL42">
        <v>16.428000000000001</v>
      </c>
      <c r="DM42" s="12">
        <v>41820</v>
      </c>
      <c r="DN42">
        <v>5.6310000000000002</v>
      </c>
      <c r="DO42" s="12">
        <v>41394</v>
      </c>
      <c r="DP42">
        <v>8.6029999999999998</v>
      </c>
      <c r="DQ42" s="12">
        <v>41394</v>
      </c>
      <c r="DR42">
        <v>476.32</v>
      </c>
      <c r="DS42" s="12">
        <v>41394</v>
      </c>
      <c r="DT42">
        <v>9.9410000000000007</v>
      </c>
      <c r="DU42" s="12">
        <v>41394</v>
      </c>
      <c r="DV42">
        <v>3.8180000000000001</v>
      </c>
      <c r="DW42" s="12">
        <v>41394</v>
      </c>
      <c r="DX42">
        <v>8.0329999999999995</v>
      </c>
      <c r="DY42" s="12">
        <v>41394</v>
      </c>
      <c r="DZ42">
        <v>13.962</v>
      </c>
      <c r="EC42" s="12">
        <v>41394</v>
      </c>
      <c r="ED42">
        <v>17.635999999999999</v>
      </c>
      <c r="EE42" s="12">
        <v>41394</v>
      </c>
      <c r="EF42">
        <v>7.0060000000000002</v>
      </c>
      <c r="EG42" s="12">
        <v>41394</v>
      </c>
      <c r="EH42">
        <v>15.804</v>
      </c>
      <c r="EI42" s="12">
        <v>41394</v>
      </c>
      <c r="EJ42">
        <v>28.486000000000001</v>
      </c>
      <c r="EK42" s="12">
        <v>41394</v>
      </c>
      <c r="EL42">
        <v>11.712999999999999</v>
      </c>
      <c r="EM42" s="12">
        <v>41394</v>
      </c>
      <c r="EN42">
        <v>13.9</v>
      </c>
      <c r="EQ42" s="12">
        <v>41394</v>
      </c>
      <c r="ER42">
        <v>17.692</v>
      </c>
      <c r="ES42" s="12">
        <v>41394</v>
      </c>
      <c r="ET42">
        <v>12.4</v>
      </c>
      <c r="EU42" s="12">
        <v>41394</v>
      </c>
      <c r="EV42">
        <v>5.3979999999999997</v>
      </c>
      <c r="EY42" s="12">
        <v>41394</v>
      </c>
      <c r="EZ42">
        <v>29.827999999999999</v>
      </c>
      <c r="FA42" s="12">
        <v>41394</v>
      </c>
      <c r="FB42">
        <v>13.125999999999999</v>
      </c>
      <c r="FC42" s="12">
        <v>41394</v>
      </c>
      <c r="FD42">
        <v>21.62</v>
      </c>
      <c r="FG42" s="12">
        <v>41394</v>
      </c>
      <c r="FH42">
        <v>3.8279999999999998</v>
      </c>
      <c r="FI42" s="12">
        <v>41394</v>
      </c>
      <c r="FJ42">
        <v>10.247</v>
      </c>
      <c r="FK42" s="12">
        <v>41394</v>
      </c>
      <c r="FL42">
        <v>10.556000000000001</v>
      </c>
      <c r="FM42" s="12">
        <v>41394</v>
      </c>
      <c r="FN42">
        <v>5.7919999999999998</v>
      </c>
      <c r="FO42" s="12">
        <v>41394</v>
      </c>
      <c r="FP42">
        <v>13.002000000000001</v>
      </c>
      <c r="FQ42" s="12">
        <v>42886</v>
      </c>
      <c r="FR42">
        <v>14.728999999999999</v>
      </c>
      <c r="FS42" s="12">
        <v>41394</v>
      </c>
      <c r="FT42">
        <v>1.97</v>
      </c>
      <c r="FU42" s="12">
        <v>41394</v>
      </c>
      <c r="FV42">
        <v>10.167999999999999</v>
      </c>
      <c r="FW42" s="12">
        <v>41394</v>
      </c>
      <c r="FX42">
        <v>11.244</v>
      </c>
      <c r="FY42" s="12">
        <v>42247</v>
      </c>
      <c r="FZ42">
        <v>0.77900000000000003</v>
      </c>
      <c r="GA42" s="12">
        <v>41394</v>
      </c>
      <c r="GB42">
        <v>18.135999999999999</v>
      </c>
      <c r="GC42" s="12">
        <v>41394</v>
      </c>
      <c r="GD42">
        <v>16.599</v>
      </c>
      <c r="GE42" s="12">
        <v>42551</v>
      </c>
      <c r="GF42">
        <v>15.484999999999999</v>
      </c>
      <c r="GI42" s="12">
        <v>41394</v>
      </c>
      <c r="GJ42">
        <v>11.298999999999999</v>
      </c>
      <c r="GK42" s="12">
        <v>41394</v>
      </c>
      <c r="GL42">
        <v>32.673999999999999</v>
      </c>
      <c r="GM42" s="12">
        <v>41394</v>
      </c>
      <c r="GN42">
        <v>27.341000000000001</v>
      </c>
      <c r="GO42" s="12">
        <v>41880</v>
      </c>
      <c r="GP42">
        <v>1.0660000000000001</v>
      </c>
      <c r="GQ42" s="12">
        <v>41516</v>
      </c>
      <c r="GR42">
        <v>29.222000000000001</v>
      </c>
      <c r="GS42" s="12">
        <v>41394</v>
      </c>
      <c r="GT42">
        <v>355.5</v>
      </c>
      <c r="GW42" s="12">
        <v>41453</v>
      </c>
      <c r="GX42">
        <v>21.506</v>
      </c>
      <c r="GY42" s="12">
        <v>41394</v>
      </c>
      <c r="GZ42">
        <v>6.8100000000000005</v>
      </c>
      <c r="HA42" s="12">
        <v>41394</v>
      </c>
      <c r="HB42">
        <v>5.5369999999999999</v>
      </c>
      <c r="HC42" s="12">
        <v>41394</v>
      </c>
      <c r="HD42">
        <v>16.687000000000001</v>
      </c>
      <c r="HE42" s="12">
        <v>41394</v>
      </c>
      <c r="HF42">
        <v>19.773</v>
      </c>
      <c r="HG42" s="12">
        <v>41394</v>
      </c>
      <c r="HH42">
        <v>21.234000000000002</v>
      </c>
      <c r="HI42" s="12">
        <v>41394</v>
      </c>
      <c r="HJ42">
        <v>8.0259999999999998</v>
      </c>
      <c r="HK42" s="12">
        <v>41394</v>
      </c>
      <c r="HL42">
        <v>195</v>
      </c>
      <c r="HM42" s="12">
        <v>41394</v>
      </c>
      <c r="HN42">
        <v>41.182000000000002</v>
      </c>
      <c r="HO42" s="12">
        <v>41394</v>
      </c>
      <c r="HP42">
        <v>35.317</v>
      </c>
      <c r="HQ42" s="12">
        <v>41486</v>
      </c>
      <c r="HR42">
        <v>128</v>
      </c>
      <c r="HS42" s="12">
        <v>41394</v>
      </c>
      <c r="HT42">
        <v>104.417</v>
      </c>
      <c r="HU42" s="12">
        <v>41394</v>
      </c>
      <c r="HV42">
        <v>1039.1969999999999</v>
      </c>
      <c r="HW42" s="12">
        <v>41394</v>
      </c>
      <c r="HX42">
        <v>18.036999999999999</v>
      </c>
      <c r="HY42" s="12">
        <v>41394</v>
      </c>
      <c r="HZ42">
        <v>17.515999999999998</v>
      </c>
      <c r="IA42" s="12">
        <v>41394</v>
      </c>
      <c r="IB42">
        <v>94.938000000000002</v>
      </c>
      <c r="IC42" s="12">
        <v>41394</v>
      </c>
      <c r="ID42">
        <v>5.5090000000000003</v>
      </c>
      <c r="IE42" s="12">
        <v>41394</v>
      </c>
      <c r="IF42">
        <v>4.3</v>
      </c>
      <c r="IG42" s="12">
        <v>41698</v>
      </c>
      <c r="IH42">
        <v>5.35</v>
      </c>
      <c r="II42" s="12">
        <v>41394</v>
      </c>
      <c r="IJ42">
        <v>16.25</v>
      </c>
      <c r="IM42" s="12">
        <v>41394</v>
      </c>
      <c r="IN42">
        <v>16.760000000000002</v>
      </c>
      <c r="IO42" s="12">
        <v>41943</v>
      </c>
      <c r="IP42">
        <v>15.678000000000001</v>
      </c>
      <c r="IQ42" s="12">
        <v>41394</v>
      </c>
      <c r="IR42">
        <v>20.074999999999999</v>
      </c>
      <c r="IS42" s="12">
        <v>43312</v>
      </c>
      <c r="IT42">
        <v>14.85</v>
      </c>
      <c r="IU42" s="12">
        <v>41394</v>
      </c>
      <c r="IV42">
        <v>9.0269999999999992</v>
      </c>
      <c r="IY42" s="12">
        <v>41394</v>
      </c>
      <c r="IZ42">
        <v>8.8919999999999995</v>
      </c>
      <c r="JA42" s="12">
        <v>43159</v>
      </c>
      <c r="JB42">
        <v>10.14</v>
      </c>
      <c r="JC42" s="12">
        <v>41394</v>
      </c>
      <c r="JD42">
        <v>4.6509999999999998</v>
      </c>
      <c r="JE42" s="12">
        <v>41394</v>
      </c>
      <c r="JF42">
        <v>84.5</v>
      </c>
      <c r="JI42" s="12">
        <v>41394</v>
      </c>
      <c r="JJ42">
        <v>8.798</v>
      </c>
      <c r="JM42" s="12">
        <v>41394</v>
      </c>
      <c r="JN42">
        <v>1.393</v>
      </c>
      <c r="JO42" s="12">
        <v>41394</v>
      </c>
      <c r="JP42">
        <v>23.251000000000001</v>
      </c>
      <c r="JQ42" s="12">
        <v>42794</v>
      </c>
      <c r="JR42">
        <v>16.187999999999999</v>
      </c>
      <c r="JS42" s="12">
        <v>41394</v>
      </c>
      <c r="JT42">
        <v>6.665</v>
      </c>
      <c r="JU42" s="12">
        <v>42613</v>
      </c>
      <c r="JV42">
        <v>40.932000000000002</v>
      </c>
      <c r="JW42" s="12">
        <v>41394</v>
      </c>
      <c r="JX42">
        <v>8.3610000000000007</v>
      </c>
      <c r="JY42" s="12">
        <v>41394</v>
      </c>
      <c r="JZ42">
        <v>10.603999999999999</v>
      </c>
      <c r="KC42" s="12">
        <v>41394</v>
      </c>
      <c r="KD42">
        <v>6.6429999999999998</v>
      </c>
      <c r="KE42" s="12">
        <v>41394</v>
      </c>
      <c r="KF42">
        <v>10.436</v>
      </c>
      <c r="KI42" s="12">
        <v>41394</v>
      </c>
      <c r="KJ42">
        <v>6.77</v>
      </c>
      <c r="KO42" s="12">
        <v>41394</v>
      </c>
      <c r="KP42">
        <v>158.67599999999999</v>
      </c>
      <c r="KQ42" s="12">
        <v>41394</v>
      </c>
      <c r="KR42">
        <v>96.873000000000005</v>
      </c>
      <c r="KS42" s="12">
        <v>41394</v>
      </c>
      <c r="KT42">
        <v>10.875</v>
      </c>
      <c r="KU42" s="12">
        <v>41394</v>
      </c>
      <c r="KV42">
        <v>7.0179999999999998</v>
      </c>
      <c r="LC42" s="12">
        <v>41394</v>
      </c>
      <c r="LD42">
        <v>11.009</v>
      </c>
      <c r="LE42" s="12">
        <v>41394</v>
      </c>
      <c r="LF42">
        <v>5.4219999999999997</v>
      </c>
      <c r="LG42" s="12">
        <v>41394</v>
      </c>
      <c r="LH42">
        <v>16.292000000000002</v>
      </c>
      <c r="LI42" s="12">
        <v>41394</v>
      </c>
      <c r="LJ42">
        <v>22.393999999999998</v>
      </c>
      <c r="LM42" s="12">
        <v>41394</v>
      </c>
      <c r="LN42">
        <v>9.8230000000000004</v>
      </c>
      <c r="LO42" s="12">
        <v>41394</v>
      </c>
      <c r="LP42">
        <v>9.3520000000000003</v>
      </c>
      <c r="LQ42" s="12">
        <v>41394</v>
      </c>
      <c r="LR42">
        <v>26.449000000000002</v>
      </c>
      <c r="LS42" s="12">
        <v>41394</v>
      </c>
      <c r="LT42">
        <v>26.58</v>
      </c>
      <c r="LW42" s="12">
        <v>41394</v>
      </c>
      <c r="LX42">
        <v>545.62199999999996</v>
      </c>
      <c r="LY42" s="12">
        <v>41394</v>
      </c>
      <c r="LZ42">
        <v>33.216999999999999</v>
      </c>
      <c r="MA42" s="12">
        <v>41394</v>
      </c>
      <c r="MB42">
        <v>26.670999999999999</v>
      </c>
      <c r="MC42" s="12">
        <v>42853</v>
      </c>
      <c r="MD42">
        <v>11.853999999999999</v>
      </c>
      <c r="ME42" s="12">
        <v>41394</v>
      </c>
      <c r="MF42">
        <v>5.4130000000000003</v>
      </c>
      <c r="MG42" s="12">
        <v>41394</v>
      </c>
      <c r="MH42">
        <v>6.7110000000000003</v>
      </c>
      <c r="MI42" s="12">
        <v>43404</v>
      </c>
      <c r="MJ42">
        <v>6.0659999999999998</v>
      </c>
      <c r="MK42" s="12">
        <v>41394</v>
      </c>
      <c r="ML42">
        <v>12.08</v>
      </c>
    </row>
    <row r="43" spans="1:350" x14ac:dyDescent="0.3">
      <c r="A43" s="12">
        <v>41425</v>
      </c>
      <c r="B43" s="1">
        <v>13.207000000000001</v>
      </c>
      <c r="C43" s="12">
        <v>41789</v>
      </c>
      <c r="D43" s="1">
        <v>15.991</v>
      </c>
      <c r="E43" s="12">
        <v>41425</v>
      </c>
      <c r="F43" s="13">
        <v>10.644</v>
      </c>
      <c r="G43" s="17">
        <v>41425</v>
      </c>
      <c r="H43" s="13">
        <v>8.6219999999999999</v>
      </c>
      <c r="I43" s="17">
        <v>41453</v>
      </c>
      <c r="J43">
        <v>17.521999999999998</v>
      </c>
      <c r="K43" s="12">
        <v>42643</v>
      </c>
      <c r="L43">
        <v>14.397</v>
      </c>
      <c r="M43" s="12">
        <v>41425</v>
      </c>
      <c r="N43" s="12">
        <v>81.418999999999997</v>
      </c>
      <c r="O43" s="12">
        <v>41425</v>
      </c>
      <c r="P43">
        <v>32.200000000000003</v>
      </c>
      <c r="Q43" s="12">
        <v>42825</v>
      </c>
      <c r="R43">
        <v>13.182</v>
      </c>
      <c r="S43" s="12">
        <v>41425</v>
      </c>
      <c r="T43">
        <v>19.510999999999999</v>
      </c>
      <c r="U43" s="12">
        <v>41851</v>
      </c>
      <c r="V43">
        <v>23.783999999999999</v>
      </c>
      <c r="Y43" s="12">
        <v>41425</v>
      </c>
      <c r="Z43">
        <v>10.903</v>
      </c>
      <c r="AA43" s="12">
        <v>41425</v>
      </c>
      <c r="AB43">
        <v>16.571999999999999</v>
      </c>
      <c r="AC43" s="12">
        <v>41425</v>
      </c>
      <c r="AD43">
        <v>12.731</v>
      </c>
      <c r="AE43" s="12">
        <v>41425</v>
      </c>
      <c r="AF43">
        <v>11.96</v>
      </c>
      <c r="AG43" s="12">
        <v>41425</v>
      </c>
      <c r="AH43">
        <v>49.83</v>
      </c>
      <c r="AI43" s="12">
        <v>42643</v>
      </c>
      <c r="AJ43">
        <v>21.876999999999999</v>
      </c>
      <c r="AK43" s="12">
        <v>41425</v>
      </c>
      <c r="AL43">
        <v>10.265000000000001</v>
      </c>
      <c r="AO43" s="12">
        <v>41425</v>
      </c>
      <c r="AP43">
        <v>1.69</v>
      </c>
      <c r="AS43" s="12">
        <v>41425</v>
      </c>
      <c r="AT43">
        <v>5.9980000000000002</v>
      </c>
      <c r="AU43" s="12">
        <v>41425</v>
      </c>
      <c r="AV43">
        <v>15.029</v>
      </c>
      <c r="AY43" s="12">
        <v>41425</v>
      </c>
      <c r="AZ43">
        <v>46.613</v>
      </c>
      <c r="BA43" s="12">
        <v>41425</v>
      </c>
      <c r="BB43">
        <v>12.47</v>
      </c>
      <c r="BC43" s="12">
        <v>41425</v>
      </c>
      <c r="BD43">
        <v>12.885999999999999</v>
      </c>
      <c r="BE43" s="12">
        <v>41516</v>
      </c>
      <c r="BF43">
        <v>9.5570000000000004</v>
      </c>
      <c r="BG43" s="12">
        <v>41425</v>
      </c>
      <c r="BH43">
        <v>10.007999999999999</v>
      </c>
      <c r="BI43" s="12">
        <v>41425</v>
      </c>
      <c r="BJ43">
        <v>8.6329999999999991</v>
      </c>
      <c r="BK43" s="12">
        <v>41425</v>
      </c>
      <c r="BL43">
        <v>13.909000000000001</v>
      </c>
      <c r="BM43" s="12">
        <v>41425</v>
      </c>
      <c r="BN43">
        <v>12.426</v>
      </c>
      <c r="BO43" s="12">
        <v>41425</v>
      </c>
      <c r="BP43">
        <v>11.96</v>
      </c>
      <c r="BQ43" s="12">
        <v>41425</v>
      </c>
      <c r="BR43">
        <v>9.5510000000000002</v>
      </c>
      <c r="BS43" s="12">
        <v>41425</v>
      </c>
      <c r="BT43">
        <v>9.3450000000000006</v>
      </c>
      <c r="BW43" s="12">
        <v>41425</v>
      </c>
      <c r="BX43">
        <v>6.7169999999999996</v>
      </c>
      <c r="BY43" s="12">
        <v>41425</v>
      </c>
      <c r="BZ43">
        <v>18.936</v>
      </c>
      <c r="CA43" s="12">
        <v>41425</v>
      </c>
      <c r="CB43">
        <v>22.559000000000001</v>
      </c>
      <c r="CE43" s="12">
        <v>41425</v>
      </c>
      <c r="CF43">
        <v>25.920999999999999</v>
      </c>
      <c r="CG43" s="12">
        <v>41425</v>
      </c>
      <c r="CH43">
        <v>34.238999999999997</v>
      </c>
      <c r="CI43" s="12">
        <v>41425</v>
      </c>
      <c r="CJ43">
        <v>33.39</v>
      </c>
      <c r="CK43" s="12">
        <v>41425</v>
      </c>
      <c r="CL43">
        <v>5.23</v>
      </c>
      <c r="CM43" s="12">
        <v>41425</v>
      </c>
      <c r="CN43">
        <v>19.602</v>
      </c>
      <c r="CO43" s="12">
        <v>42886</v>
      </c>
      <c r="CP43">
        <v>29.257000000000001</v>
      </c>
      <c r="CQ43" s="12">
        <v>41425</v>
      </c>
      <c r="CR43">
        <v>13.262</v>
      </c>
      <c r="CS43" s="12">
        <v>41425</v>
      </c>
      <c r="CT43">
        <v>10.765000000000001</v>
      </c>
      <c r="CU43" s="12">
        <v>41425</v>
      </c>
      <c r="CV43">
        <v>11.308</v>
      </c>
      <c r="CW43" s="12">
        <v>41425</v>
      </c>
      <c r="CX43">
        <v>10.657</v>
      </c>
      <c r="CY43" s="12">
        <v>41516</v>
      </c>
      <c r="CZ43">
        <v>10.981</v>
      </c>
      <c r="DA43" s="12">
        <v>41425</v>
      </c>
      <c r="DB43">
        <v>19.786000000000001</v>
      </c>
      <c r="DC43" s="12">
        <v>41425</v>
      </c>
      <c r="DD43">
        <v>5.2160000000000002</v>
      </c>
      <c r="DE43" s="12">
        <v>41425</v>
      </c>
      <c r="DF43">
        <v>7.5640000000000001</v>
      </c>
      <c r="DG43" s="12">
        <v>42062</v>
      </c>
      <c r="DH43">
        <v>10.516</v>
      </c>
      <c r="DI43" s="12">
        <v>41425</v>
      </c>
      <c r="DJ43">
        <v>6.9790000000000001</v>
      </c>
      <c r="DK43" s="12">
        <v>41425</v>
      </c>
      <c r="DL43">
        <v>18.376000000000001</v>
      </c>
      <c r="DM43" s="12">
        <v>41851</v>
      </c>
      <c r="DN43">
        <v>5.875</v>
      </c>
      <c r="DO43" s="12">
        <v>41425</v>
      </c>
      <c r="DP43">
        <v>8.8699999999999992</v>
      </c>
      <c r="DQ43" s="12">
        <v>41425</v>
      </c>
      <c r="DR43">
        <v>527.39400000000001</v>
      </c>
      <c r="DS43" s="12">
        <v>41425</v>
      </c>
      <c r="DT43">
        <v>10.553000000000001</v>
      </c>
      <c r="DU43" s="12">
        <v>41425</v>
      </c>
      <c r="DV43">
        <v>3.7890000000000001</v>
      </c>
      <c r="DW43" s="12">
        <v>41425</v>
      </c>
      <c r="DX43">
        <v>7.0549999999999997</v>
      </c>
      <c r="DY43" s="12">
        <v>41425</v>
      </c>
      <c r="DZ43">
        <v>14.983000000000001</v>
      </c>
      <c r="EC43" s="12">
        <v>41425</v>
      </c>
      <c r="ED43">
        <v>19.420999999999999</v>
      </c>
      <c r="EE43" s="12">
        <v>41425</v>
      </c>
      <c r="EF43">
        <v>7.3440000000000003</v>
      </c>
      <c r="EG43" s="12">
        <v>41425</v>
      </c>
      <c r="EH43">
        <v>18.303999999999998</v>
      </c>
      <c r="EI43" s="12">
        <v>41425</v>
      </c>
      <c r="EJ43">
        <v>26.798000000000002</v>
      </c>
      <c r="EK43" s="12">
        <v>41425</v>
      </c>
      <c r="EL43">
        <v>10.449</v>
      </c>
      <c r="EM43" s="12">
        <v>41425</v>
      </c>
      <c r="EN43">
        <v>11.622999999999999</v>
      </c>
      <c r="EQ43" s="12">
        <v>41425</v>
      </c>
      <c r="ER43">
        <v>14.827</v>
      </c>
      <c r="ES43" s="12">
        <v>41425</v>
      </c>
      <c r="ET43">
        <v>9.31</v>
      </c>
      <c r="EU43" s="12">
        <v>41425</v>
      </c>
      <c r="EV43">
        <v>4.68</v>
      </c>
      <c r="EY43" s="12">
        <v>41425</v>
      </c>
      <c r="EZ43">
        <v>28.071000000000002</v>
      </c>
      <c r="FA43" s="12">
        <v>41425</v>
      </c>
      <c r="FB43">
        <v>14.164</v>
      </c>
      <c r="FC43" s="12">
        <v>41425</v>
      </c>
      <c r="FD43">
        <v>22.33</v>
      </c>
      <c r="FG43" s="12">
        <v>41425</v>
      </c>
      <c r="FH43">
        <v>4.0049999999999999</v>
      </c>
      <c r="FI43" s="12">
        <v>41425</v>
      </c>
      <c r="FJ43">
        <v>10.45</v>
      </c>
      <c r="FK43" s="12">
        <v>41425</v>
      </c>
      <c r="FL43">
        <v>11.189</v>
      </c>
      <c r="FM43" s="12">
        <v>41425</v>
      </c>
      <c r="FN43">
        <v>6.3449999999999998</v>
      </c>
      <c r="FO43" s="12">
        <v>41425</v>
      </c>
      <c r="FP43">
        <v>15.952999999999999</v>
      </c>
      <c r="FQ43" s="12">
        <v>42916</v>
      </c>
      <c r="FR43">
        <v>14.314</v>
      </c>
      <c r="FS43" s="12">
        <v>41425</v>
      </c>
      <c r="FT43">
        <v>1.8759999999999999</v>
      </c>
      <c r="FU43" s="12">
        <v>41425</v>
      </c>
      <c r="FV43">
        <v>10.061</v>
      </c>
      <c r="FW43" s="12">
        <v>41425</v>
      </c>
      <c r="FX43">
        <v>11.007999999999999</v>
      </c>
      <c r="FY43" s="12">
        <v>42277</v>
      </c>
      <c r="FZ43">
        <v>0.82499999999999996</v>
      </c>
      <c r="GA43" s="12">
        <v>41425</v>
      </c>
      <c r="GB43">
        <v>17.367999999999999</v>
      </c>
      <c r="GC43" s="12">
        <v>41425</v>
      </c>
      <c r="GD43">
        <v>14.274000000000001</v>
      </c>
      <c r="GE43" s="12">
        <v>42580</v>
      </c>
      <c r="GF43">
        <v>17.734999999999999</v>
      </c>
      <c r="GI43" s="12">
        <v>41425</v>
      </c>
      <c r="GJ43">
        <v>11.04</v>
      </c>
      <c r="GK43" s="12">
        <v>41425</v>
      </c>
      <c r="GL43">
        <v>31.861000000000001</v>
      </c>
      <c r="GM43" s="12">
        <v>41425</v>
      </c>
      <c r="GN43">
        <v>28.88</v>
      </c>
      <c r="GO43" s="12">
        <v>41912</v>
      </c>
      <c r="GP43">
        <v>0.89800000000000002</v>
      </c>
      <c r="GQ43" s="12">
        <v>41547</v>
      </c>
      <c r="GR43">
        <v>29.972000000000001</v>
      </c>
      <c r="GS43" s="12">
        <v>41425</v>
      </c>
      <c r="GT43">
        <v>252</v>
      </c>
      <c r="GW43" s="12">
        <v>41486</v>
      </c>
      <c r="GX43">
        <v>20.39</v>
      </c>
      <c r="GY43" s="12">
        <v>41425</v>
      </c>
      <c r="GZ43">
        <v>7.58</v>
      </c>
      <c r="HA43" s="12">
        <v>41425</v>
      </c>
      <c r="HB43">
        <v>4.4489999999999998</v>
      </c>
      <c r="HC43" s="12">
        <v>41425</v>
      </c>
      <c r="HD43">
        <v>16.391999999999999</v>
      </c>
      <c r="HE43" s="12">
        <v>41425</v>
      </c>
      <c r="HF43">
        <v>21.288</v>
      </c>
      <c r="HG43" s="12">
        <v>41425</v>
      </c>
      <c r="HH43">
        <v>21.254999999999999</v>
      </c>
      <c r="HI43" s="12">
        <v>41425</v>
      </c>
      <c r="HJ43">
        <v>8.0220000000000002</v>
      </c>
      <c r="HK43" s="12">
        <v>41425</v>
      </c>
      <c r="HL43">
        <v>138</v>
      </c>
      <c r="HM43" s="12">
        <v>41425</v>
      </c>
      <c r="HN43">
        <v>29.995000000000001</v>
      </c>
      <c r="HO43" s="12">
        <v>41425</v>
      </c>
      <c r="HP43">
        <v>28.324999999999999</v>
      </c>
      <c r="HQ43" s="12">
        <v>41516</v>
      </c>
      <c r="HR43">
        <v>73</v>
      </c>
      <c r="HS43" s="12">
        <v>41425</v>
      </c>
      <c r="HT43">
        <v>97.924999999999997</v>
      </c>
      <c r="HU43" s="12">
        <v>41425</v>
      </c>
      <c r="HV43">
        <v>1048.2729999999999</v>
      </c>
      <c r="HW43" s="12">
        <v>41425</v>
      </c>
      <c r="HX43">
        <v>17.838999999999999</v>
      </c>
      <c r="HY43" s="12">
        <v>41425</v>
      </c>
      <c r="HZ43">
        <v>17.481000000000002</v>
      </c>
      <c r="IA43" s="12">
        <v>41425</v>
      </c>
      <c r="IB43">
        <v>93.805999999999997</v>
      </c>
      <c r="IC43" s="12">
        <v>41425</v>
      </c>
      <c r="ID43">
        <v>5.6890000000000001</v>
      </c>
      <c r="IE43" s="12">
        <v>41425</v>
      </c>
      <c r="IF43">
        <v>4.4390000000000001</v>
      </c>
      <c r="IG43" s="12">
        <v>41729</v>
      </c>
      <c r="IH43">
        <v>4.6500000000000004</v>
      </c>
      <c r="II43" s="12">
        <v>41425</v>
      </c>
      <c r="IJ43">
        <v>13.952</v>
      </c>
      <c r="IM43" s="12">
        <v>41425</v>
      </c>
      <c r="IN43">
        <v>17.600999999999999</v>
      </c>
      <c r="IO43" s="12">
        <v>41971</v>
      </c>
      <c r="IP43">
        <v>17.295999999999999</v>
      </c>
      <c r="IQ43" s="12">
        <v>41425</v>
      </c>
      <c r="IR43">
        <v>21.407</v>
      </c>
      <c r="IS43" s="12">
        <v>43343</v>
      </c>
      <c r="IT43">
        <v>14.23</v>
      </c>
      <c r="IU43" s="12">
        <v>41425</v>
      </c>
      <c r="IV43">
        <v>8.8896999999999995</v>
      </c>
      <c r="IY43" s="12">
        <v>41425</v>
      </c>
      <c r="IZ43">
        <v>8.6579999999999995</v>
      </c>
      <c r="JA43" s="12">
        <v>43189</v>
      </c>
      <c r="JB43">
        <v>10.050000000000001</v>
      </c>
      <c r="JC43" s="12">
        <v>41425</v>
      </c>
      <c r="JD43">
        <v>5.0380000000000003</v>
      </c>
      <c r="JE43" s="12">
        <v>41425</v>
      </c>
      <c r="JF43">
        <v>86.25</v>
      </c>
      <c r="JI43" s="12">
        <v>41425</v>
      </c>
      <c r="JJ43">
        <v>9.1340000000000003</v>
      </c>
      <c r="JM43" s="12">
        <v>41425</v>
      </c>
      <c r="JN43">
        <v>1.569</v>
      </c>
      <c r="JO43" s="12">
        <v>41425</v>
      </c>
      <c r="JP43">
        <v>22.202000000000002</v>
      </c>
      <c r="JQ43" s="12">
        <v>42825</v>
      </c>
      <c r="JR43">
        <v>17.815999999999999</v>
      </c>
      <c r="JS43" s="12">
        <v>41425</v>
      </c>
      <c r="JT43">
        <v>7.1779999999999999</v>
      </c>
      <c r="JU43" s="12">
        <v>42643</v>
      </c>
      <c r="JV43">
        <v>43.918999999999997</v>
      </c>
      <c r="JW43" s="12">
        <v>41425</v>
      </c>
      <c r="JX43">
        <v>8.4789999999999992</v>
      </c>
      <c r="JY43" s="12">
        <v>41425</v>
      </c>
      <c r="JZ43">
        <v>9.9139999999999997</v>
      </c>
      <c r="KC43" s="12">
        <v>41425</v>
      </c>
      <c r="KD43">
        <v>7.1459999999999999</v>
      </c>
      <c r="KE43" s="12">
        <v>41425</v>
      </c>
      <c r="KF43">
        <v>11.016</v>
      </c>
      <c r="KI43" s="12">
        <v>41425</v>
      </c>
      <c r="KJ43">
        <v>7.048</v>
      </c>
      <c r="KO43" s="12">
        <v>41425</v>
      </c>
      <c r="KP43">
        <v>165.511</v>
      </c>
      <c r="KQ43" s="12">
        <v>41425</v>
      </c>
      <c r="KR43">
        <v>104.804</v>
      </c>
      <c r="KS43" s="12">
        <v>41425</v>
      </c>
      <c r="KT43">
        <v>12.595000000000001</v>
      </c>
      <c r="KU43" s="12">
        <v>41425</v>
      </c>
      <c r="KV43">
        <v>7.0369999999999999</v>
      </c>
      <c r="LC43" s="12">
        <v>41425</v>
      </c>
      <c r="LD43">
        <v>10.994</v>
      </c>
      <c r="LE43" s="12">
        <v>41425</v>
      </c>
      <c r="LF43">
        <v>5.7910000000000004</v>
      </c>
      <c r="LG43" s="12">
        <v>41425</v>
      </c>
      <c r="LH43">
        <v>14.441000000000001</v>
      </c>
      <c r="LI43" s="12">
        <v>41425</v>
      </c>
      <c r="LJ43">
        <v>22.684000000000001</v>
      </c>
      <c r="LM43" s="12">
        <v>41425</v>
      </c>
      <c r="LN43">
        <v>8.73</v>
      </c>
      <c r="LO43" s="12">
        <v>41425</v>
      </c>
      <c r="LP43">
        <v>8.4410000000000007</v>
      </c>
      <c r="LQ43" s="12">
        <v>41425</v>
      </c>
      <c r="LR43">
        <v>23.515000000000001</v>
      </c>
      <c r="LS43" s="12">
        <v>41425</v>
      </c>
      <c r="LT43">
        <v>23.331</v>
      </c>
      <c r="LW43" s="12">
        <v>41425</v>
      </c>
      <c r="LX43">
        <v>453.286</v>
      </c>
      <c r="LY43" s="12">
        <v>41425</v>
      </c>
      <c r="LZ43">
        <v>32.960999999999999</v>
      </c>
      <c r="MA43" s="12">
        <v>41425</v>
      </c>
      <c r="MB43">
        <v>26.192</v>
      </c>
      <c r="MC43" s="12">
        <v>42886</v>
      </c>
      <c r="MD43">
        <v>10.162000000000001</v>
      </c>
      <c r="ME43" s="12">
        <v>41425</v>
      </c>
      <c r="MF43">
        <v>6.0780000000000003</v>
      </c>
      <c r="MG43" s="12">
        <v>41425</v>
      </c>
      <c r="MH43">
        <v>7.2510000000000003</v>
      </c>
      <c r="MI43" s="12">
        <v>43434</v>
      </c>
      <c r="MJ43">
        <v>5.6239999999999997</v>
      </c>
      <c r="MK43" s="12">
        <v>41425</v>
      </c>
      <c r="ML43">
        <v>12.721</v>
      </c>
    </row>
    <row r="44" spans="1:350" x14ac:dyDescent="0.3">
      <c r="A44" s="12">
        <v>41453</v>
      </c>
      <c r="B44" s="1">
        <v>13.461</v>
      </c>
      <c r="C44" s="12">
        <v>41820</v>
      </c>
      <c r="D44" s="1">
        <v>18.399999999999999</v>
      </c>
      <c r="E44" s="12">
        <v>41453</v>
      </c>
      <c r="F44" s="13">
        <v>9.4550000000000001</v>
      </c>
      <c r="G44" s="17">
        <v>41453</v>
      </c>
      <c r="H44" s="13">
        <v>8.2609999999999992</v>
      </c>
      <c r="I44" s="17">
        <v>41486</v>
      </c>
      <c r="J44">
        <v>18.905000000000001</v>
      </c>
      <c r="K44" s="12">
        <v>42674</v>
      </c>
      <c r="L44">
        <v>16.542999999999999</v>
      </c>
      <c r="M44" s="12">
        <v>41453</v>
      </c>
      <c r="N44" s="12">
        <v>81.944999999999993</v>
      </c>
      <c r="Q44" s="12">
        <v>42853</v>
      </c>
      <c r="R44">
        <v>13.243</v>
      </c>
      <c r="S44" s="12">
        <v>41453</v>
      </c>
      <c r="T44">
        <v>18.893000000000001</v>
      </c>
      <c r="U44" s="12">
        <v>41880</v>
      </c>
      <c r="V44">
        <v>26.701000000000001</v>
      </c>
      <c r="Y44" s="12">
        <v>41453</v>
      </c>
      <c r="Z44">
        <v>9.5909999999999993</v>
      </c>
      <c r="AA44" s="12">
        <v>41453</v>
      </c>
      <c r="AB44">
        <v>14.615</v>
      </c>
      <c r="AC44" s="12">
        <v>41453</v>
      </c>
      <c r="AD44">
        <v>10.986000000000001</v>
      </c>
      <c r="AE44" s="12">
        <v>41453</v>
      </c>
      <c r="AF44">
        <v>10.113</v>
      </c>
      <c r="AG44" s="12">
        <v>41453</v>
      </c>
      <c r="AH44">
        <v>49.453000000000003</v>
      </c>
      <c r="AI44" s="12">
        <v>42674</v>
      </c>
      <c r="AJ44">
        <v>23.532</v>
      </c>
      <c r="AK44" s="12">
        <v>41453</v>
      </c>
      <c r="AL44">
        <v>10.099</v>
      </c>
      <c r="AO44" s="12">
        <v>41453</v>
      </c>
      <c r="AP44">
        <v>1.5</v>
      </c>
      <c r="AS44" s="12">
        <v>41453</v>
      </c>
      <c r="AT44">
        <v>4.9669999999999996</v>
      </c>
      <c r="AU44" s="12">
        <v>41453</v>
      </c>
      <c r="AV44">
        <v>13.762</v>
      </c>
      <c r="AY44" s="12">
        <v>41453</v>
      </c>
      <c r="AZ44">
        <v>45.24</v>
      </c>
      <c r="BA44" s="12">
        <v>41453</v>
      </c>
      <c r="BB44">
        <v>12.291</v>
      </c>
      <c r="BC44" s="12">
        <v>41453</v>
      </c>
      <c r="BD44">
        <v>11.702999999999999</v>
      </c>
      <c r="BE44" s="12">
        <v>41547</v>
      </c>
      <c r="BF44">
        <v>10.372999999999999</v>
      </c>
      <c r="BG44" s="12">
        <v>41453</v>
      </c>
      <c r="BH44">
        <v>9.0909999999999993</v>
      </c>
      <c r="BI44" s="12">
        <v>41453</v>
      </c>
      <c r="BJ44">
        <v>5.6829999999999998</v>
      </c>
      <c r="BK44" s="12">
        <v>41453</v>
      </c>
      <c r="BL44">
        <v>12.599</v>
      </c>
      <c r="BM44" s="12">
        <v>41453</v>
      </c>
      <c r="BN44">
        <v>11.625999999999999</v>
      </c>
      <c r="BO44" s="12">
        <v>41453</v>
      </c>
      <c r="BP44">
        <v>12.178000000000001</v>
      </c>
      <c r="BQ44" s="12">
        <v>41453</v>
      </c>
      <c r="BR44">
        <v>8.6039999999999992</v>
      </c>
      <c r="BS44" s="12">
        <v>41453</v>
      </c>
      <c r="BT44">
        <v>8.5939999999999994</v>
      </c>
      <c r="BW44" s="12">
        <v>41453</v>
      </c>
      <c r="BX44">
        <v>6.6</v>
      </c>
      <c r="BY44" s="12">
        <v>41453</v>
      </c>
      <c r="BZ44">
        <v>17.422000000000001</v>
      </c>
      <c r="CA44" s="12">
        <v>41453</v>
      </c>
      <c r="CB44">
        <v>19.009</v>
      </c>
      <c r="CE44" s="12">
        <v>41453</v>
      </c>
      <c r="CF44">
        <v>24.437999999999999</v>
      </c>
      <c r="CG44" s="12">
        <v>41453</v>
      </c>
      <c r="CH44">
        <v>31.315000000000001</v>
      </c>
      <c r="CI44" s="12">
        <v>41453</v>
      </c>
      <c r="CJ44">
        <v>27.239000000000001</v>
      </c>
      <c r="CK44" s="12">
        <v>41453</v>
      </c>
      <c r="CL44">
        <v>4.7229999999999999</v>
      </c>
      <c r="CM44" s="12">
        <v>41453</v>
      </c>
      <c r="CN44">
        <v>19.315999999999999</v>
      </c>
      <c r="CO44" s="12">
        <v>42916</v>
      </c>
      <c r="CP44">
        <v>31.588000000000001</v>
      </c>
      <c r="CQ44" s="12">
        <v>41453</v>
      </c>
      <c r="CR44">
        <v>11.967000000000001</v>
      </c>
      <c r="CS44" s="12">
        <v>41453</v>
      </c>
      <c r="CT44">
        <v>11.221</v>
      </c>
      <c r="CU44" s="12">
        <v>41453</v>
      </c>
      <c r="CV44">
        <v>9.218</v>
      </c>
      <c r="CW44" s="12">
        <v>41453</v>
      </c>
      <c r="CX44">
        <v>9.2309999999999999</v>
      </c>
      <c r="CY44" s="12">
        <v>41547</v>
      </c>
      <c r="CZ44">
        <v>10.881</v>
      </c>
      <c r="DA44" s="12">
        <v>41453</v>
      </c>
      <c r="DB44">
        <v>18.565000000000001</v>
      </c>
      <c r="DC44" s="12">
        <v>41453</v>
      </c>
      <c r="DD44">
        <v>4.2850000000000001</v>
      </c>
      <c r="DE44" s="12">
        <v>41453</v>
      </c>
      <c r="DF44">
        <v>6.5960000000000001</v>
      </c>
      <c r="DG44" s="12">
        <v>42094</v>
      </c>
      <c r="DH44">
        <v>13.393000000000001</v>
      </c>
      <c r="DI44" s="12">
        <v>41453</v>
      </c>
      <c r="DJ44">
        <v>5.7930000000000001</v>
      </c>
      <c r="DK44" s="12">
        <v>41453</v>
      </c>
      <c r="DL44">
        <v>19.326000000000001</v>
      </c>
      <c r="DM44" s="12">
        <v>41880</v>
      </c>
      <c r="DN44">
        <v>6.0069999999999997</v>
      </c>
      <c r="DO44" s="12">
        <v>41453</v>
      </c>
      <c r="DP44">
        <v>7.944</v>
      </c>
      <c r="DQ44" s="12">
        <v>41453</v>
      </c>
      <c r="DR44">
        <v>419.13900000000001</v>
      </c>
      <c r="DS44" s="12">
        <v>41453</v>
      </c>
      <c r="DT44">
        <v>9.7650000000000006</v>
      </c>
      <c r="DU44" s="12">
        <v>41453</v>
      </c>
      <c r="DV44">
        <v>3.3420000000000001</v>
      </c>
      <c r="DW44" s="12">
        <v>41453</v>
      </c>
      <c r="DX44">
        <v>6.6980000000000004</v>
      </c>
      <c r="DY44" s="12">
        <v>41453</v>
      </c>
      <c r="DZ44">
        <v>13.901</v>
      </c>
      <c r="EC44" s="12">
        <v>41453</v>
      </c>
      <c r="ED44">
        <v>20.454000000000001</v>
      </c>
      <c r="EE44" s="12">
        <v>41453</v>
      </c>
      <c r="EF44">
        <v>6.6760000000000002</v>
      </c>
      <c r="EG44" s="12">
        <v>41453</v>
      </c>
      <c r="EH44">
        <v>16.594999999999999</v>
      </c>
      <c r="EI44" s="12">
        <v>41453</v>
      </c>
      <c r="EJ44">
        <v>20.256</v>
      </c>
      <c r="EK44" s="12">
        <v>41453</v>
      </c>
      <c r="EL44">
        <v>9.6690000000000005</v>
      </c>
      <c r="EM44" s="12">
        <v>41453</v>
      </c>
      <c r="EN44">
        <v>11.231</v>
      </c>
      <c r="EQ44" s="12">
        <v>41453</v>
      </c>
      <c r="ER44">
        <v>14.282999999999999</v>
      </c>
      <c r="ES44" s="12">
        <v>41453</v>
      </c>
      <c r="ET44">
        <v>7.17</v>
      </c>
      <c r="EU44" s="12">
        <v>41453</v>
      </c>
      <c r="EV44">
        <v>4.8369999999999997</v>
      </c>
      <c r="EY44" s="12">
        <v>41453</v>
      </c>
      <c r="EZ44">
        <v>22.908000000000001</v>
      </c>
      <c r="FA44" s="12">
        <v>41453</v>
      </c>
      <c r="FB44">
        <v>12.035</v>
      </c>
      <c r="FC44" s="12">
        <v>41453</v>
      </c>
      <c r="FD44">
        <v>19.774999999999999</v>
      </c>
      <c r="FG44" s="12">
        <v>41453</v>
      </c>
      <c r="FH44">
        <v>3.5300000000000002</v>
      </c>
      <c r="FI44" s="12">
        <v>41453</v>
      </c>
      <c r="FJ44">
        <v>9.66</v>
      </c>
      <c r="FK44" s="12">
        <v>41453</v>
      </c>
      <c r="FL44">
        <v>9.94</v>
      </c>
      <c r="FM44" s="12">
        <v>41453</v>
      </c>
      <c r="FN44">
        <v>5.8639999999999999</v>
      </c>
      <c r="FO44" s="12">
        <v>41453</v>
      </c>
      <c r="FP44">
        <v>16.751000000000001</v>
      </c>
      <c r="FQ44" s="12">
        <v>42947</v>
      </c>
      <c r="FR44">
        <v>14.111000000000001</v>
      </c>
      <c r="FS44" s="12">
        <v>41453</v>
      </c>
      <c r="FT44">
        <v>1.605</v>
      </c>
      <c r="FU44" s="12">
        <v>41453</v>
      </c>
      <c r="FV44">
        <v>8.5419999999999998</v>
      </c>
      <c r="FW44" s="12">
        <v>41453</v>
      </c>
      <c r="FX44">
        <v>9.9809999999999999</v>
      </c>
      <c r="FY44" s="12">
        <v>42307</v>
      </c>
      <c r="FZ44">
        <v>0.93799999999999994</v>
      </c>
      <c r="GA44" s="12">
        <v>41453</v>
      </c>
      <c r="GB44">
        <v>16.402000000000001</v>
      </c>
      <c r="GC44" s="12">
        <v>41453</v>
      </c>
      <c r="GD44">
        <v>12.778</v>
      </c>
      <c r="GE44" s="12">
        <v>42613</v>
      </c>
      <c r="GF44">
        <v>16.728999999999999</v>
      </c>
      <c r="GI44" s="12">
        <v>41453</v>
      </c>
      <c r="GJ44">
        <v>9.4930000000000003</v>
      </c>
      <c r="GK44" s="12">
        <v>41453</v>
      </c>
      <c r="GL44">
        <v>29.24</v>
      </c>
      <c r="GM44" s="12">
        <v>41453</v>
      </c>
      <c r="GN44">
        <v>25.651</v>
      </c>
      <c r="GO44" s="12">
        <v>41943</v>
      </c>
      <c r="GP44">
        <v>0.97699999999999998</v>
      </c>
      <c r="GQ44" s="12">
        <v>41578</v>
      </c>
      <c r="GR44">
        <v>30.702999999999999</v>
      </c>
      <c r="GS44" s="12">
        <v>41453</v>
      </c>
      <c r="GT44">
        <v>220.5</v>
      </c>
      <c r="GW44" s="12">
        <v>41516</v>
      </c>
      <c r="GX44">
        <v>17.460999999999999</v>
      </c>
      <c r="GY44" s="12">
        <v>41453</v>
      </c>
      <c r="GZ44">
        <v>7.5</v>
      </c>
      <c r="HA44" s="12">
        <v>41453</v>
      </c>
      <c r="HB44">
        <v>4.3220000000000001</v>
      </c>
      <c r="HC44" s="12">
        <v>41453</v>
      </c>
      <c r="HD44">
        <v>15.231</v>
      </c>
      <c r="HE44" s="12">
        <v>41453</v>
      </c>
      <c r="HF44">
        <v>19.724</v>
      </c>
      <c r="HG44" s="12">
        <v>41453</v>
      </c>
      <c r="HH44">
        <v>19.989999999999998</v>
      </c>
      <c r="HI44" s="12">
        <v>41453</v>
      </c>
      <c r="HJ44">
        <v>7.3559999999999999</v>
      </c>
      <c r="HK44" s="12">
        <v>41453</v>
      </c>
      <c r="HL44">
        <v>79</v>
      </c>
      <c r="HM44" s="12">
        <v>41453</v>
      </c>
      <c r="HN44">
        <v>30.763999999999999</v>
      </c>
      <c r="HO44" s="12">
        <v>41453</v>
      </c>
      <c r="HP44">
        <v>27.969000000000001</v>
      </c>
      <c r="HQ44" s="12">
        <v>41547</v>
      </c>
      <c r="HR44">
        <v>59</v>
      </c>
      <c r="HS44" s="12">
        <v>41453</v>
      </c>
      <c r="HT44">
        <v>93.971999999999994</v>
      </c>
      <c r="HU44" s="12">
        <v>41453</v>
      </c>
      <c r="HV44">
        <v>957.51400000000001</v>
      </c>
      <c r="HW44" s="12">
        <v>41453</v>
      </c>
      <c r="HX44">
        <v>13.927</v>
      </c>
      <c r="HY44" s="12">
        <v>41453</v>
      </c>
      <c r="HZ44">
        <v>14.106999999999999</v>
      </c>
      <c r="IA44" s="12">
        <v>41453</v>
      </c>
      <c r="IB44">
        <v>72.619</v>
      </c>
      <c r="IC44" s="12">
        <v>41453</v>
      </c>
      <c r="ID44">
        <v>5.226</v>
      </c>
      <c r="IE44" s="12">
        <v>41453</v>
      </c>
      <c r="IF44">
        <v>3.6550000000000002</v>
      </c>
      <c r="IG44" s="12">
        <v>41759</v>
      </c>
      <c r="IH44">
        <v>3.2</v>
      </c>
      <c r="II44" s="12">
        <v>41453</v>
      </c>
      <c r="IJ44">
        <v>8.125</v>
      </c>
      <c r="IM44" s="12">
        <v>41453</v>
      </c>
      <c r="IN44">
        <v>15.818999999999999</v>
      </c>
      <c r="IO44" s="12">
        <v>42004</v>
      </c>
      <c r="IP44">
        <v>17.295999999999999</v>
      </c>
      <c r="IQ44" s="12">
        <v>41453</v>
      </c>
      <c r="IR44">
        <v>20.216999999999999</v>
      </c>
      <c r="IS44" s="12">
        <v>43371</v>
      </c>
      <c r="IT44">
        <v>14.98</v>
      </c>
      <c r="IU44" s="12">
        <v>41453</v>
      </c>
      <c r="IV44">
        <v>8.3734999999999999</v>
      </c>
      <c r="IY44" s="12">
        <v>41453</v>
      </c>
      <c r="IZ44">
        <v>8.3109999999999999</v>
      </c>
      <c r="JA44" s="12">
        <v>43220</v>
      </c>
      <c r="JB44">
        <v>10.9</v>
      </c>
      <c r="JC44" s="12">
        <v>41453</v>
      </c>
      <c r="JD44">
        <v>5.4260000000000002</v>
      </c>
      <c r="JE44" s="12">
        <v>41453</v>
      </c>
      <c r="JF44">
        <v>73</v>
      </c>
      <c r="JI44" s="12">
        <v>41453</v>
      </c>
      <c r="JJ44">
        <v>8.2319999999999993</v>
      </c>
      <c r="JM44" s="12">
        <v>41453</v>
      </c>
      <c r="JN44">
        <v>1.196</v>
      </c>
      <c r="JO44" s="12">
        <v>41453</v>
      </c>
      <c r="JP44">
        <v>19.088000000000001</v>
      </c>
      <c r="JQ44" s="12">
        <v>42853</v>
      </c>
      <c r="JR44">
        <v>21.292000000000002</v>
      </c>
      <c r="JS44" s="12">
        <v>41453</v>
      </c>
      <c r="JT44">
        <v>7.133</v>
      </c>
      <c r="JU44" s="12">
        <v>42674</v>
      </c>
      <c r="JV44">
        <v>47.543999999999997</v>
      </c>
      <c r="JW44" s="12">
        <v>41453</v>
      </c>
      <c r="JX44">
        <v>7.6050000000000004</v>
      </c>
      <c r="JY44" s="12">
        <v>41453</v>
      </c>
      <c r="JZ44">
        <v>9.3629999999999995</v>
      </c>
      <c r="KC44" s="12">
        <v>41453</v>
      </c>
      <c r="KD44">
        <v>7.617</v>
      </c>
      <c r="KE44" s="12">
        <v>41453</v>
      </c>
      <c r="KF44">
        <v>10.147</v>
      </c>
      <c r="KI44" s="12">
        <v>41453</v>
      </c>
      <c r="KJ44">
        <v>6.4160000000000004</v>
      </c>
      <c r="KO44" s="12">
        <v>41453</v>
      </c>
      <c r="KP44">
        <v>140.27600000000001</v>
      </c>
      <c r="KQ44" s="12">
        <v>41453</v>
      </c>
      <c r="KR44">
        <v>105.937</v>
      </c>
      <c r="KS44" s="12">
        <v>41453</v>
      </c>
      <c r="KT44">
        <v>11.419</v>
      </c>
      <c r="KU44" s="12">
        <v>41453</v>
      </c>
      <c r="KV44">
        <v>6.9850000000000003</v>
      </c>
      <c r="LC44" s="12">
        <v>41453</v>
      </c>
      <c r="LD44">
        <v>10.19</v>
      </c>
      <c r="LE44" s="12">
        <v>41453</v>
      </c>
      <c r="LF44">
        <v>5.1790000000000003</v>
      </c>
      <c r="LG44" s="12">
        <v>41453</v>
      </c>
      <c r="LH44">
        <v>15.552</v>
      </c>
      <c r="LI44" s="12">
        <v>41453</v>
      </c>
      <c r="LJ44">
        <v>22.314</v>
      </c>
      <c r="LM44" s="12">
        <v>41453</v>
      </c>
      <c r="LN44">
        <v>7.3959999999999999</v>
      </c>
      <c r="LO44" s="12">
        <v>41453</v>
      </c>
      <c r="LP44">
        <v>7.0469999999999997</v>
      </c>
      <c r="LQ44" s="12">
        <v>41453</v>
      </c>
      <c r="LR44">
        <v>22.472000000000001</v>
      </c>
      <c r="LS44" s="12">
        <v>41453</v>
      </c>
      <c r="LT44">
        <v>22.027999999999999</v>
      </c>
      <c r="LW44" s="12">
        <v>41453</v>
      </c>
      <c r="LX44">
        <v>226.643</v>
      </c>
      <c r="LY44" s="12">
        <v>41453</v>
      </c>
      <c r="LZ44">
        <v>31.521999999999998</v>
      </c>
      <c r="MA44" s="12">
        <v>41453</v>
      </c>
      <c r="MB44">
        <v>23.422000000000001</v>
      </c>
      <c r="MC44" s="12">
        <v>42916</v>
      </c>
      <c r="MD44">
        <v>10.829000000000001</v>
      </c>
      <c r="ME44" s="12">
        <v>41453</v>
      </c>
      <c r="MF44">
        <v>5.298</v>
      </c>
      <c r="MG44" s="12">
        <v>41453</v>
      </c>
      <c r="MH44">
        <v>7.226</v>
      </c>
      <c r="MI44" s="12">
        <v>43465</v>
      </c>
      <c r="MJ44">
        <v>5.6319999999999997</v>
      </c>
      <c r="MK44" s="12">
        <v>41453</v>
      </c>
      <c r="ML44">
        <v>12.224</v>
      </c>
    </row>
    <row r="45" spans="1:350" x14ac:dyDescent="0.3">
      <c r="A45" s="12">
        <v>41486</v>
      </c>
      <c r="B45" s="1">
        <v>13.862</v>
      </c>
      <c r="C45" s="12">
        <v>41851</v>
      </c>
      <c r="D45" s="1">
        <v>18.350000000000001</v>
      </c>
      <c r="E45" s="12">
        <v>41486</v>
      </c>
      <c r="F45" s="13">
        <v>8.8149999999999995</v>
      </c>
      <c r="G45" s="17">
        <v>41486</v>
      </c>
      <c r="H45" s="13">
        <v>8.0259999999999998</v>
      </c>
      <c r="I45" s="17">
        <v>41516</v>
      </c>
      <c r="J45">
        <v>16.695</v>
      </c>
      <c r="K45" s="12">
        <v>42704</v>
      </c>
      <c r="L45">
        <v>14.62</v>
      </c>
      <c r="M45" s="12">
        <v>41486</v>
      </c>
      <c r="N45" s="12">
        <v>85.328000000000003</v>
      </c>
      <c r="Q45" s="12">
        <v>42886</v>
      </c>
      <c r="R45">
        <v>16.109000000000002</v>
      </c>
      <c r="S45" s="12">
        <v>41486</v>
      </c>
      <c r="T45">
        <v>20.286999999999999</v>
      </c>
      <c r="U45" s="12">
        <v>41912</v>
      </c>
      <c r="V45">
        <v>24.265999999999998</v>
      </c>
      <c r="Y45" s="12">
        <v>41486</v>
      </c>
      <c r="Z45">
        <v>9.5449999999999999</v>
      </c>
      <c r="AA45" s="12">
        <v>41486</v>
      </c>
      <c r="AB45">
        <v>14.972</v>
      </c>
      <c r="AC45" s="12">
        <v>41486</v>
      </c>
      <c r="AD45">
        <v>11.101000000000001</v>
      </c>
      <c r="AE45" s="12">
        <v>41486</v>
      </c>
      <c r="AF45">
        <v>9.734</v>
      </c>
      <c r="AG45" s="12">
        <v>41486</v>
      </c>
      <c r="AH45">
        <v>43.715000000000003</v>
      </c>
      <c r="AI45" s="12">
        <v>42704</v>
      </c>
      <c r="AJ45">
        <v>20.713000000000001</v>
      </c>
      <c r="AK45" s="12">
        <v>41486</v>
      </c>
      <c r="AL45">
        <v>8.8539999999999992</v>
      </c>
      <c r="AO45" s="12">
        <v>41486</v>
      </c>
      <c r="AP45">
        <v>1.6600000000000001</v>
      </c>
      <c r="AS45" s="12">
        <v>41486</v>
      </c>
      <c r="AT45">
        <v>5.6260000000000003</v>
      </c>
      <c r="AU45" s="12">
        <v>41486</v>
      </c>
      <c r="AV45">
        <v>15.260999999999999</v>
      </c>
      <c r="AY45" s="12">
        <v>41486</v>
      </c>
      <c r="AZ45">
        <v>45.77</v>
      </c>
      <c r="BA45" s="12">
        <v>41486</v>
      </c>
      <c r="BB45">
        <v>13.119</v>
      </c>
      <c r="BC45" s="12">
        <v>41486</v>
      </c>
      <c r="BD45">
        <v>11.843999999999999</v>
      </c>
      <c r="BE45" s="12">
        <v>41578</v>
      </c>
      <c r="BF45">
        <v>10.005000000000001</v>
      </c>
      <c r="BG45" s="12">
        <v>41486</v>
      </c>
      <c r="BH45">
        <v>9.157</v>
      </c>
      <c r="BI45" s="12">
        <v>41486</v>
      </c>
      <c r="BJ45">
        <v>9.1969999999999992</v>
      </c>
      <c r="BK45" s="12">
        <v>41486</v>
      </c>
      <c r="BL45">
        <v>12.742000000000001</v>
      </c>
      <c r="BM45" s="12">
        <v>41486</v>
      </c>
      <c r="BN45">
        <v>11.899000000000001</v>
      </c>
      <c r="BO45" s="12">
        <v>41486</v>
      </c>
      <c r="BP45">
        <v>12.23</v>
      </c>
      <c r="BQ45" s="12">
        <v>41486</v>
      </c>
      <c r="BR45">
        <v>9.1210000000000004</v>
      </c>
      <c r="BS45" s="12">
        <v>41486</v>
      </c>
      <c r="BT45">
        <v>9.0039999999999996</v>
      </c>
      <c r="BW45" s="12">
        <v>41486</v>
      </c>
      <c r="BX45">
        <v>6.9409999999999998</v>
      </c>
      <c r="BY45" s="12">
        <v>41486</v>
      </c>
      <c r="BZ45">
        <v>17.757999999999999</v>
      </c>
      <c r="CA45" s="12">
        <v>41486</v>
      </c>
      <c r="CB45">
        <v>19.201000000000001</v>
      </c>
      <c r="CE45" s="12">
        <v>41486</v>
      </c>
      <c r="CF45">
        <v>24.518000000000001</v>
      </c>
      <c r="CG45" s="12">
        <v>41486</v>
      </c>
      <c r="CH45">
        <v>31.315000000000001</v>
      </c>
      <c r="CI45" s="12">
        <v>41486</v>
      </c>
      <c r="CJ45">
        <v>27.382999999999999</v>
      </c>
      <c r="CK45" s="12">
        <v>41486</v>
      </c>
      <c r="CL45">
        <v>5.1980000000000004</v>
      </c>
      <c r="CM45" s="12">
        <v>41486</v>
      </c>
      <c r="CN45">
        <v>19.451000000000001</v>
      </c>
      <c r="CO45" s="12">
        <v>42947</v>
      </c>
      <c r="CP45">
        <v>34.768000000000001</v>
      </c>
      <c r="CQ45" s="12">
        <v>41486</v>
      </c>
      <c r="CR45">
        <v>12.708</v>
      </c>
      <c r="CS45" s="12">
        <v>41486</v>
      </c>
      <c r="CT45">
        <v>11.59</v>
      </c>
      <c r="CU45" s="12">
        <v>41486</v>
      </c>
      <c r="CV45">
        <v>9.2520000000000007</v>
      </c>
      <c r="CW45" s="12">
        <v>41486</v>
      </c>
      <c r="CX45">
        <v>9.5139999999999993</v>
      </c>
      <c r="CY45" s="12">
        <v>41578</v>
      </c>
      <c r="CZ45">
        <v>10.91</v>
      </c>
      <c r="DA45" s="12">
        <v>41486</v>
      </c>
      <c r="DB45">
        <v>19.491</v>
      </c>
      <c r="DC45" s="12">
        <v>41486</v>
      </c>
      <c r="DD45">
        <v>4.2210000000000001</v>
      </c>
      <c r="DE45" s="12">
        <v>41486</v>
      </c>
      <c r="DF45">
        <v>6.2869999999999999</v>
      </c>
      <c r="DG45" s="12">
        <v>42124</v>
      </c>
      <c r="DH45">
        <v>11.409000000000001</v>
      </c>
      <c r="DI45" s="12">
        <v>41486</v>
      </c>
      <c r="DJ45">
        <v>5.6180000000000003</v>
      </c>
      <c r="DK45" s="12">
        <v>41486</v>
      </c>
      <c r="DL45">
        <v>18.280999999999999</v>
      </c>
      <c r="DM45" s="12">
        <v>41912</v>
      </c>
      <c r="DN45">
        <v>5.8129999999999997</v>
      </c>
      <c r="DO45" s="12">
        <v>41486</v>
      </c>
      <c r="DP45">
        <v>8.2810000000000006</v>
      </c>
      <c r="DQ45" s="12">
        <v>41486</v>
      </c>
      <c r="DR45">
        <v>395.60899999999998</v>
      </c>
      <c r="DS45" s="12">
        <v>41486</v>
      </c>
      <c r="DT45">
        <v>9.9600000000000009</v>
      </c>
      <c r="DU45" s="12">
        <v>41486</v>
      </c>
      <c r="DV45">
        <v>3.3679999999999999</v>
      </c>
      <c r="DW45" s="12">
        <v>41486</v>
      </c>
      <c r="DX45">
        <v>7.2169999999999996</v>
      </c>
      <c r="DY45" s="12">
        <v>41486</v>
      </c>
      <c r="DZ45">
        <v>13.957000000000001</v>
      </c>
      <c r="EC45" s="12">
        <v>41486</v>
      </c>
      <c r="ED45">
        <v>20.991</v>
      </c>
      <c r="EE45" s="12">
        <v>41486</v>
      </c>
      <c r="EF45">
        <v>7.1159999999999997</v>
      </c>
      <c r="EG45" s="12">
        <v>41486</v>
      </c>
      <c r="EH45">
        <v>17.753</v>
      </c>
      <c r="EI45" s="12">
        <v>41486</v>
      </c>
      <c r="EJ45">
        <v>19.411999999999999</v>
      </c>
      <c r="EK45" s="12">
        <v>41486</v>
      </c>
      <c r="EL45">
        <v>10.856999999999999</v>
      </c>
      <c r="EM45" s="12">
        <v>41486</v>
      </c>
      <c r="EN45">
        <v>12.994</v>
      </c>
      <c r="EQ45" s="12">
        <v>41486</v>
      </c>
      <c r="ER45">
        <v>16.283000000000001</v>
      </c>
      <c r="ES45" s="12">
        <v>41486</v>
      </c>
      <c r="ET45">
        <v>7.82</v>
      </c>
      <c r="EU45" s="12">
        <v>41486</v>
      </c>
      <c r="EV45">
        <v>5.0860000000000003</v>
      </c>
      <c r="EY45" s="12">
        <v>41486</v>
      </c>
      <c r="EZ45">
        <v>22.395</v>
      </c>
      <c r="FA45" s="12">
        <v>41486</v>
      </c>
      <c r="FB45">
        <v>13.675000000000001</v>
      </c>
      <c r="FC45" s="12">
        <v>41486</v>
      </c>
      <c r="FD45">
        <v>20.693000000000001</v>
      </c>
      <c r="FG45" s="12">
        <v>41486</v>
      </c>
      <c r="FH45">
        <v>3.5640000000000001</v>
      </c>
      <c r="FI45" s="12">
        <v>41486</v>
      </c>
      <c r="FJ45">
        <v>9.52</v>
      </c>
      <c r="FK45" s="12">
        <v>41486</v>
      </c>
      <c r="FL45">
        <v>10.073</v>
      </c>
      <c r="FM45" s="12">
        <v>41486</v>
      </c>
      <c r="FN45">
        <v>5.774</v>
      </c>
      <c r="FO45" s="12">
        <v>41486</v>
      </c>
      <c r="FP45">
        <v>15.952999999999999</v>
      </c>
      <c r="FQ45" s="12">
        <v>42978</v>
      </c>
      <c r="FR45">
        <v>15.221</v>
      </c>
      <c r="FS45" s="12">
        <v>41486</v>
      </c>
      <c r="FT45">
        <v>1.6019999999999999</v>
      </c>
      <c r="FU45" s="12">
        <v>41486</v>
      </c>
      <c r="FV45">
        <v>8.7940000000000005</v>
      </c>
      <c r="FW45" s="12">
        <v>41486</v>
      </c>
      <c r="FX45">
        <v>10.153</v>
      </c>
      <c r="FY45" s="12">
        <v>42338</v>
      </c>
      <c r="FZ45">
        <v>0.92400000000000004</v>
      </c>
      <c r="GA45" s="12">
        <v>41486</v>
      </c>
      <c r="GB45">
        <v>17.183</v>
      </c>
      <c r="GC45" s="12">
        <v>41486</v>
      </c>
      <c r="GD45">
        <v>14.545</v>
      </c>
      <c r="GE45" s="12">
        <v>42643</v>
      </c>
      <c r="GF45">
        <v>18.760000000000002</v>
      </c>
      <c r="GI45" s="12">
        <v>41486</v>
      </c>
      <c r="GJ45">
        <v>8.9659999999999993</v>
      </c>
      <c r="GK45" s="12">
        <v>41486</v>
      </c>
      <c r="GL45">
        <v>30.640999999999998</v>
      </c>
      <c r="GM45" s="12">
        <v>41486</v>
      </c>
      <c r="GN45">
        <v>28.416</v>
      </c>
      <c r="GO45" s="12">
        <v>41971</v>
      </c>
      <c r="GP45">
        <v>0.94799999999999995</v>
      </c>
      <c r="GQ45" s="12">
        <v>41607</v>
      </c>
      <c r="GR45">
        <v>30.998999999999999</v>
      </c>
      <c r="GS45" s="12">
        <v>41486</v>
      </c>
      <c r="GT45">
        <v>247.5</v>
      </c>
      <c r="GW45" s="12">
        <v>41547</v>
      </c>
      <c r="GX45">
        <v>17.286999999999999</v>
      </c>
      <c r="GY45" s="12">
        <v>41486</v>
      </c>
      <c r="GZ45">
        <v>7.21</v>
      </c>
      <c r="HA45" s="12">
        <v>41486</v>
      </c>
      <c r="HB45">
        <v>4.3419999999999996</v>
      </c>
      <c r="HC45" s="12">
        <v>41486</v>
      </c>
      <c r="HD45">
        <v>14.811</v>
      </c>
      <c r="HE45" s="12">
        <v>41486</v>
      </c>
      <c r="HF45">
        <v>20.550999999999998</v>
      </c>
      <c r="HG45" s="12">
        <v>41486</v>
      </c>
      <c r="HH45">
        <v>19.256</v>
      </c>
      <c r="HI45" s="12">
        <v>41486</v>
      </c>
      <c r="HJ45">
        <v>7.5209999999999999</v>
      </c>
      <c r="HK45" s="12">
        <v>41486</v>
      </c>
      <c r="HL45">
        <v>66</v>
      </c>
      <c r="HM45" s="12">
        <v>41486</v>
      </c>
      <c r="HN45">
        <v>31.393999999999998</v>
      </c>
      <c r="HO45" s="12">
        <v>41486</v>
      </c>
      <c r="HP45">
        <v>29.895</v>
      </c>
      <c r="HQ45" s="12">
        <v>41578</v>
      </c>
      <c r="HR45">
        <v>45</v>
      </c>
      <c r="HS45" s="12">
        <v>41486</v>
      </c>
      <c r="HT45">
        <v>95.471999999999994</v>
      </c>
      <c r="HU45" s="12">
        <v>41486</v>
      </c>
      <c r="HV45">
        <v>834.98800000000006</v>
      </c>
      <c r="HW45" s="12">
        <v>41486</v>
      </c>
      <c r="HX45">
        <v>14.462999999999999</v>
      </c>
      <c r="HY45" s="12">
        <v>41486</v>
      </c>
      <c r="HZ45">
        <v>14.202999999999999</v>
      </c>
      <c r="IA45" s="12">
        <v>41486</v>
      </c>
      <c r="IB45">
        <v>73.427999999999997</v>
      </c>
      <c r="IC45" s="12">
        <v>41486</v>
      </c>
      <c r="ID45">
        <v>5.3159999999999998</v>
      </c>
      <c r="IE45" s="12">
        <v>41486</v>
      </c>
      <c r="IF45">
        <v>3.778</v>
      </c>
      <c r="IG45" s="12">
        <v>41789</v>
      </c>
      <c r="IH45">
        <v>4.0999999999999996</v>
      </c>
      <c r="II45" s="12">
        <v>41486</v>
      </c>
      <c r="IJ45">
        <v>7.8789999999999996</v>
      </c>
      <c r="IM45" s="12">
        <v>41486</v>
      </c>
      <c r="IN45">
        <v>17.154</v>
      </c>
      <c r="IO45" s="12">
        <v>42034</v>
      </c>
      <c r="IP45">
        <v>16.518000000000001</v>
      </c>
      <c r="IQ45" s="12">
        <v>41486</v>
      </c>
      <c r="IR45">
        <v>18.023</v>
      </c>
      <c r="IS45" s="12">
        <v>43404</v>
      </c>
      <c r="IT45">
        <v>16.649999999999999</v>
      </c>
      <c r="IU45" s="12">
        <v>41486</v>
      </c>
      <c r="IV45">
        <v>8.1859999999999999</v>
      </c>
      <c r="IY45" s="12">
        <v>41486</v>
      </c>
      <c r="IZ45">
        <v>8.5670000000000002</v>
      </c>
      <c r="JA45" s="12">
        <v>43251</v>
      </c>
      <c r="JB45">
        <v>10.039999999999999</v>
      </c>
      <c r="JC45" s="12">
        <v>41486</v>
      </c>
      <c r="JD45">
        <v>5.4</v>
      </c>
      <c r="JE45" s="12">
        <v>41486</v>
      </c>
      <c r="JF45">
        <v>66.5</v>
      </c>
      <c r="JI45" s="12">
        <v>41486</v>
      </c>
      <c r="JJ45">
        <v>8.2680000000000007</v>
      </c>
      <c r="JM45" s="12">
        <v>41486</v>
      </c>
      <c r="JN45">
        <v>1.2310000000000001</v>
      </c>
      <c r="JO45" s="12">
        <v>41486</v>
      </c>
      <c r="JP45">
        <v>19.327999999999999</v>
      </c>
      <c r="JQ45" s="12">
        <v>42886</v>
      </c>
      <c r="JR45">
        <v>20.91</v>
      </c>
      <c r="JS45" s="12">
        <v>41486</v>
      </c>
      <c r="JT45">
        <v>7.1820000000000004</v>
      </c>
      <c r="JU45" s="12">
        <v>42704</v>
      </c>
      <c r="JV45">
        <v>39.048999999999999</v>
      </c>
      <c r="JW45" s="12">
        <v>41486</v>
      </c>
      <c r="JX45">
        <v>7.3179999999999996</v>
      </c>
      <c r="JY45" s="12">
        <v>41486</v>
      </c>
      <c r="JZ45">
        <v>9.8049999999999997</v>
      </c>
      <c r="KC45" s="12">
        <v>41486</v>
      </c>
      <c r="KD45">
        <v>7.1829999999999998</v>
      </c>
      <c r="KE45" s="12">
        <v>41486</v>
      </c>
      <c r="KF45">
        <v>10.840999999999999</v>
      </c>
      <c r="KI45" s="12">
        <v>41486</v>
      </c>
      <c r="KJ45">
        <v>6.9050000000000002</v>
      </c>
      <c r="KO45" s="12">
        <v>41486</v>
      </c>
      <c r="KP45">
        <v>136.31100000000001</v>
      </c>
      <c r="KQ45" s="12">
        <v>41486</v>
      </c>
      <c r="KR45">
        <v>101.971</v>
      </c>
      <c r="KS45" s="12">
        <v>41486</v>
      </c>
      <c r="KT45">
        <v>12.215999999999999</v>
      </c>
      <c r="KU45" s="12">
        <v>41486</v>
      </c>
      <c r="KV45">
        <v>7.3220000000000001</v>
      </c>
      <c r="LC45" s="12">
        <v>41486</v>
      </c>
      <c r="LD45">
        <v>10.484</v>
      </c>
      <c r="LE45" s="12">
        <v>41486</v>
      </c>
      <c r="LF45">
        <v>5.2409999999999997</v>
      </c>
      <c r="LG45" s="12">
        <v>41486</v>
      </c>
      <c r="LH45">
        <v>14.071</v>
      </c>
      <c r="LI45" s="12">
        <v>41486</v>
      </c>
      <c r="LJ45">
        <v>22.747</v>
      </c>
      <c r="LM45" s="12">
        <v>41486</v>
      </c>
      <c r="LN45">
        <v>8.4789999999999992</v>
      </c>
      <c r="LO45" s="12">
        <v>41486</v>
      </c>
      <c r="LP45">
        <v>8.2609999999999992</v>
      </c>
      <c r="LQ45" s="12">
        <v>41486</v>
      </c>
      <c r="LR45">
        <v>23.954999999999998</v>
      </c>
      <c r="LS45" s="12">
        <v>41486</v>
      </c>
      <c r="LT45">
        <v>22.923999999999999</v>
      </c>
      <c r="LW45" s="12">
        <v>41486</v>
      </c>
      <c r="LX45">
        <v>260.22000000000003</v>
      </c>
      <c r="LY45" s="12">
        <v>41486</v>
      </c>
      <c r="LZ45">
        <v>30.215</v>
      </c>
      <c r="MA45" s="12">
        <v>41486</v>
      </c>
      <c r="MB45">
        <v>24.8</v>
      </c>
      <c r="MC45" s="12">
        <v>42947</v>
      </c>
      <c r="MD45">
        <v>14.321999999999999</v>
      </c>
      <c r="ME45" s="12">
        <v>41486</v>
      </c>
      <c r="MF45">
        <v>5.3010000000000002</v>
      </c>
      <c r="MG45" s="12">
        <v>41486</v>
      </c>
      <c r="MH45">
        <v>7.2359999999999998</v>
      </c>
      <c r="MI45" s="12">
        <v>43496</v>
      </c>
      <c r="MJ45">
        <v>6.468</v>
      </c>
      <c r="MK45" s="12">
        <v>41486</v>
      </c>
      <c r="ML45">
        <v>13.462</v>
      </c>
    </row>
    <row r="46" spans="1:350" x14ac:dyDescent="0.3">
      <c r="A46" s="12">
        <v>41516</v>
      </c>
      <c r="B46" s="1">
        <v>13.409000000000001</v>
      </c>
      <c r="C46" s="1"/>
      <c r="E46" s="12">
        <v>41516</v>
      </c>
      <c r="F46" s="13">
        <v>9.2249999999999996</v>
      </c>
      <c r="G46" s="17">
        <v>41516</v>
      </c>
      <c r="H46" s="13">
        <v>7.149</v>
      </c>
      <c r="I46" s="17">
        <v>41547</v>
      </c>
      <c r="J46">
        <v>17.881</v>
      </c>
      <c r="K46" s="12">
        <v>42734</v>
      </c>
      <c r="L46">
        <v>15.225</v>
      </c>
      <c r="M46" s="12">
        <v>41516</v>
      </c>
      <c r="N46" s="12">
        <v>83.036000000000001</v>
      </c>
      <c r="Q46" s="12">
        <v>42916</v>
      </c>
      <c r="R46">
        <v>16.187999999999999</v>
      </c>
      <c r="S46" s="12">
        <v>41516</v>
      </c>
      <c r="T46">
        <v>20.138000000000002</v>
      </c>
      <c r="U46" s="12">
        <v>41943</v>
      </c>
      <c r="V46">
        <v>23.85</v>
      </c>
      <c r="Y46" s="12">
        <v>41516</v>
      </c>
      <c r="Z46">
        <v>9.1880000000000006</v>
      </c>
      <c r="AA46" s="12">
        <v>41516</v>
      </c>
      <c r="AB46">
        <v>15.763999999999999</v>
      </c>
      <c r="AC46" s="12">
        <v>41516</v>
      </c>
      <c r="AD46">
        <v>11.359</v>
      </c>
      <c r="AE46" s="12">
        <v>41516</v>
      </c>
      <c r="AF46">
        <v>9.7439999999999998</v>
      </c>
      <c r="AG46" s="12">
        <v>41516</v>
      </c>
      <c r="AH46">
        <v>39.637999999999998</v>
      </c>
      <c r="AI46" s="12">
        <v>42734</v>
      </c>
      <c r="AJ46">
        <v>20.72</v>
      </c>
      <c r="AK46" s="12">
        <v>41516</v>
      </c>
      <c r="AL46">
        <v>10.507999999999999</v>
      </c>
      <c r="AO46" s="12">
        <v>41516</v>
      </c>
      <c r="AP46">
        <v>1.7</v>
      </c>
      <c r="AS46" s="12">
        <v>41516</v>
      </c>
      <c r="AT46">
        <v>4.8840000000000003</v>
      </c>
      <c r="AU46" s="12">
        <v>41516</v>
      </c>
      <c r="AV46">
        <v>16.808</v>
      </c>
      <c r="AY46" s="12">
        <v>41516</v>
      </c>
      <c r="AZ46">
        <v>51.984999999999999</v>
      </c>
      <c r="BA46" s="12">
        <v>41516</v>
      </c>
      <c r="BB46">
        <v>13.097</v>
      </c>
      <c r="BC46" s="12">
        <v>41516</v>
      </c>
      <c r="BD46">
        <v>10.602</v>
      </c>
      <c r="BE46" s="12">
        <v>41607</v>
      </c>
      <c r="BF46">
        <v>10.135999999999999</v>
      </c>
      <c r="BG46" s="12">
        <v>41516</v>
      </c>
      <c r="BH46">
        <v>8.58</v>
      </c>
      <c r="BI46" s="12">
        <v>41516</v>
      </c>
      <c r="BJ46">
        <v>11.8</v>
      </c>
      <c r="BK46" s="12">
        <v>41516</v>
      </c>
      <c r="BL46">
        <v>12.35</v>
      </c>
      <c r="BM46" s="12">
        <v>41516</v>
      </c>
      <c r="BN46">
        <v>12.746</v>
      </c>
      <c r="BO46" s="12">
        <v>41516</v>
      </c>
      <c r="BP46">
        <v>12.702</v>
      </c>
      <c r="BQ46" s="12">
        <v>41516</v>
      </c>
      <c r="BR46">
        <v>8.1489999999999991</v>
      </c>
      <c r="BS46" s="12">
        <v>41516</v>
      </c>
      <c r="BT46">
        <v>8.0280000000000005</v>
      </c>
      <c r="BW46" s="12">
        <v>41516</v>
      </c>
      <c r="BX46">
        <v>6.8529999999999998</v>
      </c>
      <c r="BY46" s="12">
        <v>41516</v>
      </c>
      <c r="BZ46">
        <v>16.716999999999999</v>
      </c>
      <c r="CA46" s="12">
        <v>41516</v>
      </c>
      <c r="CB46">
        <v>19.606000000000002</v>
      </c>
      <c r="CE46" s="12">
        <v>41516</v>
      </c>
      <c r="CF46">
        <v>22.305</v>
      </c>
      <c r="CG46" s="12">
        <v>41516</v>
      </c>
      <c r="CH46">
        <v>30.623999999999999</v>
      </c>
      <c r="CI46" s="12">
        <v>41516</v>
      </c>
      <c r="CJ46">
        <v>21.753</v>
      </c>
      <c r="CK46" s="12">
        <v>41516</v>
      </c>
      <c r="CL46">
        <v>6.8719999999999999</v>
      </c>
      <c r="CM46" s="12">
        <v>41516</v>
      </c>
      <c r="CN46">
        <v>19.789000000000001</v>
      </c>
      <c r="CO46" s="12">
        <v>42978</v>
      </c>
      <c r="CP46">
        <v>37.253999999999998</v>
      </c>
      <c r="CQ46" s="12">
        <v>41516</v>
      </c>
      <c r="CR46">
        <v>12.263</v>
      </c>
      <c r="CS46" s="12">
        <v>41516</v>
      </c>
      <c r="CT46">
        <v>10.756</v>
      </c>
      <c r="CU46" s="12">
        <v>41516</v>
      </c>
      <c r="CV46">
        <v>8.2720000000000002</v>
      </c>
      <c r="CW46" s="12">
        <v>41516</v>
      </c>
      <c r="CX46">
        <v>8.8000000000000007</v>
      </c>
      <c r="CY46" s="12">
        <v>41607</v>
      </c>
      <c r="CZ46">
        <v>10.816000000000001</v>
      </c>
      <c r="DA46" s="12">
        <v>41516</v>
      </c>
      <c r="DB46">
        <v>18.940000000000001</v>
      </c>
      <c r="DC46" s="12">
        <v>41516</v>
      </c>
      <c r="DD46">
        <v>4.5620000000000003</v>
      </c>
      <c r="DE46" s="12">
        <v>41516</v>
      </c>
      <c r="DF46">
        <v>6.9290000000000003</v>
      </c>
      <c r="DG46" s="12">
        <v>42153</v>
      </c>
      <c r="DH46">
        <v>17.361000000000001</v>
      </c>
      <c r="DI46" s="12">
        <v>41516</v>
      </c>
      <c r="DJ46">
        <v>6.7039999999999997</v>
      </c>
      <c r="DK46" s="12">
        <v>41516</v>
      </c>
      <c r="DL46">
        <v>18.45</v>
      </c>
      <c r="DM46" s="12">
        <v>41943</v>
      </c>
      <c r="DN46">
        <v>5.6379999999999999</v>
      </c>
      <c r="DO46" s="12">
        <v>41516</v>
      </c>
      <c r="DP46">
        <v>7.5030000000000001</v>
      </c>
      <c r="DQ46" s="12">
        <v>41516</v>
      </c>
      <c r="DR46">
        <v>278.91800000000001</v>
      </c>
      <c r="DS46" s="12">
        <v>41516</v>
      </c>
      <c r="DT46">
        <v>10.054</v>
      </c>
      <c r="DU46" s="12">
        <v>41516</v>
      </c>
      <c r="DV46">
        <v>3.6219999999999999</v>
      </c>
      <c r="DW46" s="12">
        <v>41516</v>
      </c>
      <c r="DX46">
        <v>6.8090000000000002</v>
      </c>
      <c r="DY46" s="12">
        <v>41516</v>
      </c>
      <c r="DZ46">
        <v>13.556000000000001</v>
      </c>
      <c r="EC46" s="12">
        <v>41516</v>
      </c>
      <c r="ED46">
        <v>22.792999999999999</v>
      </c>
      <c r="EE46" s="12">
        <v>41516</v>
      </c>
      <c r="EF46">
        <v>6.87</v>
      </c>
      <c r="EG46" s="12">
        <v>41516</v>
      </c>
      <c r="EH46">
        <v>16.343</v>
      </c>
      <c r="EI46" s="12">
        <v>41516</v>
      </c>
      <c r="EJ46">
        <v>19.693999999999999</v>
      </c>
      <c r="EK46" s="12">
        <v>41516</v>
      </c>
      <c r="EL46">
        <v>12.465</v>
      </c>
      <c r="EM46" s="12">
        <v>41516</v>
      </c>
      <c r="EN46">
        <v>15.343999999999999</v>
      </c>
      <c r="EQ46" s="12">
        <v>41516</v>
      </c>
      <c r="ER46">
        <v>19.015999999999998</v>
      </c>
      <c r="ES46" s="12">
        <v>41516</v>
      </c>
      <c r="ET46">
        <v>8.4600000000000009</v>
      </c>
      <c r="EU46" s="12">
        <v>41516</v>
      </c>
      <c r="EV46">
        <v>4.6020000000000003</v>
      </c>
      <c r="EY46" s="12">
        <v>41516</v>
      </c>
      <c r="EZ46">
        <v>23.353999999999999</v>
      </c>
      <c r="FA46" s="12">
        <v>41516</v>
      </c>
      <c r="FB46">
        <v>13.452</v>
      </c>
      <c r="FC46" s="12">
        <v>41516</v>
      </c>
      <c r="FD46">
        <v>19.792999999999999</v>
      </c>
      <c r="FG46" s="12">
        <v>41516</v>
      </c>
      <c r="FH46">
        <v>3.5910000000000002</v>
      </c>
      <c r="FI46" s="12">
        <v>41516</v>
      </c>
      <c r="FJ46">
        <v>9.3949999999999996</v>
      </c>
      <c r="FK46" s="12">
        <v>41516</v>
      </c>
      <c r="FL46">
        <v>10.128</v>
      </c>
      <c r="FM46" s="12">
        <v>41516</v>
      </c>
      <c r="FN46">
        <v>6.6710000000000003</v>
      </c>
      <c r="FO46" s="12">
        <v>41516</v>
      </c>
      <c r="FP46">
        <v>19.940999999999999</v>
      </c>
      <c r="FQ46" s="12">
        <v>43007</v>
      </c>
      <c r="FR46">
        <v>16.315000000000001</v>
      </c>
      <c r="FS46" s="12">
        <v>41516</v>
      </c>
      <c r="FT46">
        <v>1.8069999999999999</v>
      </c>
      <c r="FU46" s="12">
        <v>41516</v>
      </c>
      <c r="FV46">
        <v>8.5670000000000002</v>
      </c>
      <c r="FW46" s="12">
        <v>41516</v>
      </c>
      <c r="FX46">
        <v>9.6490000000000009</v>
      </c>
      <c r="FY46" s="12">
        <v>42369</v>
      </c>
      <c r="FZ46">
        <v>0.91600000000000004</v>
      </c>
      <c r="GA46" s="12">
        <v>41516</v>
      </c>
      <c r="GB46">
        <v>18.332999999999998</v>
      </c>
      <c r="GC46" s="12">
        <v>41516</v>
      </c>
      <c r="GD46">
        <v>14.791</v>
      </c>
      <c r="GE46" s="12">
        <v>42674</v>
      </c>
      <c r="GF46">
        <v>18.373000000000001</v>
      </c>
      <c r="GI46" s="12">
        <v>41516</v>
      </c>
      <c r="GJ46">
        <v>8.5190000000000001</v>
      </c>
      <c r="GK46" s="12">
        <v>41516</v>
      </c>
      <c r="GL46">
        <v>28.878</v>
      </c>
      <c r="GM46" s="12">
        <v>41516</v>
      </c>
      <c r="GN46">
        <v>28.001000000000001</v>
      </c>
      <c r="GO46" s="12">
        <v>42004</v>
      </c>
      <c r="GP46">
        <v>0.91300000000000003</v>
      </c>
      <c r="GQ46" s="12">
        <v>41639</v>
      </c>
      <c r="GR46">
        <v>32.734999999999999</v>
      </c>
      <c r="GS46" s="12">
        <v>41516</v>
      </c>
      <c r="GT46">
        <v>325.5</v>
      </c>
      <c r="GW46" s="12">
        <v>41578</v>
      </c>
      <c r="GX46">
        <v>18.594000000000001</v>
      </c>
      <c r="GY46" s="12">
        <v>41516</v>
      </c>
      <c r="GZ46">
        <v>6.12</v>
      </c>
      <c r="HA46" s="12">
        <v>41516</v>
      </c>
      <c r="HB46">
        <v>5.5730000000000004</v>
      </c>
      <c r="HC46" s="12">
        <v>41516</v>
      </c>
      <c r="HD46">
        <v>14.099</v>
      </c>
      <c r="HE46" s="12">
        <v>41516</v>
      </c>
      <c r="HF46">
        <v>22.925000000000001</v>
      </c>
      <c r="HG46" s="12">
        <v>41516</v>
      </c>
      <c r="HH46">
        <v>19.114000000000001</v>
      </c>
      <c r="HI46" s="12">
        <v>41516</v>
      </c>
      <c r="HJ46">
        <v>7.0869999999999997</v>
      </c>
      <c r="HK46" s="12">
        <v>41516</v>
      </c>
      <c r="HL46">
        <v>30</v>
      </c>
      <c r="HM46" s="12">
        <v>41516</v>
      </c>
      <c r="HN46">
        <v>26.568999999999999</v>
      </c>
      <c r="HO46" s="12">
        <v>41516</v>
      </c>
      <c r="HP46">
        <v>25.257000000000001</v>
      </c>
      <c r="HQ46" s="12">
        <v>41607</v>
      </c>
      <c r="HR46">
        <v>46</v>
      </c>
      <c r="HS46" s="12">
        <v>41516</v>
      </c>
      <c r="HT46">
        <v>92.316999999999993</v>
      </c>
      <c r="HU46" s="12">
        <v>41516</v>
      </c>
      <c r="HV46">
        <v>1043.7349999999999</v>
      </c>
      <c r="HW46" s="12">
        <v>41516</v>
      </c>
      <c r="HX46">
        <v>15.018000000000001</v>
      </c>
      <c r="HY46" s="12">
        <v>41516</v>
      </c>
      <c r="HZ46">
        <v>14.648</v>
      </c>
      <c r="IA46" s="12">
        <v>41516</v>
      </c>
      <c r="IB46">
        <v>68.899000000000001</v>
      </c>
      <c r="IC46" s="12">
        <v>41516</v>
      </c>
      <c r="ID46">
        <v>5.4509999999999996</v>
      </c>
      <c r="IE46" s="12">
        <v>41516</v>
      </c>
      <c r="IF46">
        <v>3.4</v>
      </c>
      <c r="IG46" s="12">
        <v>41820</v>
      </c>
      <c r="IH46">
        <v>5.95</v>
      </c>
      <c r="II46" s="12">
        <v>41516</v>
      </c>
      <c r="IJ46">
        <v>11.736000000000001</v>
      </c>
      <c r="IM46" s="12">
        <v>41516</v>
      </c>
      <c r="IN46">
        <v>17.161000000000001</v>
      </c>
      <c r="IO46" s="12">
        <v>42062</v>
      </c>
      <c r="IP46">
        <v>16.175999999999998</v>
      </c>
      <c r="IQ46" s="12">
        <v>41516</v>
      </c>
      <c r="IR46">
        <v>15.763</v>
      </c>
      <c r="IS46" s="12">
        <v>43434</v>
      </c>
      <c r="IT46">
        <v>17.440000000000001</v>
      </c>
      <c r="IU46" s="12">
        <v>41516</v>
      </c>
      <c r="IV46">
        <v>8.0541</v>
      </c>
      <c r="IY46" s="12">
        <v>41516</v>
      </c>
      <c r="IZ46">
        <v>8.2119999999999997</v>
      </c>
      <c r="JA46" s="12">
        <v>43280</v>
      </c>
      <c r="JB46">
        <v>9.61</v>
      </c>
      <c r="JC46" s="12">
        <v>41516</v>
      </c>
      <c r="JD46">
        <v>6</v>
      </c>
      <c r="JE46" s="12">
        <v>41516</v>
      </c>
      <c r="JF46">
        <v>68.75</v>
      </c>
      <c r="JI46" s="12">
        <v>41516</v>
      </c>
      <c r="JJ46">
        <v>8.2859999999999996</v>
      </c>
      <c r="JM46" s="12">
        <v>41516</v>
      </c>
      <c r="JN46">
        <v>1.353</v>
      </c>
      <c r="JO46" s="12">
        <v>41516</v>
      </c>
      <c r="JP46">
        <v>16.181000000000001</v>
      </c>
      <c r="JQ46" s="12">
        <v>42916</v>
      </c>
      <c r="JR46">
        <v>21.292000000000002</v>
      </c>
      <c r="JS46" s="12">
        <v>41516</v>
      </c>
      <c r="JT46">
        <v>7.3520000000000003</v>
      </c>
      <c r="JU46" s="12">
        <v>42734</v>
      </c>
      <c r="JV46">
        <v>36.503</v>
      </c>
      <c r="JW46" s="12">
        <v>41516</v>
      </c>
      <c r="JX46">
        <v>8.0939999999999994</v>
      </c>
      <c r="JY46" s="12">
        <v>41516</v>
      </c>
      <c r="JZ46">
        <v>10.048999999999999</v>
      </c>
      <c r="KC46" s="12">
        <v>41516</v>
      </c>
      <c r="KD46">
        <v>8.6790000000000003</v>
      </c>
      <c r="KE46" s="12">
        <v>41516</v>
      </c>
      <c r="KF46">
        <v>10.446999999999999</v>
      </c>
      <c r="KI46" s="12">
        <v>41516</v>
      </c>
      <c r="KJ46">
        <v>6.8380000000000001</v>
      </c>
      <c r="KO46" s="12">
        <v>41516</v>
      </c>
      <c r="KP46">
        <v>136.80600000000001</v>
      </c>
      <c r="KQ46" s="12">
        <v>41516</v>
      </c>
      <c r="KR46">
        <v>107.636</v>
      </c>
      <c r="KS46" s="12">
        <v>41516</v>
      </c>
      <c r="KT46">
        <v>11.246</v>
      </c>
      <c r="KU46" s="12">
        <v>41516</v>
      </c>
      <c r="KV46">
        <v>8.0990000000000002</v>
      </c>
      <c r="LC46" s="12">
        <v>41516</v>
      </c>
      <c r="LD46">
        <v>10.932</v>
      </c>
      <c r="LE46" s="12">
        <v>41516</v>
      </c>
      <c r="LF46">
        <v>5.2409999999999997</v>
      </c>
      <c r="LG46" s="12">
        <v>41516</v>
      </c>
      <c r="LH46">
        <v>14.404</v>
      </c>
      <c r="LI46" s="12">
        <v>41516</v>
      </c>
      <c r="LJ46">
        <v>22.07</v>
      </c>
      <c r="LM46" s="12">
        <v>41516</v>
      </c>
      <c r="LN46">
        <v>9.8520000000000003</v>
      </c>
      <c r="LO46" s="12">
        <v>41516</v>
      </c>
      <c r="LP46">
        <v>9.7780000000000005</v>
      </c>
      <c r="LQ46" s="12">
        <v>41516</v>
      </c>
      <c r="LR46">
        <v>26.58</v>
      </c>
      <c r="LS46" s="12">
        <v>41516</v>
      </c>
      <c r="LT46">
        <v>25.326000000000001</v>
      </c>
      <c r="LW46" s="12">
        <v>41516</v>
      </c>
      <c r="LX46">
        <v>142.70099999999999</v>
      </c>
      <c r="LY46" s="12">
        <v>41516</v>
      </c>
      <c r="LZ46">
        <v>29.071000000000002</v>
      </c>
      <c r="MA46" s="12">
        <v>41516</v>
      </c>
      <c r="MB46">
        <v>21.268000000000001</v>
      </c>
      <c r="MC46" s="12">
        <v>42978</v>
      </c>
      <c r="MD46">
        <v>16.422000000000001</v>
      </c>
      <c r="ME46" s="12">
        <v>41516</v>
      </c>
      <c r="MF46">
        <v>5.5049999999999999</v>
      </c>
      <c r="MG46" s="12">
        <v>41516</v>
      </c>
      <c r="MH46">
        <v>7.2359999999999998</v>
      </c>
      <c r="MI46" s="12">
        <v>43524</v>
      </c>
      <c r="MJ46">
        <v>7.2229999999999999</v>
      </c>
      <c r="MK46" s="12">
        <v>41516</v>
      </c>
      <c r="ML46">
        <v>13.416</v>
      </c>
    </row>
    <row r="47" spans="1:350" x14ac:dyDescent="0.3">
      <c r="A47" s="12">
        <v>41547</v>
      </c>
      <c r="B47" s="1">
        <v>13.88</v>
      </c>
      <c r="C47" s="1"/>
      <c r="E47" s="12">
        <v>41547</v>
      </c>
      <c r="F47" s="13">
        <v>8.7550000000000008</v>
      </c>
      <c r="G47" s="17">
        <v>41547</v>
      </c>
      <c r="H47" s="13">
        <v>8.2080000000000002</v>
      </c>
      <c r="I47" s="17">
        <v>41578</v>
      </c>
      <c r="J47">
        <v>19.471</v>
      </c>
      <c r="K47" s="12">
        <v>42766</v>
      </c>
      <c r="L47">
        <v>16.445</v>
      </c>
      <c r="M47" s="12">
        <v>41547</v>
      </c>
      <c r="N47" s="12">
        <v>84.68</v>
      </c>
      <c r="Q47" s="12">
        <v>42947</v>
      </c>
      <c r="R47">
        <v>16.791</v>
      </c>
      <c r="S47" s="12">
        <v>41547</v>
      </c>
      <c r="T47">
        <v>18.434999999999999</v>
      </c>
      <c r="U47" s="12">
        <v>41971</v>
      </c>
      <c r="V47">
        <v>23.925000000000001</v>
      </c>
      <c r="Y47" s="12">
        <v>41547</v>
      </c>
      <c r="Z47">
        <v>9.7309999999999999</v>
      </c>
      <c r="AA47" s="12">
        <v>41547</v>
      </c>
      <c r="AB47">
        <v>17.908000000000001</v>
      </c>
      <c r="AC47" s="12">
        <v>41547</v>
      </c>
      <c r="AD47">
        <v>12.404999999999999</v>
      </c>
      <c r="AE47" s="12">
        <v>41547</v>
      </c>
      <c r="AF47">
        <v>10.691000000000001</v>
      </c>
      <c r="AG47" s="12">
        <v>41547</v>
      </c>
      <c r="AH47">
        <v>43.412999999999997</v>
      </c>
      <c r="AI47" s="12">
        <v>42766</v>
      </c>
      <c r="AJ47">
        <v>20.434999999999999</v>
      </c>
      <c r="AK47" s="12">
        <v>41547</v>
      </c>
      <c r="AL47">
        <v>9.827</v>
      </c>
      <c r="AO47" s="12">
        <v>41547</v>
      </c>
      <c r="AP47">
        <v>1.6099999999999999</v>
      </c>
      <c r="AS47" s="12">
        <v>41547</v>
      </c>
      <c r="AT47">
        <v>4.8280000000000003</v>
      </c>
      <c r="AU47" s="12">
        <v>41547</v>
      </c>
      <c r="AV47">
        <v>16.760000000000002</v>
      </c>
      <c r="AY47" s="12">
        <v>41547</v>
      </c>
      <c r="AZ47">
        <v>50.854999999999997</v>
      </c>
      <c r="BA47" s="12">
        <v>41547</v>
      </c>
      <c r="BB47">
        <v>13.246</v>
      </c>
      <c r="BC47" s="12">
        <v>41547</v>
      </c>
      <c r="BD47">
        <v>11.773</v>
      </c>
      <c r="BE47" s="12">
        <v>41639</v>
      </c>
      <c r="BF47">
        <v>9.7940000000000005</v>
      </c>
      <c r="BG47" s="12">
        <v>41547</v>
      </c>
      <c r="BH47">
        <v>9.2899999999999991</v>
      </c>
      <c r="BI47" s="12">
        <v>41547</v>
      </c>
      <c r="BJ47">
        <v>12.295</v>
      </c>
      <c r="BK47" s="12">
        <v>41547</v>
      </c>
      <c r="BL47">
        <v>12.832000000000001</v>
      </c>
      <c r="BM47" s="12">
        <v>41547</v>
      </c>
      <c r="BN47">
        <v>14.186</v>
      </c>
      <c r="BO47" s="12">
        <v>41547</v>
      </c>
      <c r="BP47">
        <v>13.282999999999999</v>
      </c>
      <c r="BQ47" s="12">
        <v>41547</v>
      </c>
      <c r="BR47">
        <v>8.0869999999999997</v>
      </c>
      <c r="BS47" s="12">
        <v>41547</v>
      </c>
      <c r="BT47">
        <v>8.3040000000000003</v>
      </c>
      <c r="BW47" s="12">
        <v>41547</v>
      </c>
      <c r="BX47">
        <v>6.7489999999999997</v>
      </c>
      <c r="BY47" s="12">
        <v>41547</v>
      </c>
      <c r="BZ47">
        <v>16.623000000000001</v>
      </c>
      <c r="CA47" s="12">
        <v>41547</v>
      </c>
      <c r="CB47">
        <v>21.597999999999999</v>
      </c>
      <c r="CE47" s="12">
        <v>41547</v>
      </c>
      <c r="CF47">
        <v>24.033999999999999</v>
      </c>
      <c r="CG47" s="12">
        <v>41547</v>
      </c>
      <c r="CH47">
        <v>31.463000000000001</v>
      </c>
      <c r="CI47" s="12">
        <v>41547</v>
      </c>
      <c r="CJ47">
        <v>26.684000000000001</v>
      </c>
      <c r="CK47" s="12">
        <v>41547</v>
      </c>
      <c r="CL47">
        <v>7.72</v>
      </c>
      <c r="CM47" s="12">
        <v>41547</v>
      </c>
      <c r="CN47">
        <v>19.916</v>
      </c>
      <c r="CO47" s="12">
        <v>43007</v>
      </c>
      <c r="CP47">
        <v>39.936</v>
      </c>
      <c r="CQ47" s="12">
        <v>41547</v>
      </c>
      <c r="CR47">
        <v>13.067</v>
      </c>
      <c r="CS47" s="12">
        <v>41547</v>
      </c>
      <c r="CT47">
        <v>11.327999999999999</v>
      </c>
      <c r="CU47" s="12">
        <v>41547</v>
      </c>
      <c r="CV47">
        <v>8.2439999999999998</v>
      </c>
      <c r="CW47" s="12">
        <v>41547</v>
      </c>
      <c r="CX47">
        <v>9.609</v>
      </c>
      <c r="CY47" s="12">
        <v>41639</v>
      </c>
      <c r="CZ47">
        <v>10.867000000000001</v>
      </c>
      <c r="DA47" s="12">
        <v>41547</v>
      </c>
      <c r="DB47">
        <v>20.286000000000001</v>
      </c>
      <c r="DC47" s="12">
        <v>41547</v>
      </c>
      <c r="DD47">
        <v>5.76</v>
      </c>
      <c r="DE47" s="12">
        <v>41547</v>
      </c>
      <c r="DF47">
        <v>7.9109999999999996</v>
      </c>
      <c r="DG47" s="12">
        <v>42185</v>
      </c>
      <c r="DH47">
        <v>14.881</v>
      </c>
      <c r="DI47" s="12">
        <v>41547</v>
      </c>
      <c r="DJ47">
        <v>7.8620000000000001</v>
      </c>
      <c r="DK47" s="12">
        <v>41547</v>
      </c>
      <c r="DL47">
        <v>16.829000000000001</v>
      </c>
      <c r="DM47" s="12">
        <v>41971</v>
      </c>
      <c r="DN47">
        <v>5.0060000000000002</v>
      </c>
      <c r="DO47" s="12">
        <v>41547</v>
      </c>
      <c r="DP47">
        <v>8.4559999999999995</v>
      </c>
      <c r="DQ47" s="12">
        <v>41547</v>
      </c>
      <c r="DR47">
        <v>298.84100000000001</v>
      </c>
      <c r="DS47" s="12">
        <v>41547</v>
      </c>
      <c r="DT47">
        <v>9.234</v>
      </c>
      <c r="DU47" s="12">
        <v>41547</v>
      </c>
      <c r="DV47">
        <v>3.794</v>
      </c>
      <c r="DW47" s="12">
        <v>41547</v>
      </c>
      <c r="DX47">
        <v>7.1740000000000004</v>
      </c>
      <c r="DY47" s="12">
        <v>41547</v>
      </c>
      <c r="DZ47">
        <v>15.44</v>
      </c>
      <c r="EC47" s="12">
        <v>41547</v>
      </c>
      <c r="ED47">
        <v>21.048999999999999</v>
      </c>
      <c r="EE47" s="12">
        <v>41547</v>
      </c>
      <c r="EF47">
        <v>6.8330000000000002</v>
      </c>
      <c r="EG47" s="12">
        <v>41547</v>
      </c>
      <c r="EH47">
        <v>17.481000000000002</v>
      </c>
      <c r="EI47" s="12">
        <v>41547</v>
      </c>
      <c r="EJ47">
        <v>25.18</v>
      </c>
      <c r="EK47" s="12">
        <v>41547</v>
      </c>
      <c r="EL47">
        <v>11.942</v>
      </c>
      <c r="EM47" s="12">
        <v>41547</v>
      </c>
      <c r="EN47">
        <v>14.850999999999999</v>
      </c>
      <c r="EQ47" s="12">
        <v>41547</v>
      </c>
      <c r="ER47">
        <v>19.007000000000001</v>
      </c>
      <c r="ES47" s="12">
        <v>41547</v>
      </c>
      <c r="ET47">
        <v>10.59</v>
      </c>
      <c r="EU47" s="12">
        <v>41547</v>
      </c>
      <c r="EV47">
        <v>4.7439999999999998</v>
      </c>
      <c r="EY47" s="12">
        <v>41547</v>
      </c>
      <c r="EZ47">
        <v>24.62</v>
      </c>
      <c r="FA47" s="12">
        <v>41547</v>
      </c>
      <c r="FB47">
        <v>14.81</v>
      </c>
      <c r="FC47" s="12">
        <v>41547</v>
      </c>
      <c r="FD47">
        <v>21.870999999999999</v>
      </c>
      <c r="FG47" s="12">
        <v>41547</v>
      </c>
      <c r="FH47">
        <v>3.8719999999999999</v>
      </c>
      <c r="FI47" s="12">
        <v>41547</v>
      </c>
      <c r="FJ47">
        <v>10.09</v>
      </c>
      <c r="FK47" s="12">
        <v>41547</v>
      </c>
      <c r="FL47">
        <v>10.992000000000001</v>
      </c>
      <c r="FM47" s="12">
        <v>41547</v>
      </c>
      <c r="FN47">
        <v>7.0250000000000004</v>
      </c>
      <c r="FO47" s="12">
        <v>41547</v>
      </c>
      <c r="FP47">
        <v>21.518999999999998</v>
      </c>
      <c r="FQ47" s="12">
        <v>43039</v>
      </c>
      <c r="FR47">
        <v>16.803999999999998</v>
      </c>
      <c r="FS47" s="12">
        <v>41547</v>
      </c>
      <c r="FT47">
        <v>1.712</v>
      </c>
      <c r="FU47" s="12">
        <v>41547</v>
      </c>
      <c r="FV47">
        <v>9.077</v>
      </c>
      <c r="FW47" s="12">
        <v>41547</v>
      </c>
      <c r="FX47">
        <v>10.407</v>
      </c>
      <c r="FY47" s="12">
        <v>42398</v>
      </c>
      <c r="FZ47">
        <v>0.81399999999999995</v>
      </c>
      <c r="GA47" s="12">
        <v>41547</v>
      </c>
      <c r="GB47">
        <v>17.966999999999999</v>
      </c>
      <c r="GC47" s="12">
        <v>41547</v>
      </c>
      <c r="GD47">
        <v>15.556000000000001</v>
      </c>
      <c r="GE47" s="12">
        <v>42704</v>
      </c>
      <c r="GF47">
        <v>17.068000000000001</v>
      </c>
      <c r="GI47" s="12">
        <v>41547</v>
      </c>
      <c r="GJ47">
        <v>9.4459999999999997</v>
      </c>
      <c r="GK47" s="12">
        <v>41547</v>
      </c>
      <c r="GL47">
        <v>28.471</v>
      </c>
      <c r="GM47" s="12">
        <v>41547</v>
      </c>
      <c r="GN47">
        <v>31.335000000000001</v>
      </c>
      <c r="GO47" s="12">
        <v>42034</v>
      </c>
      <c r="GP47">
        <v>0.81200000000000006</v>
      </c>
      <c r="GQ47" s="12">
        <v>41670</v>
      </c>
      <c r="GR47">
        <v>27.765999999999998</v>
      </c>
      <c r="GS47" s="12">
        <v>41547</v>
      </c>
      <c r="GT47">
        <v>232.5</v>
      </c>
      <c r="GW47" s="12">
        <v>41607</v>
      </c>
      <c r="GX47">
        <v>19.888000000000002</v>
      </c>
      <c r="GY47" s="12">
        <v>41547</v>
      </c>
      <c r="GZ47">
        <v>6.05</v>
      </c>
      <c r="HA47" s="12">
        <v>41547</v>
      </c>
      <c r="HB47">
        <v>6.0940000000000003</v>
      </c>
      <c r="HC47" s="12">
        <v>41547</v>
      </c>
      <c r="HD47">
        <v>15.657</v>
      </c>
      <c r="HE47" s="12">
        <v>41547</v>
      </c>
      <c r="HF47">
        <v>22.434000000000001</v>
      </c>
      <c r="HG47" s="12">
        <v>41547</v>
      </c>
      <c r="HH47">
        <v>21.134</v>
      </c>
      <c r="HI47" s="12">
        <v>41547</v>
      </c>
      <c r="HJ47">
        <v>7.827</v>
      </c>
      <c r="HK47" s="12">
        <v>41547</v>
      </c>
      <c r="HL47">
        <v>21</v>
      </c>
      <c r="HM47" s="12">
        <v>41547</v>
      </c>
      <c r="HN47">
        <v>33.807000000000002</v>
      </c>
      <c r="HO47" s="12">
        <v>41547</v>
      </c>
      <c r="HP47">
        <v>32.715000000000003</v>
      </c>
      <c r="HQ47" s="12">
        <v>41639</v>
      </c>
      <c r="HR47">
        <v>61</v>
      </c>
      <c r="HS47" s="12">
        <v>41547</v>
      </c>
      <c r="HT47">
        <v>95.415000000000006</v>
      </c>
      <c r="HU47" s="12">
        <v>41547</v>
      </c>
      <c r="HV47">
        <v>1116.3430000000001</v>
      </c>
      <c r="HW47" s="12">
        <v>41547</v>
      </c>
      <c r="HX47">
        <v>15.949</v>
      </c>
      <c r="HY47" s="12">
        <v>41547</v>
      </c>
      <c r="HZ47">
        <v>16.007999999999999</v>
      </c>
      <c r="IA47" s="12">
        <v>41547</v>
      </c>
      <c r="IB47">
        <v>77.956000000000003</v>
      </c>
      <c r="IC47" s="12">
        <v>41547</v>
      </c>
      <c r="ID47">
        <v>5.4320000000000004</v>
      </c>
      <c r="IE47" s="12">
        <v>41547</v>
      </c>
      <c r="IF47">
        <v>3.7589999999999999</v>
      </c>
      <c r="IG47" s="12">
        <v>41851</v>
      </c>
      <c r="IH47">
        <v>6.65</v>
      </c>
      <c r="II47" s="12">
        <v>41547</v>
      </c>
      <c r="IJ47">
        <v>13.542</v>
      </c>
      <c r="IM47" s="12">
        <v>41547</v>
      </c>
      <c r="IN47">
        <v>18.689</v>
      </c>
      <c r="IO47" s="12">
        <v>42094</v>
      </c>
      <c r="IP47">
        <v>14.185</v>
      </c>
      <c r="IQ47" s="12">
        <v>41547</v>
      </c>
      <c r="IR47">
        <v>17.132999999999999</v>
      </c>
      <c r="IS47" s="12">
        <v>43465</v>
      </c>
      <c r="IT47">
        <v>17</v>
      </c>
      <c r="IU47" s="12">
        <v>41547</v>
      </c>
      <c r="IV47">
        <v>8.5957000000000008</v>
      </c>
      <c r="IY47" s="12">
        <v>41547</v>
      </c>
      <c r="IZ47">
        <v>8.6989999999999998</v>
      </c>
      <c r="JA47" s="12">
        <v>43312</v>
      </c>
      <c r="JB47">
        <v>10.3</v>
      </c>
      <c r="JC47" s="12">
        <v>41547</v>
      </c>
      <c r="JD47">
        <v>6.6</v>
      </c>
      <c r="JE47" s="12">
        <v>41547</v>
      </c>
      <c r="JF47">
        <v>79.25</v>
      </c>
      <c r="JI47" s="12">
        <v>41547</v>
      </c>
      <c r="JJ47">
        <v>9.1509999999999998</v>
      </c>
      <c r="JM47" s="12">
        <v>41547</v>
      </c>
      <c r="JN47">
        <v>1.333</v>
      </c>
      <c r="JO47" s="12">
        <v>41547</v>
      </c>
      <c r="JP47">
        <v>17.873999999999999</v>
      </c>
      <c r="JQ47" s="12">
        <v>42947</v>
      </c>
      <c r="JR47">
        <v>22.24</v>
      </c>
      <c r="JS47" s="12">
        <v>41547</v>
      </c>
      <c r="JT47">
        <v>8.2870000000000008</v>
      </c>
      <c r="JU47" s="12">
        <v>42766</v>
      </c>
      <c r="JV47">
        <v>42.463999999999999</v>
      </c>
      <c r="JW47" s="12">
        <v>41547</v>
      </c>
      <c r="JX47">
        <v>8.6609999999999996</v>
      </c>
      <c r="JY47" s="12">
        <v>41547</v>
      </c>
      <c r="JZ47">
        <v>11.462999999999999</v>
      </c>
      <c r="KC47" s="12">
        <v>41547</v>
      </c>
      <c r="KD47">
        <v>8.0790000000000006</v>
      </c>
      <c r="KE47" s="12">
        <v>41547</v>
      </c>
      <c r="KF47">
        <v>10.114000000000001</v>
      </c>
      <c r="KI47" s="12">
        <v>41547</v>
      </c>
      <c r="KJ47">
        <v>7.0110000000000001</v>
      </c>
      <c r="KO47" s="12">
        <v>41547</v>
      </c>
      <c r="KP47">
        <v>147.71100000000001</v>
      </c>
      <c r="KQ47" s="12">
        <v>41547</v>
      </c>
      <c r="KR47">
        <v>109.902</v>
      </c>
      <c r="KS47" s="12">
        <v>41547</v>
      </c>
      <c r="KT47">
        <v>12.029</v>
      </c>
      <c r="KU47" s="12">
        <v>41547</v>
      </c>
      <c r="KV47">
        <v>8.8759999999999994</v>
      </c>
      <c r="LC47" s="12">
        <v>41547</v>
      </c>
      <c r="LD47">
        <v>10.958</v>
      </c>
      <c r="LE47" s="12">
        <v>41547</v>
      </c>
      <c r="LF47">
        <v>5.3570000000000002</v>
      </c>
      <c r="LG47" s="12">
        <v>41547</v>
      </c>
      <c r="LH47">
        <v>14.145</v>
      </c>
      <c r="LI47" s="12">
        <v>41547</v>
      </c>
      <c r="LJ47">
        <v>23.244</v>
      </c>
      <c r="LM47" s="12">
        <v>41547</v>
      </c>
      <c r="LN47">
        <v>10.199999999999999</v>
      </c>
      <c r="LO47" s="12">
        <v>41547</v>
      </c>
      <c r="LP47">
        <v>9.9779999999999998</v>
      </c>
      <c r="LQ47" s="12">
        <v>41547</v>
      </c>
      <c r="LR47">
        <v>26.611000000000001</v>
      </c>
      <c r="LS47" s="12">
        <v>41547</v>
      </c>
      <c r="LT47">
        <v>25.684999999999999</v>
      </c>
      <c r="LW47" s="12">
        <v>41547</v>
      </c>
      <c r="LX47">
        <v>201.46</v>
      </c>
      <c r="LY47" s="12">
        <v>41547</v>
      </c>
      <c r="LZ47">
        <v>30.887</v>
      </c>
      <c r="MA47" s="12">
        <v>41547</v>
      </c>
      <c r="MB47">
        <v>21.600999999999999</v>
      </c>
      <c r="MC47" s="12">
        <v>43007</v>
      </c>
      <c r="MD47">
        <v>23.001000000000001</v>
      </c>
      <c r="ME47" s="12">
        <v>41547</v>
      </c>
      <c r="MF47">
        <v>5.6630000000000003</v>
      </c>
      <c r="MG47" s="12">
        <v>41547</v>
      </c>
      <c r="MH47">
        <v>6.9969999999999999</v>
      </c>
      <c r="MI47" s="12">
        <v>43553</v>
      </c>
      <c r="MJ47">
        <v>6.8289999999999997</v>
      </c>
      <c r="MK47" s="12">
        <v>41547</v>
      </c>
      <c r="ML47">
        <v>13.156000000000001</v>
      </c>
    </row>
    <row r="48" spans="1:350" x14ac:dyDescent="0.3">
      <c r="A48" s="12">
        <v>41578</v>
      </c>
      <c r="B48" s="1">
        <v>13.573</v>
      </c>
      <c r="C48" s="1"/>
      <c r="E48" s="12">
        <v>41578</v>
      </c>
      <c r="F48" s="13">
        <v>8.0150000000000006</v>
      </c>
      <c r="G48" s="17">
        <v>41578</v>
      </c>
      <c r="H48" s="13">
        <v>8.9149999999999991</v>
      </c>
      <c r="I48" s="17">
        <v>41607</v>
      </c>
      <c r="J48">
        <v>17.881</v>
      </c>
      <c r="K48" s="12">
        <v>42794</v>
      </c>
      <c r="L48">
        <v>17.709</v>
      </c>
      <c r="M48" s="12">
        <v>41578</v>
      </c>
      <c r="N48" s="12">
        <v>83.45</v>
      </c>
      <c r="Q48" s="12">
        <v>42978</v>
      </c>
      <c r="R48">
        <v>18.481000000000002</v>
      </c>
      <c r="S48" s="12">
        <v>41578</v>
      </c>
      <c r="T48">
        <v>18.622</v>
      </c>
      <c r="U48" s="12">
        <v>42004</v>
      </c>
      <c r="V48">
        <v>22.532</v>
      </c>
      <c r="Y48" s="12">
        <v>41578</v>
      </c>
      <c r="Z48">
        <v>9.9269999999999996</v>
      </c>
      <c r="AA48" s="12">
        <v>41578</v>
      </c>
      <c r="AB48">
        <v>20.61</v>
      </c>
      <c r="AC48" s="12">
        <v>41578</v>
      </c>
      <c r="AD48">
        <v>12.923</v>
      </c>
      <c r="AE48" s="12">
        <v>41578</v>
      </c>
      <c r="AF48">
        <v>11.367000000000001</v>
      </c>
      <c r="AG48" s="12">
        <v>41578</v>
      </c>
      <c r="AH48">
        <v>44.017000000000003</v>
      </c>
      <c r="AI48" s="12">
        <v>42794</v>
      </c>
      <c r="AJ48">
        <v>21.579000000000001</v>
      </c>
      <c r="AK48" s="12">
        <v>41578</v>
      </c>
      <c r="AL48">
        <v>9.2430000000000003</v>
      </c>
      <c r="AO48" s="12">
        <v>41578</v>
      </c>
      <c r="AP48">
        <v>1.41</v>
      </c>
      <c r="AS48" s="12">
        <v>41578</v>
      </c>
      <c r="AT48">
        <v>4.9020000000000001</v>
      </c>
      <c r="AU48" s="12">
        <v>41578</v>
      </c>
      <c r="AV48">
        <v>18.163</v>
      </c>
      <c r="AY48" s="12">
        <v>41578</v>
      </c>
      <c r="AZ48">
        <v>49.536999999999999</v>
      </c>
      <c r="BA48" s="12">
        <v>41578</v>
      </c>
      <c r="BB48">
        <v>14.836</v>
      </c>
      <c r="BC48" s="12">
        <v>41578</v>
      </c>
      <c r="BD48">
        <v>12.71</v>
      </c>
      <c r="BE48" s="12">
        <v>41670</v>
      </c>
      <c r="BF48">
        <v>8.9090000000000007</v>
      </c>
      <c r="BG48" s="12">
        <v>41578</v>
      </c>
      <c r="BH48">
        <v>9.8060000000000009</v>
      </c>
      <c r="BI48" s="12">
        <v>41578</v>
      </c>
      <c r="BJ48">
        <v>14.534000000000001</v>
      </c>
      <c r="BK48" s="12">
        <v>41578</v>
      </c>
      <c r="BL48">
        <v>13.779</v>
      </c>
      <c r="BM48" s="12">
        <v>41578</v>
      </c>
      <c r="BN48">
        <v>14.054</v>
      </c>
      <c r="BO48" s="12">
        <v>41578</v>
      </c>
      <c r="BP48">
        <v>15.069000000000001</v>
      </c>
      <c r="BQ48" s="12">
        <v>41578</v>
      </c>
      <c r="BR48">
        <v>8.6880000000000006</v>
      </c>
      <c r="BS48" s="12">
        <v>41578</v>
      </c>
      <c r="BT48">
        <v>8.6020000000000003</v>
      </c>
      <c r="BW48" s="12">
        <v>41578</v>
      </c>
      <c r="BX48">
        <v>7.0890000000000004</v>
      </c>
      <c r="BY48" s="12">
        <v>41578</v>
      </c>
      <c r="BZ48">
        <v>16.408999999999999</v>
      </c>
      <c r="CA48" s="12">
        <v>41578</v>
      </c>
      <c r="CB48">
        <v>21.452999999999999</v>
      </c>
      <c r="CE48" s="12">
        <v>41578</v>
      </c>
      <c r="CF48">
        <v>22.016999999999999</v>
      </c>
      <c r="CG48" s="12">
        <v>41578</v>
      </c>
      <c r="CH48">
        <v>33.084000000000003</v>
      </c>
      <c r="CI48" s="12">
        <v>41578</v>
      </c>
      <c r="CJ48">
        <v>27.582999999999998</v>
      </c>
      <c r="CK48" s="12">
        <v>41578</v>
      </c>
      <c r="CL48">
        <v>9.9480000000000004</v>
      </c>
      <c r="CM48" s="12">
        <v>41578</v>
      </c>
      <c r="CN48">
        <v>21.068999999999999</v>
      </c>
      <c r="CO48" s="12">
        <v>43039</v>
      </c>
      <c r="CP48">
        <v>42.131</v>
      </c>
      <c r="CQ48" s="12">
        <v>41578</v>
      </c>
      <c r="CR48">
        <v>13.067</v>
      </c>
      <c r="CS48" s="12">
        <v>41578</v>
      </c>
      <c r="CT48">
        <v>11.153</v>
      </c>
      <c r="CU48" s="12">
        <v>41578</v>
      </c>
      <c r="CV48">
        <v>8.9090000000000007</v>
      </c>
      <c r="CW48" s="12">
        <v>41578</v>
      </c>
      <c r="CX48">
        <v>10.177</v>
      </c>
      <c r="CY48" s="12">
        <v>41670</v>
      </c>
      <c r="CZ48">
        <v>9.0310000000000006</v>
      </c>
      <c r="DA48" s="12">
        <v>41578</v>
      </c>
      <c r="DB48">
        <v>21.1</v>
      </c>
      <c r="DC48" s="12">
        <v>41578</v>
      </c>
      <c r="DD48">
        <v>6.5430000000000001</v>
      </c>
      <c r="DE48" s="12">
        <v>41578</v>
      </c>
      <c r="DF48">
        <v>8.9990000000000006</v>
      </c>
      <c r="DG48" s="12">
        <v>42216</v>
      </c>
      <c r="DH48">
        <v>15.02</v>
      </c>
      <c r="DI48" s="12">
        <v>41578</v>
      </c>
      <c r="DJ48">
        <v>9.1959999999999997</v>
      </c>
      <c r="DK48" s="12">
        <v>41578</v>
      </c>
      <c r="DL48">
        <v>15.441000000000001</v>
      </c>
      <c r="DM48" s="12">
        <v>42004</v>
      </c>
      <c r="DN48">
        <v>4.5049999999999999</v>
      </c>
      <c r="DO48" s="12">
        <v>41578</v>
      </c>
      <c r="DP48">
        <v>8.9749999999999996</v>
      </c>
      <c r="DQ48" s="12">
        <v>41578</v>
      </c>
      <c r="DR48">
        <v>256.149</v>
      </c>
      <c r="DS48" s="12">
        <v>41578</v>
      </c>
      <c r="DT48">
        <v>10.013</v>
      </c>
      <c r="DU48" s="12">
        <v>41578</v>
      </c>
      <c r="DV48">
        <v>4.1920000000000002</v>
      </c>
      <c r="DW48" s="12">
        <v>41578</v>
      </c>
      <c r="DX48">
        <v>7.0979999999999999</v>
      </c>
      <c r="DY48" s="12">
        <v>41578</v>
      </c>
      <c r="DZ48">
        <v>16.728999999999999</v>
      </c>
      <c r="EC48" s="12">
        <v>41578</v>
      </c>
      <c r="ED48">
        <v>24.007999999999999</v>
      </c>
      <c r="EE48" s="12">
        <v>41578</v>
      </c>
      <c r="EF48">
        <v>6.46</v>
      </c>
      <c r="EG48" s="12">
        <v>41578</v>
      </c>
      <c r="EH48">
        <v>17.806000000000001</v>
      </c>
      <c r="EI48" s="12">
        <v>41578</v>
      </c>
      <c r="EJ48">
        <v>21.311</v>
      </c>
      <c r="EK48" s="12">
        <v>41578</v>
      </c>
      <c r="EL48">
        <v>12.943999999999999</v>
      </c>
      <c r="EM48" s="12">
        <v>41578</v>
      </c>
      <c r="EN48">
        <v>15.808999999999999</v>
      </c>
      <c r="EQ48" s="12">
        <v>41578</v>
      </c>
      <c r="ER48">
        <v>20.57</v>
      </c>
      <c r="ES48" s="12">
        <v>41578</v>
      </c>
      <c r="ET48">
        <v>11.33</v>
      </c>
      <c r="EU48" s="12">
        <v>41578</v>
      </c>
      <c r="EV48">
        <v>4.8780000000000001</v>
      </c>
      <c r="EY48" s="12">
        <v>41578</v>
      </c>
      <c r="EZ48">
        <v>24.047000000000001</v>
      </c>
      <c r="FA48" s="12">
        <v>41578</v>
      </c>
      <c r="FB48">
        <v>16.193000000000001</v>
      </c>
      <c r="FC48" s="12">
        <v>41578</v>
      </c>
      <c r="FD48">
        <v>23.167000000000002</v>
      </c>
      <c r="FG48" s="12">
        <v>41578</v>
      </c>
      <c r="FH48">
        <v>4.1520000000000001</v>
      </c>
      <c r="FI48" s="12">
        <v>41578</v>
      </c>
      <c r="FJ48">
        <v>10.928000000000001</v>
      </c>
      <c r="FK48" s="12">
        <v>41578</v>
      </c>
      <c r="FL48">
        <v>12.095000000000001</v>
      </c>
      <c r="FM48" s="12">
        <v>41578</v>
      </c>
      <c r="FN48">
        <v>7.2960000000000003</v>
      </c>
      <c r="FO48" s="12">
        <v>41578</v>
      </c>
      <c r="FP48">
        <v>24.692</v>
      </c>
      <c r="FQ48" s="12">
        <v>43069</v>
      </c>
      <c r="FR48">
        <v>16.007999999999999</v>
      </c>
      <c r="FS48" s="12">
        <v>41578</v>
      </c>
      <c r="FT48">
        <v>1.7469999999999999</v>
      </c>
      <c r="FU48" s="12">
        <v>41578</v>
      </c>
      <c r="FV48">
        <v>8.843</v>
      </c>
      <c r="FW48" s="12">
        <v>41578</v>
      </c>
      <c r="FX48">
        <v>10.599</v>
      </c>
      <c r="FY48" s="12">
        <v>42429</v>
      </c>
      <c r="FZ48">
        <v>0.91100000000000003</v>
      </c>
      <c r="GA48" s="12">
        <v>41578</v>
      </c>
      <c r="GB48">
        <v>18.626000000000001</v>
      </c>
      <c r="GC48" s="12">
        <v>41578</v>
      </c>
      <c r="GD48">
        <v>16.221</v>
      </c>
      <c r="GE48" s="12">
        <v>42734</v>
      </c>
      <c r="GF48">
        <v>16.777999999999999</v>
      </c>
      <c r="GI48" s="12">
        <v>41578</v>
      </c>
      <c r="GJ48">
        <v>10.036</v>
      </c>
      <c r="GK48" s="12">
        <v>41578</v>
      </c>
      <c r="GL48">
        <v>28.155000000000001</v>
      </c>
      <c r="GM48" s="12">
        <v>41578</v>
      </c>
      <c r="GN48">
        <v>32.277999999999999</v>
      </c>
      <c r="GO48" s="12">
        <v>42062</v>
      </c>
      <c r="GP48">
        <v>0.72799999999999998</v>
      </c>
      <c r="GQ48" s="12">
        <v>41698</v>
      </c>
      <c r="GR48">
        <v>25.494</v>
      </c>
      <c r="GS48" s="12">
        <v>41578</v>
      </c>
      <c r="GT48">
        <v>127.5</v>
      </c>
      <c r="GW48" s="12">
        <v>41639</v>
      </c>
      <c r="GX48">
        <v>20.309000000000001</v>
      </c>
      <c r="GY48" s="12">
        <v>41578</v>
      </c>
      <c r="GZ48">
        <v>4.55</v>
      </c>
      <c r="HA48" s="12">
        <v>41578</v>
      </c>
      <c r="HB48">
        <v>6.4690000000000003</v>
      </c>
      <c r="HC48" s="12">
        <v>41578</v>
      </c>
      <c r="HD48">
        <v>15.536</v>
      </c>
      <c r="HE48" s="12">
        <v>41578</v>
      </c>
      <c r="HF48">
        <v>22.425999999999998</v>
      </c>
      <c r="HG48" s="12">
        <v>41578</v>
      </c>
      <c r="HH48">
        <v>19.126999999999999</v>
      </c>
      <c r="HI48" s="12">
        <v>41578</v>
      </c>
      <c r="HJ48">
        <v>7.516</v>
      </c>
      <c r="HK48" s="12">
        <v>41578</v>
      </c>
      <c r="HL48">
        <v>13</v>
      </c>
      <c r="HM48" s="12">
        <v>41578</v>
      </c>
      <c r="HN48">
        <v>30.001000000000001</v>
      </c>
      <c r="HO48" s="12">
        <v>41578</v>
      </c>
      <c r="HP48">
        <v>28.74</v>
      </c>
      <c r="HQ48" s="12">
        <v>41670</v>
      </c>
      <c r="HR48">
        <v>71</v>
      </c>
      <c r="HS48" s="12">
        <v>41578</v>
      </c>
      <c r="HT48">
        <v>105.084</v>
      </c>
      <c r="HU48" s="12">
        <v>41578</v>
      </c>
      <c r="HV48">
        <v>921.21</v>
      </c>
      <c r="HW48" s="12">
        <v>41578</v>
      </c>
      <c r="HX48">
        <v>18.375</v>
      </c>
      <c r="HY48" s="12">
        <v>41578</v>
      </c>
      <c r="HZ48">
        <v>17.812999999999999</v>
      </c>
      <c r="IA48" s="12">
        <v>41578</v>
      </c>
      <c r="IB48">
        <v>77.471000000000004</v>
      </c>
      <c r="IC48" s="12">
        <v>41578</v>
      </c>
      <c r="ID48">
        <v>4.7569999999999997</v>
      </c>
      <c r="IE48" s="12">
        <v>41578</v>
      </c>
      <c r="IF48">
        <v>3.57</v>
      </c>
      <c r="IG48" s="12">
        <v>41880</v>
      </c>
      <c r="IH48">
        <v>6.9850000000000003</v>
      </c>
      <c r="II48" s="12">
        <v>41578</v>
      </c>
      <c r="IJ48">
        <v>11.54</v>
      </c>
      <c r="IM48" s="12">
        <v>41578</v>
      </c>
      <c r="IN48">
        <v>19.16</v>
      </c>
      <c r="IO48" s="12">
        <v>42124</v>
      </c>
      <c r="IP48">
        <v>15.43</v>
      </c>
      <c r="IQ48" s="12">
        <v>41578</v>
      </c>
      <c r="IR48">
        <v>15.31</v>
      </c>
      <c r="IS48" s="12">
        <v>43496</v>
      </c>
      <c r="IT48">
        <v>19.649999999999999</v>
      </c>
      <c r="IU48" s="12">
        <v>41578</v>
      </c>
      <c r="IV48">
        <v>8.8178000000000001</v>
      </c>
      <c r="IY48" s="12">
        <v>41578</v>
      </c>
      <c r="IZ48">
        <v>9.6419999999999995</v>
      </c>
      <c r="JA48" s="12">
        <v>43343</v>
      </c>
      <c r="JB48">
        <v>9.6300000000000008</v>
      </c>
      <c r="JC48" s="12">
        <v>41578</v>
      </c>
      <c r="JD48">
        <v>6</v>
      </c>
      <c r="JE48" s="12">
        <v>41578</v>
      </c>
      <c r="JF48">
        <v>69</v>
      </c>
      <c r="JI48" s="12">
        <v>41578</v>
      </c>
      <c r="JJ48">
        <v>9.4019999999999992</v>
      </c>
      <c r="JM48" s="12">
        <v>41578</v>
      </c>
      <c r="JN48">
        <v>1.355</v>
      </c>
      <c r="JO48" s="12">
        <v>41578</v>
      </c>
      <c r="JP48">
        <v>19.609000000000002</v>
      </c>
      <c r="JQ48" s="12">
        <v>42978</v>
      </c>
      <c r="JR48">
        <v>25.367999999999999</v>
      </c>
      <c r="JS48" s="12">
        <v>41578</v>
      </c>
      <c r="JT48">
        <v>7.8789999999999996</v>
      </c>
      <c r="JU48" s="12">
        <v>42794</v>
      </c>
      <c r="JV48">
        <v>50.402000000000001</v>
      </c>
      <c r="JW48" s="12">
        <v>41578</v>
      </c>
      <c r="JX48">
        <v>9.4380000000000006</v>
      </c>
      <c r="JY48" s="12">
        <v>41578</v>
      </c>
      <c r="JZ48">
        <v>11.795999999999999</v>
      </c>
      <c r="KC48" s="12">
        <v>41578</v>
      </c>
      <c r="KD48">
        <v>8.3829999999999991</v>
      </c>
      <c r="KE48" s="12">
        <v>41578</v>
      </c>
      <c r="KF48">
        <v>10.327999999999999</v>
      </c>
      <c r="KI48" s="12">
        <v>41578</v>
      </c>
      <c r="KJ48">
        <v>7.0030000000000001</v>
      </c>
      <c r="KO48" s="12">
        <v>41578</v>
      </c>
      <c r="KP48">
        <v>147.215</v>
      </c>
      <c r="KQ48" s="12">
        <v>41578</v>
      </c>
      <c r="KR48">
        <v>106.78700000000001</v>
      </c>
      <c r="KS48" s="12">
        <v>41578</v>
      </c>
      <c r="KT48">
        <v>12.253</v>
      </c>
      <c r="KU48" s="12">
        <v>41578</v>
      </c>
      <c r="KV48">
        <v>9.86</v>
      </c>
      <c r="LC48" s="12">
        <v>41578</v>
      </c>
      <c r="LD48">
        <v>11.101000000000001</v>
      </c>
      <c r="LE48" s="12">
        <v>41578</v>
      </c>
      <c r="LF48">
        <v>4.9779999999999998</v>
      </c>
      <c r="LG48" s="12">
        <v>41578</v>
      </c>
      <c r="LH48">
        <v>13.914999999999999</v>
      </c>
      <c r="LI48" s="12">
        <v>41578</v>
      </c>
      <c r="LJ48">
        <v>25.387</v>
      </c>
      <c r="LM48" s="12">
        <v>41578</v>
      </c>
      <c r="LN48">
        <v>11.051</v>
      </c>
      <c r="LO48" s="12">
        <v>41578</v>
      </c>
      <c r="LP48">
        <v>11.266999999999999</v>
      </c>
      <c r="LQ48" s="12">
        <v>41578</v>
      </c>
      <c r="LR48">
        <v>28.352</v>
      </c>
      <c r="LS48" s="12">
        <v>41578</v>
      </c>
      <c r="LT48">
        <v>27.533999999999999</v>
      </c>
      <c r="LW48" s="12">
        <v>41578</v>
      </c>
      <c r="LX48">
        <v>251.82599999999999</v>
      </c>
      <c r="LY48" s="12">
        <v>41578</v>
      </c>
      <c r="LZ48">
        <v>31.140999999999998</v>
      </c>
      <c r="MA48" s="12">
        <v>41578</v>
      </c>
      <c r="MB48">
        <v>25.273</v>
      </c>
      <c r="MC48" s="12">
        <v>43039</v>
      </c>
      <c r="MD48">
        <v>22.463999999999999</v>
      </c>
      <c r="ME48" s="12">
        <v>41578</v>
      </c>
      <c r="MF48">
        <v>7.2220000000000004</v>
      </c>
      <c r="MG48" s="12">
        <v>41578</v>
      </c>
      <c r="MH48">
        <v>7.5410000000000004</v>
      </c>
      <c r="MI48" s="12">
        <v>43585</v>
      </c>
      <c r="MJ48">
        <v>7.4989999999999997</v>
      </c>
      <c r="MK48" s="12">
        <v>41578</v>
      </c>
      <c r="ML48">
        <v>13.217000000000001</v>
      </c>
    </row>
    <row r="49" spans="1:350" x14ac:dyDescent="0.3">
      <c r="A49" s="12">
        <v>41607</v>
      </c>
      <c r="B49" s="1">
        <v>14.26</v>
      </c>
      <c r="C49" s="1"/>
      <c r="E49" s="12">
        <v>41607</v>
      </c>
      <c r="F49" s="13">
        <v>7.7960000000000003</v>
      </c>
      <c r="G49" s="17">
        <v>41607</v>
      </c>
      <c r="H49" s="13">
        <v>8.6939999999999991</v>
      </c>
      <c r="I49" s="17">
        <v>41639</v>
      </c>
      <c r="J49">
        <v>16.443000000000001</v>
      </c>
      <c r="K49" s="12">
        <v>42825</v>
      </c>
      <c r="L49">
        <v>18.234999999999999</v>
      </c>
      <c r="M49" s="12">
        <v>41607</v>
      </c>
      <c r="N49" s="12">
        <v>87</v>
      </c>
      <c r="Q49" s="12">
        <v>43007</v>
      </c>
      <c r="R49">
        <v>22.829000000000001</v>
      </c>
      <c r="S49" s="12">
        <v>41607</v>
      </c>
      <c r="T49">
        <v>18.565999999999999</v>
      </c>
      <c r="U49" s="12">
        <v>42034</v>
      </c>
      <c r="V49">
        <v>19.59</v>
      </c>
      <c r="Y49" s="12">
        <v>41607</v>
      </c>
      <c r="Z49">
        <v>9.3610000000000007</v>
      </c>
      <c r="AA49" s="12">
        <v>41607</v>
      </c>
      <c r="AB49">
        <v>17.864999999999998</v>
      </c>
      <c r="AC49" s="12">
        <v>41607</v>
      </c>
      <c r="AD49">
        <v>12.356999999999999</v>
      </c>
      <c r="AE49" s="12">
        <v>41607</v>
      </c>
      <c r="AF49">
        <v>10.923999999999999</v>
      </c>
      <c r="AG49" s="12">
        <v>41607</v>
      </c>
      <c r="AH49">
        <v>42.506999999999998</v>
      </c>
      <c r="AI49" s="12">
        <v>42825</v>
      </c>
      <c r="AJ49">
        <v>22.015999999999998</v>
      </c>
      <c r="AK49" s="12">
        <v>41607</v>
      </c>
      <c r="AL49">
        <v>10.119</v>
      </c>
      <c r="AO49" s="12">
        <v>41607</v>
      </c>
      <c r="AP49">
        <v>1.1200000000000001</v>
      </c>
      <c r="AS49" s="12">
        <v>41607</v>
      </c>
      <c r="AT49">
        <v>4.3170000000000002</v>
      </c>
      <c r="AU49" s="12">
        <v>41607</v>
      </c>
      <c r="AV49">
        <v>17.785</v>
      </c>
      <c r="AY49" s="12">
        <v>41607</v>
      </c>
      <c r="AZ49">
        <v>48.134</v>
      </c>
      <c r="BA49" s="12">
        <v>41607</v>
      </c>
      <c r="BB49">
        <v>15.522</v>
      </c>
      <c r="BC49" s="12">
        <v>41607</v>
      </c>
      <c r="BD49">
        <v>11.217000000000001</v>
      </c>
      <c r="BE49" s="12">
        <v>41698</v>
      </c>
      <c r="BF49">
        <v>8.952</v>
      </c>
      <c r="BG49" s="12">
        <v>41607</v>
      </c>
      <c r="BH49">
        <v>8.3509999999999991</v>
      </c>
      <c r="BI49" s="12">
        <v>41607</v>
      </c>
      <c r="BJ49">
        <v>12.191000000000001</v>
      </c>
      <c r="BK49" s="12">
        <v>41607</v>
      </c>
      <c r="BL49">
        <v>13.683</v>
      </c>
      <c r="BM49" s="12">
        <v>41607</v>
      </c>
      <c r="BN49">
        <v>14.09</v>
      </c>
      <c r="BO49" s="12">
        <v>41607</v>
      </c>
      <c r="BP49">
        <v>15.013</v>
      </c>
      <c r="BQ49" s="12">
        <v>41607</v>
      </c>
      <c r="BR49">
        <v>8.4120000000000008</v>
      </c>
      <c r="BS49" s="12">
        <v>41607</v>
      </c>
      <c r="BT49">
        <v>8.4730000000000008</v>
      </c>
      <c r="BW49" s="12">
        <v>41607</v>
      </c>
      <c r="BX49">
        <v>8.4969999999999999</v>
      </c>
      <c r="BY49" s="12">
        <v>41607</v>
      </c>
      <c r="BZ49">
        <v>16.666</v>
      </c>
      <c r="CA49" s="12">
        <v>41607</v>
      </c>
      <c r="CB49">
        <v>22.413</v>
      </c>
      <c r="CE49" s="12">
        <v>41607</v>
      </c>
      <c r="CF49">
        <v>21.353000000000002</v>
      </c>
      <c r="CG49" s="12">
        <v>41607</v>
      </c>
      <c r="CH49">
        <v>31.67</v>
      </c>
      <c r="CI49" s="12">
        <v>41607</v>
      </c>
      <c r="CJ49">
        <v>29.131</v>
      </c>
      <c r="CK49" s="12">
        <v>41607</v>
      </c>
      <c r="CL49">
        <v>9.9920000000000009</v>
      </c>
      <c r="CM49" s="12">
        <v>41607</v>
      </c>
      <c r="CN49">
        <v>21.629000000000001</v>
      </c>
      <c r="CO49" s="12">
        <v>43069</v>
      </c>
      <c r="CP49">
        <v>43.856999999999999</v>
      </c>
      <c r="CQ49" s="12">
        <v>41607</v>
      </c>
      <c r="CR49">
        <v>12.326000000000001</v>
      </c>
      <c r="CS49" s="12">
        <v>41607</v>
      </c>
      <c r="CT49">
        <v>11.813000000000001</v>
      </c>
      <c r="CU49" s="12">
        <v>41607</v>
      </c>
      <c r="CV49">
        <v>8.5730000000000004</v>
      </c>
      <c r="CW49" s="12">
        <v>41607</v>
      </c>
      <c r="CX49">
        <v>9.9580000000000002</v>
      </c>
      <c r="CY49" s="12">
        <v>41698</v>
      </c>
      <c r="CZ49">
        <v>9.0679999999999996</v>
      </c>
      <c r="DA49" s="12">
        <v>41607</v>
      </c>
      <c r="DB49">
        <v>21.385999999999999</v>
      </c>
      <c r="DC49" s="12">
        <v>41607</v>
      </c>
      <c r="DD49">
        <v>5.4560000000000004</v>
      </c>
      <c r="DE49" s="12">
        <v>41607</v>
      </c>
      <c r="DF49">
        <v>7.8659999999999997</v>
      </c>
      <c r="DG49" s="12">
        <v>42247</v>
      </c>
      <c r="DH49">
        <v>12.401</v>
      </c>
      <c r="DI49" s="12">
        <v>41607</v>
      </c>
      <c r="DJ49">
        <v>8.6989999999999998</v>
      </c>
      <c r="DK49" s="12">
        <v>41607</v>
      </c>
      <c r="DL49">
        <v>17.131</v>
      </c>
      <c r="DM49" s="12">
        <v>42034</v>
      </c>
      <c r="DN49">
        <v>3.5670000000000002</v>
      </c>
      <c r="DO49" s="12">
        <v>41607</v>
      </c>
      <c r="DP49">
        <v>8.3789999999999996</v>
      </c>
      <c r="DQ49" s="12">
        <v>41607</v>
      </c>
      <c r="DR49">
        <v>176.459</v>
      </c>
      <c r="DS49" s="12">
        <v>41607</v>
      </c>
      <c r="DT49">
        <v>9.6850000000000005</v>
      </c>
      <c r="DU49" s="12">
        <v>41607</v>
      </c>
      <c r="DV49">
        <v>4.3360000000000003</v>
      </c>
      <c r="DW49" s="12">
        <v>41607</v>
      </c>
      <c r="DX49">
        <v>6.9870000000000001</v>
      </c>
      <c r="DY49" s="12">
        <v>41607</v>
      </c>
      <c r="DZ49">
        <v>15.714</v>
      </c>
      <c r="EC49" s="12">
        <v>41607</v>
      </c>
      <c r="ED49">
        <v>22.966000000000001</v>
      </c>
      <c r="EE49" s="12">
        <v>41607</v>
      </c>
      <c r="EF49">
        <v>7.33</v>
      </c>
      <c r="EG49" s="12">
        <v>41607</v>
      </c>
      <c r="EH49">
        <v>16.869</v>
      </c>
      <c r="EI49" s="12">
        <v>41607</v>
      </c>
      <c r="EJ49">
        <v>23.844000000000001</v>
      </c>
      <c r="EK49" s="12">
        <v>41607</v>
      </c>
      <c r="EL49">
        <v>13.179</v>
      </c>
      <c r="EM49" s="12">
        <v>41607</v>
      </c>
      <c r="EN49">
        <v>16.21</v>
      </c>
      <c r="EQ49" s="12">
        <v>41607</v>
      </c>
      <c r="ER49">
        <v>20.533000000000001</v>
      </c>
      <c r="ES49" s="12">
        <v>41607</v>
      </c>
      <c r="ET49">
        <v>9.91</v>
      </c>
      <c r="EU49" s="12">
        <v>41607</v>
      </c>
      <c r="EV49">
        <v>4.4550000000000001</v>
      </c>
      <c r="EY49" s="12">
        <v>41607</v>
      </c>
      <c r="EZ49">
        <v>22.988</v>
      </c>
      <c r="FA49" s="12">
        <v>41607</v>
      </c>
      <c r="FB49">
        <v>15.779</v>
      </c>
      <c r="FC49" s="12">
        <v>41607</v>
      </c>
      <c r="FD49">
        <v>21.431000000000001</v>
      </c>
      <c r="FG49" s="12">
        <v>41607</v>
      </c>
      <c r="FH49">
        <v>4.0019999999999998</v>
      </c>
      <c r="FI49" s="12">
        <v>41607</v>
      </c>
      <c r="FJ49">
        <v>10.257</v>
      </c>
      <c r="FK49" s="12">
        <v>41607</v>
      </c>
      <c r="FL49">
        <v>11.526999999999999</v>
      </c>
      <c r="FM49" s="12">
        <v>41607</v>
      </c>
      <c r="FN49">
        <v>7.6139999999999999</v>
      </c>
      <c r="FO49" s="12">
        <v>41607</v>
      </c>
      <c r="FP49">
        <v>37.835999999999999</v>
      </c>
      <c r="FQ49" s="12">
        <v>43098</v>
      </c>
      <c r="FR49">
        <v>15.784000000000001</v>
      </c>
      <c r="FS49" s="12">
        <v>41607</v>
      </c>
      <c r="FT49">
        <v>1.885</v>
      </c>
      <c r="FU49" s="12">
        <v>41607</v>
      </c>
      <c r="FV49">
        <v>8.6910000000000007</v>
      </c>
      <c r="FW49" s="12">
        <v>41607</v>
      </c>
      <c r="FX49">
        <v>10.164</v>
      </c>
      <c r="FY49" s="12">
        <v>42460</v>
      </c>
      <c r="FZ49">
        <v>1.1040000000000001</v>
      </c>
      <c r="GA49" s="12">
        <v>41607</v>
      </c>
      <c r="GB49">
        <v>18.652999999999999</v>
      </c>
      <c r="GC49" s="12">
        <v>41607</v>
      </c>
      <c r="GD49">
        <v>17.675999999999998</v>
      </c>
      <c r="GE49" s="12">
        <v>42766</v>
      </c>
      <c r="GF49">
        <v>17.445</v>
      </c>
      <c r="GI49" s="12">
        <v>41607</v>
      </c>
      <c r="GJ49">
        <v>9.2929999999999993</v>
      </c>
      <c r="GK49" s="12">
        <v>41607</v>
      </c>
      <c r="GL49">
        <v>26.709</v>
      </c>
      <c r="GM49" s="12">
        <v>41607</v>
      </c>
      <c r="GN49">
        <v>32.929000000000002</v>
      </c>
      <c r="GO49" s="12">
        <v>42094</v>
      </c>
      <c r="GP49">
        <v>0.61499999999999999</v>
      </c>
      <c r="GQ49" s="12">
        <v>41729</v>
      </c>
      <c r="GR49">
        <v>27.776</v>
      </c>
      <c r="GS49" s="12">
        <v>41607</v>
      </c>
      <c r="GT49">
        <v>100.5</v>
      </c>
      <c r="GW49" s="12">
        <v>41670</v>
      </c>
      <c r="GX49">
        <v>17.579999999999998</v>
      </c>
      <c r="GY49" s="12">
        <v>41607</v>
      </c>
      <c r="GZ49">
        <v>4.32</v>
      </c>
      <c r="HA49" s="12">
        <v>41607</v>
      </c>
      <c r="HB49">
        <v>6.1879999999999997</v>
      </c>
      <c r="HC49" s="12">
        <v>41607</v>
      </c>
      <c r="HD49">
        <v>15.196</v>
      </c>
      <c r="HE49" s="12">
        <v>41607</v>
      </c>
      <c r="HF49">
        <v>21.46</v>
      </c>
      <c r="HG49" s="12">
        <v>41607</v>
      </c>
      <c r="HH49">
        <v>18.443999999999999</v>
      </c>
      <c r="HI49" s="12">
        <v>41607</v>
      </c>
      <c r="HJ49">
        <v>7.7110000000000003</v>
      </c>
      <c r="HK49" s="12">
        <v>41607</v>
      </c>
      <c r="HL49">
        <v>16</v>
      </c>
      <c r="HM49" s="12">
        <v>41607</v>
      </c>
      <c r="HN49">
        <v>28.882000000000001</v>
      </c>
      <c r="HO49" s="12">
        <v>41607</v>
      </c>
      <c r="HP49">
        <v>27.288</v>
      </c>
      <c r="HQ49" s="12">
        <v>41698</v>
      </c>
      <c r="HR49">
        <v>61</v>
      </c>
      <c r="HS49" s="12">
        <v>41607</v>
      </c>
      <c r="HT49">
        <v>102.71899999999999</v>
      </c>
      <c r="HU49" s="12">
        <v>41607</v>
      </c>
      <c r="HV49">
        <v>762.38099999999997</v>
      </c>
      <c r="HW49" s="12">
        <v>41607</v>
      </c>
      <c r="HX49">
        <v>17.228000000000002</v>
      </c>
      <c r="HY49" s="12">
        <v>41607</v>
      </c>
      <c r="HZ49">
        <v>16.670000000000002</v>
      </c>
      <c r="IA49" s="12">
        <v>41607</v>
      </c>
      <c r="IB49">
        <v>84.102000000000004</v>
      </c>
      <c r="IC49" s="12">
        <v>41607</v>
      </c>
      <c r="ID49">
        <v>4.774</v>
      </c>
      <c r="IE49" s="12">
        <v>41607</v>
      </c>
      <c r="IF49">
        <v>2.919</v>
      </c>
      <c r="IG49" s="12">
        <v>41912</v>
      </c>
      <c r="IH49">
        <v>5.4749999999999996</v>
      </c>
      <c r="II49" s="12">
        <v>41607</v>
      </c>
      <c r="IJ49">
        <v>9.6820000000000004</v>
      </c>
      <c r="IM49" s="12">
        <v>41607</v>
      </c>
      <c r="IN49">
        <v>20.099</v>
      </c>
      <c r="IO49" s="12">
        <v>42153</v>
      </c>
      <c r="IP49">
        <v>12.026999999999999</v>
      </c>
      <c r="IQ49" s="12">
        <v>41607</v>
      </c>
      <c r="IR49">
        <v>15.795999999999999</v>
      </c>
      <c r="IS49" s="12">
        <v>43524</v>
      </c>
      <c r="IT49">
        <v>19.46</v>
      </c>
      <c r="IU49" s="12">
        <v>41607</v>
      </c>
      <c r="IV49">
        <v>8.3457000000000008</v>
      </c>
      <c r="IY49" s="12">
        <v>41607</v>
      </c>
      <c r="IZ49">
        <v>9.23</v>
      </c>
      <c r="JA49" s="12">
        <v>43371</v>
      </c>
      <c r="JB49">
        <v>10.1</v>
      </c>
      <c r="JC49" s="12">
        <v>41607</v>
      </c>
      <c r="JD49">
        <v>5.8</v>
      </c>
      <c r="JE49" s="12">
        <v>41607</v>
      </c>
      <c r="JF49">
        <v>54</v>
      </c>
      <c r="JI49" s="12">
        <v>41607</v>
      </c>
      <c r="JJ49">
        <v>9.1259999999999994</v>
      </c>
      <c r="JM49" s="12">
        <v>41607</v>
      </c>
      <c r="JN49">
        <v>1.3129999999999999</v>
      </c>
      <c r="JO49" s="12">
        <v>41607</v>
      </c>
      <c r="JP49">
        <v>20.120999999999999</v>
      </c>
      <c r="JQ49" s="12">
        <v>43007</v>
      </c>
      <c r="JR49">
        <v>27.263999999999999</v>
      </c>
      <c r="JS49" s="12">
        <v>41607</v>
      </c>
      <c r="JT49">
        <v>7.4989999999999997</v>
      </c>
      <c r="JU49" s="12">
        <v>42825</v>
      </c>
      <c r="JV49">
        <v>55.515999999999998</v>
      </c>
      <c r="JW49" s="12">
        <v>41607</v>
      </c>
      <c r="JX49">
        <v>9.1059999999999999</v>
      </c>
      <c r="JY49" s="12">
        <v>41607</v>
      </c>
      <c r="JZ49">
        <v>11.436999999999999</v>
      </c>
      <c r="KC49" s="12">
        <v>41607</v>
      </c>
      <c r="KD49">
        <v>7.8479999999999999</v>
      </c>
      <c r="KE49" s="12">
        <v>41607</v>
      </c>
      <c r="KF49">
        <v>10.314</v>
      </c>
      <c r="KI49" s="12">
        <v>41607</v>
      </c>
      <c r="KJ49">
        <v>6.6420000000000003</v>
      </c>
      <c r="KO49" s="12">
        <v>41607</v>
      </c>
      <c r="KP49">
        <v>137.30199999999999</v>
      </c>
      <c r="KQ49" s="12">
        <v>41607</v>
      </c>
      <c r="KR49">
        <v>96.873000000000005</v>
      </c>
      <c r="KS49" s="12">
        <v>41607</v>
      </c>
      <c r="KT49">
        <v>11.608000000000001</v>
      </c>
      <c r="KU49" s="12">
        <v>41607</v>
      </c>
      <c r="KV49">
        <v>9.9640000000000004</v>
      </c>
      <c r="LC49" s="12">
        <v>41607</v>
      </c>
      <c r="LD49">
        <v>10.771000000000001</v>
      </c>
      <c r="LE49" s="12">
        <v>41607</v>
      </c>
      <c r="LF49">
        <v>4.4829999999999997</v>
      </c>
      <c r="LG49" s="12">
        <v>41607</v>
      </c>
      <c r="LH49">
        <v>15.737</v>
      </c>
      <c r="LI49" s="12">
        <v>41607</v>
      </c>
      <c r="LJ49">
        <v>24.677</v>
      </c>
      <c r="LM49" s="12">
        <v>41607</v>
      </c>
      <c r="LN49">
        <v>11.022</v>
      </c>
      <c r="LO49" s="12">
        <v>41607</v>
      </c>
      <c r="LP49">
        <v>11.808</v>
      </c>
      <c r="LQ49" s="12">
        <v>41607</v>
      </c>
      <c r="LR49">
        <v>28.446999999999999</v>
      </c>
      <c r="LS49" s="12">
        <v>41607</v>
      </c>
      <c r="LT49">
        <v>27.492000000000001</v>
      </c>
      <c r="LW49" s="12">
        <v>41607</v>
      </c>
      <c r="LX49">
        <v>226.643</v>
      </c>
      <c r="LY49" s="12">
        <v>41607</v>
      </c>
      <c r="LZ49">
        <v>29.016999999999999</v>
      </c>
      <c r="MA49" s="12">
        <v>41607</v>
      </c>
      <c r="MB49">
        <v>26.765000000000001</v>
      </c>
      <c r="MC49" s="12">
        <v>43069</v>
      </c>
      <c r="MD49">
        <v>21.747</v>
      </c>
      <c r="ME49" s="12">
        <v>41607</v>
      </c>
      <c r="MF49">
        <v>8.6379999999999999</v>
      </c>
      <c r="MG49" s="12">
        <v>41607</v>
      </c>
      <c r="MH49">
        <v>8.1630000000000003</v>
      </c>
      <c r="MI49" s="12">
        <v>43616</v>
      </c>
      <c r="MJ49">
        <v>9.0739999999999998</v>
      </c>
      <c r="MK49" s="12">
        <v>41607</v>
      </c>
      <c r="ML49">
        <v>15.288</v>
      </c>
    </row>
    <row r="50" spans="1:350" x14ac:dyDescent="0.3">
      <c r="A50" s="12">
        <v>41639</v>
      </c>
      <c r="B50" s="1">
        <v>14.065</v>
      </c>
      <c r="C50" s="1"/>
      <c r="E50" s="12">
        <v>41639</v>
      </c>
      <c r="F50" s="13">
        <v>6.556</v>
      </c>
      <c r="G50" s="17">
        <v>41639</v>
      </c>
      <c r="H50" s="13">
        <v>8.5440000000000005</v>
      </c>
      <c r="I50" s="17">
        <v>41670</v>
      </c>
      <c r="J50">
        <v>14.718</v>
      </c>
      <c r="K50" s="12">
        <v>42853</v>
      </c>
      <c r="L50">
        <v>17.236999999999998</v>
      </c>
      <c r="N50" s="12"/>
      <c r="Q50" s="12">
        <v>43039</v>
      </c>
      <c r="R50">
        <v>24.114000000000001</v>
      </c>
      <c r="S50" s="12">
        <v>41639</v>
      </c>
      <c r="T50">
        <v>18.045000000000002</v>
      </c>
      <c r="U50" s="12">
        <v>42062</v>
      </c>
      <c r="V50">
        <v>21.228000000000002</v>
      </c>
      <c r="Y50" s="12">
        <v>41639</v>
      </c>
      <c r="Z50">
        <v>8.782</v>
      </c>
      <c r="AA50" s="12">
        <v>41639</v>
      </c>
      <c r="AB50">
        <v>17.170000000000002</v>
      </c>
      <c r="AC50" s="12">
        <v>41639</v>
      </c>
      <c r="AD50">
        <v>11.63</v>
      </c>
      <c r="AE50" s="12">
        <v>41639</v>
      </c>
      <c r="AF50">
        <v>10.385</v>
      </c>
      <c r="AG50" s="12">
        <v>41639</v>
      </c>
      <c r="AH50">
        <v>44.167999999999999</v>
      </c>
      <c r="AI50" s="12">
        <v>42853</v>
      </c>
      <c r="AJ50">
        <v>22.536000000000001</v>
      </c>
      <c r="AK50" s="12">
        <v>41639</v>
      </c>
      <c r="AL50">
        <v>11.189</v>
      </c>
      <c r="AO50" s="12">
        <v>41639</v>
      </c>
      <c r="AP50">
        <v>1.1499999999999999</v>
      </c>
      <c r="AS50" s="12">
        <v>41639</v>
      </c>
      <c r="AT50">
        <v>4.2610000000000001</v>
      </c>
      <c r="AU50" s="12">
        <v>41639</v>
      </c>
      <c r="AV50">
        <v>17.553999999999998</v>
      </c>
      <c r="AY50" s="12">
        <v>41639</v>
      </c>
      <c r="AZ50">
        <v>46.381999999999998</v>
      </c>
      <c r="BA50" s="12">
        <v>41639</v>
      </c>
      <c r="BB50">
        <v>15.672000000000001</v>
      </c>
      <c r="BC50" s="12">
        <v>41639</v>
      </c>
      <c r="BD50">
        <v>9.9870000000000001</v>
      </c>
      <c r="BE50" s="12">
        <v>41729</v>
      </c>
      <c r="BF50">
        <v>9.81</v>
      </c>
      <c r="BG50" s="12">
        <v>41639</v>
      </c>
      <c r="BH50">
        <v>7.7370000000000001</v>
      </c>
      <c r="BI50" s="12">
        <v>41639</v>
      </c>
      <c r="BJ50">
        <v>13.249000000000001</v>
      </c>
      <c r="BK50" s="12">
        <v>41639</v>
      </c>
      <c r="BL50">
        <v>13.143000000000001</v>
      </c>
      <c r="BM50" s="12">
        <v>41639</v>
      </c>
      <c r="BN50">
        <v>13.448</v>
      </c>
      <c r="BO50" s="12">
        <v>41639</v>
      </c>
      <c r="BP50">
        <v>14.548</v>
      </c>
      <c r="BQ50" s="12">
        <v>41639</v>
      </c>
      <c r="BR50">
        <v>9.1920000000000002</v>
      </c>
      <c r="BS50" s="12">
        <v>41639</v>
      </c>
      <c r="BT50">
        <v>8.1449999999999996</v>
      </c>
      <c r="BW50" s="12">
        <v>41639</v>
      </c>
      <c r="BX50">
        <v>8.4350000000000005</v>
      </c>
      <c r="BY50" s="12">
        <v>41639</v>
      </c>
      <c r="BZ50">
        <v>16.366</v>
      </c>
      <c r="CA50" s="12">
        <v>41639</v>
      </c>
      <c r="CB50">
        <v>21.792000000000002</v>
      </c>
      <c r="CE50" s="12">
        <v>41639</v>
      </c>
      <c r="CF50">
        <v>21.923999999999999</v>
      </c>
      <c r="CG50" s="12">
        <v>41639</v>
      </c>
      <c r="CH50">
        <v>29.151</v>
      </c>
      <c r="CI50" s="12">
        <v>41639</v>
      </c>
      <c r="CJ50">
        <v>28.361000000000001</v>
      </c>
      <c r="CK50" s="12">
        <v>41639</v>
      </c>
      <c r="CL50">
        <v>12.065</v>
      </c>
      <c r="CM50" s="12">
        <v>41639</v>
      </c>
      <c r="CN50">
        <v>20.587</v>
      </c>
      <c r="CO50" s="12">
        <v>43098</v>
      </c>
      <c r="CP50">
        <v>47.595999999999997</v>
      </c>
      <c r="CQ50" s="12">
        <v>41639</v>
      </c>
      <c r="CR50">
        <v>11.234</v>
      </c>
      <c r="CS50" s="12">
        <v>41639</v>
      </c>
      <c r="CT50">
        <v>14.121</v>
      </c>
      <c r="CU50" s="12">
        <v>41639</v>
      </c>
      <c r="CV50">
        <v>8.2240000000000002</v>
      </c>
      <c r="CW50" s="12">
        <v>41639</v>
      </c>
      <c r="CX50">
        <v>9.67</v>
      </c>
      <c r="CY50" s="12">
        <v>41729</v>
      </c>
      <c r="CZ50">
        <v>10.013999999999999</v>
      </c>
      <c r="DA50" s="12">
        <v>41639</v>
      </c>
      <c r="DB50">
        <v>20.100000000000001</v>
      </c>
      <c r="DC50" s="12">
        <v>41639</v>
      </c>
      <c r="DD50">
        <v>5.41</v>
      </c>
      <c r="DE50" s="12">
        <v>41639</v>
      </c>
      <c r="DF50">
        <v>7.5030000000000001</v>
      </c>
      <c r="DG50" s="12">
        <v>42277</v>
      </c>
      <c r="DH50">
        <v>12.391</v>
      </c>
      <c r="DI50" s="12">
        <v>41639</v>
      </c>
      <c r="DJ50">
        <v>8.6069999999999993</v>
      </c>
      <c r="DK50" s="12">
        <v>41639</v>
      </c>
      <c r="DL50">
        <v>17.927</v>
      </c>
      <c r="DM50" s="12">
        <v>42062</v>
      </c>
      <c r="DN50">
        <v>4.2859999999999996</v>
      </c>
      <c r="DO50" s="12">
        <v>41639</v>
      </c>
      <c r="DP50">
        <v>8.0030000000000001</v>
      </c>
      <c r="DQ50" s="12">
        <v>41639</v>
      </c>
      <c r="DR50">
        <v>170.76599999999999</v>
      </c>
      <c r="DS50" s="12">
        <v>41639</v>
      </c>
      <c r="DT50">
        <v>10.26</v>
      </c>
      <c r="DU50" s="12">
        <v>41639</v>
      </c>
      <c r="DV50">
        <v>4.1829999999999998</v>
      </c>
      <c r="DW50" s="12">
        <v>41639</v>
      </c>
      <c r="DX50">
        <v>6.9279999999999999</v>
      </c>
      <c r="DY50" s="12">
        <v>41639</v>
      </c>
      <c r="DZ50">
        <v>14.795</v>
      </c>
      <c r="EC50" s="12">
        <v>41639</v>
      </c>
      <c r="ED50">
        <v>22.850999999999999</v>
      </c>
      <c r="EE50" s="12">
        <v>41639</v>
      </c>
      <c r="EF50">
        <v>6.944</v>
      </c>
      <c r="EG50" s="12">
        <v>41639</v>
      </c>
      <c r="EH50">
        <v>16.081</v>
      </c>
      <c r="EI50" s="12">
        <v>41639</v>
      </c>
      <c r="EJ50">
        <v>27.074000000000002</v>
      </c>
      <c r="EK50" s="12">
        <v>41639</v>
      </c>
      <c r="EL50">
        <v>13.257999999999999</v>
      </c>
      <c r="EM50" s="12">
        <v>41639</v>
      </c>
      <c r="EN50">
        <v>16.515999999999998</v>
      </c>
      <c r="EQ50" s="12">
        <v>41639</v>
      </c>
      <c r="ER50">
        <v>21.166</v>
      </c>
      <c r="ES50" s="12">
        <v>41639</v>
      </c>
      <c r="ET50">
        <v>10.48</v>
      </c>
      <c r="EU50" s="12">
        <v>41639</v>
      </c>
      <c r="EV50">
        <v>4.4059999999999997</v>
      </c>
      <c r="EY50" s="12">
        <v>41639</v>
      </c>
      <c r="EZ50">
        <v>22.172000000000001</v>
      </c>
      <c r="FA50" s="12">
        <v>41639</v>
      </c>
      <c r="FB50">
        <v>14.62</v>
      </c>
      <c r="FC50" s="12">
        <v>41639</v>
      </c>
      <c r="FD50">
        <v>20.062999999999999</v>
      </c>
      <c r="FG50" s="12">
        <v>41639</v>
      </c>
      <c r="FH50">
        <v>3.8730000000000002</v>
      </c>
      <c r="FI50" s="12">
        <v>41639</v>
      </c>
      <c r="FJ50">
        <v>9.9380000000000006</v>
      </c>
      <c r="FK50" s="12">
        <v>41639</v>
      </c>
      <c r="FL50">
        <v>11.04</v>
      </c>
      <c r="FM50" s="12">
        <v>41639</v>
      </c>
      <c r="FN50">
        <v>7.9489999999999998</v>
      </c>
      <c r="FO50" s="12">
        <v>41639</v>
      </c>
      <c r="FP50">
        <v>36.83</v>
      </c>
      <c r="FQ50" s="12">
        <v>43131</v>
      </c>
      <c r="FR50">
        <v>15.973000000000001</v>
      </c>
      <c r="FS50" s="12">
        <v>41639</v>
      </c>
      <c r="FT50">
        <v>1.9100000000000001</v>
      </c>
      <c r="FU50" s="12">
        <v>41639</v>
      </c>
      <c r="FV50">
        <v>8.6349999999999998</v>
      </c>
      <c r="FW50" s="12">
        <v>41639</v>
      </c>
      <c r="FX50">
        <v>10.055999999999999</v>
      </c>
      <c r="FY50" s="12">
        <v>42489</v>
      </c>
      <c r="FZ50">
        <v>1.2270000000000001</v>
      </c>
      <c r="GA50" s="12">
        <v>41639</v>
      </c>
      <c r="GB50">
        <v>18.687999999999999</v>
      </c>
      <c r="GC50" s="12">
        <v>41639</v>
      </c>
      <c r="GD50">
        <v>18.638000000000002</v>
      </c>
      <c r="GE50" s="12">
        <v>42794</v>
      </c>
      <c r="GF50">
        <v>16.024000000000001</v>
      </c>
      <c r="GI50" s="12">
        <v>41639</v>
      </c>
      <c r="GJ50">
        <v>9.0879999999999992</v>
      </c>
      <c r="GK50" s="12">
        <v>41639</v>
      </c>
      <c r="GL50">
        <v>26.664000000000001</v>
      </c>
      <c r="GM50" s="12">
        <v>41639</v>
      </c>
      <c r="GN50">
        <v>31.030999999999999</v>
      </c>
      <c r="GO50" s="12">
        <v>42124</v>
      </c>
      <c r="GP50">
        <v>0.61299999999999999</v>
      </c>
      <c r="GQ50" s="12">
        <v>41759</v>
      </c>
      <c r="GR50">
        <v>27.922000000000001</v>
      </c>
      <c r="GS50" s="12">
        <v>41639</v>
      </c>
      <c r="GT50">
        <v>105</v>
      </c>
      <c r="GW50" s="12">
        <v>41698</v>
      </c>
      <c r="GX50">
        <v>17.417000000000002</v>
      </c>
      <c r="GY50" s="12">
        <v>41639</v>
      </c>
      <c r="GZ50">
        <v>4</v>
      </c>
      <c r="HA50" s="12">
        <v>41639</v>
      </c>
      <c r="HB50">
        <v>5.64</v>
      </c>
      <c r="HC50" s="12">
        <v>41639</v>
      </c>
      <c r="HD50">
        <v>14.814</v>
      </c>
      <c r="HE50" s="12">
        <v>41639</v>
      </c>
      <c r="HF50">
        <v>21.873000000000001</v>
      </c>
      <c r="HG50" s="12">
        <v>41639</v>
      </c>
      <c r="HH50">
        <v>17.663</v>
      </c>
      <c r="HI50" s="12">
        <v>41639</v>
      </c>
      <c r="HJ50">
        <v>7.99</v>
      </c>
      <c r="HK50" s="12">
        <v>41639</v>
      </c>
      <c r="HL50">
        <v>24</v>
      </c>
      <c r="HM50" s="12">
        <v>41639</v>
      </c>
      <c r="HN50">
        <v>26.940999999999999</v>
      </c>
      <c r="HO50" s="12">
        <v>41639</v>
      </c>
      <c r="HP50">
        <v>27.440999999999999</v>
      </c>
      <c r="HQ50" s="12">
        <v>41729</v>
      </c>
      <c r="HR50">
        <v>52</v>
      </c>
      <c r="HS50" s="12">
        <v>41639</v>
      </c>
      <c r="HT50">
        <v>99.228999999999999</v>
      </c>
      <c r="HU50" s="12">
        <v>41639</v>
      </c>
      <c r="HV50">
        <v>821.37400000000002</v>
      </c>
      <c r="HW50" s="12">
        <v>41639</v>
      </c>
      <c r="HX50">
        <v>15.037000000000001</v>
      </c>
      <c r="HY50" s="12">
        <v>41639</v>
      </c>
      <c r="HZ50">
        <v>14.891999999999999</v>
      </c>
      <c r="IA50" s="12">
        <v>41639</v>
      </c>
      <c r="IB50">
        <v>84.263999999999996</v>
      </c>
      <c r="IC50" s="12">
        <v>41639</v>
      </c>
      <c r="ID50">
        <v>4.2119999999999997</v>
      </c>
      <c r="IE50" s="12">
        <v>41639</v>
      </c>
      <c r="IF50">
        <v>2.7109999999999999</v>
      </c>
      <c r="IG50" s="12">
        <v>41943</v>
      </c>
      <c r="IH50">
        <v>4.8499999999999996</v>
      </c>
      <c r="II50" s="12">
        <v>41639</v>
      </c>
      <c r="IJ50">
        <v>10.561999999999999</v>
      </c>
      <c r="IM50" s="12">
        <v>41639</v>
      </c>
      <c r="IN50">
        <v>20.379000000000001</v>
      </c>
      <c r="IO50" s="12">
        <v>42185</v>
      </c>
      <c r="IP50">
        <v>12.475999999999999</v>
      </c>
      <c r="IQ50" s="12">
        <v>41639</v>
      </c>
      <c r="IR50">
        <v>13.852</v>
      </c>
      <c r="IS50" s="12">
        <v>43553</v>
      </c>
      <c r="IT50">
        <v>19.149999999999999</v>
      </c>
      <c r="IU50" s="12">
        <v>41639</v>
      </c>
      <c r="IV50">
        <v>8.0566999999999993</v>
      </c>
      <c r="IY50" s="12">
        <v>41639</v>
      </c>
      <c r="IZ50">
        <v>9.0909999999999993</v>
      </c>
      <c r="JA50" s="12">
        <v>43404</v>
      </c>
      <c r="JB50">
        <v>12.74</v>
      </c>
      <c r="JC50" s="12">
        <v>41639</v>
      </c>
      <c r="JD50">
        <v>5.4</v>
      </c>
      <c r="JE50" s="12">
        <v>41639</v>
      </c>
      <c r="JF50">
        <v>51</v>
      </c>
      <c r="JI50" s="12">
        <v>41639</v>
      </c>
      <c r="JJ50">
        <v>8.5630000000000006</v>
      </c>
      <c r="JM50" s="12">
        <v>41639</v>
      </c>
      <c r="JN50">
        <v>1.329</v>
      </c>
      <c r="JO50" s="12">
        <v>41639</v>
      </c>
      <c r="JP50">
        <v>21.855</v>
      </c>
      <c r="JQ50" s="12">
        <v>43039</v>
      </c>
      <c r="JR50">
        <v>26.957999999999998</v>
      </c>
      <c r="JS50" s="12">
        <v>41639</v>
      </c>
      <c r="JT50">
        <v>7.6909999999999998</v>
      </c>
      <c r="JU50" s="12">
        <v>42853</v>
      </c>
      <c r="JV50">
        <v>60.454999999999998</v>
      </c>
      <c r="JW50" s="12">
        <v>41639</v>
      </c>
      <c r="JX50">
        <v>8.5709999999999997</v>
      </c>
      <c r="JY50" s="12">
        <v>41639</v>
      </c>
      <c r="JZ50">
        <v>10.82</v>
      </c>
      <c r="KC50" s="12">
        <v>41639</v>
      </c>
      <c r="KD50">
        <v>8.5310000000000006</v>
      </c>
      <c r="KE50" s="12">
        <v>41639</v>
      </c>
      <c r="KF50">
        <v>9.1560000000000006</v>
      </c>
      <c r="KI50" s="12">
        <v>41639</v>
      </c>
      <c r="KJ50">
        <v>6.7469999999999999</v>
      </c>
      <c r="KO50" s="12">
        <v>41639</v>
      </c>
      <c r="KP50">
        <v>123.423</v>
      </c>
      <c r="KQ50" s="12">
        <v>41639</v>
      </c>
      <c r="KR50">
        <v>97.156000000000006</v>
      </c>
      <c r="KS50" s="12">
        <v>41639</v>
      </c>
      <c r="KT50">
        <v>11.065</v>
      </c>
      <c r="KU50" s="12">
        <v>41639</v>
      </c>
      <c r="KV50">
        <v>10.646000000000001</v>
      </c>
      <c r="LC50" s="12">
        <v>41639</v>
      </c>
      <c r="LD50">
        <v>10.837</v>
      </c>
      <c r="LE50" s="12">
        <v>41639</v>
      </c>
      <c r="LF50">
        <v>4.3710000000000004</v>
      </c>
      <c r="LG50" s="12">
        <v>41639</v>
      </c>
      <c r="LH50">
        <v>15.552</v>
      </c>
      <c r="LI50" s="12">
        <v>41639</v>
      </c>
      <c r="LJ50">
        <v>23.792000000000002</v>
      </c>
      <c r="LM50" s="12">
        <v>41639</v>
      </c>
      <c r="LN50">
        <v>11.989000000000001</v>
      </c>
      <c r="LO50" s="12">
        <v>41639</v>
      </c>
      <c r="LP50">
        <v>13.477</v>
      </c>
      <c r="LQ50" s="12">
        <v>41639</v>
      </c>
      <c r="LR50">
        <v>28.32</v>
      </c>
      <c r="LS50" s="12">
        <v>41639</v>
      </c>
      <c r="LT50">
        <v>27.442</v>
      </c>
      <c r="LW50" s="12">
        <v>41639</v>
      </c>
      <c r="LX50">
        <v>209.85499999999999</v>
      </c>
      <c r="LY50" s="12">
        <v>41639</v>
      </c>
      <c r="LZ50">
        <v>28.965</v>
      </c>
      <c r="MA50" s="12">
        <v>41639</v>
      </c>
      <c r="MB50">
        <v>23.547000000000001</v>
      </c>
      <c r="MC50" s="12">
        <v>43098</v>
      </c>
      <c r="MD50">
        <v>24.440999999999999</v>
      </c>
      <c r="ME50" s="12">
        <v>41639</v>
      </c>
      <c r="MF50">
        <v>7.2320000000000002</v>
      </c>
      <c r="MG50" s="12">
        <v>41639</v>
      </c>
      <c r="MH50">
        <v>8.0969999999999995</v>
      </c>
      <c r="MI50" s="12">
        <v>43644</v>
      </c>
      <c r="MJ50">
        <v>10.007999999999999</v>
      </c>
      <c r="MK50" s="12">
        <v>41639</v>
      </c>
      <c r="ML50">
        <v>15.593</v>
      </c>
    </row>
    <row r="51" spans="1:350" x14ac:dyDescent="0.3">
      <c r="A51" s="12">
        <v>41670</v>
      </c>
      <c r="B51" s="1">
        <v>13.260999999999999</v>
      </c>
      <c r="C51" s="1"/>
      <c r="E51" s="12">
        <v>41670</v>
      </c>
      <c r="F51" s="13">
        <v>6.6059999999999999</v>
      </c>
      <c r="G51" s="17">
        <v>41670</v>
      </c>
      <c r="H51" s="13">
        <v>7.274</v>
      </c>
      <c r="I51" s="17">
        <v>41698</v>
      </c>
      <c r="J51">
        <v>15.868</v>
      </c>
      <c r="K51" s="12">
        <v>42886</v>
      </c>
      <c r="L51">
        <v>16.277000000000001</v>
      </c>
      <c r="N51" s="12"/>
      <c r="Q51" s="12">
        <v>43069</v>
      </c>
      <c r="R51">
        <v>25.497</v>
      </c>
      <c r="S51" s="12">
        <v>41670</v>
      </c>
      <c r="T51">
        <v>15.724</v>
      </c>
      <c r="U51" s="12">
        <v>42094</v>
      </c>
      <c r="V51">
        <v>20.518000000000001</v>
      </c>
      <c r="Y51" s="12">
        <v>41670</v>
      </c>
      <c r="Z51">
        <v>7.6150000000000002</v>
      </c>
      <c r="AA51" s="12">
        <v>41670</v>
      </c>
      <c r="AB51">
        <v>14.7</v>
      </c>
      <c r="AC51" s="12">
        <v>41670</v>
      </c>
      <c r="AD51">
        <v>10.452999999999999</v>
      </c>
      <c r="AE51" s="12">
        <v>41670</v>
      </c>
      <c r="AF51">
        <v>9.3450000000000006</v>
      </c>
      <c r="AG51" s="12">
        <v>41670</v>
      </c>
      <c r="AH51">
        <v>38.353999999999999</v>
      </c>
      <c r="AI51" s="12">
        <v>42886</v>
      </c>
      <c r="AJ51">
        <v>21.940999999999999</v>
      </c>
      <c r="AK51" s="12">
        <v>41670</v>
      </c>
      <c r="AL51">
        <v>10.683</v>
      </c>
      <c r="AO51" s="12">
        <v>41670</v>
      </c>
      <c r="AP51">
        <v>1.32</v>
      </c>
      <c r="AS51" s="12">
        <v>41670</v>
      </c>
      <c r="AT51">
        <v>3.6669999999999998</v>
      </c>
      <c r="AU51" s="12">
        <v>41670</v>
      </c>
      <c r="AV51">
        <v>15.608000000000001</v>
      </c>
      <c r="AY51" s="12">
        <v>41670</v>
      </c>
      <c r="AZ51">
        <v>41.072000000000003</v>
      </c>
      <c r="BA51" s="12">
        <v>41670</v>
      </c>
      <c r="BB51">
        <v>13.866</v>
      </c>
      <c r="BC51" s="12">
        <v>41670</v>
      </c>
      <c r="BD51">
        <v>8.9030000000000005</v>
      </c>
      <c r="BE51" s="12">
        <v>41759</v>
      </c>
      <c r="BF51">
        <v>9.3780000000000001</v>
      </c>
      <c r="BG51" s="12">
        <v>41670</v>
      </c>
      <c r="BH51">
        <v>6.4470000000000001</v>
      </c>
      <c r="BI51" s="12">
        <v>41670</v>
      </c>
      <c r="BJ51">
        <v>20.207999999999998</v>
      </c>
      <c r="BK51" s="12">
        <v>41670</v>
      </c>
      <c r="BL51">
        <v>11.493</v>
      </c>
      <c r="BM51" s="12">
        <v>41670</v>
      </c>
      <c r="BN51">
        <v>13.837999999999999</v>
      </c>
      <c r="BO51" s="12">
        <v>41670</v>
      </c>
      <c r="BP51">
        <v>14.234999999999999</v>
      </c>
      <c r="BQ51" s="12">
        <v>41670</v>
      </c>
      <c r="BR51">
        <v>8.9849999999999994</v>
      </c>
      <c r="BS51" s="12">
        <v>41670</v>
      </c>
      <c r="BT51">
        <v>8.0980000000000008</v>
      </c>
      <c r="BW51" s="12">
        <v>41670</v>
      </c>
      <c r="BX51">
        <v>7.923</v>
      </c>
      <c r="BY51" s="12">
        <v>41670</v>
      </c>
      <c r="BZ51">
        <v>15.526</v>
      </c>
      <c r="CA51" s="12">
        <v>41670</v>
      </c>
      <c r="CB51">
        <v>19.864999999999998</v>
      </c>
      <c r="CE51" s="12">
        <v>41670</v>
      </c>
      <c r="CF51">
        <v>19.213999999999999</v>
      </c>
      <c r="CG51" s="12">
        <v>41670</v>
      </c>
      <c r="CH51">
        <v>26.47</v>
      </c>
      <c r="CI51" s="12">
        <v>41670</v>
      </c>
      <c r="CJ51">
        <v>23.992000000000001</v>
      </c>
      <c r="CK51" s="12">
        <v>41670</v>
      </c>
      <c r="CL51">
        <v>9.3879999999999999</v>
      </c>
      <c r="CM51" s="12">
        <v>41670</v>
      </c>
      <c r="CN51">
        <v>19.652000000000001</v>
      </c>
      <c r="CO51" s="12">
        <v>43131</v>
      </c>
      <c r="CP51">
        <v>54.101999999999997</v>
      </c>
      <c r="CQ51" s="12">
        <v>41670</v>
      </c>
      <c r="CR51">
        <v>11.14</v>
      </c>
      <c r="CS51" s="12">
        <v>41670</v>
      </c>
      <c r="CT51">
        <v>14.412000000000001</v>
      </c>
      <c r="CU51" s="12">
        <v>41670</v>
      </c>
      <c r="CV51">
        <v>7.2640000000000002</v>
      </c>
      <c r="CW51" s="12">
        <v>41670</v>
      </c>
      <c r="CX51">
        <v>8.7140000000000004</v>
      </c>
      <c r="CY51" s="12">
        <v>41759</v>
      </c>
      <c r="CZ51">
        <v>10.459</v>
      </c>
      <c r="DA51" s="12">
        <v>41670</v>
      </c>
      <c r="DB51">
        <v>19.295000000000002</v>
      </c>
      <c r="DC51" s="12">
        <v>41670</v>
      </c>
      <c r="DD51">
        <v>4.8109999999999999</v>
      </c>
      <c r="DE51" s="12">
        <v>41670</v>
      </c>
      <c r="DF51">
        <v>7.1029999999999998</v>
      </c>
      <c r="DG51" s="12">
        <v>42307</v>
      </c>
      <c r="DH51">
        <v>9.9209999999999994</v>
      </c>
      <c r="DI51" s="12">
        <v>41670</v>
      </c>
      <c r="DJ51">
        <v>8.0739999999999998</v>
      </c>
      <c r="DK51" s="12">
        <v>41670</v>
      </c>
      <c r="DL51">
        <v>17.452000000000002</v>
      </c>
      <c r="DM51" s="12">
        <v>42094</v>
      </c>
      <c r="DN51">
        <v>4.117</v>
      </c>
      <c r="DO51" s="12">
        <v>41670</v>
      </c>
      <c r="DP51">
        <v>6.8040000000000003</v>
      </c>
      <c r="DQ51" s="12">
        <v>41670</v>
      </c>
      <c r="DR51">
        <v>181.58099999999999</v>
      </c>
      <c r="DS51" s="12">
        <v>41670</v>
      </c>
      <c r="DT51">
        <v>9.8490000000000002</v>
      </c>
      <c r="DU51" s="12">
        <v>41670</v>
      </c>
      <c r="DV51">
        <v>4.0199999999999996</v>
      </c>
      <c r="DW51" s="12">
        <v>41670</v>
      </c>
      <c r="DX51">
        <v>6.0860000000000003</v>
      </c>
      <c r="DY51" s="12">
        <v>41670</v>
      </c>
      <c r="DZ51">
        <v>13.702999999999999</v>
      </c>
      <c r="EC51" s="12">
        <v>41670</v>
      </c>
      <c r="ED51">
        <v>22.355</v>
      </c>
      <c r="EE51" s="12">
        <v>41670</v>
      </c>
      <c r="EF51">
        <v>6.9619999999999997</v>
      </c>
      <c r="EG51" s="12">
        <v>41670</v>
      </c>
      <c r="EH51">
        <v>15.904</v>
      </c>
      <c r="EI51" s="12">
        <v>41670</v>
      </c>
      <c r="EJ51">
        <v>23.545999999999999</v>
      </c>
      <c r="EK51" s="12">
        <v>41670</v>
      </c>
      <c r="EL51">
        <v>12.467000000000001</v>
      </c>
      <c r="EM51" s="12">
        <v>41670</v>
      </c>
      <c r="EN51">
        <v>15.444000000000001</v>
      </c>
      <c r="EQ51" s="12">
        <v>41670</v>
      </c>
      <c r="ER51">
        <v>19.375</v>
      </c>
      <c r="ES51" s="12">
        <v>41670</v>
      </c>
      <c r="ET51">
        <v>9.6</v>
      </c>
      <c r="EU51" s="12">
        <v>41670</v>
      </c>
      <c r="EV51">
        <v>3.8970000000000002</v>
      </c>
      <c r="EY51" s="12">
        <v>41670</v>
      </c>
      <c r="EZ51">
        <v>19.873000000000001</v>
      </c>
      <c r="FA51" s="12">
        <v>41670</v>
      </c>
      <c r="FB51">
        <v>12.632</v>
      </c>
      <c r="FC51" s="12">
        <v>41670</v>
      </c>
      <c r="FD51">
        <v>18.03</v>
      </c>
      <c r="FG51" s="12">
        <v>41670</v>
      </c>
      <c r="FH51">
        <v>3.6640000000000001</v>
      </c>
      <c r="FI51" s="12">
        <v>41670</v>
      </c>
      <c r="FJ51">
        <v>9.3119999999999994</v>
      </c>
      <c r="FK51" s="12">
        <v>41670</v>
      </c>
      <c r="FL51">
        <v>10.669</v>
      </c>
      <c r="FM51" s="12">
        <v>41670</v>
      </c>
      <c r="FN51">
        <v>7.6589999999999998</v>
      </c>
      <c r="FO51" s="12">
        <v>41670</v>
      </c>
      <c r="FP51">
        <v>33.228000000000002</v>
      </c>
      <c r="FQ51" s="12">
        <v>43159</v>
      </c>
      <c r="FR51">
        <v>16.202000000000002</v>
      </c>
      <c r="FS51" s="12">
        <v>41670</v>
      </c>
      <c r="FT51">
        <v>1.9220000000000002</v>
      </c>
      <c r="FU51" s="12">
        <v>41670</v>
      </c>
      <c r="FV51">
        <v>7.9290000000000003</v>
      </c>
      <c r="FW51" s="12">
        <v>41670</v>
      </c>
      <c r="FX51">
        <v>9.4060000000000006</v>
      </c>
      <c r="FY51" s="12">
        <v>42521</v>
      </c>
      <c r="FZ51">
        <v>1.393</v>
      </c>
      <c r="GA51" s="12">
        <v>41670</v>
      </c>
      <c r="GB51">
        <v>16.690000000000001</v>
      </c>
      <c r="GC51" s="12">
        <v>41670</v>
      </c>
      <c r="GD51">
        <v>16.068000000000001</v>
      </c>
      <c r="GE51" s="12">
        <v>42825</v>
      </c>
      <c r="GF51">
        <v>16.053000000000001</v>
      </c>
      <c r="GI51" s="12">
        <v>41670</v>
      </c>
      <c r="GJ51">
        <v>8.2579999999999991</v>
      </c>
      <c r="GK51" s="12">
        <v>41670</v>
      </c>
      <c r="GL51">
        <v>23.725999999999999</v>
      </c>
      <c r="GM51" s="12">
        <v>41670</v>
      </c>
      <c r="GN51">
        <v>25.603000000000002</v>
      </c>
      <c r="GO51" s="12">
        <v>42153</v>
      </c>
      <c r="GP51">
        <v>0.51700000000000002</v>
      </c>
      <c r="GQ51" s="12">
        <v>41789</v>
      </c>
      <c r="GR51">
        <v>25.707000000000001</v>
      </c>
      <c r="GS51" s="12">
        <v>41670</v>
      </c>
      <c r="GT51">
        <v>92.5</v>
      </c>
      <c r="GW51" s="12">
        <v>41729</v>
      </c>
      <c r="GX51">
        <v>17.280999999999999</v>
      </c>
      <c r="GY51" s="12">
        <v>41670</v>
      </c>
      <c r="GZ51">
        <v>4.16</v>
      </c>
      <c r="HA51" s="12">
        <v>41670</v>
      </c>
      <c r="HB51">
        <v>5.5190000000000001</v>
      </c>
      <c r="HC51" s="12">
        <v>41670</v>
      </c>
      <c r="HD51">
        <v>12.946999999999999</v>
      </c>
      <c r="HE51" s="12">
        <v>41670</v>
      </c>
      <c r="HF51">
        <v>20.324999999999999</v>
      </c>
      <c r="HG51" s="12">
        <v>41670</v>
      </c>
      <c r="HH51">
        <v>16.765999999999998</v>
      </c>
      <c r="HI51" s="12">
        <v>41670</v>
      </c>
      <c r="HJ51">
        <v>7.3150000000000004</v>
      </c>
      <c r="HK51" s="12">
        <v>41670</v>
      </c>
      <c r="HL51">
        <v>30</v>
      </c>
      <c r="HM51" s="12">
        <v>41670</v>
      </c>
      <c r="HN51">
        <v>34.33</v>
      </c>
      <c r="HO51" s="12">
        <v>41670</v>
      </c>
      <c r="HP51">
        <v>31.873999999999999</v>
      </c>
      <c r="HQ51" s="12">
        <v>41759</v>
      </c>
      <c r="HR51">
        <v>46</v>
      </c>
      <c r="HS51" s="12">
        <v>41670</v>
      </c>
      <c r="HT51">
        <v>88.341999999999999</v>
      </c>
      <c r="HU51" s="12">
        <v>41670</v>
      </c>
      <c r="HV51">
        <v>757.84299999999996</v>
      </c>
      <c r="HW51" s="12">
        <v>41670</v>
      </c>
      <c r="HX51">
        <v>12.949</v>
      </c>
      <c r="HY51" s="12">
        <v>41670</v>
      </c>
      <c r="HZ51">
        <v>12.817</v>
      </c>
      <c r="IA51" s="12">
        <v>41670</v>
      </c>
      <c r="IB51">
        <v>67.929000000000002</v>
      </c>
      <c r="IC51" s="12">
        <v>41670</v>
      </c>
      <c r="ID51">
        <v>4.2780000000000005</v>
      </c>
      <c r="IE51" s="12">
        <v>41670</v>
      </c>
      <c r="IF51">
        <v>2.8810000000000002</v>
      </c>
      <c r="IG51" s="12">
        <v>41971</v>
      </c>
      <c r="IH51">
        <v>3.8</v>
      </c>
      <c r="II51" s="12">
        <v>41670</v>
      </c>
      <c r="IJ51">
        <v>9.4860000000000007</v>
      </c>
      <c r="IM51" s="12">
        <v>41670</v>
      </c>
      <c r="IN51">
        <v>19.283000000000001</v>
      </c>
      <c r="IO51" s="12">
        <v>42216</v>
      </c>
      <c r="IP51">
        <v>12.881</v>
      </c>
      <c r="IQ51" s="12">
        <v>41670</v>
      </c>
      <c r="IR51">
        <v>13.618</v>
      </c>
      <c r="IS51" s="12">
        <v>43585</v>
      </c>
      <c r="IT51">
        <v>18.100000000000001</v>
      </c>
      <c r="IU51" s="12">
        <v>41670</v>
      </c>
      <c r="IV51">
        <v>6.5350999999999999</v>
      </c>
      <c r="IY51" s="12">
        <v>41670</v>
      </c>
      <c r="IZ51">
        <v>8.3520000000000003</v>
      </c>
      <c r="JA51" s="12">
        <v>43434</v>
      </c>
      <c r="JB51">
        <v>12.98</v>
      </c>
      <c r="JC51" s="12">
        <v>41670</v>
      </c>
      <c r="JD51">
        <v>6.2</v>
      </c>
      <c r="JE51" s="12">
        <v>41670</v>
      </c>
      <c r="JF51">
        <v>48.75</v>
      </c>
      <c r="JI51" s="12">
        <v>41670</v>
      </c>
      <c r="JJ51">
        <v>7.9080000000000004</v>
      </c>
      <c r="JM51" s="12">
        <v>41670</v>
      </c>
      <c r="JN51">
        <v>1.113</v>
      </c>
      <c r="JO51" s="12">
        <v>41670</v>
      </c>
      <c r="JP51">
        <v>18.385999999999999</v>
      </c>
      <c r="JQ51" s="12">
        <v>43069</v>
      </c>
      <c r="JR51">
        <v>25.77</v>
      </c>
      <c r="JS51" s="12">
        <v>41670</v>
      </c>
      <c r="JT51">
        <v>6.7859999999999996</v>
      </c>
      <c r="JU51" s="12">
        <v>42886</v>
      </c>
      <c r="JV51">
        <v>55.165999999999997</v>
      </c>
      <c r="JW51" s="12">
        <v>41670</v>
      </c>
      <c r="JX51">
        <v>7.3890000000000002</v>
      </c>
      <c r="JY51" s="12">
        <v>41670</v>
      </c>
      <c r="JZ51">
        <v>9.73</v>
      </c>
      <c r="KC51" s="12">
        <v>41670</v>
      </c>
      <c r="KD51">
        <v>8.7899999999999991</v>
      </c>
      <c r="KE51" s="12">
        <v>41670</v>
      </c>
      <c r="KF51">
        <v>8.9139999999999997</v>
      </c>
      <c r="KI51" s="12">
        <v>41670</v>
      </c>
      <c r="KJ51">
        <v>5.8440000000000003</v>
      </c>
      <c r="KO51" s="12">
        <v>41670</v>
      </c>
      <c r="KP51">
        <v>105.57899999999999</v>
      </c>
      <c r="KQ51" s="12">
        <v>41670</v>
      </c>
      <c r="KR51">
        <v>90.924000000000007</v>
      </c>
      <c r="KS51" s="12">
        <v>41670</v>
      </c>
      <c r="KT51">
        <v>10.943999999999999</v>
      </c>
      <c r="KU51" s="12">
        <v>41670</v>
      </c>
      <c r="KV51">
        <v>10.913</v>
      </c>
      <c r="LC51" s="12">
        <v>41670</v>
      </c>
      <c r="LD51">
        <v>9.2970000000000006</v>
      </c>
      <c r="LE51" s="12">
        <v>41670</v>
      </c>
      <c r="LF51">
        <v>3.9430000000000001</v>
      </c>
      <c r="LG51" s="12">
        <v>41670</v>
      </c>
      <c r="LH51">
        <v>14.67</v>
      </c>
      <c r="LI51" s="12">
        <v>41670</v>
      </c>
      <c r="LJ51">
        <v>22.664999999999999</v>
      </c>
      <c r="LM51" s="12">
        <v>41670</v>
      </c>
      <c r="LN51">
        <v>10.896000000000001</v>
      </c>
      <c r="LO51" s="12">
        <v>41670</v>
      </c>
      <c r="LP51">
        <v>11.286</v>
      </c>
      <c r="LQ51" s="12">
        <v>41670</v>
      </c>
      <c r="LR51">
        <v>26.210999999999999</v>
      </c>
      <c r="LS51" s="12">
        <v>41670</v>
      </c>
      <c r="LT51">
        <v>25.152999999999999</v>
      </c>
      <c r="LW51" s="12">
        <v>41670</v>
      </c>
      <c r="LX51">
        <v>176.27799999999999</v>
      </c>
      <c r="LY51" s="12">
        <v>41670</v>
      </c>
      <c r="LZ51">
        <v>30.106000000000002</v>
      </c>
      <c r="MA51" s="12">
        <v>41670</v>
      </c>
      <c r="MB51">
        <v>22.228000000000002</v>
      </c>
      <c r="MC51" s="12">
        <v>43131</v>
      </c>
      <c r="MD51">
        <v>27.088000000000001</v>
      </c>
      <c r="ME51" s="12">
        <v>41670</v>
      </c>
      <c r="MF51">
        <v>6.4710000000000001</v>
      </c>
      <c r="MG51" s="12">
        <v>41670</v>
      </c>
      <c r="MH51">
        <v>7.12</v>
      </c>
      <c r="MI51" s="12">
        <v>43677</v>
      </c>
      <c r="MJ51">
        <v>10.896000000000001</v>
      </c>
      <c r="MK51" s="12">
        <v>41670</v>
      </c>
      <c r="ML51">
        <v>14.295</v>
      </c>
    </row>
    <row r="52" spans="1:350" x14ac:dyDescent="0.3">
      <c r="A52" s="12">
        <v>41698</v>
      </c>
      <c r="B52" s="1">
        <v>13.912000000000001</v>
      </c>
      <c r="C52" s="1"/>
      <c r="E52" s="12">
        <v>41698</v>
      </c>
      <c r="F52" s="13">
        <v>6.7460000000000004</v>
      </c>
      <c r="G52" s="17">
        <v>41698</v>
      </c>
      <c r="H52" s="13">
        <v>7.407</v>
      </c>
      <c r="I52" s="17">
        <v>41729</v>
      </c>
      <c r="J52">
        <v>16.056999999999999</v>
      </c>
      <c r="K52" s="12">
        <v>42916</v>
      </c>
      <c r="L52">
        <v>16.542000000000002</v>
      </c>
      <c r="N52" s="12"/>
      <c r="Q52" s="12">
        <v>43098</v>
      </c>
      <c r="R52">
        <v>27.968</v>
      </c>
      <c r="S52" s="12">
        <v>41698</v>
      </c>
      <c r="T52">
        <v>16.434999999999999</v>
      </c>
      <c r="U52" s="12">
        <v>42124</v>
      </c>
      <c r="V52">
        <v>20.876999999999999</v>
      </c>
      <c r="Y52" s="12">
        <v>41698</v>
      </c>
      <c r="Z52">
        <v>7.9960000000000004</v>
      </c>
      <c r="AA52" s="12">
        <v>41698</v>
      </c>
      <c r="AB52">
        <v>14.66</v>
      </c>
      <c r="AC52" s="12">
        <v>41698</v>
      </c>
      <c r="AD52">
        <v>10.696999999999999</v>
      </c>
      <c r="AE52" s="12">
        <v>41698</v>
      </c>
      <c r="AF52">
        <v>9.8439999999999994</v>
      </c>
      <c r="AG52" s="12">
        <v>41698</v>
      </c>
      <c r="AH52">
        <v>37.901000000000003</v>
      </c>
      <c r="AI52" s="12">
        <v>42916</v>
      </c>
      <c r="AJ52">
        <v>21.600999999999999</v>
      </c>
      <c r="AK52" s="12">
        <v>41698</v>
      </c>
      <c r="AL52">
        <v>10.265000000000001</v>
      </c>
      <c r="AO52" s="12">
        <v>41698</v>
      </c>
      <c r="AP52">
        <v>1.47</v>
      </c>
      <c r="AS52" s="12">
        <v>41698</v>
      </c>
      <c r="AT52">
        <v>3.5470000000000002</v>
      </c>
      <c r="AU52" s="12">
        <v>41698</v>
      </c>
      <c r="AV52">
        <v>14.914999999999999</v>
      </c>
      <c r="AY52" s="12">
        <v>41698</v>
      </c>
      <c r="AZ52">
        <v>40.768000000000001</v>
      </c>
      <c r="BA52" s="12">
        <v>41698</v>
      </c>
      <c r="BB52">
        <v>12.052</v>
      </c>
      <c r="BC52" s="12">
        <v>41698</v>
      </c>
      <c r="BD52">
        <v>10.52</v>
      </c>
      <c r="BE52" s="12">
        <v>41789</v>
      </c>
      <c r="BF52">
        <v>9.718</v>
      </c>
      <c r="BG52" s="12">
        <v>41698</v>
      </c>
      <c r="BH52">
        <v>7.1050000000000004</v>
      </c>
      <c r="BI52" s="12">
        <v>41698</v>
      </c>
      <c r="BJ52">
        <v>20.181999999999999</v>
      </c>
      <c r="BK52" s="12">
        <v>41698</v>
      </c>
      <c r="BL52">
        <v>11.893000000000001</v>
      </c>
      <c r="BM52" s="12">
        <v>41698</v>
      </c>
      <c r="BN52">
        <v>13.496</v>
      </c>
      <c r="BO52" s="12">
        <v>41698</v>
      </c>
      <c r="BP52">
        <v>14.071</v>
      </c>
      <c r="BQ52" s="12">
        <v>41698</v>
      </c>
      <c r="BR52">
        <v>8.7590000000000003</v>
      </c>
      <c r="BS52" s="12">
        <v>41698</v>
      </c>
      <c r="BT52">
        <v>7.8079999999999998</v>
      </c>
      <c r="BW52" s="12">
        <v>41698</v>
      </c>
      <c r="BX52">
        <v>9.3879999999999999</v>
      </c>
      <c r="BY52" s="12">
        <v>41698</v>
      </c>
      <c r="BZ52">
        <v>14.403</v>
      </c>
      <c r="CA52" s="12">
        <v>41698</v>
      </c>
      <c r="CB52">
        <v>18.023</v>
      </c>
      <c r="CE52" s="12">
        <v>41698</v>
      </c>
      <c r="CF52">
        <v>18.495999999999999</v>
      </c>
      <c r="CG52" s="12">
        <v>41698</v>
      </c>
      <c r="CH52">
        <v>25.548999999999999</v>
      </c>
      <c r="CI52" s="12">
        <v>41698</v>
      </c>
      <c r="CJ52">
        <v>25.626999999999999</v>
      </c>
      <c r="CK52" s="12">
        <v>41698</v>
      </c>
      <c r="CL52">
        <v>8.5830000000000002</v>
      </c>
      <c r="CM52" s="12">
        <v>41698</v>
      </c>
      <c r="CN52">
        <v>21.268000000000001</v>
      </c>
      <c r="CO52" s="12">
        <v>43159</v>
      </c>
      <c r="CP52">
        <v>55.093000000000004</v>
      </c>
      <c r="CQ52" s="12">
        <v>41698</v>
      </c>
      <c r="CR52">
        <v>10.188000000000001</v>
      </c>
      <c r="CS52" s="12">
        <v>41698</v>
      </c>
      <c r="CT52">
        <v>14.606</v>
      </c>
      <c r="CU52" s="12">
        <v>41698</v>
      </c>
      <c r="CV52">
        <v>7.0590000000000002</v>
      </c>
      <c r="CW52" s="12">
        <v>41698</v>
      </c>
      <c r="CX52">
        <v>8.0660000000000007</v>
      </c>
      <c r="CY52" s="12">
        <v>41789</v>
      </c>
      <c r="CZ52">
        <v>11.393000000000001</v>
      </c>
      <c r="DA52" s="12">
        <v>41698</v>
      </c>
      <c r="DB52">
        <v>18.568000000000001</v>
      </c>
      <c r="DC52" s="12">
        <v>41698</v>
      </c>
      <c r="DD52">
        <v>4.6079999999999997</v>
      </c>
      <c r="DE52" s="12">
        <v>41698</v>
      </c>
      <c r="DF52">
        <v>6.8680000000000003</v>
      </c>
      <c r="DG52" s="12">
        <v>42369</v>
      </c>
      <c r="DH52">
        <v>9.9209999999999994</v>
      </c>
      <c r="DI52" s="12">
        <v>41698</v>
      </c>
      <c r="DJ52">
        <v>7.3840000000000003</v>
      </c>
      <c r="DK52" s="12">
        <v>41698</v>
      </c>
      <c r="DL52">
        <v>19.881</v>
      </c>
      <c r="DM52" s="12">
        <v>42124</v>
      </c>
      <c r="DN52">
        <v>4.6370000000000005</v>
      </c>
      <c r="DO52" s="12">
        <v>41698</v>
      </c>
      <c r="DP52">
        <v>6.2960000000000003</v>
      </c>
      <c r="DQ52" s="12">
        <v>41698</v>
      </c>
      <c r="DR52">
        <v>122.383</v>
      </c>
      <c r="DS52" s="12">
        <v>41698</v>
      </c>
      <c r="DT52">
        <v>9.3569999999999993</v>
      </c>
      <c r="DU52" s="12">
        <v>41698</v>
      </c>
      <c r="DV52">
        <v>3.5830000000000002</v>
      </c>
      <c r="DW52" s="12">
        <v>41698</v>
      </c>
      <c r="DX52">
        <v>6.069</v>
      </c>
      <c r="DY52" s="12">
        <v>41698</v>
      </c>
      <c r="DZ52">
        <v>13.154999999999999</v>
      </c>
      <c r="EC52" s="12">
        <v>41698</v>
      </c>
      <c r="ED52">
        <v>20.495000000000001</v>
      </c>
      <c r="EE52" s="12">
        <v>41698</v>
      </c>
      <c r="EF52">
        <v>7.5469999999999997</v>
      </c>
      <c r="EG52" s="12">
        <v>41698</v>
      </c>
      <c r="EH52">
        <v>14.657</v>
      </c>
      <c r="EI52" s="12">
        <v>41698</v>
      </c>
      <c r="EJ52">
        <v>25.31</v>
      </c>
      <c r="EK52" s="12">
        <v>41698</v>
      </c>
      <c r="EL52">
        <v>10.279</v>
      </c>
      <c r="EM52" s="12">
        <v>41698</v>
      </c>
      <c r="EN52">
        <v>13.004</v>
      </c>
      <c r="EQ52" s="12">
        <v>41698</v>
      </c>
      <c r="ER52">
        <v>16.2</v>
      </c>
      <c r="ES52" s="12">
        <v>41698</v>
      </c>
      <c r="ET52">
        <v>11.08</v>
      </c>
      <c r="EU52" s="12">
        <v>41698</v>
      </c>
      <c r="EV52">
        <v>3.3609999999999998</v>
      </c>
      <c r="EY52" s="12">
        <v>41698</v>
      </c>
      <c r="EZ52">
        <v>18.463999999999999</v>
      </c>
      <c r="FA52" s="12">
        <v>41698</v>
      </c>
      <c r="FB52">
        <v>12.035</v>
      </c>
      <c r="FC52" s="12">
        <v>41698</v>
      </c>
      <c r="FD52">
        <v>19.234999999999999</v>
      </c>
      <c r="FG52" s="12">
        <v>41698</v>
      </c>
      <c r="FH52">
        <v>3.7869999999999999</v>
      </c>
      <c r="FI52" s="12">
        <v>41698</v>
      </c>
      <c r="FJ52">
        <v>10.010999999999999</v>
      </c>
      <c r="FK52" s="12">
        <v>41698</v>
      </c>
      <c r="FL52">
        <v>11.196999999999999</v>
      </c>
      <c r="FM52" s="12">
        <v>41698</v>
      </c>
      <c r="FN52">
        <v>6.798</v>
      </c>
      <c r="FO52" s="12">
        <v>41698</v>
      </c>
      <c r="FP52">
        <v>32.779000000000003</v>
      </c>
      <c r="FQ52" s="12">
        <v>43189</v>
      </c>
      <c r="FR52">
        <v>18.736000000000001</v>
      </c>
      <c r="FS52" s="12">
        <v>41698</v>
      </c>
      <c r="FT52">
        <v>1.8069999999999999</v>
      </c>
      <c r="FU52" s="12">
        <v>41698</v>
      </c>
      <c r="FV52">
        <v>7.8410000000000002</v>
      </c>
      <c r="FW52" s="12">
        <v>41698</v>
      </c>
      <c r="FX52">
        <v>9.2590000000000003</v>
      </c>
      <c r="FY52" s="12">
        <v>42551</v>
      </c>
      <c r="FZ52">
        <v>1.391</v>
      </c>
      <c r="GA52" s="12">
        <v>41698</v>
      </c>
      <c r="GB52">
        <v>16.233000000000001</v>
      </c>
      <c r="GC52" s="12">
        <v>41698</v>
      </c>
      <c r="GD52">
        <v>13.903</v>
      </c>
      <c r="GE52" s="12">
        <v>42853</v>
      </c>
      <c r="GF52">
        <v>17.251000000000001</v>
      </c>
      <c r="GI52" s="12">
        <v>41698</v>
      </c>
      <c r="GJ52">
        <v>8.5960000000000001</v>
      </c>
      <c r="GK52" s="12">
        <v>41698</v>
      </c>
      <c r="GL52">
        <v>24.63</v>
      </c>
      <c r="GM52" s="12">
        <v>41698</v>
      </c>
      <c r="GN52">
        <v>25.414000000000001</v>
      </c>
      <c r="GO52" s="12">
        <v>42185</v>
      </c>
      <c r="GP52">
        <v>0.432</v>
      </c>
      <c r="GQ52" s="12">
        <v>41820</v>
      </c>
      <c r="GR52">
        <v>25.93</v>
      </c>
      <c r="GS52" s="12">
        <v>41698</v>
      </c>
      <c r="GT52">
        <v>76.5</v>
      </c>
      <c r="GW52" s="12">
        <v>41759</v>
      </c>
      <c r="GX52">
        <v>19.721</v>
      </c>
      <c r="GY52" s="12">
        <v>41698</v>
      </c>
      <c r="GZ52">
        <v>4.0999999999999996</v>
      </c>
      <c r="HA52" s="12">
        <v>41698</v>
      </c>
      <c r="HB52">
        <v>5.4320000000000004</v>
      </c>
      <c r="HC52" s="12">
        <v>41698</v>
      </c>
      <c r="HD52">
        <v>13.686</v>
      </c>
      <c r="HE52" s="12">
        <v>41698</v>
      </c>
      <c r="HF52">
        <v>19.907</v>
      </c>
      <c r="HG52" s="12">
        <v>41698</v>
      </c>
      <c r="HH52">
        <v>15.228</v>
      </c>
      <c r="HI52" s="12">
        <v>41698</v>
      </c>
      <c r="HJ52">
        <v>6.9660000000000002</v>
      </c>
      <c r="HK52" s="12">
        <v>41698</v>
      </c>
      <c r="HL52">
        <v>26</v>
      </c>
      <c r="HM52" s="12">
        <v>41698</v>
      </c>
      <c r="HN52">
        <v>30.001000000000001</v>
      </c>
      <c r="HO52" s="12">
        <v>41698</v>
      </c>
      <c r="HP52">
        <v>27.440999999999999</v>
      </c>
      <c r="HQ52" s="12">
        <v>41789</v>
      </c>
      <c r="HR52">
        <v>47</v>
      </c>
      <c r="HS52" s="12">
        <v>41698</v>
      </c>
      <c r="HT52">
        <v>93.534999999999997</v>
      </c>
      <c r="HU52" s="12">
        <v>41698</v>
      </c>
      <c r="HV52">
        <v>685.23500000000001</v>
      </c>
      <c r="HW52" s="12">
        <v>41698</v>
      </c>
      <c r="HX52">
        <v>12.215999999999999</v>
      </c>
      <c r="HY52" s="12">
        <v>41698</v>
      </c>
      <c r="HZ52">
        <v>11.849</v>
      </c>
      <c r="IA52" s="12">
        <v>41698</v>
      </c>
      <c r="IB52">
        <v>57.091999999999999</v>
      </c>
      <c r="IC52" s="12">
        <v>41698</v>
      </c>
      <c r="ID52">
        <v>3.8860000000000001</v>
      </c>
      <c r="IE52" s="12">
        <v>41698</v>
      </c>
      <c r="IF52">
        <v>2.286</v>
      </c>
      <c r="IG52" s="12">
        <v>42004</v>
      </c>
      <c r="IH52">
        <v>2.31</v>
      </c>
      <c r="II52" s="12">
        <v>41698</v>
      </c>
      <c r="IJ52">
        <v>8.9969999999999999</v>
      </c>
      <c r="IM52" s="12">
        <v>41698</v>
      </c>
      <c r="IN52">
        <v>22.248999999999999</v>
      </c>
      <c r="IO52" s="12">
        <v>42247</v>
      </c>
      <c r="IP52">
        <v>10.805</v>
      </c>
      <c r="IQ52" s="12">
        <v>41698</v>
      </c>
      <c r="IR52">
        <v>15.492000000000001</v>
      </c>
      <c r="IS52" s="12">
        <v>43616</v>
      </c>
      <c r="IT52">
        <v>19.36</v>
      </c>
      <c r="IU52" s="12">
        <v>41698</v>
      </c>
      <c r="IV52">
        <v>5.7778</v>
      </c>
      <c r="IY52" s="12">
        <v>41698</v>
      </c>
      <c r="IZ52">
        <v>8.5329999999999995</v>
      </c>
      <c r="JA52" s="12">
        <v>43465</v>
      </c>
      <c r="JB52">
        <v>13.05</v>
      </c>
      <c r="JC52" s="12">
        <v>41698</v>
      </c>
      <c r="JD52">
        <v>6.2</v>
      </c>
      <c r="JE52" s="12">
        <v>41698</v>
      </c>
      <c r="JF52">
        <v>42.75</v>
      </c>
      <c r="JI52" s="12">
        <v>41698</v>
      </c>
      <c r="JJ52">
        <v>8.0419999999999998</v>
      </c>
      <c r="JM52" s="12">
        <v>41698</v>
      </c>
      <c r="JN52">
        <v>1.103</v>
      </c>
      <c r="JO52" s="12">
        <v>41698</v>
      </c>
      <c r="JP52">
        <v>17.759</v>
      </c>
      <c r="JQ52" s="12">
        <v>43098</v>
      </c>
      <c r="JR52">
        <v>27.350999999999999</v>
      </c>
      <c r="JS52" s="12">
        <v>41698</v>
      </c>
      <c r="JT52">
        <v>6.8049999999999997</v>
      </c>
      <c r="JU52" s="12">
        <v>42916</v>
      </c>
      <c r="JV52">
        <v>52.872</v>
      </c>
      <c r="JW52" s="12">
        <v>41698</v>
      </c>
      <c r="JX52">
        <v>8.9149999999999991</v>
      </c>
      <c r="JY52" s="12">
        <v>41698</v>
      </c>
      <c r="JZ52">
        <v>10.951000000000001</v>
      </c>
      <c r="KC52" s="12">
        <v>41698</v>
      </c>
      <c r="KD52">
        <v>8.1989999999999998</v>
      </c>
      <c r="KE52" s="12">
        <v>41698</v>
      </c>
      <c r="KF52">
        <v>9.0749999999999993</v>
      </c>
      <c r="KI52" s="12">
        <v>41698</v>
      </c>
      <c r="KJ52">
        <v>5.6779999999999999</v>
      </c>
      <c r="KO52" s="12">
        <v>41698</v>
      </c>
      <c r="KP52">
        <v>104.092</v>
      </c>
      <c r="KQ52" s="12">
        <v>41698</v>
      </c>
      <c r="KR52">
        <v>87.242000000000004</v>
      </c>
      <c r="KS52" s="12">
        <v>41698</v>
      </c>
      <c r="KT52">
        <v>10.086</v>
      </c>
      <c r="KU52" s="12">
        <v>41698</v>
      </c>
      <c r="KV52">
        <v>9.8949999999999996</v>
      </c>
      <c r="LC52" s="12">
        <v>41698</v>
      </c>
      <c r="LD52">
        <v>9.4879999999999995</v>
      </c>
      <c r="LE52" s="12">
        <v>41698</v>
      </c>
      <c r="LF52">
        <v>4.1210000000000004</v>
      </c>
      <c r="LG52" s="12">
        <v>41698</v>
      </c>
      <c r="LH52">
        <v>13.693</v>
      </c>
      <c r="LI52" s="12">
        <v>41698</v>
      </c>
      <c r="LJ52">
        <v>22.48</v>
      </c>
      <c r="LM52" s="12">
        <v>41698</v>
      </c>
      <c r="LN52">
        <v>8.9719999999999995</v>
      </c>
      <c r="LO52" s="12">
        <v>41698</v>
      </c>
      <c r="LP52">
        <v>9.266</v>
      </c>
      <c r="LQ52" s="12">
        <v>41698</v>
      </c>
      <c r="LR52">
        <v>26.170999999999999</v>
      </c>
      <c r="LS52" s="12">
        <v>41698</v>
      </c>
      <c r="LT52">
        <v>24.39</v>
      </c>
      <c r="LW52" s="12">
        <v>41698</v>
      </c>
      <c r="LX52">
        <v>151.095</v>
      </c>
      <c r="LY52" s="12">
        <v>41698</v>
      </c>
      <c r="LZ52">
        <v>28.209</v>
      </c>
      <c r="MA52" s="12">
        <v>41698</v>
      </c>
      <c r="MB52">
        <v>21.785</v>
      </c>
      <c r="MC52" s="12">
        <v>43159</v>
      </c>
      <c r="MD52">
        <v>27.358000000000001</v>
      </c>
      <c r="ME52" s="12">
        <v>41698</v>
      </c>
      <c r="MF52">
        <v>5.9030000000000005</v>
      </c>
      <c r="MG52" s="12">
        <v>41698</v>
      </c>
      <c r="MH52">
        <v>8.02</v>
      </c>
      <c r="MI52" s="12">
        <v>43707</v>
      </c>
      <c r="MJ52">
        <v>10.961</v>
      </c>
      <c r="MK52" s="12">
        <v>41698</v>
      </c>
      <c r="ML52">
        <v>16.885000000000002</v>
      </c>
    </row>
    <row r="53" spans="1:350" x14ac:dyDescent="0.3">
      <c r="A53" s="12">
        <v>41729</v>
      </c>
      <c r="B53" s="1">
        <v>13.97</v>
      </c>
      <c r="C53" s="1"/>
      <c r="E53" s="12">
        <v>41729</v>
      </c>
      <c r="F53" s="13">
        <v>7.5659999999999998</v>
      </c>
      <c r="G53" s="17">
        <v>41729</v>
      </c>
      <c r="H53" s="13">
        <v>7.3559999999999999</v>
      </c>
      <c r="I53" s="17">
        <v>41759</v>
      </c>
      <c r="J53">
        <v>16.706</v>
      </c>
      <c r="K53" s="12">
        <v>42947</v>
      </c>
      <c r="L53">
        <v>16.771000000000001</v>
      </c>
      <c r="N53" s="12"/>
      <c r="Q53" s="12">
        <v>43131</v>
      </c>
      <c r="R53">
        <v>27.177</v>
      </c>
      <c r="S53" s="12">
        <v>41729</v>
      </c>
      <c r="T53">
        <v>17.259</v>
      </c>
      <c r="U53" s="12">
        <v>42153</v>
      </c>
      <c r="V53">
        <v>20.835000000000001</v>
      </c>
      <c r="Y53" s="12">
        <v>41729</v>
      </c>
      <c r="Z53">
        <v>8.9329999999999998</v>
      </c>
      <c r="AA53" s="12">
        <v>41729</v>
      </c>
      <c r="AB53">
        <v>16.411000000000001</v>
      </c>
      <c r="AC53" s="12">
        <v>41729</v>
      </c>
      <c r="AD53">
        <v>12.342000000000001</v>
      </c>
      <c r="AE53" s="12">
        <v>41729</v>
      </c>
      <c r="AF53">
        <v>11.250999999999999</v>
      </c>
      <c r="AG53" s="12">
        <v>41729</v>
      </c>
      <c r="AH53">
        <v>38.505000000000003</v>
      </c>
      <c r="AI53" s="12">
        <v>42947</v>
      </c>
      <c r="AJ53">
        <v>20.696000000000002</v>
      </c>
      <c r="AK53" s="12">
        <v>41729</v>
      </c>
      <c r="AL53">
        <v>9.827</v>
      </c>
      <c r="AO53" s="12">
        <v>41729</v>
      </c>
      <c r="AP53">
        <v>1.46</v>
      </c>
      <c r="AS53" s="12">
        <v>41729</v>
      </c>
      <c r="AT53">
        <v>3.4820000000000002</v>
      </c>
      <c r="AU53" s="12">
        <v>41729</v>
      </c>
      <c r="AV53">
        <v>13.774000000000001</v>
      </c>
      <c r="AY53" s="12">
        <v>41729</v>
      </c>
      <c r="AZ53">
        <v>43.027999999999999</v>
      </c>
      <c r="BA53" s="12">
        <v>41729</v>
      </c>
      <c r="BB53">
        <v>13.276</v>
      </c>
      <c r="BC53" s="12">
        <v>41729</v>
      </c>
      <c r="BD53">
        <v>11.468999999999999</v>
      </c>
      <c r="BE53" s="12">
        <v>41820</v>
      </c>
      <c r="BF53">
        <v>10.201000000000001</v>
      </c>
      <c r="BG53" s="12">
        <v>41729</v>
      </c>
      <c r="BH53">
        <v>8.1769999999999996</v>
      </c>
      <c r="BI53" s="12">
        <v>41729</v>
      </c>
      <c r="BJ53">
        <v>24.026</v>
      </c>
      <c r="BK53" s="12">
        <v>41729</v>
      </c>
      <c r="BL53">
        <v>12.884</v>
      </c>
      <c r="BM53" s="12">
        <v>41729</v>
      </c>
      <c r="BN53">
        <v>15.984999999999999</v>
      </c>
      <c r="BO53" s="12">
        <v>41729</v>
      </c>
      <c r="BP53">
        <v>16.321999999999999</v>
      </c>
      <c r="BQ53" s="12">
        <v>41729</v>
      </c>
      <c r="BR53">
        <v>10.163</v>
      </c>
      <c r="BS53" s="12">
        <v>41729</v>
      </c>
      <c r="BT53">
        <v>8.8659999999999997</v>
      </c>
      <c r="BW53" s="12">
        <v>41729</v>
      </c>
      <c r="BX53">
        <v>10.744</v>
      </c>
      <c r="BY53" s="12">
        <v>41729</v>
      </c>
      <c r="BZ53">
        <v>15.946</v>
      </c>
      <c r="CA53" s="12">
        <v>41729</v>
      </c>
      <c r="CB53">
        <v>21.277999999999999</v>
      </c>
      <c r="CE53" s="12">
        <v>41729</v>
      </c>
      <c r="CF53">
        <v>19.242999999999999</v>
      </c>
      <c r="CG53" s="12">
        <v>41729</v>
      </c>
      <c r="CH53">
        <v>25.969000000000001</v>
      </c>
      <c r="CI53" s="12">
        <v>41729</v>
      </c>
      <c r="CJ53">
        <v>28.201000000000001</v>
      </c>
      <c r="CK53" s="12">
        <v>41729</v>
      </c>
      <c r="CL53">
        <v>8.4979999999999993</v>
      </c>
      <c r="CM53" s="12">
        <v>41729</v>
      </c>
      <c r="CN53">
        <v>23.466000000000001</v>
      </c>
      <c r="CO53" s="12">
        <v>43189</v>
      </c>
      <c r="CP53">
        <v>59.518999999999998</v>
      </c>
      <c r="CQ53" s="12">
        <v>41729</v>
      </c>
      <c r="CR53">
        <v>10.656000000000001</v>
      </c>
      <c r="CS53" s="12">
        <v>41729</v>
      </c>
      <c r="CT53">
        <v>14.693</v>
      </c>
      <c r="CU53" s="12">
        <v>41729</v>
      </c>
      <c r="CV53">
        <v>6.86</v>
      </c>
      <c r="CW53" s="12">
        <v>41729</v>
      </c>
      <c r="CX53">
        <v>8.57</v>
      </c>
      <c r="CY53" s="12">
        <v>41820</v>
      </c>
      <c r="CZ53">
        <v>11.879</v>
      </c>
      <c r="DA53" s="12">
        <v>41729</v>
      </c>
      <c r="DB53">
        <v>19.63</v>
      </c>
      <c r="DC53" s="12">
        <v>41729</v>
      </c>
      <c r="DD53">
        <v>6.0830000000000002</v>
      </c>
      <c r="DE53" s="12">
        <v>41729</v>
      </c>
      <c r="DF53">
        <v>8.2210000000000001</v>
      </c>
      <c r="DG53" s="12">
        <v>42398</v>
      </c>
      <c r="DH53">
        <v>11.191000000000001</v>
      </c>
      <c r="DI53" s="12">
        <v>41729</v>
      </c>
      <c r="DJ53">
        <v>7.8620000000000001</v>
      </c>
      <c r="DK53" s="12">
        <v>41729</v>
      </c>
      <c r="DL53">
        <v>19.256</v>
      </c>
      <c r="DM53" s="12">
        <v>42153</v>
      </c>
      <c r="DN53">
        <v>4.9180000000000001</v>
      </c>
      <c r="DO53" s="12">
        <v>41729</v>
      </c>
      <c r="DP53">
        <v>7.2620000000000005</v>
      </c>
      <c r="DQ53" s="12">
        <v>41729</v>
      </c>
      <c r="DR53">
        <v>92.783000000000001</v>
      </c>
      <c r="DS53" s="12">
        <v>41729</v>
      </c>
      <c r="DT53">
        <v>9.1180000000000003</v>
      </c>
      <c r="DU53" s="12">
        <v>41729</v>
      </c>
      <c r="DV53">
        <v>3.6949999999999998</v>
      </c>
      <c r="DW53" s="12">
        <v>41729</v>
      </c>
      <c r="DX53">
        <v>6.46</v>
      </c>
      <c r="DY53" s="12">
        <v>41729</v>
      </c>
      <c r="DZ53">
        <v>14.292</v>
      </c>
      <c r="EC53" s="12">
        <v>41729</v>
      </c>
      <c r="ED53">
        <v>20.850999999999999</v>
      </c>
      <c r="EE53" s="12">
        <v>41729</v>
      </c>
      <c r="EF53">
        <v>7.2759999999999998</v>
      </c>
      <c r="EG53" s="12">
        <v>41729</v>
      </c>
      <c r="EH53">
        <v>15.196999999999999</v>
      </c>
      <c r="EI53" s="12">
        <v>41729</v>
      </c>
      <c r="EJ53">
        <v>27.381</v>
      </c>
      <c r="EK53" s="12">
        <v>41729</v>
      </c>
      <c r="EL53">
        <v>10.465</v>
      </c>
      <c r="EM53" s="12">
        <v>41729</v>
      </c>
      <c r="EN53">
        <v>13.14</v>
      </c>
      <c r="EQ53" s="12">
        <v>41729</v>
      </c>
      <c r="ER53">
        <v>15.818999999999999</v>
      </c>
      <c r="ES53" s="12">
        <v>41729</v>
      </c>
      <c r="ET53">
        <v>10.94</v>
      </c>
      <c r="EU53" s="12">
        <v>41729</v>
      </c>
      <c r="EV53">
        <v>3.7800000000000002</v>
      </c>
      <c r="EY53" s="12">
        <v>41729</v>
      </c>
      <c r="EZ53">
        <v>20.303000000000001</v>
      </c>
      <c r="FA53" s="12">
        <v>41729</v>
      </c>
      <c r="FB53">
        <v>13.593</v>
      </c>
      <c r="FC53" s="12">
        <v>41729</v>
      </c>
      <c r="FD53">
        <v>19.576999999999998</v>
      </c>
      <c r="FG53" s="12">
        <v>41729</v>
      </c>
      <c r="FH53">
        <v>4.133</v>
      </c>
      <c r="FI53" s="12">
        <v>41729</v>
      </c>
      <c r="FJ53">
        <v>10.99</v>
      </c>
      <c r="FK53" s="12">
        <v>41729</v>
      </c>
      <c r="FL53">
        <v>12.16</v>
      </c>
      <c r="FM53" s="12">
        <v>41729</v>
      </c>
      <c r="FN53">
        <v>7.0339999999999998</v>
      </c>
      <c r="FO53" s="12">
        <v>41729</v>
      </c>
      <c r="FP53">
        <v>33.146999999999998</v>
      </c>
      <c r="FQ53" s="12">
        <v>43220</v>
      </c>
      <c r="FR53">
        <v>19.216000000000001</v>
      </c>
      <c r="FS53" s="12">
        <v>41729</v>
      </c>
      <c r="FT53">
        <v>1.83</v>
      </c>
      <c r="FU53" s="12">
        <v>41729</v>
      </c>
      <c r="FV53">
        <v>9.0589999999999993</v>
      </c>
      <c r="FW53" s="12">
        <v>41729</v>
      </c>
      <c r="FX53">
        <v>10.762</v>
      </c>
      <c r="FY53" s="12">
        <v>42580</v>
      </c>
      <c r="FZ53">
        <v>1.4079999999999999</v>
      </c>
      <c r="GA53" s="12">
        <v>41729</v>
      </c>
      <c r="GB53">
        <v>16.233000000000001</v>
      </c>
      <c r="GC53" s="12">
        <v>41729</v>
      </c>
      <c r="GD53">
        <v>15.798999999999999</v>
      </c>
      <c r="GE53" s="12">
        <v>42886</v>
      </c>
      <c r="GF53">
        <v>18.117999999999999</v>
      </c>
      <c r="GI53" s="12">
        <v>41729</v>
      </c>
      <c r="GJ53">
        <v>9.59</v>
      </c>
      <c r="GK53" s="12">
        <v>41729</v>
      </c>
      <c r="GL53">
        <v>22.687000000000001</v>
      </c>
      <c r="GM53" s="12">
        <v>41729</v>
      </c>
      <c r="GN53">
        <v>28.361999999999998</v>
      </c>
      <c r="GO53" s="12">
        <v>42216</v>
      </c>
      <c r="GP53">
        <v>0.44</v>
      </c>
      <c r="GQ53" s="12">
        <v>41851</v>
      </c>
      <c r="GR53">
        <v>23.64</v>
      </c>
      <c r="GS53" s="12">
        <v>41729</v>
      </c>
      <c r="GT53">
        <v>64</v>
      </c>
      <c r="GW53" s="12">
        <v>41789</v>
      </c>
      <c r="GX53">
        <v>22.861000000000001</v>
      </c>
      <c r="GY53" s="12">
        <v>41729</v>
      </c>
      <c r="GZ53">
        <v>4.3899999999999997</v>
      </c>
      <c r="HA53" s="12">
        <v>41729</v>
      </c>
      <c r="HB53">
        <v>5.4119999999999999</v>
      </c>
      <c r="HC53" s="12">
        <v>41729</v>
      </c>
      <c r="HD53">
        <v>14.375</v>
      </c>
      <c r="HE53" s="12">
        <v>41729</v>
      </c>
      <c r="HF53">
        <v>19.059999999999999</v>
      </c>
      <c r="HG53" s="12">
        <v>41729</v>
      </c>
      <c r="HH53">
        <v>16.821000000000002</v>
      </c>
      <c r="HI53" s="12">
        <v>41729</v>
      </c>
      <c r="HJ53">
        <v>7.3449999999999998</v>
      </c>
      <c r="HK53" s="12">
        <v>41729</v>
      </c>
      <c r="HL53">
        <v>25</v>
      </c>
      <c r="HM53" s="12">
        <v>41729</v>
      </c>
      <c r="HN53">
        <v>24.105</v>
      </c>
      <c r="HO53" s="12">
        <v>41729</v>
      </c>
      <c r="HP53">
        <v>23.847999999999999</v>
      </c>
      <c r="HQ53" s="12">
        <v>41820</v>
      </c>
      <c r="HR53">
        <v>51</v>
      </c>
      <c r="HS53" s="12">
        <v>41729</v>
      </c>
      <c r="HT53">
        <v>94.347999999999999</v>
      </c>
      <c r="HU53" s="12">
        <v>41729</v>
      </c>
      <c r="HV53">
        <v>653.46900000000005</v>
      </c>
      <c r="HW53" s="12">
        <v>41729</v>
      </c>
      <c r="HX53">
        <v>14.068</v>
      </c>
      <c r="HY53" s="12">
        <v>41729</v>
      </c>
      <c r="HZ53">
        <v>13.757999999999999</v>
      </c>
      <c r="IA53" s="12">
        <v>41729</v>
      </c>
      <c r="IB53">
        <v>59.68</v>
      </c>
      <c r="IC53" s="12">
        <v>41729</v>
      </c>
      <c r="ID53">
        <v>3.8340000000000001</v>
      </c>
      <c r="IE53" s="12">
        <v>41729</v>
      </c>
      <c r="IF53">
        <v>2.3330000000000002</v>
      </c>
      <c r="IG53" s="12">
        <v>42034</v>
      </c>
      <c r="IH53">
        <v>1.95</v>
      </c>
      <c r="II53" s="12">
        <v>41729</v>
      </c>
      <c r="IJ53">
        <v>9.7799999999999994</v>
      </c>
      <c r="IM53" s="12">
        <v>41729</v>
      </c>
      <c r="IN53">
        <v>23.178000000000001</v>
      </c>
      <c r="IO53" s="12">
        <v>42277</v>
      </c>
      <c r="IP53">
        <v>9.3930000000000007</v>
      </c>
      <c r="IQ53" s="12">
        <v>41729</v>
      </c>
      <c r="IR53">
        <v>18.422000000000001</v>
      </c>
      <c r="IS53" s="12">
        <v>43644</v>
      </c>
      <c r="IT53">
        <v>20.73</v>
      </c>
      <c r="IU53" s="12">
        <v>41729</v>
      </c>
      <c r="IV53">
        <v>5.9531000000000001</v>
      </c>
      <c r="IY53" s="12">
        <v>41729</v>
      </c>
      <c r="IZ53">
        <v>9.0909999999999993</v>
      </c>
      <c r="JA53" s="12">
        <v>43496</v>
      </c>
      <c r="JB53">
        <v>16.059999999999999</v>
      </c>
      <c r="JC53" s="12">
        <v>41729</v>
      </c>
      <c r="JD53">
        <v>5.8</v>
      </c>
      <c r="JE53" s="12">
        <v>41729</v>
      </c>
      <c r="JF53">
        <v>45.25</v>
      </c>
      <c r="JI53" s="12">
        <v>41729</v>
      </c>
      <c r="JJ53">
        <v>8.8699999999999992</v>
      </c>
      <c r="JM53" s="12">
        <v>41729</v>
      </c>
      <c r="JN53">
        <v>1.081</v>
      </c>
      <c r="JO53" s="12">
        <v>41729</v>
      </c>
      <c r="JP53">
        <v>17.428000000000001</v>
      </c>
      <c r="JQ53" s="12">
        <v>43131</v>
      </c>
      <c r="JR53">
        <v>28.984999999999999</v>
      </c>
      <c r="JS53" s="12">
        <v>41729</v>
      </c>
      <c r="JT53">
        <v>6.6310000000000002</v>
      </c>
      <c r="JU53" s="12">
        <v>42947</v>
      </c>
      <c r="JV53">
        <v>57.107999999999997</v>
      </c>
      <c r="JW53" s="12">
        <v>41729</v>
      </c>
      <c r="JX53">
        <v>9.2579999999999991</v>
      </c>
      <c r="JY53" s="12">
        <v>41729</v>
      </c>
      <c r="JZ53">
        <v>11.083</v>
      </c>
      <c r="KC53" s="12">
        <v>41729</v>
      </c>
      <c r="KD53">
        <v>7.7370000000000001</v>
      </c>
      <c r="KE53" s="12">
        <v>41729</v>
      </c>
      <c r="KF53">
        <v>9.6839999999999993</v>
      </c>
      <c r="KI53" s="12">
        <v>41729</v>
      </c>
      <c r="KJ53">
        <v>5.9870000000000001</v>
      </c>
      <c r="KO53" s="12">
        <v>41729</v>
      </c>
      <c r="KP53">
        <v>86.247</v>
      </c>
      <c r="KQ53" s="12">
        <v>41729</v>
      </c>
      <c r="KR53">
        <v>84.975999999999999</v>
      </c>
      <c r="KS53" s="12">
        <v>41729</v>
      </c>
      <c r="KT53">
        <v>10.457000000000001</v>
      </c>
      <c r="KU53" s="12">
        <v>41729</v>
      </c>
      <c r="KV53">
        <v>10.231</v>
      </c>
      <c r="LC53" s="12">
        <v>41729</v>
      </c>
      <c r="LD53">
        <v>10.673999999999999</v>
      </c>
      <c r="LE53" s="12">
        <v>41729</v>
      </c>
      <c r="LF53">
        <v>4</v>
      </c>
      <c r="LG53" s="12">
        <v>41729</v>
      </c>
      <c r="LH53">
        <v>13.523</v>
      </c>
      <c r="LI53" s="12">
        <v>41729</v>
      </c>
      <c r="LJ53">
        <v>23.67</v>
      </c>
      <c r="LM53" s="12">
        <v>41729</v>
      </c>
      <c r="LN53">
        <v>8.9039999999999999</v>
      </c>
      <c r="LO53" s="12">
        <v>41729</v>
      </c>
      <c r="LP53">
        <v>9.702</v>
      </c>
      <c r="LQ53" s="12">
        <v>41729</v>
      </c>
      <c r="LR53">
        <v>24.917999999999999</v>
      </c>
      <c r="LS53" s="12">
        <v>41729</v>
      </c>
      <c r="LT53">
        <v>23.768999999999998</v>
      </c>
      <c r="LW53" s="12">
        <v>41729</v>
      </c>
      <c r="LX53">
        <v>142.70099999999999</v>
      </c>
      <c r="LY53" s="12">
        <v>41729</v>
      </c>
      <c r="LZ53">
        <v>32.210999999999999</v>
      </c>
      <c r="MA53" s="12">
        <v>41729</v>
      </c>
      <c r="MB53">
        <v>25.847000000000001</v>
      </c>
      <c r="MC53" s="12">
        <v>43189</v>
      </c>
      <c r="MD53">
        <v>30.283999999999999</v>
      </c>
      <c r="ME53" s="12">
        <v>41729</v>
      </c>
      <c r="MF53">
        <v>6.3849999999999998</v>
      </c>
      <c r="MG53" s="12">
        <v>41729</v>
      </c>
      <c r="MH53">
        <v>8.3330000000000002</v>
      </c>
      <c r="MI53" s="12">
        <v>43738</v>
      </c>
      <c r="MJ53">
        <v>10.210000000000001</v>
      </c>
      <c r="MK53" s="12">
        <v>41729</v>
      </c>
      <c r="ML53">
        <v>17.465</v>
      </c>
    </row>
    <row r="54" spans="1:350" x14ac:dyDescent="0.3">
      <c r="A54" s="12">
        <v>41759</v>
      </c>
      <c r="B54" s="1">
        <v>13.537000000000001</v>
      </c>
      <c r="C54" s="1"/>
      <c r="E54" s="12">
        <v>41759</v>
      </c>
      <c r="F54" s="13">
        <v>8.83</v>
      </c>
      <c r="G54" s="17">
        <v>41759</v>
      </c>
      <c r="H54" s="13">
        <v>7.0640000000000001</v>
      </c>
      <c r="I54" s="17">
        <v>41789</v>
      </c>
      <c r="J54">
        <v>16.442</v>
      </c>
      <c r="K54" s="12">
        <v>42978</v>
      </c>
      <c r="L54">
        <v>17.100000000000001</v>
      </c>
      <c r="N54" s="12"/>
      <c r="Q54" s="12">
        <v>43159</v>
      </c>
      <c r="R54">
        <v>26.722999999999999</v>
      </c>
      <c r="S54" s="12">
        <v>41759</v>
      </c>
      <c r="T54">
        <v>17.786999999999999</v>
      </c>
      <c r="U54" s="12">
        <v>42185</v>
      </c>
      <c r="V54">
        <v>20.550999999999998</v>
      </c>
      <c r="Y54" s="12">
        <v>41759</v>
      </c>
      <c r="Z54">
        <v>9.0519999999999996</v>
      </c>
      <c r="AA54" s="12">
        <v>41759</v>
      </c>
      <c r="AB54">
        <v>16.850000000000001</v>
      </c>
      <c r="AC54" s="12">
        <v>41759</v>
      </c>
      <c r="AD54">
        <v>12.584</v>
      </c>
      <c r="AE54" s="12">
        <v>41759</v>
      </c>
      <c r="AF54">
        <v>11.98</v>
      </c>
      <c r="AG54" s="12">
        <v>41759</v>
      </c>
      <c r="AH54">
        <v>35.951999999999998</v>
      </c>
      <c r="AI54" s="12">
        <v>42978</v>
      </c>
      <c r="AJ54">
        <v>21.55</v>
      </c>
      <c r="AK54" s="12">
        <v>41759</v>
      </c>
      <c r="AL54">
        <v>9.7490000000000006</v>
      </c>
      <c r="AO54" s="12">
        <v>41759</v>
      </c>
      <c r="AP54">
        <v>1.43</v>
      </c>
      <c r="AS54" s="12">
        <v>41759</v>
      </c>
      <c r="AT54">
        <v>3.444</v>
      </c>
      <c r="AU54" s="12">
        <v>41759</v>
      </c>
      <c r="AV54">
        <v>14.061</v>
      </c>
      <c r="AY54" s="12">
        <v>41759</v>
      </c>
      <c r="AZ54">
        <v>47.966999999999999</v>
      </c>
      <c r="BA54" s="12">
        <v>41759</v>
      </c>
      <c r="BB54">
        <v>11.79</v>
      </c>
      <c r="BC54" s="12">
        <v>41759</v>
      </c>
      <c r="BD54">
        <v>11.24</v>
      </c>
      <c r="BE54" s="12">
        <v>41851</v>
      </c>
      <c r="BF54">
        <v>10.753</v>
      </c>
      <c r="BG54" s="12">
        <v>41759</v>
      </c>
      <c r="BH54">
        <v>7.7969999999999997</v>
      </c>
      <c r="BI54" s="12">
        <v>41759</v>
      </c>
      <c r="BJ54">
        <v>21.501000000000001</v>
      </c>
      <c r="BK54" s="12">
        <v>41759</v>
      </c>
      <c r="BL54">
        <v>12.949</v>
      </c>
      <c r="BM54" s="12">
        <v>41759</v>
      </c>
      <c r="BN54">
        <v>17.408000000000001</v>
      </c>
      <c r="BO54" s="12">
        <v>41759</v>
      </c>
      <c r="BP54">
        <v>17.832000000000001</v>
      </c>
      <c r="BQ54" s="12">
        <v>41759</v>
      </c>
      <c r="BR54">
        <v>11.089</v>
      </c>
      <c r="BS54" s="12">
        <v>41759</v>
      </c>
      <c r="BT54">
        <v>9.8770000000000007</v>
      </c>
      <c r="BW54" s="12">
        <v>41759</v>
      </c>
      <c r="BX54">
        <v>10.282999999999999</v>
      </c>
      <c r="BY54" s="12">
        <v>41759</v>
      </c>
      <c r="BZ54">
        <v>16.722000000000001</v>
      </c>
      <c r="CA54" s="12">
        <v>41759</v>
      </c>
      <c r="CB54">
        <v>23.456</v>
      </c>
      <c r="CE54" s="12">
        <v>41759</v>
      </c>
      <c r="CF54">
        <v>19.009</v>
      </c>
      <c r="CG54" s="12">
        <v>41759</v>
      </c>
      <c r="CH54">
        <v>28.164000000000001</v>
      </c>
      <c r="CI54" s="12">
        <v>41759</v>
      </c>
      <c r="CJ54">
        <v>27.013000000000002</v>
      </c>
      <c r="CK54" s="12">
        <v>41759</v>
      </c>
      <c r="CL54">
        <v>7.3920000000000003</v>
      </c>
      <c r="CM54" s="12">
        <v>41759</v>
      </c>
      <c r="CN54">
        <v>24.242000000000001</v>
      </c>
      <c r="CO54" s="12">
        <v>43220</v>
      </c>
      <c r="CP54">
        <v>56.991</v>
      </c>
      <c r="CQ54" s="12">
        <v>41759</v>
      </c>
      <c r="CR54">
        <v>10.894</v>
      </c>
      <c r="CS54" s="12">
        <v>41759</v>
      </c>
      <c r="CT54">
        <v>12.917</v>
      </c>
      <c r="CU54" s="12">
        <v>41759</v>
      </c>
      <c r="CV54">
        <v>7.4560000000000004</v>
      </c>
      <c r="CW54" s="12">
        <v>41759</v>
      </c>
      <c r="CX54">
        <v>7.8769999999999998</v>
      </c>
      <c r="CY54" s="12">
        <v>41851</v>
      </c>
      <c r="CZ54">
        <v>10.749000000000001</v>
      </c>
      <c r="DA54" s="12">
        <v>41759</v>
      </c>
      <c r="DB54">
        <v>18.545000000000002</v>
      </c>
      <c r="DC54" s="12">
        <v>41759</v>
      </c>
      <c r="DD54">
        <v>7.17</v>
      </c>
      <c r="DE54" s="12">
        <v>41759</v>
      </c>
      <c r="DF54">
        <v>9.5280000000000005</v>
      </c>
      <c r="DG54" s="12">
        <v>42429</v>
      </c>
      <c r="DH54">
        <v>11.904999999999999</v>
      </c>
      <c r="DI54" s="12">
        <v>41759</v>
      </c>
      <c r="DJ54">
        <v>8.766</v>
      </c>
      <c r="DK54" s="12">
        <v>41759</v>
      </c>
      <c r="DL54">
        <v>18.408000000000001</v>
      </c>
      <c r="DM54" s="12">
        <v>42185</v>
      </c>
      <c r="DN54">
        <v>4.3239999999999998</v>
      </c>
      <c r="DO54" s="12">
        <v>41759</v>
      </c>
      <c r="DP54">
        <v>7.3360000000000003</v>
      </c>
      <c r="DQ54" s="12">
        <v>41759</v>
      </c>
      <c r="DR54">
        <v>70.013999999999996</v>
      </c>
      <c r="DS54" s="12">
        <v>41759</v>
      </c>
      <c r="DT54">
        <v>11.068</v>
      </c>
      <c r="DU54" s="12">
        <v>41759</v>
      </c>
      <c r="DV54">
        <v>3.6949999999999998</v>
      </c>
      <c r="DW54" s="12">
        <v>41759</v>
      </c>
      <c r="DX54">
        <v>6.1029999999999998</v>
      </c>
      <c r="DY54" s="12">
        <v>41759</v>
      </c>
      <c r="DZ54">
        <v>13.896000000000001</v>
      </c>
      <c r="EC54" s="12">
        <v>41759</v>
      </c>
      <c r="ED54">
        <v>18.347000000000001</v>
      </c>
      <c r="EE54" s="12">
        <v>41759</v>
      </c>
      <c r="EF54">
        <v>5.8849999999999998</v>
      </c>
      <c r="EG54" s="12">
        <v>41759</v>
      </c>
      <c r="EH54">
        <v>15.278</v>
      </c>
      <c r="EI54" s="12">
        <v>41759</v>
      </c>
      <c r="EJ54">
        <v>28.488</v>
      </c>
      <c r="EK54" s="12">
        <v>41759</v>
      </c>
      <c r="EL54">
        <v>9.5549999999999997</v>
      </c>
      <c r="EM54" s="12">
        <v>41759</v>
      </c>
      <c r="EN54">
        <v>12.099</v>
      </c>
      <c r="EQ54" s="12">
        <v>41759</v>
      </c>
      <c r="ER54">
        <v>14.683</v>
      </c>
      <c r="ES54" s="12">
        <v>41759</v>
      </c>
      <c r="ET54">
        <v>14.29</v>
      </c>
      <c r="EU54" s="12">
        <v>41759</v>
      </c>
      <c r="EV54">
        <v>3.5579999999999998</v>
      </c>
      <c r="EY54" s="12">
        <v>41759</v>
      </c>
      <c r="EZ54">
        <v>17.681999999999999</v>
      </c>
      <c r="FA54" s="12">
        <v>41759</v>
      </c>
      <c r="FB54">
        <v>13.609</v>
      </c>
      <c r="FC54" s="12">
        <v>41759</v>
      </c>
      <c r="FD54">
        <v>20.233000000000001</v>
      </c>
      <c r="FG54" s="12">
        <v>41759</v>
      </c>
      <c r="FH54">
        <v>4.3789999999999996</v>
      </c>
      <c r="FI54" s="12">
        <v>41759</v>
      </c>
      <c r="FJ54">
        <v>11.827999999999999</v>
      </c>
      <c r="FK54" s="12">
        <v>41759</v>
      </c>
      <c r="FL54">
        <v>13.206</v>
      </c>
      <c r="FM54" s="12">
        <v>41759</v>
      </c>
      <c r="FN54">
        <v>6.9790000000000001</v>
      </c>
      <c r="FO54" s="12">
        <v>41759</v>
      </c>
      <c r="FP54">
        <v>33.045000000000002</v>
      </c>
      <c r="FQ54" s="12">
        <v>43251</v>
      </c>
      <c r="FR54">
        <v>19.13</v>
      </c>
      <c r="FS54" s="12">
        <v>41759</v>
      </c>
      <c r="FT54">
        <v>1.8149999999999999</v>
      </c>
      <c r="FU54" s="12">
        <v>41759</v>
      </c>
      <c r="FV54">
        <v>9.0660000000000007</v>
      </c>
      <c r="FW54" s="12">
        <v>41759</v>
      </c>
      <c r="FX54">
        <v>10.864000000000001</v>
      </c>
      <c r="FY54" s="12">
        <v>42613</v>
      </c>
      <c r="FZ54">
        <v>1.383</v>
      </c>
      <c r="GA54" s="12">
        <v>41759</v>
      </c>
      <c r="GB54">
        <v>15.584</v>
      </c>
      <c r="GC54" s="12">
        <v>41759</v>
      </c>
      <c r="GD54">
        <v>16.510999999999999</v>
      </c>
      <c r="GE54" s="12">
        <v>42916</v>
      </c>
      <c r="GF54">
        <v>17.388000000000002</v>
      </c>
      <c r="GI54" s="12">
        <v>41759</v>
      </c>
      <c r="GJ54">
        <v>9.9239999999999995</v>
      </c>
      <c r="GK54" s="12">
        <v>41759</v>
      </c>
      <c r="GL54">
        <v>21.643000000000001</v>
      </c>
      <c r="GM54" s="12">
        <v>41759</v>
      </c>
      <c r="GN54">
        <v>29.907</v>
      </c>
      <c r="GO54" s="12">
        <v>42247</v>
      </c>
      <c r="GP54">
        <v>0.312</v>
      </c>
      <c r="GQ54" s="12">
        <v>41880</v>
      </c>
      <c r="GR54">
        <v>22.9</v>
      </c>
      <c r="GS54" s="12">
        <v>41759</v>
      </c>
      <c r="GT54">
        <v>64.75</v>
      </c>
      <c r="GW54" s="12">
        <v>41820</v>
      </c>
      <c r="GX54">
        <v>25.556999999999999</v>
      </c>
      <c r="GY54" s="12">
        <v>41759</v>
      </c>
      <c r="GZ54">
        <v>4.16</v>
      </c>
      <c r="HA54" s="12">
        <v>41759</v>
      </c>
      <c r="HB54">
        <v>4.7229999999999999</v>
      </c>
      <c r="HC54" s="12">
        <v>41759</v>
      </c>
      <c r="HD54">
        <v>14.63</v>
      </c>
      <c r="HE54" s="12">
        <v>41759</v>
      </c>
      <c r="HF54">
        <v>17.085999999999999</v>
      </c>
      <c r="HG54" s="12">
        <v>41759</v>
      </c>
      <c r="HH54">
        <v>16.852</v>
      </c>
      <c r="HI54" s="12">
        <v>41759</v>
      </c>
      <c r="HJ54">
        <v>7.4550000000000001</v>
      </c>
      <c r="HK54" s="12">
        <v>41759</v>
      </c>
      <c r="HL54">
        <v>20</v>
      </c>
      <c r="HM54" s="12">
        <v>41759</v>
      </c>
      <c r="HN54">
        <v>16.792000000000002</v>
      </c>
      <c r="HO54" s="12">
        <v>41759</v>
      </c>
      <c r="HP54">
        <v>16.356999999999999</v>
      </c>
      <c r="HQ54" s="12">
        <v>41851</v>
      </c>
      <c r="HR54">
        <v>52</v>
      </c>
      <c r="HS54" s="12">
        <v>41759</v>
      </c>
      <c r="HT54">
        <v>100.342</v>
      </c>
      <c r="HU54" s="12">
        <v>41759</v>
      </c>
      <c r="HV54">
        <v>621.70299999999997</v>
      </c>
      <c r="HW54" s="12">
        <v>41759</v>
      </c>
      <c r="HX54">
        <v>15.221</v>
      </c>
      <c r="HY54" s="12">
        <v>41759</v>
      </c>
      <c r="HZ54">
        <v>15.372999999999999</v>
      </c>
      <c r="IA54" s="12">
        <v>41759</v>
      </c>
      <c r="IB54">
        <v>59.356999999999999</v>
      </c>
      <c r="IC54" s="12">
        <v>41759</v>
      </c>
      <c r="ID54">
        <v>3.4470000000000001</v>
      </c>
      <c r="IE54" s="12">
        <v>41759</v>
      </c>
      <c r="IF54">
        <v>2.2439999999999998</v>
      </c>
      <c r="IG54" s="12">
        <v>42062</v>
      </c>
      <c r="IH54">
        <v>2.69</v>
      </c>
      <c r="II54" s="12">
        <v>41759</v>
      </c>
      <c r="IJ54">
        <v>11.54</v>
      </c>
      <c r="IM54" s="12">
        <v>41759</v>
      </c>
      <c r="IN54">
        <v>23.651</v>
      </c>
      <c r="IO54" s="12">
        <v>42307</v>
      </c>
      <c r="IP54">
        <v>11.221</v>
      </c>
      <c r="IQ54" s="12">
        <v>41759</v>
      </c>
      <c r="IR54">
        <v>17.831</v>
      </c>
      <c r="IS54" s="12">
        <v>43677</v>
      </c>
      <c r="IT54">
        <v>21.92</v>
      </c>
      <c r="IU54" s="12">
        <v>41759</v>
      </c>
      <c r="IV54">
        <v>6.3727999999999998</v>
      </c>
      <c r="IY54" s="12">
        <v>41759</v>
      </c>
      <c r="IZ54">
        <v>9.1370000000000005</v>
      </c>
      <c r="JA54" s="12">
        <v>43524</v>
      </c>
      <c r="JB54">
        <v>15.07</v>
      </c>
      <c r="JC54" s="12">
        <v>41759</v>
      </c>
      <c r="JD54">
        <v>5.8</v>
      </c>
      <c r="JE54" s="12">
        <v>41759</v>
      </c>
      <c r="JF54">
        <v>40</v>
      </c>
      <c r="JI54" s="12">
        <v>41759</v>
      </c>
      <c r="JJ54">
        <v>10.513999999999999</v>
      </c>
      <c r="JM54" s="12">
        <v>41759</v>
      </c>
      <c r="JN54">
        <v>1.1879999999999999</v>
      </c>
      <c r="JO54" s="12">
        <v>41759</v>
      </c>
      <c r="JP54">
        <v>18.109000000000002</v>
      </c>
      <c r="JQ54" s="12">
        <v>43159</v>
      </c>
      <c r="JR54">
        <v>27.088999999999999</v>
      </c>
      <c r="JS54" s="12">
        <v>41759</v>
      </c>
      <c r="JT54">
        <v>6.54</v>
      </c>
      <c r="JU54" s="12">
        <v>42978</v>
      </c>
      <c r="JV54">
        <v>60.985999999999997</v>
      </c>
      <c r="JW54" s="12">
        <v>41759</v>
      </c>
      <c r="JX54">
        <v>9.9749999999999996</v>
      </c>
      <c r="JY54" s="12">
        <v>41759</v>
      </c>
      <c r="JZ54">
        <v>12.025</v>
      </c>
      <c r="KC54" s="12">
        <v>41759</v>
      </c>
      <c r="KD54">
        <v>6.7119999999999997</v>
      </c>
      <c r="KE54" s="12">
        <v>41759</v>
      </c>
      <c r="KF54">
        <v>10.036</v>
      </c>
      <c r="KI54" s="12">
        <v>41759</v>
      </c>
      <c r="KJ54">
        <v>5.5339999999999998</v>
      </c>
      <c r="KO54" s="12">
        <v>41759</v>
      </c>
      <c r="KP54">
        <v>88.725999999999999</v>
      </c>
      <c r="KQ54" s="12">
        <v>41759</v>
      </c>
      <c r="KR54">
        <v>90.075000000000003</v>
      </c>
      <c r="KS54" s="12">
        <v>41759</v>
      </c>
      <c r="KT54">
        <v>10.513</v>
      </c>
      <c r="KU54" s="12">
        <v>41759</v>
      </c>
      <c r="KV54">
        <v>10.446999999999999</v>
      </c>
      <c r="LC54" s="12">
        <v>41759</v>
      </c>
      <c r="LD54">
        <v>10.917</v>
      </c>
      <c r="LE54" s="12">
        <v>41759</v>
      </c>
      <c r="LF54">
        <v>4.0350000000000001</v>
      </c>
      <c r="LG54" s="12">
        <v>41759</v>
      </c>
      <c r="LH54">
        <v>13.347</v>
      </c>
      <c r="LI54" s="12">
        <v>41759</v>
      </c>
      <c r="LJ54">
        <v>24.131</v>
      </c>
      <c r="LM54" s="12">
        <v>41759</v>
      </c>
      <c r="LN54">
        <v>7.7439999999999998</v>
      </c>
      <c r="LO54" s="12">
        <v>41759</v>
      </c>
      <c r="LP54">
        <v>8.27</v>
      </c>
      <c r="LQ54" s="12">
        <v>41759</v>
      </c>
      <c r="LR54">
        <v>23.971</v>
      </c>
      <c r="LS54" s="12">
        <v>41759</v>
      </c>
      <c r="LT54">
        <v>22.832999999999998</v>
      </c>
      <c r="LW54" s="12">
        <v>41759</v>
      </c>
      <c r="LX54">
        <v>134.30699999999999</v>
      </c>
      <c r="LY54" s="12">
        <v>41759</v>
      </c>
      <c r="LZ54">
        <v>31.495999999999999</v>
      </c>
      <c r="MA54" s="12">
        <v>41759</v>
      </c>
      <c r="MB54">
        <v>25.616</v>
      </c>
      <c r="MC54" s="12">
        <v>43220</v>
      </c>
      <c r="MD54">
        <v>29.75</v>
      </c>
      <c r="ME54" s="12">
        <v>41759</v>
      </c>
      <c r="MF54">
        <v>7.319</v>
      </c>
      <c r="MG54" s="12">
        <v>41759</v>
      </c>
      <c r="MH54">
        <v>9.1959999999999997</v>
      </c>
      <c r="MI54" s="12">
        <v>43769</v>
      </c>
      <c r="MJ54">
        <v>9.9809999999999999</v>
      </c>
      <c r="MK54" s="12">
        <v>41759</v>
      </c>
      <c r="ML54">
        <v>18.245000000000001</v>
      </c>
    </row>
    <row r="55" spans="1:350" x14ac:dyDescent="0.3">
      <c r="A55" s="12">
        <v>41789</v>
      </c>
      <c r="B55" s="1">
        <v>13.170999999999999</v>
      </c>
      <c r="C55" s="1"/>
      <c r="E55" s="12">
        <v>41789</v>
      </c>
      <c r="F55" s="13">
        <v>8.1</v>
      </c>
      <c r="G55" s="17">
        <v>41789</v>
      </c>
      <c r="H55" s="13">
        <v>7.6440000000000001</v>
      </c>
      <c r="I55" s="17">
        <v>41820</v>
      </c>
      <c r="J55">
        <v>16.306000000000001</v>
      </c>
      <c r="K55" s="12">
        <v>43007</v>
      </c>
      <c r="L55">
        <v>17.172999999999998</v>
      </c>
      <c r="N55" s="12"/>
      <c r="Q55" s="12">
        <v>43189</v>
      </c>
      <c r="R55">
        <v>25.013000000000002</v>
      </c>
      <c r="S55" s="12">
        <v>41789</v>
      </c>
      <c r="T55">
        <v>17.276</v>
      </c>
      <c r="U55" s="12">
        <v>42216</v>
      </c>
      <c r="V55">
        <v>18.334</v>
      </c>
      <c r="Y55" s="12">
        <v>41789</v>
      </c>
      <c r="Z55">
        <v>8.8010000000000002</v>
      </c>
      <c r="AA55" s="12">
        <v>41789</v>
      </c>
      <c r="AB55">
        <v>16.445</v>
      </c>
      <c r="AC55" s="12">
        <v>41789</v>
      </c>
      <c r="AD55">
        <v>11.749000000000001</v>
      </c>
      <c r="AE55" s="12">
        <v>41789</v>
      </c>
      <c r="AF55">
        <v>11.272</v>
      </c>
      <c r="AG55" s="12">
        <v>41789</v>
      </c>
      <c r="AH55">
        <v>31.847999999999999</v>
      </c>
      <c r="AI55" s="12">
        <v>43007</v>
      </c>
      <c r="AJ55">
        <v>22.257999999999999</v>
      </c>
      <c r="AK55" s="12">
        <v>41789</v>
      </c>
      <c r="AL55">
        <v>9.5350000000000001</v>
      </c>
      <c r="AO55" s="12">
        <v>41789</v>
      </c>
      <c r="AP55">
        <v>1.48</v>
      </c>
      <c r="AS55" s="12">
        <v>41789</v>
      </c>
      <c r="AT55">
        <v>3.11</v>
      </c>
      <c r="AU55" s="12">
        <v>41789</v>
      </c>
      <c r="AV55">
        <v>13.551</v>
      </c>
      <c r="AY55" s="12">
        <v>41789</v>
      </c>
      <c r="AZ55">
        <v>45.792000000000002</v>
      </c>
      <c r="BA55" s="12">
        <v>41789</v>
      </c>
      <c r="BB55">
        <v>11.340999999999999</v>
      </c>
      <c r="BC55" s="12">
        <v>41789</v>
      </c>
      <c r="BD55">
        <v>11.023</v>
      </c>
      <c r="BE55" s="12">
        <v>41880</v>
      </c>
      <c r="BF55">
        <v>11.42</v>
      </c>
      <c r="BG55" s="12">
        <v>41789</v>
      </c>
      <c r="BH55">
        <v>6.71</v>
      </c>
      <c r="BI55" s="12">
        <v>41789</v>
      </c>
      <c r="BJ55">
        <v>24.815999999999999</v>
      </c>
      <c r="BK55" s="12">
        <v>41789</v>
      </c>
      <c r="BL55">
        <v>13.038</v>
      </c>
      <c r="BM55" s="12">
        <v>41789</v>
      </c>
      <c r="BN55">
        <v>17.704999999999998</v>
      </c>
      <c r="BO55" s="12">
        <v>41789</v>
      </c>
      <c r="BP55">
        <v>18.071999999999999</v>
      </c>
      <c r="BQ55" s="12">
        <v>41789</v>
      </c>
      <c r="BR55">
        <v>10.927</v>
      </c>
      <c r="BS55" s="12">
        <v>41789</v>
      </c>
      <c r="BT55">
        <v>9.56</v>
      </c>
      <c r="BW55" s="12">
        <v>41789</v>
      </c>
      <c r="BX55">
        <v>12.298</v>
      </c>
      <c r="BY55" s="12">
        <v>41789</v>
      </c>
      <c r="BZ55">
        <v>16.094000000000001</v>
      </c>
      <c r="CA55" s="12">
        <v>41789</v>
      </c>
      <c r="CB55">
        <v>23.661999999999999</v>
      </c>
      <c r="CE55" s="12">
        <v>41789</v>
      </c>
      <c r="CF55">
        <v>21.437999999999999</v>
      </c>
      <c r="CG55" s="12">
        <v>41789</v>
      </c>
      <c r="CH55">
        <v>27.994</v>
      </c>
      <c r="CI55" s="12">
        <v>41789</v>
      </c>
      <c r="CJ55">
        <v>30.009</v>
      </c>
      <c r="CK55" s="12">
        <v>41789</v>
      </c>
      <c r="CL55">
        <v>7.4180000000000001</v>
      </c>
      <c r="CM55" s="12">
        <v>41789</v>
      </c>
      <c r="CN55">
        <v>25.596</v>
      </c>
      <c r="CO55" s="12">
        <v>43251</v>
      </c>
      <c r="CP55">
        <v>50.122</v>
      </c>
      <c r="CQ55" s="12">
        <v>41789</v>
      </c>
      <c r="CR55">
        <v>10.651999999999999</v>
      </c>
      <c r="CS55" s="12">
        <v>41789</v>
      </c>
      <c r="CT55">
        <v>14.363</v>
      </c>
      <c r="CU55" s="12">
        <v>41789</v>
      </c>
      <c r="CV55">
        <v>7.9119999999999999</v>
      </c>
      <c r="CW55" s="12">
        <v>41789</v>
      </c>
      <c r="CX55">
        <v>7.5259999999999998</v>
      </c>
      <c r="CY55" s="12">
        <v>41880</v>
      </c>
      <c r="CZ55">
        <v>11.22</v>
      </c>
      <c r="DA55" s="12">
        <v>41789</v>
      </c>
      <c r="DB55">
        <v>18.568000000000001</v>
      </c>
      <c r="DC55" s="12">
        <v>41789</v>
      </c>
      <c r="DD55">
        <v>6.4160000000000004</v>
      </c>
      <c r="DE55" s="12">
        <v>41789</v>
      </c>
      <c r="DF55">
        <v>8.4550000000000001</v>
      </c>
      <c r="DG55" s="12">
        <v>42460</v>
      </c>
      <c r="DH55">
        <v>16.765999999999998</v>
      </c>
      <c r="DI55" s="12">
        <v>41789</v>
      </c>
      <c r="DJ55">
        <v>8.6120000000000001</v>
      </c>
      <c r="DK55" s="12">
        <v>41789</v>
      </c>
      <c r="DL55">
        <v>19.468</v>
      </c>
      <c r="DM55" s="12">
        <v>42216</v>
      </c>
      <c r="DN55">
        <v>4.0620000000000003</v>
      </c>
      <c r="DO55" s="12">
        <v>41789</v>
      </c>
      <c r="DP55">
        <v>7.109</v>
      </c>
      <c r="DQ55" s="12">
        <v>41789</v>
      </c>
      <c r="DR55">
        <v>71.298000000000002</v>
      </c>
      <c r="DS55" s="12">
        <v>41789</v>
      </c>
      <c r="DT55">
        <v>9.4930000000000003</v>
      </c>
      <c r="DU55" s="12">
        <v>41789</v>
      </c>
      <c r="DV55">
        <v>4.1370000000000005</v>
      </c>
      <c r="DW55" s="12">
        <v>41789</v>
      </c>
      <c r="DX55">
        <v>6.0259999999999998</v>
      </c>
      <c r="DY55" s="12">
        <v>41789</v>
      </c>
      <c r="DZ55">
        <v>12.118</v>
      </c>
      <c r="EC55" s="12">
        <v>41789</v>
      </c>
      <c r="ED55">
        <v>17.478999999999999</v>
      </c>
      <c r="EE55" s="12">
        <v>41789</v>
      </c>
      <c r="EF55">
        <v>6.7350000000000003</v>
      </c>
      <c r="EG55" s="12">
        <v>41789</v>
      </c>
      <c r="EH55">
        <v>15.506</v>
      </c>
      <c r="EI55" s="12">
        <v>41789</v>
      </c>
      <c r="EJ55">
        <v>25.898</v>
      </c>
      <c r="EK55" s="12">
        <v>41789</v>
      </c>
      <c r="EL55">
        <v>9.6950000000000003</v>
      </c>
      <c r="EM55" s="12">
        <v>41789</v>
      </c>
      <c r="EN55">
        <v>12.125</v>
      </c>
      <c r="EQ55" s="12">
        <v>41789</v>
      </c>
      <c r="ER55">
        <v>14.919</v>
      </c>
      <c r="ES55" s="12">
        <v>41789</v>
      </c>
      <c r="ET55">
        <v>13.17</v>
      </c>
      <c r="EU55" s="12">
        <v>41789</v>
      </c>
      <c r="EV55">
        <v>3.5550000000000002</v>
      </c>
      <c r="EY55" s="12">
        <v>41789</v>
      </c>
      <c r="EZ55">
        <v>16.428000000000001</v>
      </c>
      <c r="FA55" s="12">
        <v>41789</v>
      </c>
      <c r="FB55">
        <v>15.000999999999999</v>
      </c>
      <c r="FC55" s="12">
        <v>41789</v>
      </c>
      <c r="FD55">
        <v>20.187999999999999</v>
      </c>
      <c r="FG55" s="12">
        <v>41789</v>
      </c>
      <c r="FH55">
        <v>4.1970000000000001</v>
      </c>
      <c r="FI55" s="12">
        <v>41789</v>
      </c>
      <c r="FJ55">
        <v>11.141</v>
      </c>
      <c r="FK55" s="12">
        <v>41789</v>
      </c>
      <c r="FL55">
        <v>12.53</v>
      </c>
      <c r="FM55" s="12">
        <v>41789</v>
      </c>
      <c r="FN55">
        <v>6.8659999999999997</v>
      </c>
      <c r="FO55" s="12">
        <v>41789</v>
      </c>
      <c r="FP55">
        <v>38.143000000000001</v>
      </c>
      <c r="FQ55" s="12">
        <v>43280</v>
      </c>
      <c r="FR55">
        <v>17.863</v>
      </c>
      <c r="FS55" s="12">
        <v>41789</v>
      </c>
      <c r="FT55">
        <v>1.7290000000000001</v>
      </c>
      <c r="FU55" s="12">
        <v>41789</v>
      </c>
      <c r="FV55">
        <v>9.0259999999999998</v>
      </c>
      <c r="FW55" s="12">
        <v>41789</v>
      </c>
      <c r="FX55">
        <v>10.686</v>
      </c>
      <c r="FY55" s="12">
        <v>42643</v>
      </c>
      <c r="FZ55">
        <v>1.4990000000000001</v>
      </c>
      <c r="GA55" s="12">
        <v>41789</v>
      </c>
      <c r="GB55">
        <v>16.108000000000001</v>
      </c>
      <c r="GC55" s="12">
        <v>41789</v>
      </c>
      <c r="GD55">
        <v>18.376000000000001</v>
      </c>
      <c r="GE55" s="12">
        <v>42947</v>
      </c>
      <c r="GF55">
        <v>16.832000000000001</v>
      </c>
      <c r="GI55" s="12">
        <v>41789</v>
      </c>
      <c r="GJ55">
        <v>10.244</v>
      </c>
      <c r="GK55" s="12">
        <v>41789</v>
      </c>
      <c r="GL55">
        <v>21.186</v>
      </c>
      <c r="GM55" s="12">
        <v>41789</v>
      </c>
      <c r="GN55">
        <v>29.911000000000001</v>
      </c>
      <c r="GO55" s="12">
        <v>42277</v>
      </c>
      <c r="GP55">
        <v>0.22</v>
      </c>
      <c r="GQ55" s="12">
        <v>41912</v>
      </c>
      <c r="GR55">
        <v>17.899999999999999</v>
      </c>
      <c r="GS55" s="12">
        <v>41789</v>
      </c>
      <c r="GT55">
        <v>59.75</v>
      </c>
      <c r="GW55" s="12">
        <v>41851</v>
      </c>
      <c r="GX55">
        <v>23.204000000000001</v>
      </c>
      <c r="GY55" s="12">
        <v>41789</v>
      </c>
      <c r="GZ55">
        <v>5.3</v>
      </c>
      <c r="HA55" s="12">
        <v>41789</v>
      </c>
      <c r="HB55">
        <v>4.8010000000000002</v>
      </c>
      <c r="HC55" s="12">
        <v>41789</v>
      </c>
      <c r="HD55">
        <v>14.268000000000001</v>
      </c>
      <c r="HE55" s="12">
        <v>41789</v>
      </c>
      <c r="HF55">
        <v>16.518999999999998</v>
      </c>
      <c r="HG55" s="12">
        <v>41789</v>
      </c>
      <c r="HH55">
        <v>17.036999999999999</v>
      </c>
      <c r="HI55" s="12">
        <v>41789</v>
      </c>
      <c r="HJ55">
        <v>7.9130000000000003</v>
      </c>
      <c r="HK55" s="12">
        <v>41789</v>
      </c>
      <c r="HL55">
        <v>19</v>
      </c>
      <c r="HM55" s="12">
        <v>41789</v>
      </c>
      <c r="HN55">
        <v>15.298999999999999</v>
      </c>
      <c r="HO55" s="12">
        <v>41789</v>
      </c>
      <c r="HP55">
        <v>14.829000000000001</v>
      </c>
      <c r="HQ55" s="12">
        <v>41880</v>
      </c>
      <c r="HR55">
        <v>45</v>
      </c>
      <c r="HS55" s="12">
        <v>41789</v>
      </c>
      <c r="HT55">
        <v>96.948999999999998</v>
      </c>
      <c r="HU55" s="12">
        <v>41789</v>
      </c>
      <c r="HV55">
        <v>703.38699999999994</v>
      </c>
      <c r="HW55" s="12">
        <v>41789</v>
      </c>
      <c r="HX55">
        <v>15.327999999999999</v>
      </c>
      <c r="HY55" s="12">
        <v>41789</v>
      </c>
      <c r="HZ55">
        <v>15.484999999999999</v>
      </c>
      <c r="IA55" s="12">
        <v>41789</v>
      </c>
      <c r="IB55">
        <v>47.55</v>
      </c>
      <c r="IC55" s="12">
        <v>41789</v>
      </c>
      <c r="ID55">
        <v>3.657</v>
      </c>
      <c r="IE55" s="12">
        <v>41789</v>
      </c>
      <c r="IF55">
        <v>2.09</v>
      </c>
      <c r="IG55" s="12">
        <v>42094</v>
      </c>
      <c r="IH55">
        <v>2.2549999999999999</v>
      </c>
      <c r="II55" s="12">
        <v>41789</v>
      </c>
      <c r="IJ55">
        <v>11.442</v>
      </c>
      <c r="IM55" s="12">
        <v>41789</v>
      </c>
      <c r="IN55">
        <v>22.698</v>
      </c>
      <c r="IO55" s="12">
        <v>42338</v>
      </c>
      <c r="IP55">
        <v>10.231</v>
      </c>
      <c r="IQ55" s="12">
        <v>41789</v>
      </c>
      <c r="IR55">
        <v>17.831</v>
      </c>
      <c r="IS55" s="12">
        <v>43707</v>
      </c>
      <c r="IT55">
        <v>22.1</v>
      </c>
      <c r="IU55" s="12">
        <v>41789</v>
      </c>
      <c r="IV55">
        <v>5.7531999999999996</v>
      </c>
      <c r="IY55" s="12">
        <v>41789</v>
      </c>
      <c r="IZ55">
        <v>9.7949999999999999</v>
      </c>
      <c r="JA55" s="12">
        <v>43553</v>
      </c>
      <c r="JB55">
        <v>15.2</v>
      </c>
      <c r="JC55" s="12">
        <v>41789</v>
      </c>
      <c r="JD55">
        <v>4.8</v>
      </c>
      <c r="JE55" s="12">
        <v>41789</v>
      </c>
      <c r="JF55">
        <v>40.5</v>
      </c>
      <c r="JI55" s="12">
        <v>41789</v>
      </c>
      <c r="JJ55">
        <v>10.627000000000001</v>
      </c>
      <c r="JM55" s="12">
        <v>41789</v>
      </c>
      <c r="JN55">
        <v>1.2130000000000001</v>
      </c>
      <c r="JO55" s="12">
        <v>41789</v>
      </c>
      <c r="JP55">
        <v>18.675000000000001</v>
      </c>
      <c r="JQ55" s="12">
        <v>43189</v>
      </c>
      <c r="JR55">
        <v>17.486000000000001</v>
      </c>
      <c r="JS55" s="12">
        <v>41789</v>
      </c>
      <c r="JT55">
        <v>7.3289999999999997</v>
      </c>
      <c r="JU55" s="12">
        <v>43007</v>
      </c>
      <c r="JV55">
        <v>70.611000000000004</v>
      </c>
      <c r="JW55" s="12">
        <v>41789</v>
      </c>
      <c r="JX55">
        <v>11.379</v>
      </c>
      <c r="JY55" s="12">
        <v>41789</v>
      </c>
      <c r="JZ55">
        <v>12.736000000000001</v>
      </c>
      <c r="KC55" s="12">
        <v>41789</v>
      </c>
      <c r="KD55">
        <v>7.5720000000000001</v>
      </c>
      <c r="KE55" s="12">
        <v>41789</v>
      </c>
      <c r="KF55">
        <v>10.385</v>
      </c>
      <c r="KI55" s="12">
        <v>41789</v>
      </c>
      <c r="KJ55">
        <v>5.758</v>
      </c>
      <c r="KO55" s="12">
        <v>41789</v>
      </c>
      <c r="KP55">
        <v>104.092</v>
      </c>
      <c r="KQ55" s="12">
        <v>41789</v>
      </c>
      <c r="KR55">
        <v>80.727000000000004</v>
      </c>
      <c r="KS55" s="12">
        <v>41789</v>
      </c>
      <c r="KT55">
        <v>10.67</v>
      </c>
      <c r="KU55" s="12">
        <v>41789</v>
      </c>
      <c r="KV55">
        <v>10.8</v>
      </c>
      <c r="LC55" s="12">
        <v>41789</v>
      </c>
      <c r="LD55">
        <v>11.711</v>
      </c>
      <c r="LE55" s="12">
        <v>41789</v>
      </c>
      <c r="LF55">
        <v>4.2610000000000001</v>
      </c>
      <c r="LG55" s="12">
        <v>41789</v>
      </c>
      <c r="LH55">
        <v>14.266999999999999</v>
      </c>
      <c r="LI55" s="12">
        <v>41789</v>
      </c>
      <c r="LJ55">
        <v>23.213000000000001</v>
      </c>
      <c r="LM55" s="12">
        <v>41789</v>
      </c>
      <c r="LN55">
        <v>6.8929999999999998</v>
      </c>
      <c r="LO55" s="12">
        <v>41789</v>
      </c>
      <c r="LP55">
        <v>7.4829999999999997</v>
      </c>
      <c r="LQ55" s="12">
        <v>41789</v>
      </c>
      <c r="LR55">
        <v>23.155999999999999</v>
      </c>
      <c r="LS55" s="12">
        <v>41789</v>
      </c>
      <c r="LT55">
        <v>22.158000000000001</v>
      </c>
      <c r="LW55" s="12">
        <v>41789</v>
      </c>
      <c r="LX55">
        <v>109.124</v>
      </c>
      <c r="LY55" s="12">
        <v>41789</v>
      </c>
      <c r="LZ55">
        <v>30.091000000000001</v>
      </c>
      <c r="MA55" s="12">
        <v>41789</v>
      </c>
      <c r="MB55">
        <v>26.669</v>
      </c>
      <c r="MC55" s="12">
        <v>43251</v>
      </c>
      <c r="MD55">
        <v>23.35</v>
      </c>
      <c r="ME55" s="12">
        <v>41789</v>
      </c>
      <c r="MF55">
        <v>7.7039999999999997</v>
      </c>
      <c r="MG55" s="12">
        <v>41789</v>
      </c>
      <c r="MH55">
        <v>8.8889999999999993</v>
      </c>
      <c r="MI55" s="12">
        <v>43798</v>
      </c>
      <c r="MJ55">
        <v>11.519</v>
      </c>
      <c r="MK55" s="12">
        <v>41789</v>
      </c>
      <c r="ML55">
        <v>20.715</v>
      </c>
    </row>
    <row r="56" spans="1:350" x14ac:dyDescent="0.3">
      <c r="A56" s="12">
        <v>41820</v>
      </c>
      <c r="B56" s="1">
        <v>13.087999999999999</v>
      </c>
      <c r="C56" s="1"/>
      <c r="E56" s="12">
        <v>41820</v>
      </c>
      <c r="F56" s="13">
        <v>8.33</v>
      </c>
      <c r="G56" s="17">
        <v>41820</v>
      </c>
      <c r="H56" s="13">
        <v>7.4180000000000001</v>
      </c>
      <c r="I56" s="17">
        <v>41851</v>
      </c>
      <c r="J56">
        <v>17.068999999999999</v>
      </c>
      <c r="K56" s="12">
        <v>43039</v>
      </c>
      <c r="L56">
        <v>16.506</v>
      </c>
      <c r="N56" s="12"/>
      <c r="Q56" s="12">
        <v>43220</v>
      </c>
      <c r="R56">
        <v>20.492999999999999</v>
      </c>
      <c r="S56" s="12">
        <v>41820</v>
      </c>
      <c r="T56">
        <v>17.768000000000001</v>
      </c>
      <c r="U56" s="12">
        <v>42247</v>
      </c>
      <c r="V56">
        <v>18.826000000000001</v>
      </c>
      <c r="Y56" s="12">
        <v>41820</v>
      </c>
      <c r="Z56">
        <v>9.3529999999999998</v>
      </c>
      <c r="AA56" s="12">
        <v>41820</v>
      </c>
      <c r="AB56">
        <v>18.169</v>
      </c>
      <c r="AC56" s="12">
        <v>41820</v>
      </c>
      <c r="AD56">
        <v>11.923</v>
      </c>
      <c r="AE56" s="12">
        <v>41820</v>
      </c>
      <c r="AF56">
        <v>11.653</v>
      </c>
      <c r="AG56" s="12">
        <v>41820</v>
      </c>
      <c r="AH56">
        <v>28.811</v>
      </c>
      <c r="AI56" s="12">
        <v>43039</v>
      </c>
      <c r="AJ56">
        <v>21.558</v>
      </c>
      <c r="AK56" s="12">
        <v>41820</v>
      </c>
      <c r="AL56">
        <v>10.79</v>
      </c>
      <c r="AO56" s="12">
        <v>41820</v>
      </c>
      <c r="AP56">
        <v>1.45</v>
      </c>
      <c r="AS56" s="12">
        <v>41820</v>
      </c>
      <c r="AT56">
        <v>3.2189999999999999</v>
      </c>
      <c r="AU56" s="12">
        <v>41820</v>
      </c>
      <c r="AV56">
        <v>14.753</v>
      </c>
      <c r="AY56" s="12">
        <v>41820</v>
      </c>
      <c r="AZ56">
        <v>50.722000000000001</v>
      </c>
      <c r="BA56" s="12">
        <v>41820</v>
      </c>
      <c r="BB56">
        <v>10.914999999999999</v>
      </c>
      <c r="BC56" s="12">
        <v>41820</v>
      </c>
      <c r="BD56">
        <v>11.195</v>
      </c>
      <c r="BE56" s="12">
        <v>41912</v>
      </c>
      <c r="BF56">
        <v>9.9629999999999992</v>
      </c>
      <c r="BG56" s="12">
        <v>41820</v>
      </c>
      <c r="BH56">
        <v>6.8940000000000001</v>
      </c>
      <c r="BI56" s="12">
        <v>41820</v>
      </c>
      <c r="BJ56">
        <v>27.029</v>
      </c>
      <c r="BK56" s="12">
        <v>41820</v>
      </c>
      <c r="BL56">
        <v>13.356999999999999</v>
      </c>
      <c r="BM56" s="12">
        <v>41820</v>
      </c>
      <c r="BN56">
        <v>18.311</v>
      </c>
      <c r="BO56" s="12">
        <v>41820</v>
      </c>
      <c r="BP56">
        <v>20.541</v>
      </c>
      <c r="BQ56" s="12">
        <v>41820</v>
      </c>
      <c r="BR56">
        <v>11.706</v>
      </c>
      <c r="BS56" s="12">
        <v>41820</v>
      </c>
      <c r="BT56">
        <v>10.711</v>
      </c>
      <c r="BW56" s="12">
        <v>41820</v>
      </c>
      <c r="BX56">
        <v>13.399000000000001</v>
      </c>
      <c r="BY56" s="12">
        <v>41820</v>
      </c>
      <c r="BZ56">
        <v>17.977</v>
      </c>
      <c r="CA56" s="12">
        <v>41820</v>
      </c>
      <c r="CB56">
        <v>24.873000000000001</v>
      </c>
      <c r="CE56" s="12">
        <v>41820</v>
      </c>
      <c r="CF56">
        <v>21.283000000000001</v>
      </c>
      <c r="CG56" s="12">
        <v>41820</v>
      </c>
      <c r="CH56">
        <v>29.823</v>
      </c>
      <c r="CI56" s="12">
        <v>41820</v>
      </c>
      <c r="CJ56">
        <v>31.655999999999999</v>
      </c>
      <c r="CK56" s="12">
        <v>41820</v>
      </c>
      <c r="CL56">
        <v>8.1180000000000003</v>
      </c>
      <c r="CM56" s="12">
        <v>41820</v>
      </c>
      <c r="CN56">
        <v>27.846</v>
      </c>
      <c r="CO56" s="12">
        <v>43280</v>
      </c>
      <c r="CP56">
        <v>44.420999999999999</v>
      </c>
      <c r="CQ56" s="12">
        <v>41820</v>
      </c>
      <c r="CR56">
        <v>11.135</v>
      </c>
      <c r="CS56" s="12">
        <v>41820</v>
      </c>
      <c r="CT56">
        <v>13.708</v>
      </c>
      <c r="CU56" s="12">
        <v>41820</v>
      </c>
      <c r="CV56">
        <v>8.2319999999999993</v>
      </c>
      <c r="CW56" s="12">
        <v>41820</v>
      </c>
      <c r="CX56">
        <v>7.3620000000000001</v>
      </c>
      <c r="CY56" s="12">
        <v>41912</v>
      </c>
      <c r="CZ56">
        <v>9.4629999999999992</v>
      </c>
      <c r="DA56" s="12">
        <v>41820</v>
      </c>
      <c r="DB56">
        <v>18.456</v>
      </c>
      <c r="DC56" s="12">
        <v>41820</v>
      </c>
      <c r="DD56">
        <v>6.2220000000000004</v>
      </c>
      <c r="DE56" s="12">
        <v>41820</v>
      </c>
      <c r="DF56">
        <v>9.1709999999999994</v>
      </c>
      <c r="DG56" s="12">
        <v>42489</v>
      </c>
      <c r="DH56">
        <v>22.649000000000001</v>
      </c>
      <c r="DI56" s="12">
        <v>41820</v>
      </c>
      <c r="DJ56">
        <v>10.343999999999999</v>
      </c>
      <c r="DK56" s="12">
        <v>41820</v>
      </c>
      <c r="DL56">
        <v>19.324999999999999</v>
      </c>
      <c r="DM56" s="12">
        <v>42247</v>
      </c>
      <c r="DN56">
        <v>3.9980000000000002</v>
      </c>
      <c r="DO56" s="12">
        <v>41820</v>
      </c>
      <c r="DP56">
        <v>8.2140000000000004</v>
      </c>
      <c r="DQ56" s="12">
        <v>41820</v>
      </c>
      <c r="DR56">
        <v>70.158000000000001</v>
      </c>
      <c r="DS56" s="12">
        <v>41820</v>
      </c>
      <c r="DT56">
        <v>8.9480000000000004</v>
      </c>
      <c r="DU56" s="12">
        <v>41820</v>
      </c>
      <c r="DV56">
        <v>4.5620000000000003</v>
      </c>
      <c r="DW56" s="12">
        <v>41820</v>
      </c>
      <c r="DX56">
        <v>5.8049999999999997</v>
      </c>
      <c r="DY56" s="12">
        <v>41820</v>
      </c>
      <c r="DZ56">
        <v>12.318</v>
      </c>
      <c r="EC56" s="12">
        <v>41820</v>
      </c>
      <c r="ED56">
        <v>17.71</v>
      </c>
      <c r="EE56" s="12">
        <v>41820</v>
      </c>
      <c r="EF56">
        <v>6.609</v>
      </c>
      <c r="EG56" s="12">
        <v>41820</v>
      </c>
      <c r="EH56">
        <v>17.617999999999999</v>
      </c>
      <c r="EI56" s="12">
        <v>41820</v>
      </c>
      <c r="EJ56">
        <v>26.446999999999999</v>
      </c>
      <c r="EK56" s="12">
        <v>41820</v>
      </c>
      <c r="EL56">
        <v>9.2149999999999999</v>
      </c>
      <c r="EM56" s="12">
        <v>41820</v>
      </c>
      <c r="EN56">
        <v>11.77</v>
      </c>
      <c r="EQ56" s="12">
        <v>41820</v>
      </c>
      <c r="ER56">
        <v>14.297000000000001</v>
      </c>
      <c r="ES56" s="12">
        <v>41820</v>
      </c>
      <c r="ET56">
        <v>12.02</v>
      </c>
      <c r="EU56" s="12">
        <v>41820</v>
      </c>
      <c r="EV56">
        <v>3.4849999999999999</v>
      </c>
      <c r="EY56" s="12">
        <v>41820</v>
      </c>
      <c r="EZ56">
        <v>16.798000000000002</v>
      </c>
      <c r="FA56" s="12">
        <v>41820</v>
      </c>
      <c r="FB56">
        <v>15.945</v>
      </c>
      <c r="FC56" s="12">
        <v>41820</v>
      </c>
      <c r="FD56">
        <v>20.393999999999998</v>
      </c>
      <c r="FG56" s="12">
        <v>41820</v>
      </c>
      <c r="FH56">
        <v>4.2780000000000005</v>
      </c>
      <c r="FI56" s="12">
        <v>41820</v>
      </c>
      <c r="FJ56">
        <v>11.488</v>
      </c>
      <c r="FK56" s="12">
        <v>41820</v>
      </c>
      <c r="FL56">
        <v>12.631</v>
      </c>
      <c r="FM56" s="12">
        <v>41820</v>
      </c>
      <c r="FN56">
        <v>6.9580000000000002</v>
      </c>
      <c r="FO56" s="12">
        <v>41820</v>
      </c>
      <c r="FP56">
        <v>37.323999999999998</v>
      </c>
      <c r="FQ56" s="12">
        <v>43312</v>
      </c>
      <c r="FR56">
        <v>18.41</v>
      </c>
      <c r="FS56" s="12">
        <v>41820</v>
      </c>
      <c r="FT56">
        <v>1.7290000000000001</v>
      </c>
      <c r="FU56" s="12">
        <v>41820</v>
      </c>
      <c r="FV56">
        <v>9.6379999999999999</v>
      </c>
      <c r="FW56" s="12">
        <v>41820</v>
      </c>
      <c r="FX56">
        <v>11.337</v>
      </c>
      <c r="FY56" s="12">
        <v>42674</v>
      </c>
      <c r="FZ56">
        <v>1.5979999999999999</v>
      </c>
      <c r="GA56" s="12">
        <v>41820</v>
      </c>
      <c r="GB56">
        <v>16.277999999999999</v>
      </c>
      <c r="GC56" s="12">
        <v>41820</v>
      </c>
      <c r="GD56">
        <v>19.998999999999999</v>
      </c>
      <c r="GE56" s="12">
        <v>42978</v>
      </c>
      <c r="GF56">
        <v>17.917000000000002</v>
      </c>
      <c r="GI56" s="12">
        <v>41820</v>
      </c>
      <c r="GJ56">
        <v>10.731999999999999</v>
      </c>
      <c r="GK56" s="12">
        <v>41820</v>
      </c>
      <c r="GL56">
        <v>20.181999999999999</v>
      </c>
      <c r="GM56" s="12">
        <v>41820</v>
      </c>
      <c r="GN56">
        <v>30.323</v>
      </c>
      <c r="GO56" s="12">
        <v>42307</v>
      </c>
      <c r="GP56">
        <v>0.18</v>
      </c>
      <c r="GQ56" s="12">
        <v>41943</v>
      </c>
      <c r="GR56">
        <v>16.149999999999999</v>
      </c>
      <c r="GS56" s="12">
        <v>41820</v>
      </c>
      <c r="GT56">
        <v>50.75</v>
      </c>
      <c r="GW56" s="12">
        <v>41880</v>
      </c>
      <c r="GX56">
        <v>23.306999999999999</v>
      </c>
      <c r="GY56" s="12">
        <v>41820</v>
      </c>
      <c r="GZ56">
        <v>5.96</v>
      </c>
      <c r="HA56" s="12">
        <v>41820</v>
      </c>
      <c r="HB56">
        <v>5.2130000000000001</v>
      </c>
      <c r="HC56" s="12">
        <v>41820</v>
      </c>
      <c r="HD56">
        <v>15.23</v>
      </c>
      <c r="HE56" s="12">
        <v>41820</v>
      </c>
      <c r="HF56">
        <v>16.713999999999999</v>
      </c>
      <c r="HG56" s="12">
        <v>41820</v>
      </c>
      <c r="HH56">
        <v>16.437000000000001</v>
      </c>
      <c r="HI56" s="12">
        <v>41820</v>
      </c>
      <c r="HJ56">
        <v>7.9269999999999996</v>
      </c>
      <c r="HK56" s="12">
        <v>41820</v>
      </c>
      <c r="HL56">
        <v>18</v>
      </c>
      <c r="HM56" s="12">
        <v>41820</v>
      </c>
      <c r="HN56">
        <v>15.523</v>
      </c>
      <c r="HO56" s="12">
        <v>41820</v>
      </c>
      <c r="HP56">
        <v>14.904999999999999</v>
      </c>
      <c r="HQ56" s="12">
        <v>41912</v>
      </c>
      <c r="HR56">
        <v>25</v>
      </c>
      <c r="HS56" s="12">
        <v>41820</v>
      </c>
      <c r="HT56">
        <v>98.081999999999994</v>
      </c>
      <c r="HU56" s="12">
        <v>41820</v>
      </c>
      <c r="HV56">
        <v>662.54499999999996</v>
      </c>
      <c r="HW56" s="12">
        <v>41820</v>
      </c>
      <c r="HX56">
        <v>15.815</v>
      </c>
      <c r="HY56" s="12">
        <v>41820</v>
      </c>
      <c r="HZ56">
        <v>16.041</v>
      </c>
      <c r="IA56" s="12">
        <v>41820</v>
      </c>
      <c r="IB56">
        <v>46.902999999999999</v>
      </c>
      <c r="IC56" s="12">
        <v>41820</v>
      </c>
      <c r="ID56">
        <v>3.629</v>
      </c>
      <c r="IE56" s="12">
        <v>41820</v>
      </c>
      <c r="IF56">
        <v>2.081</v>
      </c>
      <c r="IG56" s="12">
        <v>42124</v>
      </c>
      <c r="IH56">
        <v>2.3250000000000002</v>
      </c>
      <c r="II56" s="12">
        <v>41820</v>
      </c>
      <c r="IJ56">
        <v>10.561999999999999</v>
      </c>
      <c r="IM56" s="12">
        <v>41820</v>
      </c>
      <c r="IN56">
        <v>23.186</v>
      </c>
      <c r="IO56" s="12">
        <v>42369</v>
      </c>
      <c r="IP56">
        <v>9.7870000000000008</v>
      </c>
      <c r="IQ56" s="12">
        <v>41820</v>
      </c>
      <c r="IR56">
        <v>17.178000000000001</v>
      </c>
      <c r="IS56" s="12">
        <v>43738</v>
      </c>
      <c r="IT56">
        <v>24.5</v>
      </c>
      <c r="IU56" s="12">
        <v>41820</v>
      </c>
      <c r="IV56">
        <v>5.5347999999999997</v>
      </c>
      <c r="IY56" s="12">
        <v>41820</v>
      </c>
      <c r="IZ56">
        <v>10.055</v>
      </c>
      <c r="JA56" s="12">
        <v>43585</v>
      </c>
      <c r="JB56">
        <v>14.56</v>
      </c>
      <c r="JC56" s="12">
        <v>41820</v>
      </c>
      <c r="JD56">
        <v>5.8</v>
      </c>
      <c r="JE56" s="12">
        <v>41820</v>
      </c>
      <c r="JF56">
        <v>43.25</v>
      </c>
      <c r="JI56" s="12">
        <v>41820</v>
      </c>
      <c r="JJ56">
        <v>10.744</v>
      </c>
      <c r="JM56" s="12">
        <v>41820</v>
      </c>
      <c r="JN56">
        <v>1.2110000000000001</v>
      </c>
      <c r="JO56" s="12">
        <v>41820</v>
      </c>
      <c r="JP56">
        <v>20.193000000000001</v>
      </c>
      <c r="JQ56" s="12">
        <v>43220</v>
      </c>
      <c r="JR56">
        <v>14.74</v>
      </c>
      <c r="JS56" s="12">
        <v>41820</v>
      </c>
      <c r="JT56">
        <v>7.3940000000000001</v>
      </c>
      <c r="JU56" s="12">
        <v>43039</v>
      </c>
      <c r="JV56">
        <v>75.08</v>
      </c>
      <c r="JW56" s="12">
        <v>41820</v>
      </c>
      <c r="JX56">
        <v>11.946</v>
      </c>
      <c r="JY56" s="12">
        <v>41820</v>
      </c>
      <c r="JZ56">
        <v>11.534000000000001</v>
      </c>
      <c r="KC56" s="12">
        <v>41820</v>
      </c>
      <c r="KD56">
        <v>7.8719999999999999</v>
      </c>
      <c r="KE56" s="12">
        <v>41820</v>
      </c>
      <c r="KF56">
        <v>10.651999999999999</v>
      </c>
      <c r="KI56" s="12">
        <v>41820</v>
      </c>
      <c r="KJ56">
        <v>5.742</v>
      </c>
      <c r="KO56" s="12">
        <v>41820</v>
      </c>
      <c r="KP56">
        <v>123.5</v>
      </c>
      <c r="KQ56" s="12">
        <v>41820</v>
      </c>
      <c r="KR56">
        <v>80.727000000000004</v>
      </c>
      <c r="KS56" s="12">
        <v>41820</v>
      </c>
      <c r="KT56">
        <v>12.122999999999999</v>
      </c>
      <c r="KU56" s="12">
        <v>41820</v>
      </c>
      <c r="KV56">
        <v>11.475</v>
      </c>
      <c r="LC56" s="12">
        <v>41820</v>
      </c>
      <c r="LD56">
        <v>11.394</v>
      </c>
      <c r="LE56" s="12">
        <v>41820</v>
      </c>
      <c r="LF56">
        <v>4.5259999999999998</v>
      </c>
      <c r="LG56" s="12">
        <v>41820</v>
      </c>
      <c r="LH56">
        <v>14.356</v>
      </c>
      <c r="LI56" s="12">
        <v>41820</v>
      </c>
      <c r="LJ56">
        <v>22.673999999999999</v>
      </c>
      <c r="LM56" s="12">
        <v>41820</v>
      </c>
      <c r="LN56">
        <v>6.6899999999999995</v>
      </c>
      <c r="LO56" s="12">
        <v>41820</v>
      </c>
      <c r="LP56">
        <v>7.1890000000000001</v>
      </c>
      <c r="LQ56" s="12">
        <v>41820</v>
      </c>
      <c r="LR56">
        <v>23.841000000000001</v>
      </c>
      <c r="LS56" s="12">
        <v>41820</v>
      </c>
      <c r="LT56">
        <v>22.771999999999998</v>
      </c>
      <c r="LW56" s="12">
        <v>41820</v>
      </c>
      <c r="LX56">
        <v>109.124</v>
      </c>
      <c r="LY56" s="12">
        <v>41820</v>
      </c>
      <c r="LZ56">
        <v>30.259</v>
      </c>
      <c r="MA56" s="12">
        <v>41820</v>
      </c>
      <c r="MB56">
        <v>28.524999999999999</v>
      </c>
      <c r="MC56" s="12">
        <v>43280</v>
      </c>
      <c r="MD56">
        <v>18.61</v>
      </c>
      <c r="ME56" s="12">
        <v>41820</v>
      </c>
      <c r="MF56">
        <v>6.9429999999999996</v>
      </c>
      <c r="MG56" s="12">
        <v>41820</v>
      </c>
      <c r="MH56">
        <v>9.6920000000000002</v>
      </c>
      <c r="MI56" s="12">
        <v>43830</v>
      </c>
      <c r="MJ56">
        <v>12.929</v>
      </c>
      <c r="MK56" s="12">
        <v>41820</v>
      </c>
      <c r="ML56">
        <v>22.533000000000001</v>
      </c>
    </row>
    <row r="57" spans="1:350" x14ac:dyDescent="0.3">
      <c r="A57" s="12">
        <v>41851</v>
      </c>
      <c r="B57" s="1">
        <v>13.141</v>
      </c>
      <c r="C57" s="1"/>
      <c r="E57" s="12">
        <v>41851</v>
      </c>
      <c r="F57" s="13">
        <v>8.6999999999999993</v>
      </c>
      <c r="G57" s="17">
        <v>41851</v>
      </c>
      <c r="H57" s="13">
        <v>6.85</v>
      </c>
      <c r="I57" s="17">
        <v>41880</v>
      </c>
      <c r="J57">
        <v>18.939</v>
      </c>
      <c r="K57" s="12">
        <v>43069</v>
      </c>
      <c r="L57">
        <v>15.837999999999999</v>
      </c>
      <c r="N57" s="12"/>
      <c r="Q57" s="12">
        <v>43251</v>
      </c>
      <c r="R57">
        <v>18.693000000000001</v>
      </c>
      <c r="S57" s="12">
        <v>41851</v>
      </c>
      <c r="T57">
        <v>16.850999999999999</v>
      </c>
      <c r="U57" s="12">
        <v>42277</v>
      </c>
      <c r="V57">
        <v>17.123000000000001</v>
      </c>
      <c r="Y57" s="12">
        <v>41851</v>
      </c>
      <c r="Z57">
        <v>9.7729999999999997</v>
      </c>
      <c r="AA57" s="12">
        <v>41851</v>
      </c>
      <c r="AB57">
        <v>20.266999999999999</v>
      </c>
      <c r="AC57" s="12">
        <v>41851</v>
      </c>
      <c r="AD57">
        <v>13.092000000000001</v>
      </c>
      <c r="AE57" s="12">
        <v>41851</v>
      </c>
      <c r="AF57">
        <v>12.592000000000001</v>
      </c>
      <c r="AG57" s="12">
        <v>41851</v>
      </c>
      <c r="AH57">
        <v>27.498000000000001</v>
      </c>
      <c r="AI57" s="12">
        <v>43069</v>
      </c>
      <c r="AJ57">
        <v>20.896999999999998</v>
      </c>
      <c r="AK57" s="12">
        <v>41851</v>
      </c>
      <c r="AL57">
        <v>11.228</v>
      </c>
      <c r="AO57" s="12">
        <v>41851</v>
      </c>
      <c r="AP57">
        <v>1.52</v>
      </c>
      <c r="AS57" s="12">
        <v>41851</v>
      </c>
      <c r="AT57">
        <v>3.1819999999999999</v>
      </c>
      <c r="AU57" s="12">
        <v>41851</v>
      </c>
      <c r="AV57">
        <v>16.757000000000001</v>
      </c>
      <c r="AY57" s="12">
        <v>41851</v>
      </c>
      <c r="AZ57">
        <v>53.128999999999998</v>
      </c>
      <c r="BA57" s="12">
        <v>41851</v>
      </c>
      <c r="BB57">
        <v>10.869</v>
      </c>
      <c r="BC57" s="12">
        <v>41851</v>
      </c>
      <c r="BD57">
        <v>11.672000000000001</v>
      </c>
      <c r="BE57" s="12">
        <v>41943</v>
      </c>
      <c r="BF57">
        <v>9.5950000000000006</v>
      </c>
      <c r="BG57" s="12">
        <v>41851</v>
      </c>
      <c r="BH57">
        <v>7.4009999999999998</v>
      </c>
      <c r="BI57" s="12">
        <v>41851</v>
      </c>
      <c r="BJ57">
        <v>32.241</v>
      </c>
      <c r="BK57" s="12">
        <v>41851</v>
      </c>
      <c r="BL57">
        <v>13.238</v>
      </c>
      <c r="BM57" s="12">
        <v>41851</v>
      </c>
      <c r="BN57">
        <v>19.055</v>
      </c>
      <c r="BO57" s="12">
        <v>41851</v>
      </c>
      <c r="BP57">
        <v>18.734999999999999</v>
      </c>
      <c r="BQ57" s="12">
        <v>41851</v>
      </c>
      <c r="BR57">
        <v>13.704000000000001</v>
      </c>
      <c r="BS57" s="12">
        <v>41851</v>
      </c>
      <c r="BT57">
        <v>12.257</v>
      </c>
      <c r="BW57" s="12">
        <v>41851</v>
      </c>
      <c r="BX57">
        <v>13.457000000000001</v>
      </c>
      <c r="BY57" s="12">
        <v>41851</v>
      </c>
      <c r="BZ57">
        <v>17.509</v>
      </c>
      <c r="CA57" s="12">
        <v>41851</v>
      </c>
      <c r="CB57">
        <v>25.843</v>
      </c>
      <c r="CE57" s="12">
        <v>41851</v>
      </c>
      <c r="CF57">
        <v>19.684999999999999</v>
      </c>
      <c r="CG57" s="12">
        <v>41851</v>
      </c>
      <c r="CH57">
        <v>27.643999999999998</v>
      </c>
      <c r="CI57" s="12">
        <v>41851</v>
      </c>
      <c r="CJ57">
        <v>29.036999999999999</v>
      </c>
      <c r="CK57" s="12">
        <v>41851</v>
      </c>
      <c r="CL57">
        <v>9.8879999999999999</v>
      </c>
      <c r="CM57" s="12">
        <v>41851</v>
      </c>
      <c r="CN57">
        <v>28.102</v>
      </c>
      <c r="CO57" s="12">
        <v>43312</v>
      </c>
      <c r="CP57">
        <v>43.34</v>
      </c>
      <c r="CQ57" s="12">
        <v>41851</v>
      </c>
      <c r="CR57">
        <v>10.128</v>
      </c>
      <c r="CS57" s="12">
        <v>41851</v>
      </c>
      <c r="CT57">
        <v>14.48</v>
      </c>
      <c r="CU57" s="12">
        <v>41851</v>
      </c>
      <c r="CV57">
        <v>7.2030000000000003</v>
      </c>
      <c r="CW57" s="12">
        <v>41851</v>
      </c>
      <c r="CX57">
        <v>6.9219999999999997</v>
      </c>
      <c r="CY57" s="12">
        <v>41943</v>
      </c>
      <c r="CZ57">
        <v>8.6939999999999991</v>
      </c>
      <c r="DA57" s="12">
        <v>41851</v>
      </c>
      <c r="DB57">
        <v>19.009</v>
      </c>
      <c r="DC57" s="12">
        <v>41851</v>
      </c>
      <c r="DD57">
        <v>6.085</v>
      </c>
      <c r="DE57" s="12">
        <v>41851</v>
      </c>
      <c r="DF57">
        <v>9.5120000000000005</v>
      </c>
      <c r="DG57" s="12">
        <v>42521</v>
      </c>
      <c r="DH57">
        <v>34.484999999999999</v>
      </c>
      <c r="DI57" s="12">
        <v>41851</v>
      </c>
      <c r="DJ57">
        <v>10.036</v>
      </c>
      <c r="DK57" s="12">
        <v>41851</v>
      </c>
      <c r="DL57">
        <v>20.626999999999999</v>
      </c>
      <c r="DM57" s="12">
        <v>42277</v>
      </c>
      <c r="DN57">
        <v>3.9089999999999998</v>
      </c>
      <c r="DO57" s="12">
        <v>41851</v>
      </c>
      <c r="DP57">
        <v>8.0250000000000004</v>
      </c>
      <c r="DQ57" s="12">
        <v>41851</v>
      </c>
      <c r="DR57">
        <v>61.601999999999997</v>
      </c>
      <c r="DS57" s="12">
        <v>41851</v>
      </c>
      <c r="DT57">
        <v>9.6210000000000004</v>
      </c>
      <c r="DU57" s="12">
        <v>41851</v>
      </c>
      <c r="DV57">
        <v>4.5910000000000002</v>
      </c>
      <c r="DW57" s="12">
        <v>41851</v>
      </c>
      <c r="DX57">
        <v>5.53</v>
      </c>
      <c r="DY57" s="12">
        <v>41851</v>
      </c>
      <c r="DZ57">
        <v>11.834</v>
      </c>
      <c r="EC57" s="12">
        <v>41851</v>
      </c>
      <c r="ED57">
        <v>18.405000000000001</v>
      </c>
      <c r="EE57" s="12">
        <v>41851</v>
      </c>
      <c r="EF57">
        <v>5.8689999999999998</v>
      </c>
      <c r="EG57" s="12">
        <v>41851</v>
      </c>
      <c r="EH57">
        <v>16.821000000000002</v>
      </c>
      <c r="EI57" s="12">
        <v>41851</v>
      </c>
      <c r="EJ57">
        <v>25.898</v>
      </c>
      <c r="EK57" s="12">
        <v>41851</v>
      </c>
      <c r="EL57">
        <v>9.5890000000000004</v>
      </c>
      <c r="EM57" s="12">
        <v>41851</v>
      </c>
      <c r="EN57">
        <v>12.143000000000001</v>
      </c>
      <c r="EQ57" s="12">
        <v>41851</v>
      </c>
      <c r="ER57">
        <v>14.763999999999999</v>
      </c>
      <c r="ES57" s="12">
        <v>41851</v>
      </c>
      <c r="ET57">
        <v>13.73</v>
      </c>
      <c r="EU57" s="12">
        <v>41851</v>
      </c>
      <c r="EV57">
        <v>3.343</v>
      </c>
      <c r="EY57" s="12">
        <v>41851</v>
      </c>
      <c r="EZ57">
        <v>15.952</v>
      </c>
      <c r="FA57" s="12">
        <v>41851</v>
      </c>
      <c r="FB57">
        <v>14.984</v>
      </c>
      <c r="FC57" s="12">
        <v>41851</v>
      </c>
      <c r="FD57">
        <v>22.158000000000001</v>
      </c>
      <c r="FG57" s="12">
        <v>41851</v>
      </c>
      <c r="FH57">
        <v>4.6719999999999997</v>
      </c>
      <c r="FI57" s="12">
        <v>41851</v>
      </c>
      <c r="FJ57">
        <v>12.600999999999999</v>
      </c>
      <c r="FK57" s="12">
        <v>41851</v>
      </c>
      <c r="FL57">
        <v>13.874000000000001</v>
      </c>
      <c r="FM57" s="12">
        <v>41851</v>
      </c>
      <c r="FN57">
        <v>7.6449999999999996</v>
      </c>
      <c r="FO57" s="12">
        <v>41851</v>
      </c>
      <c r="FP57">
        <v>44.197000000000003</v>
      </c>
      <c r="FQ57" s="12">
        <v>43343</v>
      </c>
      <c r="FR57">
        <v>19.623999999999999</v>
      </c>
      <c r="FS57" s="12">
        <v>41851</v>
      </c>
      <c r="FT57">
        <v>1.776</v>
      </c>
      <c r="FU57" s="12">
        <v>41851</v>
      </c>
      <c r="FV57">
        <v>9.4550000000000001</v>
      </c>
      <c r="FW57" s="12">
        <v>41851</v>
      </c>
      <c r="FX57">
        <v>11.619</v>
      </c>
      <c r="FY57" s="12">
        <v>42704</v>
      </c>
      <c r="FZ57">
        <v>1.6819999999999999</v>
      </c>
      <c r="GA57" s="12">
        <v>41851</v>
      </c>
      <c r="GB57">
        <v>15.592000000000001</v>
      </c>
      <c r="GC57" s="12">
        <v>41851</v>
      </c>
      <c r="GD57">
        <v>19.757999999999999</v>
      </c>
      <c r="GE57" s="12">
        <v>43007</v>
      </c>
      <c r="GF57">
        <v>19.119</v>
      </c>
      <c r="GI57" s="12">
        <v>41851</v>
      </c>
      <c r="GJ57">
        <v>10.382999999999999</v>
      </c>
      <c r="GK57" s="12">
        <v>41851</v>
      </c>
      <c r="GL57">
        <v>20.501000000000001</v>
      </c>
      <c r="GM57" s="12">
        <v>41851</v>
      </c>
      <c r="GN57">
        <v>28.873999999999999</v>
      </c>
      <c r="GO57" s="12">
        <v>42338</v>
      </c>
      <c r="GP57">
        <v>0.13500000000000001</v>
      </c>
      <c r="GQ57" s="12">
        <v>41971</v>
      </c>
      <c r="GR57">
        <v>10.5</v>
      </c>
      <c r="GS57" s="12">
        <v>41851</v>
      </c>
      <c r="GT57">
        <v>36.25</v>
      </c>
      <c r="GW57" s="12">
        <v>41912</v>
      </c>
      <c r="GX57">
        <v>20.975999999999999</v>
      </c>
      <c r="GY57" s="12">
        <v>41851</v>
      </c>
      <c r="GZ57">
        <v>6.62</v>
      </c>
      <c r="HA57" s="12">
        <v>41851</v>
      </c>
      <c r="HB57">
        <v>5.0869999999999997</v>
      </c>
      <c r="HC57" s="12">
        <v>41851</v>
      </c>
      <c r="HD57">
        <v>16.119</v>
      </c>
      <c r="HE57" s="12">
        <v>41851</v>
      </c>
      <c r="HF57">
        <v>14.103999999999999</v>
      </c>
      <c r="HG57" s="12">
        <v>41851</v>
      </c>
      <c r="HH57">
        <v>15.853999999999999</v>
      </c>
      <c r="HI57" s="12">
        <v>41851</v>
      </c>
      <c r="HJ57">
        <v>7.8289999999999997</v>
      </c>
      <c r="HK57" s="12">
        <v>41851</v>
      </c>
      <c r="HL57">
        <v>18</v>
      </c>
      <c r="HM57" s="12">
        <v>41851</v>
      </c>
      <c r="HN57">
        <v>11.343999999999999</v>
      </c>
      <c r="HO57" s="12">
        <v>41851</v>
      </c>
      <c r="HP57">
        <v>11.236000000000001</v>
      </c>
      <c r="HQ57" s="12">
        <v>41943</v>
      </c>
      <c r="HR57">
        <v>15</v>
      </c>
      <c r="HS57" s="12">
        <v>41851</v>
      </c>
      <c r="HT57">
        <v>104.282</v>
      </c>
      <c r="HU57" s="12">
        <v>41851</v>
      </c>
      <c r="HV57">
        <v>658.00699999999995</v>
      </c>
      <c r="HW57" s="12">
        <v>41851</v>
      </c>
      <c r="HX57">
        <v>17.52</v>
      </c>
      <c r="HY57" s="12">
        <v>41851</v>
      </c>
      <c r="HZ57">
        <v>17.72</v>
      </c>
      <c r="IA57" s="12">
        <v>41851</v>
      </c>
      <c r="IB57">
        <v>42.86</v>
      </c>
      <c r="IC57" s="12">
        <v>41851</v>
      </c>
      <c r="ID57">
        <v>3.3839999999999999</v>
      </c>
      <c r="IE57" s="12">
        <v>41851</v>
      </c>
      <c r="IF57">
        <v>1.9649999999999999</v>
      </c>
      <c r="IG57" s="12">
        <v>42153</v>
      </c>
      <c r="IH57">
        <v>2.29</v>
      </c>
      <c r="II57" s="12">
        <v>41851</v>
      </c>
      <c r="IJ57">
        <v>10.170999999999999</v>
      </c>
      <c r="IM57" s="12">
        <v>41851</v>
      </c>
      <c r="IN57">
        <v>22.654</v>
      </c>
      <c r="IO57" s="12">
        <v>42398</v>
      </c>
      <c r="IP57">
        <v>9.3439999999999994</v>
      </c>
      <c r="IQ57" s="12">
        <v>41851</v>
      </c>
      <c r="IR57">
        <v>17.864999999999998</v>
      </c>
      <c r="IS57" s="12">
        <v>43769</v>
      </c>
      <c r="IT57">
        <v>22.8</v>
      </c>
      <c r="IU57" s="12">
        <v>41851</v>
      </c>
      <c r="IV57">
        <v>5.5976999999999997</v>
      </c>
      <c r="IY57" s="12">
        <v>41851</v>
      </c>
      <c r="IZ57">
        <v>9.9860000000000007</v>
      </c>
      <c r="JA57" s="12">
        <v>43616</v>
      </c>
      <c r="JB57">
        <v>16.16</v>
      </c>
      <c r="JC57" s="12">
        <v>41851</v>
      </c>
      <c r="JD57">
        <v>5.4</v>
      </c>
      <c r="JE57" s="12">
        <v>41851</v>
      </c>
      <c r="JF57">
        <v>35.5</v>
      </c>
      <c r="JI57" s="12">
        <v>41851</v>
      </c>
      <c r="JJ57">
        <v>10.83</v>
      </c>
      <c r="JM57" s="12">
        <v>41851</v>
      </c>
      <c r="JN57">
        <v>1.2310000000000001</v>
      </c>
      <c r="JO57" s="12">
        <v>41851</v>
      </c>
      <c r="JP57">
        <v>17.225999999999999</v>
      </c>
      <c r="JQ57" s="12">
        <v>43251</v>
      </c>
      <c r="JR57">
        <v>15.352</v>
      </c>
      <c r="JS57" s="12">
        <v>41851</v>
      </c>
      <c r="JT57">
        <v>6.5209999999999999</v>
      </c>
      <c r="JU57" s="12">
        <v>43069</v>
      </c>
      <c r="JV57">
        <v>65.86</v>
      </c>
      <c r="JW57" s="12">
        <v>41851</v>
      </c>
      <c r="JX57">
        <v>11.343</v>
      </c>
      <c r="JY57" s="12">
        <v>41851</v>
      </c>
      <c r="JZ57">
        <v>10.06</v>
      </c>
      <c r="KC57" s="12">
        <v>41851</v>
      </c>
      <c r="KD57">
        <v>8.2569999999999997</v>
      </c>
      <c r="KE57" s="12">
        <v>41851</v>
      </c>
      <c r="KF57">
        <v>10.941000000000001</v>
      </c>
      <c r="KI57" s="12">
        <v>41851</v>
      </c>
      <c r="KJ57">
        <v>5.3029999999999999</v>
      </c>
      <c r="KO57" s="12">
        <v>41851</v>
      </c>
      <c r="KP57">
        <v>122.5</v>
      </c>
      <c r="KQ57" s="12">
        <v>41851</v>
      </c>
      <c r="KR57">
        <v>64.015000000000001</v>
      </c>
      <c r="KS57" s="12">
        <v>41851</v>
      </c>
      <c r="KT57">
        <v>11.574</v>
      </c>
      <c r="KU57" s="12">
        <v>41851</v>
      </c>
      <c r="KV57">
        <v>10.675000000000001</v>
      </c>
      <c r="LC57" s="12">
        <v>41851</v>
      </c>
      <c r="LD57">
        <v>11.75</v>
      </c>
      <c r="LE57" s="12">
        <v>41851</v>
      </c>
      <c r="LF57">
        <v>4.7430000000000003</v>
      </c>
      <c r="LG57" s="12">
        <v>41851</v>
      </c>
      <c r="LH57">
        <v>13.579000000000001</v>
      </c>
      <c r="LI57" s="12">
        <v>41851</v>
      </c>
      <c r="LJ57">
        <v>22.523</v>
      </c>
      <c r="LM57" s="12">
        <v>41851</v>
      </c>
      <c r="LN57">
        <v>7.1059999999999999</v>
      </c>
      <c r="LO57" s="12">
        <v>41851</v>
      </c>
      <c r="LP57">
        <v>7.6349999999999998</v>
      </c>
      <c r="LQ57" s="12">
        <v>41851</v>
      </c>
      <c r="LR57">
        <v>26.539000000000001</v>
      </c>
      <c r="LS57" s="12">
        <v>41851</v>
      </c>
      <c r="LT57">
        <v>25.175000000000001</v>
      </c>
      <c r="LW57" s="12">
        <v>41851</v>
      </c>
      <c r="LX57">
        <v>117.51900000000001</v>
      </c>
      <c r="LY57" s="12">
        <v>41851</v>
      </c>
      <c r="LZ57">
        <v>30.663</v>
      </c>
      <c r="MA57" s="12">
        <v>41851</v>
      </c>
      <c r="MB57">
        <v>27.805</v>
      </c>
      <c r="MC57" s="12">
        <v>43312</v>
      </c>
      <c r="MD57">
        <v>21.29</v>
      </c>
      <c r="ME57" s="12">
        <v>41851</v>
      </c>
      <c r="MF57">
        <v>6.8469999999999995</v>
      </c>
      <c r="MG57" s="12">
        <v>41851</v>
      </c>
      <c r="MH57">
        <v>9.3710000000000004</v>
      </c>
      <c r="MK57" s="12">
        <v>41851</v>
      </c>
      <c r="ML57">
        <v>21.684999999999999</v>
      </c>
    </row>
    <row r="58" spans="1:350" x14ac:dyDescent="0.3">
      <c r="A58" s="12">
        <v>41880</v>
      </c>
      <c r="B58" s="1">
        <v>13.669</v>
      </c>
      <c r="C58" s="1"/>
      <c r="E58" s="12">
        <v>41880</v>
      </c>
      <c r="F58" s="13">
        <v>8.25</v>
      </c>
      <c r="G58" s="17">
        <v>41880</v>
      </c>
      <c r="H58" s="13">
        <v>7.0990000000000002</v>
      </c>
      <c r="I58" s="17">
        <v>41912</v>
      </c>
      <c r="J58">
        <v>16.795999999999999</v>
      </c>
      <c r="K58" s="12">
        <v>43098</v>
      </c>
      <c r="L58">
        <v>16.870999999999999</v>
      </c>
      <c r="N58" s="12"/>
      <c r="Q58" s="12">
        <v>43280</v>
      </c>
      <c r="R58">
        <v>15.035</v>
      </c>
      <c r="S58" s="12">
        <v>41880</v>
      </c>
      <c r="T58">
        <v>18.106000000000002</v>
      </c>
      <c r="U58" s="12">
        <v>42307</v>
      </c>
      <c r="V58">
        <v>18.068999999999999</v>
      </c>
      <c r="Y58" s="12">
        <v>41880</v>
      </c>
      <c r="Z58">
        <v>10.991</v>
      </c>
      <c r="AA58" s="12">
        <v>41880</v>
      </c>
      <c r="AB58">
        <v>25.65</v>
      </c>
      <c r="AC58" s="12">
        <v>41880</v>
      </c>
      <c r="AD58">
        <v>14.817</v>
      </c>
      <c r="AE58" s="12">
        <v>41880</v>
      </c>
      <c r="AF58">
        <v>14.868</v>
      </c>
      <c r="AG58" s="12">
        <v>41880</v>
      </c>
      <c r="AH58">
        <v>29.713999999999999</v>
      </c>
      <c r="AI58" s="12">
        <v>43098</v>
      </c>
      <c r="AJ58">
        <v>22.149000000000001</v>
      </c>
      <c r="AK58" s="12">
        <v>41880</v>
      </c>
      <c r="AL58">
        <v>12.97</v>
      </c>
      <c r="AO58" s="12">
        <v>41880</v>
      </c>
      <c r="AP58">
        <v>1.54</v>
      </c>
      <c r="AS58" s="12">
        <v>41880</v>
      </c>
      <c r="AT58">
        <v>3.2850000000000001</v>
      </c>
      <c r="AU58" s="12">
        <v>41880</v>
      </c>
      <c r="AV58">
        <v>14.899000000000001</v>
      </c>
      <c r="AY58" s="12">
        <v>41880</v>
      </c>
      <c r="AZ58">
        <v>57.341000000000001</v>
      </c>
      <c r="BA58" s="12">
        <v>41880</v>
      </c>
      <c r="BB58">
        <v>11.814</v>
      </c>
      <c r="BC58" s="12">
        <v>41880</v>
      </c>
      <c r="BD58">
        <v>13.856999999999999</v>
      </c>
      <c r="BE58" s="12">
        <v>41971</v>
      </c>
      <c r="BF58">
        <v>8.3919999999999995</v>
      </c>
      <c r="BG58" s="12">
        <v>41880</v>
      </c>
      <c r="BH58">
        <v>9.9090000000000007</v>
      </c>
      <c r="BI58" s="12">
        <v>41880</v>
      </c>
      <c r="BJ58">
        <v>36.585000000000001</v>
      </c>
      <c r="BK58" s="12">
        <v>41880</v>
      </c>
      <c r="BL58">
        <v>15.034000000000001</v>
      </c>
      <c r="BM58" s="12">
        <v>41880</v>
      </c>
      <c r="BN58">
        <v>21.277000000000001</v>
      </c>
      <c r="BO58" s="12">
        <v>41880</v>
      </c>
      <c r="BP58">
        <v>18.943000000000001</v>
      </c>
      <c r="BQ58" s="12">
        <v>41880</v>
      </c>
      <c r="BR58">
        <v>14.058999999999999</v>
      </c>
      <c r="BS58" s="12">
        <v>41880</v>
      </c>
      <c r="BT58">
        <v>12.715</v>
      </c>
      <c r="BW58" s="12">
        <v>41880</v>
      </c>
      <c r="BX58">
        <v>14.933999999999999</v>
      </c>
      <c r="BY58" s="12">
        <v>41880</v>
      </c>
      <c r="BZ58">
        <v>19.975999999999999</v>
      </c>
      <c r="CA58" s="12">
        <v>41880</v>
      </c>
      <c r="CB58">
        <v>29.117000000000001</v>
      </c>
      <c r="CE58" s="12">
        <v>41880</v>
      </c>
      <c r="CF58">
        <v>19.591000000000001</v>
      </c>
      <c r="CG58" s="12">
        <v>41880</v>
      </c>
      <c r="CH58">
        <v>34.582999999999998</v>
      </c>
      <c r="CI58" s="12">
        <v>41880</v>
      </c>
      <c r="CJ58">
        <v>31.265000000000001</v>
      </c>
      <c r="CK58" s="12">
        <v>41880</v>
      </c>
      <c r="CL58">
        <v>8.48</v>
      </c>
      <c r="CM58" s="12">
        <v>41880</v>
      </c>
      <c r="CN58">
        <v>29.103000000000002</v>
      </c>
      <c r="CO58" s="12">
        <v>43343</v>
      </c>
      <c r="CP58">
        <v>41.817</v>
      </c>
      <c r="CQ58" s="12">
        <v>41880</v>
      </c>
      <c r="CR58">
        <v>11.433</v>
      </c>
      <c r="CS58" s="12">
        <v>41880</v>
      </c>
      <c r="CT58">
        <v>13.581</v>
      </c>
      <c r="CU58" s="12">
        <v>41880</v>
      </c>
      <c r="CV58">
        <v>8.0540000000000003</v>
      </c>
      <c r="CW58" s="12">
        <v>41880</v>
      </c>
      <c r="CX58">
        <v>8.327</v>
      </c>
      <c r="CY58" s="12">
        <v>41971</v>
      </c>
      <c r="CZ58">
        <v>9.0660000000000007</v>
      </c>
      <c r="DA58" s="12">
        <v>41880</v>
      </c>
      <c r="DB58">
        <v>20.978000000000002</v>
      </c>
      <c r="DC58" s="12">
        <v>41880</v>
      </c>
      <c r="DD58">
        <v>7.9350000000000005</v>
      </c>
      <c r="DE58" s="12">
        <v>41880</v>
      </c>
      <c r="DF58">
        <v>10.787000000000001</v>
      </c>
      <c r="DG58" s="12">
        <v>42613</v>
      </c>
      <c r="DH58">
        <v>18.155000000000001</v>
      </c>
      <c r="DI58" s="12">
        <v>41880</v>
      </c>
      <c r="DJ58">
        <v>9.9109999999999996</v>
      </c>
      <c r="DK58" s="12">
        <v>41880</v>
      </c>
      <c r="DL58">
        <v>20.876000000000001</v>
      </c>
      <c r="DM58" s="12">
        <v>42307</v>
      </c>
      <c r="DN58">
        <v>3.8069999999999999</v>
      </c>
      <c r="DO58" s="12">
        <v>41880</v>
      </c>
      <c r="DP58">
        <v>8.5540000000000003</v>
      </c>
      <c r="DQ58" s="12">
        <v>41880</v>
      </c>
      <c r="DR58">
        <v>69.016999999999996</v>
      </c>
      <c r="DS58" s="12">
        <v>41880</v>
      </c>
      <c r="DT58">
        <v>10.885999999999999</v>
      </c>
      <c r="DU58" s="12">
        <v>41880</v>
      </c>
      <c r="DV58">
        <v>4.7729999999999997</v>
      </c>
      <c r="DW58" s="12">
        <v>41880</v>
      </c>
      <c r="DX58">
        <v>6</v>
      </c>
      <c r="DY58" s="12">
        <v>41880</v>
      </c>
      <c r="DZ58">
        <v>12.986000000000001</v>
      </c>
      <c r="EC58" s="12">
        <v>41880</v>
      </c>
      <c r="ED58">
        <v>19.239000000000001</v>
      </c>
      <c r="EE58" s="12">
        <v>41880</v>
      </c>
      <c r="EF58">
        <v>6.29</v>
      </c>
      <c r="EG58" s="12">
        <v>41880</v>
      </c>
      <c r="EH58">
        <v>19.318000000000001</v>
      </c>
      <c r="EI58" s="12">
        <v>41880</v>
      </c>
      <c r="EJ58">
        <v>26.446999999999999</v>
      </c>
      <c r="EK58" s="12">
        <v>41880</v>
      </c>
      <c r="EL58">
        <v>9.5429999999999993</v>
      </c>
      <c r="EM58" s="12">
        <v>41880</v>
      </c>
      <c r="EN58">
        <v>11.842000000000001</v>
      </c>
      <c r="EQ58" s="12">
        <v>41880</v>
      </c>
      <c r="ER58">
        <v>14.571</v>
      </c>
      <c r="ES58" s="12">
        <v>41880</v>
      </c>
      <c r="ET58">
        <v>13.87</v>
      </c>
      <c r="EU58" s="12">
        <v>41880</v>
      </c>
      <c r="EV58">
        <v>4.1319999999999997</v>
      </c>
      <c r="EY58" s="12">
        <v>41880</v>
      </c>
      <c r="EZ58">
        <v>21.140999999999998</v>
      </c>
      <c r="FA58" s="12">
        <v>41880</v>
      </c>
      <c r="FB58">
        <v>16.119</v>
      </c>
      <c r="FC58" s="12">
        <v>41880</v>
      </c>
      <c r="FD58">
        <v>25.126999999999999</v>
      </c>
      <c r="FG58" s="12">
        <v>41880</v>
      </c>
      <c r="FH58">
        <v>5.4130000000000003</v>
      </c>
      <c r="FI58" s="12">
        <v>41880</v>
      </c>
      <c r="FJ58">
        <v>14.256</v>
      </c>
      <c r="FK58" s="12">
        <v>41880</v>
      </c>
      <c r="FL58">
        <v>16.11</v>
      </c>
      <c r="FM58" s="12">
        <v>41880</v>
      </c>
      <c r="FN58">
        <v>9.2650000000000006</v>
      </c>
      <c r="FO58" s="12">
        <v>41880</v>
      </c>
      <c r="FP58">
        <v>42.752000000000002</v>
      </c>
      <c r="FQ58" s="12">
        <v>43371</v>
      </c>
      <c r="FR58">
        <v>18.282</v>
      </c>
      <c r="FS58" s="12">
        <v>41880</v>
      </c>
      <c r="FT58">
        <v>1.8109999999999999</v>
      </c>
      <c r="FU58" s="12">
        <v>41880</v>
      </c>
      <c r="FV58">
        <v>10.337999999999999</v>
      </c>
      <c r="FW58" s="12">
        <v>41880</v>
      </c>
      <c r="FX58">
        <v>12.736000000000001</v>
      </c>
      <c r="FY58" s="12">
        <v>42734</v>
      </c>
      <c r="FZ58">
        <v>1.8109999999999999</v>
      </c>
      <c r="GA58" s="12">
        <v>41880</v>
      </c>
      <c r="GB58">
        <v>16.45</v>
      </c>
      <c r="GC58" s="12">
        <v>41880</v>
      </c>
      <c r="GD58">
        <v>22.818999999999999</v>
      </c>
      <c r="GE58" s="12">
        <v>43039</v>
      </c>
      <c r="GF58">
        <v>20.116</v>
      </c>
      <c r="GI58" s="12">
        <v>41880</v>
      </c>
      <c r="GJ58">
        <v>11.614000000000001</v>
      </c>
      <c r="GK58" s="12">
        <v>41880</v>
      </c>
      <c r="GL58">
        <v>17.579000000000001</v>
      </c>
      <c r="GM58" s="12">
        <v>41880</v>
      </c>
      <c r="GN58">
        <v>31.341000000000001</v>
      </c>
      <c r="GO58" s="12">
        <v>42369</v>
      </c>
      <c r="GP58">
        <v>0.27</v>
      </c>
      <c r="GQ58" s="12">
        <v>42004</v>
      </c>
      <c r="GR58">
        <v>9.5500000000000007</v>
      </c>
      <c r="GS58" s="12">
        <v>41880</v>
      </c>
      <c r="GT58">
        <v>20.5</v>
      </c>
      <c r="GW58" s="12">
        <v>41943</v>
      </c>
      <c r="GX58">
        <v>24.692</v>
      </c>
      <c r="GY58" s="12">
        <v>41880</v>
      </c>
      <c r="GZ58">
        <v>7.6</v>
      </c>
      <c r="HA58" s="12">
        <v>41880</v>
      </c>
      <c r="HB58">
        <v>6.3730000000000002</v>
      </c>
      <c r="HC58" s="12">
        <v>41880</v>
      </c>
      <c r="HD58">
        <v>17.257999999999999</v>
      </c>
      <c r="HE58" s="12">
        <v>41880</v>
      </c>
      <c r="HF58">
        <v>15.154999999999999</v>
      </c>
      <c r="HG58" s="12">
        <v>41880</v>
      </c>
      <c r="HH58">
        <v>18.402999999999999</v>
      </c>
      <c r="HI58" s="12">
        <v>41880</v>
      </c>
      <c r="HJ58">
        <v>8.2080000000000002</v>
      </c>
      <c r="HK58" s="12">
        <v>41880</v>
      </c>
      <c r="HL58">
        <v>18</v>
      </c>
      <c r="HM58" s="12">
        <v>41880</v>
      </c>
      <c r="HN58">
        <v>11.12</v>
      </c>
      <c r="HO58" s="12">
        <v>41880</v>
      </c>
      <c r="HP58">
        <v>11.083</v>
      </c>
      <c r="HQ58" s="12">
        <v>41971</v>
      </c>
      <c r="HR58">
        <v>45</v>
      </c>
      <c r="HS58" s="12">
        <v>41880</v>
      </c>
      <c r="HT58">
        <v>108.629</v>
      </c>
      <c r="HU58" s="12">
        <v>41880</v>
      </c>
      <c r="HV58">
        <v>676.15899999999999</v>
      </c>
      <c r="HW58" s="12">
        <v>41880</v>
      </c>
      <c r="HX58">
        <v>21.561</v>
      </c>
      <c r="HY58" s="12">
        <v>41880</v>
      </c>
      <c r="HZ58">
        <v>21.663</v>
      </c>
      <c r="IA58" s="12">
        <v>41880</v>
      </c>
      <c r="IB58">
        <v>36.39</v>
      </c>
      <c r="IC58" s="12">
        <v>41880</v>
      </c>
      <c r="ID58">
        <v>3.68</v>
      </c>
      <c r="IE58" s="12">
        <v>41880</v>
      </c>
      <c r="IF58">
        <v>2.1379999999999999</v>
      </c>
      <c r="IG58" s="12">
        <v>42185</v>
      </c>
      <c r="IH58">
        <v>2.0499999999999998</v>
      </c>
      <c r="II58" s="12">
        <v>41880</v>
      </c>
      <c r="IJ58">
        <v>10.367000000000001</v>
      </c>
      <c r="IM58" s="12">
        <v>41880</v>
      </c>
      <c r="IN58">
        <v>24.146000000000001</v>
      </c>
      <c r="IO58" s="12">
        <v>42429</v>
      </c>
      <c r="IP58">
        <v>8.9209999999999994</v>
      </c>
      <c r="IQ58" s="12">
        <v>41880</v>
      </c>
      <c r="IR58">
        <v>20.53</v>
      </c>
      <c r="IS58" s="12">
        <v>43798</v>
      </c>
      <c r="IT58">
        <v>24.43</v>
      </c>
      <c r="IU58" s="12">
        <v>41880</v>
      </c>
      <c r="IV58">
        <v>6.5231000000000003</v>
      </c>
      <c r="IY58" s="12">
        <v>41880</v>
      </c>
      <c r="IZ58">
        <v>11.018000000000001</v>
      </c>
      <c r="JA58" s="12">
        <v>43644</v>
      </c>
      <c r="JB58">
        <v>17.79</v>
      </c>
      <c r="JC58" s="12">
        <v>41880</v>
      </c>
      <c r="JD58">
        <v>5.6</v>
      </c>
      <c r="JE58" s="12">
        <v>41880</v>
      </c>
      <c r="JF58">
        <v>35.5</v>
      </c>
      <c r="JI58" s="12">
        <v>41880</v>
      </c>
      <c r="JJ58">
        <v>10.986000000000001</v>
      </c>
      <c r="JM58" s="12">
        <v>41880</v>
      </c>
      <c r="JN58">
        <v>1.2290000000000001</v>
      </c>
      <c r="JO58" s="12">
        <v>41880</v>
      </c>
      <c r="JP58">
        <v>18.341000000000001</v>
      </c>
      <c r="JQ58" s="12">
        <v>43280</v>
      </c>
      <c r="JR58">
        <v>13.975999999999999</v>
      </c>
      <c r="JS58" s="12">
        <v>41880</v>
      </c>
      <c r="JT58">
        <v>6.6589999999999998</v>
      </c>
      <c r="JU58" s="12">
        <v>43098</v>
      </c>
      <c r="JV58">
        <v>66.694000000000003</v>
      </c>
      <c r="JW58" s="12">
        <v>41880</v>
      </c>
      <c r="JX58">
        <v>13.686</v>
      </c>
      <c r="JY58" s="12">
        <v>41880</v>
      </c>
      <c r="JZ58">
        <v>11.432</v>
      </c>
      <c r="KC58" s="12">
        <v>41880</v>
      </c>
      <c r="KD58">
        <v>8.36</v>
      </c>
      <c r="KE58" s="12">
        <v>41880</v>
      </c>
      <c r="KF58">
        <v>12.494</v>
      </c>
      <c r="KI58" s="12">
        <v>41880</v>
      </c>
      <c r="KJ58">
        <v>5.0869999999999997</v>
      </c>
      <c r="KO58" s="12">
        <v>41880</v>
      </c>
      <c r="KP58">
        <v>140</v>
      </c>
      <c r="KQ58" s="12">
        <v>41880</v>
      </c>
      <c r="KR58">
        <v>69.680000000000007</v>
      </c>
      <c r="KS58" s="12">
        <v>41880</v>
      </c>
      <c r="KT58">
        <v>13.292999999999999</v>
      </c>
      <c r="KU58" s="12">
        <v>41880</v>
      </c>
      <c r="KV58">
        <v>11.146000000000001</v>
      </c>
      <c r="LC58" s="12">
        <v>41880</v>
      </c>
      <c r="LD58">
        <v>12.292</v>
      </c>
      <c r="LE58" s="12">
        <v>41880</v>
      </c>
      <c r="LF58">
        <v>5.415</v>
      </c>
      <c r="LG58" s="12">
        <v>41880</v>
      </c>
      <c r="LH58">
        <v>14.423999999999999</v>
      </c>
      <c r="LI58" s="12">
        <v>41880</v>
      </c>
      <c r="LJ58">
        <v>25.193999999999999</v>
      </c>
      <c r="LM58" s="12">
        <v>41880</v>
      </c>
      <c r="LN58">
        <v>7.2510000000000003</v>
      </c>
      <c r="LO58" s="12">
        <v>41880</v>
      </c>
      <c r="LP58">
        <v>7.6630000000000003</v>
      </c>
      <c r="LQ58" s="12">
        <v>41880</v>
      </c>
      <c r="LR58">
        <v>23.742999999999999</v>
      </c>
      <c r="LS58" s="12">
        <v>41880</v>
      </c>
      <c r="LT58">
        <v>22.443999999999999</v>
      </c>
      <c r="LW58" s="12">
        <v>41880</v>
      </c>
      <c r="LX58">
        <v>109.124</v>
      </c>
      <c r="LY58" s="12">
        <v>41880</v>
      </c>
      <c r="LZ58">
        <v>32.369999999999997</v>
      </c>
      <c r="MA58" s="12">
        <v>41880</v>
      </c>
      <c r="MB58">
        <v>28.402999999999999</v>
      </c>
      <c r="MC58" s="12">
        <v>43343</v>
      </c>
      <c r="MD58">
        <v>16.899999999999999</v>
      </c>
      <c r="ME58" s="12">
        <v>41880</v>
      </c>
      <c r="MF58">
        <v>7.2220000000000004</v>
      </c>
      <c r="MG58" s="12">
        <v>41880</v>
      </c>
      <c r="MH58">
        <v>9.6430000000000007</v>
      </c>
      <c r="MK58" s="12">
        <v>41880</v>
      </c>
      <c r="ML58">
        <v>22.902999999999999</v>
      </c>
    </row>
    <row r="59" spans="1:350" x14ac:dyDescent="0.3">
      <c r="A59" s="12">
        <v>41912</v>
      </c>
      <c r="B59" s="1">
        <v>13.451000000000001</v>
      </c>
      <c r="C59" s="1"/>
      <c r="E59" s="12">
        <v>41912</v>
      </c>
      <c r="F59" s="13">
        <v>6.36</v>
      </c>
      <c r="G59" s="17">
        <v>41912</v>
      </c>
      <c r="H59" s="13">
        <v>6.6840000000000002</v>
      </c>
      <c r="I59" s="17">
        <v>41943</v>
      </c>
      <c r="J59">
        <v>16.524000000000001</v>
      </c>
      <c r="K59" s="12">
        <v>43131</v>
      </c>
      <c r="L59">
        <v>16.963000000000001</v>
      </c>
      <c r="N59" s="12"/>
      <c r="Q59" s="12">
        <v>43312</v>
      </c>
      <c r="R59">
        <v>14.994999999999999</v>
      </c>
      <c r="S59" s="12">
        <v>41912</v>
      </c>
      <c r="T59">
        <v>15.161</v>
      </c>
      <c r="U59" s="12">
        <v>42338</v>
      </c>
      <c r="V59">
        <v>18.928999999999998</v>
      </c>
      <c r="Y59" s="12">
        <v>41912</v>
      </c>
      <c r="Z59">
        <v>9.11</v>
      </c>
      <c r="AA59" s="12">
        <v>41912</v>
      </c>
      <c r="AB59">
        <v>18.742999999999999</v>
      </c>
      <c r="AC59" s="12">
        <v>41912</v>
      </c>
      <c r="AD59">
        <v>12.964</v>
      </c>
      <c r="AE59" s="12">
        <v>41912</v>
      </c>
      <c r="AF59">
        <v>12.69</v>
      </c>
      <c r="AG59" s="12">
        <v>41912</v>
      </c>
      <c r="AH59">
        <v>27.169</v>
      </c>
      <c r="AI59" s="12">
        <v>43131</v>
      </c>
      <c r="AJ59">
        <v>24.186</v>
      </c>
      <c r="AK59" s="12">
        <v>41912</v>
      </c>
      <c r="AL59">
        <v>12.503</v>
      </c>
      <c r="AO59" s="12">
        <v>41912</v>
      </c>
      <c r="AP59">
        <v>1.53</v>
      </c>
      <c r="AS59" s="12">
        <v>41912</v>
      </c>
      <c r="AT59">
        <v>2.948</v>
      </c>
      <c r="AU59" s="12">
        <v>41912</v>
      </c>
      <c r="AV59">
        <v>13.055999999999999</v>
      </c>
      <c r="AY59" s="12">
        <v>41912</v>
      </c>
      <c r="AZ59">
        <v>55.752000000000002</v>
      </c>
      <c r="BA59" s="12">
        <v>41912</v>
      </c>
      <c r="BB59">
        <v>12.55</v>
      </c>
      <c r="BC59" s="12">
        <v>41912</v>
      </c>
      <c r="BD59">
        <v>11.510999999999999</v>
      </c>
      <c r="BE59" s="12">
        <v>42004</v>
      </c>
      <c r="BF59">
        <v>7.8559999999999999</v>
      </c>
      <c r="BG59" s="12">
        <v>41912</v>
      </c>
      <c r="BH59">
        <v>9.5299999999999994</v>
      </c>
      <c r="BI59" s="12">
        <v>41912</v>
      </c>
      <c r="BJ59">
        <v>31.661999999999999</v>
      </c>
      <c r="BK59" s="12">
        <v>41912</v>
      </c>
      <c r="BL59">
        <v>12.984</v>
      </c>
      <c r="BM59" s="12">
        <v>41912</v>
      </c>
      <c r="BN59">
        <v>17.577999999999999</v>
      </c>
      <c r="BO59" s="12">
        <v>41912</v>
      </c>
      <c r="BP59">
        <v>18.367000000000001</v>
      </c>
      <c r="BQ59" s="12">
        <v>41912</v>
      </c>
      <c r="BR59">
        <v>11.173</v>
      </c>
      <c r="BS59" s="12">
        <v>41912</v>
      </c>
      <c r="BT59">
        <v>9.9469999999999992</v>
      </c>
      <c r="BW59" s="12">
        <v>41912</v>
      </c>
      <c r="BX59">
        <v>13.702</v>
      </c>
      <c r="BY59" s="12">
        <v>41912</v>
      </c>
      <c r="BZ59">
        <v>17.242000000000001</v>
      </c>
      <c r="CA59" s="12">
        <v>41912</v>
      </c>
      <c r="CB59">
        <v>24.477</v>
      </c>
      <c r="CE59" s="12">
        <v>41912</v>
      </c>
      <c r="CF59">
        <v>18.856000000000002</v>
      </c>
      <c r="CG59" s="12">
        <v>41912</v>
      </c>
      <c r="CH59">
        <v>29.257999999999999</v>
      </c>
      <c r="CI59" s="12">
        <v>41912</v>
      </c>
      <c r="CJ59">
        <v>24.422999999999998</v>
      </c>
      <c r="CK59" s="12">
        <v>41912</v>
      </c>
      <c r="CL59">
        <v>7.5129999999999999</v>
      </c>
      <c r="CM59" s="12">
        <v>41912</v>
      </c>
      <c r="CN59">
        <v>27.074000000000002</v>
      </c>
      <c r="CO59" s="12">
        <v>43371</v>
      </c>
      <c r="CP59">
        <v>42.564</v>
      </c>
      <c r="CQ59" s="12">
        <v>41912</v>
      </c>
      <c r="CR59">
        <v>9.9510000000000005</v>
      </c>
      <c r="CS59" s="12">
        <v>41912</v>
      </c>
      <c r="CT59">
        <v>11.763999999999999</v>
      </c>
      <c r="CU59" s="12">
        <v>41912</v>
      </c>
      <c r="CV59">
        <v>7.0819999999999999</v>
      </c>
      <c r="CW59" s="12">
        <v>41912</v>
      </c>
      <c r="CX59">
        <v>7.476</v>
      </c>
      <c r="CY59" s="12">
        <v>42004</v>
      </c>
      <c r="CZ59">
        <v>8.7859999999999996</v>
      </c>
      <c r="DA59" s="12">
        <v>41912</v>
      </c>
      <c r="DB59">
        <v>19.628</v>
      </c>
      <c r="DC59" s="12">
        <v>41912</v>
      </c>
      <c r="DD59">
        <v>6.3870000000000005</v>
      </c>
      <c r="DE59" s="12">
        <v>41912</v>
      </c>
      <c r="DF59">
        <v>8.8219999999999992</v>
      </c>
      <c r="DG59" s="12">
        <v>42643</v>
      </c>
      <c r="DH59">
        <v>19.841999999999999</v>
      </c>
      <c r="DI59" s="12">
        <v>41912</v>
      </c>
      <c r="DJ59">
        <v>8.17</v>
      </c>
      <c r="DK59" s="12">
        <v>41912</v>
      </c>
      <c r="DL59">
        <v>23.164999999999999</v>
      </c>
      <c r="DM59" s="12">
        <v>42338</v>
      </c>
      <c r="DN59">
        <v>3.7880000000000003</v>
      </c>
      <c r="DO59" s="12">
        <v>41912</v>
      </c>
      <c r="DP59">
        <v>7.57</v>
      </c>
      <c r="DQ59" s="12">
        <v>41912</v>
      </c>
      <c r="DR59">
        <v>39.927</v>
      </c>
      <c r="DS59" s="12">
        <v>41912</v>
      </c>
      <c r="DT59">
        <v>11.801</v>
      </c>
      <c r="DU59" s="12">
        <v>41912</v>
      </c>
      <c r="DV59">
        <v>4.5</v>
      </c>
      <c r="DW59" s="12">
        <v>41912</v>
      </c>
      <c r="DX59">
        <v>4.83</v>
      </c>
      <c r="DY59" s="12">
        <v>41912</v>
      </c>
      <c r="DZ59">
        <v>11.045</v>
      </c>
      <c r="EC59" s="12">
        <v>41912</v>
      </c>
      <c r="ED59">
        <v>22.181000000000001</v>
      </c>
      <c r="EE59" s="12">
        <v>41912</v>
      </c>
      <c r="EF59">
        <v>5.5659999999999998</v>
      </c>
      <c r="EG59" s="12">
        <v>41912</v>
      </c>
      <c r="EH59">
        <v>20.690999999999999</v>
      </c>
      <c r="EI59" s="12">
        <v>41912</v>
      </c>
      <c r="EJ59">
        <v>23.23</v>
      </c>
      <c r="EK59" s="12">
        <v>41912</v>
      </c>
      <c r="EL59">
        <v>8.98</v>
      </c>
      <c r="EM59" s="12">
        <v>41912</v>
      </c>
      <c r="EN59">
        <v>10.763999999999999</v>
      </c>
      <c r="EQ59" s="12">
        <v>41912</v>
      </c>
      <c r="ER59">
        <v>13</v>
      </c>
      <c r="ES59" s="12">
        <v>41912</v>
      </c>
      <c r="ET59">
        <v>11.7</v>
      </c>
      <c r="EU59" s="12">
        <v>41912</v>
      </c>
      <c r="EV59">
        <v>4.3220000000000001</v>
      </c>
      <c r="EY59" s="12">
        <v>41912</v>
      </c>
      <c r="EZ59">
        <v>18.731999999999999</v>
      </c>
      <c r="FA59" s="12">
        <v>41912</v>
      </c>
      <c r="FB59">
        <v>14.561999999999999</v>
      </c>
      <c r="FC59" s="12">
        <v>41912</v>
      </c>
      <c r="FD59">
        <v>22.67</v>
      </c>
      <c r="FG59" s="12">
        <v>41912</v>
      </c>
      <c r="FH59">
        <v>4.6100000000000003</v>
      </c>
      <c r="FI59" s="12">
        <v>41912</v>
      </c>
      <c r="FJ59">
        <v>12.05</v>
      </c>
      <c r="FK59" s="12">
        <v>41912</v>
      </c>
      <c r="FL59">
        <v>13.525</v>
      </c>
      <c r="FM59" s="12">
        <v>41912</v>
      </c>
      <c r="FN59">
        <v>8.3770000000000007</v>
      </c>
      <c r="FO59" s="12">
        <v>41912</v>
      </c>
      <c r="FP59">
        <v>43.12</v>
      </c>
      <c r="FQ59" s="12">
        <v>43404</v>
      </c>
      <c r="FR59">
        <v>17.16</v>
      </c>
      <c r="FS59" s="12">
        <v>41912</v>
      </c>
      <c r="FT59">
        <v>1.899</v>
      </c>
      <c r="FU59" s="12">
        <v>41912</v>
      </c>
      <c r="FV59">
        <v>9.1669999999999998</v>
      </c>
      <c r="FW59" s="12">
        <v>41912</v>
      </c>
      <c r="FX59">
        <v>11.191000000000001</v>
      </c>
      <c r="FY59" s="12">
        <v>42766</v>
      </c>
      <c r="FZ59">
        <v>1.877</v>
      </c>
      <c r="GA59" s="12">
        <v>41912</v>
      </c>
      <c r="GB59">
        <v>15.337999999999999</v>
      </c>
      <c r="GC59" s="12">
        <v>41912</v>
      </c>
      <c r="GD59">
        <v>19.183</v>
      </c>
      <c r="GE59" s="12">
        <v>43069</v>
      </c>
      <c r="GF59">
        <v>20.331</v>
      </c>
      <c r="GI59" s="12">
        <v>41912</v>
      </c>
      <c r="GJ59">
        <v>10.795999999999999</v>
      </c>
      <c r="GK59" s="12">
        <v>41912</v>
      </c>
      <c r="GL59">
        <v>14.382999999999999</v>
      </c>
      <c r="GM59" s="12">
        <v>41912</v>
      </c>
      <c r="GN59">
        <v>30.292000000000002</v>
      </c>
      <c r="GO59" s="12">
        <v>42398</v>
      </c>
      <c r="GP59">
        <v>0.216</v>
      </c>
      <c r="GQ59" s="12">
        <v>42034</v>
      </c>
      <c r="GR59">
        <v>5.75</v>
      </c>
      <c r="GS59" s="12">
        <v>41912</v>
      </c>
      <c r="GT59">
        <v>14.25</v>
      </c>
      <c r="GW59" s="12">
        <v>41971</v>
      </c>
      <c r="GX59">
        <v>25.033000000000001</v>
      </c>
      <c r="GY59" s="12">
        <v>41912</v>
      </c>
      <c r="GZ59">
        <v>6.66</v>
      </c>
      <c r="HA59" s="12">
        <v>41912</v>
      </c>
      <c r="HB59">
        <v>5.7370000000000001</v>
      </c>
      <c r="HC59" s="12">
        <v>41912</v>
      </c>
      <c r="HD59">
        <v>14.988</v>
      </c>
      <c r="HE59" s="12">
        <v>41912</v>
      </c>
      <c r="HF59">
        <v>14.13</v>
      </c>
      <c r="HG59" s="12">
        <v>41912</v>
      </c>
      <c r="HH59">
        <v>16.594000000000001</v>
      </c>
      <c r="HI59" s="12">
        <v>41912</v>
      </c>
      <c r="HJ59">
        <v>7.4960000000000004</v>
      </c>
      <c r="HK59" s="12">
        <v>41912</v>
      </c>
      <c r="HL59">
        <v>17</v>
      </c>
      <c r="HM59" s="12">
        <v>41912</v>
      </c>
      <c r="HN59">
        <v>13.359</v>
      </c>
      <c r="HO59" s="12">
        <v>41912</v>
      </c>
      <c r="HP59">
        <v>13.3</v>
      </c>
      <c r="HQ59" s="12">
        <v>42004</v>
      </c>
      <c r="HR59">
        <v>25</v>
      </c>
      <c r="HS59" s="12">
        <v>41912</v>
      </c>
      <c r="HT59">
        <v>101.88800000000001</v>
      </c>
      <c r="HU59" s="12">
        <v>41912</v>
      </c>
      <c r="HV59">
        <v>499.178</v>
      </c>
      <c r="HW59" s="12">
        <v>41912</v>
      </c>
      <c r="HX59">
        <v>16.798999999999999</v>
      </c>
      <c r="HY59" s="12">
        <v>41912</v>
      </c>
      <c r="HZ59">
        <v>16.783000000000001</v>
      </c>
      <c r="IA59" s="12">
        <v>41912</v>
      </c>
      <c r="IB59">
        <v>34.125999999999998</v>
      </c>
      <c r="IC59" s="12">
        <v>41912</v>
      </c>
      <c r="ID59">
        <v>3.3810000000000002</v>
      </c>
      <c r="IE59" s="12">
        <v>41912</v>
      </c>
      <c r="IF59">
        <v>2.0419999999999998</v>
      </c>
      <c r="IG59" s="12">
        <v>42216</v>
      </c>
      <c r="IH59">
        <v>1.7149999999999999</v>
      </c>
      <c r="II59" s="12">
        <v>41912</v>
      </c>
      <c r="IJ59">
        <v>8.8019999999999996</v>
      </c>
      <c r="IM59" s="12">
        <v>41912</v>
      </c>
      <c r="IN59">
        <v>20.675000000000001</v>
      </c>
      <c r="IO59" s="12">
        <v>42460</v>
      </c>
      <c r="IP59">
        <v>10.3</v>
      </c>
      <c r="IQ59" s="12">
        <v>41912</v>
      </c>
      <c r="IR59">
        <v>19.785</v>
      </c>
      <c r="IS59" s="12">
        <v>43830</v>
      </c>
      <c r="IT59">
        <v>26.1</v>
      </c>
      <c r="IU59" s="12">
        <v>41912</v>
      </c>
      <c r="IV59">
        <v>5.7864000000000004</v>
      </c>
      <c r="IY59" s="12">
        <v>41912</v>
      </c>
      <c r="IZ59">
        <v>9.8119999999999994</v>
      </c>
      <c r="JA59" s="12">
        <v>43677</v>
      </c>
      <c r="JB59">
        <v>18.68</v>
      </c>
      <c r="JC59" s="12">
        <v>41912</v>
      </c>
      <c r="JD59">
        <v>5.2</v>
      </c>
      <c r="JE59" s="12">
        <v>41912</v>
      </c>
      <c r="JF59">
        <v>27</v>
      </c>
      <c r="JI59" s="12">
        <v>41912</v>
      </c>
      <c r="JJ59">
        <v>11.29</v>
      </c>
      <c r="JM59" s="12">
        <v>41912</v>
      </c>
      <c r="JN59">
        <v>1.0549999999999999</v>
      </c>
      <c r="JO59" s="12">
        <v>41912</v>
      </c>
      <c r="JP59">
        <v>16.96</v>
      </c>
      <c r="JQ59" s="12">
        <v>43312</v>
      </c>
      <c r="JR59">
        <v>15.708</v>
      </c>
      <c r="JS59" s="12">
        <v>41912</v>
      </c>
      <c r="JT59">
        <v>6.3129999999999997</v>
      </c>
      <c r="JU59" s="12">
        <v>43131</v>
      </c>
      <c r="JV59">
        <v>72.186000000000007</v>
      </c>
      <c r="JW59" s="12">
        <v>41912</v>
      </c>
      <c r="JX59">
        <v>11.849</v>
      </c>
      <c r="JY59" s="12">
        <v>41912</v>
      </c>
      <c r="JZ59">
        <v>11.247</v>
      </c>
      <c r="KC59" s="12">
        <v>41912</v>
      </c>
      <c r="KD59">
        <v>9.2330000000000005</v>
      </c>
      <c r="KE59" s="12">
        <v>41912</v>
      </c>
      <c r="KF59">
        <v>11.093999999999999</v>
      </c>
      <c r="KI59" s="12">
        <v>41912</v>
      </c>
      <c r="KJ59">
        <v>3.9449999999999998</v>
      </c>
      <c r="KO59" s="12">
        <v>41912</v>
      </c>
      <c r="KP59">
        <v>129.5</v>
      </c>
      <c r="KQ59" s="12">
        <v>41912</v>
      </c>
      <c r="KR59">
        <v>56.651000000000003</v>
      </c>
      <c r="KS59" s="12">
        <v>41912</v>
      </c>
      <c r="KT59">
        <v>14.238</v>
      </c>
      <c r="KU59" s="12">
        <v>41912</v>
      </c>
      <c r="KV59">
        <v>11.448</v>
      </c>
      <c r="LC59" s="12">
        <v>41912</v>
      </c>
      <c r="LD59">
        <v>11.2</v>
      </c>
      <c r="LE59" s="12">
        <v>41912</v>
      </c>
      <c r="LF59">
        <v>5.9279999999999999</v>
      </c>
      <c r="LG59" s="12">
        <v>41912</v>
      </c>
      <c r="LH59">
        <v>13.907999999999999</v>
      </c>
      <c r="LI59" s="12">
        <v>41912</v>
      </c>
      <c r="LJ59">
        <v>22.626000000000001</v>
      </c>
      <c r="LM59" s="12">
        <v>41912</v>
      </c>
      <c r="LN59">
        <v>6.42</v>
      </c>
      <c r="LO59" s="12">
        <v>41912</v>
      </c>
      <c r="LP59">
        <v>6.0419999999999998</v>
      </c>
      <c r="LQ59" s="12">
        <v>41912</v>
      </c>
      <c r="LR59">
        <v>21.891999999999999</v>
      </c>
      <c r="LS59" s="12">
        <v>41912</v>
      </c>
      <c r="LT59">
        <v>20.550999999999998</v>
      </c>
      <c r="LW59" s="12">
        <v>41912</v>
      </c>
      <c r="LX59">
        <v>109.124</v>
      </c>
      <c r="LY59" s="12">
        <v>41912</v>
      </c>
      <c r="LZ59">
        <v>32.930999999999997</v>
      </c>
      <c r="MA59" s="12">
        <v>41912</v>
      </c>
      <c r="MB59">
        <v>28.628</v>
      </c>
      <c r="MC59" s="12">
        <v>43371</v>
      </c>
      <c r="MD59">
        <v>14.92</v>
      </c>
      <c r="ME59" s="12">
        <v>41912</v>
      </c>
      <c r="MF59">
        <v>6.7409999999999997</v>
      </c>
      <c r="MG59" s="12">
        <v>41912</v>
      </c>
      <c r="MH59">
        <v>9.8680000000000003</v>
      </c>
      <c r="MK59" s="12">
        <v>41912</v>
      </c>
      <c r="ML59">
        <v>19.597999999999999</v>
      </c>
    </row>
    <row r="60" spans="1:350" x14ac:dyDescent="0.3">
      <c r="A60" s="12">
        <v>41943</v>
      </c>
      <c r="B60" s="1">
        <v>13.949</v>
      </c>
      <c r="C60" s="1"/>
      <c r="E60" s="12">
        <v>41943</v>
      </c>
      <c r="F60" s="13">
        <v>6.79</v>
      </c>
      <c r="G60" s="17">
        <v>41943</v>
      </c>
      <c r="H60" s="13">
        <v>5.6340000000000003</v>
      </c>
      <c r="I60" s="17">
        <v>41971</v>
      </c>
      <c r="J60">
        <v>16.206</v>
      </c>
      <c r="K60" s="12">
        <v>43159</v>
      </c>
      <c r="L60">
        <v>16.832000000000001</v>
      </c>
      <c r="N60" s="12"/>
      <c r="Q60" s="12">
        <v>43343</v>
      </c>
      <c r="R60">
        <v>12.994999999999999</v>
      </c>
      <c r="S60" s="12">
        <v>41943</v>
      </c>
      <c r="T60">
        <v>15.048</v>
      </c>
      <c r="U60" s="12">
        <v>42369</v>
      </c>
      <c r="V60">
        <v>18.228000000000002</v>
      </c>
      <c r="Y60" s="12">
        <v>41943</v>
      </c>
      <c r="Z60">
        <v>8.8740000000000006</v>
      </c>
      <c r="AA60" s="12">
        <v>41943</v>
      </c>
      <c r="AB60">
        <v>20.544</v>
      </c>
      <c r="AC60" s="12">
        <v>41943</v>
      </c>
      <c r="AD60">
        <v>13.52</v>
      </c>
      <c r="AE60" s="12">
        <v>41943</v>
      </c>
      <c r="AF60">
        <v>13.600999999999999</v>
      </c>
      <c r="AG60" s="12">
        <v>41943</v>
      </c>
      <c r="AH60">
        <v>26.02</v>
      </c>
      <c r="AI60" s="12">
        <v>43159</v>
      </c>
      <c r="AJ60">
        <v>23.355</v>
      </c>
      <c r="AK60" s="12">
        <v>41943</v>
      </c>
      <c r="AL60">
        <v>12.404999999999999</v>
      </c>
      <c r="AO60" s="12">
        <v>41943</v>
      </c>
      <c r="AP60">
        <v>1.58</v>
      </c>
      <c r="AS60" s="12">
        <v>41943</v>
      </c>
      <c r="AT60">
        <v>2.6949999999999998</v>
      </c>
      <c r="AU60" s="12">
        <v>41943</v>
      </c>
      <c r="AV60">
        <v>12.196</v>
      </c>
      <c r="AY60" s="12">
        <v>41943</v>
      </c>
      <c r="AZ60">
        <v>61.734999999999999</v>
      </c>
      <c r="BA60" s="12">
        <v>41943</v>
      </c>
      <c r="BB60">
        <v>14.045</v>
      </c>
      <c r="BC60" s="12">
        <v>41943</v>
      </c>
      <c r="BD60">
        <v>11.85</v>
      </c>
      <c r="BE60" s="12">
        <v>42034</v>
      </c>
      <c r="BF60">
        <v>6.8289999999999997</v>
      </c>
      <c r="BG60" s="12">
        <v>41943</v>
      </c>
      <c r="BH60">
        <v>9.5950000000000006</v>
      </c>
      <c r="BI60" s="12">
        <v>41943</v>
      </c>
      <c r="BJ60">
        <v>31.16</v>
      </c>
      <c r="BK60" s="12">
        <v>41943</v>
      </c>
      <c r="BL60">
        <v>14.276</v>
      </c>
      <c r="BM60" s="12">
        <v>41943</v>
      </c>
      <c r="BN60">
        <v>16.402999999999999</v>
      </c>
      <c r="BO60" s="12">
        <v>41943</v>
      </c>
      <c r="BP60">
        <v>18.683</v>
      </c>
      <c r="BQ60" s="12">
        <v>41943</v>
      </c>
      <c r="BR60">
        <v>11.106999999999999</v>
      </c>
      <c r="BS60" s="12">
        <v>41943</v>
      </c>
      <c r="BT60">
        <v>9.4429999999999996</v>
      </c>
      <c r="BW60" s="12">
        <v>41943</v>
      </c>
      <c r="BX60">
        <v>15.733000000000001</v>
      </c>
      <c r="BY60" s="12">
        <v>41943</v>
      </c>
      <c r="BZ60">
        <v>16.782</v>
      </c>
      <c r="CA60" s="12">
        <v>41943</v>
      </c>
      <c r="CB60">
        <v>25.408999999999999</v>
      </c>
      <c r="CE60" s="12">
        <v>41943</v>
      </c>
      <c r="CF60">
        <v>19.161999999999999</v>
      </c>
      <c r="CG60" s="12">
        <v>41943</v>
      </c>
      <c r="CH60">
        <v>29.036999999999999</v>
      </c>
      <c r="CI60" s="12">
        <v>41943</v>
      </c>
      <c r="CJ60">
        <v>22.233000000000001</v>
      </c>
      <c r="CK60" s="12">
        <v>41943</v>
      </c>
      <c r="CL60">
        <v>7.125</v>
      </c>
      <c r="CM60" s="12">
        <v>41943</v>
      </c>
      <c r="CN60">
        <v>28.056999999999999</v>
      </c>
      <c r="CO60" s="12">
        <v>43404</v>
      </c>
      <c r="CP60">
        <v>55.625</v>
      </c>
      <c r="CQ60" s="12">
        <v>41943</v>
      </c>
      <c r="CR60">
        <v>9.9269999999999996</v>
      </c>
      <c r="CS60" s="12">
        <v>41943</v>
      </c>
      <c r="CT60">
        <v>10.327</v>
      </c>
      <c r="CU60" s="12">
        <v>41943</v>
      </c>
      <c r="CV60">
        <v>7.2379999999999995</v>
      </c>
      <c r="CW60" s="12">
        <v>41943</v>
      </c>
      <c r="CX60">
        <v>7.36</v>
      </c>
      <c r="CY60" s="12">
        <v>42034</v>
      </c>
      <c r="CZ60">
        <v>8.5470000000000006</v>
      </c>
      <c r="DA60" s="12">
        <v>41943</v>
      </c>
      <c r="DB60">
        <v>19.251999999999999</v>
      </c>
      <c r="DC60" s="12">
        <v>41943</v>
      </c>
      <c r="DD60">
        <v>6.056</v>
      </c>
      <c r="DE60" s="12">
        <v>41943</v>
      </c>
      <c r="DF60">
        <v>8.1929999999999996</v>
      </c>
      <c r="DG60" s="12">
        <v>42704</v>
      </c>
      <c r="DH60">
        <v>24.802</v>
      </c>
      <c r="DI60" s="12">
        <v>41943</v>
      </c>
      <c r="DJ60">
        <v>6.6680000000000001</v>
      </c>
      <c r="DK60" s="12">
        <v>41943</v>
      </c>
      <c r="DL60">
        <v>23.012</v>
      </c>
      <c r="DM60" s="12">
        <v>42369</v>
      </c>
      <c r="DN60">
        <v>3.7240000000000002</v>
      </c>
      <c r="DO60" s="12">
        <v>41943</v>
      </c>
      <c r="DP60">
        <v>7.32</v>
      </c>
      <c r="DQ60" s="12">
        <v>41943</v>
      </c>
      <c r="DR60">
        <v>30.800999999999998</v>
      </c>
      <c r="DS60" s="12">
        <v>41943</v>
      </c>
      <c r="DT60">
        <v>11.321999999999999</v>
      </c>
      <c r="DU60" s="12">
        <v>41943</v>
      </c>
      <c r="DV60">
        <v>4.5869999999999997</v>
      </c>
      <c r="DW60" s="12">
        <v>41943</v>
      </c>
      <c r="DX60">
        <v>4.75</v>
      </c>
      <c r="DY60" s="12">
        <v>41943</v>
      </c>
      <c r="DZ60">
        <v>11.15</v>
      </c>
      <c r="EC60" s="12">
        <v>41943</v>
      </c>
      <c r="ED60">
        <v>24.800999999999998</v>
      </c>
      <c r="EE60" s="12">
        <v>41943</v>
      </c>
      <c r="EF60">
        <v>6.4630000000000001</v>
      </c>
      <c r="EG60" s="12">
        <v>41943</v>
      </c>
      <c r="EH60">
        <v>17.963999999999999</v>
      </c>
      <c r="EI60" s="12">
        <v>41943</v>
      </c>
      <c r="EJ60">
        <v>21.189</v>
      </c>
      <c r="EK60" s="12">
        <v>41943</v>
      </c>
      <c r="EL60">
        <v>8.2110000000000003</v>
      </c>
      <c r="EM60" s="12">
        <v>41943</v>
      </c>
      <c r="EN60">
        <v>10.132999999999999</v>
      </c>
      <c r="EQ60" s="12">
        <v>41943</v>
      </c>
      <c r="ER60">
        <v>12.311</v>
      </c>
      <c r="ES60" s="12">
        <v>41943</v>
      </c>
      <c r="ET60">
        <v>12.82</v>
      </c>
      <c r="EU60" s="12">
        <v>41943</v>
      </c>
      <c r="EV60">
        <v>4.4950000000000001</v>
      </c>
      <c r="EY60" s="12">
        <v>41943</v>
      </c>
      <c r="EZ60">
        <v>19.123999999999999</v>
      </c>
      <c r="FA60" s="12">
        <v>41943</v>
      </c>
      <c r="FB60">
        <v>14.337999999999999</v>
      </c>
      <c r="FC60" s="12">
        <v>41943</v>
      </c>
      <c r="FD60">
        <v>22.934000000000001</v>
      </c>
      <c r="FG60" s="12">
        <v>41943</v>
      </c>
      <c r="FH60">
        <v>4.9180000000000001</v>
      </c>
      <c r="FI60" s="12">
        <v>41943</v>
      </c>
      <c r="FJ60">
        <v>12.542999999999999</v>
      </c>
      <c r="FK60" s="12">
        <v>41943</v>
      </c>
      <c r="FL60">
        <v>14.681000000000001</v>
      </c>
      <c r="FM60" s="12">
        <v>41943</v>
      </c>
      <c r="FN60">
        <v>10.116</v>
      </c>
      <c r="FO60" s="12">
        <v>41943</v>
      </c>
      <c r="FP60">
        <v>43.235999999999997</v>
      </c>
      <c r="FQ60" s="12">
        <v>43434</v>
      </c>
      <c r="FR60">
        <v>15.663</v>
      </c>
      <c r="FS60" s="12">
        <v>41943</v>
      </c>
      <c r="FT60">
        <v>1.9390000000000001</v>
      </c>
      <c r="FU60" s="12">
        <v>41943</v>
      </c>
      <c r="FV60">
        <v>9.6850000000000005</v>
      </c>
      <c r="FW60" s="12">
        <v>41943</v>
      </c>
      <c r="FX60">
        <v>11.779</v>
      </c>
      <c r="FY60" s="12">
        <v>42794</v>
      </c>
      <c r="FZ60">
        <v>2.0169999999999999</v>
      </c>
      <c r="GA60" s="12">
        <v>41943</v>
      </c>
      <c r="GB60">
        <v>16.693000000000001</v>
      </c>
      <c r="GC60" s="12">
        <v>41943</v>
      </c>
      <c r="GD60">
        <v>18.876999999999999</v>
      </c>
      <c r="GE60" s="12">
        <v>43098</v>
      </c>
      <c r="GF60">
        <v>20.978999999999999</v>
      </c>
      <c r="GI60" s="12">
        <v>41943</v>
      </c>
      <c r="GJ60">
        <v>11.27</v>
      </c>
      <c r="GK60" s="12">
        <v>41943</v>
      </c>
      <c r="GL60">
        <v>13.47</v>
      </c>
      <c r="GM60" s="12">
        <v>41943</v>
      </c>
      <c r="GN60">
        <v>29.901</v>
      </c>
      <c r="GO60" s="12">
        <v>42429</v>
      </c>
      <c r="GP60">
        <v>0.30099999999999999</v>
      </c>
      <c r="GQ60" s="12">
        <v>42062</v>
      </c>
      <c r="GR60">
        <v>6.8</v>
      </c>
      <c r="GS60" s="12">
        <v>41943</v>
      </c>
      <c r="GT60">
        <v>10.5</v>
      </c>
      <c r="GW60" s="12">
        <v>42004</v>
      </c>
      <c r="GX60">
        <v>23.085999999999999</v>
      </c>
      <c r="GY60" s="12">
        <v>41943</v>
      </c>
      <c r="GZ60">
        <v>6.05</v>
      </c>
      <c r="HA60" s="12">
        <v>41943</v>
      </c>
      <c r="HB60">
        <v>5.73</v>
      </c>
      <c r="HC60" s="12">
        <v>41943</v>
      </c>
      <c r="HD60">
        <v>15.326000000000001</v>
      </c>
      <c r="HE60" s="12">
        <v>41943</v>
      </c>
      <c r="HF60">
        <v>14.452</v>
      </c>
      <c r="HG60" s="12">
        <v>41943</v>
      </c>
      <c r="HH60">
        <v>16.154</v>
      </c>
      <c r="HI60" s="12">
        <v>41943</v>
      </c>
      <c r="HJ60">
        <v>7.5979999999999999</v>
      </c>
      <c r="HK60" s="12">
        <v>41943</v>
      </c>
      <c r="HL60">
        <v>14</v>
      </c>
      <c r="HM60" s="12">
        <v>41943</v>
      </c>
      <c r="HN60">
        <v>10.224</v>
      </c>
      <c r="HO60" s="12">
        <v>41943</v>
      </c>
      <c r="HP60">
        <v>9.9369999999999994</v>
      </c>
      <c r="HQ60" s="12">
        <v>42034</v>
      </c>
      <c r="HR60">
        <v>25</v>
      </c>
      <c r="HS60" s="12">
        <v>41943</v>
      </c>
      <c r="HT60">
        <v>99.075000000000003</v>
      </c>
      <c r="HU60" s="12">
        <v>41943</v>
      </c>
      <c r="HV60">
        <v>553.63400000000001</v>
      </c>
      <c r="HW60" s="12">
        <v>41943</v>
      </c>
      <c r="HX60">
        <v>14.266999999999999</v>
      </c>
      <c r="HY60" s="12">
        <v>41943</v>
      </c>
      <c r="HZ60">
        <v>14.176</v>
      </c>
      <c r="IA60" s="12">
        <v>41943</v>
      </c>
      <c r="IB60">
        <v>36.552</v>
      </c>
      <c r="IC60" s="12">
        <v>41943</v>
      </c>
      <c r="ID60">
        <v>3.6019999999999999</v>
      </c>
      <c r="IE60" s="12">
        <v>41943</v>
      </c>
      <c r="IF60">
        <v>2.09</v>
      </c>
      <c r="IG60" s="12">
        <v>42247</v>
      </c>
      <c r="IH60">
        <v>1.3900000000000001</v>
      </c>
      <c r="II60" s="12">
        <v>41943</v>
      </c>
      <c r="IJ60">
        <v>5.4770000000000003</v>
      </c>
      <c r="IM60" s="12">
        <v>41943</v>
      </c>
      <c r="IN60">
        <v>22.077999999999999</v>
      </c>
      <c r="IO60" s="12">
        <v>42489</v>
      </c>
      <c r="IP60">
        <v>10.321</v>
      </c>
      <c r="IQ60" s="12">
        <v>41943</v>
      </c>
      <c r="IR60">
        <v>21.25</v>
      </c>
      <c r="IU60" s="12">
        <v>41943</v>
      </c>
      <c r="IV60">
        <v>5.6067</v>
      </c>
      <c r="IY60" s="12">
        <v>41943</v>
      </c>
      <c r="IZ60">
        <v>9.8970000000000002</v>
      </c>
      <c r="JA60" s="12">
        <v>43707</v>
      </c>
      <c r="JB60">
        <v>20</v>
      </c>
      <c r="JC60" s="12">
        <v>41943</v>
      </c>
      <c r="JD60">
        <v>6</v>
      </c>
      <c r="JE60" s="12">
        <v>41943</v>
      </c>
      <c r="JF60">
        <v>24.5</v>
      </c>
      <c r="JI60" s="12">
        <v>41943</v>
      </c>
      <c r="JJ60">
        <v>9.5210000000000008</v>
      </c>
      <c r="JM60" s="12">
        <v>41943</v>
      </c>
      <c r="JN60">
        <v>1.248</v>
      </c>
      <c r="JO60" s="12">
        <v>41943</v>
      </c>
      <c r="JP60">
        <v>16.626000000000001</v>
      </c>
      <c r="JQ60" s="12">
        <v>43343</v>
      </c>
      <c r="JR60">
        <v>14.207000000000001</v>
      </c>
      <c r="JS60" s="12">
        <v>41943</v>
      </c>
      <c r="JT60">
        <v>6.4980000000000002</v>
      </c>
      <c r="JU60" s="12">
        <v>43159</v>
      </c>
      <c r="JV60">
        <v>74.058000000000007</v>
      </c>
      <c r="JW60" s="12">
        <v>41943</v>
      </c>
      <c r="JX60">
        <v>11.759</v>
      </c>
      <c r="JY60" s="12">
        <v>41943</v>
      </c>
      <c r="JZ60">
        <v>9.75</v>
      </c>
      <c r="KC60" s="12">
        <v>41943</v>
      </c>
      <c r="KD60">
        <v>9.8140000000000001</v>
      </c>
      <c r="KE60" s="12">
        <v>41943</v>
      </c>
      <c r="KF60">
        <v>10.43</v>
      </c>
      <c r="KI60" s="12">
        <v>41943</v>
      </c>
      <c r="KJ60">
        <v>3.9370000000000003</v>
      </c>
      <c r="KO60" s="12">
        <v>41943</v>
      </c>
      <c r="KP60">
        <v>105.5</v>
      </c>
      <c r="KQ60" s="12">
        <v>41943</v>
      </c>
      <c r="KR60">
        <v>34.840000000000003</v>
      </c>
      <c r="KS60" s="12">
        <v>41943</v>
      </c>
      <c r="KT60">
        <v>12.361000000000001</v>
      </c>
      <c r="KU60" s="12">
        <v>41943</v>
      </c>
      <c r="KV60">
        <v>11.962999999999999</v>
      </c>
      <c r="LC60" s="12">
        <v>41943</v>
      </c>
      <c r="LD60">
        <v>10.866</v>
      </c>
      <c r="LE60" s="12">
        <v>41943</v>
      </c>
      <c r="LF60">
        <v>6.3879999999999999</v>
      </c>
      <c r="LG60" s="12">
        <v>41943</v>
      </c>
      <c r="LH60">
        <v>13.16</v>
      </c>
      <c r="LI60" s="12">
        <v>41943</v>
      </c>
      <c r="LJ60">
        <v>23.605</v>
      </c>
      <c r="LM60" s="12">
        <v>41943</v>
      </c>
      <c r="LN60">
        <v>6.3810000000000002</v>
      </c>
      <c r="LO60" s="12">
        <v>41943</v>
      </c>
      <c r="LP60">
        <v>5.4059999999999997</v>
      </c>
      <c r="LQ60" s="12">
        <v>41943</v>
      </c>
      <c r="LR60">
        <v>21.141999999999999</v>
      </c>
      <c r="LS60" s="12">
        <v>41943</v>
      </c>
      <c r="LT60">
        <v>19.420999999999999</v>
      </c>
      <c r="LW60" s="12">
        <v>41943</v>
      </c>
      <c r="LX60">
        <v>92.335999999999999</v>
      </c>
      <c r="LY60" s="12">
        <v>41943</v>
      </c>
      <c r="LZ60">
        <v>34.598999999999997</v>
      </c>
      <c r="MA60" s="12">
        <v>41943</v>
      </c>
      <c r="MB60">
        <v>29.978999999999999</v>
      </c>
      <c r="MC60" s="12">
        <v>43404</v>
      </c>
      <c r="MD60">
        <v>16.87</v>
      </c>
      <c r="ME60" s="12">
        <v>41943</v>
      </c>
      <c r="MF60">
        <v>7.2220000000000004</v>
      </c>
      <c r="MG60" s="12">
        <v>41943</v>
      </c>
      <c r="MH60">
        <v>10.096</v>
      </c>
      <c r="MK60" s="12">
        <v>41943</v>
      </c>
      <c r="ML60">
        <v>22.109000000000002</v>
      </c>
    </row>
    <row r="61" spans="1:350" x14ac:dyDescent="0.3">
      <c r="A61" s="12">
        <v>41971</v>
      </c>
      <c r="B61" s="1">
        <v>14.332000000000001</v>
      </c>
      <c r="C61" s="1"/>
      <c r="E61" s="12">
        <v>41971</v>
      </c>
      <c r="F61" s="13">
        <v>6.22</v>
      </c>
      <c r="G61" s="17">
        <v>41971</v>
      </c>
      <c r="H61" s="13">
        <v>5.266</v>
      </c>
      <c r="I61" s="17">
        <v>42004</v>
      </c>
      <c r="J61">
        <v>14.988</v>
      </c>
      <c r="K61" s="12">
        <v>43189</v>
      </c>
      <c r="L61">
        <v>16.527000000000001</v>
      </c>
      <c r="N61" s="12"/>
      <c r="Q61" s="12">
        <v>43371</v>
      </c>
      <c r="R61">
        <v>13.695</v>
      </c>
      <c r="S61" s="12">
        <v>41971</v>
      </c>
      <c r="T61">
        <v>14.468999999999999</v>
      </c>
      <c r="U61" s="12">
        <v>42398</v>
      </c>
      <c r="V61">
        <v>16.492000000000001</v>
      </c>
      <c r="Y61" s="12">
        <v>41971</v>
      </c>
      <c r="Z61">
        <v>8.6739999999999995</v>
      </c>
      <c r="AA61" s="12">
        <v>41971</v>
      </c>
      <c r="AB61">
        <v>22.015999999999998</v>
      </c>
      <c r="AC61" s="12">
        <v>41971</v>
      </c>
      <c r="AD61">
        <v>14.15</v>
      </c>
      <c r="AE61" s="12">
        <v>41971</v>
      </c>
      <c r="AF61">
        <v>14.426</v>
      </c>
      <c r="AG61" s="12">
        <v>41971</v>
      </c>
      <c r="AH61">
        <v>27.923000000000002</v>
      </c>
      <c r="AI61" s="12">
        <v>43189</v>
      </c>
      <c r="AJ61">
        <v>23.492000000000001</v>
      </c>
      <c r="AK61" s="12">
        <v>41971</v>
      </c>
      <c r="AL61">
        <v>11.092000000000001</v>
      </c>
      <c r="AO61" s="12">
        <v>41971</v>
      </c>
      <c r="AP61">
        <v>1.6099999999999999</v>
      </c>
      <c r="AS61" s="12">
        <v>41971</v>
      </c>
      <c r="AT61">
        <v>2.246</v>
      </c>
      <c r="AU61" s="12">
        <v>41971</v>
      </c>
      <c r="AV61">
        <v>11.596</v>
      </c>
      <c r="AY61" s="12">
        <v>41971</v>
      </c>
      <c r="AZ61">
        <v>63.563000000000002</v>
      </c>
      <c r="BA61" s="12">
        <v>41971</v>
      </c>
      <c r="BB61">
        <v>14.912000000000001</v>
      </c>
      <c r="BC61" s="12">
        <v>41971</v>
      </c>
      <c r="BD61">
        <v>10.987</v>
      </c>
      <c r="BE61" s="12">
        <v>42062</v>
      </c>
      <c r="BF61">
        <v>8.8829999999999991</v>
      </c>
      <c r="BG61" s="12">
        <v>41971</v>
      </c>
      <c r="BH61">
        <v>9.8209999999999997</v>
      </c>
      <c r="BI61" s="12">
        <v>41971</v>
      </c>
      <c r="BJ61">
        <v>27.597999999999999</v>
      </c>
      <c r="BK61" s="12">
        <v>41971</v>
      </c>
      <c r="BL61">
        <v>13.657</v>
      </c>
      <c r="BM61" s="12">
        <v>41971</v>
      </c>
      <c r="BN61">
        <v>17.37</v>
      </c>
      <c r="BO61" s="12">
        <v>41971</v>
      </c>
      <c r="BP61">
        <v>20.18</v>
      </c>
      <c r="BQ61" s="12">
        <v>41971</v>
      </c>
      <c r="BR61">
        <v>11.612</v>
      </c>
      <c r="BS61" s="12">
        <v>41971</v>
      </c>
      <c r="BT61">
        <v>9.9640000000000004</v>
      </c>
      <c r="BW61" s="12">
        <v>41971</v>
      </c>
      <c r="BX61">
        <v>15.974</v>
      </c>
      <c r="BY61" s="12">
        <v>41971</v>
      </c>
      <c r="BZ61">
        <v>17.783999999999999</v>
      </c>
      <c r="CA61" s="12">
        <v>41971</v>
      </c>
      <c r="CB61">
        <v>27.093</v>
      </c>
      <c r="CE61" s="12">
        <v>41971</v>
      </c>
      <c r="CF61">
        <v>19.620999999999999</v>
      </c>
      <c r="CG61" s="12">
        <v>41971</v>
      </c>
      <c r="CH61">
        <v>26.779</v>
      </c>
      <c r="CI61" s="12">
        <v>41971</v>
      </c>
      <c r="CJ61">
        <v>19.222999999999999</v>
      </c>
      <c r="CK61" s="12">
        <v>41971</v>
      </c>
      <c r="CL61">
        <v>5.2329999999999997</v>
      </c>
      <c r="CM61" s="12">
        <v>41971</v>
      </c>
      <c r="CN61">
        <v>29.864999999999998</v>
      </c>
      <c r="CO61" s="12">
        <v>43434</v>
      </c>
      <c r="CP61">
        <v>60.784999999999997</v>
      </c>
      <c r="CQ61" s="12">
        <v>41971</v>
      </c>
      <c r="CR61">
        <v>10.031000000000001</v>
      </c>
      <c r="CS61" s="12">
        <v>41971</v>
      </c>
      <c r="CT61">
        <v>10.308</v>
      </c>
      <c r="CU61" s="12">
        <v>41971</v>
      </c>
      <c r="CV61">
        <v>6.9909999999999997</v>
      </c>
      <c r="CW61" s="12">
        <v>41971</v>
      </c>
      <c r="CX61">
        <v>6.9379999999999997</v>
      </c>
      <c r="CY61" s="12">
        <v>42062</v>
      </c>
      <c r="CZ61">
        <v>8.6869999999999994</v>
      </c>
      <c r="DA61" s="12">
        <v>41971</v>
      </c>
      <c r="DB61">
        <v>20.324999999999999</v>
      </c>
      <c r="DC61" s="12">
        <v>41971</v>
      </c>
      <c r="DD61">
        <v>5.8609999999999998</v>
      </c>
      <c r="DE61" s="12">
        <v>41971</v>
      </c>
      <c r="DF61">
        <v>6.7430000000000003</v>
      </c>
      <c r="DG61" s="12">
        <v>42734</v>
      </c>
      <c r="DH61">
        <v>24.771999999999998</v>
      </c>
      <c r="DI61" s="12">
        <v>41971</v>
      </c>
      <c r="DJ61">
        <v>8.92</v>
      </c>
      <c r="DK61" s="12">
        <v>41971</v>
      </c>
      <c r="DL61">
        <v>22.675999999999998</v>
      </c>
      <c r="DM61" s="12">
        <v>42398</v>
      </c>
      <c r="DN61">
        <v>2.6640000000000001</v>
      </c>
      <c r="DO61" s="12">
        <v>41971</v>
      </c>
      <c r="DP61">
        <v>7.6459999999999999</v>
      </c>
      <c r="DQ61" s="12">
        <v>41971</v>
      </c>
      <c r="DR61">
        <v>47.341999999999999</v>
      </c>
      <c r="DS61" s="12">
        <v>42004</v>
      </c>
      <c r="DT61">
        <v>11.975</v>
      </c>
      <c r="DU61" s="12">
        <v>41971</v>
      </c>
      <c r="DV61">
        <v>5.0629999999999997</v>
      </c>
      <c r="DW61" s="12">
        <v>41971</v>
      </c>
      <c r="DX61">
        <v>5.14</v>
      </c>
      <c r="DY61" s="12">
        <v>41971</v>
      </c>
      <c r="DZ61">
        <v>12.07</v>
      </c>
      <c r="EC61" s="12">
        <v>41971</v>
      </c>
      <c r="ED61">
        <v>25.478999999999999</v>
      </c>
      <c r="EE61" s="12">
        <v>41971</v>
      </c>
      <c r="EF61">
        <v>6.5369999999999999</v>
      </c>
      <c r="EG61" s="12">
        <v>41971</v>
      </c>
      <c r="EH61">
        <v>18.396000000000001</v>
      </c>
      <c r="EI61" s="12">
        <v>41971</v>
      </c>
      <c r="EJ61">
        <v>21.503</v>
      </c>
      <c r="EK61" s="12">
        <v>41971</v>
      </c>
      <c r="EL61">
        <v>8.1859999999999999</v>
      </c>
      <c r="EM61" s="12">
        <v>41971</v>
      </c>
      <c r="EN61">
        <v>10.007</v>
      </c>
      <c r="EQ61" s="12">
        <v>41971</v>
      </c>
      <c r="ER61">
        <v>11.972</v>
      </c>
      <c r="ES61" s="12">
        <v>41971</v>
      </c>
      <c r="ET61">
        <v>15.03</v>
      </c>
      <c r="EU61" s="12">
        <v>41971</v>
      </c>
      <c r="EV61">
        <v>4.4329999999999998</v>
      </c>
      <c r="EY61" s="12">
        <v>41971</v>
      </c>
      <c r="EZ61">
        <v>18.702999999999999</v>
      </c>
      <c r="FA61" s="12">
        <v>41971</v>
      </c>
      <c r="FB61">
        <v>14.371</v>
      </c>
      <c r="FC61" s="12">
        <v>41971</v>
      </c>
      <c r="FD61">
        <v>23.483000000000001</v>
      </c>
      <c r="FG61" s="12">
        <v>41971</v>
      </c>
      <c r="FH61">
        <v>5.2119999999999997</v>
      </c>
      <c r="FI61" s="12">
        <v>41971</v>
      </c>
      <c r="FJ61">
        <v>13.124000000000001</v>
      </c>
      <c r="FK61" s="12">
        <v>41971</v>
      </c>
      <c r="FL61">
        <v>15.427</v>
      </c>
      <c r="FM61" s="12">
        <v>41971</v>
      </c>
      <c r="FN61">
        <v>10.986000000000001</v>
      </c>
      <c r="FO61" s="12">
        <v>41971</v>
      </c>
      <c r="FP61">
        <v>43.134</v>
      </c>
      <c r="FQ61" s="12">
        <v>43465</v>
      </c>
      <c r="FR61">
        <v>15.07</v>
      </c>
      <c r="FS61" s="12">
        <v>41971</v>
      </c>
      <c r="FT61">
        <v>2.173</v>
      </c>
      <c r="FU61" s="12">
        <v>41971</v>
      </c>
      <c r="FV61">
        <v>10.442</v>
      </c>
      <c r="FW61" s="12">
        <v>41971</v>
      </c>
      <c r="FX61">
        <v>13.632</v>
      </c>
      <c r="FY61" s="12">
        <v>42825</v>
      </c>
      <c r="FZ61">
        <v>2.4390000000000001</v>
      </c>
      <c r="GA61" s="12">
        <v>41971</v>
      </c>
      <c r="GB61">
        <v>16.478999999999999</v>
      </c>
      <c r="GC61" s="12">
        <v>41971</v>
      </c>
      <c r="GD61">
        <v>19.099</v>
      </c>
      <c r="GE61" s="12">
        <v>43131</v>
      </c>
      <c r="GF61">
        <v>20.763000000000002</v>
      </c>
      <c r="GI61" s="12">
        <v>41971</v>
      </c>
      <c r="GJ61">
        <v>11.641999999999999</v>
      </c>
      <c r="GK61" s="12">
        <v>41971</v>
      </c>
      <c r="GL61">
        <v>13.15</v>
      </c>
      <c r="GM61" s="12">
        <v>41971</v>
      </c>
      <c r="GN61">
        <v>30.317</v>
      </c>
      <c r="GO61" s="12">
        <v>42460</v>
      </c>
      <c r="GP61">
        <v>0.44700000000000001</v>
      </c>
      <c r="GQ61" s="12">
        <v>42094</v>
      </c>
      <c r="GR61">
        <v>7.93</v>
      </c>
      <c r="GS61" s="12">
        <v>41971</v>
      </c>
      <c r="GT61">
        <v>18</v>
      </c>
      <c r="GW61" s="12">
        <v>42034</v>
      </c>
      <c r="GX61">
        <v>25.07</v>
      </c>
      <c r="GY61" s="12">
        <v>41971</v>
      </c>
      <c r="GZ61">
        <v>6.54</v>
      </c>
      <c r="HA61" s="12">
        <v>41971</v>
      </c>
      <c r="HB61">
        <v>5.9749999999999996</v>
      </c>
      <c r="HC61" s="12">
        <v>41971</v>
      </c>
      <c r="HD61">
        <v>15.433999999999999</v>
      </c>
      <c r="HE61" s="12">
        <v>41971</v>
      </c>
      <c r="HF61">
        <v>11.943999999999999</v>
      </c>
      <c r="HG61" s="12">
        <v>41971</v>
      </c>
      <c r="HH61">
        <v>15.827</v>
      </c>
      <c r="HI61" s="12">
        <v>41971</v>
      </c>
      <c r="HJ61">
        <v>8.1929999999999996</v>
      </c>
      <c r="HK61" s="12">
        <v>41971</v>
      </c>
      <c r="HL61">
        <v>10</v>
      </c>
      <c r="HM61" s="12">
        <v>41971</v>
      </c>
      <c r="HN61">
        <v>11.269</v>
      </c>
      <c r="HO61" s="12">
        <v>41971</v>
      </c>
      <c r="HP61">
        <v>10.548</v>
      </c>
      <c r="HQ61" s="12">
        <v>42062</v>
      </c>
      <c r="HR61">
        <v>19</v>
      </c>
      <c r="HS61" s="12">
        <v>41971</v>
      </c>
      <c r="HT61">
        <v>103.599</v>
      </c>
      <c r="HU61" s="12">
        <v>41971</v>
      </c>
      <c r="HV61">
        <v>503.71600000000001</v>
      </c>
      <c r="HW61" s="12">
        <v>41971</v>
      </c>
      <c r="HX61">
        <v>11.832000000000001</v>
      </c>
      <c r="HY61" s="12">
        <v>41971</v>
      </c>
      <c r="HZ61">
        <v>11.875</v>
      </c>
      <c r="IA61" s="12">
        <v>41971</v>
      </c>
      <c r="IB61">
        <v>42.536000000000001</v>
      </c>
      <c r="IC61" s="12">
        <v>41971</v>
      </c>
      <c r="ID61">
        <v>3.5169999999999999</v>
      </c>
      <c r="IE61" s="12">
        <v>41971</v>
      </c>
      <c r="IF61">
        <v>2.6390000000000002</v>
      </c>
      <c r="IG61" s="12">
        <v>42277</v>
      </c>
      <c r="IH61">
        <v>0.875</v>
      </c>
      <c r="II61" s="12">
        <v>41971</v>
      </c>
      <c r="IJ61">
        <v>5.2809999999999997</v>
      </c>
      <c r="IM61" s="12">
        <v>41971</v>
      </c>
      <c r="IN61">
        <v>23.126999999999999</v>
      </c>
      <c r="IO61" s="12">
        <v>42521</v>
      </c>
      <c r="IP61">
        <v>11.159000000000001</v>
      </c>
      <c r="IQ61" s="12">
        <v>41971</v>
      </c>
      <c r="IR61">
        <v>23.053999999999998</v>
      </c>
      <c r="IU61" s="12">
        <v>41971</v>
      </c>
      <c r="IV61">
        <v>5.1664000000000003</v>
      </c>
      <c r="IY61" s="12">
        <v>41971</v>
      </c>
      <c r="IZ61">
        <v>9.6980000000000004</v>
      </c>
      <c r="JA61" s="12">
        <v>43738</v>
      </c>
      <c r="JB61">
        <v>20.93</v>
      </c>
      <c r="JC61" s="12">
        <v>41971</v>
      </c>
      <c r="JD61">
        <v>6</v>
      </c>
      <c r="JE61" s="12">
        <v>41971</v>
      </c>
      <c r="JF61">
        <v>19.2</v>
      </c>
      <c r="JI61" s="12">
        <v>41971</v>
      </c>
      <c r="JJ61">
        <v>10.555</v>
      </c>
      <c r="JM61" s="12">
        <v>41971</v>
      </c>
      <c r="JN61">
        <v>1.3580000000000001</v>
      </c>
      <c r="JO61" s="12">
        <v>41971</v>
      </c>
      <c r="JP61">
        <v>16.471</v>
      </c>
      <c r="JQ61" s="12">
        <v>43371</v>
      </c>
      <c r="JR61">
        <v>14.840999999999999</v>
      </c>
      <c r="JS61" s="12">
        <v>41971</v>
      </c>
      <c r="JT61">
        <v>5.7169999999999996</v>
      </c>
      <c r="JU61" s="12">
        <v>43189</v>
      </c>
      <c r="JV61">
        <v>61.070999999999998</v>
      </c>
      <c r="JW61" s="12">
        <v>41971</v>
      </c>
      <c r="JX61">
        <v>12.061</v>
      </c>
      <c r="JY61" s="12">
        <v>41971</v>
      </c>
      <c r="JZ61">
        <v>9.4090000000000007</v>
      </c>
      <c r="KC61" s="12">
        <v>41971</v>
      </c>
      <c r="KD61">
        <v>10.208</v>
      </c>
      <c r="KE61" s="12">
        <v>41971</v>
      </c>
      <c r="KF61">
        <v>11.054</v>
      </c>
      <c r="KI61" s="12">
        <v>41971</v>
      </c>
      <c r="KJ61">
        <v>3.8570000000000002</v>
      </c>
      <c r="KO61" s="12">
        <v>41971</v>
      </c>
      <c r="KP61">
        <v>90</v>
      </c>
      <c r="KQ61" s="12">
        <v>41971</v>
      </c>
      <c r="KR61">
        <v>35.406999999999996</v>
      </c>
      <c r="KS61" s="12">
        <v>41971</v>
      </c>
      <c r="KT61">
        <v>12.659000000000001</v>
      </c>
      <c r="KU61" s="12">
        <v>41971</v>
      </c>
      <c r="KV61">
        <v>11.066000000000001</v>
      </c>
      <c r="LC61" s="12">
        <v>41971</v>
      </c>
      <c r="LD61">
        <v>10.689</v>
      </c>
      <c r="LE61" s="12">
        <v>41971</v>
      </c>
      <c r="LF61">
        <v>6.6520000000000001</v>
      </c>
      <c r="LG61" s="12">
        <v>41971</v>
      </c>
      <c r="LH61">
        <v>13.459</v>
      </c>
      <c r="LI61" s="12">
        <v>41971</v>
      </c>
      <c r="LJ61">
        <v>24.041</v>
      </c>
      <c r="LM61" s="12">
        <v>41971</v>
      </c>
      <c r="LN61">
        <v>6.5259999999999998</v>
      </c>
      <c r="LO61" s="12">
        <v>41971</v>
      </c>
      <c r="LP61">
        <v>4.9320000000000004</v>
      </c>
      <c r="LQ61" s="12">
        <v>41971</v>
      </c>
      <c r="LR61">
        <v>19.704999999999998</v>
      </c>
      <c r="LS61" s="12">
        <v>41971</v>
      </c>
      <c r="LT61">
        <v>18.024000000000001</v>
      </c>
      <c r="LW61" s="12">
        <v>41971</v>
      </c>
      <c r="LX61">
        <v>83.941999999999993</v>
      </c>
      <c r="LY61" s="12">
        <v>41971</v>
      </c>
      <c r="LZ61">
        <v>36.097999999999999</v>
      </c>
      <c r="MA61" s="12">
        <v>41971</v>
      </c>
      <c r="MB61">
        <v>30.032</v>
      </c>
      <c r="MC61" s="12">
        <v>43434</v>
      </c>
      <c r="MD61">
        <v>14.58</v>
      </c>
      <c r="ME61" s="12">
        <v>41971</v>
      </c>
      <c r="MF61">
        <v>7.2220000000000004</v>
      </c>
      <c r="MG61" s="12">
        <v>41971</v>
      </c>
      <c r="MH61">
        <v>10.493</v>
      </c>
      <c r="MK61" s="12">
        <v>41971</v>
      </c>
      <c r="ML61">
        <v>21.484999999999999</v>
      </c>
    </row>
    <row r="62" spans="1:350" x14ac:dyDescent="0.3">
      <c r="A62" s="12">
        <v>42004</v>
      </c>
      <c r="B62" s="1">
        <v>13.907</v>
      </c>
      <c r="C62" s="1"/>
      <c r="E62" s="12">
        <v>42004</v>
      </c>
      <c r="F62" s="13">
        <v>5.0599999999999996</v>
      </c>
      <c r="G62" s="17">
        <v>42004</v>
      </c>
      <c r="H62" s="13">
        <v>4.72</v>
      </c>
      <c r="I62" s="17">
        <v>42034</v>
      </c>
      <c r="J62">
        <v>14.731999999999999</v>
      </c>
      <c r="K62" s="12">
        <v>43220</v>
      </c>
      <c r="L62">
        <v>16.408000000000001</v>
      </c>
      <c r="N62" s="12"/>
      <c r="Q62" s="12">
        <v>43404</v>
      </c>
      <c r="R62">
        <v>16.643999999999998</v>
      </c>
      <c r="S62" s="12">
        <v>42004</v>
      </c>
      <c r="T62">
        <v>12.156000000000001</v>
      </c>
      <c r="U62" s="12">
        <v>42429</v>
      </c>
      <c r="V62">
        <v>15.459</v>
      </c>
      <c r="Y62" s="12">
        <v>42004</v>
      </c>
      <c r="Z62">
        <v>8.1059999999999999</v>
      </c>
      <c r="AA62" s="12">
        <v>42004</v>
      </c>
      <c r="AB62">
        <v>17.893999999999998</v>
      </c>
      <c r="AC62" s="12">
        <v>42004</v>
      </c>
      <c r="AD62">
        <v>12.95</v>
      </c>
      <c r="AE62" s="12">
        <v>42004</v>
      </c>
      <c r="AF62">
        <v>13.028</v>
      </c>
      <c r="AG62" s="12">
        <v>42004</v>
      </c>
      <c r="AH62">
        <v>23.626999999999999</v>
      </c>
      <c r="AI62" s="12">
        <v>43220</v>
      </c>
      <c r="AJ62">
        <v>22.055</v>
      </c>
      <c r="AK62" s="12">
        <v>42004</v>
      </c>
      <c r="AL62">
        <v>9.6319999999999997</v>
      </c>
      <c r="AO62" s="12">
        <v>42004</v>
      </c>
      <c r="AP62">
        <v>1.6</v>
      </c>
      <c r="AS62" s="12">
        <v>42004</v>
      </c>
      <c r="AT62">
        <v>2.1989999999999998</v>
      </c>
      <c r="AU62" s="12">
        <v>42004</v>
      </c>
      <c r="AV62">
        <v>10.996</v>
      </c>
      <c r="AY62" s="12">
        <v>42004</v>
      </c>
      <c r="AZ62">
        <v>60.73</v>
      </c>
      <c r="BA62" s="12">
        <v>42004</v>
      </c>
      <c r="BB62">
        <v>13.557</v>
      </c>
      <c r="BC62" s="12">
        <v>42004</v>
      </c>
      <c r="BD62">
        <v>9.8729999999999993</v>
      </c>
      <c r="BE62" s="12">
        <v>42094</v>
      </c>
      <c r="BF62">
        <v>10.016999999999999</v>
      </c>
      <c r="BG62" s="12">
        <v>42004</v>
      </c>
      <c r="BH62">
        <v>9.5129999999999999</v>
      </c>
      <c r="BI62" s="12">
        <v>42004</v>
      </c>
      <c r="BJ62">
        <v>21.661999999999999</v>
      </c>
      <c r="BK62" s="12">
        <v>42004</v>
      </c>
      <c r="BL62">
        <v>11.923999999999999</v>
      </c>
      <c r="BM62" s="12">
        <v>42004</v>
      </c>
      <c r="BN62">
        <v>18.001000000000001</v>
      </c>
      <c r="BO62" s="12">
        <v>42004</v>
      </c>
      <c r="BP62">
        <v>19.132999999999999</v>
      </c>
      <c r="BQ62" s="12">
        <v>42004</v>
      </c>
      <c r="BR62">
        <v>11.01</v>
      </c>
      <c r="BS62" s="12">
        <v>42004</v>
      </c>
      <c r="BT62">
        <v>9.43</v>
      </c>
      <c r="BW62" s="12">
        <v>42004</v>
      </c>
      <c r="BX62">
        <v>13.808999999999999</v>
      </c>
      <c r="BY62" s="12">
        <v>42004</v>
      </c>
      <c r="BZ62">
        <v>16.683</v>
      </c>
      <c r="CA62" s="12">
        <v>42004</v>
      </c>
      <c r="CB62">
        <v>27.553000000000001</v>
      </c>
      <c r="CE62" s="12">
        <v>42004</v>
      </c>
      <c r="CF62">
        <v>18.506</v>
      </c>
      <c r="CG62" s="12">
        <v>42004</v>
      </c>
      <c r="CH62">
        <v>24.219000000000001</v>
      </c>
      <c r="CI62" s="12">
        <v>42004</v>
      </c>
      <c r="CJ62">
        <v>19.838000000000001</v>
      </c>
      <c r="CK62" s="12">
        <v>42004</v>
      </c>
      <c r="CL62">
        <v>4.819</v>
      </c>
      <c r="CM62" s="12">
        <v>42004</v>
      </c>
      <c r="CN62">
        <v>29.053000000000001</v>
      </c>
      <c r="CO62" s="12">
        <v>43465</v>
      </c>
      <c r="CP62">
        <v>60.564999999999998</v>
      </c>
      <c r="CQ62" s="12">
        <v>42004</v>
      </c>
      <c r="CR62">
        <v>8.9109999999999996</v>
      </c>
      <c r="CS62" s="12">
        <v>42004</v>
      </c>
      <c r="CT62">
        <v>10.884</v>
      </c>
      <c r="CU62" s="12">
        <v>42004</v>
      </c>
      <c r="CV62">
        <v>5.9059999999999997</v>
      </c>
      <c r="CW62" s="12">
        <v>42004</v>
      </c>
      <c r="CX62">
        <v>6.7160000000000002</v>
      </c>
      <c r="CY62" s="12">
        <v>42094</v>
      </c>
      <c r="CZ62">
        <v>7.4089999999999998</v>
      </c>
      <c r="DA62" s="12">
        <v>42004</v>
      </c>
      <c r="DB62">
        <v>19.832000000000001</v>
      </c>
      <c r="DC62" s="12">
        <v>42004</v>
      </c>
      <c r="DD62">
        <v>5.6470000000000002</v>
      </c>
      <c r="DE62" s="12">
        <v>42004</v>
      </c>
      <c r="DF62">
        <v>7.1449999999999996</v>
      </c>
      <c r="DG62" s="12">
        <v>42766</v>
      </c>
      <c r="DH62">
        <v>31.745999999999999</v>
      </c>
      <c r="DI62" s="12">
        <v>42004</v>
      </c>
      <c r="DJ62">
        <v>8.3330000000000002</v>
      </c>
      <c r="DK62" s="12">
        <v>42004</v>
      </c>
      <c r="DL62">
        <v>23.565999999999999</v>
      </c>
      <c r="DM62" s="12">
        <v>42429</v>
      </c>
      <c r="DN62">
        <v>2.6760000000000002</v>
      </c>
      <c r="DO62" s="12">
        <v>42004</v>
      </c>
      <c r="DP62">
        <v>7.0030000000000001</v>
      </c>
      <c r="DQ62" s="12">
        <v>42004</v>
      </c>
      <c r="DR62">
        <v>22.815999999999999</v>
      </c>
      <c r="DS62" s="12">
        <v>42034</v>
      </c>
      <c r="DT62">
        <v>10.015000000000001</v>
      </c>
      <c r="DU62" s="12">
        <v>42004</v>
      </c>
      <c r="DV62">
        <v>5.0830000000000002</v>
      </c>
      <c r="DW62" s="12">
        <v>42004</v>
      </c>
      <c r="DX62">
        <v>4.8209999999999997</v>
      </c>
      <c r="DY62" s="12">
        <v>42004</v>
      </c>
      <c r="DZ62">
        <v>11.571</v>
      </c>
      <c r="EC62" s="12">
        <v>42004</v>
      </c>
      <c r="ED62">
        <v>26.867000000000001</v>
      </c>
      <c r="EE62" s="12">
        <v>42004</v>
      </c>
      <c r="EF62">
        <v>6.6719999999999997</v>
      </c>
      <c r="EG62" s="12">
        <v>42004</v>
      </c>
      <c r="EH62">
        <v>17.398</v>
      </c>
      <c r="EI62" s="12">
        <v>42004</v>
      </c>
      <c r="EJ62">
        <v>17.265000000000001</v>
      </c>
      <c r="EK62" s="12">
        <v>42004</v>
      </c>
      <c r="EL62">
        <v>7.2320000000000002</v>
      </c>
      <c r="EM62" s="12">
        <v>42004</v>
      </c>
      <c r="EN62">
        <v>8.7949999999999999</v>
      </c>
      <c r="EQ62" s="12">
        <v>42004</v>
      </c>
      <c r="ER62">
        <v>10.414999999999999</v>
      </c>
      <c r="ES62" s="12">
        <v>42004</v>
      </c>
      <c r="ET62">
        <v>15.18</v>
      </c>
      <c r="EU62" s="12">
        <v>42004</v>
      </c>
      <c r="EV62">
        <v>3.9319999999999999</v>
      </c>
      <c r="EY62" s="12">
        <v>42004</v>
      </c>
      <c r="EZ62">
        <v>15.596</v>
      </c>
      <c r="FA62" s="12">
        <v>42004</v>
      </c>
      <c r="FB62">
        <v>13.791</v>
      </c>
      <c r="FC62" s="12">
        <v>42004</v>
      </c>
      <c r="FD62">
        <v>22.478000000000002</v>
      </c>
      <c r="FG62" s="12">
        <v>42004</v>
      </c>
      <c r="FH62">
        <v>4.694</v>
      </c>
      <c r="FI62" s="12">
        <v>42004</v>
      </c>
      <c r="FJ62">
        <v>12.401</v>
      </c>
      <c r="FK62" s="12">
        <v>42004</v>
      </c>
      <c r="FL62">
        <v>13.833</v>
      </c>
      <c r="FM62" s="12">
        <v>42004</v>
      </c>
      <c r="FN62">
        <v>10.254</v>
      </c>
      <c r="FO62" s="12">
        <v>42004</v>
      </c>
      <c r="FP62">
        <v>46.77</v>
      </c>
      <c r="FQ62" s="12">
        <v>43496</v>
      </c>
      <c r="FR62">
        <v>17.641999999999999</v>
      </c>
      <c r="FS62" s="12">
        <v>42004</v>
      </c>
      <c r="FT62">
        <v>2.3260000000000001</v>
      </c>
      <c r="FU62" s="12">
        <v>42004</v>
      </c>
      <c r="FV62">
        <v>10.442</v>
      </c>
      <c r="FW62" s="12">
        <v>42004</v>
      </c>
      <c r="FX62">
        <v>13.888999999999999</v>
      </c>
      <c r="FY62" s="12">
        <v>42853</v>
      </c>
      <c r="FZ62">
        <v>2.7610000000000001</v>
      </c>
      <c r="GA62" s="12">
        <v>42004</v>
      </c>
      <c r="GB62">
        <v>15.704000000000001</v>
      </c>
      <c r="GC62" s="12">
        <v>42004</v>
      </c>
      <c r="GD62">
        <v>15.788</v>
      </c>
      <c r="GE62" s="12">
        <v>43159</v>
      </c>
      <c r="GF62">
        <v>18.588999999999999</v>
      </c>
      <c r="GI62" s="12">
        <v>42004</v>
      </c>
      <c r="GJ62">
        <v>11.638</v>
      </c>
      <c r="GK62" s="12">
        <v>42004</v>
      </c>
      <c r="GL62">
        <v>9.452</v>
      </c>
      <c r="GM62" s="12">
        <v>42004</v>
      </c>
      <c r="GN62">
        <v>28.616</v>
      </c>
      <c r="GO62" s="12">
        <v>42489</v>
      </c>
      <c r="GP62">
        <v>0.49</v>
      </c>
      <c r="GQ62" s="12">
        <v>42124</v>
      </c>
      <c r="GR62">
        <v>7.36</v>
      </c>
      <c r="GS62" s="12">
        <v>42004</v>
      </c>
      <c r="GT62">
        <v>17.75</v>
      </c>
      <c r="GW62" s="12">
        <v>42062</v>
      </c>
      <c r="GX62">
        <v>25.228000000000002</v>
      </c>
      <c r="GY62" s="12">
        <v>42004</v>
      </c>
      <c r="GZ62">
        <v>6.1</v>
      </c>
      <c r="HA62" s="12">
        <v>42004</v>
      </c>
      <c r="HB62">
        <v>5.2409999999999997</v>
      </c>
      <c r="HC62" s="12">
        <v>42004</v>
      </c>
      <c r="HD62">
        <v>14.321</v>
      </c>
      <c r="HE62" s="12">
        <v>42004</v>
      </c>
      <c r="HF62">
        <v>10.335000000000001</v>
      </c>
      <c r="HG62" s="12">
        <v>42004</v>
      </c>
      <c r="HH62">
        <v>14.292</v>
      </c>
      <c r="HI62" s="12">
        <v>42004</v>
      </c>
      <c r="HJ62">
        <v>8.3840000000000003</v>
      </c>
      <c r="HK62" s="12">
        <v>42004</v>
      </c>
      <c r="HL62">
        <v>9</v>
      </c>
      <c r="HM62" s="12">
        <v>42004</v>
      </c>
      <c r="HN62">
        <v>6.8289999999999997</v>
      </c>
      <c r="HO62" s="12">
        <v>42004</v>
      </c>
      <c r="HP62">
        <v>6.5809999999999995</v>
      </c>
      <c r="HQ62" s="12">
        <v>42094</v>
      </c>
      <c r="HR62">
        <v>17</v>
      </c>
      <c r="HS62" s="12">
        <v>42004</v>
      </c>
      <c r="HT62">
        <v>94.174999999999997</v>
      </c>
      <c r="HU62" s="12">
        <v>42004</v>
      </c>
      <c r="HV62">
        <v>390.26600000000002</v>
      </c>
      <c r="HW62" s="12">
        <v>42004</v>
      </c>
      <c r="HX62">
        <v>9.3390000000000004</v>
      </c>
      <c r="HY62" s="12">
        <v>42004</v>
      </c>
      <c r="HZ62">
        <v>9.2959999999999994</v>
      </c>
      <c r="IA62" s="12">
        <v>42004</v>
      </c>
      <c r="IB62">
        <v>39.948999999999998</v>
      </c>
      <c r="IC62" s="12">
        <v>42004</v>
      </c>
      <c r="ID62">
        <v>2.8490000000000002</v>
      </c>
      <c r="IE62" s="12">
        <v>42004</v>
      </c>
      <c r="IF62">
        <v>2.0609999999999999</v>
      </c>
      <c r="IG62" s="12">
        <v>42307</v>
      </c>
      <c r="IH62">
        <v>1.0549999999999999</v>
      </c>
      <c r="II62" s="12">
        <v>42004</v>
      </c>
      <c r="IJ62">
        <v>4.2050000000000001</v>
      </c>
      <c r="IM62" s="12">
        <v>42004</v>
      </c>
      <c r="IN62">
        <v>22.760999999999999</v>
      </c>
      <c r="IO62" s="12">
        <v>42551</v>
      </c>
      <c r="IP62">
        <v>13.618</v>
      </c>
      <c r="IQ62" s="12">
        <v>42004</v>
      </c>
      <c r="IR62">
        <v>24.024000000000001</v>
      </c>
      <c r="IU62" s="12">
        <v>42004</v>
      </c>
      <c r="IV62">
        <v>4.3499999999999996</v>
      </c>
      <c r="IY62" s="12">
        <v>42004</v>
      </c>
      <c r="IZ62">
        <v>9.8940000000000001</v>
      </c>
      <c r="JA62" s="12">
        <v>43769</v>
      </c>
      <c r="JB62">
        <v>20.28</v>
      </c>
      <c r="JC62" s="12">
        <v>42004</v>
      </c>
      <c r="JD62">
        <v>5.2</v>
      </c>
      <c r="JE62" s="12">
        <v>42004</v>
      </c>
      <c r="JF62">
        <v>16.95</v>
      </c>
      <c r="JI62" s="12">
        <v>42004</v>
      </c>
      <c r="JJ62">
        <v>9.5990000000000002</v>
      </c>
      <c r="JM62" s="12">
        <v>42004</v>
      </c>
      <c r="JN62">
        <v>1.2310000000000001</v>
      </c>
      <c r="JO62" s="12">
        <v>42004</v>
      </c>
      <c r="JP62">
        <v>14.585000000000001</v>
      </c>
      <c r="JQ62" s="12">
        <v>43404</v>
      </c>
      <c r="JR62">
        <v>13.989000000000001</v>
      </c>
      <c r="JS62" s="12">
        <v>42004</v>
      </c>
      <c r="JT62">
        <v>5.4240000000000004</v>
      </c>
      <c r="JU62" s="12">
        <v>43220</v>
      </c>
      <c r="JV62">
        <v>63.375999999999998</v>
      </c>
      <c r="JW62" s="12">
        <v>42004</v>
      </c>
      <c r="JX62">
        <v>10.93</v>
      </c>
      <c r="JY62" s="12">
        <v>42004</v>
      </c>
      <c r="JZ62">
        <v>9.7259999999999991</v>
      </c>
      <c r="KC62" s="12">
        <v>42004</v>
      </c>
      <c r="KD62">
        <v>10.555</v>
      </c>
      <c r="KE62" s="12">
        <v>42004</v>
      </c>
      <c r="KF62">
        <v>11.013999999999999</v>
      </c>
      <c r="KI62" s="12">
        <v>42004</v>
      </c>
      <c r="KJ62">
        <v>3.0750000000000002</v>
      </c>
      <c r="KO62" s="12">
        <v>42004</v>
      </c>
      <c r="KP62">
        <v>70.5</v>
      </c>
      <c r="KQ62" s="12">
        <v>42004</v>
      </c>
      <c r="KR62">
        <v>30.6</v>
      </c>
      <c r="KS62" s="12">
        <v>42004</v>
      </c>
      <c r="KT62">
        <v>11.972</v>
      </c>
      <c r="KU62" s="12">
        <v>42004</v>
      </c>
      <c r="KV62">
        <v>10.462</v>
      </c>
      <c r="LC62" s="12">
        <v>42004</v>
      </c>
      <c r="LD62">
        <v>10.566000000000001</v>
      </c>
      <c r="LE62" s="12">
        <v>42004</v>
      </c>
      <c r="LF62">
        <v>7.08</v>
      </c>
      <c r="LG62" s="12">
        <v>42004</v>
      </c>
      <c r="LH62">
        <v>13.49</v>
      </c>
      <c r="LI62" s="12">
        <v>42004</v>
      </c>
      <c r="LJ62">
        <v>22.469000000000001</v>
      </c>
      <c r="LM62" s="12">
        <v>42004</v>
      </c>
      <c r="LN62">
        <v>11.891999999999999</v>
      </c>
      <c r="LO62" s="12">
        <v>42004</v>
      </c>
      <c r="LP62">
        <v>4.79</v>
      </c>
      <c r="LQ62" s="12">
        <v>42004</v>
      </c>
      <c r="LR62">
        <v>18.529</v>
      </c>
      <c r="LS62" s="12">
        <v>42004</v>
      </c>
      <c r="LT62">
        <v>17.329999999999998</v>
      </c>
      <c r="LW62" s="12">
        <v>42004</v>
      </c>
      <c r="LX62">
        <v>83.941999999999993</v>
      </c>
      <c r="LY62" s="12">
        <v>42004</v>
      </c>
      <c r="LZ62">
        <v>32.470999999999997</v>
      </c>
      <c r="MA62" s="12">
        <v>42004</v>
      </c>
      <c r="MB62">
        <v>32.192999999999998</v>
      </c>
      <c r="ME62" s="12">
        <v>42004</v>
      </c>
      <c r="MF62">
        <v>6.548</v>
      </c>
      <c r="MG62" s="12">
        <v>42004</v>
      </c>
      <c r="MH62">
        <v>10.596</v>
      </c>
      <c r="MK62" s="12">
        <v>42004</v>
      </c>
      <c r="ML62">
        <v>18.350000000000001</v>
      </c>
    </row>
    <row r="63" spans="1:350" x14ac:dyDescent="0.3">
      <c r="A63" s="12">
        <v>42034</v>
      </c>
      <c r="B63" s="1">
        <v>15.204000000000001</v>
      </c>
      <c r="C63" s="1"/>
      <c r="E63" s="12">
        <v>42034</v>
      </c>
      <c r="F63" s="13">
        <v>3.85</v>
      </c>
      <c r="G63" s="17">
        <v>42034</v>
      </c>
      <c r="H63" s="13">
        <v>5.5529999999999999</v>
      </c>
      <c r="I63" s="17">
        <v>42062</v>
      </c>
      <c r="J63">
        <v>14.914999999999999</v>
      </c>
      <c r="K63" s="12">
        <v>43251</v>
      </c>
      <c r="L63">
        <v>14.721</v>
      </c>
      <c r="N63" s="12"/>
      <c r="Q63" s="12">
        <v>43434</v>
      </c>
      <c r="R63">
        <v>16.824000000000002</v>
      </c>
      <c r="S63" s="12">
        <v>42034</v>
      </c>
      <c r="T63">
        <v>12.058</v>
      </c>
      <c r="U63" s="12">
        <v>42460</v>
      </c>
      <c r="V63">
        <v>20.268000000000001</v>
      </c>
      <c r="Y63" s="12">
        <v>42034</v>
      </c>
      <c r="Z63">
        <v>7.4889999999999999</v>
      </c>
      <c r="AA63" s="12">
        <v>42034</v>
      </c>
      <c r="AB63">
        <v>15.553000000000001</v>
      </c>
      <c r="AC63" s="12">
        <v>42034</v>
      </c>
      <c r="AD63">
        <v>12.647</v>
      </c>
      <c r="AE63" s="12">
        <v>42034</v>
      </c>
      <c r="AF63">
        <v>12.541</v>
      </c>
      <c r="AG63" s="12">
        <v>42034</v>
      </c>
      <c r="AH63">
        <v>25.213999999999999</v>
      </c>
      <c r="AI63" s="12">
        <v>43251</v>
      </c>
      <c r="AJ63">
        <v>20.916</v>
      </c>
      <c r="AK63" s="12">
        <v>42034</v>
      </c>
      <c r="AL63">
        <v>8.3970000000000002</v>
      </c>
      <c r="AO63" s="12">
        <v>42034</v>
      </c>
      <c r="AP63">
        <v>1.58</v>
      </c>
      <c r="AS63" s="12">
        <v>42034</v>
      </c>
      <c r="AT63">
        <v>1.6099999999999999</v>
      </c>
      <c r="AU63" s="12">
        <v>42034</v>
      </c>
      <c r="AV63">
        <v>8.9280000000000008</v>
      </c>
      <c r="AY63" s="12">
        <v>42034</v>
      </c>
      <c r="AZ63">
        <v>62.152000000000001</v>
      </c>
      <c r="BA63" s="12">
        <v>42034</v>
      </c>
      <c r="BB63">
        <v>9.6449999999999996</v>
      </c>
      <c r="BC63" s="12">
        <v>42034</v>
      </c>
      <c r="BD63">
        <v>9.1519999999999992</v>
      </c>
      <c r="BE63" s="12">
        <v>42124</v>
      </c>
      <c r="BF63">
        <v>8.0549999999999997</v>
      </c>
      <c r="BG63" s="12">
        <v>42034</v>
      </c>
      <c r="BH63">
        <v>8.0039999999999996</v>
      </c>
      <c r="BI63" s="12">
        <v>42034</v>
      </c>
      <c r="BJ63">
        <v>22.009</v>
      </c>
      <c r="BK63" s="12">
        <v>42034</v>
      </c>
      <c r="BL63">
        <v>11.823</v>
      </c>
      <c r="BM63" s="12">
        <v>42034</v>
      </c>
      <c r="BN63">
        <v>15.818999999999999</v>
      </c>
      <c r="BO63" s="12">
        <v>42034</v>
      </c>
      <c r="BP63">
        <v>18.367000000000001</v>
      </c>
      <c r="BQ63" s="12">
        <v>42034</v>
      </c>
      <c r="BR63">
        <v>9.9719999999999995</v>
      </c>
      <c r="BS63" s="12">
        <v>42034</v>
      </c>
      <c r="BT63">
        <v>8.5470000000000006</v>
      </c>
      <c r="BW63" s="12">
        <v>42034</v>
      </c>
      <c r="BX63">
        <v>10.958</v>
      </c>
      <c r="BY63" s="12">
        <v>42034</v>
      </c>
      <c r="BZ63">
        <v>15.194000000000001</v>
      </c>
      <c r="CA63" s="12">
        <v>42034</v>
      </c>
      <c r="CB63">
        <v>23.946000000000002</v>
      </c>
      <c r="CE63" s="12">
        <v>42034</v>
      </c>
      <c r="CF63">
        <v>21.542999999999999</v>
      </c>
      <c r="CG63" s="12">
        <v>42034</v>
      </c>
      <c r="CH63">
        <v>20.591999999999999</v>
      </c>
      <c r="CI63" s="12">
        <v>42034</v>
      </c>
      <c r="CJ63">
        <v>13.393000000000001</v>
      </c>
      <c r="CK63" s="12">
        <v>42034</v>
      </c>
      <c r="CL63">
        <v>3.7279999999999998</v>
      </c>
      <c r="CM63" s="12">
        <v>42034</v>
      </c>
      <c r="CN63">
        <v>31.082999999999998</v>
      </c>
      <c r="CO63" s="12">
        <v>43496</v>
      </c>
      <c r="CP63">
        <v>63.356000000000002</v>
      </c>
      <c r="CQ63" s="12">
        <v>42034</v>
      </c>
      <c r="CR63">
        <v>8.7100000000000009</v>
      </c>
      <c r="CS63" s="12">
        <v>42034</v>
      </c>
      <c r="CT63">
        <v>11.186999999999999</v>
      </c>
      <c r="CU63" s="12">
        <v>42034</v>
      </c>
      <c r="CV63">
        <v>4.734</v>
      </c>
      <c r="CW63" s="12">
        <v>42034</v>
      </c>
      <c r="CX63">
        <v>6.2140000000000004</v>
      </c>
      <c r="CY63" s="12">
        <v>42124</v>
      </c>
      <c r="CZ63">
        <v>7.31</v>
      </c>
      <c r="DA63" s="12">
        <v>42034</v>
      </c>
      <c r="DB63">
        <v>18.254999999999999</v>
      </c>
      <c r="DC63" s="12">
        <v>42034</v>
      </c>
      <c r="DD63">
        <v>4.9950000000000001</v>
      </c>
      <c r="DE63" s="12">
        <v>42034</v>
      </c>
      <c r="DF63">
        <v>5.3629999999999995</v>
      </c>
      <c r="DG63" s="12">
        <v>42794</v>
      </c>
      <c r="DH63">
        <v>28.969000000000001</v>
      </c>
      <c r="DI63" s="12">
        <v>42034</v>
      </c>
      <c r="DJ63">
        <v>6.4859999999999998</v>
      </c>
      <c r="DK63" s="12">
        <v>42034</v>
      </c>
      <c r="DL63">
        <v>22.890999999999998</v>
      </c>
      <c r="DM63" s="12">
        <v>42460</v>
      </c>
      <c r="DN63">
        <v>2.6189999999999998</v>
      </c>
      <c r="DO63" s="12">
        <v>42034</v>
      </c>
      <c r="DP63">
        <v>6.7610000000000001</v>
      </c>
      <c r="DQ63" s="12">
        <v>42034</v>
      </c>
      <c r="DR63">
        <v>23.956</v>
      </c>
      <c r="DS63" s="12">
        <v>42062</v>
      </c>
      <c r="DT63">
        <v>11.234999999999999</v>
      </c>
      <c r="DU63" s="12">
        <v>42034</v>
      </c>
      <c r="DV63">
        <v>4.5869999999999997</v>
      </c>
      <c r="DW63" s="12">
        <v>42034</v>
      </c>
      <c r="DX63">
        <v>3.8369999999999997</v>
      </c>
      <c r="DY63" s="12">
        <v>42034</v>
      </c>
      <c r="DZ63">
        <v>8.6780000000000008</v>
      </c>
      <c r="EC63" s="12">
        <v>42034</v>
      </c>
      <c r="ED63">
        <v>26.693999999999999</v>
      </c>
      <c r="EE63" s="12">
        <v>42034</v>
      </c>
      <c r="EF63">
        <v>5.6760000000000002</v>
      </c>
      <c r="EG63" s="12">
        <v>42034</v>
      </c>
      <c r="EH63">
        <v>15.9</v>
      </c>
      <c r="EI63" s="12">
        <v>42034</v>
      </c>
      <c r="EJ63">
        <v>14.911</v>
      </c>
      <c r="EK63" s="12">
        <v>42034</v>
      </c>
      <c r="EL63">
        <v>6.6289999999999996</v>
      </c>
      <c r="EM63" s="12">
        <v>42034</v>
      </c>
      <c r="EN63">
        <v>8.3640000000000008</v>
      </c>
      <c r="EQ63" s="12">
        <v>42034</v>
      </c>
      <c r="ER63">
        <v>9.0690000000000008</v>
      </c>
      <c r="ES63" s="12">
        <v>42034</v>
      </c>
      <c r="ET63">
        <v>12.22</v>
      </c>
      <c r="EU63" s="12">
        <v>42034</v>
      </c>
      <c r="EV63">
        <v>3.58</v>
      </c>
      <c r="EY63" s="12">
        <v>42034</v>
      </c>
      <c r="EZ63">
        <v>14.01</v>
      </c>
      <c r="FA63" s="12">
        <v>42034</v>
      </c>
      <c r="FB63">
        <v>15.1</v>
      </c>
      <c r="FC63" s="12">
        <v>42034</v>
      </c>
      <c r="FD63">
        <v>22.204000000000001</v>
      </c>
      <c r="FG63" s="12">
        <v>42034</v>
      </c>
      <c r="FH63">
        <v>4.569</v>
      </c>
      <c r="FI63" s="12">
        <v>42034</v>
      </c>
      <c r="FJ63">
        <v>11.565</v>
      </c>
      <c r="FK63" s="12">
        <v>42034</v>
      </c>
      <c r="FL63">
        <v>13.159000000000001</v>
      </c>
      <c r="FM63" s="12">
        <v>42034</v>
      </c>
      <c r="FN63">
        <v>10.474</v>
      </c>
      <c r="FO63" s="12">
        <v>42034</v>
      </c>
      <c r="FP63">
        <v>35.323999999999998</v>
      </c>
      <c r="FQ63" s="12">
        <v>43524</v>
      </c>
      <c r="FR63">
        <v>17.138000000000002</v>
      </c>
      <c r="FS63" s="12">
        <v>42034</v>
      </c>
      <c r="FT63">
        <v>2.1890000000000001</v>
      </c>
      <c r="FU63" s="12">
        <v>42034</v>
      </c>
      <c r="FV63">
        <v>9.3780000000000001</v>
      </c>
      <c r="FW63" s="12">
        <v>42034</v>
      </c>
      <c r="FX63">
        <v>12.54</v>
      </c>
      <c r="FY63" s="12">
        <v>42886</v>
      </c>
      <c r="FZ63">
        <v>2.6539999999999999</v>
      </c>
      <c r="GA63" s="12">
        <v>42034</v>
      </c>
      <c r="GB63">
        <v>14.984999999999999</v>
      </c>
      <c r="GC63" s="12">
        <v>42034</v>
      </c>
      <c r="GD63">
        <v>13.135</v>
      </c>
      <c r="GE63" s="12">
        <v>43189</v>
      </c>
      <c r="GF63">
        <v>19.823</v>
      </c>
      <c r="GI63" s="12">
        <v>42034</v>
      </c>
      <c r="GJ63">
        <v>10.728999999999999</v>
      </c>
      <c r="GK63" s="12">
        <v>42034</v>
      </c>
      <c r="GL63">
        <v>8.5839999999999996</v>
      </c>
      <c r="GM63" s="12">
        <v>42034</v>
      </c>
      <c r="GN63">
        <v>26.036999999999999</v>
      </c>
      <c r="GO63" s="12">
        <v>42521</v>
      </c>
      <c r="GP63">
        <v>0.53100000000000003</v>
      </c>
      <c r="GQ63" s="12">
        <v>42153</v>
      </c>
      <c r="GR63">
        <v>8.57</v>
      </c>
      <c r="GS63" s="12">
        <v>42034</v>
      </c>
      <c r="GT63">
        <v>17.25</v>
      </c>
      <c r="GW63" s="12">
        <v>42094</v>
      </c>
      <c r="GX63">
        <v>24.001999999999999</v>
      </c>
      <c r="GY63" s="12">
        <v>42034</v>
      </c>
      <c r="GZ63">
        <v>5</v>
      </c>
      <c r="HA63" s="12">
        <v>42034</v>
      </c>
      <c r="HB63">
        <v>4.8289999999999997</v>
      </c>
      <c r="HC63" s="12">
        <v>42034</v>
      </c>
      <c r="HD63">
        <v>14.547000000000001</v>
      </c>
      <c r="HE63" s="12">
        <v>42034</v>
      </c>
      <c r="HF63">
        <v>9.4710000000000001</v>
      </c>
      <c r="HG63" s="12">
        <v>42034</v>
      </c>
      <c r="HH63">
        <v>14.068</v>
      </c>
      <c r="HI63" s="12">
        <v>42034</v>
      </c>
      <c r="HJ63">
        <v>8.7840000000000007</v>
      </c>
      <c r="HK63" s="12">
        <v>42034</v>
      </c>
      <c r="HL63">
        <v>7</v>
      </c>
      <c r="HM63" s="12">
        <v>42034</v>
      </c>
      <c r="HN63">
        <v>4.03</v>
      </c>
      <c r="HO63" s="12">
        <v>42034</v>
      </c>
      <c r="HP63">
        <v>3.8140000000000001</v>
      </c>
      <c r="HQ63" s="12">
        <v>42124</v>
      </c>
      <c r="HR63">
        <v>18</v>
      </c>
      <c r="HS63" s="12">
        <v>42034</v>
      </c>
      <c r="HT63">
        <v>85.075000000000003</v>
      </c>
      <c r="HU63" s="12">
        <v>42034</v>
      </c>
      <c r="HV63">
        <v>235.97499999999999</v>
      </c>
      <c r="HW63" s="12">
        <v>42034</v>
      </c>
      <c r="HX63">
        <v>7.83</v>
      </c>
      <c r="HY63" s="12">
        <v>42034</v>
      </c>
      <c r="HZ63">
        <v>7.5890000000000004</v>
      </c>
      <c r="IA63" s="12">
        <v>42034</v>
      </c>
      <c r="IB63">
        <v>31.538</v>
      </c>
      <c r="IC63" s="12">
        <v>42034</v>
      </c>
      <c r="ID63">
        <v>2.2930000000000001</v>
      </c>
      <c r="IE63" s="12">
        <v>42034</v>
      </c>
      <c r="IF63">
        <v>1.9359999999999999</v>
      </c>
      <c r="IG63" s="12">
        <v>42338</v>
      </c>
      <c r="IH63">
        <v>1.0049999999999999</v>
      </c>
      <c r="II63" s="12">
        <v>42034</v>
      </c>
      <c r="IJ63">
        <v>3.032</v>
      </c>
      <c r="IM63" s="12">
        <v>42034</v>
      </c>
      <c r="IN63">
        <v>20.29</v>
      </c>
      <c r="IO63" s="12">
        <v>42580</v>
      </c>
      <c r="IP63">
        <v>15.733000000000001</v>
      </c>
      <c r="IQ63" s="12">
        <v>42034</v>
      </c>
      <c r="IR63">
        <v>24.498000000000001</v>
      </c>
      <c r="IU63" s="12">
        <v>42034</v>
      </c>
      <c r="IV63">
        <v>3.6478000000000002</v>
      </c>
      <c r="IY63" s="12">
        <v>42034</v>
      </c>
      <c r="IZ63">
        <v>9.6920000000000002</v>
      </c>
      <c r="JA63" s="12">
        <v>43798</v>
      </c>
      <c r="JB63">
        <v>21.45</v>
      </c>
      <c r="JC63" s="12">
        <v>42034</v>
      </c>
      <c r="JD63">
        <v>5</v>
      </c>
      <c r="JE63" s="12">
        <v>42034</v>
      </c>
      <c r="JF63">
        <v>10.65</v>
      </c>
      <c r="JI63" s="12">
        <v>42034</v>
      </c>
      <c r="JJ63">
        <v>9.0020000000000007</v>
      </c>
      <c r="JM63" s="12">
        <v>42034</v>
      </c>
      <c r="JN63">
        <v>1.0960000000000001</v>
      </c>
      <c r="JO63" s="12">
        <v>42034</v>
      </c>
      <c r="JP63">
        <v>11.404</v>
      </c>
      <c r="JQ63" s="12">
        <v>43434</v>
      </c>
      <c r="JR63">
        <v>14.384</v>
      </c>
      <c r="JS63" s="12">
        <v>42034</v>
      </c>
      <c r="JT63">
        <v>5.5010000000000003</v>
      </c>
      <c r="JU63" s="12">
        <v>43251</v>
      </c>
      <c r="JV63">
        <v>53.801000000000002</v>
      </c>
      <c r="JW63" s="12">
        <v>42034</v>
      </c>
      <c r="JX63">
        <v>10.27</v>
      </c>
      <c r="JY63" s="12">
        <v>42034</v>
      </c>
      <c r="JZ63">
        <v>8.5960000000000001</v>
      </c>
      <c r="KC63" s="12">
        <v>42034</v>
      </c>
      <c r="KD63">
        <v>10.199</v>
      </c>
      <c r="KE63" s="12">
        <v>42034</v>
      </c>
      <c r="KF63">
        <v>11.47</v>
      </c>
      <c r="KI63" s="12">
        <v>42034</v>
      </c>
      <c r="KJ63">
        <v>2.516</v>
      </c>
      <c r="KO63" s="12">
        <v>42034</v>
      </c>
      <c r="KP63">
        <v>51.5</v>
      </c>
      <c r="KQ63" s="12">
        <v>42034</v>
      </c>
      <c r="KR63">
        <v>29.1</v>
      </c>
      <c r="KS63" s="12">
        <v>42034</v>
      </c>
      <c r="KT63">
        <v>10.941000000000001</v>
      </c>
      <c r="KU63" s="12">
        <v>42034</v>
      </c>
      <c r="KV63">
        <v>10.516</v>
      </c>
      <c r="LC63" s="12">
        <v>42034</v>
      </c>
      <c r="LD63">
        <v>10.134</v>
      </c>
      <c r="LE63" s="12">
        <v>42034</v>
      </c>
      <c r="LF63">
        <v>6.6929999999999996</v>
      </c>
      <c r="LG63" s="12">
        <v>42034</v>
      </c>
      <c r="LH63">
        <v>10.959</v>
      </c>
      <c r="LI63" s="12">
        <v>42034</v>
      </c>
      <c r="LJ63">
        <v>23.146000000000001</v>
      </c>
      <c r="LM63" s="12">
        <v>42034</v>
      </c>
      <c r="LN63">
        <v>16.446000000000002</v>
      </c>
      <c r="LO63" s="12">
        <v>42034</v>
      </c>
      <c r="LP63">
        <v>3.177</v>
      </c>
      <c r="LQ63" s="12">
        <v>42034</v>
      </c>
      <c r="LR63">
        <v>15.738</v>
      </c>
      <c r="LS63" s="12">
        <v>42034</v>
      </c>
      <c r="LT63">
        <v>14.914999999999999</v>
      </c>
      <c r="LW63" s="12">
        <v>42034</v>
      </c>
      <c r="LX63">
        <v>58.759</v>
      </c>
      <c r="LY63" s="12">
        <v>42034</v>
      </c>
      <c r="LZ63">
        <v>34.840000000000003</v>
      </c>
      <c r="MA63" s="12">
        <v>42034</v>
      </c>
      <c r="MB63">
        <v>29.193999999999999</v>
      </c>
      <c r="ME63" s="12">
        <v>42034</v>
      </c>
      <c r="MF63">
        <v>7.6079999999999997</v>
      </c>
      <c r="MG63" s="12">
        <v>42034</v>
      </c>
      <c r="MH63">
        <v>11.081</v>
      </c>
      <c r="MK63" s="12">
        <v>42034</v>
      </c>
      <c r="ML63">
        <v>12.856999999999999</v>
      </c>
    </row>
    <row r="64" spans="1:350" x14ac:dyDescent="0.3">
      <c r="A64" s="12">
        <v>42062</v>
      </c>
      <c r="B64" s="1">
        <v>15.816000000000001</v>
      </c>
      <c r="C64" s="1"/>
      <c r="E64" s="12">
        <v>42062</v>
      </c>
      <c r="F64" s="13">
        <v>5.58</v>
      </c>
      <c r="G64" s="17">
        <v>42062</v>
      </c>
      <c r="H64" s="13">
        <v>6.0279999999999996</v>
      </c>
      <c r="I64" s="17">
        <v>42094</v>
      </c>
      <c r="J64">
        <v>15.464</v>
      </c>
      <c r="K64" s="12">
        <v>43280</v>
      </c>
      <c r="L64">
        <v>14.324999999999999</v>
      </c>
      <c r="N64" s="12"/>
      <c r="Q64" s="12">
        <v>43465</v>
      </c>
      <c r="R64">
        <v>16.994</v>
      </c>
      <c r="S64" s="12">
        <v>42062</v>
      </c>
      <c r="T64">
        <v>8.2840000000000007</v>
      </c>
      <c r="U64" s="12">
        <v>42489</v>
      </c>
      <c r="V64">
        <v>21.048999999999999</v>
      </c>
      <c r="Y64" s="12">
        <v>42062</v>
      </c>
      <c r="Z64">
        <v>8.2629999999999999</v>
      </c>
      <c r="AA64" s="12">
        <v>42062</v>
      </c>
      <c r="AB64">
        <v>17.923000000000002</v>
      </c>
      <c r="AC64" s="12">
        <v>42062</v>
      </c>
      <c r="AD64">
        <v>14.163</v>
      </c>
      <c r="AE64" s="12">
        <v>42062</v>
      </c>
      <c r="AF64">
        <v>14.05</v>
      </c>
      <c r="AG64" s="12">
        <v>42062</v>
      </c>
      <c r="AH64">
        <v>27.548999999999999</v>
      </c>
      <c r="AI64" s="12">
        <v>43280</v>
      </c>
      <c r="AJ64">
        <v>19.631</v>
      </c>
      <c r="AK64" s="12">
        <v>42062</v>
      </c>
      <c r="AL64">
        <v>8.7469999999999999</v>
      </c>
      <c r="AS64" s="12">
        <v>42062</v>
      </c>
      <c r="AT64">
        <v>1.7610000000000001</v>
      </c>
      <c r="AU64" s="12">
        <v>42062</v>
      </c>
      <c r="AV64">
        <v>10.180999999999999</v>
      </c>
      <c r="AY64" s="12">
        <v>42062</v>
      </c>
      <c r="AZ64">
        <v>62.2</v>
      </c>
      <c r="BA64" s="12">
        <v>42062</v>
      </c>
      <c r="BB64">
        <v>9.9160000000000004</v>
      </c>
      <c r="BC64" s="12">
        <v>42062</v>
      </c>
      <c r="BD64">
        <v>10.161</v>
      </c>
      <c r="BE64" s="12">
        <v>42153</v>
      </c>
      <c r="BF64">
        <v>8.26</v>
      </c>
      <c r="BG64" s="12">
        <v>42062</v>
      </c>
      <c r="BH64">
        <v>8.3520000000000003</v>
      </c>
      <c r="BI64" s="12">
        <v>42062</v>
      </c>
      <c r="BJ64">
        <v>19.355</v>
      </c>
      <c r="BK64" s="12">
        <v>42062</v>
      </c>
      <c r="BL64">
        <v>12.899000000000001</v>
      </c>
      <c r="BM64" s="12">
        <v>42062</v>
      </c>
      <c r="BN64">
        <v>15.811999999999999</v>
      </c>
      <c r="BO64" s="12">
        <v>42062</v>
      </c>
      <c r="BP64">
        <v>20.529</v>
      </c>
      <c r="BQ64" s="12">
        <v>42062</v>
      </c>
      <c r="BR64">
        <v>10.212</v>
      </c>
      <c r="BS64" s="12">
        <v>42062</v>
      </c>
      <c r="BT64">
        <v>9.3149999999999995</v>
      </c>
      <c r="BW64" s="12">
        <v>42062</v>
      </c>
      <c r="BX64">
        <v>9.2560000000000002</v>
      </c>
      <c r="BY64" s="12">
        <v>42062</v>
      </c>
      <c r="BZ64">
        <v>16.754999999999999</v>
      </c>
      <c r="CA64" s="12">
        <v>42062</v>
      </c>
      <c r="CB64">
        <v>26.478999999999999</v>
      </c>
      <c r="CE64" s="12">
        <v>42062</v>
      </c>
      <c r="CF64">
        <v>24.292000000000002</v>
      </c>
      <c r="CG64" s="12">
        <v>42062</v>
      </c>
      <c r="CH64">
        <v>23.748999999999999</v>
      </c>
      <c r="CI64" s="12">
        <v>42062</v>
      </c>
      <c r="CJ64">
        <v>15.850999999999999</v>
      </c>
      <c r="CK64" s="12">
        <v>42062</v>
      </c>
      <c r="CL64">
        <v>4.6150000000000002</v>
      </c>
      <c r="CM64" s="12">
        <v>42062</v>
      </c>
      <c r="CN64">
        <v>31.038</v>
      </c>
      <c r="CO64" s="12">
        <v>43524</v>
      </c>
      <c r="CP64">
        <v>57.813000000000002</v>
      </c>
      <c r="CQ64" s="12">
        <v>42062</v>
      </c>
      <c r="CR64">
        <v>9.33</v>
      </c>
      <c r="CS64" s="12">
        <v>42062</v>
      </c>
      <c r="CT64">
        <v>10.445</v>
      </c>
      <c r="CU64" s="12">
        <v>42062</v>
      </c>
      <c r="CV64">
        <v>4.0860000000000003</v>
      </c>
      <c r="CW64" s="12">
        <v>42062</v>
      </c>
      <c r="CX64">
        <v>6.4009999999999998</v>
      </c>
      <c r="CY64" s="12">
        <v>42153</v>
      </c>
      <c r="CZ64">
        <v>6.2690000000000001</v>
      </c>
      <c r="DA64" s="12">
        <v>42062</v>
      </c>
      <c r="DB64">
        <v>19.579999999999998</v>
      </c>
      <c r="DC64" s="12">
        <v>42062</v>
      </c>
      <c r="DD64">
        <v>5.2089999999999996</v>
      </c>
      <c r="DE64" s="12">
        <v>42062</v>
      </c>
      <c r="DF64">
        <v>6.0529999999999999</v>
      </c>
      <c r="DG64" s="12">
        <v>42825</v>
      </c>
      <c r="DH64">
        <v>17.856999999999999</v>
      </c>
      <c r="DI64" s="12">
        <v>42062</v>
      </c>
      <c r="DJ64">
        <v>8.5060000000000002</v>
      </c>
      <c r="DK64" s="12">
        <v>42062</v>
      </c>
      <c r="DL64">
        <v>24.009</v>
      </c>
      <c r="DM64" s="12">
        <v>42489</v>
      </c>
      <c r="DN64">
        <v>2.698</v>
      </c>
      <c r="DO64" s="12">
        <v>42062</v>
      </c>
      <c r="DP64">
        <v>7.0339999999999998</v>
      </c>
      <c r="DQ64" s="12">
        <v>42062</v>
      </c>
      <c r="DR64">
        <v>13.119</v>
      </c>
      <c r="DS64" s="12">
        <v>42094</v>
      </c>
      <c r="DT64">
        <v>10.451000000000001</v>
      </c>
      <c r="DU64" s="12">
        <v>42062</v>
      </c>
      <c r="DV64">
        <v>5.0839999999999996</v>
      </c>
      <c r="DW64" s="12">
        <v>42062</v>
      </c>
      <c r="DX64">
        <v>4.0679999999999996</v>
      </c>
      <c r="DY64" s="12">
        <v>42062</v>
      </c>
      <c r="DZ64">
        <v>9.3089999999999993</v>
      </c>
      <c r="EC64" s="12">
        <v>42062</v>
      </c>
      <c r="ED64">
        <v>30.462</v>
      </c>
      <c r="EE64" s="12">
        <v>42062</v>
      </c>
      <c r="EF64">
        <v>5.66</v>
      </c>
      <c r="EG64" s="12">
        <v>42062</v>
      </c>
      <c r="EH64">
        <v>16.61</v>
      </c>
      <c r="EI64" s="12">
        <v>42062</v>
      </c>
      <c r="EJ64">
        <v>16.481000000000002</v>
      </c>
      <c r="EK64" s="12">
        <v>42062</v>
      </c>
      <c r="EL64">
        <v>7.5289999999999999</v>
      </c>
      <c r="EM64" s="12">
        <v>42062</v>
      </c>
      <c r="EN64">
        <v>9.3369999999999997</v>
      </c>
      <c r="EQ64" s="12">
        <v>42062</v>
      </c>
      <c r="ER64">
        <v>10.286</v>
      </c>
      <c r="ES64" s="12">
        <v>42062</v>
      </c>
      <c r="ET64">
        <v>10.050000000000001</v>
      </c>
      <c r="EU64" s="12">
        <v>42062</v>
      </c>
      <c r="EV64">
        <v>4.1920000000000002</v>
      </c>
      <c r="EY64" s="12">
        <v>42062</v>
      </c>
      <c r="EZ64">
        <v>13.717000000000001</v>
      </c>
      <c r="FA64" s="12">
        <v>42062</v>
      </c>
      <c r="FB64">
        <v>15.821</v>
      </c>
      <c r="FC64" s="12">
        <v>42062</v>
      </c>
      <c r="FD64">
        <v>24.899000000000001</v>
      </c>
      <c r="FG64" s="12">
        <v>42062</v>
      </c>
      <c r="FH64">
        <v>5.1959999999999997</v>
      </c>
      <c r="FI64" s="12">
        <v>42062</v>
      </c>
      <c r="FJ64">
        <v>12.922000000000001</v>
      </c>
      <c r="FK64" s="12">
        <v>42062</v>
      </c>
      <c r="FL64">
        <v>14.965999999999999</v>
      </c>
      <c r="FM64" s="12">
        <v>42062</v>
      </c>
      <c r="FN64">
        <v>11.462</v>
      </c>
      <c r="FO64" s="12">
        <v>42062</v>
      </c>
      <c r="FP64">
        <v>28.963999999999999</v>
      </c>
      <c r="FQ64" s="12">
        <v>43553</v>
      </c>
      <c r="FR64">
        <v>16.178000000000001</v>
      </c>
      <c r="FS64" s="12">
        <v>42062</v>
      </c>
      <c r="FT64">
        <v>2.552</v>
      </c>
      <c r="FU64" s="12">
        <v>42062</v>
      </c>
      <c r="FV64">
        <v>10.215999999999999</v>
      </c>
      <c r="FW64" s="12">
        <v>42062</v>
      </c>
      <c r="FX64">
        <v>13.46</v>
      </c>
      <c r="FY64" s="12">
        <v>42916</v>
      </c>
      <c r="FZ64">
        <v>2.8340000000000001</v>
      </c>
      <c r="GA64" s="12">
        <v>42062</v>
      </c>
      <c r="GB64">
        <v>15.276999999999999</v>
      </c>
      <c r="GC64" s="12">
        <v>42062</v>
      </c>
      <c r="GD64">
        <v>12.949</v>
      </c>
      <c r="GE64" s="12">
        <v>43220</v>
      </c>
      <c r="GF64">
        <v>22.041</v>
      </c>
      <c r="GI64" s="12">
        <v>42062</v>
      </c>
      <c r="GJ64">
        <v>12.797000000000001</v>
      </c>
      <c r="GK64" s="12">
        <v>42062</v>
      </c>
      <c r="GL64">
        <v>8.6300000000000008</v>
      </c>
      <c r="GM64" s="12">
        <v>42062</v>
      </c>
      <c r="GN64">
        <v>26.1</v>
      </c>
      <c r="GO64" s="12">
        <v>42551</v>
      </c>
      <c r="GP64">
        <v>0.58899999999999997</v>
      </c>
      <c r="GQ64" s="12">
        <v>42185</v>
      </c>
      <c r="GR64">
        <v>6.75</v>
      </c>
      <c r="GS64" s="12">
        <v>42062</v>
      </c>
      <c r="GT64">
        <v>17.25</v>
      </c>
      <c r="GW64" s="12">
        <v>42124</v>
      </c>
      <c r="GX64">
        <v>24.574999999999999</v>
      </c>
      <c r="GY64" s="12">
        <v>42062</v>
      </c>
      <c r="GZ64">
        <v>4.82</v>
      </c>
      <c r="HA64" s="12">
        <v>42062</v>
      </c>
      <c r="HB64">
        <v>4.7519999999999998</v>
      </c>
      <c r="HC64" s="12">
        <v>42062</v>
      </c>
      <c r="HD64">
        <v>16.466999999999999</v>
      </c>
      <c r="HE64" s="12">
        <v>42062</v>
      </c>
      <c r="HF64">
        <v>10.5</v>
      </c>
      <c r="HG64" s="12">
        <v>42062</v>
      </c>
      <c r="HH64">
        <v>13.095000000000001</v>
      </c>
      <c r="HI64" s="12">
        <v>42062</v>
      </c>
      <c r="HJ64">
        <v>8.8859999999999992</v>
      </c>
      <c r="HK64" s="12">
        <v>42062</v>
      </c>
      <c r="HL64">
        <v>8</v>
      </c>
      <c r="HM64" s="12">
        <v>42062</v>
      </c>
      <c r="HN64">
        <v>4.7389999999999999</v>
      </c>
      <c r="HO64" s="12">
        <v>42062</v>
      </c>
      <c r="HP64">
        <v>4.54</v>
      </c>
      <c r="HQ64" s="12">
        <v>42153</v>
      </c>
      <c r="HR64">
        <v>15</v>
      </c>
      <c r="HS64" s="12">
        <v>42062</v>
      </c>
      <c r="HT64">
        <v>92.762</v>
      </c>
      <c r="HU64" s="12">
        <v>42062</v>
      </c>
      <c r="HV64">
        <v>213.285</v>
      </c>
      <c r="HW64" s="12">
        <v>42062</v>
      </c>
      <c r="HX64">
        <v>9.2319999999999993</v>
      </c>
      <c r="HY64" s="12">
        <v>42062</v>
      </c>
      <c r="HZ64">
        <v>8.8789999999999996</v>
      </c>
      <c r="IA64" s="12">
        <v>42062</v>
      </c>
      <c r="IB64">
        <v>38.816000000000003</v>
      </c>
      <c r="IC64" s="12">
        <v>42062</v>
      </c>
      <c r="ID64">
        <v>1.9430000000000001</v>
      </c>
      <c r="IE64" s="12">
        <v>42062</v>
      </c>
      <c r="IF64">
        <v>2.0710000000000002</v>
      </c>
      <c r="IG64" s="12">
        <v>42369</v>
      </c>
      <c r="IH64">
        <v>1.2250000000000001</v>
      </c>
      <c r="II64" s="12">
        <v>42062</v>
      </c>
      <c r="IJ64">
        <v>2.9340000000000002</v>
      </c>
      <c r="IM64" s="12">
        <v>42062</v>
      </c>
      <c r="IN64">
        <v>23.449000000000002</v>
      </c>
      <c r="IO64" s="12">
        <v>42613</v>
      </c>
      <c r="IP64">
        <v>16.596</v>
      </c>
      <c r="IQ64" s="12">
        <v>42062</v>
      </c>
      <c r="IR64">
        <v>27.094000000000001</v>
      </c>
      <c r="IU64" s="12">
        <v>42062</v>
      </c>
      <c r="IV64">
        <v>3.5201000000000002</v>
      </c>
      <c r="IY64" s="12">
        <v>42062</v>
      </c>
      <c r="IZ64">
        <v>9.7200000000000006</v>
      </c>
      <c r="JA64" s="12">
        <v>43830</v>
      </c>
      <c r="JB64">
        <v>23.2</v>
      </c>
      <c r="JC64" s="12">
        <v>42062</v>
      </c>
      <c r="JD64">
        <v>5</v>
      </c>
      <c r="JE64" s="12">
        <v>42062</v>
      </c>
      <c r="JF64">
        <v>14.45</v>
      </c>
      <c r="JI64" s="12">
        <v>42062</v>
      </c>
      <c r="JJ64">
        <v>10.215999999999999</v>
      </c>
      <c r="JM64" s="12">
        <v>42062</v>
      </c>
      <c r="JN64">
        <v>1.2050000000000001</v>
      </c>
      <c r="JO64" s="12">
        <v>42062</v>
      </c>
      <c r="JP64">
        <v>14.525</v>
      </c>
      <c r="JQ64" s="12">
        <v>43465</v>
      </c>
      <c r="JR64">
        <v>13.952999999999999</v>
      </c>
      <c r="JS64" s="12">
        <v>42062</v>
      </c>
      <c r="JT64">
        <v>5.3129999999999997</v>
      </c>
      <c r="JU64" s="12">
        <v>43280</v>
      </c>
      <c r="JV64">
        <v>48.012</v>
      </c>
      <c r="JW64" s="12">
        <v>42062</v>
      </c>
      <c r="JX64">
        <v>11.457000000000001</v>
      </c>
      <c r="JY64" s="12">
        <v>42062</v>
      </c>
      <c r="JZ64">
        <v>9.8550000000000004</v>
      </c>
      <c r="KC64" s="12">
        <v>42062</v>
      </c>
      <c r="KD64">
        <v>11.315</v>
      </c>
      <c r="KE64" s="12">
        <v>42062</v>
      </c>
      <c r="KF64">
        <v>12.236000000000001</v>
      </c>
      <c r="KI64" s="12">
        <v>42062</v>
      </c>
      <c r="KJ64">
        <v>2.9390000000000001</v>
      </c>
      <c r="KO64" s="12">
        <v>42062</v>
      </c>
      <c r="KP64">
        <v>50.5</v>
      </c>
      <c r="KQ64" s="12">
        <v>42062</v>
      </c>
      <c r="KR64">
        <v>28.2</v>
      </c>
      <c r="KS64" s="12">
        <v>42062</v>
      </c>
      <c r="KT64">
        <v>11.43</v>
      </c>
      <c r="KU64" s="12">
        <v>42062</v>
      </c>
      <c r="KV64">
        <v>10.587</v>
      </c>
      <c r="LC64" s="12">
        <v>42062</v>
      </c>
      <c r="LD64">
        <v>10.358000000000001</v>
      </c>
      <c r="LE64" s="12">
        <v>42062</v>
      </c>
      <c r="LF64">
        <v>7.165</v>
      </c>
      <c r="LG64" s="12">
        <v>42062</v>
      </c>
      <c r="LH64">
        <v>11.79</v>
      </c>
      <c r="LI64" s="12">
        <v>42062</v>
      </c>
      <c r="LJ64">
        <v>26.02</v>
      </c>
      <c r="LM64" s="12">
        <v>42062</v>
      </c>
      <c r="LN64">
        <v>14.212</v>
      </c>
      <c r="LO64" s="12">
        <v>42062</v>
      </c>
      <c r="LP64">
        <v>3.9169999999999998</v>
      </c>
      <c r="LQ64" s="12">
        <v>42062</v>
      </c>
      <c r="LR64">
        <v>17.971</v>
      </c>
      <c r="LS64" s="12">
        <v>42062</v>
      </c>
      <c r="LT64">
        <v>16.681000000000001</v>
      </c>
      <c r="LW64" s="12">
        <v>42062</v>
      </c>
      <c r="LX64">
        <v>67.153000000000006</v>
      </c>
      <c r="LY64" s="12">
        <v>42062</v>
      </c>
      <c r="LZ64">
        <v>38.860999999999997</v>
      </c>
      <c r="MA64" s="12">
        <v>42062</v>
      </c>
      <c r="MB64">
        <v>31.494</v>
      </c>
      <c r="ME64" s="12">
        <v>42062</v>
      </c>
      <c r="MF64">
        <v>7.415</v>
      </c>
      <c r="MG64" s="12">
        <v>42062</v>
      </c>
      <c r="MH64">
        <v>10.699</v>
      </c>
      <c r="MK64" s="12">
        <v>42062</v>
      </c>
      <c r="ML64">
        <v>14.868</v>
      </c>
    </row>
    <row r="65" spans="1:350" x14ac:dyDescent="0.3">
      <c r="A65" s="12">
        <v>42094</v>
      </c>
      <c r="B65" s="1">
        <v>15.99</v>
      </c>
      <c r="C65" s="1"/>
      <c r="E65" s="12">
        <v>42094</v>
      </c>
      <c r="F65" s="13">
        <v>3.9699999999999998</v>
      </c>
      <c r="G65" s="17">
        <v>42094</v>
      </c>
      <c r="H65" s="13">
        <v>6.6440000000000001</v>
      </c>
      <c r="I65" s="17">
        <v>42124</v>
      </c>
      <c r="J65">
        <v>15.574</v>
      </c>
      <c r="K65" s="12">
        <v>43312</v>
      </c>
      <c r="L65">
        <v>15.409000000000001</v>
      </c>
      <c r="N65" s="12"/>
      <c r="Q65" s="12">
        <v>43496</v>
      </c>
      <c r="R65">
        <v>20.172999999999998</v>
      </c>
      <c r="S65" s="12">
        <v>42094</v>
      </c>
      <c r="T65">
        <v>7.3520000000000003</v>
      </c>
      <c r="U65" s="12">
        <v>42521</v>
      </c>
      <c r="V65">
        <v>21.602</v>
      </c>
      <c r="Y65" s="12">
        <v>42094</v>
      </c>
      <c r="Z65">
        <v>9.1850000000000005</v>
      </c>
      <c r="AA65" s="12">
        <v>42094</v>
      </c>
      <c r="AB65">
        <v>17.588000000000001</v>
      </c>
      <c r="AC65" s="12">
        <v>42094</v>
      </c>
      <c r="AD65">
        <v>13.721</v>
      </c>
      <c r="AE65" s="12">
        <v>42094</v>
      </c>
      <c r="AF65">
        <v>13.311</v>
      </c>
      <c r="AG65" s="12">
        <v>42094</v>
      </c>
      <c r="AH65">
        <v>25.495000000000001</v>
      </c>
      <c r="AI65" s="12">
        <v>43312</v>
      </c>
      <c r="AJ65">
        <v>19.655000000000001</v>
      </c>
      <c r="AK65" s="12">
        <v>42094</v>
      </c>
      <c r="AL65">
        <v>7.1509999999999998</v>
      </c>
      <c r="AS65" s="12">
        <v>42094</v>
      </c>
      <c r="AT65">
        <v>1.405</v>
      </c>
      <c r="AU65" s="12">
        <v>42094</v>
      </c>
      <c r="AV65">
        <v>8.1430000000000007</v>
      </c>
      <c r="AY65" s="12">
        <v>42094</v>
      </c>
      <c r="AZ65">
        <v>61.109000000000002</v>
      </c>
      <c r="BA65" s="12">
        <v>42094</v>
      </c>
      <c r="BB65">
        <v>8.5210000000000008</v>
      </c>
      <c r="BC65" s="12">
        <v>42094</v>
      </c>
      <c r="BD65">
        <v>10.179</v>
      </c>
      <c r="BE65" s="12">
        <v>42185</v>
      </c>
      <c r="BF65">
        <v>8.1969999999999992</v>
      </c>
      <c r="BG65" s="12">
        <v>42094</v>
      </c>
      <c r="BH65">
        <v>7.33</v>
      </c>
      <c r="BI65" s="12">
        <v>42094</v>
      </c>
      <c r="BJ65">
        <v>19.257999999999999</v>
      </c>
      <c r="BK65" s="12">
        <v>42094</v>
      </c>
      <c r="BL65">
        <v>12.613</v>
      </c>
      <c r="BM65" s="12">
        <v>42094</v>
      </c>
      <c r="BN65">
        <v>15.885999999999999</v>
      </c>
      <c r="BO65" s="12">
        <v>42094</v>
      </c>
      <c r="BP65">
        <v>21.216000000000001</v>
      </c>
      <c r="BQ65" s="12">
        <v>42094</v>
      </c>
      <c r="BR65">
        <v>10.244</v>
      </c>
      <c r="BS65" s="12">
        <v>42094</v>
      </c>
      <c r="BT65">
        <v>9.1999999999999993</v>
      </c>
      <c r="BW65" s="12">
        <v>42094</v>
      </c>
      <c r="BX65">
        <v>9.1669999999999998</v>
      </c>
      <c r="BY65" s="12">
        <v>42094</v>
      </c>
      <c r="BZ65">
        <v>18.46</v>
      </c>
      <c r="CA65" s="12">
        <v>42094</v>
      </c>
      <c r="CB65">
        <v>25.826000000000001</v>
      </c>
      <c r="CE65" s="12">
        <v>42094</v>
      </c>
      <c r="CF65">
        <v>24.962</v>
      </c>
      <c r="CG65" s="12">
        <v>42094</v>
      </c>
      <c r="CH65">
        <v>23.413</v>
      </c>
      <c r="CI65" s="12">
        <v>42094</v>
      </c>
      <c r="CJ65">
        <v>14.59</v>
      </c>
      <c r="CK65" s="12">
        <v>42094</v>
      </c>
      <c r="CL65">
        <v>5.0629999999999997</v>
      </c>
      <c r="CM65" s="12">
        <v>42094</v>
      </c>
      <c r="CN65">
        <v>28.815999999999999</v>
      </c>
      <c r="CO65" s="12">
        <v>43553</v>
      </c>
      <c r="CP65">
        <v>54.198999999999998</v>
      </c>
      <c r="CQ65" s="12">
        <v>42094</v>
      </c>
      <c r="CR65">
        <v>10.676</v>
      </c>
      <c r="CS65" s="12">
        <v>42094</v>
      </c>
      <c r="CT65">
        <v>8.7840000000000007</v>
      </c>
      <c r="CU65" s="12">
        <v>42094</v>
      </c>
      <c r="CV65">
        <v>4.5440000000000005</v>
      </c>
      <c r="CW65" s="12">
        <v>42094</v>
      </c>
      <c r="CX65">
        <v>7.3369999999999997</v>
      </c>
      <c r="CY65" s="12">
        <v>42185</v>
      </c>
      <c r="CZ65">
        <v>6.702</v>
      </c>
      <c r="DA65" s="12">
        <v>42094</v>
      </c>
      <c r="DB65">
        <v>20.693999999999999</v>
      </c>
      <c r="DC65" s="12">
        <v>42094</v>
      </c>
      <c r="DD65">
        <v>5.6079999999999997</v>
      </c>
      <c r="DE65" s="12">
        <v>42094</v>
      </c>
      <c r="DF65">
        <v>5.9399999999999995</v>
      </c>
      <c r="DG65" s="12">
        <v>42853</v>
      </c>
      <c r="DH65">
        <v>15.2</v>
      </c>
      <c r="DI65" s="12">
        <v>42094</v>
      </c>
      <c r="DJ65">
        <v>9.3919999999999995</v>
      </c>
      <c r="DK65" s="12">
        <v>42094</v>
      </c>
      <c r="DL65">
        <v>23.71</v>
      </c>
      <c r="DM65" s="12">
        <v>42521</v>
      </c>
      <c r="DN65">
        <v>2.5060000000000002</v>
      </c>
      <c r="DO65" s="12">
        <v>42094</v>
      </c>
      <c r="DP65">
        <v>8.08</v>
      </c>
      <c r="DQ65" s="12">
        <v>42094</v>
      </c>
      <c r="DR65">
        <v>11.407999999999999</v>
      </c>
      <c r="DS65" s="12">
        <v>42124</v>
      </c>
      <c r="DT65">
        <v>11.496</v>
      </c>
      <c r="DU65" s="12">
        <v>42094</v>
      </c>
      <c r="DV65">
        <v>5.734</v>
      </c>
      <c r="DW65" s="12">
        <v>42094</v>
      </c>
      <c r="DX65">
        <v>3.9169999999999998</v>
      </c>
      <c r="DY65" s="12">
        <v>42094</v>
      </c>
      <c r="DZ65">
        <v>10.614000000000001</v>
      </c>
      <c r="EC65" s="12">
        <v>42094</v>
      </c>
      <c r="ED65">
        <v>37.354999999999997</v>
      </c>
      <c r="EE65" s="12">
        <v>42094</v>
      </c>
      <c r="EF65">
        <v>6.5570000000000004</v>
      </c>
      <c r="EG65" s="12">
        <v>42094</v>
      </c>
      <c r="EH65">
        <v>16.513999999999999</v>
      </c>
      <c r="EI65" s="12">
        <v>42094</v>
      </c>
      <c r="EJ65">
        <v>16.873000000000001</v>
      </c>
      <c r="EK65" s="12">
        <v>42094</v>
      </c>
      <c r="EL65">
        <v>7.1230000000000002</v>
      </c>
      <c r="EM65" s="12">
        <v>42094</v>
      </c>
      <c r="EN65">
        <v>9.3889999999999993</v>
      </c>
      <c r="EQ65" s="12">
        <v>42094</v>
      </c>
      <c r="ER65">
        <v>10.023999999999999</v>
      </c>
      <c r="ES65" s="12">
        <v>42094</v>
      </c>
      <c r="ET65">
        <v>7.82</v>
      </c>
      <c r="EU65" s="12">
        <v>42094</v>
      </c>
      <c r="EV65">
        <v>4.202</v>
      </c>
      <c r="EY65" s="12">
        <v>42094</v>
      </c>
      <c r="EZ65">
        <v>12.631</v>
      </c>
      <c r="FA65" s="12">
        <v>42094</v>
      </c>
      <c r="FB65">
        <v>16.318000000000001</v>
      </c>
      <c r="FC65" s="12">
        <v>42094</v>
      </c>
      <c r="FD65">
        <v>25.766999999999999</v>
      </c>
      <c r="FG65" s="12">
        <v>42094</v>
      </c>
      <c r="FH65">
        <v>5.1470000000000002</v>
      </c>
      <c r="FI65" s="12">
        <v>42094</v>
      </c>
      <c r="FJ65">
        <v>12.711</v>
      </c>
      <c r="FK65" s="12">
        <v>42094</v>
      </c>
      <c r="FL65">
        <v>14.484</v>
      </c>
      <c r="FM65" s="12">
        <v>42094</v>
      </c>
      <c r="FN65">
        <v>13</v>
      </c>
      <c r="FO65" s="12">
        <v>42094</v>
      </c>
      <c r="FP65">
        <v>25.802</v>
      </c>
      <c r="FQ65" s="12">
        <v>43585</v>
      </c>
      <c r="FR65">
        <v>15.77</v>
      </c>
      <c r="FS65" s="12">
        <v>42094</v>
      </c>
      <c r="FT65">
        <v>2.9590000000000001</v>
      </c>
      <c r="FU65" s="12">
        <v>42094</v>
      </c>
      <c r="FV65">
        <v>10.58</v>
      </c>
      <c r="FW65" s="12">
        <v>42094</v>
      </c>
      <c r="FX65">
        <v>13.308999999999999</v>
      </c>
      <c r="FY65" s="12">
        <v>42947</v>
      </c>
      <c r="FZ65">
        <v>3.5470000000000002</v>
      </c>
      <c r="GA65" s="12">
        <v>42094</v>
      </c>
      <c r="GB65">
        <v>14.91</v>
      </c>
      <c r="GC65" s="12">
        <v>42094</v>
      </c>
      <c r="GD65">
        <v>13.356999999999999</v>
      </c>
      <c r="GE65" s="12">
        <v>43251</v>
      </c>
      <c r="GF65">
        <v>18.728999999999999</v>
      </c>
      <c r="GI65" s="12">
        <v>42094</v>
      </c>
      <c r="GJ65">
        <v>13.846</v>
      </c>
      <c r="GK65" s="12">
        <v>42094</v>
      </c>
      <c r="GL65">
        <v>10.683999999999999</v>
      </c>
      <c r="GM65" s="12">
        <v>42094</v>
      </c>
      <c r="GN65">
        <v>27.077999999999999</v>
      </c>
      <c r="GO65" s="12">
        <v>42580</v>
      </c>
      <c r="GP65">
        <v>0.70299999999999996</v>
      </c>
      <c r="GQ65" s="12">
        <v>42216</v>
      </c>
      <c r="GR65">
        <v>6.18</v>
      </c>
      <c r="GS65" s="12">
        <v>42094</v>
      </c>
      <c r="GT65">
        <v>16.5</v>
      </c>
      <c r="GW65" s="12">
        <v>42153</v>
      </c>
      <c r="GX65">
        <v>28.349</v>
      </c>
      <c r="GY65" s="12">
        <v>42094</v>
      </c>
      <c r="GZ65">
        <v>4.04</v>
      </c>
      <c r="HA65" s="12">
        <v>42094</v>
      </c>
      <c r="HB65">
        <v>5.6120000000000001</v>
      </c>
      <c r="HC65" s="12">
        <v>42094</v>
      </c>
      <c r="HD65">
        <v>16.920000000000002</v>
      </c>
      <c r="HE65" s="12">
        <v>42094</v>
      </c>
      <c r="HF65">
        <v>8.7210000000000001</v>
      </c>
      <c r="HG65" s="12">
        <v>42094</v>
      </c>
      <c r="HH65">
        <v>12.526999999999999</v>
      </c>
      <c r="HI65" s="12">
        <v>42094</v>
      </c>
      <c r="HJ65">
        <v>9.2550000000000008</v>
      </c>
      <c r="HK65" s="12">
        <v>42094</v>
      </c>
      <c r="HL65">
        <v>7</v>
      </c>
      <c r="HM65" s="12">
        <v>42094</v>
      </c>
      <c r="HN65">
        <v>3.8359999999999999</v>
      </c>
      <c r="HO65" s="12">
        <v>42094</v>
      </c>
      <c r="HP65">
        <v>3.9210000000000003</v>
      </c>
      <c r="HQ65" s="12">
        <v>42185</v>
      </c>
      <c r="HR65">
        <v>25</v>
      </c>
      <c r="HS65" s="12">
        <v>42094</v>
      </c>
      <c r="HT65">
        <v>91.424999999999997</v>
      </c>
      <c r="HU65" s="12">
        <v>42094</v>
      </c>
      <c r="HV65">
        <v>226.899</v>
      </c>
      <c r="HW65" s="12">
        <v>42094</v>
      </c>
      <c r="HX65">
        <v>9.3290000000000006</v>
      </c>
      <c r="HY65" s="12">
        <v>42094</v>
      </c>
      <c r="HZ65">
        <v>9.0269999999999992</v>
      </c>
      <c r="IA65" s="12">
        <v>42094</v>
      </c>
      <c r="IB65">
        <v>47.712000000000003</v>
      </c>
      <c r="IC65" s="12">
        <v>42094</v>
      </c>
      <c r="ID65">
        <v>2.0249999999999999</v>
      </c>
      <c r="IE65" s="12">
        <v>42094</v>
      </c>
      <c r="IF65">
        <v>1.8780000000000001</v>
      </c>
      <c r="IG65" s="12">
        <v>42398</v>
      </c>
      <c r="IH65">
        <v>0.73</v>
      </c>
      <c r="II65" s="12">
        <v>42094</v>
      </c>
      <c r="IJ65">
        <v>2.5430000000000001</v>
      </c>
      <c r="IM65" s="12">
        <v>42094</v>
      </c>
      <c r="IN65">
        <v>27.268999999999998</v>
      </c>
      <c r="IO65" s="12">
        <v>42643</v>
      </c>
      <c r="IP65">
        <v>14.035</v>
      </c>
      <c r="IQ65" s="12">
        <v>42094</v>
      </c>
      <c r="IR65">
        <v>27.329000000000001</v>
      </c>
      <c r="IU65" s="12">
        <v>42094</v>
      </c>
      <c r="IV65">
        <v>2.9912000000000001</v>
      </c>
      <c r="IY65" s="12">
        <v>42094</v>
      </c>
      <c r="IZ65">
        <v>10.081</v>
      </c>
      <c r="JC65" s="12">
        <v>42094</v>
      </c>
      <c r="JD65">
        <v>5.2</v>
      </c>
      <c r="JE65" s="12">
        <v>42094</v>
      </c>
      <c r="JF65">
        <v>13.05</v>
      </c>
      <c r="JI65" s="12">
        <v>42094</v>
      </c>
      <c r="JJ65">
        <v>10.202999999999999</v>
      </c>
      <c r="JM65" s="12">
        <v>42094</v>
      </c>
      <c r="JN65">
        <v>1.1179999999999999</v>
      </c>
      <c r="JO65" s="12">
        <v>42094</v>
      </c>
      <c r="JP65">
        <v>15.185</v>
      </c>
      <c r="JQ65" s="12">
        <v>43496</v>
      </c>
      <c r="JR65">
        <v>19.561</v>
      </c>
      <c r="JS65" s="12">
        <v>42094</v>
      </c>
      <c r="JT65">
        <v>6.7359999999999998</v>
      </c>
      <c r="JU65" s="12">
        <v>43312</v>
      </c>
      <c r="JV65">
        <v>47.35</v>
      </c>
      <c r="JW65" s="12">
        <v>42094</v>
      </c>
      <c r="JX65">
        <v>11.669</v>
      </c>
      <c r="JY65" s="12">
        <v>42094</v>
      </c>
      <c r="JZ65">
        <v>10.706</v>
      </c>
      <c r="KC65" s="12">
        <v>42094</v>
      </c>
      <c r="KD65">
        <v>13.877000000000001</v>
      </c>
      <c r="KE65" s="12">
        <v>42094</v>
      </c>
      <c r="KF65">
        <v>12.242000000000001</v>
      </c>
      <c r="KI65" s="12">
        <v>42094</v>
      </c>
      <c r="KJ65">
        <v>3.1139999999999999</v>
      </c>
      <c r="KO65" s="12">
        <v>42094</v>
      </c>
      <c r="KP65">
        <v>38.5</v>
      </c>
      <c r="KQ65" s="12">
        <v>42094</v>
      </c>
      <c r="KR65">
        <v>28.2</v>
      </c>
      <c r="KS65" s="12">
        <v>42094</v>
      </c>
      <c r="KT65">
        <v>11.364000000000001</v>
      </c>
      <c r="KU65" s="12">
        <v>42094</v>
      </c>
      <c r="KV65">
        <v>9.4499999999999993</v>
      </c>
      <c r="LC65" s="12">
        <v>42094</v>
      </c>
      <c r="LD65">
        <v>11.271000000000001</v>
      </c>
      <c r="LE65" s="12">
        <v>42094</v>
      </c>
      <c r="LF65">
        <v>6.8239999999999998</v>
      </c>
      <c r="LG65" s="12">
        <v>42094</v>
      </c>
      <c r="LH65">
        <v>12.395</v>
      </c>
      <c r="LI65" s="12">
        <v>42094</v>
      </c>
      <c r="LJ65">
        <v>28.658000000000001</v>
      </c>
      <c r="LM65" s="12">
        <v>42094</v>
      </c>
      <c r="LN65">
        <v>20.786999999999999</v>
      </c>
      <c r="LO65" s="12">
        <v>42094</v>
      </c>
      <c r="LP65">
        <v>4.7140000000000004</v>
      </c>
      <c r="LQ65" s="12">
        <v>42094</v>
      </c>
      <c r="LR65">
        <v>15.172000000000001</v>
      </c>
      <c r="LS65" s="12">
        <v>42094</v>
      </c>
      <c r="LT65">
        <v>13.923</v>
      </c>
      <c r="LW65" s="12">
        <v>42094</v>
      </c>
      <c r="LX65">
        <v>67.153000000000006</v>
      </c>
      <c r="LY65" s="12">
        <v>42094</v>
      </c>
      <c r="LZ65">
        <v>36.341000000000001</v>
      </c>
      <c r="MA65" s="12">
        <v>42094</v>
      </c>
      <c r="MB65">
        <v>33.673000000000002</v>
      </c>
      <c r="ME65" s="12">
        <v>42124</v>
      </c>
      <c r="MF65">
        <v>5.468</v>
      </c>
      <c r="MG65" s="12">
        <v>42094</v>
      </c>
      <c r="MH65">
        <v>11.113</v>
      </c>
      <c r="MK65" s="12">
        <v>42094</v>
      </c>
      <c r="ML65">
        <v>14.282</v>
      </c>
    </row>
    <row r="66" spans="1:350" x14ac:dyDescent="0.3">
      <c r="A66" s="12">
        <v>42124</v>
      </c>
      <c r="B66" s="1">
        <v>16.414000000000001</v>
      </c>
      <c r="C66" s="1"/>
      <c r="G66" s="17">
        <v>42124</v>
      </c>
      <c r="H66" s="13">
        <v>6.7249999999999996</v>
      </c>
      <c r="I66" s="17">
        <v>42153</v>
      </c>
      <c r="J66">
        <v>14.582000000000001</v>
      </c>
      <c r="K66" s="12">
        <v>43343</v>
      </c>
      <c r="L66">
        <v>14.324999999999999</v>
      </c>
      <c r="N66" s="12"/>
      <c r="Q66" s="12">
        <v>43524</v>
      </c>
      <c r="R66">
        <v>18.713000000000001</v>
      </c>
      <c r="S66" s="12">
        <v>42124</v>
      </c>
      <c r="T66">
        <v>8.1210000000000004</v>
      </c>
      <c r="U66" s="12">
        <v>42551</v>
      </c>
      <c r="V66">
        <v>23.667000000000002</v>
      </c>
      <c r="Y66" s="12">
        <v>42124</v>
      </c>
      <c r="Z66">
        <v>10.298999999999999</v>
      </c>
      <c r="AA66" s="12">
        <v>42124</v>
      </c>
      <c r="AB66">
        <v>20.436</v>
      </c>
      <c r="AC66" s="12">
        <v>42124</v>
      </c>
      <c r="AD66">
        <v>13.686999999999999</v>
      </c>
      <c r="AE66" s="12">
        <v>42124</v>
      </c>
      <c r="AF66">
        <v>14.436999999999999</v>
      </c>
      <c r="AG66" s="12">
        <v>42124</v>
      </c>
      <c r="AH66">
        <v>25.681000000000001</v>
      </c>
      <c r="AI66" s="12">
        <v>43343</v>
      </c>
      <c r="AJ66">
        <v>20.3</v>
      </c>
      <c r="AK66" s="12">
        <v>42124</v>
      </c>
      <c r="AL66">
        <v>8.5329999999999995</v>
      </c>
      <c r="AS66" s="12">
        <v>42124</v>
      </c>
      <c r="AT66">
        <v>1.621</v>
      </c>
      <c r="AU66" s="12">
        <v>42124</v>
      </c>
      <c r="AV66">
        <v>9.7479999999999993</v>
      </c>
      <c r="AY66" s="12">
        <v>42124</v>
      </c>
      <c r="AZ66">
        <v>62.170999999999999</v>
      </c>
      <c r="BA66" s="12">
        <v>42124</v>
      </c>
      <c r="BB66">
        <v>10.276999999999999</v>
      </c>
      <c r="BC66" s="12">
        <v>42124</v>
      </c>
      <c r="BD66">
        <v>9.8550000000000004</v>
      </c>
      <c r="BE66" s="12">
        <v>42216</v>
      </c>
      <c r="BF66">
        <v>8.8859999999999992</v>
      </c>
      <c r="BG66" s="12">
        <v>42124</v>
      </c>
      <c r="BH66">
        <v>7.79</v>
      </c>
      <c r="BI66" s="12">
        <v>42124</v>
      </c>
      <c r="BJ66">
        <v>26.420999999999999</v>
      </c>
      <c r="BK66" s="12">
        <v>42124</v>
      </c>
      <c r="BL66">
        <v>12.888999999999999</v>
      </c>
      <c r="BM66" s="12">
        <v>42124</v>
      </c>
      <c r="BN66">
        <v>15.983000000000001</v>
      </c>
      <c r="BO66" s="12">
        <v>42124</v>
      </c>
      <c r="BP66">
        <v>23.37</v>
      </c>
      <c r="BQ66" s="12">
        <v>42124</v>
      </c>
      <c r="BR66">
        <v>11.6</v>
      </c>
      <c r="BS66" s="12">
        <v>42124</v>
      </c>
      <c r="BT66">
        <v>10.441000000000001</v>
      </c>
      <c r="BW66" s="12">
        <v>42124</v>
      </c>
      <c r="BX66">
        <v>9.8000000000000007</v>
      </c>
      <c r="BY66" s="12">
        <v>42124</v>
      </c>
      <c r="BZ66">
        <v>18.501000000000001</v>
      </c>
      <c r="CA66" s="12">
        <v>42124</v>
      </c>
      <c r="CB66">
        <v>26.727</v>
      </c>
      <c r="CE66" s="12">
        <v>42124</v>
      </c>
      <c r="CF66">
        <v>27.024999999999999</v>
      </c>
      <c r="CG66" s="12">
        <v>42124</v>
      </c>
      <c r="CH66">
        <v>24.763999999999999</v>
      </c>
      <c r="CI66" s="12">
        <v>42124</v>
      </c>
      <c r="CJ66">
        <v>14.314</v>
      </c>
      <c r="CK66" s="12">
        <v>42124</v>
      </c>
      <c r="CL66">
        <v>7.5250000000000004</v>
      </c>
      <c r="CM66" s="12">
        <v>42124</v>
      </c>
      <c r="CN66">
        <v>31.652999999999999</v>
      </c>
      <c r="CO66" s="12">
        <v>43585</v>
      </c>
      <c r="CP66">
        <v>56.219000000000001</v>
      </c>
      <c r="CQ66" s="12">
        <v>42124</v>
      </c>
      <c r="CR66">
        <v>9.7769999999999992</v>
      </c>
      <c r="CS66" s="12">
        <v>42124</v>
      </c>
      <c r="CT66">
        <v>9.8179999999999996</v>
      </c>
      <c r="CU66" s="12">
        <v>42124</v>
      </c>
      <c r="CV66">
        <v>4.782</v>
      </c>
      <c r="CW66" s="12">
        <v>42124</v>
      </c>
      <c r="CX66">
        <v>7.16</v>
      </c>
      <c r="CY66" s="12">
        <v>42216</v>
      </c>
      <c r="CZ66">
        <v>6.0010000000000003</v>
      </c>
      <c r="DA66" s="12">
        <v>42124</v>
      </c>
      <c r="DB66">
        <v>20.928999999999998</v>
      </c>
      <c r="DC66" s="12">
        <v>42124</v>
      </c>
      <c r="DD66">
        <v>7.1079999999999997</v>
      </c>
      <c r="DE66" s="12">
        <v>42124</v>
      </c>
      <c r="DF66">
        <v>7.73</v>
      </c>
      <c r="DG66" s="12">
        <v>42886</v>
      </c>
      <c r="DH66">
        <v>13</v>
      </c>
      <c r="DI66" s="12">
        <v>42124</v>
      </c>
      <c r="DJ66">
        <v>10.441000000000001</v>
      </c>
      <c r="DK66" s="12">
        <v>42124</v>
      </c>
      <c r="DL66">
        <v>22.718</v>
      </c>
      <c r="DM66" s="12">
        <v>42551</v>
      </c>
      <c r="DN66">
        <v>3.0150000000000001</v>
      </c>
      <c r="DO66" s="12">
        <v>42124</v>
      </c>
      <c r="DP66">
        <v>9.0500000000000007</v>
      </c>
      <c r="DQ66" s="12">
        <v>42124</v>
      </c>
      <c r="DR66">
        <v>14.83</v>
      </c>
      <c r="DS66" s="12">
        <v>42153</v>
      </c>
      <c r="DT66">
        <v>11.975</v>
      </c>
      <c r="DU66" s="12">
        <v>42124</v>
      </c>
      <c r="DV66">
        <v>5.9649999999999999</v>
      </c>
      <c r="DW66" s="12">
        <v>42124</v>
      </c>
      <c r="DX66">
        <v>4.3959999999999999</v>
      </c>
      <c r="DY66" s="12">
        <v>42124</v>
      </c>
      <c r="DZ66">
        <v>10.071999999999999</v>
      </c>
      <c r="EC66" s="12">
        <v>42124</v>
      </c>
      <c r="ED66">
        <v>34.917000000000002</v>
      </c>
      <c r="EE66" s="12">
        <v>42124</v>
      </c>
      <c r="EF66">
        <v>6.7089999999999996</v>
      </c>
      <c r="EG66" s="12">
        <v>42124</v>
      </c>
      <c r="EH66">
        <v>16.61</v>
      </c>
      <c r="EI66" s="12">
        <v>42124</v>
      </c>
      <c r="EJ66">
        <v>21.974</v>
      </c>
      <c r="EK66" s="12">
        <v>42124</v>
      </c>
      <c r="EL66">
        <v>7.077</v>
      </c>
      <c r="EM66" s="12">
        <v>42124</v>
      </c>
      <c r="EN66">
        <v>9.2870000000000008</v>
      </c>
      <c r="EQ66" s="12">
        <v>42124</v>
      </c>
      <c r="ER66">
        <v>9.125</v>
      </c>
      <c r="ES66" s="12">
        <v>42124</v>
      </c>
      <c r="ET66">
        <v>7.6</v>
      </c>
      <c r="EU66" s="12">
        <v>42124</v>
      </c>
      <c r="EV66">
        <v>4.7729999999999997</v>
      </c>
      <c r="EY66" s="12">
        <v>42124</v>
      </c>
      <c r="EZ66">
        <v>13.721</v>
      </c>
      <c r="FA66" s="12">
        <v>42124</v>
      </c>
      <c r="FB66">
        <v>16.466999999999999</v>
      </c>
      <c r="FC66" s="12">
        <v>42124</v>
      </c>
      <c r="FD66">
        <v>24.966000000000001</v>
      </c>
      <c r="FG66" s="12">
        <v>42124</v>
      </c>
      <c r="FH66">
        <v>5.4719999999999995</v>
      </c>
      <c r="FI66" s="12">
        <v>42124</v>
      </c>
      <c r="FJ66">
        <v>13.709</v>
      </c>
      <c r="FK66" s="12">
        <v>42124</v>
      </c>
      <c r="FL66">
        <v>15.811999999999999</v>
      </c>
      <c r="FM66" s="12">
        <v>42124</v>
      </c>
      <c r="FN66">
        <v>14.227</v>
      </c>
      <c r="FO66" s="12">
        <v>42124</v>
      </c>
      <c r="FP66">
        <v>31.673999999999999</v>
      </c>
      <c r="FQ66" s="12">
        <v>43616</v>
      </c>
      <c r="FR66">
        <v>14.946999999999999</v>
      </c>
      <c r="FS66" s="12">
        <v>42124</v>
      </c>
      <c r="FT66">
        <v>2.9750000000000001</v>
      </c>
      <c r="FU66" s="12">
        <v>42124</v>
      </c>
      <c r="FV66">
        <v>10.58</v>
      </c>
      <c r="FW66" s="12">
        <v>42124</v>
      </c>
      <c r="FX66">
        <v>13.568</v>
      </c>
      <c r="FY66" s="12">
        <v>42978</v>
      </c>
      <c r="FZ66">
        <v>3.9550000000000001</v>
      </c>
      <c r="GA66" s="12">
        <v>42124</v>
      </c>
      <c r="GB66">
        <v>15.573</v>
      </c>
      <c r="GC66" s="12">
        <v>42124</v>
      </c>
      <c r="GD66">
        <v>17.457999999999998</v>
      </c>
      <c r="GE66" s="12">
        <v>43280</v>
      </c>
      <c r="GF66">
        <v>17.446999999999999</v>
      </c>
      <c r="GI66" s="12">
        <v>42124</v>
      </c>
      <c r="GJ66">
        <v>16.181000000000001</v>
      </c>
      <c r="GK66" s="12">
        <v>42124</v>
      </c>
      <c r="GL66">
        <v>13.47</v>
      </c>
      <c r="GM66" s="12">
        <v>42124</v>
      </c>
      <c r="GN66">
        <v>27.213999999999999</v>
      </c>
      <c r="GO66" s="12">
        <v>42613</v>
      </c>
      <c r="GP66">
        <v>0.92500000000000004</v>
      </c>
      <c r="GQ66" s="12">
        <v>42247</v>
      </c>
      <c r="GR66">
        <v>4.9000000000000004</v>
      </c>
      <c r="GS66" s="12">
        <v>42124</v>
      </c>
      <c r="GT66">
        <v>15</v>
      </c>
      <c r="GW66" s="12">
        <v>42185</v>
      </c>
      <c r="GX66">
        <v>27.931999999999999</v>
      </c>
      <c r="GY66" s="12">
        <v>42124</v>
      </c>
      <c r="GZ66">
        <v>4.24</v>
      </c>
      <c r="HA66" s="12">
        <v>42124</v>
      </c>
      <c r="HB66">
        <v>5.7649999999999997</v>
      </c>
      <c r="HC66" s="12">
        <v>42124</v>
      </c>
      <c r="HD66">
        <v>16.030999999999999</v>
      </c>
      <c r="HE66" s="12">
        <v>42124</v>
      </c>
      <c r="HF66">
        <v>9.5459999999999994</v>
      </c>
      <c r="HG66" s="12">
        <v>42124</v>
      </c>
      <c r="HH66">
        <v>13.412000000000001</v>
      </c>
      <c r="HI66" s="12">
        <v>42124</v>
      </c>
      <c r="HJ66">
        <v>9.0229999999999997</v>
      </c>
      <c r="HK66" s="12">
        <v>42124</v>
      </c>
      <c r="HL66">
        <v>7</v>
      </c>
      <c r="HM66" s="12">
        <v>42124</v>
      </c>
      <c r="HN66">
        <v>4.2169999999999996</v>
      </c>
      <c r="HO66" s="12">
        <v>42124</v>
      </c>
      <c r="HP66">
        <v>4.319</v>
      </c>
      <c r="HQ66" s="12">
        <v>42216</v>
      </c>
      <c r="HR66">
        <v>18</v>
      </c>
      <c r="HS66" s="12">
        <v>42124</v>
      </c>
      <c r="HT66">
        <v>98.144999999999996</v>
      </c>
      <c r="HU66" s="12">
        <v>42124</v>
      </c>
      <c r="HV66">
        <v>260</v>
      </c>
      <c r="HW66" s="12">
        <v>42124</v>
      </c>
      <c r="HX66">
        <v>13.877000000000001</v>
      </c>
      <c r="HY66" s="12">
        <v>42124</v>
      </c>
      <c r="HZ66">
        <v>12.106999999999999</v>
      </c>
      <c r="IA66" s="12">
        <v>42124</v>
      </c>
      <c r="IB66">
        <v>62.268000000000001</v>
      </c>
      <c r="IC66" s="12">
        <v>42124</v>
      </c>
      <c r="ID66">
        <v>2.4380000000000002</v>
      </c>
      <c r="IE66" s="12">
        <v>42124</v>
      </c>
      <c r="IF66">
        <v>2.1960000000000002</v>
      </c>
      <c r="IG66" s="12">
        <v>42429</v>
      </c>
      <c r="IH66">
        <v>0.92500000000000004</v>
      </c>
      <c r="II66" s="12">
        <v>42124</v>
      </c>
      <c r="IJ66">
        <v>4.2050000000000001</v>
      </c>
      <c r="IM66" s="12">
        <v>42124</v>
      </c>
      <c r="IN66">
        <v>28.748999999999999</v>
      </c>
      <c r="IO66" s="12">
        <v>42674</v>
      </c>
      <c r="IP66">
        <v>15.03</v>
      </c>
      <c r="IQ66" s="12">
        <v>42124</v>
      </c>
      <c r="IR66">
        <v>32.634999999999998</v>
      </c>
      <c r="IU66" s="12">
        <v>42124</v>
      </c>
      <c r="IV66">
        <v>3.6877</v>
      </c>
      <c r="IY66" s="12">
        <v>42124</v>
      </c>
      <c r="IZ66">
        <v>9.782</v>
      </c>
      <c r="JC66" s="12">
        <v>42124</v>
      </c>
      <c r="JD66">
        <v>5</v>
      </c>
      <c r="JE66" s="12">
        <v>42124</v>
      </c>
      <c r="JF66">
        <v>11.5</v>
      </c>
      <c r="JI66" s="12">
        <v>42124</v>
      </c>
      <c r="JJ66">
        <v>11.798</v>
      </c>
      <c r="JM66" s="12">
        <v>42124</v>
      </c>
      <c r="JN66">
        <v>1.1120000000000001</v>
      </c>
      <c r="JO66" s="12">
        <v>42124</v>
      </c>
      <c r="JP66">
        <v>15.568</v>
      </c>
      <c r="JQ66" s="12">
        <v>43524</v>
      </c>
      <c r="JR66">
        <v>17.030999999999999</v>
      </c>
      <c r="JS66" s="12">
        <v>42124</v>
      </c>
      <c r="JT66">
        <v>6.8220000000000001</v>
      </c>
      <c r="JU66" s="12">
        <v>43343</v>
      </c>
      <c r="JV66">
        <v>48.006</v>
      </c>
      <c r="JW66" s="12">
        <v>42124</v>
      </c>
      <c r="JX66">
        <v>11.557</v>
      </c>
      <c r="JY66" s="12">
        <v>42124</v>
      </c>
      <c r="JZ66">
        <v>10.868</v>
      </c>
      <c r="KC66" s="12">
        <v>42124</v>
      </c>
      <c r="KD66">
        <v>14.167999999999999</v>
      </c>
      <c r="KE66" s="12">
        <v>42124</v>
      </c>
      <c r="KF66">
        <v>12.018000000000001</v>
      </c>
      <c r="KI66" s="12">
        <v>42124</v>
      </c>
      <c r="KJ66">
        <v>3.2679999999999998</v>
      </c>
      <c r="KO66" s="12">
        <v>42124</v>
      </c>
      <c r="KP66">
        <v>49</v>
      </c>
      <c r="KQ66" s="12">
        <v>42124</v>
      </c>
      <c r="KR66">
        <v>27.3</v>
      </c>
      <c r="KS66" s="12">
        <v>42124</v>
      </c>
      <c r="KT66">
        <v>11.43</v>
      </c>
      <c r="KU66" s="12">
        <v>42124</v>
      </c>
      <c r="KV66">
        <v>8.5709999999999997</v>
      </c>
      <c r="LC66" s="12">
        <v>42124</v>
      </c>
      <c r="LD66">
        <v>10.749000000000001</v>
      </c>
      <c r="LE66" s="12">
        <v>42124</v>
      </c>
      <c r="LF66">
        <v>7.25</v>
      </c>
      <c r="LG66" s="12">
        <v>42124</v>
      </c>
      <c r="LH66">
        <v>12.923999999999999</v>
      </c>
      <c r="LI66" s="12">
        <v>42124</v>
      </c>
      <c r="LJ66">
        <v>30.652000000000001</v>
      </c>
      <c r="LM66" s="12">
        <v>42124</v>
      </c>
      <c r="LN66">
        <v>16.262</v>
      </c>
      <c r="LO66" s="12">
        <v>42124</v>
      </c>
      <c r="LP66">
        <v>5.694</v>
      </c>
      <c r="LQ66" s="12">
        <v>42124</v>
      </c>
      <c r="LR66">
        <v>19.79</v>
      </c>
      <c r="LS66" s="12">
        <v>42124</v>
      </c>
      <c r="LT66">
        <v>17.001000000000001</v>
      </c>
      <c r="LW66" s="12">
        <v>42124</v>
      </c>
      <c r="LX66">
        <v>58.759</v>
      </c>
      <c r="LY66" s="12">
        <v>42124</v>
      </c>
      <c r="LZ66">
        <v>36.737000000000002</v>
      </c>
      <c r="MA66" s="12">
        <v>42124</v>
      </c>
      <c r="MB66">
        <v>35.713999999999999</v>
      </c>
      <c r="ME66" s="12">
        <v>42153</v>
      </c>
      <c r="MF66">
        <v>6.3629999999999995</v>
      </c>
      <c r="MG66" s="12">
        <v>42124</v>
      </c>
      <c r="MH66">
        <v>11.217000000000001</v>
      </c>
      <c r="MK66" s="12">
        <v>42124</v>
      </c>
      <c r="ML66">
        <v>14.27</v>
      </c>
    </row>
    <row r="67" spans="1:350" x14ac:dyDescent="0.3">
      <c r="A67" s="12">
        <v>42153</v>
      </c>
      <c r="B67" s="1">
        <v>15.946</v>
      </c>
      <c r="C67" s="1"/>
      <c r="G67" s="17">
        <v>42153</v>
      </c>
      <c r="H67" s="13">
        <v>6.7590000000000003</v>
      </c>
      <c r="I67" s="17">
        <v>42185</v>
      </c>
      <c r="J67">
        <v>13.728999999999999</v>
      </c>
      <c r="K67" s="12">
        <v>43371</v>
      </c>
      <c r="L67">
        <v>14.936999999999999</v>
      </c>
      <c r="N67" s="12"/>
      <c r="Q67" s="12">
        <v>43553</v>
      </c>
      <c r="R67">
        <v>18.693000000000001</v>
      </c>
      <c r="S67" s="12">
        <v>42153</v>
      </c>
      <c r="T67">
        <v>9.7850000000000001</v>
      </c>
      <c r="U67" s="12">
        <v>42580</v>
      </c>
      <c r="V67">
        <v>24.745999999999999</v>
      </c>
      <c r="Y67" s="12">
        <v>42153</v>
      </c>
      <c r="Z67">
        <v>9.4149999999999991</v>
      </c>
      <c r="AA67" s="12">
        <v>42153</v>
      </c>
      <c r="AB67">
        <v>17.783000000000001</v>
      </c>
      <c r="AC67" s="12">
        <v>42153</v>
      </c>
      <c r="AD67">
        <v>11.943999999999999</v>
      </c>
      <c r="AE67" s="12">
        <v>42153</v>
      </c>
      <c r="AF67">
        <v>12.670999999999999</v>
      </c>
      <c r="AG67" s="12">
        <v>42153</v>
      </c>
      <c r="AH67">
        <v>21.012</v>
      </c>
      <c r="AI67" s="12">
        <v>43371</v>
      </c>
      <c r="AJ67">
        <v>19.984999999999999</v>
      </c>
      <c r="AK67" s="12">
        <v>42153</v>
      </c>
      <c r="AL67">
        <v>9.9239999999999995</v>
      </c>
      <c r="AS67" s="12">
        <v>42153</v>
      </c>
      <c r="AT67">
        <v>1.4990000000000001</v>
      </c>
      <c r="AU67" s="12">
        <v>42153</v>
      </c>
      <c r="AV67">
        <v>9.0109999999999992</v>
      </c>
      <c r="AY67" s="12">
        <v>42153</v>
      </c>
      <c r="AZ67">
        <v>62.22</v>
      </c>
      <c r="BA67" s="12">
        <v>42153</v>
      </c>
      <c r="BB67">
        <v>10.579000000000001</v>
      </c>
      <c r="BC67" s="12">
        <v>42153</v>
      </c>
      <c r="BD67">
        <v>9.3960000000000008</v>
      </c>
      <c r="BE67" s="12">
        <v>42247</v>
      </c>
      <c r="BF67">
        <v>7.9080000000000004</v>
      </c>
      <c r="BG67" s="12">
        <v>42153</v>
      </c>
      <c r="BH67">
        <v>6.6669999999999998</v>
      </c>
      <c r="BI67" s="12">
        <v>42153</v>
      </c>
      <c r="BJ67">
        <v>24.614999999999998</v>
      </c>
      <c r="BK67" s="12">
        <v>42153</v>
      </c>
      <c r="BL67">
        <v>11.988</v>
      </c>
      <c r="BM67" s="12">
        <v>42153</v>
      </c>
      <c r="BN67">
        <v>16.648</v>
      </c>
      <c r="BO67" s="12">
        <v>42153</v>
      </c>
      <c r="BP67">
        <v>22.289000000000001</v>
      </c>
      <c r="BQ67" s="12">
        <v>42153</v>
      </c>
      <c r="BR67">
        <v>11.65</v>
      </c>
      <c r="BS67" s="12">
        <v>42153</v>
      </c>
      <c r="BT67">
        <v>10.500999999999999</v>
      </c>
      <c r="BW67" s="12">
        <v>42153</v>
      </c>
      <c r="BX67">
        <v>10.231</v>
      </c>
      <c r="BY67" s="12">
        <v>42153</v>
      </c>
      <c r="BZ67">
        <v>18.007000000000001</v>
      </c>
      <c r="CA67" s="12">
        <v>42153</v>
      </c>
      <c r="CB67">
        <v>25.827999999999999</v>
      </c>
      <c r="CE67" s="12">
        <v>42153</v>
      </c>
      <c r="CF67">
        <v>23.881</v>
      </c>
      <c r="CG67" s="12">
        <v>42153</v>
      </c>
      <c r="CH67">
        <v>21.344000000000001</v>
      </c>
      <c r="CI67" s="12">
        <v>42153</v>
      </c>
      <c r="CJ67">
        <v>12.455</v>
      </c>
      <c r="CK67" s="12">
        <v>42153</v>
      </c>
      <c r="CL67">
        <v>5.7439999999999998</v>
      </c>
      <c r="CM67" s="12">
        <v>42153</v>
      </c>
      <c r="CN67">
        <v>30.754000000000001</v>
      </c>
      <c r="CO67" s="12">
        <v>43616</v>
      </c>
      <c r="CP67">
        <v>51.124000000000002</v>
      </c>
      <c r="CQ67" s="12">
        <v>42153</v>
      </c>
      <c r="CR67">
        <v>9.06</v>
      </c>
      <c r="CS67" s="12">
        <v>42153</v>
      </c>
      <c r="CT67">
        <v>9.0500000000000007</v>
      </c>
      <c r="CU67" s="12">
        <v>42153</v>
      </c>
      <c r="CV67">
        <v>4.1970000000000001</v>
      </c>
      <c r="CW67" s="12">
        <v>42153</v>
      </c>
      <c r="CX67">
        <v>6.7469999999999999</v>
      </c>
      <c r="CY67" s="12">
        <v>42247</v>
      </c>
      <c r="CZ67">
        <v>6.0439999999999996</v>
      </c>
      <c r="DA67" s="12">
        <v>42153</v>
      </c>
      <c r="DB67">
        <v>19.986999999999998</v>
      </c>
      <c r="DC67" s="12">
        <v>42153</v>
      </c>
      <c r="DD67">
        <v>6.28</v>
      </c>
      <c r="DE67" s="12">
        <v>42153</v>
      </c>
      <c r="DF67">
        <v>8.2370000000000001</v>
      </c>
      <c r="DG67" s="12">
        <v>42916</v>
      </c>
      <c r="DH67">
        <v>13</v>
      </c>
      <c r="DI67" s="12">
        <v>42153</v>
      </c>
      <c r="DJ67">
        <v>15.743</v>
      </c>
      <c r="DK67" s="12">
        <v>42153</v>
      </c>
      <c r="DL67">
        <v>23.065999999999999</v>
      </c>
      <c r="DM67" s="12">
        <v>42580</v>
      </c>
      <c r="DN67">
        <v>4.04</v>
      </c>
      <c r="DO67" s="12">
        <v>42153</v>
      </c>
      <c r="DP67">
        <v>8.3070000000000004</v>
      </c>
      <c r="DQ67" s="12">
        <v>42153</v>
      </c>
      <c r="DR67">
        <v>17.111999999999998</v>
      </c>
      <c r="DS67" s="12">
        <v>42185</v>
      </c>
      <c r="DT67">
        <v>12.48</v>
      </c>
      <c r="DU67" s="12">
        <v>42153</v>
      </c>
      <c r="DV67">
        <v>6.2939999999999996</v>
      </c>
      <c r="DW67" s="12">
        <v>42153</v>
      </c>
      <c r="DX67">
        <v>3.528</v>
      </c>
      <c r="DY67" s="12">
        <v>42153</v>
      </c>
      <c r="DZ67">
        <v>9.8360000000000003</v>
      </c>
      <c r="EC67" s="12">
        <v>42153</v>
      </c>
      <c r="ED67">
        <v>36.375999999999998</v>
      </c>
      <c r="EE67" s="12">
        <v>42153</v>
      </c>
      <c r="EF67">
        <v>7.09</v>
      </c>
      <c r="EG67" s="12">
        <v>42153</v>
      </c>
      <c r="EH67">
        <v>16.631</v>
      </c>
      <c r="EI67" s="12">
        <v>42153</v>
      </c>
      <c r="EJ67">
        <v>18.678000000000001</v>
      </c>
      <c r="EK67" s="12">
        <v>42153</v>
      </c>
      <c r="EL67">
        <v>6.5960000000000001</v>
      </c>
      <c r="EM67" s="12">
        <v>42153</v>
      </c>
      <c r="EN67">
        <v>8.0630000000000006</v>
      </c>
      <c r="EQ67" s="12">
        <v>42153</v>
      </c>
      <c r="ER67">
        <v>7.25</v>
      </c>
      <c r="ES67" s="12">
        <v>42153</v>
      </c>
      <c r="ET67">
        <v>7.79</v>
      </c>
      <c r="EU67" s="12">
        <v>42153</v>
      </c>
      <c r="EV67">
        <v>4.6059999999999999</v>
      </c>
      <c r="EY67" s="12">
        <v>42153</v>
      </c>
      <c r="EZ67">
        <v>10.241</v>
      </c>
      <c r="FA67" s="12">
        <v>42153</v>
      </c>
      <c r="FB67">
        <v>18.024000000000001</v>
      </c>
      <c r="FC67" s="12">
        <v>42153</v>
      </c>
      <c r="FD67">
        <v>24.449000000000002</v>
      </c>
      <c r="FG67" s="12">
        <v>42153</v>
      </c>
      <c r="FH67">
        <v>5.0030000000000001</v>
      </c>
      <c r="FI67" s="12">
        <v>42153</v>
      </c>
      <c r="FJ67">
        <v>12.833</v>
      </c>
      <c r="FK67" s="12">
        <v>42153</v>
      </c>
      <c r="FL67">
        <v>14.093</v>
      </c>
      <c r="FM67" s="12">
        <v>42153</v>
      </c>
      <c r="FN67">
        <v>14.438000000000001</v>
      </c>
      <c r="FO67" s="12">
        <v>42153</v>
      </c>
      <c r="FP67">
        <v>26.4</v>
      </c>
      <c r="FQ67" s="12">
        <v>43644</v>
      </c>
      <c r="FR67">
        <v>15.715999999999999</v>
      </c>
      <c r="FS67" s="12">
        <v>42153</v>
      </c>
      <c r="FT67">
        <v>3.1459999999999999</v>
      </c>
      <c r="FU67" s="12">
        <v>42153</v>
      </c>
      <c r="FV67">
        <v>10.074999999999999</v>
      </c>
      <c r="FW67" s="12">
        <v>42153</v>
      </c>
      <c r="FX67">
        <v>13.090999999999999</v>
      </c>
      <c r="FY67" s="12">
        <v>43007</v>
      </c>
      <c r="FZ67">
        <v>4.1120000000000001</v>
      </c>
      <c r="GA67" s="12">
        <v>42153</v>
      </c>
      <c r="GB67">
        <v>17.414000000000001</v>
      </c>
      <c r="GC67" s="12">
        <v>42153</v>
      </c>
      <c r="GD67">
        <v>16.626999999999999</v>
      </c>
      <c r="GE67" s="12">
        <v>43312</v>
      </c>
      <c r="GF67">
        <v>18.305</v>
      </c>
      <c r="GI67" s="12">
        <v>42153</v>
      </c>
      <c r="GJ67">
        <v>16.489000000000001</v>
      </c>
      <c r="GK67" s="12">
        <v>42153</v>
      </c>
      <c r="GL67">
        <v>14.611000000000001</v>
      </c>
      <c r="GM67" s="12">
        <v>42153</v>
      </c>
      <c r="GN67">
        <v>27.074999999999999</v>
      </c>
      <c r="GO67" s="12">
        <v>42643</v>
      </c>
      <c r="GP67">
        <v>1.17</v>
      </c>
      <c r="GQ67" s="12">
        <v>42277</v>
      </c>
      <c r="GR67">
        <v>4.5</v>
      </c>
      <c r="GS67" s="12">
        <v>42153</v>
      </c>
      <c r="GT67">
        <v>14</v>
      </c>
      <c r="GW67" s="12">
        <v>42216</v>
      </c>
      <c r="GX67">
        <v>30.725000000000001</v>
      </c>
      <c r="GY67" s="12">
        <v>42153</v>
      </c>
      <c r="GZ67">
        <v>4.07</v>
      </c>
      <c r="HA67" s="12">
        <v>42153</v>
      </c>
      <c r="HB67">
        <v>5.5730000000000004</v>
      </c>
      <c r="HC67" s="12">
        <v>42153</v>
      </c>
      <c r="HD67">
        <v>15.071999999999999</v>
      </c>
      <c r="HE67" s="12">
        <v>42153</v>
      </c>
      <c r="HF67">
        <v>10.396000000000001</v>
      </c>
      <c r="HG67" s="12">
        <v>42153</v>
      </c>
      <c r="HH67">
        <v>13.350999999999999</v>
      </c>
      <c r="HI67" s="12">
        <v>42153</v>
      </c>
      <c r="HJ67">
        <v>9.8260000000000005</v>
      </c>
      <c r="HK67" s="12">
        <v>42153</v>
      </c>
      <c r="HL67">
        <v>7</v>
      </c>
      <c r="HM67" s="12">
        <v>42153</v>
      </c>
      <c r="HN67">
        <v>5.2610000000000001</v>
      </c>
      <c r="HO67" s="12">
        <v>42153</v>
      </c>
      <c r="HP67">
        <v>5.4039999999999999</v>
      </c>
      <c r="HQ67" s="12">
        <v>42247</v>
      </c>
      <c r="HR67">
        <v>15</v>
      </c>
      <c r="HS67" s="12">
        <v>42153</v>
      </c>
      <c r="HT67">
        <v>82.55</v>
      </c>
      <c r="HU67" s="12">
        <v>42153</v>
      </c>
      <c r="HV67">
        <v>185</v>
      </c>
      <c r="HW67" s="12">
        <v>42153</v>
      </c>
      <c r="HX67">
        <v>12.904</v>
      </c>
      <c r="HY67" s="12">
        <v>42153</v>
      </c>
      <c r="HZ67">
        <v>11.439</v>
      </c>
      <c r="IA67" s="12">
        <v>42153</v>
      </c>
      <c r="IB67">
        <v>65.664000000000001</v>
      </c>
      <c r="IC67" s="12">
        <v>42153</v>
      </c>
      <c r="ID67">
        <v>2.4729999999999999</v>
      </c>
      <c r="IE67" s="12">
        <v>42153</v>
      </c>
      <c r="IF67">
        <v>1.986</v>
      </c>
      <c r="IG67" s="12">
        <v>42460</v>
      </c>
      <c r="IH67">
        <v>1.8050000000000002</v>
      </c>
      <c r="II67" s="12">
        <v>42153</v>
      </c>
      <c r="IJ67">
        <v>5.0860000000000003</v>
      </c>
      <c r="IM67" s="12">
        <v>42153</v>
      </c>
      <c r="IN67">
        <v>27.62</v>
      </c>
      <c r="IO67" s="12">
        <v>42704</v>
      </c>
      <c r="IP67">
        <v>14.129</v>
      </c>
      <c r="IQ67" s="12">
        <v>42153</v>
      </c>
      <c r="IR67">
        <v>33.99</v>
      </c>
      <c r="IU67" s="12">
        <v>42153</v>
      </c>
      <c r="IV67">
        <v>3.2267000000000001</v>
      </c>
      <c r="IY67" s="12">
        <v>42153</v>
      </c>
      <c r="IZ67">
        <v>8.9540000000000006</v>
      </c>
      <c r="JC67" s="12">
        <v>42153</v>
      </c>
      <c r="JD67">
        <v>5</v>
      </c>
      <c r="JE67" s="12">
        <v>42153</v>
      </c>
      <c r="JF67">
        <v>7.9</v>
      </c>
      <c r="JI67" s="12">
        <v>42153</v>
      </c>
      <c r="JJ67">
        <v>11.5</v>
      </c>
      <c r="JM67" s="12">
        <v>42153</v>
      </c>
      <c r="JN67">
        <v>1.034</v>
      </c>
      <c r="JO67" s="12">
        <v>42153</v>
      </c>
      <c r="JP67">
        <v>16.224</v>
      </c>
      <c r="JQ67" s="12">
        <v>43553</v>
      </c>
      <c r="JR67">
        <v>18.268999999999998</v>
      </c>
      <c r="JS67" s="12">
        <v>42153</v>
      </c>
      <c r="JT67">
        <v>6.1769999999999996</v>
      </c>
      <c r="JU67" s="12">
        <v>43371</v>
      </c>
      <c r="JV67">
        <v>42.540999999999997</v>
      </c>
      <c r="JW67" s="12">
        <v>42153</v>
      </c>
      <c r="JX67">
        <v>10.743</v>
      </c>
      <c r="JY67" s="12">
        <v>42153</v>
      </c>
      <c r="JZ67">
        <v>10.048999999999999</v>
      </c>
      <c r="KC67" s="12">
        <v>42153</v>
      </c>
      <c r="KD67">
        <v>15.798999999999999</v>
      </c>
      <c r="KE67" s="12">
        <v>42153</v>
      </c>
      <c r="KF67">
        <v>12.478</v>
      </c>
      <c r="KI67" s="12">
        <v>42153</v>
      </c>
      <c r="KJ67">
        <v>3.0329999999999999</v>
      </c>
      <c r="KO67" s="12">
        <v>42153</v>
      </c>
      <c r="KP67">
        <v>50</v>
      </c>
      <c r="KQ67" s="12">
        <v>42153</v>
      </c>
      <c r="KR67">
        <v>24</v>
      </c>
      <c r="KS67" s="12">
        <v>42153</v>
      </c>
      <c r="KT67">
        <v>11.444000000000001</v>
      </c>
      <c r="KU67" s="12">
        <v>42153</v>
      </c>
      <c r="KV67">
        <v>8.5090000000000003</v>
      </c>
      <c r="LC67" s="12">
        <v>42153</v>
      </c>
      <c r="LD67">
        <v>11.518000000000001</v>
      </c>
      <c r="LE67" s="12">
        <v>42153</v>
      </c>
      <c r="LF67">
        <v>6.97</v>
      </c>
      <c r="LG67" s="12">
        <v>42153</v>
      </c>
      <c r="LH67">
        <v>13.097</v>
      </c>
      <c r="LI67" s="12">
        <v>42153</v>
      </c>
      <c r="LJ67">
        <v>30.341999999999999</v>
      </c>
      <c r="LM67" s="12">
        <v>42153</v>
      </c>
      <c r="LN67">
        <v>15.4</v>
      </c>
      <c r="LO67" s="12">
        <v>42153</v>
      </c>
      <c r="LP67">
        <v>4.8639999999999999</v>
      </c>
      <c r="LQ67" s="12">
        <v>42153</v>
      </c>
      <c r="LR67">
        <v>17.518000000000001</v>
      </c>
      <c r="LS67" s="12">
        <v>42153</v>
      </c>
      <c r="LT67">
        <v>15.699</v>
      </c>
      <c r="LW67" s="12">
        <v>42153</v>
      </c>
      <c r="LX67">
        <v>50.365000000000002</v>
      </c>
      <c r="LY67" s="12">
        <v>42153</v>
      </c>
      <c r="LZ67">
        <v>33.347000000000001</v>
      </c>
      <c r="MA67" s="12">
        <v>42153</v>
      </c>
      <c r="MB67">
        <v>36.819000000000003</v>
      </c>
      <c r="ME67" s="12">
        <v>42185</v>
      </c>
      <c r="MF67">
        <v>6.84</v>
      </c>
      <c r="MG67" s="12">
        <v>42153</v>
      </c>
      <c r="MH67">
        <v>12.028</v>
      </c>
      <c r="MK67" s="12">
        <v>42153</v>
      </c>
      <c r="ML67">
        <v>14.348000000000001</v>
      </c>
    </row>
    <row r="68" spans="1:350" x14ac:dyDescent="0.3">
      <c r="A68" s="12">
        <v>42185</v>
      </c>
      <c r="B68" s="1">
        <v>16.643000000000001</v>
      </c>
      <c r="C68" s="1"/>
      <c r="G68" s="17">
        <v>42185</v>
      </c>
      <c r="H68" s="13">
        <v>5.6390000000000002</v>
      </c>
      <c r="I68" s="17">
        <v>42216</v>
      </c>
      <c r="J68">
        <v>13.132999999999999</v>
      </c>
      <c r="K68" s="12">
        <v>43404</v>
      </c>
      <c r="L68">
        <v>16.492000000000001</v>
      </c>
      <c r="N68" s="12"/>
      <c r="Q68" s="12">
        <v>43585</v>
      </c>
      <c r="R68">
        <v>19.95</v>
      </c>
      <c r="S68" s="12">
        <v>42185</v>
      </c>
      <c r="T68">
        <v>9.359</v>
      </c>
      <c r="U68" s="12">
        <v>42613</v>
      </c>
      <c r="V68">
        <v>22.978000000000002</v>
      </c>
      <c r="Y68" s="12">
        <v>42185</v>
      </c>
      <c r="Z68">
        <v>9.8249999999999993</v>
      </c>
      <c r="AA68" s="12">
        <v>42185</v>
      </c>
      <c r="AB68">
        <v>19.228999999999999</v>
      </c>
      <c r="AC68" s="12">
        <v>42185</v>
      </c>
      <c r="AD68">
        <v>12.843999999999999</v>
      </c>
      <c r="AE68" s="12">
        <v>42185</v>
      </c>
      <c r="AF68">
        <v>12.896000000000001</v>
      </c>
      <c r="AG68" s="12">
        <v>42185</v>
      </c>
      <c r="AH68">
        <v>20.077999999999999</v>
      </c>
      <c r="AI68" s="12">
        <v>43404</v>
      </c>
      <c r="AJ68">
        <v>21.957999999999998</v>
      </c>
      <c r="AK68" s="12">
        <v>42185</v>
      </c>
      <c r="AL68">
        <v>11.17</v>
      </c>
      <c r="AS68" s="12">
        <v>42185</v>
      </c>
      <c r="AT68">
        <v>1.4710000000000001</v>
      </c>
      <c r="AU68" s="12">
        <v>42185</v>
      </c>
      <c r="AV68">
        <v>8.51</v>
      </c>
      <c r="AY68" s="12">
        <v>42185</v>
      </c>
      <c r="AZ68">
        <v>63.406999999999996</v>
      </c>
      <c r="BA68" s="12">
        <v>42185</v>
      </c>
      <c r="BB68">
        <v>11.109</v>
      </c>
      <c r="BC68" s="12">
        <v>42185</v>
      </c>
      <c r="BD68">
        <v>9</v>
      </c>
      <c r="BE68" s="12">
        <v>42277</v>
      </c>
      <c r="BF68">
        <v>8.3770000000000007</v>
      </c>
      <c r="BG68" s="12">
        <v>42185</v>
      </c>
      <c r="BH68">
        <v>6.0750000000000002</v>
      </c>
      <c r="BI68" s="12">
        <v>42185</v>
      </c>
      <c r="BJ68">
        <v>19.683</v>
      </c>
      <c r="BK68" s="12">
        <v>42185</v>
      </c>
      <c r="BL68">
        <v>11.576000000000001</v>
      </c>
      <c r="BM68" s="12">
        <v>42185</v>
      </c>
      <c r="BN68">
        <v>16.495999999999999</v>
      </c>
      <c r="BO68" s="12">
        <v>42185</v>
      </c>
      <c r="BP68">
        <v>24.417000000000002</v>
      </c>
      <c r="BQ68" s="12">
        <v>42185</v>
      </c>
      <c r="BR68">
        <v>9.798</v>
      </c>
      <c r="BS68" s="12">
        <v>42185</v>
      </c>
      <c r="BT68">
        <v>8.7829999999999995</v>
      </c>
      <c r="BW68" s="12">
        <v>42185</v>
      </c>
      <c r="BX68">
        <v>10.641999999999999</v>
      </c>
      <c r="BY68" s="12">
        <v>42185</v>
      </c>
      <c r="BZ68">
        <v>17.923000000000002</v>
      </c>
      <c r="CA68" s="12">
        <v>42185</v>
      </c>
      <c r="CB68">
        <v>27.547000000000001</v>
      </c>
      <c r="CE68" s="12">
        <v>42185</v>
      </c>
      <c r="CF68">
        <v>24.027999999999999</v>
      </c>
      <c r="CG68" s="12">
        <v>42185</v>
      </c>
      <c r="CH68">
        <v>21.335000000000001</v>
      </c>
      <c r="CI68" s="12">
        <v>42185</v>
      </c>
      <c r="CJ68">
        <v>10.835000000000001</v>
      </c>
      <c r="CK68" s="12">
        <v>42185</v>
      </c>
      <c r="CL68">
        <v>4.8209999999999997</v>
      </c>
      <c r="CM68" s="12">
        <v>42185</v>
      </c>
      <c r="CN68">
        <v>31.585000000000001</v>
      </c>
      <c r="CO68" s="12">
        <v>43644</v>
      </c>
      <c r="CP68">
        <v>49.322000000000003</v>
      </c>
      <c r="CQ68" s="12">
        <v>42185</v>
      </c>
      <c r="CR68">
        <v>8.2520000000000007</v>
      </c>
      <c r="CS68" s="12">
        <v>42185</v>
      </c>
      <c r="CT68">
        <v>9.9849999999999994</v>
      </c>
      <c r="CU68" s="12">
        <v>42185</v>
      </c>
      <c r="CV68">
        <v>3.7850000000000001</v>
      </c>
      <c r="CW68" s="12">
        <v>42185</v>
      </c>
      <c r="CX68">
        <v>6.1230000000000002</v>
      </c>
      <c r="CY68" s="12">
        <v>42277</v>
      </c>
      <c r="CZ68">
        <v>5.2750000000000004</v>
      </c>
      <c r="DA68" s="12">
        <v>42185</v>
      </c>
      <c r="DB68">
        <v>20.187999999999999</v>
      </c>
      <c r="DC68" s="12">
        <v>42185</v>
      </c>
      <c r="DD68">
        <v>5.7249999999999996</v>
      </c>
      <c r="DE68" s="12">
        <v>42185</v>
      </c>
      <c r="DF68">
        <v>7.4859999999999998</v>
      </c>
      <c r="DG68" s="12">
        <v>42947</v>
      </c>
      <c r="DH68">
        <v>14.3</v>
      </c>
      <c r="DI68" s="12">
        <v>42185</v>
      </c>
      <c r="DJ68">
        <v>17.119</v>
      </c>
      <c r="DK68" s="12">
        <v>42185</v>
      </c>
      <c r="DL68">
        <v>22.911000000000001</v>
      </c>
      <c r="DM68" s="12">
        <v>42613</v>
      </c>
      <c r="DN68">
        <v>3.6970000000000001</v>
      </c>
      <c r="DO68" s="12">
        <v>42185</v>
      </c>
      <c r="DP68">
        <v>9.0969999999999995</v>
      </c>
      <c r="DQ68" s="12">
        <v>42185</v>
      </c>
      <c r="DR68">
        <v>17.111999999999998</v>
      </c>
      <c r="DS68" s="12">
        <v>42216</v>
      </c>
      <c r="DT68">
        <v>12.632</v>
      </c>
      <c r="DU68" s="12">
        <v>42185</v>
      </c>
      <c r="DV68">
        <v>6.5510000000000002</v>
      </c>
      <c r="DW68" s="12">
        <v>42185</v>
      </c>
      <c r="DX68">
        <v>3.0880000000000001</v>
      </c>
      <c r="DY68" s="12">
        <v>42185</v>
      </c>
      <c r="DZ68">
        <v>8.6530000000000005</v>
      </c>
      <c r="EC68" s="12">
        <v>42185</v>
      </c>
      <c r="ED68">
        <v>35.277999999999999</v>
      </c>
      <c r="EE68" s="12">
        <v>42185</v>
      </c>
      <c r="EF68">
        <v>7.5209999999999999</v>
      </c>
      <c r="EG68" s="12">
        <v>42185</v>
      </c>
      <c r="EH68">
        <v>17.12</v>
      </c>
      <c r="EI68" s="12">
        <v>42185</v>
      </c>
      <c r="EJ68">
        <v>18.756</v>
      </c>
      <c r="EK68" s="12">
        <v>42185</v>
      </c>
      <c r="EL68">
        <v>5.6079999999999997</v>
      </c>
      <c r="EM68" s="12">
        <v>42185</v>
      </c>
      <c r="EN68">
        <v>6.9660000000000002</v>
      </c>
      <c r="EQ68" s="12">
        <v>42185</v>
      </c>
      <c r="ER68">
        <v>5.9210000000000003</v>
      </c>
      <c r="ES68" s="12">
        <v>42185</v>
      </c>
      <c r="ET68">
        <v>7.37</v>
      </c>
      <c r="EU68" s="12">
        <v>42185</v>
      </c>
      <c r="EV68">
        <v>4.4370000000000003</v>
      </c>
      <c r="EY68" s="12">
        <v>42185</v>
      </c>
      <c r="EZ68">
        <v>9.6449999999999996</v>
      </c>
      <c r="FA68" s="12">
        <v>42185</v>
      </c>
      <c r="FB68">
        <v>18.745000000000001</v>
      </c>
      <c r="FC68" s="12">
        <v>42185</v>
      </c>
      <c r="FD68">
        <v>22.738</v>
      </c>
      <c r="FG68" s="12">
        <v>42185</v>
      </c>
      <c r="FH68">
        <v>5.0629999999999997</v>
      </c>
      <c r="FI68" s="12">
        <v>42185</v>
      </c>
      <c r="FJ68">
        <v>13.135999999999999</v>
      </c>
      <c r="FK68" s="12">
        <v>42185</v>
      </c>
      <c r="FL68">
        <v>14.054</v>
      </c>
      <c r="FM68" s="12">
        <v>42185</v>
      </c>
      <c r="FN68">
        <v>15.141</v>
      </c>
      <c r="FO68" s="12">
        <v>42185</v>
      </c>
      <c r="FP68">
        <v>26.128</v>
      </c>
      <c r="FQ68" s="12">
        <v>43677</v>
      </c>
      <c r="FR68">
        <v>15.417999999999999</v>
      </c>
      <c r="FS68" s="12">
        <v>42185</v>
      </c>
      <c r="FT68">
        <v>3.081</v>
      </c>
      <c r="FU68" s="12">
        <v>42185</v>
      </c>
      <c r="FV68">
        <v>10.62</v>
      </c>
      <c r="FW68" s="12">
        <v>42185</v>
      </c>
      <c r="FX68">
        <v>14.029</v>
      </c>
      <c r="FY68" s="12">
        <v>43039</v>
      </c>
      <c r="FZ68">
        <v>5.0999999999999996</v>
      </c>
      <c r="GA68" s="12">
        <v>42185</v>
      </c>
      <c r="GB68">
        <v>16.417000000000002</v>
      </c>
      <c r="GC68" s="12">
        <v>42185</v>
      </c>
      <c r="GD68">
        <v>16.558</v>
      </c>
      <c r="GE68" s="12">
        <v>43343</v>
      </c>
      <c r="GF68">
        <v>17.016999999999999</v>
      </c>
      <c r="GI68" s="12">
        <v>42185</v>
      </c>
      <c r="GJ68">
        <v>17.437000000000001</v>
      </c>
      <c r="GK68" s="12">
        <v>42185</v>
      </c>
      <c r="GL68">
        <v>12.785</v>
      </c>
      <c r="GM68" s="12">
        <v>42185</v>
      </c>
      <c r="GN68">
        <v>25.786000000000001</v>
      </c>
      <c r="GO68" s="12">
        <v>42674</v>
      </c>
      <c r="GP68">
        <v>1.4139999999999999</v>
      </c>
      <c r="GQ68" s="12">
        <v>42307</v>
      </c>
      <c r="GR68">
        <v>4.4800000000000004</v>
      </c>
      <c r="GS68" s="12">
        <v>42185</v>
      </c>
      <c r="GT68">
        <v>12.75</v>
      </c>
      <c r="GW68" s="12">
        <v>42247</v>
      </c>
      <c r="GX68">
        <v>28.545999999999999</v>
      </c>
      <c r="GY68" s="12">
        <v>42185</v>
      </c>
      <c r="GZ68">
        <v>5.6899999999999995</v>
      </c>
      <c r="HA68" s="12">
        <v>42185</v>
      </c>
      <c r="HB68">
        <v>5.7270000000000003</v>
      </c>
      <c r="HC68" s="12">
        <v>42185</v>
      </c>
      <c r="HD68">
        <v>14.504</v>
      </c>
      <c r="HE68" s="12">
        <v>42185</v>
      </c>
      <c r="HF68">
        <v>10.933999999999999</v>
      </c>
      <c r="HG68" s="12">
        <v>42185</v>
      </c>
      <c r="HH68">
        <v>12.824999999999999</v>
      </c>
      <c r="HI68" s="12">
        <v>42185</v>
      </c>
      <c r="HJ68">
        <v>9.3810000000000002</v>
      </c>
      <c r="HK68" s="12">
        <v>42185</v>
      </c>
      <c r="HL68">
        <v>6</v>
      </c>
      <c r="HM68" s="12">
        <v>42185</v>
      </c>
      <c r="HN68">
        <v>4.4779999999999998</v>
      </c>
      <c r="HO68" s="12">
        <v>42185</v>
      </c>
      <c r="HP68">
        <v>4.4719999999999995</v>
      </c>
      <c r="HQ68" s="12">
        <v>42277</v>
      </c>
      <c r="HR68">
        <v>16</v>
      </c>
      <c r="HS68" s="12">
        <v>42185</v>
      </c>
      <c r="HT68">
        <v>70.647000000000006</v>
      </c>
      <c r="HU68" s="12">
        <v>42185</v>
      </c>
      <c r="HV68">
        <v>180</v>
      </c>
      <c r="HW68" s="12">
        <v>42185</v>
      </c>
      <c r="HX68">
        <v>13.663</v>
      </c>
      <c r="HY68" s="12">
        <v>42185</v>
      </c>
      <c r="HZ68">
        <v>11.792</v>
      </c>
      <c r="IA68" s="12">
        <v>42185</v>
      </c>
      <c r="IB68">
        <v>64.694000000000003</v>
      </c>
      <c r="IC68" s="12">
        <v>42185</v>
      </c>
      <c r="ID68">
        <v>2.0539999999999998</v>
      </c>
      <c r="IE68" s="12">
        <v>42185</v>
      </c>
      <c r="IF68">
        <v>2.016</v>
      </c>
      <c r="IG68" s="12">
        <v>42489</v>
      </c>
      <c r="IH68">
        <v>1.9</v>
      </c>
      <c r="II68" s="12">
        <v>42185</v>
      </c>
      <c r="IJ68">
        <v>7.726</v>
      </c>
      <c r="IM68" s="12">
        <v>42185</v>
      </c>
      <c r="IN68">
        <v>31.579000000000001</v>
      </c>
      <c r="IO68" s="12">
        <v>42734</v>
      </c>
      <c r="IP68">
        <v>14.821999999999999</v>
      </c>
      <c r="IQ68" s="12">
        <v>42185</v>
      </c>
      <c r="IR68">
        <v>38.351999999999997</v>
      </c>
      <c r="IU68" s="12">
        <v>42185</v>
      </c>
      <c r="IV68">
        <v>2.9685999999999999</v>
      </c>
      <c r="IY68" s="12">
        <v>42185</v>
      </c>
      <c r="IZ68">
        <v>8.6009999999999991</v>
      </c>
      <c r="JC68" s="12">
        <v>42185</v>
      </c>
      <c r="JD68">
        <v>5.2</v>
      </c>
      <c r="JE68" s="12">
        <v>42185</v>
      </c>
      <c r="JF68">
        <v>6.4</v>
      </c>
      <c r="JI68" s="12">
        <v>42185</v>
      </c>
      <c r="JJ68">
        <v>12.269</v>
      </c>
      <c r="JM68" s="12">
        <v>42185</v>
      </c>
      <c r="JN68">
        <v>0.86699999999999999</v>
      </c>
      <c r="JO68" s="12">
        <v>42185</v>
      </c>
      <c r="JP68">
        <v>14.430999999999999</v>
      </c>
      <c r="JQ68" s="12">
        <v>43585</v>
      </c>
      <c r="JR68">
        <v>20.701000000000001</v>
      </c>
      <c r="JS68" s="12">
        <v>42185</v>
      </c>
      <c r="JT68">
        <v>6.7629999999999999</v>
      </c>
      <c r="JU68" s="12">
        <v>43404</v>
      </c>
      <c r="JV68">
        <v>34.448999999999998</v>
      </c>
      <c r="JW68" s="12">
        <v>42185</v>
      </c>
      <c r="JX68">
        <v>11.307</v>
      </c>
      <c r="JY68" s="12">
        <v>42185</v>
      </c>
      <c r="JZ68">
        <v>11.61</v>
      </c>
      <c r="KC68" s="12">
        <v>42185</v>
      </c>
      <c r="KD68">
        <v>15.666</v>
      </c>
      <c r="KE68" s="12">
        <v>42185</v>
      </c>
      <c r="KF68">
        <v>12.472</v>
      </c>
      <c r="KI68" s="12">
        <v>42185</v>
      </c>
      <c r="KJ68">
        <v>2.698</v>
      </c>
      <c r="KO68" s="12">
        <v>42185</v>
      </c>
      <c r="KP68">
        <v>34</v>
      </c>
      <c r="KQ68" s="12">
        <v>42185</v>
      </c>
      <c r="KR68">
        <v>26.1</v>
      </c>
      <c r="KS68" s="12">
        <v>42185</v>
      </c>
      <c r="KT68">
        <v>11.781000000000001</v>
      </c>
      <c r="KU68" s="12">
        <v>42185</v>
      </c>
      <c r="KV68">
        <v>9.25</v>
      </c>
      <c r="LC68" s="12">
        <v>42185</v>
      </c>
      <c r="LD68">
        <v>12.042999999999999</v>
      </c>
      <c r="LE68" s="12">
        <v>42185</v>
      </c>
      <c r="LF68">
        <v>6.82</v>
      </c>
      <c r="LG68" s="12">
        <v>42185</v>
      </c>
      <c r="LH68">
        <v>12.167999999999999</v>
      </c>
      <c r="LI68" s="12">
        <v>42185</v>
      </c>
      <c r="LJ68">
        <v>29.042999999999999</v>
      </c>
      <c r="LM68" s="12">
        <v>42185</v>
      </c>
      <c r="LN68">
        <v>12.843</v>
      </c>
      <c r="LO68" s="12">
        <v>42185</v>
      </c>
      <c r="LP68">
        <v>3.9290000000000003</v>
      </c>
      <c r="LQ68" s="12">
        <v>42185</v>
      </c>
      <c r="LR68">
        <v>15.981</v>
      </c>
      <c r="LS68" s="12">
        <v>42185</v>
      </c>
      <c r="LT68">
        <v>14.593999999999999</v>
      </c>
      <c r="LW68" s="12">
        <v>42185</v>
      </c>
      <c r="LX68">
        <v>41.970999999999997</v>
      </c>
      <c r="LY68" s="12">
        <v>42185</v>
      </c>
      <c r="LZ68">
        <v>32.387999999999998</v>
      </c>
      <c r="MA68" s="12">
        <v>42185</v>
      </c>
      <c r="MB68">
        <v>36.722999999999999</v>
      </c>
      <c r="ME68" s="12">
        <v>42216</v>
      </c>
      <c r="MF68">
        <v>7.6550000000000002</v>
      </c>
      <c r="MG68" s="12">
        <v>42185</v>
      </c>
      <c r="MH68">
        <v>13.349</v>
      </c>
      <c r="MK68" s="12">
        <v>42185</v>
      </c>
      <c r="ML68">
        <v>14.113</v>
      </c>
    </row>
    <row r="69" spans="1:350" x14ac:dyDescent="0.3">
      <c r="A69" s="12">
        <v>42216</v>
      </c>
      <c r="B69" s="1">
        <v>16.957000000000001</v>
      </c>
      <c r="C69" s="1"/>
      <c r="G69" s="17">
        <v>42216</v>
      </c>
      <c r="H69" s="13">
        <v>5.3250000000000002</v>
      </c>
      <c r="I69" s="17">
        <v>42247</v>
      </c>
      <c r="J69">
        <v>10.51</v>
      </c>
      <c r="K69" s="12">
        <v>43434</v>
      </c>
      <c r="L69">
        <v>17.245999999999999</v>
      </c>
      <c r="N69" s="12"/>
      <c r="Q69" s="12">
        <v>43616</v>
      </c>
      <c r="R69">
        <v>18.989999999999998</v>
      </c>
      <c r="S69" s="12">
        <v>42216</v>
      </c>
      <c r="T69">
        <v>9.4580000000000002</v>
      </c>
      <c r="U69" s="12">
        <v>42643</v>
      </c>
      <c r="V69">
        <v>23.248000000000001</v>
      </c>
      <c r="Y69" s="12">
        <v>42216</v>
      </c>
      <c r="Z69">
        <v>8.7520000000000007</v>
      </c>
      <c r="AA69" s="12">
        <v>42216</v>
      </c>
      <c r="AB69">
        <v>17.463000000000001</v>
      </c>
      <c r="AC69" s="12">
        <v>42216</v>
      </c>
      <c r="AD69">
        <v>12.705</v>
      </c>
      <c r="AE69" s="12">
        <v>42216</v>
      </c>
      <c r="AF69">
        <v>12.353</v>
      </c>
      <c r="AG69" s="12">
        <v>42216</v>
      </c>
      <c r="AH69">
        <v>19.423999999999999</v>
      </c>
      <c r="AI69" s="12">
        <v>43434</v>
      </c>
      <c r="AJ69">
        <v>23.484000000000002</v>
      </c>
      <c r="AK69" s="12">
        <v>42216</v>
      </c>
      <c r="AL69">
        <v>10.994999999999999</v>
      </c>
      <c r="AS69" s="12">
        <v>42216</v>
      </c>
      <c r="AT69">
        <v>1.4330000000000001</v>
      </c>
      <c r="AU69" s="12">
        <v>42216</v>
      </c>
      <c r="AV69">
        <v>7.96</v>
      </c>
      <c r="AY69" s="12">
        <v>42216</v>
      </c>
      <c r="AZ69">
        <v>69.918000000000006</v>
      </c>
      <c r="BA69" s="12">
        <v>42216</v>
      </c>
      <c r="BB69">
        <v>10.228</v>
      </c>
      <c r="BC69" s="12">
        <v>42216</v>
      </c>
      <c r="BD69">
        <v>7.9429999999999996</v>
      </c>
      <c r="BE69" s="12">
        <v>42307</v>
      </c>
      <c r="BF69">
        <v>9.2379999999999995</v>
      </c>
      <c r="BG69" s="12">
        <v>42216</v>
      </c>
      <c r="BH69">
        <v>6.7430000000000003</v>
      </c>
      <c r="BI69" s="12">
        <v>42216</v>
      </c>
      <c r="BJ69">
        <v>17.376000000000001</v>
      </c>
      <c r="BK69" s="12">
        <v>42216</v>
      </c>
      <c r="BL69">
        <v>11.817</v>
      </c>
      <c r="BM69" s="12">
        <v>42216</v>
      </c>
      <c r="BN69">
        <v>16.093</v>
      </c>
      <c r="BO69" s="12">
        <v>42216</v>
      </c>
      <c r="BP69">
        <v>24.367000000000001</v>
      </c>
      <c r="BQ69" s="12">
        <v>42216</v>
      </c>
      <c r="BR69">
        <v>8.1180000000000003</v>
      </c>
      <c r="BS69" s="12">
        <v>42216</v>
      </c>
      <c r="BT69">
        <v>6.9909999999999997</v>
      </c>
      <c r="BW69" s="12">
        <v>42216</v>
      </c>
      <c r="BX69">
        <v>8.593</v>
      </c>
      <c r="BY69" s="12">
        <v>42216</v>
      </c>
      <c r="BZ69">
        <v>17.951000000000001</v>
      </c>
      <c r="CA69" s="12">
        <v>42216</v>
      </c>
      <c r="CB69">
        <v>27.806999999999999</v>
      </c>
      <c r="CE69" s="12">
        <v>42216</v>
      </c>
      <c r="CF69">
        <v>23.89</v>
      </c>
      <c r="CG69" s="12">
        <v>42216</v>
      </c>
      <c r="CH69">
        <v>17.645</v>
      </c>
      <c r="CI69" s="12">
        <v>42216</v>
      </c>
      <c r="CJ69">
        <v>9.4359999999999999</v>
      </c>
      <c r="CK69" s="12">
        <v>42216</v>
      </c>
      <c r="CL69">
        <v>4.0369999999999999</v>
      </c>
      <c r="CM69" s="12">
        <v>42216</v>
      </c>
      <c r="CN69">
        <v>32.863999999999997</v>
      </c>
      <c r="CO69" s="12">
        <v>43677</v>
      </c>
      <c r="CP69">
        <v>50.381</v>
      </c>
      <c r="CQ69" s="12">
        <v>42216</v>
      </c>
      <c r="CR69">
        <v>7.7519999999999998</v>
      </c>
      <c r="CS69" s="12">
        <v>42216</v>
      </c>
      <c r="CT69">
        <v>10.034000000000001</v>
      </c>
      <c r="CU69" s="12">
        <v>42216</v>
      </c>
      <c r="CV69">
        <v>3.0139999999999998</v>
      </c>
      <c r="CW69" s="12">
        <v>42216</v>
      </c>
      <c r="CX69">
        <v>5.9130000000000003</v>
      </c>
      <c r="CY69" s="12">
        <v>42307</v>
      </c>
      <c r="CZ69">
        <v>5.1449999999999996</v>
      </c>
      <c r="DA69" s="12">
        <v>42216</v>
      </c>
      <c r="DB69">
        <v>21.404</v>
      </c>
      <c r="DC69" s="12">
        <v>42216</v>
      </c>
      <c r="DD69">
        <v>5.6370000000000005</v>
      </c>
      <c r="DE69" s="12">
        <v>42216</v>
      </c>
      <c r="DF69">
        <v>7.548</v>
      </c>
      <c r="DG69" s="12">
        <v>42978</v>
      </c>
      <c r="DH69">
        <v>16.7</v>
      </c>
      <c r="DI69" s="12">
        <v>42216</v>
      </c>
      <c r="DJ69">
        <v>14.54</v>
      </c>
      <c r="DK69" s="12">
        <v>42216</v>
      </c>
      <c r="DL69">
        <v>23.143000000000001</v>
      </c>
      <c r="DM69" s="12">
        <v>42643</v>
      </c>
      <c r="DN69">
        <v>3.0750000000000002</v>
      </c>
      <c r="DO69" s="12">
        <v>42216</v>
      </c>
      <c r="DP69">
        <v>10.314</v>
      </c>
      <c r="DQ69" s="12">
        <v>42216</v>
      </c>
      <c r="DR69">
        <v>14.83</v>
      </c>
      <c r="DS69" s="12">
        <v>42247</v>
      </c>
      <c r="DT69">
        <v>11.968999999999999</v>
      </c>
      <c r="DU69" s="12">
        <v>42216</v>
      </c>
      <c r="DV69">
        <v>6.52</v>
      </c>
      <c r="DW69" s="12">
        <v>42216</v>
      </c>
      <c r="DX69">
        <v>2.7320000000000002</v>
      </c>
      <c r="DY69" s="12">
        <v>42216</v>
      </c>
      <c r="DZ69">
        <v>8.2759999999999998</v>
      </c>
      <c r="EC69" s="12">
        <v>42216</v>
      </c>
      <c r="ED69">
        <v>37.872999999999998</v>
      </c>
      <c r="EE69" s="12">
        <v>42216</v>
      </c>
      <c r="EF69">
        <v>7.3769999999999998</v>
      </c>
      <c r="EG69" s="12">
        <v>42216</v>
      </c>
      <c r="EH69">
        <v>17.902999999999999</v>
      </c>
      <c r="EI69" s="12">
        <v>42216</v>
      </c>
      <c r="EJ69">
        <v>20.012</v>
      </c>
      <c r="EK69" s="12">
        <v>42216</v>
      </c>
      <c r="EL69">
        <v>4.6109999999999998</v>
      </c>
      <c r="EM69" s="12">
        <v>42216</v>
      </c>
      <c r="EN69">
        <v>5.4870000000000001</v>
      </c>
      <c r="EQ69" s="12">
        <v>42216</v>
      </c>
      <c r="ER69">
        <v>3.2530000000000001</v>
      </c>
      <c r="ES69" s="12">
        <v>42216</v>
      </c>
      <c r="ET69">
        <v>5.68</v>
      </c>
      <c r="EU69" s="12">
        <v>42216</v>
      </c>
      <c r="EV69">
        <v>4.7780000000000005</v>
      </c>
      <c r="EY69" s="12">
        <v>42216</v>
      </c>
      <c r="EZ69">
        <v>9.391</v>
      </c>
      <c r="FA69" s="12">
        <v>42216</v>
      </c>
      <c r="FB69">
        <v>16.782</v>
      </c>
      <c r="FC69" s="12">
        <v>42216</v>
      </c>
      <c r="FD69">
        <v>22.128</v>
      </c>
      <c r="FG69" s="12">
        <v>42216</v>
      </c>
      <c r="FH69">
        <v>4.7729999999999997</v>
      </c>
      <c r="FI69" s="12">
        <v>42216</v>
      </c>
      <c r="FJ69">
        <v>12.406000000000001</v>
      </c>
      <c r="FK69" s="12">
        <v>42216</v>
      </c>
      <c r="FL69">
        <v>13.595000000000001</v>
      </c>
      <c r="FM69" s="12">
        <v>42216</v>
      </c>
      <c r="FN69">
        <v>14.262</v>
      </c>
      <c r="FO69" s="12">
        <v>42216</v>
      </c>
      <c r="FP69">
        <v>23.244</v>
      </c>
      <c r="FQ69" s="12">
        <v>43707</v>
      </c>
      <c r="FR69">
        <v>14.647</v>
      </c>
      <c r="FS69" s="12">
        <v>42216</v>
      </c>
      <c r="FT69">
        <v>3.3959999999999999</v>
      </c>
      <c r="FU69" s="12">
        <v>42216</v>
      </c>
      <c r="FV69">
        <v>10.7</v>
      </c>
      <c r="FW69" s="12">
        <v>42216</v>
      </c>
      <c r="FX69">
        <v>13.949</v>
      </c>
      <c r="FY69" s="12">
        <v>43069</v>
      </c>
      <c r="FZ69">
        <v>4.8449999999999998</v>
      </c>
      <c r="GA69" s="12">
        <v>42216</v>
      </c>
      <c r="GB69">
        <v>15.842000000000001</v>
      </c>
      <c r="GC69" s="12">
        <v>42216</v>
      </c>
      <c r="GD69">
        <v>13.781000000000001</v>
      </c>
      <c r="GE69" s="12">
        <v>43371</v>
      </c>
      <c r="GF69">
        <v>16.196000000000002</v>
      </c>
      <c r="GI69" s="12">
        <v>42216</v>
      </c>
      <c r="GJ69">
        <v>16.803000000000001</v>
      </c>
      <c r="GK69" s="12">
        <v>42216</v>
      </c>
      <c r="GL69">
        <v>12.237</v>
      </c>
      <c r="GM69" s="12">
        <v>42216</v>
      </c>
      <c r="GN69">
        <v>24.460999999999999</v>
      </c>
      <c r="GO69" s="12">
        <v>42704</v>
      </c>
      <c r="GP69">
        <v>1.5899999999999999</v>
      </c>
      <c r="GQ69" s="12">
        <v>42338</v>
      </c>
      <c r="GR69">
        <v>3.4</v>
      </c>
      <c r="GS69" s="12">
        <v>42216</v>
      </c>
      <c r="GT69">
        <v>10.25</v>
      </c>
      <c r="GW69" s="12">
        <v>42277</v>
      </c>
      <c r="GX69">
        <v>24.187999999999999</v>
      </c>
      <c r="GY69" s="12">
        <v>42216</v>
      </c>
      <c r="GZ69">
        <v>5.31</v>
      </c>
      <c r="HA69" s="12">
        <v>42216</v>
      </c>
      <c r="HB69">
        <v>5.6459999999999999</v>
      </c>
      <c r="HC69" s="12">
        <v>42216</v>
      </c>
      <c r="HD69">
        <v>14.252000000000001</v>
      </c>
      <c r="HE69" s="12">
        <v>42216</v>
      </c>
      <c r="HF69">
        <v>10.587</v>
      </c>
      <c r="HG69" s="12">
        <v>42216</v>
      </c>
      <c r="HH69">
        <v>12.111000000000001</v>
      </c>
      <c r="HI69" s="12">
        <v>42216</v>
      </c>
      <c r="HJ69">
        <v>9.7439999999999998</v>
      </c>
      <c r="HK69" s="12">
        <v>42216</v>
      </c>
      <c r="HL69">
        <v>5</v>
      </c>
      <c r="HM69" s="12">
        <v>42216</v>
      </c>
      <c r="HN69">
        <v>3.7309999999999999</v>
      </c>
      <c r="HO69" s="12">
        <v>42216</v>
      </c>
      <c r="HP69">
        <v>3.7</v>
      </c>
      <c r="HQ69" s="12">
        <v>42307</v>
      </c>
      <c r="HR69">
        <v>15</v>
      </c>
      <c r="HS69" s="12">
        <v>42216</v>
      </c>
      <c r="HT69">
        <v>72.436000000000007</v>
      </c>
      <c r="HU69" s="12">
        <v>42216</v>
      </c>
      <c r="HV69">
        <v>120</v>
      </c>
      <c r="HW69" s="12">
        <v>42216</v>
      </c>
      <c r="HX69">
        <v>11.276999999999999</v>
      </c>
      <c r="HY69" s="12">
        <v>42216</v>
      </c>
      <c r="HZ69">
        <v>9.7420000000000009</v>
      </c>
      <c r="IA69" s="12">
        <v>42216</v>
      </c>
      <c r="IB69">
        <v>44.476999999999997</v>
      </c>
      <c r="IC69" s="12">
        <v>42216</v>
      </c>
      <c r="ID69">
        <v>2.036</v>
      </c>
      <c r="IE69" s="12">
        <v>42216</v>
      </c>
      <c r="IF69">
        <v>1.986</v>
      </c>
      <c r="IG69" s="12">
        <v>42521</v>
      </c>
      <c r="IH69">
        <v>1.605</v>
      </c>
      <c r="II69" s="12">
        <v>42216</v>
      </c>
      <c r="IJ69">
        <v>6.8460000000000001</v>
      </c>
      <c r="IM69" s="12">
        <v>42216</v>
      </c>
      <c r="IN69">
        <v>29.695</v>
      </c>
      <c r="IO69" s="12">
        <v>42766</v>
      </c>
      <c r="IP69">
        <v>15.869</v>
      </c>
      <c r="IQ69" s="12">
        <v>42216</v>
      </c>
      <c r="IR69">
        <v>41.634999999999998</v>
      </c>
      <c r="IU69" s="12">
        <v>42216</v>
      </c>
      <c r="IV69">
        <v>2.9502000000000002</v>
      </c>
      <c r="IY69" s="12">
        <v>42216</v>
      </c>
      <c r="IZ69">
        <v>7.9059999999999997</v>
      </c>
      <c r="JC69" s="12">
        <v>42216</v>
      </c>
      <c r="JD69">
        <v>4.5999999999999996</v>
      </c>
      <c r="JE69" s="12">
        <v>42216</v>
      </c>
      <c r="JF69">
        <v>5</v>
      </c>
      <c r="JI69" s="12">
        <v>42216</v>
      </c>
      <c r="JJ69">
        <v>11.602</v>
      </c>
      <c r="JM69" s="12">
        <v>42216</v>
      </c>
      <c r="JN69">
        <v>0.98799999999999999</v>
      </c>
      <c r="JO69" s="12">
        <v>42216</v>
      </c>
      <c r="JP69">
        <v>15.28</v>
      </c>
      <c r="JQ69" s="12">
        <v>43616</v>
      </c>
      <c r="JR69">
        <v>22.53</v>
      </c>
      <c r="JS69" s="12">
        <v>42216</v>
      </c>
      <c r="JT69">
        <v>6.8810000000000002</v>
      </c>
      <c r="JU69" s="12">
        <v>43434</v>
      </c>
      <c r="JV69">
        <v>40.875999999999998</v>
      </c>
      <c r="JW69" s="12">
        <v>42216</v>
      </c>
      <c r="JX69">
        <v>10.191000000000001</v>
      </c>
      <c r="JY69" s="12">
        <v>42216</v>
      </c>
      <c r="JZ69">
        <v>13.254</v>
      </c>
      <c r="KC69" s="12">
        <v>42216</v>
      </c>
      <c r="KD69">
        <v>15.903</v>
      </c>
      <c r="KE69" s="12">
        <v>42216</v>
      </c>
      <c r="KF69">
        <v>12.696</v>
      </c>
      <c r="KI69" s="12">
        <v>42216</v>
      </c>
      <c r="KJ69">
        <v>2.698</v>
      </c>
      <c r="KO69" s="12">
        <v>42216</v>
      </c>
      <c r="KP69">
        <v>28.5</v>
      </c>
      <c r="KQ69" s="12">
        <v>42216</v>
      </c>
      <c r="KR69">
        <v>24.3</v>
      </c>
      <c r="KS69" s="12">
        <v>42216</v>
      </c>
      <c r="KT69">
        <v>12.319000000000001</v>
      </c>
      <c r="KU69" s="12">
        <v>42216</v>
      </c>
      <c r="KV69">
        <v>8.4819999999999993</v>
      </c>
      <c r="LC69" s="12">
        <v>42216</v>
      </c>
      <c r="LD69">
        <v>10.826000000000001</v>
      </c>
      <c r="LE69" s="12">
        <v>42216</v>
      </c>
      <c r="LF69">
        <v>7.2210000000000001</v>
      </c>
      <c r="LG69" s="12">
        <v>42216</v>
      </c>
      <c r="LH69">
        <v>13.452999999999999</v>
      </c>
      <c r="LI69" s="12">
        <v>42216</v>
      </c>
      <c r="LJ69">
        <v>31.062999999999999</v>
      </c>
      <c r="LM69" s="12">
        <v>42216</v>
      </c>
      <c r="LN69">
        <v>9.3659999999999997</v>
      </c>
      <c r="LO69" s="12">
        <v>42216</v>
      </c>
      <c r="LP69">
        <v>3.7480000000000002</v>
      </c>
      <c r="LQ69" s="12">
        <v>42216</v>
      </c>
      <c r="LR69">
        <v>15.614000000000001</v>
      </c>
      <c r="LS69" s="12">
        <v>42216</v>
      </c>
      <c r="LT69">
        <v>13.723000000000001</v>
      </c>
      <c r="LW69" s="12">
        <v>42216</v>
      </c>
      <c r="LX69">
        <v>33.576999999999998</v>
      </c>
      <c r="LY69" s="12">
        <v>42216</v>
      </c>
      <c r="LZ69">
        <v>33.555999999999997</v>
      </c>
      <c r="MA69" s="12">
        <v>42216</v>
      </c>
      <c r="MB69">
        <v>38.142000000000003</v>
      </c>
      <c r="ME69" s="12">
        <v>42247</v>
      </c>
      <c r="MF69">
        <v>7.6550000000000002</v>
      </c>
      <c r="MG69" s="12">
        <v>42216</v>
      </c>
      <c r="MH69">
        <v>13.231</v>
      </c>
      <c r="MK69" s="12">
        <v>42216</v>
      </c>
      <c r="ML69">
        <v>11.134</v>
      </c>
    </row>
    <row r="70" spans="1:350" x14ac:dyDescent="0.3">
      <c r="A70" s="12">
        <v>42247</v>
      </c>
      <c r="B70" s="1">
        <v>16.634</v>
      </c>
      <c r="C70" s="1"/>
      <c r="G70" s="17">
        <v>42247</v>
      </c>
      <c r="H70" s="13">
        <v>5.1959999999999997</v>
      </c>
      <c r="I70" s="17">
        <v>42277</v>
      </c>
      <c r="J70">
        <v>10.084</v>
      </c>
      <c r="K70" s="12">
        <v>43465</v>
      </c>
      <c r="L70">
        <v>17.445</v>
      </c>
      <c r="N70" s="12"/>
      <c r="Q70" s="12">
        <v>43644</v>
      </c>
      <c r="R70">
        <v>19.11</v>
      </c>
      <c r="S70" s="12">
        <v>42247</v>
      </c>
      <c r="T70">
        <v>9.4779999999999998</v>
      </c>
      <c r="U70" s="12">
        <v>42674</v>
      </c>
      <c r="V70">
        <v>26.257999999999999</v>
      </c>
      <c r="Y70" s="12">
        <v>42247</v>
      </c>
      <c r="Z70">
        <v>9.1609999999999996</v>
      </c>
      <c r="AA70" s="12">
        <v>42247</v>
      </c>
      <c r="AB70">
        <v>14.228999999999999</v>
      </c>
      <c r="AC70" s="12">
        <v>42247</v>
      </c>
      <c r="AD70">
        <v>11.568999999999999</v>
      </c>
      <c r="AE70" s="12">
        <v>42247</v>
      </c>
      <c r="AF70">
        <v>10.445</v>
      </c>
      <c r="AG70" s="12">
        <v>42247</v>
      </c>
      <c r="AH70">
        <v>16.995999999999999</v>
      </c>
      <c r="AI70" s="12">
        <v>43465</v>
      </c>
      <c r="AJ70">
        <v>24.02</v>
      </c>
      <c r="AK70" s="12">
        <v>42247</v>
      </c>
      <c r="AL70">
        <v>11.324999999999999</v>
      </c>
      <c r="AS70" s="12">
        <v>42247</v>
      </c>
      <c r="AT70">
        <v>1.3120000000000001</v>
      </c>
      <c r="AU70" s="12">
        <v>42247</v>
      </c>
      <c r="AV70">
        <v>7.58</v>
      </c>
      <c r="AY70" s="12">
        <v>42247</v>
      </c>
      <c r="AZ70">
        <v>67.632000000000005</v>
      </c>
      <c r="BA70" s="12">
        <v>42247</v>
      </c>
      <c r="BB70">
        <v>11.475999999999999</v>
      </c>
      <c r="BC70" s="12">
        <v>42247</v>
      </c>
      <c r="BD70">
        <v>6.923</v>
      </c>
      <c r="BE70" s="12">
        <v>42338</v>
      </c>
      <c r="BF70">
        <v>8.1820000000000004</v>
      </c>
      <c r="BG70" s="12">
        <v>42247</v>
      </c>
      <c r="BH70">
        <v>5.27</v>
      </c>
      <c r="BI70" s="12">
        <v>42247</v>
      </c>
      <c r="BJ70">
        <v>15.058999999999999</v>
      </c>
      <c r="BK70" s="12">
        <v>42247</v>
      </c>
      <c r="BL70">
        <v>11.553000000000001</v>
      </c>
      <c r="BM70" s="12">
        <v>42247</v>
      </c>
      <c r="BN70">
        <v>13.568999999999999</v>
      </c>
      <c r="BO70" s="12">
        <v>42247</v>
      </c>
      <c r="BP70">
        <v>21.369</v>
      </c>
      <c r="BQ70" s="12">
        <v>42247</v>
      </c>
      <c r="BR70">
        <v>6.1909999999999998</v>
      </c>
      <c r="BS70" s="12">
        <v>42247</v>
      </c>
      <c r="BT70">
        <v>5.569</v>
      </c>
      <c r="BW70" s="12">
        <v>42247</v>
      </c>
      <c r="BX70">
        <v>7.8209999999999997</v>
      </c>
      <c r="BY70" s="12">
        <v>42247</v>
      </c>
      <c r="BZ70">
        <v>14.618</v>
      </c>
      <c r="CA70" s="12">
        <v>42247</v>
      </c>
      <c r="CB70">
        <v>24.433</v>
      </c>
      <c r="CE70" s="12">
        <v>42247</v>
      </c>
      <c r="CF70">
        <v>26.103000000000002</v>
      </c>
      <c r="CG70" s="12">
        <v>42247</v>
      </c>
      <c r="CH70">
        <v>15.397</v>
      </c>
      <c r="CI70" s="12">
        <v>42247</v>
      </c>
      <c r="CJ70">
        <v>7.5140000000000002</v>
      </c>
      <c r="CK70" s="12">
        <v>42247</v>
      </c>
      <c r="CL70">
        <v>3.2629999999999999</v>
      </c>
      <c r="CM70" s="12">
        <v>42247</v>
      </c>
      <c r="CN70">
        <v>30.591000000000001</v>
      </c>
      <c r="CO70" s="12">
        <v>43707</v>
      </c>
      <c r="CP70">
        <v>52.56</v>
      </c>
      <c r="CQ70" s="12">
        <v>42247</v>
      </c>
      <c r="CR70">
        <v>7.0019999999999998</v>
      </c>
      <c r="CS70" s="12">
        <v>42247</v>
      </c>
      <c r="CT70">
        <v>9.5519999999999996</v>
      </c>
      <c r="CU70" s="12">
        <v>42247</v>
      </c>
      <c r="CV70">
        <v>2.694</v>
      </c>
      <c r="CW70" s="12">
        <v>42247</v>
      </c>
      <c r="CX70">
        <v>4.6639999999999997</v>
      </c>
      <c r="CY70" s="12">
        <v>42338</v>
      </c>
      <c r="CZ70">
        <v>4.5220000000000002</v>
      </c>
      <c r="DA70" s="12">
        <v>42247</v>
      </c>
      <c r="DB70">
        <v>20.082000000000001</v>
      </c>
      <c r="DC70" s="12">
        <v>42247</v>
      </c>
      <c r="DD70">
        <v>4.8490000000000002</v>
      </c>
      <c r="DE70" s="12">
        <v>42247</v>
      </c>
      <c r="DF70">
        <v>6.6379999999999999</v>
      </c>
      <c r="DG70" s="12">
        <v>43007</v>
      </c>
      <c r="DH70">
        <v>16</v>
      </c>
      <c r="DI70" s="12">
        <v>42247</v>
      </c>
      <c r="DJ70">
        <v>11.239000000000001</v>
      </c>
      <c r="DK70" s="12">
        <v>42247</v>
      </c>
      <c r="DL70">
        <v>22.29</v>
      </c>
      <c r="DM70" s="12">
        <v>42674</v>
      </c>
      <c r="DN70">
        <v>3.65</v>
      </c>
      <c r="DO70" s="12">
        <v>42247</v>
      </c>
      <c r="DP70">
        <v>8.86</v>
      </c>
      <c r="DQ70" s="12">
        <v>42247</v>
      </c>
      <c r="DR70">
        <v>15.971</v>
      </c>
      <c r="DS70" s="12">
        <v>42277</v>
      </c>
      <c r="DT70">
        <v>12.327999999999999</v>
      </c>
      <c r="DU70" s="12">
        <v>42247</v>
      </c>
      <c r="DV70">
        <v>6.585</v>
      </c>
      <c r="DW70" s="12">
        <v>42247</v>
      </c>
      <c r="DX70">
        <v>3.266</v>
      </c>
      <c r="DY70" s="12">
        <v>42247</v>
      </c>
      <c r="DZ70">
        <v>7.8760000000000003</v>
      </c>
      <c r="EC70" s="12">
        <v>42247</v>
      </c>
      <c r="ED70">
        <v>42.597000000000001</v>
      </c>
      <c r="EE70" s="12">
        <v>42247</v>
      </c>
      <c r="EF70">
        <v>6.843</v>
      </c>
      <c r="EG70" s="12">
        <v>42247</v>
      </c>
      <c r="EH70">
        <v>15.01</v>
      </c>
      <c r="EI70" s="12">
        <v>42247</v>
      </c>
      <c r="EJ70">
        <v>17.893000000000001</v>
      </c>
      <c r="EK70" s="12">
        <v>42247</v>
      </c>
      <c r="EL70">
        <v>4.1310000000000002</v>
      </c>
      <c r="EM70" s="12">
        <v>42247</v>
      </c>
      <c r="EN70">
        <v>4.9340000000000002</v>
      </c>
      <c r="EQ70" s="12">
        <v>42247</v>
      </c>
      <c r="ER70">
        <v>2.819</v>
      </c>
      <c r="ES70" s="12">
        <v>42247</v>
      </c>
      <c r="ET70">
        <v>4.16</v>
      </c>
      <c r="EU70" s="12">
        <v>42247</v>
      </c>
      <c r="EV70">
        <v>4.3659999999999997</v>
      </c>
      <c r="EY70" s="12">
        <v>42247</v>
      </c>
      <c r="EZ70">
        <v>11.035</v>
      </c>
      <c r="FA70" s="12">
        <v>42247</v>
      </c>
      <c r="FB70">
        <v>13.641999999999999</v>
      </c>
      <c r="FC70" s="12">
        <v>42247</v>
      </c>
      <c r="FD70">
        <v>19.047999999999998</v>
      </c>
      <c r="FG70" s="12">
        <v>42247</v>
      </c>
      <c r="FH70">
        <v>4.1840000000000002</v>
      </c>
      <c r="FI70" s="12">
        <v>42247</v>
      </c>
      <c r="FJ70">
        <v>11.071999999999999</v>
      </c>
      <c r="FK70" s="12">
        <v>42247</v>
      </c>
      <c r="FL70">
        <v>12.157999999999999</v>
      </c>
      <c r="FM70" s="12">
        <v>42247</v>
      </c>
      <c r="FN70">
        <v>13.096</v>
      </c>
      <c r="FO70" s="12">
        <v>42247</v>
      </c>
      <c r="FP70">
        <v>17.260000000000002</v>
      </c>
      <c r="FQ70" s="12">
        <v>43738</v>
      </c>
      <c r="FR70">
        <v>14.968</v>
      </c>
      <c r="FS70" s="12">
        <v>42247</v>
      </c>
      <c r="FT70">
        <v>3.1579999999999999</v>
      </c>
      <c r="FU70" s="12">
        <v>42247</v>
      </c>
      <c r="FV70">
        <v>9.9779999999999998</v>
      </c>
      <c r="FW70" s="12">
        <v>42247</v>
      </c>
      <c r="FX70">
        <v>13.188000000000001</v>
      </c>
      <c r="FY70" s="12">
        <v>43098</v>
      </c>
      <c r="FZ70">
        <v>5.9889999999999999</v>
      </c>
      <c r="GA70" s="12">
        <v>42247</v>
      </c>
      <c r="GB70">
        <v>16.646999999999998</v>
      </c>
      <c r="GC70" s="12">
        <v>42247</v>
      </c>
      <c r="GD70">
        <v>11.433</v>
      </c>
      <c r="GE70" s="12">
        <v>43404</v>
      </c>
      <c r="GF70">
        <v>25.367000000000001</v>
      </c>
      <c r="GI70" s="12">
        <v>42247</v>
      </c>
      <c r="GJ70">
        <v>15.202999999999999</v>
      </c>
      <c r="GK70" s="12">
        <v>42247</v>
      </c>
      <c r="GL70">
        <v>13.013</v>
      </c>
      <c r="GM70" s="12">
        <v>42247</v>
      </c>
      <c r="GN70">
        <v>20.03</v>
      </c>
      <c r="GO70" s="12">
        <v>42734</v>
      </c>
      <c r="GP70">
        <v>1.623</v>
      </c>
      <c r="GQ70" s="12">
        <v>42369</v>
      </c>
      <c r="GR70">
        <v>2.66</v>
      </c>
      <c r="GS70" s="12">
        <v>42247</v>
      </c>
      <c r="GT70">
        <v>10.75</v>
      </c>
      <c r="GW70" s="12">
        <v>42307</v>
      </c>
      <c r="GX70">
        <v>25.981000000000002</v>
      </c>
      <c r="GY70" s="12">
        <v>42247</v>
      </c>
      <c r="GZ70">
        <v>6.4</v>
      </c>
      <c r="HA70" s="12">
        <v>42247</v>
      </c>
      <c r="HB70">
        <v>4.6710000000000003</v>
      </c>
      <c r="HC70" s="12">
        <v>42247</v>
      </c>
      <c r="HD70">
        <v>12.581</v>
      </c>
      <c r="HE70" s="12">
        <v>42247</v>
      </c>
      <c r="HF70">
        <v>13.007999999999999</v>
      </c>
      <c r="HG70" s="12">
        <v>42247</v>
      </c>
      <c r="HH70">
        <v>11.269</v>
      </c>
      <c r="HI70" s="12">
        <v>42247</v>
      </c>
      <c r="HJ70">
        <v>8.57</v>
      </c>
      <c r="HK70" s="12">
        <v>42247</v>
      </c>
      <c r="HL70">
        <v>3</v>
      </c>
      <c r="HM70" s="12">
        <v>42247</v>
      </c>
      <c r="HN70">
        <v>2.0150000000000001</v>
      </c>
      <c r="HO70" s="12">
        <v>42247</v>
      </c>
      <c r="HP70">
        <v>2.0640000000000001</v>
      </c>
      <c r="HQ70" s="12">
        <v>42338</v>
      </c>
      <c r="HR70">
        <v>14</v>
      </c>
      <c r="HS70" s="12">
        <v>42247</v>
      </c>
      <c r="HT70">
        <v>61.329000000000001</v>
      </c>
      <c r="HU70" s="12">
        <v>42247</v>
      </c>
      <c r="HV70">
        <v>45</v>
      </c>
      <c r="HW70" s="12">
        <v>42247</v>
      </c>
      <c r="HX70">
        <v>10.342000000000001</v>
      </c>
      <c r="HY70" s="12">
        <v>42247</v>
      </c>
      <c r="HZ70">
        <v>8.5259999999999998</v>
      </c>
      <c r="IA70" s="12">
        <v>42247</v>
      </c>
      <c r="IB70">
        <v>34.935000000000002</v>
      </c>
      <c r="IC70" s="12">
        <v>42247</v>
      </c>
      <c r="ID70">
        <v>1.77</v>
      </c>
      <c r="IE70" s="12">
        <v>42247</v>
      </c>
      <c r="IF70">
        <v>1.887</v>
      </c>
      <c r="IG70" s="12">
        <v>42551</v>
      </c>
      <c r="IH70">
        <v>1.37</v>
      </c>
      <c r="II70" s="12">
        <v>42247</v>
      </c>
      <c r="IJ70">
        <v>6.0640000000000001</v>
      </c>
      <c r="IM70" s="12">
        <v>42247</v>
      </c>
      <c r="IN70">
        <v>25.385000000000002</v>
      </c>
      <c r="IO70" s="12">
        <v>42794</v>
      </c>
      <c r="IP70">
        <v>15.176</v>
      </c>
      <c r="IQ70" s="12">
        <v>42247</v>
      </c>
      <c r="IR70">
        <v>37.988999999999997</v>
      </c>
      <c r="IU70" s="12">
        <v>42247</v>
      </c>
      <c r="IV70">
        <v>2.8395000000000001</v>
      </c>
      <c r="IY70" s="12">
        <v>42247</v>
      </c>
      <c r="IZ70">
        <v>6.306</v>
      </c>
      <c r="JC70" s="12">
        <v>42247</v>
      </c>
      <c r="JD70">
        <v>4</v>
      </c>
      <c r="JE70" s="12">
        <v>42247</v>
      </c>
      <c r="JF70">
        <v>3.15</v>
      </c>
      <c r="JI70" s="12">
        <v>42247</v>
      </c>
      <c r="JJ70">
        <v>10.464</v>
      </c>
      <c r="JM70" s="12">
        <v>42247</v>
      </c>
      <c r="JN70">
        <v>0.95199999999999996</v>
      </c>
      <c r="JO70" s="12">
        <v>42247</v>
      </c>
      <c r="JP70">
        <v>13.757999999999999</v>
      </c>
      <c r="JQ70" s="12">
        <v>43644</v>
      </c>
      <c r="JR70">
        <v>24.523</v>
      </c>
      <c r="JS70" s="12">
        <v>42247</v>
      </c>
      <c r="JT70">
        <v>6.29</v>
      </c>
      <c r="JU70" s="12">
        <v>43465</v>
      </c>
      <c r="JV70">
        <v>40.478000000000002</v>
      </c>
      <c r="JW70" s="12">
        <v>42247</v>
      </c>
      <c r="JX70">
        <v>9.3439999999999994</v>
      </c>
      <c r="JY70" s="12">
        <v>42247</v>
      </c>
      <c r="JZ70">
        <v>13.423</v>
      </c>
      <c r="KC70" s="12">
        <v>42247</v>
      </c>
      <c r="KD70">
        <v>16.651</v>
      </c>
      <c r="KE70" s="12">
        <v>42247</v>
      </c>
      <c r="KF70">
        <v>11.212</v>
      </c>
      <c r="KI70" s="12">
        <v>42247</v>
      </c>
      <c r="KJ70">
        <v>2.5140000000000002</v>
      </c>
      <c r="KO70" s="12">
        <v>42247</v>
      </c>
      <c r="KP70">
        <v>12.5</v>
      </c>
      <c r="KQ70" s="12">
        <v>42247</v>
      </c>
      <c r="KR70">
        <v>18.600000000000001</v>
      </c>
      <c r="KS70" s="12">
        <v>42247</v>
      </c>
      <c r="KT70">
        <v>10.327999999999999</v>
      </c>
      <c r="KU70" s="12">
        <v>42247</v>
      </c>
      <c r="KV70">
        <v>7.9489999999999998</v>
      </c>
      <c r="LC70" s="12">
        <v>42247</v>
      </c>
      <c r="LD70">
        <v>9.8390000000000004</v>
      </c>
      <c r="LE70" s="12">
        <v>42247</v>
      </c>
      <c r="LF70">
        <v>6.59</v>
      </c>
      <c r="LG70" s="12">
        <v>42247</v>
      </c>
      <c r="LH70">
        <v>13.468999999999999</v>
      </c>
      <c r="LI70" s="12">
        <v>42247</v>
      </c>
      <c r="LJ70">
        <v>28.395</v>
      </c>
      <c r="LM70" s="12">
        <v>42247</v>
      </c>
      <c r="LN70">
        <v>9.3460000000000001</v>
      </c>
      <c r="LO70" s="12">
        <v>42247</v>
      </c>
      <c r="LP70">
        <v>2.8420000000000001</v>
      </c>
      <c r="LQ70" s="12">
        <v>42247</v>
      </c>
      <c r="LR70">
        <v>15.657</v>
      </c>
      <c r="LS70" s="12">
        <v>42247</v>
      </c>
      <c r="LT70">
        <v>13.254</v>
      </c>
      <c r="LW70" s="12">
        <v>42247</v>
      </c>
      <c r="LX70">
        <v>25.183</v>
      </c>
      <c r="LY70" s="12">
        <v>42247</v>
      </c>
      <c r="LZ70">
        <v>30.120999999999999</v>
      </c>
      <c r="MA70" s="12">
        <v>42247</v>
      </c>
      <c r="MB70">
        <v>36.030999999999999</v>
      </c>
      <c r="ME70" s="12">
        <v>42277</v>
      </c>
      <c r="MF70">
        <v>2.7039999999999997</v>
      </c>
      <c r="MG70" s="12">
        <v>42247</v>
      </c>
      <c r="MH70">
        <v>11.788</v>
      </c>
      <c r="MK70" s="12">
        <v>42247</v>
      </c>
      <c r="ML70">
        <v>9.7769999999999992</v>
      </c>
    </row>
    <row r="71" spans="1:350" x14ac:dyDescent="0.3">
      <c r="A71" s="12">
        <v>42277</v>
      </c>
      <c r="B71" s="1">
        <v>17.052</v>
      </c>
      <c r="C71" s="1"/>
      <c r="G71" s="17">
        <v>42277</v>
      </c>
      <c r="H71" s="13">
        <v>4.6289999999999996</v>
      </c>
      <c r="I71" s="17">
        <v>42307</v>
      </c>
      <c r="J71">
        <v>9.8949999999999996</v>
      </c>
      <c r="K71" s="12">
        <v>43496</v>
      </c>
      <c r="L71">
        <v>20.51</v>
      </c>
      <c r="N71" s="12"/>
      <c r="Q71" s="12">
        <v>43677</v>
      </c>
      <c r="R71">
        <v>21.52</v>
      </c>
      <c r="S71" s="12">
        <v>42277</v>
      </c>
      <c r="T71">
        <v>9.4090000000000007</v>
      </c>
      <c r="U71" s="12">
        <v>42704</v>
      </c>
      <c r="V71">
        <v>24.42</v>
      </c>
      <c r="Y71" s="12">
        <v>42277</v>
      </c>
      <c r="Z71">
        <v>9.4160000000000004</v>
      </c>
      <c r="AA71" s="12">
        <v>42277</v>
      </c>
      <c r="AB71">
        <v>12.331</v>
      </c>
      <c r="AC71" s="12">
        <v>42277</v>
      </c>
      <c r="AD71">
        <v>10.864000000000001</v>
      </c>
      <c r="AE71" s="12">
        <v>42277</v>
      </c>
      <c r="AF71">
        <v>9.7140000000000004</v>
      </c>
      <c r="AG71" s="12">
        <v>42277</v>
      </c>
      <c r="AH71">
        <v>16.343</v>
      </c>
      <c r="AI71" s="12">
        <v>43496</v>
      </c>
      <c r="AJ71">
        <v>27.041</v>
      </c>
      <c r="AK71" s="12">
        <v>42277</v>
      </c>
      <c r="AL71">
        <v>12.978999999999999</v>
      </c>
      <c r="AS71" s="12">
        <v>42277</v>
      </c>
      <c r="AT71">
        <v>1.2929999999999999</v>
      </c>
      <c r="AU71" s="12">
        <v>42277</v>
      </c>
      <c r="AV71">
        <v>6.633</v>
      </c>
      <c r="AY71" s="12">
        <v>42277</v>
      </c>
      <c r="AZ71">
        <v>68.673000000000002</v>
      </c>
      <c r="BA71" s="12">
        <v>42277</v>
      </c>
      <c r="BB71">
        <v>13.597</v>
      </c>
      <c r="BC71" s="12">
        <v>42277</v>
      </c>
      <c r="BD71">
        <v>6.4660000000000002</v>
      </c>
      <c r="BE71" s="12">
        <v>42369</v>
      </c>
      <c r="BF71">
        <v>8.1639999999999997</v>
      </c>
      <c r="BG71" s="12">
        <v>42277</v>
      </c>
      <c r="BH71">
        <v>3.9329999999999998</v>
      </c>
      <c r="BI71" s="12">
        <v>42277</v>
      </c>
      <c r="BJ71">
        <v>14.345000000000001</v>
      </c>
      <c r="BK71" s="12">
        <v>42277</v>
      </c>
      <c r="BL71">
        <v>9.4489999999999998</v>
      </c>
      <c r="BM71" s="12">
        <v>42277</v>
      </c>
      <c r="BN71">
        <v>12.795</v>
      </c>
      <c r="BO71" s="12">
        <v>42277</v>
      </c>
      <c r="BP71">
        <v>20.582999999999998</v>
      </c>
      <c r="BQ71" s="12">
        <v>42277</v>
      </c>
      <c r="BR71">
        <v>5.6559999999999997</v>
      </c>
      <c r="BS71" s="12">
        <v>42277</v>
      </c>
      <c r="BT71">
        <v>5.1769999999999996</v>
      </c>
      <c r="BW71" s="12">
        <v>42277</v>
      </c>
      <c r="BX71">
        <v>6.9470000000000001</v>
      </c>
      <c r="BY71" s="12">
        <v>42277</v>
      </c>
      <c r="BZ71">
        <v>13.845000000000001</v>
      </c>
      <c r="CA71" s="12">
        <v>42277</v>
      </c>
      <c r="CB71">
        <v>25.725999999999999</v>
      </c>
      <c r="CE71" s="12">
        <v>42277</v>
      </c>
      <c r="CF71">
        <v>26.8</v>
      </c>
      <c r="CG71" s="12">
        <v>42277</v>
      </c>
      <c r="CH71">
        <v>17.411000000000001</v>
      </c>
      <c r="CI71" s="12">
        <v>42277</v>
      </c>
      <c r="CJ71">
        <v>9.8480000000000008</v>
      </c>
      <c r="CK71" s="12">
        <v>42277</v>
      </c>
      <c r="CL71">
        <v>3.6550000000000002</v>
      </c>
      <c r="CM71" s="12">
        <v>42277</v>
      </c>
      <c r="CN71">
        <v>30.85</v>
      </c>
      <c r="CO71" s="12">
        <v>43738</v>
      </c>
      <c r="CP71">
        <v>55.314</v>
      </c>
      <c r="CQ71" s="12">
        <v>42277</v>
      </c>
      <c r="CR71">
        <v>6.8929999999999998</v>
      </c>
      <c r="CS71" s="12">
        <v>42277</v>
      </c>
      <c r="CT71">
        <v>8.8539999999999992</v>
      </c>
      <c r="CU71" s="12">
        <v>42277</v>
      </c>
      <c r="CV71">
        <v>2.8940000000000001</v>
      </c>
      <c r="CW71" s="12">
        <v>42277</v>
      </c>
      <c r="CX71">
        <v>4.9960000000000004</v>
      </c>
      <c r="CY71" s="12">
        <v>42369</v>
      </c>
      <c r="CZ71">
        <v>4.4009999999999998</v>
      </c>
      <c r="DA71" s="12">
        <v>42277</v>
      </c>
      <c r="DB71">
        <v>20.213000000000001</v>
      </c>
      <c r="DC71" s="12">
        <v>42277</v>
      </c>
      <c r="DD71">
        <v>5.1120000000000001</v>
      </c>
      <c r="DE71" s="12">
        <v>42277</v>
      </c>
      <c r="DF71">
        <v>7.734</v>
      </c>
      <c r="DG71" s="12">
        <v>43039</v>
      </c>
      <c r="DH71">
        <v>15.1</v>
      </c>
      <c r="DI71" s="12">
        <v>42277</v>
      </c>
      <c r="DJ71">
        <v>10.537000000000001</v>
      </c>
      <c r="DK71" s="12">
        <v>42277</v>
      </c>
      <c r="DL71">
        <v>24.734999999999999</v>
      </c>
      <c r="DM71" s="12">
        <v>42704</v>
      </c>
      <c r="DN71">
        <v>3.65</v>
      </c>
      <c r="DO71" s="12">
        <v>42277</v>
      </c>
      <c r="DP71">
        <v>9.0739999999999998</v>
      </c>
      <c r="DQ71" s="12">
        <v>42277</v>
      </c>
      <c r="DR71">
        <v>15</v>
      </c>
      <c r="DS71" s="12">
        <v>42307</v>
      </c>
      <c r="DT71">
        <v>12.282999999999999</v>
      </c>
      <c r="DU71" s="12">
        <v>42277</v>
      </c>
      <c r="DV71">
        <v>6.3070000000000004</v>
      </c>
      <c r="DW71" s="12">
        <v>42277</v>
      </c>
      <c r="DX71">
        <v>3.2189999999999999</v>
      </c>
      <c r="DY71" s="12">
        <v>42277</v>
      </c>
      <c r="DZ71">
        <v>6.9080000000000004</v>
      </c>
      <c r="EC71" s="12">
        <v>42277</v>
      </c>
      <c r="ED71">
        <v>44.741999999999997</v>
      </c>
      <c r="EE71" s="12">
        <v>42277</v>
      </c>
      <c r="EF71">
        <v>6.6980000000000004</v>
      </c>
      <c r="EG71" s="12">
        <v>42277</v>
      </c>
      <c r="EH71">
        <v>14.07</v>
      </c>
      <c r="EI71" s="12">
        <v>42277</v>
      </c>
      <c r="EJ71">
        <v>15.853</v>
      </c>
      <c r="EK71" s="12">
        <v>42277</v>
      </c>
      <c r="EL71">
        <v>4.0940000000000003</v>
      </c>
      <c r="EM71" s="12">
        <v>42277</v>
      </c>
      <c r="EN71">
        <v>5.141</v>
      </c>
      <c r="EQ71" s="12">
        <v>42277</v>
      </c>
      <c r="ER71">
        <v>2.7349999999999999</v>
      </c>
      <c r="ES71" s="12">
        <v>42277</v>
      </c>
      <c r="ET71">
        <v>3.67</v>
      </c>
      <c r="EU71" s="12">
        <v>42277</v>
      </c>
      <c r="EV71">
        <v>4.7140000000000004</v>
      </c>
      <c r="EY71" s="12">
        <v>42277</v>
      </c>
      <c r="EZ71">
        <v>11.154</v>
      </c>
      <c r="FA71" s="12">
        <v>42277</v>
      </c>
      <c r="FB71">
        <v>12.657</v>
      </c>
      <c r="FC71" s="12">
        <v>42277</v>
      </c>
      <c r="FD71">
        <v>19.001999999999999</v>
      </c>
      <c r="FG71" s="12">
        <v>42277</v>
      </c>
      <c r="FH71">
        <v>4.1120000000000001</v>
      </c>
      <c r="FI71" s="12">
        <v>42277</v>
      </c>
      <c r="FJ71">
        <v>10.827</v>
      </c>
      <c r="FK71" s="12">
        <v>42277</v>
      </c>
      <c r="FL71">
        <v>12.146000000000001</v>
      </c>
      <c r="FM71" s="12">
        <v>42277</v>
      </c>
      <c r="FN71">
        <v>15.548</v>
      </c>
      <c r="FO71" s="12">
        <v>42277</v>
      </c>
      <c r="FP71">
        <v>20.378</v>
      </c>
      <c r="FQ71" s="12">
        <v>43769</v>
      </c>
      <c r="FR71">
        <v>15.385999999999999</v>
      </c>
      <c r="FS71" s="12">
        <v>42277</v>
      </c>
      <c r="FT71">
        <v>3.4870000000000001</v>
      </c>
      <c r="FU71" s="12">
        <v>42277</v>
      </c>
      <c r="FV71">
        <v>9.4849999999999994</v>
      </c>
      <c r="FW71" s="12">
        <v>42277</v>
      </c>
      <c r="FX71">
        <v>13.145</v>
      </c>
      <c r="FY71" s="12">
        <v>43131</v>
      </c>
      <c r="FZ71">
        <v>7.4829999999999997</v>
      </c>
      <c r="GA71" s="12">
        <v>42277</v>
      </c>
      <c r="GB71">
        <v>17.831</v>
      </c>
      <c r="GC71" s="12">
        <v>42277</v>
      </c>
      <c r="GD71">
        <v>11.295999999999999</v>
      </c>
      <c r="GE71" s="12">
        <v>43434</v>
      </c>
      <c r="GF71">
        <v>27.701999999999998</v>
      </c>
      <c r="GI71" s="12">
        <v>42277</v>
      </c>
      <c r="GJ71">
        <v>14.231999999999999</v>
      </c>
      <c r="GK71" s="12">
        <v>42277</v>
      </c>
      <c r="GL71">
        <v>12.922000000000001</v>
      </c>
      <c r="GM71" s="12">
        <v>42277</v>
      </c>
      <c r="GN71">
        <v>18.385000000000002</v>
      </c>
      <c r="GO71" s="12">
        <v>42766</v>
      </c>
      <c r="GP71">
        <v>1.9569999999999999</v>
      </c>
      <c r="GQ71" s="12">
        <v>42398</v>
      </c>
      <c r="GR71">
        <v>2.4900000000000002</v>
      </c>
      <c r="GS71" s="12">
        <v>42277</v>
      </c>
      <c r="GT71">
        <v>7.25</v>
      </c>
      <c r="GW71" s="12">
        <v>42338</v>
      </c>
      <c r="GX71">
        <v>29.268999999999998</v>
      </c>
      <c r="GY71" s="12">
        <v>42277</v>
      </c>
      <c r="GZ71">
        <v>7.17</v>
      </c>
      <c r="HA71" s="12">
        <v>42277</v>
      </c>
      <c r="HB71">
        <v>4.4660000000000002</v>
      </c>
      <c r="HC71" s="12">
        <v>42277</v>
      </c>
      <c r="HD71">
        <v>12.954000000000001</v>
      </c>
      <c r="HE71" s="12">
        <v>42277</v>
      </c>
      <c r="HF71">
        <v>13.147</v>
      </c>
      <c r="HG71" s="12">
        <v>42277</v>
      </c>
      <c r="HH71">
        <v>9.2759999999999998</v>
      </c>
      <c r="HI71" s="12">
        <v>42277</v>
      </c>
      <c r="HJ71">
        <v>8.3840000000000003</v>
      </c>
      <c r="HK71" s="12">
        <v>42277</v>
      </c>
      <c r="HL71">
        <v>4</v>
      </c>
      <c r="HM71" s="12">
        <v>42277</v>
      </c>
      <c r="HN71">
        <v>2.2989999999999999</v>
      </c>
      <c r="HO71" s="12">
        <v>42277</v>
      </c>
      <c r="HP71">
        <v>2.133</v>
      </c>
      <c r="HQ71" s="12">
        <v>42369</v>
      </c>
      <c r="HR71">
        <v>15</v>
      </c>
      <c r="HS71" s="12">
        <v>42277</v>
      </c>
      <c r="HT71">
        <v>48.59</v>
      </c>
      <c r="HU71" s="12">
        <v>42277</v>
      </c>
      <c r="HV71">
        <v>30</v>
      </c>
      <c r="HW71" s="12">
        <v>42277</v>
      </c>
      <c r="HX71">
        <v>8.3170000000000002</v>
      </c>
      <c r="HY71" s="12">
        <v>42277</v>
      </c>
      <c r="HZ71">
        <v>6.7169999999999996</v>
      </c>
      <c r="IA71" s="12">
        <v>42277</v>
      </c>
      <c r="IB71">
        <v>33.317</v>
      </c>
      <c r="IC71" s="12">
        <v>42277</v>
      </c>
      <c r="ID71">
        <v>1.4159999999999999</v>
      </c>
      <c r="IE71" s="12">
        <v>42277</v>
      </c>
      <c r="IF71">
        <v>1.4889999999999999</v>
      </c>
      <c r="IG71" s="12">
        <v>42580</v>
      </c>
      <c r="IH71">
        <v>1.492</v>
      </c>
      <c r="II71" s="12">
        <v>42277</v>
      </c>
      <c r="IJ71">
        <v>5.77</v>
      </c>
      <c r="IM71" s="12">
        <v>42277</v>
      </c>
      <c r="IN71">
        <v>22.959</v>
      </c>
      <c r="IO71" s="12">
        <v>42825</v>
      </c>
      <c r="IP71">
        <v>15.9</v>
      </c>
      <c r="IQ71" s="12">
        <v>42277</v>
      </c>
      <c r="IR71">
        <v>37.527999999999999</v>
      </c>
      <c r="IU71" s="12">
        <v>42277</v>
      </c>
      <c r="IV71">
        <v>2.6827999999999999</v>
      </c>
      <c r="IY71" s="12">
        <v>42277</v>
      </c>
      <c r="IZ71">
        <v>6.8769999999999998</v>
      </c>
      <c r="JC71" s="12">
        <v>42277</v>
      </c>
      <c r="JD71">
        <v>3.6</v>
      </c>
      <c r="JE71" s="12">
        <v>42277</v>
      </c>
      <c r="JF71">
        <v>4.0999999999999996</v>
      </c>
      <c r="JI71" s="12">
        <v>42277</v>
      </c>
      <c r="JJ71">
        <v>9.6910000000000007</v>
      </c>
      <c r="JM71" s="12">
        <v>42277</v>
      </c>
      <c r="JN71">
        <v>0.91700000000000004</v>
      </c>
      <c r="JO71" s="12">
        <v>42277</v>
      </c>
      <c r="JP71">
        <v>13.853999999999999</v>
      </c>
      <c r="JQ71" s="12">
        <v>43677</v>
      </c>
      <c r="JR71">
        <v>25.994</v>
      </c>
      <c r="JS71" s="12">
        <v>42277</v>
      </c>
      <c r="JT71">
        <v>6.9980000000000002</v>
      </c>
      <c r="JU71" s="12">
        <v>43496</v>
      </c>
      <c r="JV71">
        <v>41.478000000000002</v>
      </c>
      <c r="JW71" s="12">
        <v>42277</v>
      </c>
      <c r="JX71">
        <v>12.032999999999999</v>
      </c>
      <c r="JY71" s="12">
        <v>42277</v>
      </c>
      <c r="JZ71">
        <v>13.691000000000001</v>
      </c>
      <c r="KC71" s="12">
        <v>42277</v>
      </c>
      <c r="KD71">
        <v>18.271000000000001</v>
      </c>
      <c r="KE71" s="12">
        <v>42277</v>
      </c>
      <c r="KF71">
        <v>12.112</v>
      </c>
      <c r="KI71" s="12">
        <v>42277</v>
      </c>
      <c r="KJ71">
        <v>2.5979999999999999</v>
      </c>
      <c r="KO71" s="12">
        <v>42277</v>
      </c>
      <c r="KP71">
        <v>33</v>
      </c>
      <c r="KQ71" s="12">
        <v>42277</v>
      </c>
      <c r="KR71">
        <v>15.6</v>
      </c>
      <c r="KS71" s="12">
        <v>42277</v>
      </c>
      <c r="KT71">
        <v>9.6820000000000004</v>
      </c>
      <c r="KU71" s="12">
        <v>42277</v>
      </c>
      <c r="KV71">
        <v>6.7839999999999998</v>
      </c>
      <c r="LC71" s="12">
        <v>42277</v>
      </c>
      <c r="LD71">
        <v>9.3550000000000004</v>
      </c>
      <c r="LE71" s="12">
        <v>42277</v>
      </c>
      <c r="LF71">
        <v>7.109</v>
      </c>
      <c r="LG71" s="12">
        <v>42277</v>
      </c>
      <c r="LH71">
        <v>14.194000000000001</v>
      </c>
      <c r="LI71" s="12">
        <v>42277</v>
      </c>
      <c r="LJ71">
        <v>29.884</v>
      </c>
      <c r="LM71" s="12">
        <v>42277</v>
      </c>
      <c r="LN71">
        <v>8</v>
      </c>
      <c r="LO71" s="12">
        <v>42277</v>
      </c>
      <c r="LP71">
        <v>3.1949999999999998</v>
      </c>
      <c r="LQ71" s="12">
        <v>42277</v>
      </c>
      <c r="LR71">
        <v>14.487</v>
      </c>
      <c r="LS71" s="12">
        <v>42277</v>
      </c>
      <c r="LT71">
        <v>12.477</v>
      </c>
      <c r="LW71" s="12">
        <v>42277</v>
      </c>
      <c r="LX71">
        <v>25.183</v>
      </c>
      <c r="LY71" s="12">
        <v>42277</v>
      </c>
      <c r="LZ71">
        <v>27.446000000000002</v>
      </c>
      <c r="MA71" s="12">
        <v>42277</v>
      </c>
      <c r="MB71">
        <v>35.118000000000002</v>
      </c>
      <c r="ME71" s="12">
        <v>42307</v>
      </c>
      <c r="MF71">
        <v>2.883</v>
      </c>
      <c r="MG71" s="12">
        <v>42277</v>
      </c>
      <c r="MH71">
        <v>10.909000000000001</v>
      </c>
      <c r="MK71" s="12">
        <v>42277</v>
      </c>
      <c r="ML71">
        <v>11.055</v>
      </c>
    </row>
    <row r="72" spans="1:350" x14ac:dyDescent="0.3">
      <c r="A72" s="12">
        <v>42307</v>
      </c>
      <c r="B72" s="1">
        <v>16.762</v>
      </c>
      <c r="C72" s="1"/>
      <c r="G72" s="17">
        <v>42307</v>
      </c>
      <c r="H72" s="13">
        <v>5.8309999999999995</v>
      </c>
      <c r="I72" s="17">
        <v>42338</v>
      </c>
      <c r="J72">
        <v>10.728</v>
      </c>
      <c r="K72" s="12">
        <v>43524</v>
      </c>
      <c r="L72">
        <v>21.747</v>
      </c>
      <c r="N72" s="12"/>
      <c r="Q72" s="12">
        <v>43707</v>
      </c>
      <c r="R72">
        <v>21</v>
      </c>
      <c r="S72" s="12">
        <v>42307</v>
      </c>
      <c r="T72">
        <v>9.3390000000000004</v>
      </c>
      <c r="U72" s="12">
        <v>42734</v>
      </c>
      <c r="V72">
        <v>22.486000000000001</v>
      </c>
      <c r="Y72" s="12">
        <v>42307</v>
      </c>
      <c r="Z72">
        <v>9.6880000000000006</v>
      </c>
      <c r="AA72" s="12">
        <v>42307</v>
      </c>
      <c r="AB72">
        <v>12.955</v>
      </c>
      <c r="AC72" s="12">
        <v>42307</v>
      </c>
      <c r="AD72">
        <v>10.789</v>
      </c>
      <c r="AE72" s="12">
        <v>42307</v>
      </c>
      <c r="AF72">
        <v>9.532</v>
      </c>
      <c r="AG72" s="12">
        <v>42307</v>
      </c>
      <c r="AH72">
        <v>14.007999999999999</v>
      </c>
      <c r="AI72" s="12">
        <v>43524</v>
      </c>
      <c r="AJ72">
        <v>24.349</v>
      </c>
      <c r="AK72" s="12">
        <v>42307</v>
      </c>
      <c r="AL72">
        <v>12.414999999999999</v>
      </c>
      <c r="AS72" s="12">
        <v>42307</v>
      </c>
      <c r="AT72">
        <v>1.405</v>
      </c>
      <c r="AU72" s="12">
        <v>42307</v>
      </c>
      <c r="AV72">
        <v>6.6740000000000004</v>
      </c>
      <c r="AY72" s="12">
        <v>42307</v>
      </c>
      <c r="AZ72">
        <v>58.466999999999999</v>
      </c>
      <c r="BA72" s="12">
        <v>42307</v>
      </c>
      <c r="BB72">
        <v>17.765000000000001</v>
      </c>
      <c r="BC72" s="12">
        <v>42307</v>
      </c>
      <c r="BD72">
        <v>6.923</v>
      </c>
      <c r="BE72" s="12">
        <v>42398</v>
      </c>
      <c r="BF72">
        <v>7.9020000000000001</v>
      </c>
      <c r="BG72" s="12">
        <v>42307</v>
      </c>
      <c r="BH72">
        <v>4.2220000000000004</v>
      </c>
      <c r="BI72" s="12">
        <v>42307</v>
      </c>
      <c r="BJ72">
        <v>14.074</v>
      </c>
      <c r="BK72" s="12">
        <v>42307</v>
      </c>
      <c r="BL72">
        <v>9.7989999999999995</v>
      </c>
      <c r="BM72" s="12">
        <v>42307</v>
      </c>
      <c r="BN72">
        <v>13.628</v>
      </c>
      <c r="BO72" s="12">
        <v>42307</v>
      </c>
      <c r="BP72">
        <v>20.555</v>
      </c>
      <c r="BQ72" s="12">
        <v>42307</v>
      </c>
      <c r="BR72">
        <v>5.5570000000000004</v>
      </c>
      <c r="BS72" s="12">
        <v>42307</v>
      </c>
      <c r="BT72">
        <v>5.3029999999999999</v>
      </c>
      <c r="BW72" s="12">
        <v>42307</v>
      </c>
      <c r="BX72">
        <v>8.8849999999999998</v>
      </c>
      <c r="BY72" s="12">
        <v>42307</v>
      </c>
      <c r="BZ72">
        <v>14.423</v>
      </c>
      <c r="CA72" s="12">
        <v>42307</v>
      </c>
      <c r="CB72">
        <v>25.616</v>
      </c>
      <c r="CE72" s="12">
        <v>42307</v>
      </c>
      <c r="CF72">
        <v>27.3</v>
      </c>
      <c r="CG72" s="12">
        <v>42307</v>
      </c>
      <c r="CH72">
        <v>21.372</v>
      </c>
      <c r="CI72" s="12">
        <v>42307</v>
      </c>
      <c r="CJ72">
        <v>10.282999999999999</v>
      </c>
      <c r="CK72" s="12">
        <v>42307</v>
      </c>
      <c r="CL72">
        <v>4.0469999999999997</v>
      </c>
      <c r="CM72" s="12">
        <v>42307</v>
      </c>
      <c r="CN72">
        <v>31.975000000000001</v>
      </c>
      <c r="CO72" s="12">
        <v>43769</v>
      </c>
      <c r="CP72">
        <v>50.738</v>
      </c>
      <c r="CQ72" s="12">
        <v>42307</v>
      </c>
      <c r="CR72">
        <v>7.468</v>
      </c>
      <c r="CS72" s="12">
        <v>42307</v>
      </c>
      <c r="CT72">
        <v>8.8439999999999994</v>
      </c>
      <c r="CU72" s="12">
        <v>42307</v>
      </c>
      <c r="CV72">
        <v>2.83</v>
      </c>
      <c r="CW72" s="12">
        <v>42307</v>
      </c>
      <c r="CX72">
        <v>5.4379999999999997</v>
      </c>
      <c r="CY72" s="12">
        <v>42398</v>
      </c>
      <c r="CZ72">
        <v>3.45</v>
      </c>
      <c r="DA72" s="12">
        <v>42307</v>
      </c>
      <c r="DB72">
        <v>20.279</v>
      </c>
      <c r="DC72" s="12">
        <v>42307</v>
      </c>
      <c r="DD72">
        <v>4.8879999999999999</v>
      </c>
      <c r="DE72" s="12">
        <v>42307</v>
      </c>
      <c r="DF72">
        <v>8.3350000000000009</v>
      </c>
      <c r="DG72" s="12">
        <v>43069</v>
      </c>
      <c r="DH72">
        <v>16</v>
      </c>
      <c r="DI72" s="12">
        <v>42307</v>
      </c>
      <c r="DJ72">
        <v>9.5359999999999996</v>
      </c>
      <c r="DK72" s="12">
        <v>42307</v>
      </c>
      <c r="DL72">
        <v>27.431000000000001</v>
      </c>
      <c r="DM72" s="12">
        <v>42734</v>
      </c>
      <c r="DN72">
        <v>3.5249999999999999</v>
      </c>
      <c r="DO72" s="12">
        <v>42307</v>
      </c>
      <c r="DP72">
        <v>8.9149999999999991</v>
      </c>
      <c r="DQ72" s="12">
        <v>42307</v>
      </c>
      <c r="DR72">
        <v>18</v>
      </c>
      <c r="DS72" s="12">
        <v>42338</v>
      </c>
      <c r="DT72">
        <v>12.103</v>
      </c>
      <c r="DU72" s="12">
        <v>42307</v>
      </c>
      <c r="DV72">
        <v>6.4059999999999997</v>
      </c>
      <c r="DW72" s="12">
        <v>42307</v>
      </c>
      <c r="DX72">
        <v>3.7429999999999999</v>
      </c>
      <c r="DY72" s="12">
        <v>42307</v>
      </c>
      <c r="DZ72">
        <v>7.5890000000000004</v>
      </c>
      <c r="EC72" s="12">
        <v>42307</v>
      </c>
      <c r="ED72">
        <v>43.777999999999999</v>
      </c>
      <c r="EE72" s="12">
        <v>42307</v>
      </c>
      <c r="EF72">
        <v>6.7560000000000002</v>
      </c>
      <c r="EG72" s="12">
        <v>42307</v>
      </c>
      <c r="EH72">
        <v>13.82</v>
      </c>
      <c r="EI72" s="12">
        <v>42307</v>
      </c>
      <c r="EJ72">
        <v>19.62</v>
      </c>
      <c r="EK72" s="12">
        <v>42307</v>
      </c>
      <c r="EL72">
        <v>3.798</v>
      </c>
      <c r="EM72" s="12">
        <v>42307</v>
      </c>
      <c r="EN72">
        <v>5.1029999999999998</v>
      </c>
      <c r="EQ72" s="12">
        <v>42307</v>
      </c>
      <c r="ER72">
        <v>2.4350000000000001</v>
      </c>
      <c r="ES72" s="12">
        <v>42307</v>
      </c>
      <c r="ET72">
        <v>3.55</v>
      </c>
      <c r="EU72" s="12">
        <v>42307</v>
      </c>
      <c r="EV72">
        <v>4.8760000000000003</v>
      </c>
      <c r="EY72" s="12">
        <v>42307</v>
      </c>
      <c r="EZ72">
        <v>12.177</v>
      </c>
      <c r="FA72" s="12">
        <v>42307</v>
      </c>
      <c r="FB72">
        <v>14.494999999999999</v>
      </c>
      <c r="FC72" s="12">
        <v>42307</v>
      </c>
      <c r="FD72">
        <v>19.713999999999999</v>
      </c>
      <c r="FG72" s="12">
        <v>42307</v>
      </c>
      <c r="FH72">
        <v>4.1459999999999999</v>
      </c>
      <c r="FI72" s="12">
        <v>42307</v>
      </c>
      <c r="FJ72">
        <v>10.958</v>
      </c>
      <c r="FK72" s="12">
        <v>42307</v>
      </c>
      <c r="FL72">
        <v>12.135</v>
      </c>
      <c r="FM72" s="12">
        <v>42307</v>
      </c>
      <c r="FN72">
        <v>13.188000000000001</v>
      </c>
      <c r="FO72" s="12">
        <v>42307</v>
      </c>
      <c r="FP72">
        <v>22.184999999999999</v>
      </c>
      <c r="FQ72" s="12">
        <v>43798</v>
      </c>
      <c r="FR72">
        <v>17.521000000000001</v>
      </c>
      <c r="FS72" s="12">
        <v>42307</v>
      </c>
      <c r="FT72">
        <v>3.3980000000000001</v>
      </c>
      <c r="FU72" s="12">
        <v>42307</v>
      </c>
      <c r="FV72">
        <v>9.4120000000000008</v>
      </c>
      <c r="FW72" s="12">
        <v>42307</v>
      </c>
      <c r="FX72">
        <v>13.558</v>
      </c>
      <c r="FY72" s="12">
        <v>43159</v>
      </c>
      <c r="FZ72">
        <v>9.1959999999999997</v>
      </c>
      <c r="GA72" s="12">
        <v>42307</v>
      </c>
      <c r="GB72">
        <v>18.126000000000001</v>
      </c>
      <c r="GC72" s="12">
        <v>42307</v>
      </c>
      <c r="GD72">
        <v>12.548</v>
      </c>
      <c r="GE72" s="12">
        <v>43465</v>
      </c>
      <c r="GF72">
        <v>32.277999999999999</v>
      </c>
      <c r="GI72" s="12">
        <v>42307</v>
      </c>
      <c r="GJ72">
        <v>14.308999999999999</v>
      </c>
      <c r="GK72" s="12">
        <v>42307</v>
      </c>
      <c r="GL72">
        <v>11.871</v>
      </c>
      <c r="GM72" s="12">
        <v>42307</v>
      </c>
      <c r="GN72">
        <v>22.119</v>
      </c>
      <c r="GO72" s="12">
        <v>42794</v>
      </c>
      <c r="GP72">
        <v>3.1819999999999999</v>
      </c>
      <c r="GQ72" s="12">
        <v>42429</v>
      </c>
      <c r="GR72">
        <v>2.34</v>
      </c>
      <c r="GS72" s="12">
        <v>42307</v>
      </c>
      <c r="GT72">
        <v>7.25</v>
      </c>
      <c r="GW72" s="12">
        <v>42369</v>
      </c>
      <c r="GX72">
        <v>28.959</v>
      </c>
      <c r="GY72" s="12">
        <v>42307</v>
      </c>
      <c r="GZ72">
        <v>6.37</v>
      </c>
      <c r="HA72" s="12">
        <v>42307</v>
      </c>
      <c r="HB72">
        <v>5.4409999999999998</v>
      </c>
      <c r="HC72" s="12">
        <v>42307</v>
      </c>
      <c r="HD72">
        <v>12.853</v>
      </c>
      <c r="HE72" s="12">
        <v>42307</v>
      </c>
      <c r="HF72">
        <v>13.885</v>
      </c>
      <c r="HG72" s="12">
        <v>42307</v>
      </c>
      <c r="HH72">
        <v>10.894</v>
      </c>
      <c r="HI72" s="12">
        <v>42307</v>
      </c>
      <c r="HJ72">
        <v>8.73</v>
      </c>
      <c r="HK72" s="12">
        <v>42307</v>
      </c>
      <c r="HL72">
        <v>4</v>
      </c>
      <c r="HM72" s="12">
        <v>42307</v>
      </c>
      <c r="HN72">
        <v>2.343</v>
      </c>
      <c r="HO72" s="12">
        <v>42307</v>
      </c>
      <c r="HP72">
        <v>1.62</v>
      </c>
      <c r="HQ72" s="12">
        <v>42398</v>
      </c>
      <c r="HR72">
        <v>15</v>
      </c>
      <c r="HS72" s="12">
        <v>42307</v>
      </c>
      <c r="HT72">
        <v>49.006</v>
      </c>
      <c r="HU72" s="12">
        <v>42307</v>
      </c>
      <c r="HV72">
        <v>20.399999999999999</v>
      </c>
      <c r="HW72" s="12">
        <v>42307</v>
      </c>
      <c r="HX72">
        <v>9.1349999999999998</v>
      </c>
      <c r="HY72" s="12">
        <v>42307</v>
      </c>
      <c r="HZ72">
        <v>7.1529999999999996</v>
      </c>
      <c r="IA72" s="12">
        <v>42307</v>
      </c>
      <c r="IB72">
        <v>45.124000000000002</v>
      </c>
      <c r="IC72" s="12">
        <v>42307</v>
      </c>
      <c r="ID72">
        <v>1.726</v>
      </c>
      <c r="IE72" s="12">
        <v>42307</v>
      </c>
      <c r="IF72">
        <v>1.4889999999999999</v>
      </c>
      <c r="IG72" s="12">
        <v>42613</v>
      </c>
      <c r="IH72">
        <v>1.45</v>
      </c>
      <c r="II72" s="12">
        <v>42307</v>
      </c>
      <c r="IJ72">
        <v>8.4109999999999996</v>
      </c>
      <c r="IM72" s="12">
        <v>42307</v>
      </c>
      <c r="IN72">
        <v>25.247</v>
      </c>
      <c r="IO72" s="12">
        <v>42853</v>
      </c>
      <c r="IP72">
        <v>17.402000000000001</v>
      </c>
      <c r="IQ72" s="12">
        <v>42307</v>
      </c>
      <c r="IR72">
        <v>38.381999999999998</v>
      </c>
      <c r="IU72" s="12">
        <v>42307</v>
      </c>
      <c r="IV72">
        <v>2.609</v>
      </c>
      <c r="IY72" s="12">
        <v>42307</v>
      </c>
      <c r="IZ72">
        <v>7.3579999999999997</v>
      </c>
      <c r="JC72" s="12">
        <v>42307</v>
      </c>
      <c r="JD72">
        <v>3.4</v>
      </c>
      <c r="JE72" s="12">
        <v>42307</v>
      </c>
      <c r="JF72">
        <v>4.5999999999999996</v>
      </c>
      <c r="JI72" s="12">
        <v>42307</v>
      </c>
      <c r="JJ72">
        <v>10.629</v>
      </c>
      <c r="JM72" s="12">
        <v>42307</v>
      </c>
      <c r="JN72">
        <v>0.88200000000000001</v>
      </c>
      <c r="JO72" s="12">
        <v>42307</v>
      </c>
      <c r="JP72">
        <v>14.641</v>
      </c>
      <c r="JQ72" s="12">
        <v>43707</v>
      </c>
      <c r="JR72">
        <v>23.434999999999999</v>
      </c>
      <c r="JS72" s="12">
        <v>42307</v>
      </c>
      <c r="JT72">
        <v>6.7320000000000002</v>
      </c>
      <c r="JU72" s="12">
        <v>43524</v>
      </c>
      <c r="JV72">
        <v>44.540999999999997</v>
      </c>
      <c r="JW72" s="12">
        <v>42307</v>
      </c>
      <c r="JX72">
        <v>13.638999999999999</v>
      </c>
      <c r="JY72" s="12">
        <v>42307</v>
      </c>
      <c r="JZ72">
        <v>14.545</v>
      </c>
      <c r="KC72" s="12">
        <v>42307</v>
      </c>
      <c r="KD72">
        <v>15.676</v>
      </c>
      <c r="KE72" s="12">
        <v>42307</v>
      </c>
      <c r="KF72">
        <v>12.638999999999999</v>
      </c>
      <c r="KI72" s="12">
        <v>42307</v>
      </c>
      <c r="KJ72">
        <v>2.4470000000000001</v>
      </c>
      <c r="KO72" s="12">
        <v>42307</v>
      </c>
      <c r="KP72">
        <v>26</v>
      </c>
      <c r="KQ72" s="12">
        <v>42307</v>
      </c>
      <c r="KR72">
        <v>14.64</v>
      </c>
      <c r="KS72" s="12">
        <v>42307</v>
      </c>
      <c r="KT72">
        <v>9.51</v>
      </c>
      <c r="KU72" s="12">
        <v>42307</v>
      </c>
      <c r="KV72">
        <v>7.633</v>
      </c>
      <c r="LC72" s="12">
        <v>42307</v>
      </c>
      <c r="LD72">
        <v>10.606</v>
      </c>
      <c r="LE72" s="12">
        <v>42307</v>
      </c>
      <c r="LF72">
        <v>7.7359999999999998</v>
      </c>
      <c r="LG72" s="12">
        <v>42307</v>
      </c>
      <c r="LH72">
        <v>16.638999999999999</v>
      </c>
      <c r="LI72" s="12">
        <v>42307</v>
      </c>
      <c r="LJ72">
        <v>29.974</v>
      </c>
      <c r="LM72" s="12">
        <v>42307</v>
      </c>
      <c r="LN72">
        <v>7.6609999999999996</v>
      </c>
      <c r="LO72" s="12">
        <v>42307</v>
      </c>
      <c r="LP72">
        <v>2.6509999999999998</v>
      </c>
      <c r="LQ72" s="12">
        <v>42307</v>
      </c>
      <c r="LR72">
        <v>15.205</v>
      </c>
      <c r="LS72" s="12">
        <v>42307</v>
      </c>
      <c r="LT72">
        <v>13.468</v>
      </c>
      <c r="LW72" s="12">
        <v>42307</v>
      </c>
      <c r="LX72">
        <v>33.576999999999998</v>
      </c>
      <c r="LY72" s="12">
        <v>42307</v>
      </c>
      <c r="LZ72">
        <v>29.974</v>
      </c>
      <c r="MA72" s="12">
        <v>42307</v>
      </c>
      <c r="MB72">
        <v>33.606000000000002</v>
      </c>
      <c r="ME72" s="12">
        <v>42338</v>
      </c>
      <c r="MF72">
        <v>2.883</v>
      </c>
      <c r="MG72" s="12">
        <v>42307</v>
      </c>
      <c r="MH72">
        <v>10.167999999999999</v>
      </c>
      <c r="MK72" s="12">
        <v>42307</v>
      </c>
      <c r="ML72">
        <v>12.122</v>
      </c>
    </row>
    <row r="73" spans="1:350" x14ac:dyDescent="0.3">
      <c r="A73" s="12">
        <v>42338</v>
      </c>
      <c r="B73" s="1">
        <v>16.367000000000001</v>
      </c>
      <c r="C73" s="1"/>
      <c r="G73" s="17">
        <v>42338</v>
      </c>
      <c r="H73" s="13">
        <v>5.5019999999999998</v>
      </c>
      <c r="I73" s="17">
        <v>42369</v>
      </c>
      <c r="J73">
        <v>10.391</v>
      </c>
      <c r="K73" s="12">
        <v>43553</v>
      </c>
      <c r="L73">
        <v>22.099</v>
      </c>
      <c r="N73" s="12"/>
      <c r="Q73" s="12">
        <v>43738</v>
      </c>
      <c r="R73">
        <v>20.67</v>
      </c>
      <c r="S73" s="12">
        <v>42338</v>
      </c>
      <c r="T73">
        <v>9.6660000000000004</v>
      </c>
      <c r="U73" s="12">
        <v>42766</v>
      </c>
      <c r="V73">
        <v>26.111000000000001</v>
      </c>
      <c r="Y73" s="12">
        <v>42338</v>
      </c>
      <c r="Z73">
        <v>9.8019999999999996</v>
      </c>
      <c r="AA73" s="12">
        <v>42338</v>
      </c>
      <c r="AB73">
        <v>13.337</v>
      </c>
      <c r="AC73" s="12">
        <v>42338</v>
      </c>
      <c r="AD73">
        <v>11.064</v>
      </c>
      <c r="AE73" s="12">
        <v>42338</v>
      </c>
      <c r="AF73">
        <v>9.5950000000000006</v>
      </c>
      <c r="AG73" s="12">
        <v>42338</v>
      </c>
      <c r="AH73">
        <v>14.007999999999999</v>
      </c>
      <c r="AI73" s="12">
        <v>43553</v>
      </c>
      <c r="AJ73">
        <v>23.652999999999999</v>
      </c>
      <c r="AK73" s="12">
        <v>42338</v>
      </c>
      <c r="AL73">
        <v>11.111000000000001</v>
      </c>
      <c r="AS73" s="12">
        <v>42338</v>
      </c>
      <c r="AT73">
        <v>1.4430000000000001</v>
      </c>
      <c r="AU73" s="12">
        <v>42338</v>
      </c>
      <c r="AV73">
        <v>4.5280000000000005</v>
      </c>
      <c r="AY73" s="12">
        <v>42338</v>
      </c>
      <c r="AZ73">
        <v>53.545000000000002</v>
      </c>
      <c r="BA73" s="12">
        <v>42338</v>
      </c>
      <c r="BB73">
        <v>21.387</v>
      </c>
      <c r="BC73" s="12">
        <v>42338</v>
      </c>
      <c r="BD73">
        <v>7.9249999999999998</v>
      </c>
      <c r="BE73" s="12">
        <v>42429</v>
      </c>
      <c r="BF73">
        <v>7.6790000000000003</v>
      </c>
      <c r="BG73" s="12">
        <v>42338</v>
      </c>
      <c r="BH73">
        <v>3.8410000000000002</v>
      </c>
      <c r="BI73" s="12">
        <v>42338</v>
      </c>
      <c r="BJ73">
        <v>14.247999999999999</v>
      </c>
      <c r="BK73" s="12">
        <v>42338</v>
      </c>
      <c r="BL73">
        <v>10.356</v>
      </c>
      <c r="BM73" s="12">
        <v>42338</v>
      </c>
      <c r="BN73">
        <v>11.323</v>
      </c>
      <c r="BO73" s="12">
        <v>42338</v>
      </c>
      <c r="BP73">
        <v>19.712</v>
      </c>
      <c r="BQ73" s="12">
        <v>42338</v>
      </c>
      <c r="BR73">
        <v>5.4420000000000002</v>
      </c>
      <c r="BS73" s="12">
        <v>42338</v>
      </c>
      <c r="BT73">
        <v>4.8879999999999999</v>
      </c>
      <c r="BW73" s="12">
        <v>42338</v>
      </c>
      <c r="BX73">
        <v>8.3710000000000004</v>
      </c>
      <c r="BY73" s="12">
        <v>42338</v>
      </c>
      <c r="BZ73">
        <v>14.654999999999999</v>
      </c>
      <c r="CA73" s="12">
        <v>42338</v>
      </c>
      <c r="CB73">
        <v>22.620999999999999</v>
      </c>
      <c r="CE73" s="12">
        <v>42338</v>
      </c>
      <c r="CF73">
        <v>27.59</v>
      </c>
      <c r="CG73" s="12">
        <v>42338</v>
      </c>
      <c r="CH73">
        <v>20.844999999999999</v>
      </c>
      <c r="CI73" s="12">
        <v>42338</v>
      </c>
      <c r="CJ73">
        <v>12.951000000000001</v>
      </c>
      <c r="CK73" s="12">
        <v>42338</v>
      </c>
      <c r="CL73">
        <v>5.1280000000000001</v>
      </c>
      <c r="CM73" s="12">
        <v>42338</v>
      </c>
      <c r="CN73">
        <v>34.811999999999998</v>
      </c>
      <c r="CO73" s="12">
        <v>43798</v>
      </c>
      <c r="CP73">
        <v>39.755000000000003</v>
      </c>
      <c r="CQ73" s="12">
        <v>42338</v>
      </c>
      <c r="CR73">
        <v>6.16</v>
      </c>
      <c r="CS73" s="12">
        <v>42338</v>
      </c>
      <c r="CT73">
        <v>9.0500000000000007</v>
      </c>
      <c r="CU73" s="12">
        <v>42338</v>
      </c>
      <c r="CV73">
        <v>2.774</v>
      </c>
      <c r="CW73" s="12">
        <v>42338</v>
      </c>
      <c r="CX73">
        <v>5.6929999999999996</v>
      </c>
      <c r="CY73" s="12">
        <v>42429</v>
      </c>
      <c r="CZ73">
        <v>3.9079999999999999</v>
      </c>
      <c r="DA73" s="12">
        <v>42338</v>
      </c>
      <c r="DB73">
        <v>20.302</v>
      </c>
      <c r="DC73" s="12">
        <v>42338</v>
      </c>
      <c r="DD73">
        <v>5.6370000000000005</v>
      </c>
      <c r="DE73" s="12">
        <v>42338</v>
      </c>
      <c r="DF73">
        <v>9.1739999999999995</v>
      </c>
      <c r="DG73" s="12">
        <v>43098</v>
      </c>
      <c r="DH73">
        <v>16.350000000000001</v>
      </c>
      <c r="DI73" s="12">
        <v>42338</v>
      </c>
      <c r="DJ73">
        <v>7.5440000000000005</v>
      </c>
      <c r="DK73" s="12">
        <v>42338</v>
      </c>
      <c r="DL73">
        <v>29.488</v>
      </c>
      <c r="DM73" s="12">
        <v>42766</v>
      </c>
      <c r="DN73">
        <v>3.7560000000000002</v>
      </c>
      <c r="DO73" s="12">
        <v>42338</v>
      </c>
      <c r="DP73">
        <v>9.3819999999999997</v>
      </c>
      <c r="DQ73" s="12">
        <v>42338</v>
      </c>
      <c r="DR73">
        <v>15</v>
      </c>
      <c r="DS73" s="12">
        <v>42369</v>
      </c>
      <c r="DT73">
        <v>12.552</v>
      </c>
      <c r="DU73" s="12">
        <v>42338</v>
      </c>
      <c r="DV73">
        <v>6.5380000000000003</v>
      </c>
      <c r="DW73" s="12">
        <v>42338</v>
      </c>
      <c r="DX73">
        <v>3.8180000000000001</v>
      </c>
      <c r="DY73" s="12">
        <v>42338</v>
      </c>
      <c r="DZ73">
        <v>7.8280000000000003</v>
      </c>
      <c r="EC73" s="12">
        <v>42338</v>
      </c>
      <c r="ED73">
        <v>47.594999999999999</v>
      </c>
      <c r="EE73" s="12">
        <v>42338</v>
      </c>
      <c r="EF73">
        <v>6.6820000000000004</v>
      </c>
      <c r="EG73" s="12">
        <v>42338</v>
      </c>
      <c r="EH73">
        <v>13.15</v>
      </c>
      <c r="EI73" s="12">
        <v>42338</v>
      </c>
      <c r="EJ73">
        <v>19.463000000000001</v>
      </c>
      <c r="EK73" s="12">
        <v>42338</v>
      </c>
      <c r="EL73">
        <v>3.8810000000000002</v>
      </c>
      <c r="EM73" s="12">
        <v>42338</v>
      </c>
      <c r="EN73">
        <v>5.7750000000000004</v>
      </c>
      <c r="EQ73" s="12">
        <v>42338</v>
      </c>
      <c r="ER73">
        <v>1.855</v>
      </c>
      <c r="ES73" s="12">
        <v>42338</v>
      </c>
      <c r="ET73">
        <v>3.41</v>
      </c>
      <c r="EU73" s="12">
        <v>42338</v>
      </c>
      <c r="EV73">
        <v>4.6050000000000004</v>
      </c>
      <c r="EY73" s="12">
        <v>42338</v>
      </c>
      <c r="EZ73">
        <v>12.129</v>
      </c>
      <c r="FA73" s="12">
        <v>42338</v>
      </c>
      <c r="FB73">
        <v>18.553999999999998</v>
      </c>
      <c r="FC73" s="12">
        <v>42338</v>
      </c>
      <c r="FD73">
        <v>20.018999999999998</v>
      </c>
      <c r="FG73" s="12">
        <v>42338</v>
      </c>
      <c r="FH73">
        <v>4.1749999999999998</v>
      </c>
      <c r="FI73" s="12">
        <v>42338</v>
      </c>
      <c r="FJ73">
        <v>11.202999999999999</v>
      </c>
      <c r="FK73" s="12">
        <v>42338</v>
      </c>
      <c r="FL73">
        <v>12.747</v>
      </c>
      <c r="FM73" s="12">
        <v>42338</v>
      </c>
      <c r="FN73">
        <v>11.494999999999999</v>
      </c>
      <c r="FO73" s="12">
        <v>42338</v>
      </c>
      <c r="FP73">
        <v>16.765000000000001</v>
      </c>
      <c r="FQ73" s="12">
        <v>43830</v>
      </c>
      <c r="FR73">
        <v>18.39</v>
      </c>
      <c r="FS73" s="12">
        <v>42338</v>
      </c>
      <c r="FT73">
        <v>3.2989999999999999</v>
      </c>
      <c r="FU73" s="12">
        <v>42338</v>
      </c>
      <c r="FV73">
        <v>9.6539999999999999</v>
      </c>
      <c r="FW73" s="12">
        <v>42338</v>
      </c>
      <c r="FX73">
        <v>13.988</v>
      </c>
      <c r="FY73" s="12">
        <v>43189</v>
      </c>
      <c r="FZ73">
        <v>9.4510000000000005</v>
      </c>
      <c r="GA73" s="12">
        <v>42338</v>
      </c>
      <c r="GB73">
        <v>20.518000000000001</v>
      </c>
      <c r="GC73" s="12">
        <v>42338</v>
      </c>
      <c r="GD73">
        <v>10.563000000000001</v>
      </c>
      <c r="GE73" s="12">
        <v>43496</v>
      </c>
      <c r="GF73">
        <v>29.625</v>
      </c>
      <c r="GI73" s="12">
        <v>42338</v>
      </c>
      <c r="GJ73">
        <v>13.536</v>
      </c>
      <c r="GK73" s="12">
        <v>42338</v>
      </c>
      <c r="GL73">
        <v>13.561</v>
      </c>
      <c r="GM73" s="12">
        <v>42338</v>
      </c>
      <c r="GN73">
        <v>22.783000000000001</v>
      </c>
      <c r="GO73" s="12">
        <v>42825</v>
      </c>
      <c r="GP73">
        <v>2.7080000000000002</v>
      </c>
      <c r="GQ73" s="12">
        <v>42460</v>
      </c>
      <c r="GR73">
        <v>3.34</v>
      </c>
      <c r="GS73" s="12">
        <v>42338</v>
      </c>
      <c r="GT73">
        <v>7</v>
      </c>
      <c r="GW73" s="12">
        <v>42398</v>
      </c>
      <c r="GX73">
        <v>24.584</v>
      </c>
      <c r="GY73" s="12">
        <v>42338</v>
      </c>
      <c r="GZ73">
        <v>5.88</v>
      </c>
      <c r="HA73" s="12">
        <v>42338</v>
      </c>
      <c r="HB73">
        <v>6.0570000000000004</v>
      </c>
      <c r="HC73" s="12">
        <v>42338</v>
      </c>
      <c r="HD73">
        <v>13.015000000000001</v>
      </c>
      <c r="HE73" s="12">
        <v>42338</v>
      </c>
      <c r="HF73">
        <v>12.625999999999999</v>
      </c>
      <c r="HG73" s="12">
        <v>42338</v>
      </c>
      <c r="HH73">
        <v>10.074999999999999</v>
      </c>
      <c r="HI73" s="12">
        <v>42338</v>
      </c>
      <c r="HJ73">
        <v>8.7919999999999998</v>
      </c>
      <c r="HK73" s="12">
        <v>42338</v>
      </c>
      <c r="HL73">
        <v>3</v>
      </c>
      <c r="HM73" s="12">
        <v>42338</v>
      </c>
      <c r="HN73">
        <v>2.157</v>
      </c>
      <c r="HO73" s="12">
        <v>42338</v>
      </c>
      <c r="HP73">
        <v>1.345</v>
      </c>
      <c r="HQ73" s="12">
        <v>42429</v>
      </c>
      <c r="HR73">
        <v>15</v>
      </c>
      <c r="HS73" s="12">
        <v>42338</v>
      </c>
      <c r="HT73">
        <v>47.465000000000003</v>
      </c>
      <c r="HU73" s="12">
        <v>42338</v>
      </c>
      <c r="HV73">
        <v>15.1</v>
      </c>
      <c r="HW73" s="12">
        <v>42338</v>
      </c>
      <c r="HX73">
        <v>9.1639999999999997</v>
      </c>
      <c r="HY73" s="12">
        <v>42338</v>
      </c>
      <c r="HZ73">
        <v>7.1159999999999997</v>
      </c>
      <c r="IA73" s="12">
        <v>42338</v>
      </c>
      <c r="IB73">
        <v>36.552</v>
      </c>
      <c r="IC73" s="12">
        <v>42338</v>
      </c>
      <c r="ID73">
        <v>1.992</v>
      </c>
      <c r="IE73" s="12">
        <v>42338</v>
      </c>
      <c r="IF73">
        <v>1.6879999999999999</v>
      </c>
      <c r="IG73" s="12">
        <v>42643</v>
      </c>
      <c r="IH73">
        <v>1.349</v>
      </c>
      <c r="II73" s="12">
        <v>42338</v>
      </c>
      <c r="IJ73">
        <v>9.8780000000000001</v>
      </c>
      <c r="IM73" s="12">
        <v>42338</v>
      </c>
      <c r="IN73">
        <v>25.411000000000001</v>
      </c>
      <c r="IO73" s="12">
        <v>42886</v>
      </c>
      <c r="IP73">
        <v>22.055</v>
      </c>
      <c r="IQ73" s="12">
        <v>42338</v>
      </c>
      <c r="IR73">
        <v>38.055999999999997</v>
      </c>
      <c r="IU73" s="12">
        <v>42338</v>
      </c>
      <c r="IV73">
        <v>2.48</v>
      </c>
      <c r="IY73" s="12">
        <v>42338</v>
      </c>
      <c r="IZ73">
        <v>7.52</v>
      </c>
      <c r="JC73" s="12">
        <v>42338</v>
      </c>
      <c r="JD73">
        <v>3</v>
      </c>
      <c r="JE73" s="12">
        <v>42338</v>
      </c>
      <c r="JF73">
        <v>3.15</v>
      </c>
      <c r="JI73" s="12">
        <v>42338</v>
      </c>
      <c r="JJ73">
        <v>11.374000000000001</v>
      </c>
      <c r="JM73" s="12">
        <v>42338</v>
      </c>
      <c r="JN73">
        <v>0.84199999999999997</v>
      </c>
      <c r="JO73" s="12">
        <v>42338</v>
      </c>
      <c r="JP73">
        <v>16.548000000000002</v>
      </c>
      <c r="JQ73" s="12">
        <v>43738</v>
      </c>
      <c r="JR73">
        <v>22.318000000000001</v>
      </c>
      <c r="JS73" s="12">
        <v>42338</v>
      </c>
      <c r="JT73">
        <v>6.7359999999999998</v>
      </c>
      <c r="JU73" s="12">
        <v>43553</v>
      </c>
      <c r="JV73">
        <v>44.262</v>
      </c>
      <c r="JW73" s="12">
        <v>42338</v>
      </c>
      <c r="JX73">
        <v>14.744</v>
      </c>
      <c r="JY73" s="12">
        <v>42338</v>
      </c>
      <c r="JZ73">
        <v>16.558</v>
      </c>
      <c r="KC73" s="12">
        <v>42338</v>
      </c>
      <c r="KD73">
        <v>18.11</v>
      </c>
      <c r="KE73" s="12">
        <v>42338</v>
      </c>
      <c r="KF73">
        <v>11.191000000000001</v>
      </c>
      <c r="KI73" s="12">
        <v>42338</v>
      </c>
      <c r="KJ73">
        <v>2.17</v>
      </c>
      <c r="KO73" s="12">
        <v>42338</v>
      </c>
      <c r="KP73">
        <v>21.89</v>
      </c>
      <c r="KQ73" s="12">
        <v>42338</v>
      </c>
      <c r="KR73">
        <v>13.3</v>
      </c>
      <c r="KS73" s="12">
        <v>42338</v>
      </c>
      <c r="KT73">
        <v>9.0489999999999995</v>
      </c>
      <c r="KU73" s="12">
        <v>42338</v>
      </c>
      <c r="KV73">
        <v>6.9109999999999996</v>
      </c>
      <c r="LC73" s="12">
        <v>42338</v>
      </c>
      <c r="LD73">
        <v>10.388999999999999</v>
      </c>
      <c r="LE73" s="12">
        <v>42338</v>
      </c>
      <c r="LF73">
        <v>7.8929999999999998</v>
      </c>
      <c r="LG73" s="12">
        <v>42338</v>
      </c>
      <c r="LH73">
        <v>15.763</v>
      </c>
      <c r="LI73" s="12">
        <v>42338</v>
      </c>
      <c r="LJ73">
        <v>28.064</v>
      </c>
      <c r="LM73" s="12">
        <v>42338</v>
      </c>
      <c r="LN73">
        <v>6.3150000000000004</v>
      </c>
      <c r="LO73" s="12">
        <v>42338</v>
      </c>
      <c r="LP73">
        <v>2.0979999999999999</v>
      </c>
      <c r="LQ73" s="12">
        <v>42338</v>
      </c>
      <c r="LR73">
        <v>11.738</v>
      </c>
      <c r="LS73" s="12">
        <v>42338</v>
      </c>
      <c r="LT73">
        <v>10.204000000000001</v>
      </c>
      <c r="LW73" s="12">
        <v>42338</v>
      </c>
      <c r="LX73">
        <v>25.183</v>
      </c>
      <c r="LY73" s="12">
        <v>42338</v>
      </c>
      <c r="LZ73">
        <v>27.798000000000002</v>
      </c>
      <c r="MA73" s="12">
        <v>42338</v>
      </c>
      <c r="MB73">
        <v>33.234999999999999</v>
      </c>
      <c r="ME73" s="12">
        <v>42369</v>
      </c>
      <c r="MF73">
        <v>1.4419999999999999</v>
      </c>
      <c r="MG73" s="12">
        <v>42338</v>
      </c>
      <c r="MH73">
        <v>10.733000000000001</v>
      </c>
      <c r="MK73" s="12">
        <v>42338</v>
      </c>
      <c r="ML73">
        <v>10.513999999999999</v>
      </c>
    </row>
    <row r="74" spans="1:350" x14ac:dyDescent="0.3">
      <c r="A74" s="12">
        <v>42369</v>
      </c>
      <c r="B74" s="1">
        <v>15.805</v>
      </c>
      <c r="C74" s="1"/>
      <c r="G74" s="17">
        <v>42369</v>
      </c>
      <c r="H74" s="13">
        <v>5.2089999999999996</v>
      </c>
      <c r="I74" s="17">
        <v>42398</v>
      </c>
      <c r="J74">
        <v>10.018000000000001</v>
      </c>
      <c r="K74" s="12">
        <v>43585</v>
      </c>
      <c r="L74">
        <v>22.667999999999999</v>
      </c>
      <c r="N74" s="12"/>
      <c r="Q74" s="12">
        <v>43769</v>
      </c>
      <c r="R74">
        <v>21.4</v>
      </c>
      <c r="S74" s="12">
        <v>42369</v>
      </c>
      <c r="T74">
        <v>9.5570000000000004</v>
      </c>
      <c r="U74" s="12">
        <v>42794</v>
      </c>
      <c r="V74">
        <v>28.254999999999999</v>
      </c>
      <c r="Y74" s="12">
        <v>42369</v>
      </c>
      <c r="Z74">
        <v>9.59</v>
      </c>
      <c r="AA74" s="12">
        <v>42369</v>
      </c>
      <c r="AB74">
        <v>12.259</v>
      </c>
      <c r="AC74" s="12">
        <v>42369</v>
      </c>
      <c r="AD74">
        <v>9.7750000000000004</v>
      </c>
      <c r="AE74" s="12">
        <v>42369</v>
      </c>
      <c r="AF74">
        <v>9.1349999999999998</v>
      </c>
      <c r="AG74" s="12">
        <v>42369</v>
      </c>
      <c r="AH74">
        <v>12.234</v>
      </c>
      <c r="AI74" s="12">
        <v>43585</v>
      </c>
      <c r="AJ74">
        <v>25.204999999999998</v>
      </c>
      <c r="AK74" s="12">
        <v>42369</v>
      </c>
      <c r="AL74">
        <v>12.941000000000001</v>
      </c>
      <c r="AS74" s="12">
        <v>42369</v>
      </c>
      <c r="AT74">
        <v>1.518</v>
      </c>
      <c r="AU74" s="12">
        <v>42369</v>
      </c>
      <c r="AV74">
        <v>4.2469999999999999</v>
      </c>
      <c r="AY74" s="12">
        <v>42369</v>
      </c>
      <c r="AZ74">
        <v>53.895000000000003</v>
      </c>
      <c r="BA74" s="12">
        <v>42369</v>
      </c>
      <c r="BB74">
        <v>22.529</v>
      </c>
      <c r="BC74" s="12">
        <v>42369</v>
      </c>
      <c r="BD74">
        <v>6.8609999999999998</v>
      </c>
      <c r="BE74" s="12">
        <v>42460</v>
      </c>
      <c r="BF74">
        <v>8.532</v>
      </c>
      <c r="BG74" s="12">
        <v>42369</v>
      </c>
      <c r="BH74">
        <v>4.3129999999999997</v>
      </c>
      <c r="BI74" s="12">
        <v>42369</v>
      </c>
      <c r="BJ74">
        <v>14.702</v>
      </c>
      <c r="BK74" s="12">
        <v>42369</v>
      </c>
      <c r="BL74">
        <v>10.183</v>
      </c>
      <c r="BM74" s="12">
        <v>42369</v>
      </c>
      <c r="BN74">
        <v>11.272</v>
      </c>
      <c r="BO74" s="12">
        <v>42369</v>
      </c>
      <c r="BP74">
        <v>18.859000000000002</v>
      </c>
      <c r="BQ74" s="12">
        <v>42369</v>
      </c>
      <c r="BR74">
        <v>5.3019999999999996</v>
      </c>
      <c r="BS74" s="12">
        <v>42369</v>
      </c>
      <c r="BT74">
        <v>4.54</v>
      </c>
      <c r="BW74" s="12">
        <v>42369</v>
      </c>
      <c r="BX74">
        <v>8.625</v>
      </c>
      <c r="BY74" s="12">
        <v>42369</v>
      </c>
      <c r="BZ74">
        <v>14.134</v>
      </c>
      <c r="CA74" s="12">
        <v>42369</v>
      </c>
      <c r="CB74">
        <v>19.152999999999999</v>
      </c>
      <c r="CG74" s="12">
        <v>42369</v>
      </c>
      <c r="CH74">
        <v>21.795999999999999</v>
      </c>
      <c r="CI74" s="12">
        <v>42369</v>
      </c>
      <c r="CJ74">
        <v>12.278</v>
      </c>
      <c r="CK74" s="12">
        <v>42369</v>
      </c>
      <c r="CL74">
        <v>3.73</v>
      </c>
      <c r="CM74" s="12">
        <v>42369</v>
      </c>
      <c r="CN74">
        <v>35.567</v>
      </c>
      <c r="CO74" s="12">
        <v>43830</v>
      </c>
      <c r="CP74">
        <v>43.8</v>
      </c>
      <c r="CQ74" s="12">
        <v>42369</v>
      </c>
      <c r="CR74">
        <v>6.2510000000000003</v>
      </c>
      <c r="CS74" s="12">
        <v>42369</v>
      </c>
      <c r="CT74">
        <v>9.9359999999999999</v>
      </c>
      <c r="CU74" s="12">
        <v>42369</v>
      </c>
      <c r="CV74">
        <v>2.806</v>
      </c>
      <c r="CW74" s="12">
        <v>42369</v>
      </c>
      <c r="CX74">
        <v>5.2389999999999999</v>
      </c>
      <c r="CY74" s="12">
        <v>42460</v>
      </c>
      <c r="CZ74">
        <v>5.1879999999999997</v>
      </c>
      <c r="DA74" s="12">
        <v>42369</v>
      </c>
      <c r="DB74">
        <v>20.32</v>
      </c>
      <c r="DC74" s="12">
        <v>42369</v>
      </c>
      <c r="DD74">
        <v>5.6079999999999997</v>
      </c>
      <c r="DE74" s="12">
        <v>42369</v>
      </c>
      <c r="DF74">
        <v>9.2270000000000003</v>
      </c>
      <c r="DG74" s="12">
        <v>43131</v>
      </c>
      <c r="DH74">
        <v>14.1</v>
      </c>
      <c r="DI74" s="12">
        <v>42369</v>
      </c>
      <c r="DJ74">
        <v>8.0830000000000002</v>
      </c>
      <c r="DK74" s="12">
        <v>42369</v>
      </c>
      <c r="DL74">
        <v>29.324999999999999</v>
      </c>
      <c r="DM74" s="12">
        <v>42794</v>
      </c>
      <c r="DN74">
        <v>3.855</v>
      </c>
      <c r="DO74" s="12">
        <v>42369</v>
      </c>
      <c r="DP74">
        <v>9.5399999999999991</v>
      </c>
      <c r="DQ74" s="12">
        <v>42369</v>
      </c>
      <c r="DR74">
        <v>14</v>
      </c>
      <c r="DS74" s="12">
        <v>42398</v>
      </c>
      <c r="DT74">
        <v>12.22</v>
      </c>
      <c r="DU74" s="12">
        <v>42369</v>
      </c>
      <c r="DV74">
        <v>6.4420000000000002</v>
      </c>
      <c r="DW74" s="12">
        <v>42369</v>
      </c>
      <c r="DX74">
        <v>3.855</v>
      </c>
      <c r="DY74" s="12">
        <v>42369</v>
      </c>
      <c r="DZ74">
        <v>7.625</v>
      </c>
      <c r="EC74" s="12">
        <v>42369</v>
      </c>
      <c r="ED74">
        <v>46.061999999999998</v>
      </c>
      <c r="EE74" s="12">
        <v>42369</v>
      </c>
      <c r="EF74">
        <v>6.5949999999999998</v>
      </c>
      <c r="EG74" s="12">
        <v>42369</v>
      </c>
      <c r="EH74">
        <v>14.46</v>
      </c>
      <c r="EI74" s="12">
        <v>42369</v>
      </c>
      <c r="EJ74">
        <v>19.07</v>
      </c>
      <c r="EK74" s="12">
        <v>42369</v>
      </c>
      <c r="EL74">
        <v>3.254</v>
      </c>
      <c r="EM74" s="12">
        <v>42369</v>
      </c>
      <c r="EN74">
        <v>4.4020000000000001</v>
      </c>
      <c r="EQ74" s="12">
        <v>42369</v>
      </c>
      <c r="ER74">
        <v>1.5550000000000002</v>
      </c>
      <c r="ES74" s="12">
        <v>42369</v>
      </c>
      <c r="ET74">
        <v>2.52</v>
      </c>
      <c r="EU74" s="12">
        <v>42369</v>
      </c>
      <c r="EV74">
        <v>4.5490000000000004</v>
      </c>
      <c r="EY74" s="12">
        <v>42369</v>
      </c>
      <c r="EZ74">
        <v>12.385999999999999</v>
      </c>
      <c r="FA74" s="12">
        <v>42369</v>
      </c>
      <c r="FB74">
        <v>17.983000000000001</v>
      </c>
      <c r="FC74" s="12">
        <v>42369</v>
      </c>
      <c r="FD74">
        <v>17.486000000000001</v>
      </c>
      <c r="FG74" s="12">
        <v>42369</v>
      </c>
      <c r="FH74">
        <v>4.0330000000000004</v>
      </c>
      <c r="FI74" s="12">
        <v>42369</v>
      </c>
      <c r="FJ74">
        <v>10.961</v>
      </c>
      <c r="FK74" s="12">
        <v>42369</v>
      </c>
      <c r="FL74">
        <v>12.170999999999999</v>
      </c>
      <c r="FM74" s="12">
        <v>42369</v>
      </c>
      <c r="FN74">
        <v>11.43</v>
      </c>
      <c r="FO74" s="12">
        <v>42369</v>
      </c>
      <c r="FP74">
        <v>15.734999999999999</v>
      </c>
      <c r="FS74" s="12">
        <v>42369</v>
      </c>
      <c r="FT74">
        <v>3.1419999999999999</v>
      </c>
      <c r="FU74" s="12">
        <v>42369</v>
      </c>
      <c r="FV74">
        <v>10.032</v>
      </c>
      <c r="FW74" s="12">
        <v>42369</v>
      </c>
      <c r="FX74">
        <v>15.741</v>
      </c>
      <c r="FY74" s="12">
        <v>43220</v>
      </c>
      <c r="FZ74">
        <v>9.5960000000000001</v>
      </c>
      <c r="GA74" s="12">
        <v>42369</v>
      </c>
      <c r="GB74">
        <v>19.923000000000002</v>
      </c>
      <c r="GC74" s="12">
        <v>42369</v>
      </c>
      <c r="GD74">
        <v>9.6829999999999998</v>
      </c>
      <c r="GE74" s="12">
        <v>43524</v>
      </c>
      <c r="GF74">
        <v>28.238</v>
      </c>
      <c r="GI74" s="12">
        <v>42369</v>
      </c>
      <c r="GJ74">
        <v>13.263999999999999</v>
      </c>
      <c r="GK74" s="12">
        <v>42369</v>
      </c>
      <c r="GL74">
        <v>13.241</v>
      </c>
      <c r="GM74" s="12">
        <v>42369</v>
      </c>
      <c r="GN74">
        <v>21.271000000000001</v>
      </c>
      <c r="GO74" s="12">
        <v>42853</v>
      </c>
      <c r="GP74">
        <v>3.423</v>
      </c>
      <c r="GQ74" s="12">
        <v>42489</v>
      </c>
      <c r="GR74">
        <v>4.21</v>
      </c>
      <c r="GS74" s="12">
        <v>42369</v>
      </c>
      <c r="GT74">
        <v>5.75</v>
      </c>
      <c r="GW74" s="12">
        <v>42429</v>
      </c>
      <c r="GX74">
        <v>21.334</v>
      </c>
      <c r="GY74" s="12">
        <v>42369</v>
      </c>
      <c r="GZ74">
        <v>6.35</v>
      </c>
      <c r="HA74" s="12">
        <v>42369</v>
      </c>
      <c r="HB74">
        <v>6.3650000000000002</v>
      </c>
      <c r="HC74" s="12">
        <v>42369</v>
      </c>
      <c r="HD74">
        <v>11.821999999999999</v>
      </c>
      <c r="HE74" s="12">
        <v>42369</v>
      </c>
      <c r="HF74">
        <v>10.673999999999999</v>
      </c>
      <c r="HG74" s="12">
        <v>42369</v>
      </c>
      <c r="HH74">
        <v>11.173999999999999</v>
      </c>
      <c r="HI74" s="12">
        <v>42369</v>
      </c>
      <c r="HJ74">
        <v>8.3670000000000009</v>
      </c>
      <c r="HK74" s="12">
        <v>42369</v>
      </c>
      <c r="HL74">
        <v>3</v>
      </c>
      <c r="HM74" s="12">
        <v>42369</v>
      </c>
      <c r="HN74">
        <v>1.7909999999999999</v>
      </c>
      <c r="HO74" s="12">
        <v>42369</v>
      </c>
      <c r="HP74">
        <v>1.4910000000000001</v>
      </c>
      <c r="HQ74" s="12">
        <v>42460</v>
      </c>
      <c r="HR74">
        <v>23</v>
      </c>
      <c r="HS74" s="12">
        <v>42369</v>
      </c>
      <c r="HT74">
        <v>40.548999999999999</v>
      </c>
      <c r="HU74" s="12">
        <v>42369</v>
      </c>
      <c r="HV74">
        <v>16.3</v>
      </c>
      <c r="HW74" s="12">
        <v>42369</v>
      </c>
      <c r="HX74">
        <v>8.3460000000000001</v>
      </c>
      <c r="HY74" s="12">
        <v>42369</v>
      </c>
      <c r="HZ74">
        <v>6.2160000000000002</v>
      </c>
      <c r="IA74" s="12">
        <v>42369</v>
      </c>
      <c r="IB74">
        <v>35.582000000000001</v>
      </c>
      <c r="IC74" s="12">
        <v>42369</v>
      </c>
      <c r="ID74">
        <v>1.6379999999999999</v>
      </c>
      <c r="IE74" s="12">
        <v>42369</v>
      </c>
      <c r="IF74">
        <v>1.6879999999999999</v>
      </c>
      <c r="IG74" s="12">
        <v>42674</v>
      </c>
      <c r="IH74">
        <v>1.6</v>
      </c>
      <c r="II74" s="12">
        <v>42369</v>
      </c>
      <c r="IJ74">
        <v>9.2910000000000004</v>
      </c>
      <c r="IM74" s="12">
        <v>42369</v>
      </c>
      <c r="IN74">
        <v>22.704000000000001</v>
      </c>
      <c r="IO74" s="12">
        <v>42916</v>
      </c>
      <c r="IP74">
        <v>22.591000000000001</v>
      </c>
      <c r="IQ74" s="12">
        <v>42369</v>
      </c>
      <c r="IR74">
        <v>34.165999999999997</v>
      </c>
      <c r="IU74" s="12">
        <v>42369</v>
      </c>
      <c r="IV74">
        <v>2.2587000000000002</v>
      </c>
      <c r="IY74" s="12">
        <v>42369</v>
      </c>
      <c r="IZ74">
        <v>7.024</v>
      </c>
      <c r="JC74" s="12">
        <v>42369</v>
      </c>
      <c r="JD74">
        <v>3.6</v>
      </c>
      <c r="JE74" s="12">
        <v>42369</v>
      </c>
      <c r="JF74">
        <v>3.2</v>
      </c>
      <c r="JI74" s="12">
        <v>42369</v>
      </c>
      <c r="JJ74">
        <v>12.327</v>
      </c>
      <c r="JM74" s="12">
        <v>42369</v>
      </c>
      <c r="JN74">
        <v>0.78800000000000003</v>
      </c>
      <c r="JO74" s="12">
        <v>42369</v>
      </c>
      <c r="JP74">
        <v>16.556000000000001</v>
      </c>
      <c r="JQ74" s="12">
        <v>43769</v>
      </c>
      <c r="JR74">
        <v>23.763999999999999</v>
      </c>
      <c r="JS74" s="12">
        <v>42369</v>
      </c>
      <c r="JT74">
        <v>6.431</v>
      </c>
      <c r="JU74" s="12">
        <v>43585</v>
      </c>
      <c r="JV74">
        <v>48.662999999999997</v>
      </c>
      <c r="JW74" s="12">
        <v>42369</v>
      </c>
      <c r="JX74">
        <v>14.055999999999999</v>
      </c>
      <c r="JY74" s="12">
        <v>42369</v>
      </c>
      <c r="JZ74">
        <v>14.449</v>
      </c>
      <c r="KC74" s="12">
        <v>42369</v>
      </c>
      <c r="KD74">
        <v>17.814</v>
      </c>
      <c r="KE74" s="12">
        <v>42369</v>
      </c>
      <c r="KF74">
        <v>11.003</v>
      </c>
      <c r="KI74" s="12">
        <v>42369</v>
      </c>
      <c r="KJ74">
        <v>2.262</v>
      </c>
      <c r="KO74" s="12">
        <v>42369</v>
      </c>
      <c r="KP74">
        <v>54.97</v>
      </c>
      <c r="KQ74" s="12">
        <v>42369</v>
      </c>
      <c r="KR74">
        <v>7.95</v>
      </c>
      <c r="KS74" s="12">
        <v>42369</v>
      </c>
      <c r="KT74">
        <v>9.9499999999999993</v>
      </c>
      <c r="KU74" s="12">
        <v>42369</v>
      </c>
      <c r="KV74">
        <v>6.1970000000000001</v>
      </c>
      <c r="LC74" s="12">
        <v>42369</v>
      </c>
      <c r="LD74">
        <v>9.6929999999999996</v>
      </c>
      <c r="LE74" s="12">
        <v>42369</v>
      </c>
      <c r="LF74">
        <v>8.218</v>
      </c>
      <c r="LG74" s="12">
        <v>42369</v>
      </c>
      <c r="LH74">
        <v>14.746</v>
      </c>
      <c r="LI74" s="12">
        <v>42369</v>
      </c>
      <c r="LJ74">
        <v>27.044</v>
      </c>
      <c r="LM74" s="12">
        <v>42369</v>
      </c>
      <c r="LN74">
        <v>3.8940000000000001</v>
      </c>
      <c r="LO74" s="12">
        <v>42369</v>
      </c>
      <c r="LP74">
        <v>1.478</v>
      </c>
      <c r="LQ74" s="12">
        <v>42369</v>
      </c>
      <c r="LR74">
        <v>11.614000000000001</v>
      </c>
      <c r="LS74" s="12">
        <v>42369</v>
      </c>
      <c r="LT74">
        <v>9.8390000000000004</v>
      </c>
      <c r="LW74" s="12">
        <v>42369</v>
      </c>
      <c r="LX74">
        <v>25.183</v>
      </c>
      <c r="LY74" s="12">
        <v>42369</v>
      </c>
      <c r="LZ74">
        <v>26.963000000000001</v>
      </c>
      <c r="MA74" s="12">
        <v>42369</v>
      </c>
      <c r="MB74">
        <v>33.020000000000003</v>
      </c>
      <c r="ME74" s="12">
        <v>42398</v>
      </c>
      <c r="MF74">
        <v>1.2230000000000001</v>
      </c>
      <c r="MG74" s="12">
        <v>42369</v>
      </c>
      <c r="MH74">
        <v>10.597</v>
      </c>
      <c r="MK74" s="12">
        <v>42369</v>
      </c>
      <c r="ML74">
        <v>10.938000000000001</v>
      </c>
    </row>
    <row r="75" spans="1:350" x14ac:dyDescent="0.3">
      <c r="A75" s="12">
        <v>42398</v>
      </c>
      <c r="B75" s="1">
        <v>16.523</v>
      </c>
      <c r="C75" s="1"/>
      <c r="G75" s="17">
        <v>42398</v>
      </c>
      <c r="H75" s="13">
        <v>5.3339999999999996</v>
      </c>
      <c r="I75" s="17">
        <v>42429</v>
      </c>
      <c r="J75">
        <v>10.124000000000001</v>
      </c>
      <c r="K75" s="12">
        <v>43616</v>
      </c>
      <c r="L75">
        <v>23.658000000000001</v>
      </c>
      <c r="N75" s="12"/>
      <c r="Q75" s="12">
        <v>43798</v>
      </c>
      <c r="R75">
        <v>22.52</v>
      </c>
      <c r="S75" s="12">
        <v>42398</v>
      </c>
      <c r="T75">
        <v>9.4480000000000004</v>
      </c>
      <c r="U75" s="12">
        <v>42825</v>
      </c>
      <c r="V75">
        <v>28.155999999999999</v>
      </c>
      <c r="Y75" s="12">
        <v>42398</v>
      </c>
      <c r="Z75">
        <v>9.0350000000000001</v>
      </c>
      <c r="AA75" s="12">
        <v>42398</v>
      </c>
      <c r="AB75">
        <v>11.519</v>
      </c>
      <c r="AC75" s="12">
        <v>42398</v>
      </c>
      <c r="AD75">
        <v>9.3490000000000002</v>
      </c>
      <c r="AE75" s="12">
        <v>42398</v>
      </c>
      <c r="AF75">
        <v>8.6080000000000005</v>
      </c>
      <c r="AG75" s="12">
        <v>42398</v>
      </c>
      <c r="AH75">
        <v>13.167999999999999</v>
      </c>
      <c r="AI75" s="12">
        <v>43616</v>
      </c>
      <c r="AJ75">
        <v>26.614000000000001</v>
      </c>
      <c r="AK75" s="12">
        <v>42398</v>
      </c>
      <c r="AL75">
        <v>11.948</v>
      </c>
      <c r="AS75" s="12">
        <v>42398</v>
      </c>
      <c r="AT75">
        <v>1.639</v>
      </c>
      <c r="AU75" s="12">
        <v>42398</v>
      </c>
      <c r="AV75">
        <v>2.8260000000000001</v>
      </c>
      <c r="AY75" s="12">
        <v>42398</v>
      </c>
      <c r="AZ75">
        <v>47.517000000000003</v>
      </c>
      <c r="BA75" s="12">
        <v>42398</v>
      </c>
      <c r="BB75">
        <v>19.576000000000001</v>
      </c>
      <c r="BC75" s="12">
        <v>42398</v>
      </c>
      <c r="BD75">
        <v>7.3369999999999997</v>
      </c>
      <c r="BE75" s="12">
        <v>42489</v>
      </c>
      <c r="BF75">
        <v>9.9580000000000002</v>
      </c>
      <c r="BG75" s="12">
        <v>42398</v>
      </c>
      <c r="BH75">
        <v>3.2749999999999999</v>
      </c>
      <c r="BI75" s="12">
        <v>42398</v>
      </c>
      <c r="BJ75">
        <v>12.8</v>
      </c>
      <c r="BK75" s="12">
        <v>42398</v>
      </c>
      <c r="BL75">
        <v>10.37</v>
      </c>
      <c r="BM75" s="12">
        <v>42398</v>
      </c>
      <c r="BN75">
        <v>11.096</v>
      </c>
      <c r="BO75" s="12">
        <v>42398</v>
      </c>
      <c r="BP75">
        <v>19.015999999999998</v>
      </c>
      <c r="BQ75" s="12">
        <v>42398</v>
      </c>
      <c r="BR75">
        <v>4.8949999999999996</v>
      </c>
      <c r="BS75" s="12">
        <v>42398</v>
      </c>
      <c r="BT75">
        <v>4.4930000000000003</v>
      </c>
      <c r="BW75" s="12">
        <v>42398</v>
      </c>
      <c r="BX75">
        <v>7.6929999999999996</v>
      </c>
      <c r="BY75" s="12">
        <v>42398</v>
      </c>
      <c r="BZ75">
        <v>15.093</v>
      </c>
      <c r="CA75" s="12">
        <v>42398</v>
      </c>
      <c r="CB75">
        <v>17.379000000000001</v>
      </c>
      <c r="CG75" s="12">
        <v>42398</v>
      </c>
      <c r="CH75">
        <v>21.744</v>
      </c>
      <c r="CI75" s="12">
        <v>42398</v>
      </c>
      <c r="CJ75">
        <v>10.194000000000001</v>
      </c>
      <c r="CK75" s="12">
        <v>42398</v>
      </c>
      <c r="CL75">
        <v>3.31</v>
      </c>
      <c r="CM75" s="12">
        <v>42398</v>
      </c>
      <c r="CN75">
        <v>36.268999999999998</v>
      </c>
      <c r="CQ75" s="12">
        <v>42398</v>
      </c>
      <c r="CR75">
        <v>5.96</v>
      </c>
      <c r="CS75" s="12">
        <v>42398</v>
      </c>
      <c r="CT75">
        <v>10.231</v>
      </c>
      <c r="CU75" s="12">
        <v>42398</v>
      </c>
      <c r="CV75">
        <v>2.6379999999999999</v>
      </c>
      <c r="CW75" s="12">
        <v>42398</v>
      </c>
      <c r="CX75">
        <v>4.7059999999999995</v>
      </c>
      <c r="CY75" s="12">
        <v>42489</v>
      </c>
      <c r="CZ75">
        <v>6.4850000000000003</v>
      </c>
      <c r="DA75" s="12">
        <v>42398</v>
      </c>
      <c r="DB75">
        <v>20.533000000000001</v>
      </c>
      <c r="DC75" s="12">
        <v>42398</v>
      </c>
      <c r="DD75">
        <v>5.6669999999999998</v>
      </c>
      <c r="DE75" s="12">
        <v>42398</v>
      </c>
      <c r="DF75">
        <v>8.8829999999999991</v>
      </c>
      <c r="DG75" s="12">
        <v>43159</v>
      </c>
      <c r="DH75">
        <v>17.5</v>
      </c>
      <c r="DI75" s="12">
        <v>42398</v>
      </c>
      <c r="DJ75">
        <v>7.5830000000000002</v>
      </c>
      <c r="DK75" s="12">
        <v>42398</v>
      </c>
      <c r="DL75">
        <v>27.936</v>
      </c>
      <c r="DM75" s="12">
        <v>42825</v>
      </c>
      <c r="DN75">
        <v>4.0670000000000002</v>
      </c>
      <c r="DO75" s="12">
        <v>42398</v>
      </c>
      <c r="DP75">
        <v>9.6039999999999992</v>
      </c>
      <c r="DQ75" s="12">
        <v>42398</v>
      </c>
      <c r="DR75">
        <v>12</v>
      </c>
      <c r="DS75" s="12">
        <v>42429</v>
      </c>
      <c r="DT75">
        <v>12.39</v>
      </c>
      <c r="DU75" s="12">
        <v>42398</v>
      </c>
      <c r="DV75">
        <v>6.8049999999999997</v>
      </c>
      <c r="DW75" s="12">
        <v>42398</v>
      </c>
      <c r="DX75">
        <v>3.8650000000000002</v>
      </c>
      <c r="DY75" s="12">
        <v>42398</v>
      </c>
      <c r="DZ75">
        <v>7.38</v>
      </c>
      <c r="EC75" s="12">
        <v>42398</v>
      </c>
      <c r="ED75">
        <v>39.110999999999997</v>
      </c>
      <c r="EE75" s="12">
        <v>42398</v>
      </c>
      <c r="EF75">
        <v>6.0179999999999998</v>
      </c>
      <c r="EI75" s="12">
        <v>42398</v>
      </c>
      <c r="EJ75">
        <v>18.442</v>
      </c>
      <c r="EK75" s="12">
        <v>42398</v>
      </c>
      <c r="EL75">
        <v>2.431</v>
      </c>
      <c r="EM75" s="12">
        <v>42398</v>
      </c>
      <c r="EN75">
        <v>3.4079999999999999</v>
      </c>
      <c r="EQ75" s="12">
        <v>42398</v>
      </c>
      <c r="ER75">
        <v>0.96499999999999997</v>
      </c>
      <c r="ES75" s="12">
        <v>42398</v>
      </c>
      <c r="ET75">
        <v>1.53</v>
      </c>
      <c r="EU75" s="12">
        <v>42398</v>
      </c>
      <c r="EV75">
        <v>4.1219999999999999</v>
      </c>
      <c r="EY75" s="12">
        <v>42398</v>
      </c>
      <c r="EZ75">
        <v>10.538</v>
      </c>
      <c r="FA75" s="12">
        <v>42398</v>
      </c>
      <c r="FB75">
        <v>18.513000000000002</v>
      </c>
      <c r="FC75" s="12">
        <v>42398</v>
      </c>
      <c r="FD75">
        <v>18.66</v>
      </c>
      <c r="FG75" s="12">
        <v>42398</v>
      </c>
      <c r="FH75">
        <v>4.0330000000000004</v>
      </c>
      <c r="FI75" s="12">
        <v>42398</v>
      </c>
      <c r="FJ75">
        <v>10.093</v>
      </c>
      <c r="FK75" s="12">
        <v>42398</v>
      </c>
      <c r="FL75">
        <v>11.54</v>
      </c>
      <c r="FM75" s="12">
        <v>42398</v>
      </c>
      <c r="FN75">
        <v>9.9949999999999992</v>
      </c>
      <c r="FO75" s="12">
        <v>42398</v>
      </c>
      <c r="FP75">
        <v>11.656000000000001</v>
      </c>
      <c r="FS75" s="12">
        <v>42398</v>
      </c>
      <c r="FT75">
        <v>3.0350000000000001</v>
      </c>
      <c r="FU75" s="12">
        <v>42398</v>
      </c>
      <c r="FV75">
        <v>9.2710000000000008</v>
      </c>
      <c r="FW75" s="12">
        <v>42398</v>
      </c>
      <c r="FX75">
        <v>15.153</v>
      </c>
      <c r="FY75" s="12">
        <v>43251</v>
      </c>
      <c r="FZ75">
        <v>7.6639999999999997</v>
      </c>
      <c r="GA75" s="12">
        <v>42398</v>
      </c>
      <c r="GB75">
        <v>19.536000000000001</v>
      </c>
      <c r="GC75" s="12">
        <v>42398</v>
      </c>
      <c r="GD75">
        <v>7.9420000000000002</v>
      </c>
      <c r="GE75" s="12">
        <v>43553</v>
      </c>
      <c r="GF75">
        <v>36.634999999999998</v>
      </c>
      <c r="GI75" s="12">
        <v>42398</v>
      </c>
      <c r="GJ75">
        <v>13.760999999999999</v>
      </c>
      <c r="GK75" s="12">
        <v>42398</v>
      </c>
      <c r="GL75">
        <v>13.515000000000001</v>
      </c>
      <c r="GM75" s="12">
        <v>42398</v>
      </c>
      <c r="GN75">
        <v>18.555</v>
      </c>
      <c r="GO75" s="12">
        <v>42886</v>
      </c>
      <c r="GP75">
        <v>3.8559999999999999</v>
      </c>
      <c r="GQ75" s="12">
        <v>42521</v>
      </c>
      <c r="GR75">
        <v>4.7</v>
      </c>
      <c r="GS75" s="12">
        <v>42398</v>
      </c>
      <c r="GT75">
        <v>5.5</v>
      </c>
      <c r="GW75" s="12">
        <v>42460</v>
      </c>
      <c r="GX75">
        <v>26.274999999999999</v>
      </c>
      <c r="GY75" s="12">
        <v>42398</v>
      </c>
      <c r="GZ75">
        <v>6.1</v>
      </c>
      <c r="HA75" s="12">
        <v>42398</v>
      </c>
      <c r="HB75">
        <v>6.71</v>
      </c>
      <c r="HC75" s="12">
        <v>42398</v>
      </c>
      <c r="HD75">
        <v>12.879</v>
      </c>
      <c r="HE75" s="12">
        <v>42398</v>
      </c>
      <c r="HF75">
        <v>9.2769999999999992</v>
      </c>
      <c r="HG75" s="12">
        <v>42398</v>
      </c>
      <c r="HH75">
        <v>10.66</v>
      </c>
      <c r="HI75" s="12">
        <v>42398</v>
      </c>
      <c r="HJ75">
        <v>8.9420000000000002</v>
      </c>
      <c r="HK75" s="12">
        <v>42398</v>
      </c>
      <c r="HL75">
        <v>2</v>
      </c>
      <c r="HM75" s="12">
        <v>42398</v>
      </c>
      <c r="HN75">
        <v>1.6339999999999999</v>
      </c>
      <c r="HO75" s="12">
        <v>42398</v>
      </c>
      <c r="HP75">
        <v>1.2610000000000001</v>
      </c>
      <c r="HQ75" s="12">
        <v>42489</v>
      </c>
      <c r="HR75">
        <v>19</v>
      </c>
      <c r="HS75" s="12">
        <v>42398</v>
      </c>
      <c r="HT75">
        <v>37.033000000000001</v>
      </c>
      <c r="HU75" s="12">
        <v>42398</v>
      </c>
      <c r="HV75">
        <v>20.2</v>
      </c>
      <c r="HW75" s="12">
        <v>42398</v>
      </c>
      <c r="HX75">
        <v>6.7489999999999997</v>
      </c>
      <c r="HY75" s="12">
        <v>42398</v>
      </c>
      <c r="HZ75">
        <v>4.49</v>
      </c>
      <c r="IA75" s="12">
        <v>42398</v>
      </c>
      <c r="IB75">
        <v>30.73</v>
      </c>
      <c r="IC75" s="12">
        <v>42398</v>
      </c>
      <c r="ID75">
        <v>1.7970000000000002</v>
      </c>
      <c r="IE75" s="12">
        <v>42398</v>
      </c>
      <c r="IF75">
        <v>1.3109999999999999</v>
      </c>
      <c r="IG75" s="12">
        <v>42704</v>
      </c>
      <c r="IH75">
        <v>1.661</v>
      </c>
      <c r="II75" s="12">
        <v>42398</v>
      </c>
      <c r="IJ75">
        <v>8.9969999999999999</v>
      </c>
      <c r="IM75" s="12">
        <v>42398</v>
      </c>
      <c r="IN75">
        <v>20.638000000000002</v>
      </c>
      <c r="IO75" s="12">
        <v>42947</v>
      </c>
      <c r="IP75">
        <v>25.818000000000001</v>
      </c>
      <c r="IQ75" s="12">
        <v>42398</v>
      </c>
      <c r="IR75">
        <v>39.944000000000003</v>
      </c>
      <c r="IU75" s="12">
        <v>42398</v>
      </c>
      <c r="IV75">
        <v>2.0282</v>
      </c>
      <c r="IY75" s="12">
        <v>42398</v>
      </c>
      <c r="IZ75">
        <v>6.2469999999999999</v>
      </c>
      <c r="JC75" s="12">
        <v>42398</v>
      </c>
      <c r="JD75">
        <v>3.8</v>
      </c>
      <c r="JE75" s="12">
        <v>42398</v>
      </c>
      <c r="JF75">
        <v>1.96</v>
      </c>
      <c r="JI75" s="12">
        <v>42398</v>
      </c>
      <c r="JJ75">
        <v>10.548</v>
      </c>
      <c r="JM75" s="12">
        <v>42398</v>
      </c>
      <c r="JN75">
        <v>0.66500000000000004</v>
      </c>
      <c r="JO75" s="12">
        <v>42398</v>
      </c>
      <c r="JP75">
        <v>18.646999999999998</v>
      </c>
      <c r="JQ75" s="12">
        <v>43798</v>
      </c>
      <c r="JR75">
        <v>23.245000000000001</v>
      </c>
      <c r="JS75" s="12">
        <v>42398</v>
      </c>
      <c r="JT75">
        <v>6.3959999999999999</v>
      </c>
      <c r="JU75" s="12">
        <v>43616</v>
      </c>
      <c r="JV75">
        <v>47.322000000000003</v>
      </c>
      <c r="JW75" s="12">
        <v>42398</v>
      </c>
      <c r="JX75">
        <v>14.673</v>
      </c>
      <c r="JY75" s="12">
        <v>42398</v>
      </c>
      <c r="JZ75">
        <v>14.03</v>
      </c>
      <c r="KC75" s="12">
        <v>42398</v>
      </c>
      <c r="KD75">
        <v>15.202999999999999</v>
      </c>
      <c r="KE75" s="12">
        <v>42398</v>
      </c>
      <c r="KF75">
        <v>11.423</v>
      </c>
      <c r="KI75" s="12">
        <v>42398</v>
      </c>
      <c r="KJ75">
        <v>1.9609999999999999</v>
      </c>
      <c r="KO75" s="12">
        <v>42398</v>
      </c>
      <c r="KP75">
        <v>53.26</v>
      </c>
      <c r="KQ75" s="12">
        <v>42398</v>
      </c>
      <c r="KR75">
        <v>6.24</v>
      </c>
      <c r="KS75" s="12">
        <v>42398</v>
      </c>
      <c r="KT75">
        <v>9.0350000000000001</v>
      </c>
      <c r="KU75" s="12">
        <v>42398</v>
      </c>
      <c r="KV75">
        <v>5.7539999999999996</v>
      </c>
      <c r="LC75" s="12">
        <v>42398</v>
      </c>
      <c r="LD75">
        <v>10.119999999999999</v>
      </c>
      <c r="LE75" s="12">
        <v>42398</v>
      </c>
      <c r="LF75">
        <v>8.2129999999999992</v>
      </c>
      <c r="LG75" s="12">
        <v>42398</v>
      </c>
      <c r="LH75">
        <v>14.005000000000001</v>
      </c>
      <c r="LI75" s="12">
        <v>42398</v>
      </c>
      <c r="LJ75">
        <v>26.565000000000001</v>
      </c>
      <c r="LM75" s="12">
        <v>42398</v>
      </c>
      <c r="LN75">
        <v>3.09</v>
      </c>
      <c r="LO75" s="12">
        <v>42398</v>
      </c>
      <c r="LP75">
        <v>0.81100000000000005</v>
      </c>
      <c r="LQ75" s="12">
        <v>42398</v>
      </c>
      <c r="LR75">
        <v>8.6630000000000003</v>
      </c>
      <c r="LS75" s="12">
        <v>42398</v>
      </c>
      <c r="LT75">
        <v>6.95</v>
      </c>
      <c r="LW75" s="12">
        <v>42398</v>
      </c>
      <c r="LX75">
        <v>25.183</v>
      </c>
      <c r="LY75" s="12">
        <v>42398</v>
      </c>
      <c r="LZ75">
        <v>26.353000000000002</v>
      </c>
      <c r="MA75" s="12">
        <v>42398</v>
      </c>
      <c r="MB75">
        <v>30.984000000000002</v>
      </c>
      <c r="ME75" s="12">
        <v>42429</v>
      </c>
      <c r="MF75">
        <v>2.2370000000000001</v>
      </c>
      <c r="MG75" s="12">
        <v>42398</v>
      </c>
      <c r="MH75">
        <v>10.958</v>
      </c>
      <c r="MK75" s="12">
        <v>42398</v>
      </c>
      <c r="ML75">
        <v>9.1809999999999992</v>
      </c>
    </row>
    <row r="76" spans="1:350" x14ac:dyDescent="0.3">
      <c r="A76" s="12">
        <v>42429</v>
      </c>
      <c r="B76" s="1">
        <v>15.728999999999999</v>
      </c>
      <c r="C76" s="1"/>
      <c r="G76" s="17">
        <v>42429</v>
      </c>
      <c r="H76" s="13">
        <v>6.5049999999999999</v>
      </c>
      <c r="I76" s="17">
        <v>42460</v>
      </c>
      <c r="J76">
        <v>12.234</v>
      </c>
      <c r="K76" s="12">
        <v>43644</v>
      </c>
      <c r="L76">
        <v>25.084</v>
      </c>
      <c r="N76" s="12"/>
      <c r="Q76" s="12">
        <v>43830</v>
      </c>
      <c r="R76">
        <v>29.79</v>
      </c>
      <c r="S76" s="12">
        <v>42429</v>
      </c>
      <c r="T76">
        <v>9.6760000000000002</v>
      </c>
      <c r="U76" s="12">
        <v>42853</v>
      </c>
      <c r="V76">
        <v>30.238</v>
      </c>
      <c r="Y76" s="12">
        <v>42429</v>
      </c>
      <c r="Z76">
        <v>10.231999999999999</v>
      </c>
      <c r="AA76" s="12">
        <v>42429</v>
      </c>
      <c r="AB76">
        <v>11.260999999999999</v>
      </c>
      <c r="AC76" s="12">
        <v>42429</v>
      </c>
      <c r="AD76">
        <v>11.115</v>
      </c>
      <c r="AE76" s="12">
        <v>42429</v>
      </c>
      <c r="AF76">
        <v>10.132</v>
      </c>
      <c r="AG76" s="12">
        <v>42429</v>
      </c>
      <c r="AH76">
        <v>14.382</v>
      </c>
      <c r="AI76" s="12">
        <v>43644</v>
      </c>
      <c r="AJ76">
        <v>28.88</v>
      </c>
      <c r="AK76" s="12">
        <v>42429</v>
      </c>
      <c r="AL76">
        <v>11.491</v>
      </c>
      <c r="AS76" s="12">
        <v>42429</v>
      </c>
      <c r="AT76">
        <v>1.5859999999999999</v>
      </c>
      <c r="AU76" s="12">
        <v>42429</v>
      </c>
      <c r="AV76">
        <v>3.43</v>
      </c>
      <c r="AY76" s="12">
        <v>42429</v>
      </c>
      <c r="AZ76">
        <v>50.64</v>
      </c>
      <c r="BA76" s="12">
        <v>42429</v>
      </c>
      <c r="BB76">
        <v>20.798999999999999</v>
      </c>
      <c r="BC76" s="12">
        <v>42429</v>
      </c>
      <c r="BD76">
        <v>8.32</v>
      </c>
      <c r="BE76" s="12">
        <v>42521</v>
      </c>
      <c r="BF76">
        <v>7.9989999999999997</v>
      </c>
      <c r="BG76" s="12">
        <v>42429</v>
      </c>
      <c r="BH76">
        <v>4.1219999999999999</v>
      </c>
      <c r="BI76" s="12">
        <v>42429</v>
      </c>
      <c r="BJ76">
        <v>11.148999999999999</v>
      </c>
      <c r="BK76" s="12">
        <v>42429</v>
      </c>
      <c r="BL76">
        <v>10.247999999999999</v>
      </c>
      <c r="BM76" s="12">
        <v>42429</v>
      </c>
      <c r="BN76">
        <v>11.441000000000001</v>
      </c>
      <c r="BO76" s="12">
        <v>42429</v>
      </c>
      <c r="BP76">
        <v>17.41</v>
      </c>
      <c r="BQ76" s="12">
        <v>42429</v>
      </c>
      <c r="BR76">
        <v>4.9800000000000004</v>
      </c>
      <c r="BS76" s="12">
        <v>42429</v>
      </c>
      <c r="BT76">
        <v>4.4619999999999997</v>
      </c>
      <c r="BW76" s="12">
        <v>42429</v>
      </c>
      <c r="BX76">
        <v>9.0229999999999997</v>
      </c>
      <c r="BY76" s="12">
        <v>42429</v>
      </c>
      <c r="BZ76">
        <v>15.548999999999999</v>
      </c>
      <c r="CA76" s="12">
        <v>42429</v>
      </c>
      <c r="CB76">
        <v>18.23</v>
      </c>
      <c r="CG76" s="12">
        <v>42429</v>
      </c>
      <c r="CH76">
        <v>23.821999999999999</v>
      </c>
      <c r="CI76" s="12">
        <v>42429</v>
      </c>
      <c r="CJ76">
        <v>11.667999999999999</v>
      </c>
      <c r="CK76" s="12">
        <v>42429</v>
      </c>
      <c r="CL76">
        <v>4.8490000000000002</v>
      </c>
      <c r="CM76" s="12">
        <v>42429</v>
      </c>
      <c r="CN76">
        <v>35.945999999999998</v>
      </c>
      <c r="CQ76" s="12">
        <v>42429</v>
      </c>
      <c r="CR76">
        <v>6.835</v>
      </c>
      <c r="CS76" s="12">
        <v>42429</v>
      </c>
      <c r="CT76">
        <v>10.407999999999999</v>
      </c>
      <c r="CU76" s="12">
        <v>42429</v>
      </c>
      <c r="CV76">
        <v>3.7970000000000002</v>
      </c>
      <c r="CW76" s="12">
        <v>42429</v>
      </c>
      <c r="CX76">
        <v>5.4859999999999998</v>
      </c>
      <c r="CY76" s="12">
        <v>42521</v>
      </c>
      <c r="CZ76">
        <v>6.7880000000000003</v>
      </c>
      <c r="DA76" s="12">
        <v>42429</v>
      </c>
      <c r="DB76">
        <v>21.419</v>
      </c>
      <c r="DC76" s="12">
        <v>42429</v>
      </c>
      <c r="DD76">
        <v>5.53</v>
      </c>
      <c r="DE76" s="12">
        <v>42429</v>
      </c>
      <c r="DF76">
        <v>8.6349999999999998</v>
      </c>
      <c r="DG76" s="12">
        <v>43189</v>
      </c>
      <c r="DH76">
        <v>17.86</v>
      </c>
      <c r="DI76" s="12">
        <v>42429</v>
      </c>
      <c r="DJ76">
        <v>6.976</v>
      </c>
      <c r="DK76" s="12">
        <v>42429</v>
      </c>
      <c r="DL76">
        <v>29.335000000000001</v>
      </c>
      <c r="DM76" s="12">
        <v>42853</v>
      </c>
      <c r="DN76">
        <v>4.3129999999999997</v>
      </c>
      <c r="DO76" s="12">
        <v>42429</v>
      </c>
      <c r="DP76">
        <v>10.087</v>
      </c>
      <c r="DQ76" s="12">
        <v>42429</v>
      </c>
      <c r="DR76">
        <v>12</v>
      </c>
      <c r="DS76" s="12">
        <v>42460</v>
      </c>
      <c r="DT76">
        <v>12.817</v>
      </c>
      <c r="DU76" s="12">
        <v>42429</v>
      </c>
      <c r="DV76">
        <v>7.2039999999999997</v>
      </c>
      <c r="DW76" s="12">
        <v>42429</v>
      </c>
      <c r="DX76">
        <v>4.2480000000000002</v>
      </c>
      <c r="DY76" s="12">
        <v>42429</v>
      </c>
      <c r="DZ76">
        <v>8.0079999999999991</v>
      </c>
      <c r="EC76" s="12">
        <v>42429</v>
      </c>
      <c r="ED76">
        <v>39.058</v>
      </c>
      <c r="EE76" s="12">
        <v>42429</v>
      </c>
      <c r="EF76">
        <v>6.7190000000000003</v>
      </c>
      <c r="EI76" s="12">
        <v>42429</v>
      </c>
      <c r="EJ76">
        <v>20.875</v>
      </c>
      <c r="EK76" s="12">
        <v>42429</v>
      </c>
      <c r="EL76">
        <v>2.581</v>
      </c>
      <c r="EM76" s="12">
        <v>42429</v>
      </c>
      <c r="EN76">
        <v>3.3420000000000001</v>
      </c>
      <c r="EQ76" s="12">
        <v>42429</v>
      </c>
      <c r="ER76">
        <v>1.133</v>
      </c>
      <c r="ES76" s="12">
        <v>42429</v>
      </c>
      <c r="ET76">
        <v>2.31</v>
      </c>
      <c r="EU76" s="12">
        <v>42429</v>
      </c>
      <c r="EV76">
        <v>4.4489999999999998</v>
      </c>
      <c r="EY76" s="12">
        <v>42429</v>
      </c>
      <c r="EZ76">
        <v>10.782</v>
      </c>
      <c r="FA76" s="12">
        <v>42429</v>
      </c>
      <c r="FB76">
        <v>20.873000000000001</v>
      </c>
      <c r="FC76" s="12">
        <v>42429</v>
      </c>
      <c r="FD76">
        <v>20.25</v>
      </c>
      <c r="FG76" s="12">
        <v>42429</v>
      </c>
      <c r="FH76">
        <v>4.109</v>
      </c>
      <c r="FI76" s="12">
        <v>42429</v>
      </c>
      <c r="FJ76">
        <v>10.438000000000001</v>
      </c>
      <c r="FK76" s="12">
        <v>42429</v>
      </c>
      <c r="FL76">
        <v>12.074</v>
      </c>
      <c r="FM76" s="12">
        <v>42429</v>
      </c>
      <c r="FN76">
        <v>10.551</v>
      </c>
      <c r="FO76" s="12">
        <v>42429</v>
      </c>
      <c r="FP76">
        <v>11.811</v>
      </c>
      <c r="FS76" s="12">
        <v>42429</v>
      </c>
      <c r="FT76">
        <v>2.81</v>
      </c>
      <c r="FU76" s="12">
        <v>42429</v>
      </c>
      <c r="FV76">
        <v>9.6910000000000007</v>
      </c>
      <c r="FW76" s="12">
        <v>42429</v>
      </c>
      <c r="FX76">
        <v>16.169</v>
      </c>
      <c r="FY76" s="12">
        <v>43280</v>
      </c>
      <c r="FZ76">
        <v>7.4889999999999999</v>
      </c>
      <c r="GA76" s="12">
        <v>42429</v>
      </c>
      <c r="GB76">
        <v>20.042999999999999</v>
      </c>
      <c r="GC76" s="12">
        <v>42429</v>
      </c>
      <c r="GD76">
        <v>7.9219999999999997</v>
      </c>
      <c r="GE76" s="12">
        <v>43585</v>
      </c>
      <c r="GF76">
        <v>32.003</v>
      </c>
      <c r="GI76" s="12">
        <v>42429</v>
      </c>
      <c r="GJ76">
        <v>13.962</v>
      </c>
      <c r="GK76" s="12">
        <v>42429</v>
      </c>
      <c r="GL76">
        <v>14.045</v>
      </c>
      <c r="GM76" s="12">
        <v>42429</v>
      </c>
      <c r="GN76">
        <v>20.292000000000002</v>
      </c>
      <c r="GO76" s="12">
        <v>42916</v>
      </c>
      <c r="GP76">
        <v>3.9329999999999998</v>
      </c>
      <c r="GQ76" s="12">
        <v>42551</v>
      </c>
      <c r="GR76">
        <v>4.29</v>
      </c>
      <c r="GS76" s="12">
        <v>42429</v>
      </c>
      <c r="GT76">
        <v>3.5</v>
      </c>
      <c r="GW76" s="12">
        <v>42489</v>
      </c>
      <c r="GX76">
        <v>30.437000000000001</v>
      </c>
      <c r="GY76" s="12">
        <v>42429</v>
      </c>
      <c r="GZ76">
        <v>6.25</v>
      </c>
      <c r="HA76" s="12">
        <v>42429</v>
      </c>
      <c r="HB76">
        <v>7.7729999999999997</v>
      </c>
      <c r="HC76" s="12">
        <v>42429</v>
      </c>
      <c r="HD76">
        <v>14.625</v>
      </c>
      <c r="HE76" s="12">
        <v>42429</v>
      </c>
      <c r="HF76">
        <v>8.3829999999999991</v>
      </c>
      <c r="HG76" s="12">
        <v>42429</v>
      </c>
      <c r="HH76">
        <v>12.779</v>
      </c>
      <c r="HI76" s="12">
        <v>42429</v>
      </c>
      <c r="HJ76">
        <v>8.9870000000000001</v>
      </c>
      <c r="HK76" s="12">
        <v>42429</v>
      </c>
      <c r="HL76">
        <v>3</v>
      </c>
      <c r="HM76" s="12">
        <v>42429</v>
      </c>
      <c r="HN76">
        <v>0.94</v>
      </c>
      <c r="HO76" s="12">
        <v>42429</v>
      </c>
      <c r="HP76">
        <v>0.92500000000000004</v>
      </c>
      <c r="HQ76" s="12">
        <v>42521</v>
      </c>
      <c r="HR76">
        <v>17.899999999999999</v>
      </c>
      <c r="HS76" s="12">
        <v>42429</v>
      </c>
      <c r="HT76">
        <v>40.277999999999999</v>
      </c>
      <c r="HU76" s="12">
        <v>42429</v>
      </c>
      <c r="HV76">
        <v>74</v>
      </c>
      <c r="HW76" s="12">
        <v>42429</v>
      </c>
      <c r="HX76">
        <v>7.1580000000000004</v>
      </c>
      <c r="HY76" s="12">
        <v>42429</v>
      </c>
      <c r="HZ76">
        <v>4.7690000000000001</v>
      </c>
      <c r="IA76" s="12">
        <v>42429</v>
      </c>
      <c r="IB76">
        <v>26.039000000000001</v>
      </c>
      <c r="IC76" s="12">
        <v>42429</v>
      </c>
      <c r="ID76">
        <v>1.823</v>
      </c>
      <c r="IE76" s="12">
        <v>42429</v>
      </c>
      <c r="IF76">
        <v>1.37</v>
      </c>
      <c r="IG76" s="12">
        <v>42734</v>
      </c>
      <c r="IH76">
        <v>2.1779999999999999</v>
      </c>
      <c r="II76" s="12">
        <v>42429</v>
      </c>
      <c r="IJ76">
        <v>8.9</v>
      </c>
      <c r="IM76" s="12">
        <v>42429</v>
      </c>
      <c r="IN76">
        <v>18.635000000000002</v>
      </c>
      <c r="IO76" s="12">
        <v>42978</v>
      </c>
      <c r="IP76">
        <v>27.431000000000001</v>
      </c>
      <c r="IQ76" s="12">
        <v>42429</v>
      </c>
      <c r="IR76">
        <v>44.305999999999997</v>
      </c>
      <c r="IU76" s="12">
        <v>42429</v>
      </c>
      <c r="IV76">
        <v>1.9821</v>
      </c>
      <c r="IY76" s="12">
        <v>42429</v>
      </c>
      <c r="IZ76">
        <v>6.5490000000000004</v>
      </c>
      <c r="JC76" s="12">
        <v>42429</v>
      </c>
      <c r="JD76">
        <v>3.4</v>
      </c>
      <c r="JE76" s="12">
        <v>42429</v>
      </c>
      <c r="JF76">
        <v>4.1100000000000003</v>
      </c>
      <c r="JI76" s="12">
        <v>42429</v>
      </c>
      <c r="JJ76">
        <v>12.083</v>
      </c>
      <c r="JM76" s="12">
        <v>42429</v>
      </c>
      <c r="JN76">
        <v>0.77700000000000002</v>
      </c>
      <c r="JO76" s="12">
        <v>42429</v>
      </c>
      <c r="JP76">
        <v>19.774999999999999</v>
      </c>
      <c r="JQ76" s="12">
        <v>43830</v>
      </c>
      <c r="JR76">
        <v>27.673000000000002</v>
      </c>
      <c r="JS76" s="12">
        <v>42429</v>
      </c>
      <c r="JT76">
        <v>7.1929999999999996</v>
      </c>
      <c r="JU76" s="12">
        <v>43644</v>
      </c>
      <c r="JV76">
        <v>41.710999999999999</v>
      </c>
      <c r="JW76" s="12">
        <v>42429</v>
      </c>
      <c r="JX76">
        <v>14.971</v>
      </c>
      <c r="JY76" s="12">
        <v>42429</v>
      </c>
      <c r="JZ76">
        <v>12.462</v>
      </c>
      <c r="KC76" s="12">
        <v>42429</v>
      </c>
      <c r="KD76">
        <v>15.727</v>
      </c>
      <c r="KE76" s="12">
        <v>42429</v>
      </c>
      <c r="KF76">
        <v>12.388999999999999</v>
      </c>
      <c r="KI76" s="12">
        <v>42429</v>
      </c>
      <c r="KJ76">
        <v>2.12</v>
      </c>
      <c r="KO76" s="12">
        <v>42429</v>
      </c>
      <c r="KP76">
        <v>56</v>
      </c>
      <c r="KQ76" s="12">
        <v>42429</v>
      </c>
      <c r="KR76">
        <v>5.5</v>
      </c>
      <c r="KS76" s="12">
        <v>42429</v>
      </c>
      <c r="KT76">
        <v>10.15</v>
      </c>
      <c r="KU76" s="12">
        <v>42429</v>
      </c>
      <c r="KV76">
        <v>6.2780000000000005</v>
      </c>
      <c r="LC76" s="12">
        <v>42429</v>
      </c>
      <c r="LD76">
        <v>9.8390000000000004</v>
      </c>
      <c r="LE76" s="12">
        <v>42429</v>
      </c>
      <c r="LF76">
        <v>8.3979999999999997</v>
      </c>
      <c r="LG76" s="12">
        <v>42429</v>
      </c>
      <c r="LH76">
        <v>14.028</v>
      </c>
      <c r="LI76" s="12">
        <v>42429</v>
      </c>
      <c r="LJ76">
        <v>28.483000000000001</v>
      </c>
      <c r="LM76" s="12">
        <v>42429</v>
      </c>
      <c r="LN76">
        <v>3.351</v>
      </c>
      <c r="LO76" s="12">
        <v>42429</v>
      </c>
      <c r="LP76">
        <v>0.85799999999999998</v>
      </c>
      <c r="LQ76" s="12">
        <v>42429</v>
      </c>
      <c r="LR76">
        <v>10.526</v>
      </c>
      <c r="LS76" s="12">
        <v>42429</v>
      </c>
      <c r="LT76">
        <v>8.2170000000000005</v>
      </c>
      <c r="LW76" s="12">
        <v>42429</v>
      </c>
      <c r="LX76">
        <v>16.788</v>
      </c>
      <c r="LY76" s="12">
        <v>42429</v>
      </c>
      <c r="LZ76">
        <v>28.960999999999999</v>
      </c>
      <c r="MA76" s="12">
        <v>42429</v>
      </c>
      <c r="MB76">
        <v>30.51</v>
      </c>
      <c r="ME76" s="12">
        <v>42460</v>
      </c>
      <c r="MF76">
        <v>2.4060000000000001</v>
      </c>
      <c r="MG76" s="12">
        <v>42429</v>
      </c>
      <c r="MH76">
        <v>9.4019999999999992</v>
      </c>
      <c r="MK76" s="12">
        <v>42429</v>
      </c>
      <c r="ML76">
        <v>10.005000000000001</v>
      </c>
    </row>
    <row r="77" spans="1:350" x14ac:dyDescent="0.3">
      <c r="A77" s="12">
        <v>42460</v>
      </c>
      <c r="B77" s="1">
        <v>16.780999999999999</v>
      </c>
      <c r="C77" s="1"/>
      <c r="G77" s="17">
        <v>42460</v>
      </c>
      <c r="H77" s="13">
        <v>5.7039999999999997</v>
      </c>
      <c r="I77" s="17">
        <v>42489</v>
      </c>
      <c r="J77">
        <v>14.698</v>
      </c>
      <c r="K77" s="12">
        <v>43677</v>
      </c>
      <c r="L77">
        <v>25.725000000000001</v>
      </c>
      <c r="N77" s="12"/>
      <c r="S77" s="12">
        <v>42460</v>
      </c>
      <c r="T77">
        <v>9.5370000000000008</v>
      </c>
      <c r="U77" s="12">
        <v>42886</v>
      </c>
      <c r="V77">
        <v>29.312000000000001</v>
      </c>
      <c r="Y77" s="12">
        <v>42460</v>
      </c>
      <c r="Z77">
        <v>13.544</v>
      </c>
      <c r="AA77" s="12">
        <v>42460</v>
      </c>
      <c r="AB77">
        <v>16.614999999999998</v>
      </c>
      <c r="AC77" s="12">
        <v>42460</v>
      </c>
      <c r="AD77">
        <v>14.378</v>
      </c>
      <c r="AE77" s="12">
        <v>42460</v>
      </c>
      <c r="AF77">
        <v>12.863</v>
      </c>
      <c r="AG77" s="12">
        <v>42460</v>
      </c>
      <c r="AH77">
        <v>19.050999999999998</v>
      </c>
      <c r="AI77" s="12">
        <v>43677</v>
      </c>
      <c r="AJ77">
        <v>28.942</v>
      </c>
      <c r="AK77" s="12">
        <v>42460</v>
      </c>
      <c r="AL77">
        <v>10.888</v>
      </c>
      <c r="AS77" s="12">
        <v>42460</v>
      </c>
      <c r="AT77">
        <v>1.643</v>
      </c>
      <c r="AU77" s="12">
        <v>42460</v>
      </c>
      <c r="AV77">
        <v>5.2089999999999996</v>
      </c>
      <c r="AY77" s="12">
        <v>42460</v>
      </c>
      <c r="AZ77">
        <v>50.665999999999997</v>
      </c>
      <c r="BA77" s="12">
        <v>42460</v>
      </c>
      <c r="BB77">
        <v>19.094999999999999</v>
      </c>
      <c r="BC77" s="12">
        <v>42460</v>
      </c>
      <c r="BD77">
        <v>9.1180000000000003</v>
      </c>
      <c r="BE77" s="12">
        <v>42551</v>
      </c>
      <c r="BF77">
        <v>7.2720000000000002</v>
      </c>
      <c r="BG77" s="12">
        <v>42460</v>
      </c>
      <c r="BH77">
        <v>6.0419999999999998</v>
      </c>
      <c r="BI77" s="12">
        <v>42460</v>
      </c>
      <c r="BJ77">
        <v>13.804</v>
      </c>
      <c r="BK77" s="12">
        <v>42460</v>
      </c>
      <c r="BL77">
        <v>11.62</v>
      </c>
      <c r="BM77" s="12">
        <v>42460</v>
      </c>
      <c r="BN77">
        <v>13.342000000000001</v>
      </c>
      <c r="BO77" s="12">
        <v>42460</v>
      </c>
      <c r="BP77">
        <v>19.802</v>
      </c>
      <c r="BQ77" s="12">
        <v>42460</v>
      </c>
      <c r="BR77">
        <v>6.5830000000000002</v>
      </c>
      <c r="BS77" s="12">
        <v>42460</v>
      </c>
      <c r="BT77">
        <v>6.15</v>
      </c>
      <c r="BW77" s="12">
        <v>42460</v>
      </c>
      <c r="BX77">
        <v>10.432</v>
      </c>
      <c r="BY77" s="12">
        <v>42460</v>
      </c>
      <c r="BZ77">
        <v>18.248999999999999</v>
      </c>
      <c r="CA77" s="12">
        <v>42460</v>
      </c>
      <c r="CB77">
        <v>22.581</v>
      </c>
      <c r="CG77" s="12">
        <v>42460</v>
      </c>
      <c r="CH77">
        <v>27.954999999999998</v>
      </c>
      <c r="CI77" s="12">
        <v>42460</v>
      </c>
      <c r="CJ77">
        <v>14.811999999999999</v>
      </c>
      <c r="CK77" s="12">
        <v>42460</v>
      </c>
      <c r="CL77">
        <v>6.6669999999999998</v>
      </c>
      <c r="CM77" s="12">
        <v>42460</v>
      </c>
      <c r="CN77">
        <v>38.159999999999997</v>
      </c>
      <c r="CQ77" s="12">
        <v>42460</v>
      </c>
      <c r="CR77">
        <v>8.6939999999999991</v>
      </c>
      <c r="CS77" s="12">
        <v>42460</v>
      </c>
      <c r="CT77">
        <v>10.497</v>
      </c>
      <c r="CU77" s="12">
        <v>42460</v>
      </c>
      <c r="CV77">
        <v>4.7960000000000003</v>
      </c>
      <c r="CW77" s="12">
        <v>42460</v>
      </c>
      <c r="CX77">
        <v>6.83</v>
      </c>
      <c r="CY77" s="12">
        <v>42551</v>
      </c>
      <c r="CZ77">
        <v>7.2460000000000004</v>
      </c>
      <c r="DA77" s="12">
        <v>42460</v>
      </c>
      <c r="DB77">
        <v>22.256</v>
      </c>
      <c r="DC77" s="12">
        <v>42460</v>
      </c>
      <c r="DD77">
        <v>6.4550000000000001</v>
      </c>
      <c r="DE77" s="12">
        <v>42460</v>
      </c>
      <c r="DF77">
        <v>9.2799999999999994</v>
      </c>
      <c r="DG77" s="12">
        <v>43220</v>
      </c>
      <c r="DH77">
        <v>34.159999999999997</v>
      </c>
      <c r="DI77" s="12">
        <v>42460</v>
      </c>
      <c r="DJ77">
        <v>7.7560000000000002</v>
      </c>
      <c r="DK77" s="12">
        <v>42460</v>
      </c>
      <c r="DL77">
        <v>23.207000000000001</v>
      </c>
      <c r="DM77" s="12">
        <v>42886</v>
      </c>
      <c r="DN77">
        <v>3.927</v>
      </c>
      <c r="DO77" s="12">
        <v>42460</v>
      </c>
      <c r="DP77">
        <v>9.984</v>
      </c>
      <c r="DQ77" s="12">
        <v>42460</v>
      </c>
      <c r="DR77">
        <v>14</v>
      </c>
      <c r="DS77" s="12">
        <v>42489</v>
      </c>
      <c r="DT77">
        <v>13.412000000000001</v>
      </c>
      <c r="DU77" s="12">
        <v>42460</v>
      </c>
      <c r="DV77">
        <v>7.7059999999999995</v>
      </c>
      <c r="DW77" s="12">
        <v>42460</v>
      </c>
      <c r="DX77">
        <v>3.8929999999999998</v>
      </c>
      <c r="DY77" s="12">
        <v>42460</v>
      </c>
      <c r="DZ77">
        <v>9.6449999999999996</v>
      </c>
      <c r="EC77" s="12">
        <v>42460</v>
      </c>
      <c r="ED77">
        <v>26.931999999999999</v>
      </c>
      <c r="EE77" s="12">
        <v>42460</v>
      </c>
      <c r="EF77">
        <v>8.8829999999999991</v>
      </c>
      <c r="EI77" s="12">
        <v>42460</v>
      </c>
      <c r="EJ77">
        <v>21.111000000000001</v>
      </c>
      <c r="EK77" s="12">
        <v>42460</v>
      </c>
      <c r="EL77">
        <v>4.5170000000000003</v>
      </c>
      <c r="EM77" s="12">
        <v>42460</v>
      </c>
      <c r="EN77">
        <v>6.1719999999999997</v>
      </c>
      <c r="EQ77" s="12">
        <v>42460</v>
      </c>
      <c r="ER77">
        <v>2.2759999999999998</v>
      </c>
      <c r="ES77" s="12">
        <v>42460</v>
      </c>
      <c r="ET77">
        <v>2.77</v>
      </c>
      <c r="EU77" s="12">
        <v>42460</v>
      </c>
      <c r="EV77">
        <v>4.6189999999999998</v>
      </c>
      <c r="EY77" s="12">
        <v>42460</v>
      </c>
      <c r="EZ77">
        <v>11.978999999999999</v>
      </c>
      <c r="FA77" s="12">
        <v>42460</v>
      </c>
      <c r="FB77">
        <v>23.292000000000002</v>
      </c>
      <c r="FC77" s="12">
        <v>42460</v>
      </c>
      <c r="FD77">
        <v>22.84</v>
      </c>
      <c r="FG77" s="12">
        <v>42460</v>
      </c>
      <c r="FH77">
        <v>4.9329999999999998</v>
      </c>
      <c r="FI77" s="12">
        <v>42460</v>
      </c>
      <c r="FJ77">
        <v>12.285</v>
      </c>
      <c r="FK77" s="12">
        <v>42460</v>
      </c>
      <c r="FL77">
        <v>14.845000000000001</v>
      </c>
      <c r="FM77" s="12">
        <v>42460</v>
      </c>
      <c r="FN77">
        <v>10.134</v>
      </c>
      <c r="FO77" s="12">
        <v>42460</v>
      </c>
      <c r="FP77">
        <v>14.473000000000001</v>
      </c>
      <c r="FS77" s="12">
        <v>42460</v>
      </c>
      <c r="FT77">
        <v>2.56</v>
      </c>
      <c r="FU77" s="12">
        <v>42460</v>
      </c>
      <c r="FV77">
        <v>11.141</v>
      </c>
      <c r="FW77" s="12">
        <v>42460</v>
      </c>
      <c r="FX77">
        <v>16.227</v>
      </c>
      <c r="FY77" s="12">
        <v>43312</v>
      </c>
      <c r="FZ77">
        <v>9.1780000000000008</v>
      </c>
      <c r="GA77" s="12">
        <v>42460</v>
      </c>
      <c r="GB77">
        <v>18.965</v>
      </c>
      <c r="GC77" s="12">
        <v>42460</v>
      </c>
      <c r="GD77">
        <v>9.702</v>
      </c>
      <c r="GE77" s="12">
        <v>43616</v>
      </c>
      <c r="GF77">
        <v>34.171999999999997</v>
      </c>
      <c r="GI77" s="12">
        <v>42460</v>
      </c>
      <c r="GJ77">
        <v>16.175999999999998</v>
      </c>
      <c r="GK77" s="12">
        <v>42460</v>
      </c>
      <c r="GL77">
        <v>12.702</v>
      </c>
      <c r="GM77" s="12">
        <v>42460</v>
      </c>
      <c r="GN77">
        <v>21.548999999999999</v>
      </c>
      <c r="GO77" s="12">
        <v>42947</v>
      </c>
      <c r="GP77">
        <v>5.6360000000000001</v>
      </c>
      <c r="GQ77" s="12">
        <v>42580</v>
      </c>
      <c r="GR77">
        <v>5.7</v>
      </c>
      <c r="GS77" s="12">
        <v>42460</v>
      </c>
      <c r="GT77">
        <v>8.75</v>
      </c>
      <c r="GW77" s="12">
        <v>42521</v>
      </c>
      <c r="GX77">
        <v>27.076000000000001</v>
      </c>
      <c r="GY77" s="12">
        <v>42460</v>
      </c>
      <c r="GZ77">
        <v>6.49</v>
      </c>
      <c r="HA77" s="12">
        <v>42460</v>
      </c>
      <c r="HB77">
        <v>8.6820000000000004</v>
      </c>
      <c r="HC77" s="12">
        <v>42460</v>
      </c>
      <c r="HD77">
        <v>16.706</v>
      </c>
      <c r="HE77" s="12">
        <v>42460</v>
      </c>
      <c r="HF77">
        <v>11.233000000000001</v>
      </c>
      <c r="HG77" s="12">
        <v>42460</v>
      </c>
      <c r="HH77">
        <v>12.76</v>
      </c>
      <c r="HI77" s="12">
        <v>42460</v>
      </c>
      <c r="HJ77">
        <v>10.115</v>
      </c>
      <c r="HK77" s="12">
        <v>42460</v>
      </c>
      <c r="HL77">
        <v>10</v>
      </c>
      <c r="HM77" s="12">
        <v>42460</v>
      </c>
      <c r="HN77">
        <v>0.78400000000000003</v>
      </c>
      <c r="HO77" s="12">
        <v>42460</v>
      </c>
      <c r="HP77">
        <v>0.879</v>
      </c>
      <c r="HQ77" s="12">
        <v>42551</v>
      </c>
      <c r="HR77">
        <v>15.3</v>
      </c>
      <c r="HS77" s="12">
        <v>42460</v>
      </c>
      <c r="HT77">
        <v>48.289000000000001</v>
      </c>
      <c r="HU77" s="12">
        <v>42460</v>
      </c>
      <c r="HV77">
        <v>45.2</v>
      </c>
      <c r="HW77" s="12">
        <v>42460</v>
      </c>
      <c r="HX77">
        <v>10.352</v>
      </c>
      <c r="HY77" s="12">
        <v>42460</v>
      </c>
      <c r="HZ77">
        <v>7.7469999999999999</v>
      </c>
      <c r="IA77" s="12">
        <v>42460</v>
      </c>
      <c r="IB77">
        <v>28.141999999999999</v>
      </c>
      <c r="IC77" s="12">
        <v>42460</v>
      </c>
      <c r="ID77">
        <v>2.1150000000000002</v>
      </c>
      <c r="IE77" s="12">
        <v>42460</v>
      </c>
      <c r="IF77">
        <v>1.47</v>
      </c>
      <c r="IG77" s="12">
        <v>42766</v>
      </c>
      <c r="IH77">
        <v>2.62</v>
      </c>
      <c r="II77" s="12">
        <v>42460</v>
      </c>
      <c r="IJ77">
        <v>5.2030000000000003</v>
      </c>
      <c r="IM77" s="12">
        <v>42460</v>
      </c>
      <c r="IN77">
        <v>21.59</v>
      </c>
      <c r="IO77" s="12">
        <v>43007</v>
      </c>
      <c r="IP77">
        <v>30.123000000000001</v>
      </c>
      <c r="IQ77" s="12">
        <v>42460</v>
      </c>
      <c r="IR77">
        <v>50.408000000000001</v>
      </c>
      <c r="IU77" s="12">
        <v>42460</v>
      </c>
      <c r="IV77">
        <v>2.8026999999999997</v>
      </c>
      <c r="IY77" s="12">
        <v>42460</v>
      </c>
      <c r="IZ77">
        <v>8.4659999999999993</v>
      </c>
      <c r="JC77" s="12">
        <v>42460</v>
      </c>
      <c r="JD77">
        <v>3.8</v>
      </c>
      <c r="JE77" s="12">
        <v>42460</v>
      </c>
      <c r="JF77">
        <v>4.8100000000000005</v>
      </c>
      <c r="JI77" s="12">
        <v>42460</v>
      </c>
      <c r="JJ77">
        <v>13.7</v>
      </c>
      <c r="JM77" s="12">
        <v>42460</v>
      </c>
      <c r="JN77">
        <v>0.98399999999999999</v>
      </c>
      <c r="JO77" s="12">
        <v>42460</v>
      </c>
      <c r="JP77">
        <v>20.972999999999999</v>
      </c>
      <c r="JS77" s="12">
        <v>42460</v>
      </c>
      <c r="JT77">
        <v>6.1769999999999996</v>
      </c>
      <c r="JU77" s="12">
        <v>43677</v>
      </c>
      <c r="JV77">
        <v>39.158999999999999</v>
      </c>
      <c r="JW77" s="12">
        <v>42460</v>
      </c>
      <c r="JX77">
        <v>14.824</v>
      </c>
      <c r="JY77" s="12">
        <v>42460</v>
      </c>
      <c r="JZ77">
        <v>12.643000000000001</v>
      </c>
      <c r="KC77" s="12">
        <v>42460</v>
      </c>
      <c r="KD77">
        <v>12.067</v>
      </c>
      <c r="KE77" s="12">
        <v>42460</v>
      </c>
      <c r="KF77">
        <v>13.256</v>
      </c>
      <c r="KI77" s="12">
        <v>42460</v>
      </c>
      <c r="KJ77">
        <v>2.0699999999999998</v>
      </c>
      <c r="KO77" s="12">
        <v>42460</v>
      </c>
      <c r="KP77">
        <v>55.7</v>
      </c>
      <c r="KQ77" s="12">
        <v>42460</v>
      </c>
      <c r="KR77">
        <v>5.72</v>
      </c>
      <c r="KS77" s="12">
        <v>42460</v>
      </c>
      <c r="KT77">
        <v>10.638</v>
      </c>
      <c r="KU77" s="12">
        <v>42460</v>
      </c>
      <c r="KV77">
        <v>7.2270000000000003</v>
      </c>
      <c r="LC77" s="12">
        <v>42460</v>
      </c>
      <c r="LD77">
        <v>8.4960000000000004</v>
      </c>
      <c r="LE77" s="12">
        <v>42460</v>
      </c>
      <c r="LF77">
        <v>8.6950000000000003</v>
      </c>
      <c r="LG77" s="12">
        <v>42460</v>
      </c>
      <c r="LH77">
        <v>13.010999999999999</v>
      </c>
      <c r="LI77" s="12">
        <v>42460</v>
      </c>
      <c r="LJ77">
        <v>31.628</v>
      </c>
      <c r="LM77" s="12">
        <v>42460</v>
      </c>
      <c r="LN77">
        <v>3.9929999999999999</v>
      </c>
      <c r="LO77" s="12">
        <v>42460</v>
      </c>
      <c r="LP77">
        <v>1.756</v>
      </c>
      <c r="LQ77" s="12">
        <v>42460</v>
      </c>
      <c r="LR77">
        <v>13.503</v>
      </c>
      <c r="LS77" s="12">
        <v>42460</v>
      </c>
      <c r="LT77">
        <v>10.923999999999999</v>
      </c>
      <c r="LW77" s="12">
        <v>42460</v>
      </c>
      <c r="LX77">
        <v>25.183</v>
      </c>
      <c r="LY77" s="12">
        <v>42460</v>
      </c>
      <c r="LZ77">
        <v>34.408999999999999</v>
      </c>
      <c r="MA77" s="12">
        <v>42460</v>
      </c>
      <c r="MB77">
        <v>23.338999999999999</v>
      </c>
      <c r="ME77" s="12">
        <v>42489</v>
      </c>
      <c r="MF77">
        <v>2.9529999999999998</v>
      </c>
      <c r="MG77" s="12">
        <v>42460</v>
      </c>
      <c r="MH77">
        <v>10.023999999999999</v>
      </c>
      <c r="MK77" s="12">
        <v>42460</v>
      </c>
      <c r="ML77">
        <v>9.2680000000000007</v>
      </c>
    </row>
    <row r="78" spans="1:350" x14ac:dyDescent="0.3">
      <c r="A78" s="12">
        <v>42489</v>
      </c>
      <c r="B78" s="1">
        <v>17.289000000000001</v>
      </c>
      <c r="C78" s="1"/>
      <c r="G78" s="17">
        <v>42489</v>
      </c>
      <c r="H78" s="13">
        <v>6.8090000000000002</v>
      </c>
      <c r="I78" s="17">
        <v>42521</v>
      </c>
      <c r="J78">
        <v>11.975999999999999</v>
      </c>
      <c r="K78" s="12">
        <v>43707</v>
      </c>
      <c r="L78">
        <v>25.22</v>
      </c>
      <c r="N78" s="12"/>
      <c r="S78" s="12">
        <v>42489</v>
      </c>
      <c r="T78">
        <v>9.9529999999999994</v>
      </c>
      <c r="U78" s="12">
        <v>42916</v>
      </c>
      <c r="V78">
        <v>29.878</v>
      </c>
      <c r="Y78" s="12">
        <v>42489</v>
      </c>
      <c r="Z78">
        <v>15.129</v>
      </c>
      <c r="AA78" s="12">
        <v>42489</v>
      </c>
      <c r="AB78">
        <v>18.582000000000001</v>
      </c>
      <c r="AC78" s="12">
        <v>42489</v>
      </c>
      <c r="AD78">
        <v>14.778</v>
      </c>
      <c r="AE78" s="12">
        <v>42489</v>
      </c>
      <c r="AF78">
        <v>13.547000000000001</v>
      </c>
      <c r="AG78" s="12">
        <v>42489</v>
      </c>
      <c r="AH78">
        <v>17.09</v>
      </c>
      <c r="AI78" s="12">
        <v>43707</v>
      </c>
      <c r="AJ78">
        <v>29.896000000000001</v>
      </c>
      <c r="AK78" s="12">
        <v>42489</v>
      </c>
      <c r="AL78">
        <v>10.284000000000001</v>
      </c>
      <c r="AS78" s="12">
        <v>42489</v>
      </c>
      <c r="AT78">
        <v>1.492</v>
      </c>
      <c r="AU78" s="12">
        <v>42489</v>
      </c>
      <c r="AV78">
        <v>7.2089999999999996</v>
      </c>
      <c r="AY78" s="12">
        <v>42489</v>
      </c>
      <c r="AZ78">
        <v>48.582999999999998</v>
      </c>
      <c r="BA78" s="12">
        <v>42489</v>
      </c>
      <c r="BB78">
        <v>21.173999999999999</v>
      </c>
      <c r="BC78" s="12">
        <v>42489</v>
      </c>
      <c r="BD78">
        <v>10.465</v>
      </c>
      <c r="BE78" s="12">
        <v>42580</v>
      </c>
      <c r="BF78">
        <v>8.7460000000000004</v>
      </c>
      <c r="BG78" s="12">
        <v>42489</v>
      </c>
      <c r="BH78">
        <v>6.4269999999999996</v>
      </c>
      <c r="BI78" s="12">
        <v>42489</v>
      </c>
      <c r="BJ78">
        <v>13.225</v>
      </c>
      <c r="BK78" s="12">
        <v>42489</v>
      </c>
      <c r="BL78">
        <v>13.401</v>
      </c>
      <c r="BM78" s="12">
        <v>42489</v>
      </c>
      <c r="BN78">
        <v>12.114000000000001</v>
      </c>
      <c r="BO78" s="12">
        <v>42489</v>
      </c>
      <c r="BP78">
        <v>22.763999999999999</v>
      </c>
      <c r="BQ78" s="12">
        <v>42489</v>
      </c>
      <c r="BR78">
        <v>5.984</v>
      </c>
      <c r="BS78" s="12">
        <v>42489</v>
      </c>
      <c r="BT78">
        <v>5.2069999999999999</v>
      </c>
      <c r="BW78" s="12">
        <v>42489</v>
      </c>
      <c r="BX78">
        <v>11.631</v>
      </c>
      <c r="BY78" s="12">
        <v>42489</v>
      </c>
      <c r="BZ78">
        <v>18.481999999999999</v>
      </c>
      <c r="CA78" s="12">
        <v>42489</v>
      </c>
      <c r="CB78">
        <v>23.286999999999999</v>
      </c>
      <c r="CG78" s="12">
        <v>42489</v>
      </c>
      <c r="CH78">
        <v>28.355</v>
      </c>
      <c r="CI78" s="12">
        <v>42489</v>
      </c>
      <c r="CJ78">
        <v>17.03</v>
      </c>
      <c r="CK78" s="12">
        <v>42489</v>
      </c>
      <c r="CL78">
        <v>12.252000000000001</v>
      </c>
      <c r="CM78" s="12">
        <v>42489</v>
      </c>
      <c r="CN78">
        <v>40.128</v>
      </c>
      <c r="CQ78" s="12">
        <v>42489</v>
      </c>
      <c r="CR78">
        <v>8.7880000000000003</v>
      </c>
      <c r="CS78" s="12">
        <v>42489</v>
      </c>
      <c r="CT78">
        <v>12.276999999999999</v>
      </c>
      <c r="CU78" s="12">
        <v>42489</v>
      </c>
      <c r="CV78">
        <v>4.9160000000000004</v>
      </c>
      <c r="CW78" s="12">
        <v>42489</v>
      </c>
      <c r="CX78">
        <v>7.0640000000000001</v>
      </c>
      <c r="CY78" s="12">
        <v>42580</v>
      </c>
      <c r="CZ78">
        <v>7.0990000000000002</v>
      </c>
      <c r="DA78" s="12">
        <v>42489</v>
      </c>
      <c r="DB78">
        <v>23.148</v>
      </c>
      <c r="DC78" s="12">
        <v>42489</v>
      </c>
      <c r="DD78">
        <v>7.585</v>
      </c>
      <c r="DE78" s="12">
        <v>42489</v>
      </c>
      <c r="DF78">
        <v>11.321999999999999</v>
      </c>
      <c r="DG78" s="12">
        <v>43251</v>
      </c>
      <c r="DH78">
        <v>35</v>
      </c>
      <c r="DI78" s="12">
        <v>42489</v>
      </c>
      <c r="DJ78">
        <v>8.4979999999999993</v>
      </c>
      <c r="DK78" s="12">
        <v>42489</v>
      </c>
      <c r="DL78">
        <v>20.015000000000001</v>
      </c>
      <c r="DM78" s="12">
        <v>42916</v>
      </c>
      <c r="DN78">
        <v>4.069</v>
      </c>
      <c r="DO78" s="12">
        <v>42489</v>
      </c>
      <c r="DP78">
        <v>10.651999999999999</v>
      </c>
      <c r="DQ78" s="12">
        <v>42489</v>
      </c>
      <c r="DR78">
        <v>12</v>
      </c>
      <c r="DS78" s="12">
        <v>42521</v>
      </c>
      <c r="DT78">
        <v>13.879</v>
      </c>
      <c r="DU78" s="12">
        <v>42489</v>
      </c>
      <c r="DV78">
        <v>8.1349999999999998</v>
      </c>
      <c r="DW78" s="12">
        <v>42489</v>
      </c>
      <c r="DX78">
        <v>3.573</v>
      </c>
      <c r="DY78" s="12">
        <v>42489</v>
      </c>
      <c r="DZ78">
        <v>9.98</v>
      </c>
      <c r="EC78" s="12">
        <v>42489</v>
      </c>
      <c r="ED78">
        <v>27.445</v>
      </c>
      <c r="EE78" s="12">
        <v>42489</v>
      </c>
      <c r="EF78">
        <v>10.36</v>
      </c>
      <c r="EI78" s="12">
        <v>42489</v>
      </c>
      <c r="EJ78">
        <v>18.545000000000002</v>
      </c>
      <c r="EK78" s="12">
        <v>42489</v>
      </c>
      <c r="EL78">
        <v>5.2930000000000001</v>
      </c>
      <c r="EM78" s="12">
        <v>42489</v>
      </c>
      <c r="EN78">
        <v>7.3929999999999998</v>
      </c>
      <c r="EQ78" s="12">
        <v>42489</v>
      </c>
      <c r="ER78">
        <v>2.726</v>
      </c>
      <c r="ES78" s="12">
        <v>42489</v>
      </c>
      <c r="ET78">
        <v>2.44</v>
      </c>
      <c r="EU78" s="12">
        <v>42489</v>
      </c>
      <c r="EV78">
        <v>4.6899999999999995</v>
      </c>
      <c r="EY78" s="12">
        <v>42489</v>
      </c>
      <c r="EZ78">
        <v>11.656000000000001</v>
      </c>
      <c r="FA78" s="12">
        <v>42489</v>
      </c>
      <c r="FB78">
        <v>25.164999999999999</v>
      </c>
      <c r="FC78" s="12">
        <v>42489</v>
      </c>
      <c r="FD78">
        <v>25.024999999999999</v>
      </c>
      <c r="FG78" s="12">
        <v>42489</v>
      </c>
      <c r="FH78">
        <v>5.2290000000000001</v>
      </c>
      <c r="FI78" s="12">
        <v>42489</v>
      </c>
      <c r="FJ78">
        <v>13.148</v>
      </c>
      <c r="FK78" s="12">
        <v>42489</v>
      </c>
      <c r="FL78">
        <v>15.641999999999999</v>
      </c>
      <c r="FM78" s="12">
        <v>42489</v>
      </c>
      <c r="FN78">
        <v>8.3659999999999997</v>
      </c>
      <c r="FO78" s="12">
        <v>42489</v>
      </c>
      <c r="FP78">
        <v>15.484</v>
      </c>
      <c r="FS78" s="12">
        <v>42489</v>
      </c>
      <c r="FT78">
        <v>2.327</v>
      </c>
      <c r="FU78" s="12">
        <v>42489</v>
      </c>
      <c r="FV78">
        <v>10.734</v>
      </c>
      <c r="FW78" s="12">
        <v>42489</v>
      </c>
      <c r="FX78">
        <v>15.651</v>
      </c>
      <c r="FY78" s="12">
        <v>43343</v>
      </c>
      <c r="FZ78">
        <v>8.8719999999999999</v>
      </c>
      <c r="GA78" s="12">
        <v>42489</v>
      </c>
      <c r="GB78">
        <v>18.510000000000002</v>
      </c>
      <c r="GC78" s="12">
        <v>42489</v>
      </c>
      <c r="GD78">
        <v>10.122</v>
      </c>
      <c r="GE78" s="12">
        <v>43644</v>
      </c>
      <c r="GF78">
        <v>35.465000000000003</v>
      </c>
      <c r="GI78" s="12">
        <v>42489</v>
      </c>
      <c r="GJ78">
        <v>16.306000000000001</v>
      </c>
      <c r="GK78" s="12">
        <v>42489</v>
      </c>
      <c r="GL78">
        <v>12.785</v>
      </c>
      <c r="GM78" s="12">
        <v>42489</v>
      </c>
      <c r="GN78">
        <v>25.524999999999999</v>
      </c>
      <c r="GO78" s="12">
        <v>42978</v>
      </c>
      <c r="GP78">
        <v>8.7259999999999991</v>
      </c>
      <c r="GQ78" s="12">
        <v>42613</v>
      </c>
      <c r="GR78">
        <v>4.9399999999999995</v>
      </c>
      <c r="GS78" s="12">
        <v>42489</v>
      </c>
      <c r="GT78">
        <v>7</v>
      </c>
      <c r="GW78" s="12">
        <v>42551</v>
      </c>
      <c r="GX78">
        <v>29.571000000000002</v>
      </c>
      <c r="GY78" s="12">
        <v>42489</v>
      </c>
      <c r="GZ78">
        <v>6.49</v>
      </c>
      <c r="HA78" s="12">
        <v>42489</v>
      </c>
      <c r="HB78">
        <v>8.8140000000000001</v>
      </c>
      <c r="HC78" s="12">
        <v>42489</v>
      </c>
      <c r="HD78">
        <v>18.338999999999999</v>
      </c>
      <c r="HE78" s="12">
        <v>42489</v>
      </c>
      <c r="HF78">
        <v>12.920999999999999</v>
      </c>
      <c r="HG78" s="12">
        <v>42489</v>
      </c>
      <c r="HH78">
        <v>12.26</v>
      </c>
      <c r="HI78" s="12">
        <v>42489</v>
      </c>
      <c r="HJ78">
        <v>9.4169999999999998</v>
      </c>
      <c r="HK78" s="12">
        <v>42489</v>
      </c>
      <c r="HL78">
        <v>8</v>
      </c>
      <c r="HM78" s="12">
        <v>42489</v>
      </c>
      <c r="HN78">
        <v>0.64200000000000002</v>
      </c>
      <c r="HO78" s="12">
        <v>42489</v>
      </c>
      <c r="HP78">
        <v>0.78</v>
      </c>
      <c r="HQ78" s="12">
        <v>42580</v>
      </c>
      <c r="HR78">
        <v>16.12</v>
      </c>
      <c r="HS78" s="12">
        <v>42489</v>
      </c>
      <c r="HT78">
        <v>49.04</v>
      </c>
      <c r="HU78" s="12">
        <v>42489</v>
      </c>
      <c r="HV78">
        <v>34.1</v>
      </c>
      <c r="HW78" s="12">
        <v>42489</v>
      </c>
      <c r="HX78">
        <v>12.923</v>
      </c>
      <c r="HY78" s="12">
        <v>42489</v>
      </c>
      <c r="HZ78">
        <v>9.4909999999999997</v>
      </c>
      <c r="IA78" s="12">
        <v>42489</v>
      </c>
      <c r="IB78">
        <v>28.789000000000001</v>
      </c>
      <c r="IC78" s="12">
        <v>42489</v>
      </c>
      <c r="ID78">
        <v>2.089</v>
      </c>
      <c r="IE78" s="12">
        <v>42489</v>
      </c>
      <c r="IF78">
        <v>1.45</v>
      </c>
      <c r="IG78" s="12">
        <v>42794</v>
      </c>
      <c r="IH78">
        <v>3.7890000000000001</v>
      </c>
      <c r="II78" s="12">
        <v>42489</v>
      </c>
      <c r="IJ78">
        <v>6.8460000000000001</v>
      </c>
      <c r="IM78" s="12">
        <v>42489</v>
      </c>
      <c r="IN78">
        <v>21.954000000000001</v>
      </c>
      <c r="IO78" s="12">
        <v>43039</v>
      </c>
      <c r="IP78">
        <v>27.818000000000001</v>
      </c>
      <c r="IQ78" s="12">
        <v>42489</v>
      </c>
      <c r="IR78">
        <v>53.151000000000003</v>
      </c>
      <c r="IU78" s="12">
        <v>42489</v>
      </c>
      <c r="IV78">
        <v>2.6945000000000001</v>
      </c>
      <c r="IY78" s="12">
        <v>42489</v>
      </c>
      <c r="IZ78">
        <v>9.4540000000000006</v>
      </c>
      <c r="JC78" s="12">
        <v>42489</v>
      </c>
      <c r="JD78">
        <v>3.9</v>
      </c>
      <c r="JE78" s="12">
        <v>42489</v>
      </c>
      <c r="JF78">
        <v>5.05</v>
      </c>
      <c r="JI78" s="12">
        <v>42489</v>
      </c>
      <c r="JJ78">
        <v>15.000999999999999</v>
      </c>
      <c r="JM78" s="12">
        <v>42489</v>
      </c>
      <c r="JN78">
        <v>1.085</v>
      </c>
      <c r="JO78" s="12">
        <v>42489</v>
      </c>
      <c r="JP78">
        <v>23.306999999999999</v>
      </c>
      <c r="JS78" s="12">
        <v>42489</v>
      </c>
      <c r="JT78">
        <v>6.0679999999999996</v>
      </c>
      <c r="JU78" s="12">
        <v>43707</v>
      </c>
      <c r="JV78">
        <v>36.744999999999997</v>
      </c>
      <c r="JW78" s="12">
        <v>42489</v>
      </c>
      <c r="JX78">
        <v>13.731</v>
      </c>
      <c r="JY78" s="12">
        <v>42489</v>
      </c>
      <c r="JZ78">
        <v>13.195</v>
      </c>
      <c r="KC78" s="12">
        <v>42489</v>
      </c>
      <c r="KD78">
        <v>12.787000000000001</v>
      </c>
      <c r="KE78" s="12">
        <v>42489</v>
      </c>
      <c r="KF78">
        <v>13.458</v>
      </c>
      <c r="KI78" s="12">
        <v>42489</v>
      </c>
      <c r="KJ78">
        <v>2.3210000000000002</v>
      </c>
      <c r="KO78" s="12">
        <v>42489</v>
      </c>
      <c r="KP78">
        <v>57.65</v>
      </c>
      <c r="KQ78" s="12">
        <v>42489</v>
      </c>
      <c r="KR78">
        <v>5.85</v>
      </c>
      <c r="KS78" s="12">
        <v>42489</v>
      </c>
      <c r="KT78">
        <v>10.547000000000001</v>
      </c>
      <c r="KU78" s="12">
        <v>42489</v>
      </c>
      <c r="KV78">
        <v>7.0860000000000003</v>
      </c>
      <c r="LC78" s="12">
        <v>42489</v>
      </c>
      <c r="LD78">
        <v>8.9350000000000005</v>
      </c>
      <c r="LE78" s="12">
        <v>42489</v>
      </c>
      <c r="LF78">
        <v>10.170999999999999</v>
      </c>
      <c r="LG78" s="12">
        <v>42489</v>
      </c>
      <c r="LH78">
        <v>10.763999999999999</v>
      </c>
      <c r="LI78" s="12">
        <v>42489</v>
      </c>
      <c r="LJ78">
        <v>32.82</v>
      </c>
      <c r="LM78" s="12">
        <v>42489</v>
      </c>
      <c r="LN78">
        <v>4.3929999999999998</v>
      </c>
      <c r="LO78" s="12">
        <v>42489</v>
      </c>
      <c r="LP78">
        <v>2.4249999999999998</v>
      </c>
      <c r="LQ78" s="12">
        <v>42489</v>
      </c>
      <c r="LR78">
        <v>17.55</v>
      </c>
      <c r="LS78" s="12">
        <v>42489</v>
      </c>
      <c r="LT78">
        <v>15.109</v>
      </c>
      <c r="LW78" s="12">
        <v>42489</v>
      </c>
      <c r="LX78">
        <v>33.576999999999998</v>
      </c>
      <c r="LY78" s="12">
        <v>42489</v>
      </c>
      <c r="LZ78">
        <v>32.976999999999997</v>
      </c>
      <c r="MA78" s="12">
        <v>42489</v>
      </c>
      <c r="MB78">
        <v>27.193000000000001</v>
      </c>
      <c r="ME78" s="12">
        <v>42521</v>
      </c>
      <c r="MF78">
        <v>2.585</v>
      </c>
      <c r="MG78" s="12">
        <v>42489</v>
      </c>
      <c r="MH78">
        <v>10.861000000000001</v>
      </c>
      <c r="MK78" s="12">
        <v>42489</v>
      </c>
      <c r="ML78">
        <v>9.6120000000000001</v>
      </c>
    </row>
    <row r="79" spans="1:350" x14ac:dyDescent="0.3">
      <c r="A79" s="12">
        <v>42521</v>
      </c>
      <c r="B79" s="1">
        <v>17.04</v>
      </c>
      <c r="C79" s="1"/>
      <c r="G79" s="17">
        <v>42521</v>
      </c>
      <c r="H79" s="13">
        <v>7.3840000000000003</v>
      </c>
      <c r="I79" s="17">
        <v>42551</v>
      </c>
      <c r="J79">
        <v>13.563000000000001</v>
      </c>
      <c r="K79" s="12">
        <v>43738</v>
      </c>
      <c r="L79">
        <v>24.541</v>
      </c>
      <c r="N79" s="12"/>
      <c r="S79" s="12">
        <v>42521</v>
      </c>
      <c r="T79">
        <v>10.01</v>
      </c>
      <c r="U79" s="12">
        <v>42947</v>
      </c>
      <c r="V79">
        <v>34.046999999999997</v>
      </c>
      <c r="Y79" s="12">
        <v>42521</v>
      </c>
      <c r="Z79">
        <v>14.101000000000001</v>
      </c>
      <c r="AA79" s="12">
        <v>42521</v>
      </c>
      <c r="AB79">
        <v>13.952</v>
      </c>
      <c r="AC79" s="12">
        <v>42521</v>
      </c>
      <c r="AD79">
        <v>12.903</v>
      </c>
      <c r="AE79" s="12">
        <v>42521</v>
      </c>
      <c r="AF79">
        <v>11.935</v>
      </c>
      <c r="AG79" s="12">
        <v>42521</v>
      </c>
      <c r="AH79">
        <v>14.007999999999999</v>
      </c>
      <c r="AI79" s="12">
        <v>43738</v>
      </c>
      <c r="AJ79">
        <v>32.055999999999997</v>
      </c>
      <c r="AK79" s="12">
        <v>42521</v>
      </c>
      <c r="AL79">
        <v>9.2140000000000004</v>
      </c>
      <c r="AS79" s="12">
        <v>42521</v>
      </c>
      <c r="AT79">
        <v>1.502</v>
      </c>
      <c r="AU79" s="12">
        <v>42521</v>
      </c>
      <c r="AV79">
        <v>5.9320000000000004</v>
      </c>
      <c r="AY79" s="12">
        <v>42521</v>
      </c>
      <c r="AZ79">
        <v>45.097000000000001</v>
      </c>
      <c r="BA79" s="12">
        <v>42521</v>
      </c>
      <c r="BB79">
        <v>18.111999999999998</v>
      </c>
      <c r="BC79" s="12">
        <v>42521</v>
      </c>
      <c r="BD79">
        <v>9.2810000000000006</v>
      </c>
      <c r="BE79" s="12">
        <v>42613</v>
      </c>
      <c r="BF79">
        <v>8.1929999999999996</v>
      </c>
      <c r="BG79" s="12">
        <v>42521</v>
      </c>
      <c r="BH79">
        <v>6.306</v>
      </c>
      <c r="BI79" s="12">
        <v>42521</v>
      </c>
      <c r="BJ79">
        <v>9.5570000000000004</v>
      </c>
      <c r="BK79" s="12">
        <v>42521</v>
      </c>
      <c r="BL79">
        <v>12.631</v>
      </c>
      <c r="BM79" s="12">
        <v>42521</v>
      </c>
      <c r="BN79">
        <v>10.249000000000001</v>
      </c>
      <c r="BO79" s="12">
        <v>42521</v>
      </c>
      <c r="BP79">
        <v>21.574000000000002</v>
      </c>
      <c r="BQ79" s="12">
        <v>42521</v>
      </c>
      <c r="BR79">
        <v>5.367</v>
      </c>
      <c r="BS79" s="12">
        <v>42521</v>
      </c>
      <c r="BT79">
        <v>4.5069999999999997</v>
      </c>
      <c r="BW79" s="12">
        <v>42521</v>
      </c>
      <c r="BX79">
        <v>10.17</v>
      </c>
      <c r="BY79" s="12">
        <v>42521</v>
      </c>
      <c r="BZ79">
        <v>17.631</v>
      </c>
      <c r="CA79" s="12">
        <v>42521</v>
      </c>
      <c r="CB79">
        <v>19.478000000000002</v>
      </c>
      <c r="CG79" s="12">
        <v>42521</v>
      </c>
      <c r="CH79">
        <v>29.86</v>
      </c>
      <c r="CI79" s="12">
        <v>42521</v>
      </c>
      <c r="CJ79">
        <v>20.684000000000001</v>
      </c>
      <c r="CK79" s="12">
        <v>42521</v>
      </c>
      <c r="CL79">
        <v>6.0979999999999999</v>
      </c>
      <c r="CM79" s="12">
        <v>42521</v>
      </c>
      <c r="CN79">
        <v>41.040999999999997</v>
      </c>
      <c r="CQ79" s="12">
        <v>42521</v>
      </c>
      <c r="CR79">
        <v>8.2140000000000004</v>
      </c>
      <c r="CS79" s="12">
        <v>42521</v>
      </c>
      <c r="CT79">
        <v>9.8040000000000003</v>
      </c>
      <c r="CU79" s="12">
        <v>42521</v>
      </c>
      <c r="CV79">
        <v>4.2370000000000001</v>
      </c>
      <c r="CW79" s="12">
        <v>42521</v>
      </c>
      <c r="CX79">
        <v>6.5410000000000004</v>
      </c>
      <c r="CY79" s="12">
        <v>42613</v>
      </c>
      <c r="CZ79">
        <v>7.194</v>
      </c>
      <c r="DA79" s="12">
        <v>42521</v>
      </c>
      <c r="DB79">
        <v>21.713999999999999</v>
      </c>
      <c r="DC79" s="12">
        <v>42521</v>
      </c>
      <c r="DD79">
        <v>7.7889999999999997</v>
      </c>
      <c r="DE79" s="12">
        <v>42521</v>
      </c>
      <c r="DF79">
        <v>11.048</v>
      </c>
      <c r="DG79" s="12">
        <v>43280</v>
      </c>
      <c r="DH79">
        <v>42.02</v>
      </c>
      <c r="DI79" s="12">
        <v>42521</v>
      </c>
      <c r="DJ79">
        <v>6.7549999999999999</v>
      </c>
      <c r="DK79" s="12">
        <v>42521</v>
      </c>
      <c r="DL79">
        <v>18.292999999999999</v>
      </c>
      <c r="DM79" s="12">
        <v>42947</v>
      </c>
      <c r="DN79">
        <v>4.9370000000000003</v>
      </c>
      <c r="DO79" s="12">
        <v>42521</v>
      </c>
      <c r="DP79">
        <v>10.305999999999999</v>
      </c>
      <c r="DQ79" s="12">
        <v>42521</v>
      </c>
      <c r="DR79">
        <v>11.4</v>
      </c>
      <c r="DS79" s="12">
        <v>42551</v>
      </c>
      <c r="DT79">
        <v>15.563000000000001</v>
      </c>
      <c r="DU79" s="12">
        <v>42521</v>
      </c>
      <c r="DV79">
        <v>8.7200000000000006</v>
      </c>
      <c r="DW79" s="12">
        <v>42521</v>
      </c>
      <c r="DX79">
        <v>3.9449999999999998</v>
      </c>
      <c r="DY79" s="12">
        <v>42521</v>
      </c>
      <c r="DZ79">
        <v>10.518000000000001</v>
      </c>
      <c r="EC79" s="12">
        <v>42521</v>
      </c>
      <c r="ED79">
        <v>30.172999999999998</v>
      </c>
      <c r="EE79" s="12">
        <v>42521</v>
      </c>
      <c r="EF79">
        <v>10.762</v>
      </c>
      <c r="EI79" s="12">
        <v>42521</v>
      </c>
      <c r="EJ79">
        <v>14.308</v>
      </c>
      <c r="EK79" s="12">
        <v>42521</v>
      </c>
      <c r="EL79">
        <v>3.6749999999999998</v>
      </c>
      <c r="EM79" s="12">
        <v>42521</v>
      </c>
      <c r="EN79">
        <v>5.2729999999999997</v>
      </c>
      <c r="EQ79" s="12">
        <v>42521</v>
      </c>
      <c r="ER79">
        <v>1.8080000000000001</v>
      </c>
      <c r="ES79" s="12">
        <v>42521</v>
      </c>
      <c r="ET79">
        <v>2.27</v>
      </c>
      <c r="EU79" s="12">
        <v>42521</v>
      </c>
      <c r="EV79">
        <v>4.6379999999999999</v>
      </c>
      <c r="EY79" s="12">
        <v>42521</v>
      </c>
      <c r="EZ79">
        <v>10.756</v>
      </c>
      <c r="FA79" s="12">
        <v>42521</v>
      </c>
      <c r="FB79">
        <v>23.800999999999998</v>
      </c>
      <c r="FC79" s="12">
        <v>42521</v>
      </c>
      <c r="FD79">
        <v>24.274999999999999</v>
      </c>
      <c r="FG79" s="12">
        <v>42521</v>
      </c>
      <c r="FH79">
        <v>4.742</v>
      </c>
      <c r="FI79" s="12">
        <v>42521</v>
      </c>
      <c r="FJ79">
        <v>11.727</v>
      </c>
      <c r="FK79" s="12">
        <v>42521</v>
      </c>
      <c r="FL79">
        <v>13.83</v>
      </c>
      <c r="FM79" s="12">
        <v>42521</v>
      </c>
      <c r="FN79">
        <v>9.6890000000000001</v>
      </c>
      <c r="FO79" s="12">
        <v>42521</v>
      </c>
      <c r="FP79">
        <v>16.324999999999999</v>
      </c>
      <c r="FS79" s="12">
        <v>42521</v>
      </c>
      <c r="FT79">
        <v>2.2370000000000001</v>
      </c>
      <c r="FU79" s="12">
        <v>42521</v>
      </c>
      <c r="FV79">
        <v>10.452</v>
      </c>
      <c r="FW79" s="12">
        <v>42521</v>
      </c>
      <c r="FX79">
        <v>15.006</v>
      </c>
      <c r="FY79" s="12">
        <v>43371</v>
      </c>
      <c r="FZ79">
        <v>8.64</v>
      </c>
      <c r="GA79" s="12">
        <v>42521</v>
      </c>
      <c r="GB79">
        <v>19.099</v>
      </c>
      <c r="GC79" s="12">
        <v>42521</v>
      </c>
      <c r="GD79">
        <v>8.8439999999999994</v>
      </c>
      <c r="GE79" s="12">
        <v>43677</v>
      </c>
      <c r="GF79">
        <v>32.231999999999999</v>
      </c>
      <c r="GI79" s="12">
        <v>42521</v>
      </c>
      <c r="GJ79">
        <v>16.408000000000001</v>
      </c>
      <c r="GK79" s="12">
        <v>42521</v>
      </c>
      <c r="GL79">
        <v>13.141</v>
      </c>
      <c r="GM79" s="12">
        <v>42521</v>
      </c>
      <c r="GN79">
        <v>29.302</v>
      </c>
      <c r="GO79" s="12">
        <v>43007</v>
      </c>
      <c r="GP79">
        <v>9.1210000000000004</v>
      </c>
      <c r="GQ79" s="12">
        <v>42643</v>
      </c>
      <c r="GR79">
        <v>4.58</v>
      </c>
      <c r="GS79" s="12">
        <v>42521</v>
      </c>
      <c r="GT79">
        <v>4.71</v>
      </c>
      <c r="GW79" s="12">
        <v>42580</v>
      </c>
      <c r="GX79">
        <v>34.985999999999997</v>
      </c>
      <c r="GY79" s="12">
        <v>42521</v>
      </c>
      <c r="GZ79">
        <v>6.29</v>
      </c>
      <c r="HA79" s="12">
        <v>42521</v>
      </c>
      <c r="HB79">
        <v>7.4489999999999998</v>
      </c>
      <c r="HC79" s="12">
        <v>42521</v>
      </c>
      <c r="HD79">
        <v>17.001000000000001</v>
      </c>
      <c r="HE79" s="12">
        <v>42521</v>
      </c>
      <c r="HF79">
        <v>12.832000000000001</v>
      </c>
      <c r="HG79" s="12">
        <v>42521</v>
      </c>
      <c r="HH79">
        <v>10.827</v>
      </c>
      <c r="HI79" s="12">
        <v>42521</v>
      </c>
      <c r="HJ79">
        <v>10.092000000000001</v>
      </c>
      <c r="HK79" s="12">
        <v>42521</v>
      </c>
      <c r="HL79">
        <v>6</v>
      </c>
      <c r="HM79" s="12">
        <v>42521</v>
      </c>
      <c r="HN79">
        <v>0.66400000000000003</v>
      </c>
      <c r="HO79" s="12">
        <v>42521</v>
      </c>
      <c r="HP79">
        <v>0.69599999999999995</v>
      </c>
      <c r="HQ79" s="12">
        <v>42613</v>
      </c>
      <c r="HR79">
        <v>15.4</v>
      </c>
      <c r="HS79" s="12">
        <v>42521</v>
      </c>
      <c r="HT79">
        <v>39.195</v>
      </c>
      <c r="HU79" s="12">
        <v>42521</v>
      </c>
      <c r="HV79">
        <v>24.3</v>
      </c>
      <c r="HW79" s="12">
        <v>42521</v>
      </c>
      <c r="HX79">
        <v>9.9139999999999997</v>
      </c>
      <c r="HY79" s="12">
        <v>42521</v>
      </c>
      <c r="HZ79">
        <v>7.4589999999999996</v>
      </c>
      <c r="IA79" s="12">
        <v>42521</v>
      </c>
      <c r="IB79">
        <v>26.86</v>
      </c>
      <c r="IC79" s="12">
        <v>42521</v>
      </c>
      <c r="ID79">
        <v>2.1240000000000001</v>
      </c>
      <c r="IE79" s="12">
        <v>42521</v>
      </c>
      <c r="IF79">
        <v>1.3900000000000001</v>
      </c>
      <c r="IG79" s="12">
        <v>42825</v>
      </c>
      <c r="IH79">
        <v>4.6989999999999998</v>
      </c>
      <c r="II79" s="12">
        <v>42521</v>
      </c>
      <c r="IJ79">
        <v>6.0830000000000002</v>
      </c>
      <c r="IM79" s="12">
        <v>42521</v>
      </c>
      <c r="IN79">
        <v>20.923999999999999</v>
      </c>
      <c r="IO79" s="12">
        <v>43069</v>
      </c>
      <c r="IP79">
        <v>24.376000000000001</v>
      </c>
      <c r="IQ79" s="12">
        <v>42521</v>
      </c>
      <c r="IR79">
        <v>55.758000000000003</v>
      </c>
      <c r="IU79" s="12">
        <v>42521</v>
      </c>
      <c r="IV79">
        <v>2.9308999999999998</v>
      </c>
      <c r="IY79" s="12">
        <v>42521</v>
      </c>
      <c r="IZ79">
        <v>9.5269999999999992</v>
      </c>
      <c r="JC79" s="12">
        <v>42521</v>
      </c>
      <c r="JD79">
        <v>3.85</v>
      </c>
      <c r="JE79" s="12">
        <v>42521</v>
      </c>
      <c r="JF79">
        <v>4.2</v>
      </c>
      <c r="JI79" s="12">
        <v>42521</v>
      </c>
      <c r="JJ79">
        <v>14.047000000000001</v>
      </c>
      <c r="JM79" s="12">
        <v>42521</v>
      </c>
      <c r="JN79">
        <v>1.2370000000000001</v>
      </c>
      <c r="JO79" s="12">
        <v>42521</v>
      </c>
      <c r="JP79">
        <v>22.591999999999999</v>
      </c>
      <c r="JS79" s="12">
        <v>42521</v>
      </c>
      <c r="JT79">
        <v>6.0839999999999996</v>
      </c>
      <c r="JU79" s="12">
        <v>43738</v>
      </c>
      <c r="JV79">
        <v>37.738</v>
      </c>
      <c r="JW79" s="12">
        <v>42521</v>
      </c>
      <c r="JX79">
        <v>16.521000000000001</v>
      </c>
      <c r="JY79" s="12">
        <v>42521</v>
      </c>
      <c r="JZ79">
        <v>11.801</v>
      </c>
      <c r="KC79" s="12">
        <v>42521</v>
      </c>
      <c r="KD79">
        <v>14.276999999999999</v>
      </c>
      <c r="KE79" s="12">
        <v>42521</v>
      </c>
      <c r="KF79">
        <v>13.416</v>
      </c>
      <c r="KI79" s="12">
        <v>42521</v>
      </c>
      <c r="KJ79">
        <v>2.0110000000000001</v>
      </c>
      <c r="KO79" s="12">
        <v>42521</v>
      </c>
      <c r="KP79">
        <v>60.76</v>
      </c>
      <c r="KQ79" s="12">
        <v>42521</v>
      </c>
      <c r="KR79">
        <v>12.37</v>
      </c>
      <c r="KS79" s="12">
        <v>42521</v>
      </c>
      <c r="KT79">
        <v>10.791</v>
      </c>
      <c r="KU79" s="12">
        <v>42521</v>
      </c>
      <c r="KV79">
        <v>6.6040000000000001</v>
      </c>
      <c r="LC79" s="12">
        <v>42521</v>
      </c>
      <c r="LD79">
        <v>9.3849999999999998</v>
      </c>
      <c r="LE79" s="12">
        <v>42521</v>
      </c>
      <c r="LF79">
        <v>10.914</v>
      </c>
      <c r="LG79" s="12">
        <v>42521</v>
      </c>
      <c r="LH79">
        <v>10.250999999999999</v>
      </c>
      <c r="LI79" s="12">
        <v>42521</v>
      </c>
      <c r="LJ79">
        <v>30.93</v>
      </c>
      <c r="LM79" s="12">
        <v>42521</v>
      </c>
      <c r="LN79">
        <v>4.7830000000000004</v>
      </c>
      <c r="LO79" s="12">
        <v>42521</v>
      </c>
      <c r="LP79">
        <v>1.62</v>
      </c>
      <c r="LQ79" s="12">
        <v>42521</v>
      </c>
      <c r="LR79">
        <v>12.673999999999999</v>
      </c>
      <c r="LS79" s="12">
        <v>42521</v>
      </c>
      <c r="LT79">
        <v>10.79</v>
      </c>
      <c r="LW79" s="12">
        <v>42521</v>
      </c>
      <c r="LX79">
        <v>14.27</v>
      </c>
      <c r="LY79" s="12">
        <v>42521</v>
      </c>
      <c r="LZ79">
        <v>32.715000000000003</v>
      </c>
      <c r="MA79" s="12">
        <v>42521</v>
      </c>
      <c r="MB79">
        <v>22.536000000000001</v>
      </c>
      <c r="ME79" s="12">
        <v>42551</v>
      </c>
      <c r="MF79">
        <v>3.0830000000000002</v>
      </c>
      <c r="MG79" s="12">
        <v>42521</v>
      </c>
      <c r="MH79">
        <v>10.295999999999999</v>
      </c>
      <c r="MK79" s="12">
        <v>42521</v>
      </c>
      <c r="ML79">
        <v>8.7940000000000005</v>
      </c>
    </row>
    <row r="80" spans="1:350" x14ac:dyDescent="0.3">
      <c r="A80" s="12">
        <v>42551</v>
      </c>
      <c r="B80" s="1">
        <v>16.986000000000001</v>
      </c>
      <c r="C80" s="1"/>
      <c r="G80" s="17">
        <v>42551</v>
      </c>
      <c r="H80" s="13">
        <v>7.7309999999999999</v>
      </c>
      <c r="I80" s="17">
        <v>42580</v>
      </c>
      <c r="J80">
        <v>13.938000000000001</v>
      </c>
      <c r="K80" s="12">
        <v>43769</v>
      </c>
      <c r="L80">
        <v>23.550999999999998</v>
      </c>
      <c r="N80" s="12"/>
      <c r="S80" s="12">
        <v>42551</v>
      </c>
      <c r="T80">
        <v>10.01</v>
      </c>
      <c r="U80" s="12">
        <v>42978</v>
      </c>
      <c r="V80">
        <v>42.125999999999998</v>
      </c>
      <c r="Y80" s="12">
        <v>42551</v>
      </c>
      <c r="Z80">
        <v>15.943999999999999</v>
      </c>
      <c r="AA80" s="12">
        <v>42551</v>
      </c>
      <c r="AB80">
        <v>14.673999999999999</v>
      </c>
      <c r="AC80" s="12">
        <v>42551</v>
      </c>
      <c r="AD80">
        <v>14.323</v>
      </c>
      <c r="AE80" s="12">
        <v>42551</v>
      </c>
      <c r="AF80">
        <v>13.292999999999999</v>
      </c>
      <c r="AG80" s="12">
        <v>42551</v>
      </c>
      <c r="AH80">
        <v>15.035</v>
      </c>
      <c r="AI80" s="12">
        <v>43769</v>
      </c>
      <c r="AJ80">
        <v>31.085999999999999</v>
      </c>
      <c r="AK80" s="12">
        <v>42551</v>
      </c>
      <c r="AL80">
        <v>8.9120000000000008</v>
      </c>
      <c r="AS80" s="12">
        <v>42551</v>
      </c>
      <c r="AT80">
        <v>1.4550000000000001</v>
      </c>
      <c r="AU80" s="12">
        <v>42551</v>
      </c>
      <c r="AV80">
        <v>7.532</v>
      </c>
      <c r="AY80" s="12">
        <v>42551</v>
      </c>
      <c r="AZ80">
        <v>44.564</v>
      </c>
      <c r="BA80" s="12">
        <v>42551</v>
      </c>
      <c r="BB80">
        <v>16.420999999999999</v>
      </c>
      <c r="BC80" s="12">
        <v>42551</v>
      </c>
      <c r="BD80">
        <v>10.326000000000001</v>
      </c>
      <c r="BE80" s="12">
        <v>42643</v>
      </c>
      <c r="BF80">
        <v>8.2899999999999991</v>
      </c>
      <c r="BG80" s="12">
        <v>42551</v>
      </c>
      <c r="BH80">
        <v>6.61</v>
      </c>
      <c r="BI80" s="12">
        <v>42551</v>
      </c>
      <c r="BJ80">
        <v>9.0739999999999998</v>
      </c>
      <c r="BK80" s="12">
        <v>42551</v>
      </c>
      <c r="BL80">
        <v>13.914</v>
      </c>
      <c r="BM80" s="12">
        <v>42551</v>
      </c>
      <c r="BN80">
        <v>10.071</v>
      </c>
      <c r="BO80" s="12">
        <v>42551</v>
      </c>
      <c r="BP80">
        <v>23.007999999999999</v>
      </c>
      <c r="BQ80" s="12">
        <v>42551</v>
      </c>
      <c r="BR80">
        <v>6.2990000000000004</v>
      </c>
      <c r="BS80" s="12">
        <v>42551</v>
      </c>
      <c r="BT80">
        <v>5.827</v>
      </c>
      <c r="BW80" s="12">
        <v>42551</v>
      </c>
      <c r="BX80">
        <v>12.483000000000001</v>
      </c>
      <c r="BY80" s="12">
        <v>42551</v>
      </c>
      <c r="BZ80">
        <v>19.859000000000002</v>
      </c>
      <c r="CA80" s="12">
        <v>42551</v>
      </c>
      <c r="CB80">
        <v>24.035</v>
      </c>
      <c r="CG80" s="12">
        <v>42551</v>
      </c>
      <c r="CH80">
        <v>30.295999999999999</v>
      </c>
      <c r="CI80" s="12">
        <v>42551</v>
      </c>
      <c r="CJ80">
        <v>24.029</v>
      </c>
      <c r="CK80" s="12">
        <v>42551</v>
      </c>
      <c r="CL80">
        <v>7.2919999999999998</v>
      </c>
      <c r="CM80" s="12">
        <v>42551</v>
      </c>
      <c r="CN80">
        <v>42.405000000000001</v>
      </c>
      <c r="CQ80" s="12">
        <v>42551</v>
      </c>
      <c r="CR80">
        <v>8.8049999999999997</v>
      </c>
      <c r="CS80" s="12">
        <v>42551</v>
      </c>
      <c r="CT80">
        <v>11.134</v>
      </c>
      <c r="CU80" s="12">
        <v>42551</v>
      </c>
      <c r="CV80">
        <v>4.3650000000000002</v>
      </c>
      <c r="CW80" s="12">
        <v>42551</v>
      </c>
      <c r="CX80">
        <v>7.6690000000000005</v>
      </c>
      <c r="CY80" s="12">
        <v>42643</v>
      </c>
      <c r="CZ80">
        <v>7.6870000000000003</v>
      </c>
      <c r="DA80" s="12">
        <v>42551</v>
      </c>
      <c r="DB80">
        <v>23.446000000000002</v>
      </c>
      <c r="DC80" s="12">
        <v>42551</v>
      </c>
      <c r="DD80">
        <v>12.502000000000001</v>
      </c>
      <c r="DE80" s="12">
        <v>42551</v>
      </c>
      <c r="DF80">
        <v>15.564</v>
      </c>
      <c r="DG80" s="12">
        <v>43312</v>
      </c>
      <c r="DH80">
        <v>29.1</v>
      </c>
      <c r="DI80" s="12">
        <v>42551</v>
      </c>
      <c r="DJ80">
        <v>8.3699999999999992</v>
      </c>
      <c r="DK80" s="12">
        <v>42551</v>
      </c>
      <c r="DL80">
        <v>17.065999999999999</v>
      </c>
      <c r="DM80" s="12">
        <v>42978</v>
      </c>
      <c r="DN80">
        <v>5.1130000000000004</v>
      </c>
      <c r="DO80" s="12">
        <v>42551</v>
      </c>
      <c r="DP80">
        <v>11.496</v>
      </c>
      <c r="DQ80" s="12">
        <v>42551</v>
      </c>
      <c r="DR80">
        <v>11.6</v>
      </c>
      <c r="DS80" s="12">
        <v>42580</v>
      </c>
      <c r="DT80">
        <v>19.042000000000002</v>
      </c>
      <c r="DU80" s="12">
        <v>42551</v>
      </c>
      <c r="DV80">
        <v>9.3030000000000008</v>
      </c>
      <c r="DW80" s="12">
        <v>42551</v>
      </c>
      <c r="DX80">
        <v>3.7589999999999999</v>
      </c>
      <c r="DY80" s="12">
        <v>42551</v>
      </c>
      <c r="DZ80">
        <v>10.678000000000001</v>
      </c>
      <c r="EC80" s="12">
        <v>42551</v>
      </c>
      <c r="ED80">
        <v>19.45</v>
      </c>
      <c r="EE80" s="12">
        <v>42551</v>
      </c>
      <c r="EF80">
        <v>11.404999999999999</v>
      </c>
      <c r="EI80" s="12">
        <v>42551</v>
      </c>
      <c r="EJ80">
        <v>16.387</v>
      </c>
      <c r="EK80" s="12">
        <v>42551</v>
      </c>
      <c r="EL80">
        <v>4.0119999999999996</v>
      </c>
      <c r="EM80" s="12">
        <v>42551</v>
      </c>
      <c r="EN80">
        <v>5.5759999999999996</v>
      </c>
      <c r="EQ80" s="12">
        <v>42551</v>
      </c>
      <c r="ER80">
        <v>1.873</v>
      </c>
      <c r="ES80" s="12">
        <v>42551</v>
      </c>
      <c r="ET80">
        <v>3.45</v>
      </c>
      <c r="EU80" s="12">
        <v>42551</v>
      </c>
      <c r="EV80">
        <v>4.6159999999999997</v>
      </c>
      <c r="EY80" s="12">
        <v>42551</v>
      </c>
      <c r="EZ80">
        <v>12.548</v>
      </c>
      <c r="FA80" s="12">
        <v>42551</v>
      </c>
      <c r="FB80">
        <v>19.492000000000001</v>
      </c>
      <c r="FC80" s="12">
        <v>42551</v>
      </c>
      <c r="FD80">
        <v>26.402000000000001</v>
      </c>
      <c r="FG80" s="12">
        <v>42551</v>
      </c>
      <c r="FH80">
        <v>5.0519999999999996</v>
      </c>
      <c r="FI80" s="12">
        <v>42551</v>
      </c>
      <c r="FJ80">
        <v>11.988</v>
      </c>
      <c r="FK80" s="12">
        <v>42551</v>
      </c>
      <c r="FL80">
        <v>14.433</v>
      </c>
      <c r="FM80" s="12">
        <v>42551</v>
      </c>
      <c r="FN80">
        <v>9.6890000000000001</v>
      </c>
      <c r="FO80" s="12">
        <v>42551</v>
      </c>
      <c r="FP80">
        <v>18.78</v>
      </c>
      <c r="FS80" s="12">
        <v>42551</v>
      </c>
      <c r="FT80">
        <v>1.9359999999999999</v>
      </c>
      <c r="FU80" s="12">
        <v>42551</v>
      </c>
      <c r="FV80">
        <v>11.005000000000001</v>
      </c>
      <c r="FW80" s="12">
        <v>42551</v>
      </c>
      <c r="FX80">
        <v>15.7</v>
      </c>
      <c r="FY80" s="12">
        <v>43404</v>
      </c>
      <c r="FZ80">
        <v>9.8640000000000008</v>
      </c>
      <c r="GA80" s="12">
        <v>42551</v>
      </c>
      <c r="GB80">
        <v>18.771999999999998</v>
      </c>
      <c r="GC80" s="12">
        <v>42551</v>
      </c>
      <c r="GD80">
        <v>11.074999999999999</v>
      </c>
      <c r="GE80" s="12">
        <v>43707</v>
      </c>
      <c r="GF80">
        <v>31.715</v>
      </c>
      <c r="GI80" s="12">
        <v>42551</v>
      </c>
      <c r="GJ80">
        <v>18.649999999999999</v>
      </c>
      <c r="GK80" s="12">
        <v>42551</v>
      </c>
      <c r="GL80">
        <v>13.423999999999999</v>
      </c>
      <c r="GM80" s="12">
        <v>42551</v>
      </c>
      <c r="GN80">
        <v>33.872999999999998</v>
      </c>
      <c r="GO80" s="12">
        <v>43039</v>
      </c>
      <c r="GP80">
        <v>7.835</v>
      </c>
      <c r="GQ80" s="12">
        <v>42674</v>
      </c>
      <c r="GR80">
        <v>4.99</v>
      </c>
      <c r="GS80" s="12">
        <v>42551</v>
      </c>
      <c r="GT80">
        <v>3.99</v>
      </c>
      <c r="GW80" s="12">
        <v>42613</v>
      </c>
      <c r="GX80">
        <v>34.875999999999998</v>
      </c>
      <c r="GY80" s="12">
        <v>42551</v>
      </c>
      <c r="GZ80">
        <v>5.62</v>
      </c>
      <c r="HA80" s="12">
        <v>42551</v>
      </c>
      <c r="HB80">
        <v>8.1669999999999998</v>
      </c>
      <c r="HC80" s="12">
        <v>42551</v>
      </c>
      <c r="HD80">
        <v>18.747</v>
      </c>
      <c r="HE80" s="12">
        <v>42551</v>
      </c>
      <c r="HF80">
        <v>12.166</v>
      </c>
      <c r="HG80" s="12">
        <v>42551</v>
      </c>
      <c r="HH80">
        <v>12.26</v>
      </c>
      <c r="HI80" s="12">
        <v>42551</v>
      </c>
      <c r="HJ80">
        <v>12.007</v>
      </c>
      <c r="HK80" s="12">
        <v>42551</v>
      </c>
      <c r="HL80">
        <v>3.61</v>
      </c>
      <c r="HM80" s="12">
        <v>42551</v>
      </c>
      <c r="HN80">
        <v>1.4550000000000001</v>
      </c>
      <c r="HO80" s="12">
        <v>42551</v>
      </c>
      <c r="HP80">
        <v>1.0089999999999999</v>
      </c>
      <c r="HQ80" s="12">
        <v>42643</v>
      </c>
      <c r="HR80">
        <v>15.46</v>
      </c>
      <c r="HS80" s="12">
        <v>42551</v>
      </c>
      <c r="HT80">
        <v>45.261000000000003</v>
      </c>
      <c r="HU80" s="12">
        <v>42551</v>
      </c>
      <c r="HV80">
        <v>24.7</v>
      </c>
      <c r="HW80" s="12">
        <v>42551</v>
      </c>
      <c r="HX80">
        <v>11.209</v>
      </c>
      <c r="HY80" s="12">
        <v>42551</v>
      </c>
      <c r="HZ80">
        <v>8.74</v>
      </c>
      <c r="IA80" s="12">
        <v>42551</v>
      </c>
      <c r="IB80">
        <v>27.71</v>
      </c>
      <c r="IC80" s="12">
        <v>42551</v>
      </c>
      <c r="ID80">
        <v>2.1240000000000001</v>
      </c>
      <c r="IE80" s="12">
        <v>42551</v>
      </c>
      <c r="IF80">
        <v>1.46</v>
      </c>
      <c r="IG80" s="12">
        <v>42853</v>
      </c>
      <c r="IH80">
        <v>4.3479999999999999</v>
      </c>
      <c r="II80" s="12">
        <v>42551</v>
      </c>
      <c r="IJ80">
        <v>6.2489999999999997</v>
      </c>
      <c r="IM80" s="12">
        <v>42551</v>
      </c>
      <c r="IN80">
        <v>21.201000000000001</v>
      </c>
      <c r="IO80" s="12">
        <v>43098</v>
      </c>
      <c r="IP80">
        <v>25.088999999999999</v>
      </c>
      <c r="IQ80" s="12">
        <v>42551</v>
      </c>
      <c r="IR80">
        <v>61.121000000000002</v>
      </c>
      <c r="IU80" s="12">
        <v>42551</v>
      </c>
      <c r="IV80">
        <v>3.0727000000000002</v>
      </c>
      <c r="IY80" s="12">
        <v>42551</v>
      </c>
      <c r="IZ80">
        <v>9.8849999999999998</v>
      </c>
      <c r="JC80" s="12">
        <v>42551</v>
      </c>
      <c r="JD80">
        <v>3.82</v>
      </c>
      <c r="JE80" s="12">
        <v>42551</v>
      </c>
      <c r="JF80">
        <v>2.94</v>
      </c>
      <c r="JI80" s="12">
        <v>42551</v>
      </c>
      <c r="JJ80">
        <v>14.693999999999999</v>
      </c>
      <c r="JM80" s="12">
        <v>42551</v>
      </c>
      <c r="JN80">
        <v>1.343</v>
      </c>
      <c r="JO80" s="12">
        <v>42551</v>
      </c>
      <c r="JP80">
        <v>25.673000000000002</v>
      </c>
      <c r="JS80" s="12">
        <v>42551</v>
      </c>
      <c r="JT80">
        <v>6.0190000000000001</v>
      </c>
      <c r="JU80" s="12">
        <v>43769</v>
      </c>
      <c r="JV80">
        <v>36.744999999999997</v>
      </c>
      <c r="JW80" s="12">
        <v>42551</v>
      </c>
      <c r="JX80">
        <v>16.385999999999999</v>
      </c>
      <c r="JY80" s="12">
        <v>42551</v>
      </c>
      <c r="JZ80">
        <v>12.321</v>
      </c>
      <c r="KC80" s="12">
        <v>42551</v>
      </c>
      <c r="KD80">
        <v>11.034000000000001</v>
      </c>
      <c r="KE80" s="12">
        <v>42551</v>
      </c>
      <c r="KF80">
        <v>13.664999999999999</v>
      </c>
      <c r="KI80" s="12">
        <v>42551</v>
      </c>
      <c r="KJ80">
        <v>2.1269999999999998</v>
      </c>
      <c r="KO80" s="12">
        <v>42551</v>
      </c>
      <c r="KP80">
        <v>62.5</v>
      </c>
      <c r="KQ80" s="12">
        <v>42551</v>
      </c>
      <c r="KR80">
        <v>12.89</v>
      </c>
      <c r="KS80" s="12">
        <v>42551</v>
      </c>
      <c r="KT80">
        <v>11.231</v>
      </c>
      <c r="KU80" s="12">
        <v>42551</v>
      </c>
      <c r="KV80">
        <v>6.3440000000000003</v>
      </c>
      <c r="LC80" s="12">
        <v>42551</v>
      </c>
      <c r="LD80">
        <v>9.6769999999999996</v>
      </c>
      <c r="LE80" s="12">
        <v>42551</v>
      </c>
      <c r="LF80">
        <v>11.375</v>
      </c>
      <c r="LG80" s="12">
        <v>42551</v>
      </c>
      <c r="LH80">
        <v>9.3049999999999997</v>
      </c>
      <c r="LI80" s="12">
        <v>42551</v>
      </c>
      <c r="LJ80">
        <v>32.225999999999999</v>
      </c>
      <c r="LM80" s="12">
        <v>42551</v>
      </c>
      <c r="LN80">
        <v>4.9589999999999996</v>
      </c>
      <c r="LO80" s="12">
        <v>42551</v>
      </c>
      <c r="LP80">
        <v>1.911</v>
      </c>
      <c r="LQ80" s="12">
        <v>42551</v>
      </c>
      <c r="LR80">
        <v>14.500999999999999</v>
      </c>
      <c r="LS80" s="12">
        <v>42551</v>
      </c>
      <c r="LT80">
        <v>12.507999999999999</v>
      </c>
      <c r="LW80" s="12">
        <v>42551</v>
      </c>
      <c r="LX80">
        <v>14.438000000000001</v>
      </c>
      <c r="LY80" s="12">
        <v>42551</v>
      </c>
      <c r="LZ80">
        <v>34.363</v>
      </c>
      <c r="MA80" s="12">
        <v>42551</v>
      </c>
      <c r="MB80">
        <v>21.518999999999998</v>
      </c>
      <c r="ME80" s="12">
        <v>42580</v>
      </c>
      <c r="MF80">
        <v>2.8839999999999999</v>
      </c>
      <c r="MG80" s="12">
        <v>42551</v>
      </c>
      <c r="MH80">
        <v>9.8789999999999996</v>
      </c>
      <c r="MK80" s="12">
        <v>42551</v>
      </c>
      <c r="ML80">
        <v>13.734</v>
      </c>
    </row>
    <row r="81" spans="1:350" x14ac:dyDescent="0.3">
      <c r="A81" s="12">
        <v>42580</v>
      </c>
      <c r="B81" s="1">
        <v>16.876000000000001</v>
      </c>
      <c r="C81" s="1"/>
      <c r="G81" s="17">
        <v>42580</v>
      </c>
      <c r="H81" s="13">
        <v>8.5</v>
      </c>
      <c r="I81" s="17">
        <v>42613</v>
      </c>
      <c r="J81">
        <v>14.486000000000001</v>
      </c>
      <c r="K81" s="12">
        <v>43798</v>
      </c>
      <c r="L81">
        <v>25.23</v>
      </c>
      <c r="N81" s="12"/>
      <c r="U81" s="12">
        <v>43007</v>
      </c>
      <c r="V81">
        <v>47.011000000000003</v>
      </c>
      <c r="Y81" s="12">
        <v>42580</v>
      </c>
      <c r="Z81">
        <v>16.908999999999999</v>
      </c>
      <c r="AA81" s="12">
        <v>42580</v>
      </c>
      <c r="AB81">
        <v>17.98</v>
      </c>
      <c r="AC81" s="12">
        <v>42580</v>
      </c>
      <c r="AD81">
        <v>15.499000000000001</v>
      </c>
      <c r="AE81" s="12">
        <v>42580</v>
      </c>
      <c r="AF81">
        <v>14.983000000000001</v>
      </c>
      <c r="AG81" s="12">
        <v>42580</v>
      </c>
      <c r="AH81">
        <v>21.478999999999999</v>
      </c>
      <c r="AI81" s="12">
        <v>43798</v>
      </c>
      <c r="AJ81">
        <v>31.524999999999999</v>
      </c>
      <c r="AK81" s="12">
        <v>42580</v>
      </c>
      <c r="AL81">
        <v>9.3409999999999993</v>
      </c>
      <c r="AS81" s="12">
        <v>42580</v>
      </c>
      <c r="AT81">
        <v>1.427</v>
      </c>
      <c r="AU81" s="12">
        <v>42580</v>
      </c>
      <c r="AV81">
        <v>9.1920000000000002</v>
      </c>
      <c r="AY81" s="12">
        <v>42580</v>
      </c>
      <c r="AZ81">
        <v>54.3</v>
      </c>
      <c r="BA81" s="12">
        <v>42580</v>
      </c>
      <c r="BB81">
        <v>15.99</v>
      </c>
      <c r="BC81" s="12">
        <v>42580</v>
      </c>
      <c r="BD81">
        <v>11.298</v>
      </c>
      <c r="BE81" s="12">
        <v>42674</v>
      </c>
      <c r="BF81">
        <v>8.3290000000000006</v>
      </c>
      <c r="BG81" s="12">
        <v>42580</v>
      </c>
      <c r="BH81">
        <v>8.3439999999999994</v>
      </c>
      <c r="BI81" s="12">
        <v>42580</v>
      </c>
      <c r="BJ81">
        <v>12.548999999999999</v>
      </c>
      <c r="BK81" s="12">
        <v>42580</v>
      </c>
      <c r="BL81">
        <v>15.513</v>
      </c>
      <c r="BM81" s="12">
        <v>42580</v>
      </c>
      <c r="BN81">
        <v>11.781000000000001</v>
      </c>
      <c r="BO81" s="12">
        <v>42580</v>
      </c>
      <c r="BP81">
        <v>24.972000000000001</v>
      </c>
      <c r="BQ81" s="12">
        <v>42580</v>
      </c>
      <c r="BR81">
        <v>8.2059999999999995</v>
      </c>
      <c r="BS81" s="12">
        <v>42580</v>
      </c>
      <c r="BT81">
        <v>7.2759999999999998</v>
      </c>
      <c r="BW81" s="12">
        <v>42580</v>
      </c>
      <c r="BX81">
        <v>13.254</v>
      </c>
      <c r="BY81" s="12">
        <v>42580</v>
      </c>
      <c r="BZ81">
        <v>22.029</v>
      </c>
      <c r="CA81" s="12">
        <v>42580</v>
      </c>
      <c r="CB81">
        <v>26.445</v>
      </c>
      <c r="CG81" s="12">
        <v>42580</v>
      </c>
      <c r="CH81">
        <v>30.969000000000001</v>
      </c>
      <c r="CI81" s="12">
        <v>42580</v>
      </c>
      <c r="CJ81">
        <v>26.789000000000001</v>
      </c>
      <c r="CK81" s="12">
        <v>42580</v>
      </c>
      <c r="CL81">
        <v>10.321999999999999</v>
      </c>
      <c r="CM81" s="12">
        <v>42580</v>
      </c>
      <c r="CN81">
        <v>41.901000000000003</v>
      </c>
      <c r="CQ81" s="12">
        <v>42580</v>
      </c>
      <c r="CR81">
        <v>9.5920000000000005</v>
      </c>
      <c r="CS81" s="12">
        <v>42580</v>
      </c>
      <c r="CT81">
        <v>14.138999999999999</v>
      </c>
      <c r="CU81" s="12">
        <v>42580</v>
      </c>
      <c r="CV81">
        <v>5.3769999999999998</v>
      </c>
      <c r="CW81" s="12">
        <v>42580</v>
      </c>
      <c r="CX81">
        <v>8.9410000000000007</v>
      </c>
      <c r="CY81" s="12">
        <v>42674</v>
      </c>
      <c r="CZ81">
        <v>8.1890000000000001</v>
      </c>
      <c r="DA81" s="12">
        <v>42580</v>
      </c>
      <c r="DB81">
        <v>25.832999999999998</v>
      </c>
      <c r="DC81" s="12">
        <v>42580</v>
      </c>
      <c r="DD81">
        <v>17.164999999999999</v>
      </c>
      <c r="DE81" s="12">
        <v>42580</v>
      </c>
      <c r="DF81">
        <v>19.692</v>
      </c>
      <c r="DG81" s="12">
        <v>43343</v>
      </c>
      <c r="DH81">
        <v>24.91</v>
      </c>
      <c r="DI81" s="12">
        <v>42580</v>
      </c>
      <c r="DJ81">
        <v>12.45</v>
      </c>
      <c r="DK81" s="12">
        <v>42580</v>
      </c>
      <c r="DL81">
        <v>14.462</v>
      </c>
      <c r="DM81" s="12">
        <v>43007</v>
      </c>
      <c r="DN81">
        <v>5.3369999999999997</v>
      </c>
      <c r="DO81" s="12">
        <v>42580</v>
      </c>
      <c r="DP81">
        <v>12.137</v>
      </c>
      <c r="DQ81" s="12">
        <v>42580</v>
      </c>
      <c r="DR81">
        <v>11.9</v>
      </c>
      <c r="DS81" s="12">
        <v>42613</v>
      </c>
      <c r="DT81">
        <v>19.288</v>
      </c>
      <c r="DU81" s="12">
        <v>42580</v>
      </c>
      <c r="DV81">
        <v>10.619</v>
      </c>
      <c r="DW81" s="12">
        <v>42580</v>
      </c>
      <c r="DX81">
        <v>4.5220000000000002</v>
      </c>
      <c r="DY81" s="12">
        <v>42580</v>
      </c>
      <c r="DZ81">
        <v>11.879</v>
      </c>
      <c r="EC81" s="12">
        <v>42580</v>
      </c>
      <c r="ED81">
        <v>17.878</v>
      </c>
      <c r="EE81" s="12">
        <v>42580</v>
      </c>
      <c r="EF81">
        <v>12.948</v>
      </c>
      <c r="EI81" s="12">
        <v>42580</v>
      </c>
      <c r="EJ81">
        <v>17.666</v>
      </c>
      <c r="EK81" s="12">
        <v>42580</v>
      </c>
      <c r="EL81">
        <v>5.1710000000000003</v>
      </c>
      <c r="EM81" s="12">
        <v>42580</v>
      </c>
      <c r="EN81">
        <v>7.3369999999999997</v>
      </c>
      <c r="EQ81" s="12">
        <v>42580</v>
      </c>
      <c r="ER81">
        <v>2.573</v>
      </c>
      <c r="ES81" s="12">
        <v>42580</v>
      </c>
      <c r="ET81">
        <v>5.13</v>
      </c>
      <c r="EU81" s="12">
        <v>42580</v>
      </c>
      <c r="EV81">
        <v>4.8209999999999997</v>
      </c>
      <c r="EY81" s="12">
        <v>42580</v>
      </c>
      <c r="EZ81">
        <v>15.643000000000001</v>
      </c>
      <c r="FA81" s="12">
        <v>42580</v>
      </c>
      <c r="FB81">
        <v>23.138000000000002</v>
      </c>
      <c r="FC81" s="12">
        <v>42580</v>
      </c>
      <c r="FD81">
        <v>28.623999999999999</v>
      </c>
      <c r="FG81" s="12">
        <v>42580</v>
      </c>
      <c r="FH81">
        <v>5.5640000000000001</v>
      </c>
      <c r="FI81" s="12">
        <v>42580</v>
      </c>
      <c r="FJ81">
        <v>13.525</v>
      </c>
      <c r="FK81" s="12">
        <v>42580</v>
      </c>
      <c r="FL81">
        <v>16.103000000000002</v>
      </c>
      <c r="FM81" s="12">
        <v>42580</v>
      </c>
      <c r="FN81">
        <v>10.561</v>
      </c>
      <c r="FO81" s="12">
        <v>42580</v>
      </c>
      <c r="FP81">
        <v>21.812000000000001</v>
      </c>
      <c r="FS81" s="12">
        <v>42580</v>
      </c>
      <c r="FT81">
        <v>2.1869999999999998</v>
      </c>
      <c r="FU81" s="12">
        <v>42580</v>
      </c>
      <c r="FV81">
        <v>12.686</v>
      </c>
      <c r="FW81" s="12">
        <v>42580</v>
      </c>
      <c r="FX81">
        <v>18.739000000000001</v>
      </c>
      <c r="FY81" s="12">
        <v>43434</v>
      </c>
      <c r="FZ81">
        <v>10.920999999999999</v>
      </c>
      <c r="GA81" s="12">
        <v>42580</v>
      </c>
      <c r="GB81">
        <v>21.838999999999999</v>
      </c>
      <c r="GC81" s="12">
        <v>42580</v>
      </c>
      <c r="GD81">
        <v>14.298999999999999</v>
      </c>
      <c r="GE81" s="12">
        <v>43738</v>
      </c>
      <c r="GF81">
        <v>32.171999999999997</v>
      </c>
      <c r="GI81" s="12">
        <v>42580</v>
      </c>
      <c r="GJ81">
        <v>21.460999999999999</v>
      </c>
      <c r="GK81" s="12">
        <v>42580</v>
      </c>
      <c r="GL81">
        <v>14.931000000000001</v>
      </c>
      <c r="GM81" s="12">
        <v>42580</v>
      </c>
      <c r="GN81">
        <v>37.582999999999998</v>
      </c>
      <c r="GO81" s="12">
        <v>43069</v>
      </c>
      <c r="GP81">
        <v>6.9829999999999997</v>
      </c>
      <c r="GQ81" s="12">
        <v>42704</v>
      </c>
      <c r="GR81">
        <v>3.65</v>
      </c>
      <c r="GS81" s="12">
        <v>42580</v>
      </c>
      <c r="GT81">
        <v>5.0999999999999996</v>
      </c>
      <c r="GW81" s="12">
        <v>42643</v>
      </c>
      <c r="GX81">
        <v>36.659999999999997</v>
      </c>
      <c r="GY81" s="12">
        <v>42580</v>
      </c>
      <c r="GZ81">
        <v>5.68</v>
      </c>
      <c r="HA81" s="12">
        <v>42580</v>
      </c>
      <c r="HB81">
        <v>10.237</v>
      </c>
      <c r="HC81" s="12">
        <v>42580</v>
      </c>
      <c r="HD81">
        <v>19.818000000000001</v>
      </c>
      <c r="HE81" s="12">
        <v>42580</v>
      </c>
      <c r="HF81">
        <v>15.363</v>
      </c>
      <c r="HG81" s="12">
        <v>42580</v>
      </c>
      <c r="HH81">
        <v>16.010000000000002</v>
      </c>
      <c r="HI81" s="12">
        <v>42580</v>
      </c>
      <c r="HJ81">
        <v>11.727</v>
      </c>
      <c r="HK81" s="12">
        <v>42580</v>
      </c>
      <c r="HL81">
        <v>5.63</v>
      </c>
      <c r="HM81" s="12">
        <v>42580</v>
      </c>
      <c r="HN81">
        <v>2.2389999999999999</v>
      </c>
      <c r="HO81" s="12">
        <v>42580</v>
      </c>
      <c r="HP81">
        <v>1.8959999999999999</v>
      </c>
      <c r="HQ81" s="12">
        <v>42674</v>
      </c>
      <c r="HR81">
        <v>15.84</v>
      </c>
      <c r="HS81" s="12">
        <v>42580</v>
      </c>
      <c r="HT81">
        <v>47.548000000000002</v>
      </c>
      <c r="HU81" s="12">
        <v>42580</v>
      </c>
      <c r="HV81">
        <v>35.4</v>
      </c>
      <c r="HW81" s="12">
        <v>42580</v>
      </c>
      <c r="HX81">
        <v>13.644</v>
      </c>
      <c r="HY81" s="12">
        <v>42580</v>
      </c>
      <c r="HZ81">
        <v>11.013</v>
      </c>
      <c r="IA81" s="12">
        <v>42580</v>
      </c>
      <c r="IB81">
        <v>37.06</v>
      </c>
      <c r="IC81" s="12">
        <v>42580</v>
      </c>
      <c r="ID81">
        <v>2.726</v>
      </c>
      <c r="IE81" s="12">
        <v>42580</v>
      </c>
      <c r="IF81">
        <v>1.976</v>
      </c>
      <c r="IG81" s="12">
        <v>42886</v>
      </c>
      <c r="IH81">
        <v>3.68</v>
      </c>
      <c r="II81" s="12">
        <v>42580</v>
      </c>
      <c r="IJ81">
        <v>7.09</v>
      </c>
      <c r="IM81" s="12">
        <v>42580</v>
      </c>
      <c r="IN81">
        <v>22.271000000000001</v>
      </c>
      <c r="IO81" s="12">
        <v>43131</v>
      </c>
      <c r="IP81">
        <v>24.757999999999999</v>
      </c>
      <c r="IQ81" s="12">
        <v>42580</v>
      </c>
      <c r="IR81">
        <v>64.161000000000001</v>
      </c>
      <c r="IU81" s="12">
        <v>42580</v>
      </c>
      <c r="IV81">
        <v>4.4530000000000003</v>
      </c>
      <c r="IY81" s="12">
        <v>42580</v>
      </c>
      <c r="IZ81">
        <v>11.606</v>
      </c>
      <c r="JC81" s="12">
        <v>42580</v>
      </c>
      <c r="JD81">
        <v>4.3</v>
      </c>
      <c r="JE81" s="12">
        <v>42580</v>
      </c>
      <c r="JF81">
        <v>4.26</v>
      </c>
      <c r="JI81" s="12">
        <v>42580</v>
      </c>
      <c r="JJ81">
        <v>16.594000000000001</v>
      </c>
      <c r="JM81" s="12">
        <v>42580</v>
      </c>
      <c r="JN81">
        <v>1.5840000000000001</v>
      </c>
      <c r="JO81" s="12">
        <v>42580</v>
      </c>
      <c r="JP81">
        <v>27.192</v>
      </c>
      <c r="JS81" s="12">
        <v>42580</v>
      </c>
      <c r="JT81">
        <v>6.1</v>
      </c>
      <c r="JU81" s="12">
        <v>43798</v>
      </c>
      <c r="JV81">
        <v>34.521000000000001</v>
      </c>
      <c r="JW81" s="12">
        <v>42580</v>
      </c>
      <c r="JX81">
        <v>16.3</v>
      </c>
      <c r="JY81" s="12">
        <v>42580</v>
      </c>
      <c r="JZ81">
        <v>13.581</v>
      </c>
      <c r="KC81" s="12">
        <v>42580</v>
      </c>
      <c r="KD81">
        <v>9.6609999999999996</v>
      </c>
      <c r="KE81" s="12">
        <v>42580</v>
      </c>
      <c r="KF81">
        <v>18.434000000000001</v>
      </c>
      <c r="KI81" s="12">
        <v>42580</v>
      </c>
      <c r="KJ81">
        <v>2.4470000000000001</v>
      </c>
      <c r="KO81" s="12">
        <v>42580</v>
      </c>
      <c r="KP81">
        <v>63.8</v>
      </c>
      <c r="KQ81" s="12">
        <v>42580</v>
      </c>
      <c r="KR81">
        <v>18.440000000000001</v>
      </c>
      <c r="KS81" s="12">
        <v>42580</v>
      </c>
      <c r="KT81">
        <v>13.061</v>
      </c>
      <c r="KU81" s="12">
        <v>42580</v>
      </c>
      <c r="KV81">
        <v>7.7069999999999999</v>
      </c>
      <c r="LC81" s="12">
        <v>42580</v>
      </c>
      <c r="LD81">
        <v>10.425000000000001</v>
      </c>
      <c r="LE81" s="12">
        <v>42580</v>
      </c>
      <c r="LF81">
        <v>12.558</v>
      </c>
      <c r="LG81" s="12">
        <v>42580</v>
      </c>
      <c r="LH81">
        <v>11.592000000000001</v>
      </c>
      <c r="LI81" s="12">
        <v>42580</v>
      </c>
      <c r="LJ81">
        <v>33.554000000000002</v>
      </c>
      <c r="LM81" s="12">
        <v>42580</v>
      </c>
      <c r="LN81">
        <v>8.1999999999999993</v>
      </c>
      <c r="LO81" s="12">
        <v>42580</v>
      </c>
      <c r="LP81">
        <v>3.637</v>
      </c>
      <c r="LQ81" s="12">
        <v>42580</v>
      </c>
      <c r="LR81">
        <v>16.489000000000001</v>
      </c>
      <c r="LS81" s="12">
        <v>42580</v>
      </c>
      <c r="LT81">
        <v>14.409000000000001</v>
      </c>
      <c r="LW81" s="12">
        <v>42580</v>
      </c>
      <c r="LX81">
        <v>27.280999999999999</v>
      </c>
      <c r="LY81" s="12">
        <v>42580</v>
      </c>
      <c r="LZ81">
        <v>38.533000000000001</v>
      </c>
      <c r="MA81" s="12">
        <v>42580</v>
      </c>
      <c r="MB81">
        <v>22.974</v>
      </c>
      <c r="ME81" s="12">
        <v>42613</v>
      </c>
      <c r="MF81">
        <v>2.8740000000000001</v>
      </c>
      <c r="MG81" s="12">
        <v>42580</v>
      </c>
      <c r="MH81">
        <v>10.978999999999999</v>
      </c>
      <c r="MK81" s="12">
        <v>42580</v>
      </c>
      <c r="ML81">
        <v>14.292999999999999</v>
      </c>
    </row>
    <row r="82" spans="1:350" x14ac:dyDescent="0.3">
      <c r="A82" s="12">
        <v>42613</v>
      </c>
      <c r="B82" s="1">
        <v>17.225999999999999</v>
      </c>
      <c r="C82" s="1"/>
      <c r="G82" s="17">
        <v>42613</v>
      </c>
      <c r="H82" s="13">
        <v>7.74</v>
      </c>
      <c r="I82" s="17">
        <v>42643</v>
      </c>
      <c r="J82">
        <v>15.129</v>
      </c>
      <c r="K82" s="12">
        <v>43830</v>
      </c>
      <c r="L82">
        <v>26.783000000000001</v>
      </c>
      <c r="N82" s="12"/>
      <c r="U82" s="12">
        <v>43039</v>
      </c>
      <c r="V82">
        <v>47.527999999999999</v>
      </c>
      <c r="Y82" s="12">
        <v>42613</v>
      </c>
      <c r="Z82">
        <v>15.971</v>
      </c>
      <c r="AA82" s="12">
        <v>42613</v>
      </c>
      <c r="AB82">
        <v>19.949000000000002</v>
      </c>
      <c r="AC82" s="12">
        <v>42613</v>
      </c>
      <c r="AD82">
        <v>15.45</v>
      </c>
      <c r="AE82" s="12">
        <v>42613</v>
      </c>
      <c r="AF82">
        <v>15.363</v>
      </c>
      <c r="AG82" s="12">
        <v>42613</v>
      </c>
      <c r="AH82">
        <v>19.143999999999998</v>
      </c>
      <c r="AI82" s="12">
        <v>43830</v>
      </c>
      <c r="AJ82">
        <v>34.499000000000002</v>
      </c>
      <c r="AK82" s="12">
        <v>42613</v>
      </c>
      <c r="AL82">
        <v>9.1850000000000005</v>
      </c>
      <c r="AS82" s="12">
        <v>42613</v>
      </c>
      <c r="AT82">
        <v>1.427</v>
      </c>
      <c r="AU82" s="12">
        <v>42613</v>
      </c>
      <c r="AV82">
        <v>8.7490000000000006</v>
      </c>
      <c r="AY82" s="12">
        <v>42613</v>
      </c>
      <c r="AZ82">
        <v>53.85</v>
      </c>
      <c r="BA82" s="12">
        <v>42613</v>
      </c>
      <c r="BB82">
        <v>20.794</v>
      </c>
      <c r="BC82" s="12">
        <v>42613</v>
      </c>
      <c r="BD82">
        <v>9.9160000000000004</v>
      </c>
      <c r="BE82" s="12">
        <v>42704</v>
      </c>
      <c r="BF82">
        <v>7.66</v>
      </c>
      <c r="BG82" s="12">
        <v>42613</v>
      </c>
      <c r="BH82">
        <v>8.36</v>
      </c>
      <c r="BI82" s="12">
        <v>42613</v>
      </c>
      <c r="BJ82">
        <v>15.782999999999999</v>
      </c>
      <c r="BK82" s="12">
        <v>42613</v>
      </c>
      <c r="BL82">
        <v>14.13</v>
      </c>
      <c r="BM82" s="12">
        <v>42613</v>
      </c>
      <c r="BN82">
        <v>11.417</v>
      </c>
      <c r="BO82" s="12">
        <v>42613</v>
      </c>
      <c r="BP82">
        <v>22.824999999999999</v>
      </c>
      <c r="BQ82" s="12">
        <v>42613</v>
      </c>
      <c r="BR82">
        <v>7.8520000000000003</v>
      </c>
      <c r="BS82" s="12">
        <v>42613</v>
      </c>
      <c r="BT82">
        <v>7.0039999999999996</v>
      </c>
      <c r="BW82" s="12">
        <v>42613</v>
      </c>
      <c r="BX82">
        <v>12.760999999999999</v>
      </c>
      <c r="BY82" s="12">
        <v>42613</v>
      </c>
      <c r="BZ82">
        <v>22.423999999999999</v>
      </c>
      <c r="CA82" s="12">
        <v>42613</v>
      </c>
      <c r="CB82">
        <v>27.111999999999998</v>
      </c>
      <c r="CG82" s="12">
        <v>42613</v>
      </c>
      <c r="CH82">
        <v>34.216000000000001</v>
      </c>
      <c r="CI82" s="12">
        <v>42613</v>
      </c>
      <c r="CJ82">
        <v>26.98</v>
      </c>
      <c r="CK82" s="12">
        <v>42613</v>
      </c>
      <c r="CL82">
        <v>8.0190000000000001</v>
      </c>
      <c r="CM82" s="12">
        <v>42613</v>
      </c>
      <c r="CN82">
        <v>42.661000000000001</v>
      </c>
      <c r="CQ82" s="12">
        <v>42613</v>
      </c>
      <c r="CR82">
        <v>9.0440000000000005</v>
      </c>
      <c r="CS82" s="12">
        <v>42613</v>
      </c>
      <c r="CT82">
        <v>21.085999999999999</v>
      </c>
      <c r="CU82" s="12">
        <v>42613</v>
      </c>
      <c r="CV82">
        <v>4.9489999999999998</v>
      </c>
      <c r="CW82" s="12">
        <v>42613</v>
      </c>
      <c r="CX82">
        <v>7.84</v>
      </c>
      <c r="CY82" s="12">
        <v>42704</v>
      </c>
      <c r="CZ82">
        <v>7.032</v>
      </c>
      <c r="DA82" s="12">
        <v>42613</v>
      </c>
      <c r="DB82">
        <v>24.433</v>
      </c>
      <c r="DC82" s="12">
        <v>42613</v>
      </c>
      <c r="DD82">
        <v>21.936</v>
      </c>
      <c r="DE82" s="12">
        <v>42613</v>
      </c>
      <c r="DF82">
        <v>25.19</v>
      </c>
      <c r="DG82" s="12">
        <v>43371</v>
      </c>
      <c r="DH82">
        <v>26.81</v>
      </c>
      <c r="DI82" s="12">
        <v>42613</v>
      </c>
      <c r="DJ82">
        <v>12.183</v>
      </c>
      <c r="DK82" s="12">
        <v>42613</v>
      </c>
      <c r="DL82">
        <v>13.975</v>
      </c>
      <c r="DM82" s="12">
        <v>43039</v>
      </c>
      <c r="DN82">
        <v>5.7309999999999999</v>
      </c>
      <c r="DO82" s="12">
        <v>42613</v>
      </c>
      <c r="DP82">
        <v>12.07</v>
      </c>
      <c r="DQ82" s="12">
        <v>42613</v>
      </c>
      <c r="DR82">
        <v>14.98</v>
      </c>
      <c r="DS82" s="12">
        <v>42643</v>
      </c>
      <c r="DT82">
        <v>19.085999999999999</v>
      </c>
      <c r="DU82" s="12">
        <v>42613</v>
      </c>
      <c r="DV82">
        <v>9.67</v>
      </c>
      <c r="DW82" s="12">
        <v>42613</v>
      </c>
      <c r="DX82">
        <v>4.1210000000000004</v>
      </c>
      <c r="DY82" s="12">
        <v>42613</v>
      </c>
      <c r="DZ82">
        <v>11.071</v>
      </c>
      <c r="EC82" s="12">
        <v>42613</v>
      </c>
      <c r="ED82">
        <v>19.884</v>
      </c>
      <c r="EE82" s="12">
        <v>42613</v>
      </c>
      <c r="EF82">
        <v>15.958</v>
      </c>
      <c r="EI82" s="12">
        <v>42613</v>
      </c>
      <c r="EJ82">
        <v>19.105</v>
      </c>
      <c r="EK82" s="12">
        <v>42613</v>
      </c>
      <c r="EL82">
        <v>6.0579999999999998</v>
      </c>
      <c r="EM82" s="12">
        <v>42613</v>
      </c>
      <c r="EN82">
        <v>8.6219999999999999</v>
      </c>
      <c r="EQ82" s="12">
        <v>42613</v>
      </c>
      <c r="ER82">
        <v>3.51</v>
      </c>
      <c r="ES82" s="12">
        <v>42613</v>
      </c>
      <c r="ET82">
        <v>6.33</v>
      </c>
      <c r="EU82" s="12">
        <v>42613</v>
      </c>
      <c r="EV82">
        <v>5.0839999999999996</v>
      </c>
      <c r="EY82" s="12">
        <v>42613</v>
      </c>
      <c r="EZ82">
        <v>15.085000000000001</v>
      </c>
      <c r="FA82" s="12">
        <v>42613</v>
      </c>
      <c r="FB82">
        <v>22</v>
      </c>
      <c r="FC82" s="12">
        <v>42613</v>
      </c>
      <c r="FD82">
        <v>26.899000000000001</v>
      </c>
      <c r="FG82" s="12">
        <v>42613</v>
      </c>
      <c r="FH82">
        <v>5.7770000000000001</v>
      </c>
      <c r="FI82" s="12">
        <v>42613</v>
      </c>
      <c r="FJ82">
        <v>14.35</v>
      </c>
      <c r="FK82" s="12">
        <v>42613</v>
      </c>
      <c r="FL82">
        <v>17.285</v>
      </c>
      <c r="FM82" s="12">
        <v>42613</v>
      </c>
      <c r="FN82">
        <v>12.112</v>
      </c>
      <c r="FO82" s="12">
        <v>42613</v>
      </c>
      <c r="FP82">
        <v>20.785</v>
      </c>
      <c r="FS82" s="12">
        <v>42613</v>
      </c>
      <c r="FT82">
        <v>2.19</v>
      </c>
      <c r="FU82" s="12">
        <v>42613</v>
      </c>
      <c r="FV82">
        <v>13.59</v>
      </c>
      <c r="FW82" s="12">
        <v>42613</v>
      </c>
      <c r="FX82">
        <v>18.818000000000001</v>
      </c>
      <c r="FY82" s="12">
        <v>43465</v>
      </c>
      <c r="FZ82">
        <v>12.109</v>
      </c>
      <c r="GA82" s="12">
        <v>42613</v>
      </c>
      <c r="GB82">
        <v>19.495999999999999</v>
      </c>
      <c r="GC82" s="12">
        <v>42613</v>
      </c>
      <c r="GD82">
        <v>14.927</v>
      </c>
      <c r="GE82" s="12">
        <v>43769</v>
      </c>
      <c r="GF82">
        <v>34.51</v>
      </c>
      <c r="GI82" s="12">
        <v>42613</v>
      </c>
      <c r="GJ82">
        <v>20.178000000000001</v>
      </c>
      <c r="GK82" s="12">
        <v>42613</v>
      </c>
      <c r="GL82">
        <v>15.058999999999999</v>
      </c>
      <c r="GM82" s="12">
        <v>42613</v>
      </c>
      <c r="GN82">
        <v>38.860999999999997</v>
      </c>
      <c r="GO82" s="12">
        <v>43098</v>
      </c>
      <c r="GP82">
        <v>9.9179999999999993</v>
      </c>
      <c r="GQ82" s="12">
        <v>42734</v>
      </c>
      <c r="GR82">
        <v>3.91</v>
      </c>
      <c r="GS82" s="12">
        <v>42613</v>
      </c>
      <c r="GT82">
        <v>5.28</v>
      </c>
      <c r="GW82" s="12">
        <v>42674</v>
      </c>
      <c r="GX82">
        <v>36.067999999999998</v>
      </c>
      <c r="GY82" s="12">
        <v>42613</v>
      </c>
      <c r="GZ82">
        <v>5.1100000000000003</v>
      </c>
      <c r="HA82" s="12">
        <v>42613</v>
      </c>
      <c r="HB82">
        <v>9.2929999999999993</v>
      </c>
      <c r="HC82" s="12">
        <v>42613</v>
      </c>
      <c r="HD82">
        <v>18.292999999999999</v>
      </c>
      <c r="HE82" s="12">
        <v>42613</v>
      </c>
      <c r="HF82">
        <v>16.161999999999999</v>
      </c>
      <c r="HG82" s="12">
        <v>42613</v>
      </c>
      <c r="HH82">
        <v>14.981</v>
      </c>
      <c r="HI82" s="12">
        <v>42613</v>
      </c>
      <c r="HJ82">
        <v>11.539</v>
      </c>
      <c r="HK82" s="12">
        <v>42613</v>
      </c>
      <c r="HL82">
        <v>5.66</v>
      </c>
      <c r="HM82" s="12">
        <v>42613</v>
      </c>
      <c r="HN82">
        <v>2.9699999999999998</v>
      </c>
      <c r="HO82" s="12">
        <v>42613</v>
      </c>
      <c r="HP82">
        <v>1.9260000000000002</v>
      </c>
      <c r="HQ82" s="12">
        <v>42704</v>
      </c>
      <c r="HR82">
        <v>16.260000000000002</v>
      </c>
      <c r="HS82" s="12">
        <v>42613</v>
      </c>
      <c r="HT82">
        <v>48.796999999999997</v>
      </c>
      <c r="HU82" s="12">
        <v>42613</v>
      </c>
      <c r="HV82">
        <v>32.1</v>
      </c>
      <c r="HW82" s="12">
        <v>42613</v>
      </c>
      <c r="HX82">
        <v>14.355</v>
      </c>
      <c r="HY82" s="12">
        <v>42613</v>
      </c>
      <c r="HZ82">
        <v>11.922000000000001</v>
      </c>
      <c r="IA82" s="12">
        <v>42613</v>
      </c>
      <c r="IB82">
        <v>30.77</v>
      </c>
      <c r="IC82" s="12">
        <v>42613</v>
      </c>
      <c r="ID82">
        <v>2.85</v>
      </c>
      <c r="IE82" s="12">
        <v>42613</v>
      </c>
      <c r="IF82">
        <v>2.621</v>
      </c>
      <c r="IG82" s="12">
        <v>42916</v>
      </c>
      <c r="IH82">
        <v>3.68</v>
      </c>
      <c r="II82" s="12">
        <v>42613</v>
      </c>
      <c r="IJ82">
        <v>6.99</v>
      </c>
      <c r="IM82" s="12">
        <v>42613</v>
      </c>
      <c r="IN82">
        <v>21.835000000000001</v>
      </c>
      <c r="IO82" s="12">
        <v>43159</v>
      </c>
      <c r="IP82">
        <v>23.268000000000001</v>
      </c>
      <c r="IQ82" s="12">
        <v>42613</v>
      </c>
      <c r="IR82">
        <v>57.771999999999998</v>
      </c>
      <c r="IU82" s="12">
        <v>42613</v>
      </c>
      <c r="IV82">
        <v>4.2640000000000002</v>
      </c>
      <c r="IY82" s="12">
        <v>42613</v>
      </c>
      <c r="IZ82">
        <v>11.609</v>
      </c>
      <c r="JC82" s="12">
        <v>42613</v>
      </c>
      <c r="JD82">
        <v>4.5</v>
      </c>
      <c r="JE82" s="12">
        <v>42613</v>
      </c>
      <c r="JF82">
        <v>4.3099999999999996</v>
      </c>
      <c r="JI82" s="12">
        <v>42613</v>
      </c>
      <c r="JJ82">
        <v>18.466999999999999</v>
      </c>
      <c r="JM82" s="12">
        <v>42613</v>
      </c>
      <c r="JN82">
        <v>2.02</v>
      </c>
      <c r="JO82" s="12">
        <v>42613</v>
      </c>
      <c r="JP82">
        <v>25.946999999999999</v>
      </c>
      <c r="JS82" s="12">
        <v>42613</v>
      </c>
      <c r="JT82">
        <v>5.8840000000000003</v>
      </c>
      <c r="JU82" s="12">
        <v>43830</v>
      </c>
      <c r="JV82">
        <v>39</v>
      </c>
      <c r="JW82" s="12">
        <v>42613</v>
      </c>
      <c r="JX82">
        <v>15.567</v>
      </c>
      <c r="JY82" s="12">
        <v>42613</v>
      </c>
      <c r="JZ82">
        <v>12.864000000000001</v>
      </c>
      <c r="KC82" s="12">
        <v>42613</v>
      </c>
      <c r="KD82">
        <v>9.9339999999999993</v>
      </c>
      <c r="KE82" s="12">
        <v>42613</v>
      </c>
      <c r="KF82">
        <v>16.922000000000001</v>
      </c>
      <c r="KI82" s="12">
        <v>42613</v>
      </c>
      <c r="KJ82">
        <v>2.3849999999999998</v>
      </c>
      <c r="KO82" s="12">
        <v>42613</v>
      </c>
      <c r="KP82">
        <v>64.489999999999995</v>
      </c>
      <c r="KQ82" s="12">
        <v>42613</v>
      </c>
      <c r="KR82">
        <v>12.3</v>
      </c>
      <c r="KS82" s="12">
        <v>42613</v>
      </c>
      <c r="KT82">
        <v>13.016</v>
      </c>
      <c r="KU82" s="12">
        <v>42613</v>
      </c>
      <c r="KV82">
        <v>7.7069999999999999</v>
      </c>
      <c r="LC82" s="12">
        <v>42613</v>
      </c>
      <c r="LD82">
        <v>9.5869999999999997</v>
      </c>
      <c r="LE82" s="12">
        <v>42613</v>
      </c>
      <c r="LF82">
        <v>12.231</v>
      </c>
      <c r="LG82" s="12">
        <v>42613</v>
      </c>
      <c r="LH82">
        <v>11.18</v>
      </c>
      <c r="LI82" s="12">
        <v>42613</v>
      </c>
      <c r="LJ82">
        <v>34.076000000000001</v>
      </c>
      <c r="LM82" s="12">
        <v>42613</v>
      </c>
      <c r="LN82">
        <v>7.0780000000000003</v>
      </c>
      <c r="LO82" s="12">
        <v>42613</v>
      </c>
      <c r="LP82">
        <v>3.3660000000000001</v>
      </c>
      <c r="LQ82" s="12">
        <v>42613</v>
      </c>
      <c r="LR82">
        <v>15.098000000000001</v>
      </c>
      <c r="LS82" s="12">
        <v>42613</v>
      </c>
      <c r="LT82">
        <v>13.89</v>
      </c>
      <c r="LW82" s="12">
        <v>42613</v>
      </c>
      <c r="LX82">
        <v>21.824999999999999</v>
      </c>
      <c r="LY82" s="12">
        <v>42613</v>
      </c>
      <c r="LZ82">
        <v>38.110999999999997</v>
      </c>
      <c r="MA82" s="12">
        <v>42613</v>
      </c>
      <c r="MB82">
        <v>22.402999999999999</v>
      </c>
      <c r="ME82" s="12">
        <v>42643</v>
      </c>
      <c r="MF82">
        <v>3.0750000000000002</v>
      </c>
      <c r="MG82" s="12">
        <v>42613</v>
      </c>
      <c r="MH82">
        <v>11.913</v>
      </c>
      <c r="MK82" s="12">
        <v>42613</v>
      </c>
      <c r="ML82">
        <v>13.426</v>
      </c>
    </row>
    <row r="83" spans="1:350" x14ac:dyDescent="0.3">
      <c r="A83" s="12">
        <v>42643</v>
      </c>
      <c r="B83" s="1">
        <v>17.792000000000002</v>
      </c>
      <c r="C83" s="1"/>
      <c r="G83" s="17">
        <v>42643</v>
      </c>
      <c r="H83" s="13">
        <v>7.1890000000000001</v>
      </c>
      <c r="I83" s="17">
        <v>42674</v>
      </c>
      <c r="J83">
        <v>16.431000000000001</v>
      </c>
      <c r="N83" s="12"/>
      <c r="U83" s="12">
        <v>43069</v>
      </c>
      <c r="V83">
        <v>43.448</v>
      </c>
      <c r="Y83" s="12">
        <v>42643</v>
      </c>
      <c r="Z83">
        <v>14.991</v>
      </c>
      <c r="AA83" s="12">
        <v>42643</v>
      </c>
      <c r="AB83">
        <v>19.706</v>
      </c>
      <c r="AC83" s="12">
        <v>42643</v>
      </c>
      <c r="AD83">
        <v>15.061</v>
      </c>
      <c r="AE83" s="12">
        <v>42643</v>
      </c>
      <c r="AF83">
        <v>15.695</v>
      </c>
      <c r="AG83" s="12">
        <v>42643</v>
      </c>
      <c r="AH83">
        <v>15.875999999999999</v>
      </c>
      <c r="AK83" s="12">
        <v>42643</v>
      </c>
      <c r="AL83">
        <v>9.3409999999999993</v>
      </c>
      <c r="AS83" s="12">
        <v>42643</v>
      </c>
      <c r="AT83">
        <v>1.3519999999999999</v>
      </c>
      <c r="AU83" s="12">
        <v>42643</v>
      </c>
      <c r="AV83">
        <v>8.3059999999999992</v>
      </c>
      <c r="AY83" s="12">
        <v>42643</v>
      </c>
      <c r="AZ83">
        <v>55.32</v>
      </c>
      <c r="BA83" s="12">
        <v>42643</v>
      </c>
      <c r="BB83">
        <v>21.657</v>
      </c>
      <c r="BC83" s="12">
        <v>42643</v>
      </c>
      <c r="BD83">
        <v>9.8840000000000003</v>
      </c>
      <c r="BE83" s="12">
        <v>42734</v>
      </c>
      <c r="BF83">
        <v>7.2720000000000002</v>
      </c>
      <c r="BG83" s="12">
        <v>42643</v>
      </c>
      <c r="BH83">
        <v>8.23</v>
      </c>
      <c r="BI83" s="12">
        <v>42643</v>
      </c>
      <c r="BJ83">
        <v>15.397</v>
      </c>
      <c r="BK83" s="12">
        <v>42643</v>
      </c>
      <c r="BL83">
        <v>14.03</v>
      </c>
      <c r="BM83" s="12">
        <v>42643</v>
      </c>
      <c r="BN83">
        <v>12.441000000000001</v>
      </c>
      <c r="BO83" s="12">
        <v>42643</v>
      </c>
      <c r="BP83">
        <v>22.274000000000001</v>
      </c>
      <c r="BQ83" s="12">
        <v>42643</v>
      </c>
      <c r="BR83">
        <v>7.5940000000000003</v>
      </c>
      <c r="BS83" s="12">
        <v>42643</v>
      </c>
      <c r="BT83">
        <v>6.8680000000000003</v>
      </c>
      <c r="BW83" s="12">
        <v>42643</v>
      </c>
      <c r="BX83">
        <v>13.676</v>
      </c>
      <c r="BY83" s="12">
        <v>42643</v>
      </c>
      <c r="BZ83">
        <v>23.331</v>
      </c>
      <c r="CA83" s="12">
        <v>42643</v>
      </c>
      <c r="CB83">
        <v>27.663</v>
      </c>
      <c r="CG83" s="12">
        <v>42643</v>
      </c>
      <c r="CH83">
        <v>34.298000000000002</v>
      </c>
      <c r="CI83" s="12">
        <v>42643</v>
      </c>
      <c r="CJ83">
        <v>26.725999999999999</v>
      </c>
      <c r="CK83" s="12">
        <v>42643</v>
      </c>
      <c r="CL83">
        <v>8.4759999999999991</v>
      </c>
      <c r="CM83" s="12">
        <v>42643</v>
      </c>
      <c r="CN83">
        <v>41.968000000000004</v>
      </c>
      <c r="CQ83" s="12">
        <v>42643</v>
      </c>
      <c r="CR83">
        <v>8.7530000000000001</v>
      </c>
      <c r="CS83" s="12">
        <v>42643</v>
      </c>
      <c r="CT83">
        <v>21.085999999999999</v>
      </c>
      <c r="CU83" s="12">
        <v>42643</v>
      </c>
      <c r="CV83">
        <v>4.8650000000000002</v>
      </c>
      <c r="CW83" s="12">
        <v>42643</v>
      </c>
      <c r="CX83">
        <v>7.7590000000000003</v>
      </c>
      <c r="CY83" s="12">
        <v>42734</v>
      </c>
      <c r="CZ83">
        <v>7.335</v>
      </c>
      <c r="DA83" s="12">
        <v>42643</v>
      </c>
      <c r="DB83">
        <v>24.12</v>
      </c>
      <c r="DC83" s="12">
        <v>42643</v>
      </c>
      <c r="DD83">
        <v>18.751999999999999</v>
      </c>
      <c r="DE83" s="12">
        <v>42643</v>
      </c>
      <c r="DF83">
        <v>21.097000000000001</v>
      </c>
      <c r="DG83" s="12">
        <v>43404</v>
      </c>
      <c r="DH83">
        <v>28</v>
      </c>
      <c r="DI83" s="12">
        <v>42643</v>
      </c>
      <c r="DJ83">
        <v>10.509</v>
      </c>
      <c r="DK83" s="12">
        <v>42643</v>
      </c>
      <c r="DL83">
        <v>13.681000000000001</v>
      </c>
      <c r="DM83" s="12">
        <v>43069</v>
      </c>
      <c r="DN83">
        <v>5.6970000000000001</v>
      </c>
      <c r="DO83" s="12">
        <v>42643</v>
      </c>
      <c r="DP83">
        <v>12.137</v>
      </c>
      <c r="DQ83" s="12">
        <v>42643</v>
      </c>
      <c r="DR83">
        <v>12.99</v>
      </c>
      <c r="DS83" s="12">
        <v>42674</v>
      </c>
      <c r="DT83">
        <v>20.594999999999999</v>
      </c>
      <c r="DU83" s="12">
        <v>42643</v>
      </c>
      <c r="DV83">
        <v>9.6229999999999993</v>
      </c>
      <c r="DW83" s="12">
        <v>42643</v>
      </c>
      <c r="DX83">
        <v>3.7589999999999999</v>
      </c>
      <c r="DY83" s="12">
        <v>42643</v>
      </c>
      <c r="DZ83">
        <v>10.157</v>
      </c>
      <c r="EC83" s="12">
        <v>42643</v>
      </c>
      <c r="ED83">
        <v>20.786999999999999</v>
      </c>
      <c r="EE83" s="12">
        <v>42643</v>
      </c>
      <c r="EF83">
        <v>16.007999999999999</v>
      </c>
      <c r="EI83" s="12">
        <v>42643</v>
      </c>
      <c r="EJ83">
        <v>19.904</v>
      </c>
      <c r="EK83" s="12">
        <v>42643</v>
      </c>
      <c r="EL83">
        <v>6.1520000000000001</v>
      </c>
      <c r="EM83" s="12">
        <v>42643</v>
      </c>
      <c r="EN83">
        <v>8.4130000000000003</v>
      </c>
      <c r="EQ83" s="12">
        <v>42643</v>
      </c>
      <c r="ER83">
        <v>3.2450000000000001</v>
      </c>
      <c r="ES83" s="12">
        <v>42643</v>
      </c>
      <c r="ET83">
        <v>6.24</v>
      </c>
      <c r="EU83" s="12">
        <v>42643</v>
      </c>
      <c r="EV83">
        <v>5.056</v>
      </c>
      <c r="EY83" s="12">
        <v>42643</v>
      </c>
      <c r="EZ83">
        <v>15.202999999999999</v>
      </c>
      <c r="FA83" s="12">
        <v>42643</v>
      </c>
      <c r="FB83">
        <v>23.492000000000001</v>
      </c>
      <c r="FC83" s="12">
        <v>42643</v>
      </c>
      <c r="FD83">
        <v>27.835999999999999</v>
      </c>
      <c r="FG83" s="12">
        <v>42643</v>
      </c>
      <c r="FH83">
        <v>5.6120000000000001</v>
      </c>
      <c r="FI83" s="12">
        <v>42643</v>
      </c>
      <c r="FJ83">
        <v>14.586</v>
      </c>
      <c r="FK83" s="12">
        <v>42643</v>
      </c>
      <c r="FL83">
        <v>17.132999999999999</v>
      </c>
      <c r="FM83" s="12">
        <v>42643</v>
      </c>
      <c r="FN83">
        <v>11.452999999999999</v>
      </c>
      <c r="FO83" s="12">
        <v>42643</v>
      </c>
      <c r="FP83">
        <v>19.699000000000002</v>
      </c>
      <c r="FS83" s="12">
        <v>42643</v>
      </c>
      <c r="FT83">
        <v>2.351</v>
      </c>
      <c r="FU83" s="12">
        <v>42643</v>
      </c>
      <c r="FV83">
        <v>13.95</v>
      </c>
      <c r="FW83" s="12">
        <v>42643</v>
      </c>
      <c r="FX83">
        <v>19.757000000000001</v>
      </c>
      <c r="FY83" s="12">
        <v>43496</v>
      </c>
      <c r="FZ83">
        <v>13.045</v>
      </c>
      <c r="GA83" s="12">
        <v>42643</v>
      </c>
      <c r="GB83">
        <v>19.166</v>
      </c>
      <c r="GC83" s="12">
        <v>42643</v>
      </c>
      <c r="GD83">
        <v>15.606</v>
      </c>
      <c r="GE83" s="12">
        <v>43798</v>
      </c>
      <c r="GF83">
        <v>31.614999999999998</v>
      </c>
      <c r="GI83" s="12">
        <v>42643</v>
      </c>
      <c r="GJ83">
        <v>19.318999999999999</v>
      </c>
      <c r="GK83" s="12">
        <v>42643</v>
      </c>
      <c r="GL83">
        <v>19.898</v>
      </c>
      <c r="GM83" s="12">
        <v>42643</v>
      </c>
      <c r="GN83">
        <v>42.683</v>
      </c>
      <c r="GO83" s="12">
        <v>43131</v>
      </c>
      <c r="GP83">
        <v>10.455</v>
      </c>
      <c r="GQ83" s="12">
        <v>42766</v>
      </c>
      <c r="GR83">
        <v>3.9699999999999998</v>
      </c>
      <c r="GS83" s="12">
        <v>42643</v>
      </c>
      <c r="GT83">
        <v>3.3</v>
      </c>
      <c r="GW83" s="12">
        <v>42704</v>
      </c>
      <c r="GX83">
        <v>29.673999999999999</v>
      </c>
      <c r="GY83" s="12">
        <v>42643</v>
      </c>
      <c r="GZ83">
        <v>5.22</v>
      </c>
      <c r="HA83" s="12">
        <v>42643</v>
      </c>
      <c r="HB83">
        <v>9.0210000000000008</v>
      </c>
      <c r="HC83" s="12">
        <v>42643</v>
      </c>
      <c r="HD83">
        <v>19.826999999999998</v>
      </c>
      <c r="HE83" s="12">
        <v>42643</v>
      </c>
      <c r="HF83">
        <v>15.548999999999999</v>
      </c>
      <c r="HG83" s="12">
        <v>42643</v>
      </c>
      <c r="HH83">
        <v>15.015000000000001</v>
      </c>
      <c r="HI83" s="12">
        <v>42643</v>
      </c>
      <c r="HJ83">
        <v>11.721</v>
      </c>
      <c r="HK83" s="12">
        <v>42643</v>
      </c>
      <c r="HL83">
        <v>4.92</v>
      </c>
      <c r="HM83" s="12">
        <v>42643</v>
      </c>
      <c r="HN83">
        <v>2.7610000000000001</v>
      </c>
      <c r="HO83" s="12">
        <v>42643</v>
      </c>
      <c r="HP83">
        <v>2.2010000000000001</v>
      </c>
      <c r="HQ83" s="12">
        <v>42734</v>
      </c>
      <c r="HR83">
        <v>15</v>
      </c>
      <c r="HS83" s="12">
        <v>42643</v>
      </c>
      <c r="HT83">
        <v>51.451999999999998</v>
      </c>
      <c r="HU83" s="12">
        <v>42643</v>
      </c>
      <c r="HV83">
        <v>23.8</v>
      </c>
      <c r="HW83" s="12">
        <v>42643</v>
      </c>
      <c r="HX83">
        <v>14.744</v>
      </c>
      <c r="HY83" s="12">
        <v>42643</v>
      </c>
      <c r="HZ83">
        <v>12.59</v>
      </c>
      <c r="IA83" s="12">
        <v>42643</v>
      </c>
      <c r="IB83">
        <v>26.86</v>
      </c>
      <c r="IC83" s="12">
        <v>42643</v>
      </c>
      <c r="ID83">
        <v>2.77</v>
      </c>
      <c r="IE83" s="12">
        <v>42643</v>
      </c>
      <c r="IF83">
        <v>3.0880000000000001</v>
      </c>
      <c r="IG83" s="12">
        <v>42947</v>
      </c>
      <c r="IH83">
        <v>3.742</v>
      </c>
      <c r="II83" s="12">
        <v>42643</v>
      </c>
      <c r="IJ83">
        <v>6.97</v>
      </c>
      <c r="IM83" s="12">
        <v>42643</v>
      </c>
      <c r="IN83">
        <v>23.634</v>
      </c>
      <c r="IO83" s="12">
        <v>43189</v>
      </c>
      <c r="IP83">
        <v>18.032</v>
      </c>
      <c r="IQ83" s="12">
        <v>42643</v>
      </c>
      <c r="IR83">
        <v>64.304000000000002</v>
      </c>
      <c r="IU83" s="12">
        <v>42643</v>
      </c>
      <c r="IV83">
        <v>4.3585000000000003</v>
      </c>
      <c r="IY83" s="12">
        <v>42643</v>
      </c>
      <c r="IZ83">
        <v>11.422000000000001</v>
      </c>
      <c r="JC83" s="12">
        <v>42643</v>
      </c>
      <c r="JD83">
        <v>6.18</v>
      </c>
      <c r="JE83" s="12">
        <v>42643</v>
      </c>
      <c r="JF83">
        <v>3.69</v>
      </c>
      <c r="JI83" s="12">
        <v>42643</v>
      </c>
      <c r="JJ83">
        <v>17.913</v>
      </c>
      <c r="JM83" s="12">
        <v>42643</v>
      </c>
      <c r="JN83">
        <v>2.3090000000000002</v>
      </c>
      <c r="JO83" s="12">
        <v>42643</v>
      </c>
      <c r="JP83">
        <v>26.652999999999999</v>
      </c>
      <c r="JS83" s="12">
        <v>42643</v>
      </c>
      <c r="JT83">
        <v>5.718</v>
      </c>
      <c r="JW83" s="12">
        <v>42643</v>
      </c>
      <c r="JX83">
        <v>18.172000000000001</v>
      </c>
      <c r="JY83" s="12">
        <v>42643</v>
      </c>
      <c r="JZ83">
        <v>12.785</v>
      </c>
      <c r="KC83" s="12">
        <v>42643</v>
      </c>
      <c r="KD83">
        <v>10.196999999999999</v>
      </c>
      <c r="KE83" s="12">
        <v>42643</v>
      </c>
      <c r="KF83">
        <v>15.303000000000001</v>
      </c>
      <c r="KI83" s="12">
        <v>42643</v>
      </c>
      <c r="KJ83">
        <v>2.4340000000000002</v>
      </c>
      <c r="KO83" s="12">
        <v>42643</v>
      </c>
      <c r="KP83">
        <v>64.28</v>
      </c>
      <c r="KQ83" s="12">
        <v>42643</v>
      </c>
      <c r="KR83">
        <v>12.78</v>
      </c>
      <c r="KS83" s="12">
        <v>42643</v>
      </c>
      <c r="KT83">
        <v>12.478</v>
      </c>
      <c r="KU83" s="12">
        <v>42643</v>
      </c>
      <c r="KV83">
        <v>7.327</v>
      </c>
      <c r="LC83" s="12">
        <v>42643</v>
      </c>
      <c r="LD83">
        <v>9.7089999999999996</v>
      </c>
      <c r="LE83" s="12">
        <v>42643</v>
      </c>
      <c r="LF83">
        <v>12.012</v>
      </c>
      <c r="LG83" s="12">
        <v>42643</v>
      </c>
      <c r="LH83">
        <v>11.221</v>
      </c>
      <c r="LI83" s="12">
        <v>42643</v>
      </c>
      <c r="LJ83">
        <v>32.533000000000001</v>
      </c>
      <c r="LM83" s="12">
        <v>42643</v>
      </c>
      <c r="LN83">
        <v>9.2249999999999996</v>
      </c>
      <c r="LO83" s="12">
        <v>42643</v>
      </c>
      <c r="LP83">
        <v>3.4239999999999999</v>
      </c>
      <c r="LQ83" s="12">
        <v>42643</v>
      </c>
      <c r="LR83">
        <v>15.874000000000001</v>
      </c>
      <c r="LS83" s="12">
        <v>42643</v>
      </c>
      <c r="LT83">
        <v>14.782999999999999</v>
      </c>
      <c r="LW83" s="12">
        <v>42643</v>
      </c>
      <c r="LX83">
        <v>23.588000000000001</v>
      </c>
      <c r="LY83" s="12">
        <v>42643</v>
      </c>
      <c r="LZ83">
        <v>36.749000000000002</v>
      </c>
      <c r="MA83" s="12">
        <v>42643</v>
      </c>
      <c r="MB83">
        <v>24.032</v>
      </c>
      <c r="ME83" s="12">
        <v>42674</v>
      </c>
      <c r="MF83">
        <v>3.7320000000000002</v>
      </c>
      <c r="MG83" s="12">
        <v>42643</v>
      </c>
      <c r="MH83">
        <v>12.77</v>
      </c>
      <c r="MK83" s="12">
        <v>42643</v>
      </c>
      <c r="ML83">
        <v>14.422000000000001</v>
      </c>
    </row>
    <row r="84" spans="1:350" x14ac:dyDescent="0.3">
      <c r="A84" s="12">
        <v>42674</v>
      </c>
      <c r="B84" s="1">
        <v>16.902999999999999</v>
      </c>
      <c r="C84" s="1"/>
      <c r="G84" s="17">
        <v>42674</v>
      </c>
      <c r="H84" s="13">
        <v>7.8959999999999999</v>
      </c>
      <c r="I84" s="17">
        <v>42704</v>
      </c>
      <c r="J84">
        <v>14.481999999999999</v>
      </c>
      <c r="N84" s="12"/>
      <c r="U84" s="12">
        <v>43098</v>
      </c>
      <c r="V84">
        <v>51.662999999999997</v>
      </c>
      <c r="Y84" s="12">
        <v>42674</v>
      </c>
      <c r="Z84">
        <v>16.765000000000001</v>
      </c>
      <c r="AA84" s="12">
        <v>42674</v>
      </c>
      <c r="AB84">
        <v>25.315000000000001</v>
      </c>
      <c r="AC84" s="12">
        <v>42674</v>
      </c>
      <c r="AD84">
        <v>17.213000000000001</v>
      </c>
      <c r="AE84" s="12">
        <v>42674</v>
      </c>
      <c r="AF84">
        <v>18.084</v>
      </c>
      <c r="AG84" s="12">
        <v>42674</v>
      </c>
      <c r="AH84">
        <v>16.809999999999999</v>
      </c>
      <c r="AK84" s="12">
        <v>42674</v>
      </c>
      <c r="AL84">
        <v>9.8369999999999997</v>
      </c>
      <c r="AS84" s="12">
        <v>42674</v>
      </c>
      <c r="AT84">
        <v>1.3140000000000001</v>
      </c>
      <c r="AU84" s="12">
        <v>42674</v>
      </c>
      <c r="AV84">
        <v>11.047000000000001</v>
      </c>
      <c r="AY84" s="12">
        <v>42674</v>
      </c>
      <c r="AZ84">
        <v>53.4</v>
      </c>
      <c r="BA84" s="12">
        <v>42674</v>
      </c>
      <c r="BB84">
        <v>25.626999999999999</v>
      </c>
      <c r="BC84" s="12">
        <v>42674</v>
      </c>
      <c r="BD84">
        <v>10.27</v>
      </c>
      <c r="BE84" s="12">
        <v>42766</v>
      </c>
      <c r="BF84">
        <v>7.7279999999999998</v>
      </c>
      <c r="BG84" s="12">
        <v>42674</v>
      </c>
      <c r="BH84">
        <v>10.701000000000001</v>
      </c>
      <c r="BI84" s="12">
        <v>42674</v>
      </c>
      <c r="BJ84">
        <v>15.135999999999999</v>
      </c>
      <c r="BK84" s="12">
        <v>42674</v>
      </c>
      <c r="BL84">
        <v>14.37</v>
      </c>
      <c r="BM84" s="12">
        <v>42674</v>
      </c>
      <c r="BN84">
        <v>12.551</v>
      </c>
      <c r="BO84" s="12">
        <v>42674</v>
      </c>
      <c r="BP84">
        <v>22.198</v>
      </c>
      <c r="BQ84" s="12">
        <v>42674</v>
      </c>
      <c r="BR84">
        <v>8.6059999999999999</v>
      </c>
      <c r="BS84" s="12">
        <v>42674</v>
      </c>
      <c r="BT84">
        <v>7.8040000000000003</v>
      </c>
      <c r="BW84" s="12">
        <v>42674</v>
      </c>
      <c r="BX84">
        <v>14.702</v>
      </c>
      <c r="BY84" s="12">
        <v>42674</v>
      </c>
      <c r="BZ84">
        <v>23.36</v>
      </c>
      <c r="CA84" s="12">
        <v>42674</v>
      </c>
      <c r="CB84">
        <v>30.065000000000001</v>
      </c>
      <c r="CG84" s="12">
        <v>42674</v>
      </c>
      <c r="CH84">
        <v>39.036999999999999</v>
      </c>
      <c r="CI84" s="12">
        <v>42674</v>
      </c>
      <c r="CJ84">
        <v>27.241</v>
      </c>
      <c r="CK84" s="12">
        <v>42674</v>
      </c>
      <c r="CL84">
        <v>10.013999999999999</v>
      </c>
      <c r="CM84" s="12">
        <v>42674</v>
      </c>
      <c r="CN84">
        <v>43.915999999999997</v>
      </c>
      <c r="CQ84" s="12">
        <v>42674</v>
      </c>
      <c r="CR84">
        <v>9.1980000000000004</v>
      </c>
      <c r="CS84" s="12">
        <v>42674</v>
      </c>
      <c r="CT84">
        <v>18.869</v>
      </c>
      <c r="CU84" s="12">
        <v>42674</v>
      </c>
      <c r="CV84">
        <v>4.6379999999999999</v>
      </c>
      <c r="CW84" s="12">
        <v>42674</v>
      </c>
      <c r="CX84">
        <v>7.7770000000000001</v>
      </c>
      <c r="CY84" s="12">
        <v>42766</v>
      </c>
      <c r="CZ84">
        <v>7.593</v>
      </c>
      <c r="DA84" s="12">
        <v>42674</v>
      </c>
      <c r="DB84">
        <v>25.404</v>
      </c>
      <c r="DC84" s="12">
        <v>42674</v>
      </c>
      <c r="DD84">
        <v>23.074999999999999</v>
      </c>
      <c r="DE84" s="12">
        <v>42674</v>
      </c>
      <c r="DF84">
        <v>24.172999999999998</v>
      </c>
      <c r="DG84" s="12">
        <v>43434</v>
      </c>
      <c r="DH84">
        <v>31.75</v>
      </c>
      <c r="DI84" s="12">
        <v>42674</v>
      </c>
      <c r="DJ84">
        <v>10.250999999999999</v>
      </c>
      <c r="DK84" s="12">
        <v>42674</v>
      </c>
      <c r="DL84">
        <v>16.748000000000001</v>
      </c>
      <c r="DM84" s="12">
        <v>43098</v>
      </c>
      <c r="DN84">
        <v>7.29</v>
      </c>
      <c r="DO84" s="12">
        <v>42674</v>
      </c>
      <c r="DP84">
        <v>12.956</v>
      </c>
      <c r="DQ84" s="12">
        <v>42674</v>
      </c>
      <c r="DR84">
        <v>14.55</v>
      </c>
      <c r="DS84" s="12">
        <v>42704</v>
      </c>
      <c r="DT84">
        <v>18.155999999999999</v>
      </c>
      <c r="DU84" s="12">
        <v>42674</v>
      </c>
      <c r="DV84">
        <v>10.888</v>
      </c>
      <c r="DW84" s="12">
        <v>42674</v>
      </c>
      <c r="DX84">
        <v>4.3460000000000001</v>
      </c>
      <c r="DY84" s="12">
        <v>42674</v>
      </c>
      <c r="DZ84">
        <v>11.031000000000001</v>
      </c>
      <c r="EC84" s="12">
        <v>42674</v>
      </c>
      <c r="ED84">
        <v>23.073</v>
      </c>
      <c r="EE84" s="12">
        <v>42674</v>
      </c>
      <c r="EF84">
        <v>17.635999999999999</v>
      </c>
      <c r="EI84" s="12">
        <v>42674</v>
      </c>
      <c r="EJ84">
        <v>19.664000000000001</v>
      </c>
      <c r="EK84" s="12">
        <v>42674</v>
      </c>
      <c r="EL84">
        <v>7.6079999999999997</v>
      </c>
      <c r="EM84" s="12">
        <v>42674</v>
      </c>
      <c r="EN84">
        <v>10.465</v>
      </c>
      <c r="EQ84" s="12">
        <v>42674</v>
      </c>
      <c r="ER84">
        <v>4.4939999999999998</v>
      </c>
      <c r="ES84" s="12">
        <v>42674</v>
      </c>
      <c r="ET84">
        <v>7.86</v>
      </c>
      <c r="EU84" s="12">
        <v>42674</v>
      </c>
      <c r="EV84">
        <v>5.6219999999999999</v>
      </c>
      <c r="EY84" s="12">
        <v>42674</v>
      </c>
      <c r="EZ84">
        <v>16.37</v>
      </c>
      <c r="FA84" s="12">
        <v>42674</v>
      </c>
      <c r="FB84">
        <v>22.556000000000001</v>
      </c>
      <c r="FC84" s="12">
        <v>42674</v>
      </c>
      <c r="FD84">
        <v>28.257999999999999</v>
      </c>
      <c r="FG84" s="12">
        <v>42674</v>
      </c>
      <c r="FH84">
        <v>6.3520000000000003</v>
      </c>
      <c r="FI84" s="12">
        <v>42674</v>
      </c>
      <c r="FJ84">
        <v>17.154</v>
      </c>
      <c r="FK84" s="12">
        <v>42674</v>
      </c>
      <c r="FL84">
        <v>20.382999999999999</v>
      </c>
      <c r="FM84" s="12">
        <v>42674</v>
      </c>
      <c r="FN84">
        <v>9.4079999999999995</v>
      </c>
      <c r="FO84" s="12">
        <v>42674</v>
      </c>
      <c r="FP84">
        <v>18.437000000000001</v>
      </c>
      <c r="FS84" s="12">
        <v>42674</v>
      </c>
      <c r="FT84">
        <v>2.427</v>
      </c>
      <c r="FU84" s="12">
        <v>42674</v>
      </c>
      <c r="FV84">
        <v>15.256</v>
      </c>
      <c r="FW84" s="12">
        <v>42674</v>
      </c>
      <c r="FX84">
        <v>20.277000000000001</v>
      </c>
      <c r="FY84" s="12">
        <v>43524</v>
      </c>
      <c r="FZ84">
        <v>12.722</v>
      </c>
      <c r="GA84" s="12">
        <v>42674</v>
      </c>
      <c r="GB84">
        <v>18.282</v>
      </c>
      <c r="GC84" s="12">
        <v>42674</v>
      </c>
      <c r="GD84">
        <v>17.247</v>
      </c>
      <c r="GE84" s="12">
        <v>43830</v>
      </c>
      <c r="GF84">
        <v>35.237000000000002</v>
      </c>
      <c r="GI84" s="12">
        <v>42674</v>
      </c>
      <c r="GJ84">
        <v>21.315999999999999</v>
      </c>
      <c r="GK84" s="12">
        <v>42674</v>
      </c>
      <c r="GL84">
        <v>20.693000000000001</v>
      </c>
      <c r="GM84" s="12">
        <v>42674</v>
      </c>
      <c r="GN84">
        <v>43.777999999999999</v>
      </c>
      <c r="GO84" s="12">
        <v>43159</v>
      </c>
      <c r="GP84">
        <v>11.257</v>
      </c>
      <c r="GQ84" s="12">
        <v>42794</v>
      </c>
      <c r="GR84">
        <v>4.24</v>
      </c>
      <c r="GS84" s="12">
        <v>42674</v>
      </c>
      <c r="GT84">
        <v>6.75</v>
      </c>
      <c r="GW84" s="12">
        <v>42734</v>
      </c>
      <c r="GX84">
        <v>28.722000000000001</v>
      </c>
      <c r="GY84" s="12">
        <v>42674</v>
      </c>
      <c r="GZ84">
        <v>5.6899999999999995</v>
      </c>
      <c r="HA84" s="12">
        <v>42674</v>
      </c>
      <c r="HB84">
        <v>9.3379999999999992</v>
      </c>
      <c r="HC84" s="12">
        <v>42674</v>
      </c>
      <c r="HD84">
        <v>20.125</v>
      </c>
      <c r="HE84" s="12">
        <v>42674</v>
      </c>
      <c r="HF84">
        <v>14.385999999999999</v>
      </c>
      <c r="HG84" s="12">
        <v>42674</v>
      </c>
      <c r="HH84">
        <v>14.741</v>
      </c>
      <c r="HI84" s="12">
        <v>42674</v>
      </c>
      <c r="HJ84">
        <v>10.878</v>
      </c>
      <c r="HK84" s="12">
        <v>42674</v>
      </c>
      <c r="HL84">
        <v>5.5</v>
      </c>
      <c r="HM84" s="12">
        <v>42674</v>
      </c>
      <c r="HN84">
        <v>2.4699999999999998</v>
      </c>
      <c r="HO84" s="12">
        <v>42674</v>
      </c>
      <c r="HP84">
        <v>2.0870000000000002</v>
      </c>
      <c r="HQ84" s="12">
        <v>42766</v>
      </c>
      <c r="HR84">
        <v>15.3</v>
      </c>
      <c r="HS84" s="12">
        <v>42674</v>
      </c>
      <c r="HT84">
        <v>59.106999999999999</v>
      </c>
      <c r="HU84" s="12">
        <v>42674</v>
      </c>
      <c r="HV84">
        <v>29</v>
      </c>
      <c r="HW84" s="12">
        <v>42674</v>
      </c>
      <c r="HX84">
        <v>18.152999999999999</v>
      </c>
      <c r="HY84" s="12">
        <v>42674</v>
      </c>
      <c r="HZ84">
        <v>16.411999999999999</v>
      </c>
      <c r="IA84" s="12">
        <v>42674</v>
      </c>
      <c r="IB84">
        <v>29.24</v>
      </c>
      <c r="IC84" s="12">
        <v>42674</v>
      </c>
      <c r="ID84">
        <v>2.8860000000000001</v>
      </c>
      <c r="IE84" s="12">
        <v>42674</v>
      </c>
      <c r="IF84">
        <v>4.0709999999999997</v>
      </c>
      <c r="IG84" s="12">
        <v>42978</v>
      </c>
      <c r="IH84">
        <v>4.3890000000000002</v>
      </c>
      <c r="II84" s="12">
        <v>42674</v>
      </c>
      <c r="IJ84">
        <v>7.3</v>
      </c>
      <c r="IM84" s="12">
        <v>42674</v>
      </c>
      <c r="IN84">
        <v>24.858000000000001</v>
      </c>
      <c r="IO84" s="12">
        <v>43220</v>
      </c>
      <c r="IP84">
        <v>20.004000000000001</v>
      </c>
      <c r="IQ84" s="12">
        <v>42674</v>
      </c>
      <c r="IR84">
        <v>68.748000000000005</v>
      </c>
      <c r="IU84" s="12">
        <v>42674</v>
      </c>
      <c r="IV84">
        <v>4.5191999999999997</v>
      </c>
      <c r="IY84" s="12">
        <v>42674</v>
      </c>
      <c r="IZ84">
        <v>11.459</v>
      </c>
      <c r="JC84" s="12">
        <v>42674</v>
      </c>
      <c r="JD84">
        <v>7.42</v>
      </c>
      <c r="JE84" s="12">
        <v>42674</v>
      </c>
      <c r="JF84">
        <v>3.92</v>
      </c>
      <c r="JI84" s="12">
        <v>42674</v>
      </c>
      <c r="JJ84">
        <v>21.414999999999999</v>
      </c>
      <c r="JM84" s="12">
        <v>42674</v>
      </c>
      <c r="JN84">
        <v>2.64</v>
      </c>
      <c r="JO84" s="12">
        <v>42674</v>
      </c>
      <c r="JP84">
        <v>29.751999999999999</v>
      </c>
      <c r="JS84" s="12">
        <v>42674</v>
      </c>
      <c r="JT84">
        <v>6.4290000000000003</v>
      </c>
      <c r="JW84" s="12">
        <v>42674</v>
      </c>
      <c r="JX84">
        <v>19.696999999999999</v>
      </c>
      <c r="JY84" s="12">
        <v>42674</v>
      </c>
      <c r="JZ84">
        <v>15.18</v>
      </c>
      <c r="KC84" s="12">
        <v>42674</v>
      </c>
      <c r="KD84">
        <v>10.965999999999999</v>
      </c>
      <c r="KE84" s="12">
        <v>42674</v>
      </c>
      <c r="KF84">
        <v>15.135</v>
      </c>
      <c r="KI84" s="12">
        <v>42674</v>
      </c>
      <c r="KJ84">
        <v>2.4540000000000002</v>
      </c>
      <c r="KQ84" s="12">
        <v>42674</v>
      </c>
      <c r="KR84">
        <v>12.45</v>
      </c>
      <c r="KS84" s="12">
        <v>42674</v>
      </c>
      <c r="KT84">
        <v>12.891</v>
      </c>
      <c r="KU84" s="12">
        <v>42674</v>
      </c>
      <c r="KV84">
        <v>8.2170000000000005</v>
      </c>
      <c r="LC84" s="12">
        <v>42674</v>
      </c>
      <c r="LD84">
        <v>9.2550000000000008</v>
      </c>
      <c r="LE84" s="12">
        <v>42674</v>
      </c>
      <c r="LF84">
        <v>12.606</v>
      </c>
      <c r="LG84" s="12">
        <v>42674</v>
      </c>
      <c r="LH84">
        <v>10.673</v>
      </c>
      <c r="LI84" s="12">
        <v>42674</v>
      </c>
      <c r="LJ84">
        <v>33.113999999999997</v>
      </c>
      <c r="LM84" s="12">
        <v>42674</v>
      </c>
      <c r="LN84">
        <v>8.61</v>
      </c>
      <c r="LO84" s="12">
        <v>42674</v>
      </c>
      <c r="LP84">
        <v>4.375</v>
      </c>
      <c r="LQ84" s="12">
        <v>42674</v>
      </c>
      <c r="LR84">
        <v>19.68</v>
      </c>
      <c r="LS84" s="12">
        <v>42674</v>
      </c>
      <c r="LT84">
        <v>19.803000000000001</v>
      </c>
      <c r="LW84" s="12">
        <v>42674</v>
      </c>
      <c r="LX84">
        <v>19.306999999999999</v>
      </c>
      <c r="LY84" s="12">
        <v>42674</v>
      </c>
      <c r="LZ84">
        <v>36.454000000000001</v>
      </c>
      <c r="MA84" s="12">
        <v>42674</v>
      </c>
      <c r="MB84">
        <v>23.574999999999999</v>
      </c>
      <c r="ME84" s="12">
        <v>42704</v>
      </c>
      <c r="MF84">
        <v>3.6120000000000001</v>
      </c>
      <c r="MG84" s="12">
        <v>42674</v>
      </c>
      <c r="MH84">
        <v>12.725999999999999</v>
      </c>
      <c r="MK84" s="12">
        <v>42674</v>
      </c>
      <c r="ML84">
        <v>14.989000000000001</v>
      </c>
    </row>
    <row r="85" spans="1:350" x14ac:dyDescent="0.3">
      <c r="A85" s="12">
        <v>42704</v>
      </c>
      <c r="B85" s="1">
        <v>15.526999999999999</v>
      </c>
      <c r="C85" s="1"/>
      <c r="G85" s="17">
        <v>42704</v>
      </c>
      <c r="H85" s="13">
        <v>7.7409999999999997</v>
      </c>
      <c r="I85" s="17">
        <v>42734</v>
      </c>
      <c r="J85">
        <v>14.148999999999999</v>
      </c>
      <c r="N85" s="12"/>
      <c r="U85" s="12">
        <v>43131</v>
      </c>
      <c r="V85">
        <v>56.451999999999998</v>
      </c>
      <c r="Y85" s="12">
        <v>42704</v>
      </c>
      <c r="Z85">
        <v>14.885999999999999</v>
      </c>
      <c r="AA85" s="12">
        <v>42704</v>
      </c>
      <c r="AB85">
        <v>24.728000000000002</v>
      </c>
      <c r="AC85" s="12">
        <v>42704</v>
      </c>
      <c r="AD85">
        <v>15.817</v>
      </c>
      <c r="AE85" s="12">
        <v>42704</v>
      </c>
      <c r="AF85">
        <v>16.097999999999999</v>
      </c>
      <c r="AG85" s="12">
        <v>42704</v>
      </c>
      <c r="AH85">
        <v>14.942</v>
      </c>
      <c r="AK85" s="12">
        <v>42704</v>
      </c>
      <c r="AL85">
        <v>11.919</v>
      </c>
      <c r="AS85" s="12">
        <v>42704</v>
      </c>
      <c r="AT85">
        <v>1.2949999999999999</v>
      </c>
      <c r="AU85" s="12">
        <v>42704</v>
      </c>
      <c r="AV85">
        <v>12.724</v>
      </c>
      <c r="AY85" s="12">
        <v>42704</v>
      </c>
      <c r="AZ85">
        <v>51.65</v>
      </c>
      <c r="BA85" s="12">
        <v>42704</v>
      </c>
      <c r="BB85">
        <v>24.928999999999998</v>
      </c>
      <c r="BC85" s="12">
        <v>42704</v>
      </c>
      <c r="BD85">
        <v>8.6790000000000003</v>
      </c>
      <c r="BE85" s="12">
        <v>42794</v>
      </c>
      <c r="BF85">
        <v>9.1630000000000003</v>
      </c>
      <c r="BG85" s="12">
        <v>42704</v>
      </c>
      <c r="BH85">
        <v>8.86</v>
      </c>
      <c r="BI85" s="12">
        <v>42704</v>
      </c>
      <c r="BJ85">
        <v>10.936999999999999</v>
      </c>
      <c r="BK85" s="12">
        <v>42704</v>
      </c>
      <c r="BL85">
        <v>12.500999999999999</v>
      </c>
      <c r="BM85" s="12">
        <v>42704</v>
      </c>
      <c r="BN85">
        <v>11.404</v>
      </c>
      <c r="BO85" s="12">
        <v>42704</v>
      </c>
      <c r="BP85">
        <v>20.361999999999998</v>
      </c>
      <c r="BQ85" s="12">
        <v>42704</v>
      </c>
      <c r="BR85">
        <v>7.0970000000000004</v>
      </c>
      <c r="BS85" s="12">
        <v>42704</v>
      </c>
      <c r="BT85">
        <v>6.3239999999999998</v>
      </c>
      <c r="BW85" s="12">
        <v>42704</v>
      </c>
      <c r="BX85">
        <v>13.43</v>
      </c>
      <c r="BY85" s="12">
        <v>42704</v>
      </c>
      <c r="BZ85">
        <v>23.783999999999999</v>
      </c>
      <c r="CA85" s="12">
        <v>42704</v>
      </c>
      <c r="CB85">
        <v>23.812999999999999</v>
      </c>
      <c r="CG85" s="12">
        <v>42704</v>
      </c>
      <c r="CH85">
        <v>35.908000000000001</v>
      </c>
      <c r="CI85" s="12">
        <v>42704</v>
      </c>
      <c r="CJ85">
        <v>28.085000000000001</v>
      </c>
      <c r="CK85" s="12">
        <v>42704</v>
      </c>
      <c r="CL85">
        <v>11.59</v>
      </c>
      <c r="CM85" s="12">
        <v>42704</v>
      </c>
      <c r="CN85">
        <v>43.786999999999999</v>
      </c>
      <c r="CQ85" s="12">
        <v>42704</v>
      </c>
      <c r="CR85">
        <v>7.9829999999999997</v>
      </c>
      <c r="CS85" s="12">
        <v>42704</v>
      </c>
      <c r="CT85">
        <v>18.327000000000002</v>
      </c>
      <c r="CU85" s="12">
        <v>42704</v>
      </c>
      <c r="CV85">
        <v>3.899</v>
      </c>
      <c r="CW85" s="12">
        <v>42704</v>
      </c>
      <c r="CX85">
        <v>6.18</v>
      </c>
      <c r="CY85" s="12">
        <v>42794</v>
      </c>
      <c r="CZ85">
        <v>8.1809999999999992</v>
      </c>
      <c r="DA85" s="12">
        <v>42704</v>
      </c>
      <c r="DB85">
        <v>22.869</v>
      </c>
      <c r="DC85" s="12">
        <v>42704</v>
      </c>
      <c r="DD85">
        <v>24.974</v>
      </c>
      <c r="DE85" s="12">
        <v>42704</v>
      </c>
      <c r="DF85">
        <v>25.039000000000001</v>
      </c>
      <c r="DG85" s="12">
        <v>43465</v>
      </c>
      <c r="DH85">
        <v>31.3</v>
      </c>
      <c r="DI85" s="12">
        <v>42704</v>
      </c>
      <c r="DJ85">
        <v>8.6769999999999996</v>
      </c>
      <c r="DK85" s="12">
        <v>42704</v>
      </c>
      <c r="DL85">
        <v>16.181000000000001</v>
      </c>
      <c r="DM85" s="12">
        <v>43131</v>
      </c>
      <c r="DN85">
        <v>6.8159999999999998</v>
      </c>
      <c r="DO85" s="12">
        <v>42704</v>
      </c>
      <c r="DP85">
        <v>11.968</v>
      </c>
      <c r="DQ85" s="12">
        <v>42704</v>
      </c>
      <c r="DR85">
        <v>13.5</v>
      </c>
      <c r="DS85" s="12">
        <v>42734</v>
      </c>
      <c r="DT85">
        <v>17.097999999999999</v>
      </c>
      <c r="DU85" s="12">
        <v>42704</v>
      </c>
      <c r="DV85">
        <v>10.038</v>
      </c>
      <c r="DW85" s="12">
        <v>42704</v>
      </c>
      <c r="DX85">
        <v>3.8959999999999999</v>
      </c>
      <c r="DY85" s="12">
        <v>42704</v>
      </c>
      <c r="DZ85">
        <v>9.843</v>
      </c>
      <c r="EC85" s="12">
        <v>42704</v>
      </c>
      <c r="ED85">
        <v>28.013999999999999</v>
      </c>
      <c r="EE85" s="12">
        <v>42704</v>
      </c>
      <c r="EF85">
        <v>16.305</v>
      </c>
      <c r="EI85" s="12">
        <v>42704</v>
      </c>
      <c r="EJ85">
        <v>16.707000000000001</v>
      </c>
      <c r="EK85" s="12">
        <v>42704</v>
      </c>
      <c r="EL85">
        <v>8.9139999999999997</v>
      </c>
      <c r="EM85" s="12">
        <v>42704</v>
      </c>
      <c r="EN85">
        <v>12.885999999999999</v>
      </c>
      <c r="EQ85" s="12">
        <v>42704</v>
      </c>
      <c r="ER85">
        <v>5.5250000000000004</v>
      </c>
      <c r="ES85" s="12">
        <v>42704</v>
      </c>
      <c r="ET85">
        <v>5.42</v>
      </c>
      <c r="EU85" s="12">
        <v>42704</v>
      </c>
      <c r="EV85">
        <v>5</v>
      </c>
      <c r="EY85" s="12">
        <v>42704</v>
      </c>
      <c r="EZ85">
        <v>14.391999999999999</v>
      </c>
      <c r="FA85" s="12">
        <v>42704</v>
      </c>
      <c r="FB85">
        <v>21.89</v>
      </c>
      <c r="FC85" s="12">
        <v>42704</v>
      </c>
      <c r="FD85">
        <v>25.587</v>
      </c>
      <c r="FG85" s="12">
        <v>42704</v>
      </c>
      <c r="FH85">
        <v>5.7940000000000005</v>
      </c>
      <c r="FI85" s="12">
        <v>42704</v>
      </c>
      <c r="FJ85">
        <v>15.750999999999999</v>
      </c>
      <c r="FK85" s="12">
        <v>42704</v>
      </c>
      <c r="FL85">
        <v>18.808</v>
      </c>
      <c r="FM85" s="12">
        <v>42704</v>
      </c>
      <c r="FN85">
        <v>9.4570000000000007</v>
      </c>
      <c r="FO85" s="12">
        <v>42704</v>
      </c>
      <c r="FP85">
        <v>15.943</v>
      </c>
      <c r="FS85" s="12">
        <v>42704</v>
      </c>
      <c r="FT85">
        <v>2.3650000000000002</v>
      </c>
      <c r="FU85" s="12">
        <v>42704</v>
      </c>
      <c r="FV85">
        <v>12.558</v>
      </c>
      <c r="FW85" s="12">
        <v>42704</v>
      </c>
      <c r="FX85">
        <v>16.045000000000002</v>
      </c>
      <c r="FY85" s="12">
        <v>43553</v>
      </c>
      <c r="FZ85">
        <v>12.689</v>
      </c>
      <c r="GA85" s="12">
        <v>42704</v>
      </c>
      <c r="GB85">
        <v>17.001000000000001</v>
      </c>
      <c r="GC85" s="12">
        <v>42704</v>
      </c>
      <c r="GD85">
        <v>14.721</v>
      </c>
      <c r="GI85" s="12">
        <v>42704</v>
      </c>
      <c r="GJ85">
        <v>17.748000000000001</v>
      </c>
      <c r="GK85" s="12">
        <v>42704</v>
      </c>
      <c r="GL85">
        <v>21.013000000000002</v>
      </c>
      <c r="GM85" s="12">
        <v>42704</v>
      </c>
      <c r="GN85">
        <v>37.576999999999998</v>
      </c>
      <c r="GO85" s="12">
        <v>43189</v>
      </c>
      <c r="GP85">
        <v>12.105</v>
      </c>
      <c r="GQ85" s="12">
        <v>42825</v>
      </c>
      <c r="GR85">
        <v>3.74</v>
      </c>
      <c r="GS85" s="12">
        <v>42704</v>
      </c>
      <c r="GT85">
        <v>6.3</v>
      </c>
      <c r="GW85" s="12">
        <v>42766</v>
      </c>
      <c r="GX85">
        <v>30.234999999999999</v>
      </c>
      <c r="GY85" s="12">
        <v>42704</v>
      </c>
      <c r="GZ85">
        <v>6.51</v>
      </c>
      <c r="HA85" s="12">
        <v>42704</v>
      </c>
      <c r="HB85">
        <v>8.734</v>
      </c>
      <c r="HC85" s="12">
        <v>42704</v>
      </c>
      <c r="HD85">
        <v>18.236999999999998</v>
      </c>
      <c r="HE85" s="12">
        <v>42704</v>
      </c>
      <c r="HF85">
        <v>11.74</v>
      </c>
      <c r="HG85" s="12">
        <v>42704</v>
      </c>
      <c r="HH85">
        <v>12.596</v>
      </c>
      <c r="HI85" s="12">
        <v>42704</v>
      </c>
      <c r="HJ85">
        <v>10.646000000000001</v>
      </c>
      <c r="HK85" s="12">
        <v>42704</v>
      </c>
      <c r="HL85">
        <v>5.0999999999999996</v>
      </c>
      <c r="HM85" s="12">
        <v>42704</v>
      </c>
      <c r="HN85">
        <v>2.052</v>
      </c>
      <c r="HO85" s="12">
        <v>42704</v>
      </c>
      <c r="HP85">
        <v>1.6890000000000001</v>
      </c>
      <c r="HQ85" s="12">
        <v>42794</v>
      </c>
      <c r="HR85">
        <v>13.28</v>
      </c>
      <c r="HS85" s="12">
        <v>42704</v>
      </c>
      <c r="HT85">
        <v>52.905999999999999</v>
      </c>
      <c r="HU85" s="12">
        <v>42704</v>
      </c>
      <c r="HV85">
        <v>16.600000000000001</v>
      </c>
      <c r="HW85" s="12">
        <v>42704</v>
      </c>
      <c r="HX85">
        <v>17.986999999999998</v>
      </c>
      <c r="HY85" s="12">
        <v>42704</v>
      </c>
      <c r="HZ85">
        <v>14.843999999999999</v>
      </c>
      <c r="IA85" s="12">
        <v>42704</v>
      </c>
      <c r="IB85">
        <v>27.54</v>
      </c>
      <c r="IC85" s="12">
        <v>42704</v>
      </c>
      <c r="ID85">
        <v>2.4500000000000002</v>
      </c>
      <c r="IE85" s="12">
        <v>42704</v>
      </c>
      <c r="IF85">
        <v>3.2770000000000001</v>
      </c>
      <c r="IG85" s="12">
        <v>43007</v>
      </c>
      <c r="IH85">
        <v>4.641</v>
      </c>
      <c r="II85" s="12">
        <v>42704</v>
      </c>
      <c r="IJ85">
        <v>7.67</v>
      </c>
      <c r="IM85" s="12">
        <v>42704</v>
      </c>
      <c r="IN85">
        <v>23.503</v>
      </c>
      <c r="IO85" s="12">
        <v>43251</v>
      </c>
      <c r="IP85">
        <v>15.65</v>
      </c>
      <c r="IQ85" s="12">
        <v>42704</v>
      </c>
      <c r="IR85">
        <v>62.567999999999998</v>
      </c>
      <c r="IU85" s="12">
        <v>42704</v>
      </c>
      <c r="IV85">
        <v>3.3563000000000001</v>
      </c>
      <c r="IY85" s="12">
        <v>42704</v>
      </c>
      <c r="IZ85">
        <v>10.022</v>
      </c>
      <c r="JC85" s="12">
        <v>42704</v>
      </c>
      <c r="JD85">
        <v>7</v>
      </c>
      <c r="JE85" s="12">
        <v>42704</v>
      </c>
      <c r="JF85">
        <v>3.15</v>
      </c>
      <c r="JI85" s="12">
        <v>42704</v>
      </c>
      <c r="JJ85">
        <v>22.928999999999998</v>
      </c>
      <c r="JM85" s="12">
        <v>42704</v>
      </c>
      <c r="JN85">
        <v>3.0169999999999999</v>
      </c>
      <c r="JO85" s="12">
        <v>42704</v>
      </c>
      <c r="JP85">
        <v>26.45</v>
      </c>
      <c r="JS85" s="12">
        <v>42704</v>
      </c>
      <c r="JT85">
        <v>5.9450000000000003</v>
      </c>
      <c r="JW85" s="12">
        <v>42704</v>
      </c>
      <c r="JX85">
        <v>16.687999999999999</v>
      </c>
      <c r="JY85" s="12">
        <v>42704</v>
      </c>
      <c r="JZ85">
        <v>14.786</v>
      </c>
      <c r="KC85" s="12">
        <v>42704</v>
      </c>
      <c r="KD85">
        <v>12.513999999999999</v>
      </c>
      <c r="KE85" s="12">
        <v>42704</v>
      </c>
      <c r="KF85">
        <v>13.93</v>
      </c>
      <c r="KI85" s="12">
        <v>42704</v>
      </c>
      <c r="KJ85">
        <v>2.1859999999999999</v>
      </c>
      <c r="KQ85" s="12">
        <v>42704</v>
      </c>
      <c r="KR85">
        <v>10.02</v>
      </c>
      <c r="KS85" s="12">
        <v>42704</v>
      </c>
      <c r="KT85">
        <v>11.632999999999999</v>
      </c>
      <c r="KU85" s="12">
        <v>42704</v>
      </c>
      <c r="KV85">
        <v>7.6980000000000004</v>
      </c>
      <c r="LC85" s="12">
        <v>42704</v>
      </c>
      <c r="LD85">
        <v>6.8739999999999997</v>
      </c>
      <c r="LE85" s="12">
        <v>42704</v>
      </c>
      <c r="LF85">
        <v>11.492000000000001</v>
      </c>
      <c r="LG85" s="12">
        <v>42704</v>
      </c>
      <c r="LH85">
        <v>9.5570000000000004</v>
      </c>
      <c r="LI85" s="12">
        <v>42704</v>
      </c>
      <c r="LJ85">
        <v>31.635000000000002</v>
      </c>
      <c r="LM85" s="12">
        <v>42704</v>
      </c>
      <c r="LN85">
        <v>8.6199999999999992</v>
      </c>
      <c r="LO85" s="12">
        <v>42704</v>
      </c>
      <c r="LP85">
        <v>4.0250000000000004</v>
      </c>
      <c r="LQ85" s="12">
        <v>42704</v>
      </c>
      <c r="LR85">
        <v>25.01</v>
      </c>
      <c r="LS85" s="12">
        <v>42704</v>
      </c>
      <c r="LT85">
        <v>24.526</v>
      </c>
      <c r="LW85" s="12">
        <v>42704</v>
      </c>
      <c r="LX85">
        <v>15.529</v>
      </c>
      <c r="LY85" s="12">
        <v>42704</v>
      </c>
      <c r="LZ85">
        <v>35.649000000000001</v>
      </c>
      <c r="MA85" s="12">
        <v>42704</v>
      </c>
      <c r="MB85">
        <v>20.170000000000002</v>
      </c>
      <c r="ME85" s="12">
        <v>42734</v>
      </c>
      <c r="MF85">
        <v>3.5819999999999999</v>
      </c>
      <c r="MG85" s="12">
        <v>42704</v>
      </c>
      <c r="MH85">
        <v>11.257999999999999</v>
      </c>
      <c r="MK85" s="12">
        <v>42704</v>
      </c>
      <c r="ML85">
        <v>14.378</v>
      </c>
    </row>
    <row r="86" spans="1:350" x14ac:dyDescent="0.3">
      <c r="A86" s="12">
        <v>42734</v>
      </c>
      <c r="B86" s="1">
        <v>15.051</v>
      </c>
      <c r="C86" s="1"/>
      <c r="G86" s="17">
        <v>42734</v>
      </c>
      <c r="H86" s="13">
        <v>7.5590000000000002</v>
      </c>
      <c r="I86" s="17">
        <v>42766</v>
      </c>
      <c r="J86">
        <v>14.638999999999999</v>
      </c>
      <c r="N86" s="12"/>
      <c r="U86" s="12">
        <v>43159</v>
      </c>
      <c r="V86">
        <v>52.984999999999999</v>
      </c>
      <c r="Y86" s="12">
        <v>42734</v>
      </c>
      <c r="Z86">
        <v>14.986000000000001</v>
      </c>
      <c r="AA86" s="12">
        <v>42734</v>
      </c>
      <c r="AB86">
        <v>24.445</v>
      </c>
      <c r="AC86" s="12">
        <v>42734</v>
      </c>
      <c r="AD86">
        <v>15.978999999999999</v>
      </c>
      <c r="AE86" s="12">
        <v>42734</v>
      </c>
      <c r="AF86">
        <v>15.868</v>
      </c>
      <c r="AG86" s="12">
        <v>42734</v>
      </c>
      <c r="AH86">
        <v>14.755000000000001</v>
      </c>
      <c r="AK86" s="12">
        <v>42734</v>
      </c>
      <c r="AL86">
        <v>11.821999999999999</v>
      </c>
      <c r="AS86" s="12">
        <v>42734</v>
      </c>
      <c r="AT86">
        <v>1.2110000000000001</v>
      </c>
      <c r="AU86" s="12">
        <v>42734</v>
      </c>
      <c r="AV86">
        <v>12.737</v>
      </c>
      <c r="AY86" s="12">
        <v>42734</v>
      </c>
      <c r="AZ86">
        <v>48.25</v>
      </c>
      <c r="BA86" s="12">
        <v>42734</v>
      </c>
      <c r="BB86">
        <v>31.047999999999998</v>
      </c>
      <c r="BC86" s="12">
        <v>42734</v>
      </c>
      <c r="BD86">
        <v>9.6029999999999998</v>
      </c>
      <c r="BE86" s="12">
        <v>42825</v>
      </c>
      <c r="BF86">
        <v>8.8819999999999997</v>
      </c>
      <c r="BG86" s="12">
        <v>42734</v>
      </c>
      <c r="BH86">
        <v>8.1519999999999992</v>
      </c>
      <c r="BI86" s="12">
        <v>42734</v>
      </c>
      <c r="BJ86">
        <v>9.8460000000000001</v>
      </c>
      <c r="BK86" s="12">
        <v>42734</v>
      </c>
      <c r="BL86">
        <v>13.564</v>
      </c>
      <c r="BM86" s="12">
        <v>42734</v>
      </c>
      <c r="BN86">
        <v>11.752000000000001</v>
      </c>
      <c r="BO86" s="12">
        <v>42734</v>
      </c>
      <c r="BP86">
        <v>19.108000000000001</v>
      </c>
      <c r="BQ86" s="12">
        <v>42734</v>
      </c>
      <c r="BR86">
        <v>7.2679999999999998</v>
      </c>
      <c r="BS86" s="12">
        <v>42734</v>
      </c>
      <c r="BT86">
        <v>6.431</v>
      </c>
      <c r="BW86" s="12">
        <v>42734</v>
      </c>
      <c r="BX86">
        <v>12.388999999999999</v>
      </c>
      <c r="BY86" s="12">
        <v>42734</v>
      </c>
      <c r="BZ86">
        <v>24.315000000000001</v>
      </c>
      <c r="CA86" s="12">
        <v>42734</v>
      </c>
      <c r="CB86">
        <v>22.504999999999999</v>
      </c>
      <c r="CG86" s="12">
        <v>42734</v>
      </c>
      <c r="CH86">
        <v>35.381</v>
      </c>
      <c r="CI86" s="12">
        <v>42734</v>
      </c>
      <c r="CJ86">
        <v>30.07</v>
      </c>
      <c r="CK86" s="12">
        <v>42734</v>
      </c>
      <c r="CL86">
        <v>10.117000000000001</v>
      </c>
      <c r="CM86" s="12">
        <v>42734</v>
      </c>
      <c r="CN86">
        <v>44.137</v>
      </c>
      <c r="CQ86" s="12">
        <v>42734</v>
      </c>
      <c r="CR86">
        <v>8.7880000000000003</v>
      </c>
      <c r="CS86" s="12">
        <v>42734</v>
      </c>
      <c r="CT86">
        <v>17.45</v>
      </c>
      <c r="CU86" s="12">
        <v>42734</v>
      </c>
      <c r="CV86">
        <v>3.831</v>
      </c>
      <c r="CW86" s="12">
        <v>42734</v>
      </c>
      <c r="CX86">
        <v>6.1349999999999998</v>
      </c>
      <c r="CY86" s="12">
        <v>42825</v>
      </c>
      <c r="CZ86">
        <v>8.2230000000000008</v>
      </c>
      <c r="DA86" s="12">
        <v>42734</v>
      </c>
      <c r="DB86">
        <v>22.327000000000002</v>
      </c>
      <c r="DC86" s="12">
        <v>42734</v>
      </c>
      <c r="DD86">
        <v>22.209</v>
      </c>
      <c r="DE86" s="12">
        <v>42734</v>
      </c>
      <c r="DF86">
        <v>22.882999999999999</v>
      </c>
      <c r="DG86" s="12">
        <v>43496</v>
      </c>
      <c r="DH86">
        <v>33</v>
      </c>
      <c r="DI86" s="12">
        <v>42734</v>
      </c>
      <c r="DJ86">
        <v>11.182</v>
      </c>
      <c r="DK86" s="12">
        <v>42734</v>
      </c>
      <c r="DL86">
        <v>15.625</v>
      </c>
      <c r="DM86" s="12">
        <v>43159</v>
      </c>
      <c r="DN86">
        <v>6.3410000000000002</v>
      </c>
      <c r="DO86" s="12">
        <v>42734</v>
      </c>
      <c r="DP86">
        <v>11.772</v>
      </c>
      <c r="DQ86" s="12">
        <v>42734</v>
      </c>
      <c r="DR86">
        <v>11.9</v>
      </c>
      <c r="DS86" s="12">
        <v>42766</v>
      </c>
      <c r="DT86">
        <v>18.745000000000001</v>
      </c>
      <c r="DU86" s="12">
        <v>42734</v>
      </c>
      <c r="DV86">
        <v>10.458</v>
      </c>
      <c r="DW86" s="12">
        <v>42734</v>
      </c>
      <c r="DX86">
        <v>3.6219999999999999</v>
      </c>
      <c r="DY86" s="12">
        <v>42734</v>
      </c>
      <c r="DZ86">
        <v>10.444000000000001</v>
      </c>
      <c r="EC86" s="12">
        <v>42734</v>
      </c>
      <c r="ED86">
        <v>28.809000000000001</v>
      </c>
      <c r="EE86" s="12">
        <v>42734</v>
      </c>
      <c r="EF86">
        <v>15.718</v>
      </c>
      <c r="EI86" s="12">
        <v>42734</v>
      </c>
      <c r="EJ86">
        <v>14.868</v>
      </c>
      <c r="EK86" s="12">
        <v>42734</v>
      </c>
      <c r="EL86">
        <v>7.4359999999999999</v>
      </c>
      <c r="EM86" s="12">
        <v>42734</v>
      </c>
      <c r="EN86">
        <v>10.271000000000001</v>
      </c>
      <c r="EQ86" s="12">
        <v>42734</v>
      </c>
      <c r="ER86">
        <v>4.5410000000000004</v>
      </c>
      <c r="ES86" s="12">
        <v>42734</v>
      </c>
      <c r="ET86">
        <v>4.62</v>
      </c>
      <c r="EU86" s="12">
        <v>42734</v>
      </c>
      <c r="EV86">
        <v>5.0369999999999999</v>
      </c>
      <c r="EY86" s="12">
        <v>42734</v>
      </c>
      <c r="EZ86">
        <v>13.177</v>
      </c>
      <c r="FA86" s="12">
        <v>42734</v>
      </c>
      <c r="FB86">
        <v>22.024999999999999</v>
      </c>
      <c r="FC86" s="12">
        <v>42734</v>
      </c>
      <c r="FD86">
        <v>24.995999999999999</v>
      </c>
      <c r="FG86" s="12">
        <v>42734</v>
      </c>
      <c r="FH86">
        <v>5.7789999999999999</v>
      </c>
      <c r="FI86" s="12">
        <v>42734</v>
      </c>
      <c r="FJ86">
        <v>15.712</v>
      </c>
      <c r="FK86" s="12">
        <v>42734</v>
      </c>
      <c r="FL86">
        <v>18.25</v>
      </c>
      <c r="FM86" s="12">
        <v>42734</v>
      </c>
      <c r="FN86">
        <v>11.045999999999999</v>
      </c>
      <c r="FO86" s="12">
        <v>42734</v>
      </c>
      <c r="FP86">
        <v>17.606000000000002</v>
      </c>
      <c r="FS86" s="12">
        <v>42734</v>
      </c>
      <c r="FT86">
        <v>2.4329999999999998</v>
      </c>
      <c r="FU86" s="12">
        <v>42734</v>
      </c>
      <c r="FV86">
        <v>12.148999999999999</v>
      </c>
      <c r="FW86" s="12">
        <v>42734</v>
      </c>
      <c r="FX86">
        <v>16.652999999999999</v>
      </c>
      <c r="FY86" s="12">
        <v>43585</v>
      </c>
      <c r="FZ86">
        <v>13.343</v>
      </c>
      <c r="GA86" s="12">
        <v>42734</v>
      </c>
      <c r="GB86">
        <v>17.149999999999999</v>
      </c>
      <c r="GC86" s="12">
        <v>42734</v>
      </c>
      <c r="GD86">
        <v>17.059999999999999</v>
      </c>
      <c r="GI86" s="12">
        <v>42734</v>
      </c>
      <c r="GJ86">
        <v>18.350999999999999</v>
      </c>
      <c r="GK86" s="12">
        <v>42734</v>
      </c>
      <c r="GL86">
        <v>21.687999999999999</v>
      </c>
      <c r="GM86" s="12">
        <v>42734</v>
      </c>
      <c r="GN86">
        <v>37.287999999999997</v>
      </c>
      <c r="GO86" s="12">
        <v>43220</v>
      </c>
      <c r="GP86">
        <v>13.23</v>
      </c>
      <c r="GQ86" s="12">
        <v>42853</v>
      </c>
      <c r="GR86">
        <v>3.49</v>
      </c>
      <c r="GS86" s="12">
        <v>42734</v>
      </c>
      <c r="GT86">
        <v>5.55</v>
      </c>
      <c r="GW86" s="12">
        <v>42794</v>
      </c>
      <c r="GX86">
        <v>30.379000000000001</v>
      </c>
      <c r="GY86" s="12">
        <v>42734</v>
      </c>
      <c r="GZ86">
        <v>6.61</v>
      </c>
      <c r="HA86" s="12">
        <v>42734</v>
      </c>
      <c r="HB86">
        <v>8.2650000000000006</v>
      </c>
      <c r="HC86" s="12">
        <v>42734</v>
      </c>
      <c r="HD86">
        <v>18.629000000000001</v>
      </c>
      <c r="HE86" s="12">
        <v>42734</v>
      </c>
      <c r="HF86">
        <v>10.353999999999999</v>
      </c>
      <c r="HG86" s="12">
        <v>42734</v>
      </c>
      <c r="HH86">
        <v>11.138</v>
      </c>
      <c r="HI86" s="12">
        <v>42734</v>
      </c>
      <c r="HJ86">
        <v>11.487</v>
      </c>
      <c r="HK86" s="12">
        <v>42734</v>
      </c>
      <c r="HL86">
        <v>4.4000000000000004</v>
      </c>
      <c r="HM86" s="12">
        <v>42734</v>
      </c>
      <c r="HN86">
        <v>1.9630000000000001</v>
      </c>
      <c r="HO86" s="12">
        <v>42734</v>
      </c>
      <c r="HP86">
        <v>1.72</v>
      </c>
      <c r="HQ86" s="12">
        <v>42825</v>
      </c>
      <c r="HR86">
        <v>12.24</v>
      </c>
      <c r="HS86" s="12">
        <v>42734</v>
      </c>
      <c r="HT86">
        <v>53.051000000000002</v>
      </c>
      <c r="HU86" s="12">
        <v>42734</v>
      </c>
      <c r="HV86">
        <v>11.9</v>
      </c>
      <c r="HW86" s="12">
        <v>42734</v>
      </c>
      <c r="HX86">
        <v>16.497</v>
      </c>
      <c r="HY86" s="12">
        <v>42734</v>
      </c>
      <c r="HZ86">
        <v>13.795999999999999</v>
      </c>
      <c r="IA86" s="12">
        <v>42734</v>
      </c>
      <c r="IB86">
        <v>25.84</v>
      </c>
      <c r="IC86" s="12">
        <v>42734</v>
      </c>
      <c r="ID86">
        <v>2.5419999999999998</v>
      </c>
      <c r="IE86" s="12">
        <v>42734</v>
      </c>
      <c r="IF86">
        <v>2.77</v>
      </c>
      <c r="IG86" s="12">
        <v>43039</v>
      </c>
      <c r="IH86">
        <v>5.6760000000000002</v>
      </c>
      <c r="II86" s="12">
        <v>42734</v>
      </c>
      <c r="IJ86">
        <v>7.65</v>
      </c>
      <c r="IM86" s="12">
        <v>42734</v>
      </c>
      <c r="IN86">
        <v>22.175999999999998</v>
      </c>
      <c r="IO86" s="12">
        <v>43280</v>
      </c>
      <c r="IP86">
        <v>15.484999999999999</v>
      </c>
      <c r="IQ86" s="12">
        <v>42734</v>
      </c>
      <c r="IR86">
        <v>59.521000000000001</v>
      </c>
      <c r="IU86" s="12">
        <v>42734</v>
      </c>
      <c r="IV86">
        <v>3.2618</v>
      </c>
      <c r="IY86" s="12">
        <v>42734</v>
      </c>
      <c r="IZ86">
        <v>9.9610000000000003</v>
      </c>
      <c r="JC86" s="12">
        <v>42734</v>
      </c>
      <c r="JD86">
        <v>7.21</v>
      </c>
      <c r="JE86" s="12">
        <v>42734</v>
      </c>
      <c r="JF86">
        <v>2.7</v>
      </c>
      <c r="JI86" s="12">
        <v>42734</v>
      </c>
      <c r="JJ86">
        <v>24.045000000000002</v>
      </c>
      <c r="JM86" s="12">
        <v>42734</v>
      </c>
      <c r="JN86">
        <v>2.8959999999999999</v>
      </c>
      <c r="JO86" s="12">
        <v>42734</v>
      </c>
      <c r="JP86">
        <v>25.417000000000002</v>
      </c>
      <c r="JS86" s="12">
        <v>42734</v>
      </c>
      <c r="JT86">
        <v>5.8840000000000003</v>
      </c>
      <c r="JW86" s="12">
        <v>42734</v>
      </c>
      <c r="JX86">
        <v>18.126000000000001</v>
      </c>
      <c r="JY86" s="12">
        <v>42734</v>
      </c>
      <c r="JZ86">
        <v>14.417</v>
      </c>
      <c r="KC86" s="12">
        <v>42734</v>
      </c>
      <c r="KD86">
        <v>13.829000000000001</v>
      </c>
      <c r="KE86" s="12">
        <v>42734</v>
      </c>
      <c r="KF86">
        <v>15.574</v>
      </c>
      <c r="KI86" s="12">
        <v>42734</v>
      </c>
      <c r="KJ86">
        <v>2.1459999999999999</v>
      </c>
      <c r="KQ86" s="12">
        <v>42734</v>
      </c>
      <c r="KR86">
        <v>10</v>
      </c>
      <c r="KS86" s="12">
        <v>42734</v>
      </c>
      <c r="KT86">
        <v>11.204000000000001</v>
      </c>
      <c r="KU86" s="12">
        <v>42734</v>
      </c>
      <c r="KV86">
        <v>7.2620000000000005</v>
      </c>
      <c r="LC86" s="12">
        <v>42734</v>
      </c>
      <c r="LD86">
        <v>7.7649999999999997</v>
      </c>
      <c r="LE86" s="12">
        <v>42734</v>
      </c>
      <c r="LF86">
        <v>11.967000000000001</v>
      </c>
      <c r="LG86" s="12">
        <v>42734</v>
      </c>
      <c r="LH86">
        <v>9.8949999999999996</v>
      </c>
      <c r="LI86" s="12">
        <v>42734</v>
      </c>
      <c r="LJ86">
        <v>31.338000000000001</v>
      </c>
      <c r="LM86" s="12">
        <v>42734</v>
      </c>
      <c r="LN86">
        <v>8.0630000000000006</v>
      </c>
      <c r="LO86" s="12">
        <v>42734</v>
      </c>
      <c r="LP86">
        <v>3.9769999999999999</v>
      </c>
      <c r="LQ86" s="12">
        <v>42734</v>
      </c>
      <c r="LR86">
        <v>23.023</v>
      </c>
      <c r="LS86" s="12">
        <v>42734</v>
      </c>
      <c r="LT86">
        <v>22.553000000000001</v>
      </c>
      <c r="LW86" s="12">
        <v>42734</v>
      </c>
      <c r="LX86">
        <v>13.095000000000001</v>
      </c>
      <c r="LY86" s="12">
        <v>42734</v>
      </c>
      <c r="LZ86">
        <v>34.796999999999997</v>
      </c>
      <c r="MA86" s="12">
        <v>42734</v>
      </c>
      <c r="MB86">
        <v>19.774000000000001</v>
      </c>
      <c r="ME86" s="12">
        <v>42766</v>
      </c>
      <c r="MF86">
        <v>3.234</v>
      </c>
      <c r="MG86" s="12">
        <v>42734</v>
      </c>
      <c r="MH86">
        <v>11.268000000000001</v>
      </c>
      <c r="MK86" s="12">
        <v>42734</v>
      </c>
      <c r="ML86">
        <v>13.97</v>
      </c>
    </row>
    <row r="87" spans="1:350" x14ac:dyDescent="0.3">
      <c r="A87" s="12">
        <v>42766</v>
      </c>
      <c r="B87" s="1">
        <v>15.849</v>
      </c>
      <c r="C87" s="1"/>
      <c r="G87" s="17">
        <v>42766</v>
      </c>
      <c r="H87" s="13">
        <v>7.8460000000000001</v>
      </c>
      <c r="I87" s="17">
        <v>42794</v>
      </c>
      <c r="J87">
        <v>14.335000000000001</v>
      </c>
      <c r="N87" s="12"/>
      <c r="U87" s="12">
        <v>43189</v>
      </c>
      <c r="V87">
        <v>47.743000000000002</v>
      </c>
      <c r="Y87" s="12">
        <v>42766</v>
      </c>
      <c r="Z87">
        <v>16.792999999999999</v>
      </c>
      <c r="AA87" s="12">
        <v>42766</v>
      </c>
      <c r="AB87">
        <v>27.073</v>
      </c>
      <c r="AC87" s="12">
        <v>42766</v>
      </c>
      <c r="AD87">
        <v>17.634</v>
      </c>
      <c r="AE87" s="12">
        <v>42766</v>
      </c>
      <c r="AF87">
        <v>17.904</v>
      </c>
      <c r="AG87" s="12">
        <v>42766</v>
      </c>
      <c r="AH87">
        <v>16.343</v>
      </c>
      <c r="AK87" s="12">
        <v>42766</v>
      </c>
      <c r="AL87">
        <v>11.685</v>
      </c>
      <c r="AS87" s="12">
        <v>42766</v>
      </c>
      <c r="AT87">
        <v>1.502</v>
      </c>
      <c r="AU87" s="12">
        <v>42766</v>
      </c>
      <c r="AV87">
        <v>17.841000000000001</v>
      </c>
      <c r="AY87" s="12">
        <v>42766</v>
      </c>
      <c r="AZ87">
        <v>44.46</v>
      </c>
      <c r="BA87" s="12">
        <v>42766</v>
      </c>
      <c r="BB87">
        <v>29.498000000000001</v>
      </c>
      <c r="BC87" s="12">
        <v>42766</v>
      </c>
      <c r="BD87">
        <v>11.789</v>
      </c>
      <c r="BE87" s="12">
        <v>42853</v>
      </c>
      <c r="BF87">
        <v>9.1530000000000005</v>
      </c>
      <c r="BG87" s="12">
        <v>42766</v>
      </c>
      <c r="BH87">
        <v>12.441000000000001</v>
      </c>
      <c r="BI87" s="12">
        <v>42766</v>
      </c>
      <c r="BJ87">
        <v>11.584</v>
      </c>
      <c r="BK87" s="12">
        <v>42766</v>
      </c>
      <c r="BL87">
        <v>13.180999999999999</v>
      </c>
      <c r="BM87" s="12">
        <v>42766</v>
      </c>
      <c r="BN87">
        <v>15.157999999999999</v>
      </c>
      <c r="BO87" s="12">
        <v>42766</v>
      </c>
      <c r="BP87">
        <v>18.22</v>
      </c>
      <c r="BQ87" s="12">
        <v>42766</v>
      </c>
      <c r="BR87">
        <v>8.9559999999999995</v>
      </c>
      <c r="BS87" s="12">
        <v>42766</v>
      </c>
      <c r="BT87">
        <v>7.6239999999999997</v>
      </c>
      <c r="BW87" s="12">
        <v>42766</v>
      </c>
      <c r="BX87">
        <v>12.557</v>
      </c>
      <c r="BY87" s="12">
        <v>42766</v>
      </c>
      <c r="BZ87">
        <v>24.641999999999999</v>
      </c>
      <c r="CA87" s="12">
        <v>42766</v>
      </c>
      <c r="CB87">
        <v>26.445</v>
      </c>
      <c r="CG87" s="12">
        <v>42766</v>
      </c>
      <c r="CH87">
        <v>37.347000000000001</v>
      </c>
      <c r="CI87" s="12">
        <v>42766</v>
      </c>
      <c r="CJ87">
        <v>35.557000000000002</v>
      </c>
      <c r="CK87" s="12">
        <v>42766</v>
      </c>
      <c r="CL87">
        <v>10.769</v>
      </c>
      <c r="CM87" s="12">
        <v>42766</v>
      </c>
      <c r="CN87">
        <v>46.561</v>
      </c>
      <c r="CQ87" s="12">
        <v>42766</v>
      </c>
      <c r="CR87">
        <v>11.081</v>
      </c>
      <c r="CS87" s="12">
        <v>42766</v>
      </c>
      <c r="CT87">
        <v>19.998999999999999</v>
      </c>
      <c r="CU87" s="12">
        <v>42766</v>
      </c>
      <c r="CV87">
        <v>4.9660000000000002</v>
      </c>
      <c r="CW87" s="12">
        <v>42766</v>
      </c>
      <c r="CX87">
        <v>6.8029999999999999</v>
      </c>
      <c r="CY87" s="12">
        <v>42853</v>
      </c>
      <c r="CZ87">
        <v>8.5869999999999997</v>
      </c>
      <c r="DA87" s="12">
        <v>42766</v>
      </c>
      <c r="DB87">
        <v>22.837</v>
      </c>
      <c r="DC87" s="12">
        <v>42766</v>
      </c>
      <c r="DD87">
        <v>20.280999999999999</v>
      </c>
      <c r="DE87" s="12">
        <v>42766</v>
      </c>
      <c r="DF87">
        <v>21.84</v>
      </c>
      <c r="DG87" s="12">
        <v>43524</v>
      </c>
      <c r="DH87">
        <v>33.5</v>
      </c>
      <c r="DI87" s="12">
        <v>42766</v>
      </c>
      <c r="DJ87">
        <v>11.678000000000001</v>
      </c>
      <c r="DK87" s="12">
        <v>42766</v>
      </c>
      <c r="DL87">
        <v>17.577999999999999</v>
      </c>
      <c r="DM87" s="12">
        <v>43189</v>
      </c>
      <c r="DN87">
        <v>7.7110000000000003</v>
      </c>
      <c r="DO87" s="12">
        <v>42766</v>
      </c>
      <c r="DP87">
        <v>12.343</v>
      </c>
      <c r="DQ87" s="12">
        <v>42766</v>
      </c>
      <c r="DR87">
        <v>11.73</v>
      </c>
      <c r="DS87" s="12">
        <v>42794</v>
      </c>
      <c r="DT87">
        <v>21.062999999999999</v>
      </c>
      <c r="DU87" s="12">
        <v>42766</v>
      </c>
      <c r="DV87">
        <v>11.169</v>
      </c>
      <c r="DW87" s="12">
        <v>42766</v>
      </c>
      <c r="DX87">
        <v>4.3949999999999996</v>
      </c>
      <c r="DY87" s="12">
        <v>42766</v>
      </c>
      <c r="DZ87">
        <v>12.186</v>
      </c>
      <c r="EC87" s="12">
        <v>42766</v>
      </c>
      <c r="ED87">
        <v>26.532</v>
      </c>
      <c r="EE87" s="12">
        <v>42766</v>
      </c>
      <c r="EF87">
        <v>16.745000000000001</v>
      </c>
      <c r="EI87" s="12">
        <v>42766</v>
      </c>
      <c r="EJ87">
        <v>19.664000000000001</v>
      </c>
      <c r="EK87" s="12">
        <v>42766</v>
      </c>
      <c r="EL87">
        <v>8.1229999999999993</v>
      </c>
      <c r="EM87" s="12">
        <v>42766</v>
      </c>
      <c r="EN87">
        <v>11.602</v>
      </c>
      <c r="EQ87" s="12">
        <v>42766</v>
      </c>
      <c r="ER87">
        <v>5.3170000000000002</v>
      </c>
      <c r="ES87" s="12">
        <v>42766</v>
      </c>
      <c r="ET87">
        <v>6.26</v>
      </c>
      <c r="EU87" s="12">
        <v>42766</v>
      </c>
      <c r="EV87">
        <v>5.3029999999999999</v>
      </c>
      <c r="EY87" s="12">
        <v>42766</v>
      </c>
      <c r="EZ87">
        <v>13.507999999999999</v>
      </c>
      <c r="FA87" s="12">
        <v>42766</v>
      </c>
      <c r="FB87">
        <v>23.559000000000001</v>
      </c>
      <c r="FC87" s="12">
        <v>42766</v>
      </c>
      <c r="FD87">
        <v>27.93</v>
      </c>
      <c r="FG87" s="12">
        <v>42766</v>
      </c>
      <c r="FH87">
        <v>6.4770000000000003</v>
      </c>
      <c r="FI87" s="12">
        <v>42766</v>
      </c>
      <c r="FJ87">
        <v>16.846</v>
      </c>
      <c r="FK87" s="12">
        <v>42766</v>
      </c>
      <c r="FL87">
        <v>20.087</v>
      </c>
      <c r="FM87" s="12">
        <v>42766</v>
      </c>
      <c r="FN87">
        <v>11.53</v>
      </c>
      <c r="FO87" s="12">
        <v>42766</v>
      </c>
      <c r="FP87">
        <v>19.308</v>
      </c>
      <c r="FS87" s="12">
        <v>42766</v>
      </c>
      <c r="FT87">
        <v>2.39</v>
      </c>
      <c r="FU87" s="12">
        <v>42766</v>
      </c>
      <c r="FV87">
        <v>12.836</v>
      </c>
      <c r="FW87" s="12">
        <v>42766</v>
      </c>
      <c r="FX87">
        <v>16.411999999999999</v>
      </c>
      <c r="FY87" s="12">
        <v>43616</v>
      </c>
      <c r="FZ87">
        <v>14.481999999999999</v>
      </c>
      <c r="GA87" s="12">
        <v>42766</v>
      </c>
      <c r="GB87">
        <v>17.571000000000002</v>
      </c>
      <c r="GC87" s="12">
        <v>42766</v>
      </c>
      <c r="GD87">
        <v>19.329999999999998</v>
      </c>
      <c r="GI87" s="12">
        <v>42766</v>
      </c>
      <c r="GJ87">
        <v>18.914000000000001</v>
      </c>
      <c r="GK87" s="12">
        <v>42766</v>
      </c>
      <c r="GL87">
        <v>22.373000000000001</v>
      </c>
      <c r="GM87" s="12">
        <v>42766</v>
      </c>
      <c r="GN87">
        <v>40.177</v>
      </c>
      <c r="GO87" s="12">
        <v>43251</v>
      </c>
      <c r="GP87">
        <v>13.442</v>
      </c>
      <c r="GQ87" s="12">
        <v>42886</v>
      </c>
      <c r="GR87">
        <v>3.65</v>
      </c>
      <c r="GS87" s="12">
        <v>42766</v>
      </c>
      <c r="GT87">
        <v>5.41</v>
      </c>
      <c r="GW87" s="12">
        <v>42825</v>
      </c>
      <c r="GX87">
        <v>31.382000000000001</v>
      </c>
      <c r="GY87" s="12">
        <v>42766</v>
      </c>
      <c r="GZ87">
        <v>6.46</v>
      </c>
      <c r="HA87" s="12">
        <v>42766</v>
      </c>
      <c r="HB87">
        <v>9.64</v>
      </c>
      <c r="HC87" s="12">
        <v>42766</v>
      </c>
      <c r="HD87">
        <v>19.690999999999999</v>
      </c>
      <c r="HE87" s="12">
        <v>42766</v>
      </c>
      <c r="HF87">
        <v>11.739000000000001</v>
      </c>
      <c r="HG87" s="12">
        <v>42766</v>
      </c>
      <c r="HH87">
        <v>12.227</v>
      </c>
      <c r="HI87" s="12">
        <v>42766</v>
      </c>
      <c r="HJ87">
        <v>10.220000000000001</v>
      </c>
      <c r="HK87" s="12">
        <v>42766</v>
      </c>
      <c r="HL87">
        <v>4.4000000000000004</v>
      </c>
      <c r="HM87" s="12">
        <v>42766</v>
      </c>
      <c r="HN87">
        <v>2.7240000000000002</v>
      </c>
      <c r="HO87" s="12">
        <v>42766</v>
      </c>
      <c r="HP87">
        <v>2.4460000000000002</v>
      </c>
      <c r="HQ87" s="12">
        <v>42853</v>
      </c>
      <c r="HR87">
        <v>11.18</v>
      </c>
      <c r="HS87" s="12">
        <v>42766</v>
      </c>
      <c r="HT87">
        <v>56.142000000000003</v>
      </c>
      <c r="HU87" s="12">
        <v>42766</v>
      </c>
      <c r="HV87">
        <v>35.799999999999997</v>
      </c>
      <c r="HW87" s="12">
        <v>42766</v>
      </c>
      <c r="HX87">
        <v>15.766999999999999</v>
      </c>
      <c r="HY87" s="12">
        <v>42766</v>
      </c>
      <c r="HZ87">
        <v>13.935</v>
      </c>
      <c r="IA87" s="12">
        <v>42766</v>
      </c>
      <c r="IB87">
        <v>24.48</v>
      </c>
      <c r="IC87" s="12">
        <v>42766</v>
      </c>
      <c r="ID87">
        <v>2.6720000000000002</v>
      </c>
      <c r="IE87" s="12">
        <v>42766</v>
      </c>
      <c r="IF87">
        <v>3.3759999999999999</v>
      </c>
      <c r="IG87" s="12">
        <v>43069</v>
      </c>
      <c r="IH87">
        <v>6.4089999999999998</v>
      </c>
      <c r="II87" s="12">
        <v>42766</v>
      </c>
      <c r="IJ87">
        <v>8.15</v>
      </c>
      <c r="IM87" s="12">
        <v>42766</v>
      </c>
      <c r="IN87">
        <v>21.664999999999999</v>
      </c>
      <c r="IO87" s="12">
        <v>43312</v>
      </c>
      <c r="IP87">
        <v>16.818999999999999</v>
      </c>
      <c r="IQ87" s="12">
        <v>42766</v>
      </c>
      <c r="IR87">
        <v>63.713999999999999</v>
      </c>
      <c r="IU87" s="12">
        <v>42766</v>
      </c>
      <c r="IV87">
        <v>3.6966999999999999</v>
      </c>
      <c r="IY87" s="12">
        <v>42766</v>
      </c>
      <c r="IZ87">
        <v>10.727</v>
      </c>
      <c r="JC87" s="12">
        <v>42766</v>
      </c>
      <c r="JD87">
        <v>8</v>
      </c>
      <c r="JE87" s="12">
        <v>42766</v>
      </c>
      <c r="JF87">
        <v>8.1999999999999993</v>
      </c>
      <c r="JI87" s="12">
        <v>42766</v>
      </c>
      <c r="JJ87">
        <v>26.581</v>
      </c>
      <c r="JM87" s="12">
        <v>42766</v>
      </c>
      <c r="JN87">
        <v>3.91</v>
      </c>
      <c r="JO87" s="12">
        <v>42766</v>
      </c>
      <c r="JP87">
        <v>27.677</v>
      </c>
      <c r="JS87" s="12">
        <v>42766</v>
      </c>
      <c r="JT87">
        <v>6.6769999999999996</v>
      </c>
      <c r="JW87" s="12">
        <v>42766</v>
      </c>
      <c r="JX87">
        <v>19.018000000000001</v>
      </c>
      <c r="JY87" s="12">
        <v>42766</v>
      </c>
      <c r="JZ87">
        <v>14.89</v>
      </c>
      <c r="KC87" s="12">
        <v>42766</v>
      </c>
      <c r="KD87">
        <v>13.05</v>
      </c>
      <c r="KE87" s="12">
        <v>42766</v>
      </c>
      <c r="KF87">
        <v>16.114999999999998</v>
      </c>
      <c r="KI87" s="12">
        <v>42766</v>
      </c>
      <c r="KJ87">
        <v>2.7720000000000002</v>
      </c>
      <c r="KQ87" s="12">
        <v>42766</v>
      </c>
      <c r="KR87">
        <v>12.6</v>
      </c>
      <c r="KS87" s="12">
        <v>42766</v>
      </c>
      <c r="KT87">
        <v>11.635999999999999</v>
      </c>
      <c r="KU87" s="12">
        <v>42766</v>
      </c>
      <c r="KV87">
        <v>8.3010000000000002</v>
      </c>
      <c r="LC87" s="12">
        <v>42766</v>
      </c>
      <c r="LD87">
        <v>8.4269999999999996</v>
      </c>
      <c r="LE87" s="12">
        <v>42766</v>
      </c>
      <c r="LF87">
        <v>12.121</v>
      </c>
      <c r="LG87" s="12">
        <v>42766</v>
      </c>
      <c r="LH87">
        <v>9.82</v>
      </c>
      <c r="LI87" s="12">
        <v>42766</v>
      </c>
      <c r="LJ87">
        <v>30.289000000000001</v>
      </c>
      <c r="LM87" s="12">
        <v>42766</v>
      </c>
      <c r="LN87">
        <v>8.0730000000000004</v>
      </c>
      <c r="LO87" s="12">
        <v>42766</v>
      </c>
      <c r="LP87">
        <v>5.0919999999999996</v>
      </c>
      <c r="LQ87" s="12">
        <v>42766</v>
      </c>
      <c r="LR87">
        <v>28.85</v>
      </c>
      <c r="LS87" s="12">
        <v>42766</v>
      </c>
      <c r="LT87">
        <v>29.52</v>
      </c>
      <c r="LW87" s="12">
        <v>42766</v>
      </c>
      <c r="LX87">
        <v>18.971</v>
      </c>
      <c r="LY87" s="12">
        <v>42766</v>
      </c>
      <c r="LZ87">
        <v>37.152000000000001</v>
      </c>
      <c r="MA87" s="12">
        <v>42766</v>
      </c>
      <c r="MB87">
        <v>19.244</v>
      </c>
      <c r="ME87" s="12">
        <v>42794</v>
      </c>
      <c r="MF87">
        <v>4.0199999999999996</v>
      </c>
      <c r="MG87" s="12">
        <v>42766</v>
      </c>
      <c r="MH87">
        <v>11.566000000000001</v>
      </c>
      <c r="MK87" s="12">
        <v>42766</v>
      </c>
      <c r="ML87">
        <v>14.058</v>
      </c>
    </row>
    <row r="88" spans="1:350" x14ac:dyDescent="0.3">
      <c r="A88" s="12">
        <v>42794</v>
      </c>
      <c r="B88" s="1">
        <v>16.439</v>
      </c>
      <c r="C88" s="1"/>
      <c r="G88" s="17">
        <v>42794</v>
      </c>
      <c r="H88" s="13">
        <v>8.9260000000000002</v>
      </c>
      <c r="I88" s="17">
        <v>42825</v>
      </c>
      <c r="J88">
        <v>15.08</v>
      </c>
      <c r="N88" s="12"/>
      <c r="U88" s="12">
        <v>43220</v>
      </c>
      <c r="V88">
        <v>50.067999999999998</v>
      </c>
      <c r="Y88" s="12">
        <v>42794</v>
      </c>
      <c r="Z88">
        <v>17.274999999999999</v>
      </c>
      <c r="AA88" s="12">
        <v>42794</v>
      </c>
      <c r="AB88">
        <v>28.805</v>
      </c>
      <c r="AC88" s="12">
        <v>42794</v>
      </c>
      <c r="AD88">
        <v>17.913</v>
      </c>
      <c r="AE88" s="12">
        <v>42794</v>
      </c>
      <c r="AF88">
        <v>18.309000000000001</v>
      </c>
      <c r="AG88" s="12">
        <v>42794</v>
      </c>
      <c r="AH88">
        <v>17.649999999999999</v>
      </c>
      <c r="AK88" s="12">
        <v>42794</v>
      </c>
      <c r="AL88">
        <v>10.507999999999999</v>
      </c>
      <c r="AS88" s="12">
        <v>42794</v>
      </c>
      <c r="AT88">
        <v>2.4870000000000001</v>
      </c>
      <c r="AU88" s="12">
        <v>42794</v>
      </c>
      <c r="AV88">
        <v>20.114000000000001</v>
      </c>
      <c r="AY88" s="12">
        <v>42794</v>
      </c>
      <c r="AZ88">
        <v>40.619999999999997</v>
      </c>
      <c r="BA88" s="12">
        <v>42794</v>
      </c>
      <c r="BB88">
        <v>29.308</v>
      </c>
      <c r="BC88" s="12">
        <v>42794</v>
      </c>
      <c r="BD88">
        <v>11.99</v>
      </c>
      <c r="BE88" s="12">
        <v>42886</v>
      </c>
      <c r="BF88">
        <v>8.4949999999999992</v>
      </c>
      <c r="BG88" s="12">
        <v>42794</v>
      </c>
      <c r="BH88">
        <v>13.128</v>
      </c>
      <c r="BI88" s="12">
        <v>42794</v>
      </c>
      <c r="BJ88">
        <v>11.872999999999999</v>
      </c>
      <c r="BK88" s="12">
        <v>42794</v>
      </c>
      <c r="BL88">
        <v>15.374000000000001</v>
      </c>
      <c r="BM88" s="12">
        <v>42794</v>
      </c>
      <c r="BN88">
        <v>15.568</v>
      </c>
      <c r="BO88" s="12">
        <v>42794</v>
      </c>
      <c r="BP88">
        <v>18.763999999999999</v>
      </c>
      <c r="BQ88" s="12">
        <v>42794</v>
      </c>
      <c r="BR88">
        <v>12.561999999999999</v>
      </c>
      <c r="BS88" s="12">
        <v>42794</v>
      </c>
      <c r="BT88">
        <v>8.9169999999999998</v>
      </c>
      <c r="BW88" s="12">
        <v>42794</v>
      </c>
      <c r="BX88">
        <v>12.705</v>
      </c>
      <c r="BY88" s="12">
        <v>42794</v>
      </c>
      <c r="BZ88">
        <v>24.847000000000001</v>
      </c>
      <c r="CA88" s="12">
        <v>42794</v>
      </c>
      <c r="CB88">
        <v>27.72</v>
      </c>
      <c r="CG88" s="12">
        <v>42794</v>
      </c>
      <c r="CH88">
        <v>37.003999999999998</v>
      </c>
      <c r="CI88" s="12">
        <v>42794</v>
      </c>
      <c r="CJ88">
        <v>42.502000000000002</v>
      </c>
      <c r="CK88" s="12">
        <v>42794</v>
      </c>
      <c r="CL88">
        <v>11.17</v>
      </c>
      <c r="CM88" s="12">
        <v>42794</v>
      </c>
      <c r="CN88">
        <v>46.738</v>
      </c>
      <c r="CQ88" s="12">
        <v>42794</v>
      </c>
      <c r="CR88">
        <v>11.115</v>
      </c>
      <c r="CS88" s="12">
        <v>42794</v>
      </c>
      <c r="CT88">
        <v>22.969000000000001</v>
      </c>
      <c r="CU88" s="12">
        <v>42794</v>
      </c>
      <c r="CV88">
        <v>4.7300000000000004</v>
      </c>
      <c r="CW88" s="12">
        <v>42794</v>
      </c>
      <c r="CX88">
        <v>7.6219999999999999</v>
      </c>
      <c r="CY88" s="12">
        <v>42886</v>
      </c>
      <c r="CZ88">
        <v>8.3689999999999998</v>
      </c>
      <c r="DA88" s="12">
        <v>42794</v>
      </c>
      <c r="DB88">
        <v>23.59</v>
      </c>
      <c r="DC88" s="12">
        <v>42794</v>
      </c>
      <c r="DD88">
        <v>20.923999999999999</v>
      </c>
      <c r="DE88" s="12">
        <v>42794</v>
      </c>
      <c r="DF88">
        <v>21.742999999999999</v>
      </c>
      <c r="DG88" s="12">
        <v>43553</v>
      </c>
      <c r="DH88">
        <v>34.5</v>
      </c>
      <c r="DI88" s="12">
        <v>42794</v>
      </c>
      <c r="DJ88">
        <v>12.411</v>
      </c>
      <c r="DK88" s="12">
        <v>42794</v>
      </c>
      <c r="DL88">
        <v>17.510000000000002</v>
      </c>
      <c r="DM88" s="12">
        <v>43220</v>
      </c>
      <c r="DN88">
        <v>9.9320000000000004</v>
      </c>
      <c r="DO88" s="12">
        <v>42794</v>
      </c>
      <c r="DP88">
        <v>12.061999999999999</v>
      </c>
      <c r="DQ88" s="12">
        <v>42794</v>
      </c>
      <c r="DR88">
        <v>13.55</v>
      </c>
      <c r="DS88" s="12">
        <v>42825</v>
      </c>
      <c r="DT88">
        <v>21.155999999999999</v>
      </c>
      <c r="DU88" s="12">
        <v>42794</v>
      </c>
      <c r="DV88">
        <v>11.442</v>
      </c>
      <c r="DW88" s="12">
        <v>42794</v>
      </c>
      <c r="DX88">
        <v>4.9429999999999996</v>
      </c>
      <c r="DY88" s="12">
        <v>42794</v>
      </c>
      <c r="DZ88">
        <v>12.827</v>
      </c>
      <c r="EC88" s="12">
        <v>42794</v>
      </c>
      <c r="ED88">
        <v>24.012</v>
      </c>
      <c r="EE88" s="12">
        <v>42794</v>
      </c>
      <c r="EF88">
        <v>19.100000000000001</v>
      </c>
      <c r="EI88" s="12">
        <v>42794</v>
      </c>
      <c r="EJ88">
        <v>18.305</v>
      </c>
      <c r="EK88" s="12">
        <v>42794</v>
      </c>
      <c r="EL88">
        <v>8.5839999999999996</v>
      </c>
      <c r="EM88" s="12">
        <v>42794</v>
      </c>
      <c r="EN88">
        <v>12.316000000000001</v>
      </c>
      <c r="EQ88" s="12">
        <v>42794</v>
      </c>
      <c r="ER88">
        <v>5.5440000000000005</v>
      </c>
      <c r="ES88" s="12">
        <v>42794</v>
      </c>
      <c r="ET88">
        <v>8.48</v>
      </c>
      <c r="EU88" s="12">
        <v>42794</v>
      </c>
      <c r="EV88">
        <v>5.7279999999999998</v>
      </c>
      <c r="EY88" s="12">
        <v>42794</v>
      </c>
      <c r="EZ88">
        <v>15.173</v>
      </c>
      <c r="FA88" s="12">
        <v>42794</v>
      </c>
      <c r="FB88">
        <v>23.315999999999999</v>
      </c>
      <c r="FC88" s="12">
        <v>42794</v>
      </c>
      <c r="FD88">
        <v>29.148</v>
      </c>
      <c r="FG88" s="12">
        <v>42794</v>
      </c>
      <c r="FH88">
        <v>7.17</v>
      </c>
      <c r="FI88" s="12">
        <v>42794</v>
      </c>
      <c r="FJ88">
        <v>18.760000000000002</v>
      </c>
      <c r="FK88" s="12">
        <v>42794</v>
      </c>
      <c r="FL88">
        <v>22.016999999999999</v>
      </c>
      <c r="FM88" s="12">
        <v>42794</v>
      </c>
      <c r="FN88">
        <v>11.337</v>
      </c>
      <c r="FO88" s="12">
        <v>42794</v>
      </c>
      <c r="FP88">
        <v>20.187999999999999</v>
      </c>
      <c r="FS88" s="12">
        <v>42794</v>
      </c>
      <c r="FT88">
        <v>2.3810000000000002</v>
      </c>
      <c r="FU88" s="12">
        <v>42794</v>
      </c>
      <c r="FV88">
        <v>13.08</v>
      </c>
      <c r="FW88" s="12">
        <v>42794</v>
      </c>
      <c r="FX88">
        <v>16.088000000000001</v>
      </c>
      <c r="FY88" s="12">
        <v>43644</v>
      </c>
      <c r="FZ88">
        <v>15.997999999999999</v>
      </c>
      <c r="GA88" s="12">
        <v>42794</v>
      </c>
      <c r="GB88">
        <v>18.084</v>
      </c>
      <c r="GC88" s="12">
        <v>42794</v>
      </c>
      <c r="GD88">
        <v>21.934000000000001</v>
      </c>
      <c r="GI88" s="12">
        <v>42794</v>
      </c>
      <c r="GJ88">
        <v>20.236000000000001</v>
      </c>
      <c r="GK88" s="12">
        <v>42794</v>
      </c>
      <c r="GL88">
        <v>22.83</v>
      </c>
      <c r="GM88" s="12">
        <v>42794</v>
      </c>
      <c r="GN88">
        <v>44.807000000000002</v>
      </c>
      <c r="GO88" s="12">
        <v>43280</v>
      </c>
      <c r="GP88">
        <v>15.868</v>
      </c>
      <c r="GQ88" s="12">
        <v>42916</v>
      </c>
      <c r="GR88">
        <v>3.65</v>
      </c>
      <c r="GS88" s="12">
        <v>42794</v>
      </c>
      <c r="GT88">
        <v>5.04</v>
      </c>
      <c r="GW88" s="12">
        <v>42853</v>
      </c>
      <c r="GX88">
        <v>34.067</v>
      </c>
      <c r="GY88" s="12">
        <v>42794</v>
      </c>
      <c r="GZ88">
        <v>6.25</v>
      </c>
      <c r="HA88" s="12">
        <v>42794</v>
      </c>
      <c r="HB88">
        <v>10.789</v>
      </c>
      <c r="HC88" s="12">
        <v>42794</v>
      </c>
      <c r="HD88">
        <v>20.271999999999998</v>
      </c>
      <c r="HE88" s="12">
        <v>42794</v>
      </c>
      <c r="HF88">
        <v>12.795999999999999</v>
      </c>
      <c r="HG88" s="12">
        <v>42794</v>
      </c>
      <c r="HH88">
        <v>12.397</v>
      </c>
      <c r="HI88" s="12">
        <v>42794</v>
      </c>
      <c r="HJ88">
        <v>10.895</v>
      </c>
      <c r="HK88" s="12">
        <v>42794</v>
      </c>
      <c r="HL88">
        <v>3.95</v>
      </c>
      <c r="HM88" s="12">
        <v>42794</v>
      </c>
      <c r="HN88">
        <v>3.1640000000000001</v>
      </c>
      <c r="HO88" s="12">
        <v>42794</v>
      </c>
      <c r="HP88">
        <v>2.629</v>
      </c>
      <c r="HQ88" s="12">
        <v>42886</v>
      </c>
      <c r="HR88">
        <v>10.07</v>
      </c>
      <c r="HS88" s="12">
        <v>42794</v>
      </c>
      <c r="HT88">
        <v>55.667999999999999</v>
      </c>
      <c r="HU88" s="12">
        <v>42794</v>
      </c>
      <c r="HV88">
        <v>19.8</v>
      </c>
      <c r="HW88" s="12">
        <v>42794</v>
      </c>
      <c r="HX88">
        <v>15.542999999999999</v>
      </c>
      <c r="HY88" s="12">
        <v>42794</v>
      </c>
      <c r="HZ88">
        <v>14.084</v>
      </c>
      <c r="IA88" s="12">
        <v>42794</v>
      </c>
      <c r="IB88">
        <v>22.78</v>
      </c>
      <c r="IC88" s="12">
        <v>42794</v>
      </c>
      <c r="ID88">
        <v>2.5609999999999999</v>
      </c>
      <c r="IE88" s="12">
        <v>42794</v>
      </c>
      <c r="IF88">
        <v>4.0220000000000002</v>
      </c>
      <c r="IG88" s="12">
        <v>43098</v>
      </c>
      <c r="IH88">
        <v>8.18</v>
      </c>
      <c r="II88" s="12">
        <v>42794</v>
      </c>
      <c r="IJ88">
        <v>8.9</v>
      </c>
      <c r="IM88" s="12">
        <v>42794</v>
      </c>
      <c r="IN88">
        <v>23.824999999999999</v>
      </c>
      <c r="IO88" s="12">
        <v>43343</v>
      </c>
      <c r="IP88">
        <v>13.22</v>
      </c>
      <c r="IQ88" s="12">
        <v>42794</v>
      </c>
      <c r="IR88">
        <v>57.78</v>
      </c>
      <c r="IU88" s="12">
        <v>42794</v>
      </c>
      <c r="IV88">
        <v>4.2072000000000003</v>
      </c>
      <c r="IY88" s="12">
        <v>42794</v>
      </c>
      <c r="IZ88">
        <v>11.215999999999999</v>
      </c>
      <c r="JC88" s="12">
        <v>42794</v>
      </c>
      <c r="JD88">
        <v>8.52</v>
      </c>
      <c r="JE88" s="12">
        <v>42794</v>
      </c>
      <c r="JF88">
        <v>7.15</v>
      </c>
      <c r="JI88" s="12">
        <v>42794</v>
      </c>
      <c r="JJ88">
        <v>29.17</v>
      </c>
      <c r="JM88" s="12">
        <v>42794</v>
      </c>
      <c r="JN88">
        <v>3.9929999999999999</v>
      </c>
      <c r="JO88" s="12">
        <v>42794</v>
      </c>
      <c r="JP88">
        <v>29.027999999999999</v>
      </c>
      <c r="JS88" s="12">
        <v>42794</v>
      </c>
      <c r="JT88">
        <v>6.9950000000000001</v>
      </c>
      <c r="JW88" s="12">
        <v>42794</v>
      </c>
      <c r="JX88">
        <v>17.661000000000001</v>
      </c>
      <c r="JY88" s="12">
        <v>42794</v>
      </c>
      <c r="JZ88">
        <v>15.554</v>
      </c>
      <c r="KC88" s="12">
        <v>42794</v>
      </c>
      <c r="KD88">
        <v>13.099</v>
      </c>
      <c r="KE88" s="12">
        <v>42794</v>
      </c>
      <c r="KF88">
        <v>16.527999999999999</v>
      </c>
      <c r="KI88" s="12">
        <v>42794</v>
      </c>
      <c r="KJ88">
        <v>3.2490000000000001</v>
      </c>
      <c r="KQ88" s="12">
        <v>42794</v>
      </c>
      <c r="KR88">
        <v>14.44</v>
      </c>
      <c r="KS88" s="12">
        <v>42794</v>
      </c>
      <c r="KT88">
        <v>12.861000000000001</v>
      </c>
      <c r="KU88" s="12">
        <v>42794</v>
      </c>
      <c r="KV88">
        <v>9.0519999999999996</v>
      </c>
      <c r="LC88" s="12">
        <v>42794</v>
      </c>
      <c r="LD88">
        <v>8.1850000000000005</v>
      </c>
      <c r="LE88" s="12">
        <v>42794</v>
      </c>
      <c r="LF88">
        <v>12.333</v>
      </c>
      <c r="LG88" s="12">
        <v>42794</v>
      </c>
      <c r="LH88">
        <v>11.394</v>
      </c>
      <c r="LI88" s="12">
        <v>42794</v>
      </c>
      <c r="LJ88">
        <v>29.942</v>
      </c>
      <c r="LM88" s="12">
        <v>42794</v>
      </c>
      <c r="LN88">
        <v>8.7859999999999996</v>
      </c>
      <c r="LO88" s="12">
        <v>42794</v>
      </c>
      <c r="LP88">
        <v>4.782</v>
      </c>
      <c r="LQ88" s="12">
        <v>42794</v>
      </c>
      <c r="LR88">
        <v>29.334</v>
      </c>
      <c r="LS88" s="12">
        <v>42794</v>
      </c>
      <c r="LT88">
        <v>30.448</v>
      </c>
      <c r="LW88" s="12">
        <v>42794</v>
      </c>
      <c r="LX88">
        <v>19.390999999999998</v>
      </c>
      <c r="LY88" s="12">
        <v>42794</v>
      </c>
      <c r="LZ88">
        <v>36.546999999999997</v>
      </c>
      <c r="MA88" s="12">
        <v>42794</v>
      </c>
      <c r="MB88">
        <v>20.713000000000001</v>
      </c>
      <c r="ME88" s="12">
        <v>42825</v>
      </c>
      <c r="MF88">
        <v>3.6219999999999999</v>
      </c>
      <c r="MG88" s="12">
        <v>42794</v>
      </c>
      <c r="MH88">
        <v>12.343999999999999</v>
      </c>
      <c r="MK88" s="12">
        <v>42794</v>
      </c>
      <c r="ML88">
        <v>13.253</v>
      </c>
    </row>
    <row r="89" spans="1:350" x14ac:dyDescent="0.3">
      <c r="A89" s="12">
        <v>42825</v>
      </c>
      <c r="B89" s="1">
        <v>16.806999999999999</v>
      </c>
      <c r="C89" s="1"/>
      <c r="G89" s="17">
        <v>42825</v>
      </c>
      <c r="H89" s="13">
        <v>9.3550000000000004</v>
      </c>
      <c r="I89" s="17">
        <v>42853</v>
      </c>
      <c r="J89">
        <v>14.756</v>
      </c>
      <c r="N89" s="12"/>
      <c r="U89" s="12">
        <v>43251</v>
      </c>
      <c r="V89">
        <v>40.860999999999997</v>
      </c>
      <c r="Y89" s="12">
        <v>42825</v>
      </c>
      <c r="Z89">
        <v>17.52</v>
      </c>
      <c r="AA89" s="12">
        <v>42825</v>
      </c>
      <c r="AB89">
        <v>29.472999999999999</v>
      </c>
      <c r="AC89" s="12">
        <v>42825</v>
      </c>
      <c r="AD89">
        <v>17.603999999999999</v>
      </c>
      <c r="AE89" s="12">
        <v>42825</v>
      </c>
      <c r="AF89">
        <v>17.748999999999999</v>
      </c>
      <c r="AG89" s="12">
        <v>42825</v>
      </c>
      <c r="AH89">
        <v>16.062999999999999</v>
      </c>
      <c r="AK89" s="12">
        <v>42825</v>
      </c>
      <c r="AL89">
        <v>9.4960000000000004</v>
      </c>
      <c r="AS89" s="12">
        <v>42825</v>
      </c>
      <c r="AT89">
        <v>2.056</v>
      </c>
      <c r="AU89" s="12">
        <v>42825</v>
      </c>
      <c r="AV89">
        <v>18.776</v>
      </c>
      <c r="AY89" s="12">
        <v>42825</v>
      </c>
      <c r="AZ89">
        <v>38.61</v>
      </c>
      <c r="BA89" s="12">
        <v>42825</v>
      </c>
      <c r="BB89">
        <v>28.782</v>
      </c>
      <c r="BC89" s="12">
        <v>42825</v>
      </c>
      <c r="BD89">
        <v>11.644</v>
      </c>
      <c r="BE89" s="12">
        <v>42916</v>
      </c>
      <c r="BF89">
        <v>8.7569999999999997</v>
      </c>
      <c r="BG89" s="12">
        <v>42825</v>
      </c>
      <c r="BH89">
        <v>12.09</v>
      </c>
      <c r="BI89" s="12">
        <v>42825</v>
      </c>
      <c r="BJ89">
        <v>12.207000000000001</v>
      </c>
      <c r="BK89" s="12">
        <v>42825</v>
      </c>
      <c r="BL89">
        <v>15.34</v>
      </c>
      <c r="BM89" s="12">
        <v>42825</v>
      </c>
      <c r="BN89">
        <v>16.814</v>
      </c>
      <c r="BO89" s="12">
        <v>42825</v>
      </c>
      <c r="BP89">
        <v>19.591999999999999</v>
      </c>
      <c r="BQ89" s="12">
        <v>42825</v>
      </c>
      <c r="BR89">
        <v>10.975999999999999</v>
      </c>
      <c r="BS89" s="12">
        <v>42825</v>
      </c>
      <c r="BT89">
        <v>8.6080000000000005</v>
      </c>
      <c r="BW89" s="12">
        <v>42825</v>
      </c>
      <c r="BX89">
        <v>12.416</v>
      </c>
      <c r="BY89" s="12">
        <v>42825</v>
      </c>
      <c r="BZ89">
        <v>25.071000000000002</v>
      </c>
      <c r="CA89" s="12">
        <v>42825</v>
      </c>
      <c r="CB89">
        <v>26.931000000000001</v>
      </c>
      <c r="CG89" s="12">
        <v>42825</v>
      </c>
      <c r="CH89">
        <v>36.039000000000001</v>
      </c>
      <c r="CI89" s="12">
        <v>42825</v>
      </c>
      <c r="CJ89">
        <v>36.838999999999999</v>
      </c>
      <c r="CK89" s="12">
        <v>42825</v>
      </c>
      <c r="CL89">
        <v>8.4939999999999998</v>
      </c>
      <c r="CM89" s="12">
        <v>42825</v>
      </c>
      <c r="CN89">
        <v>49.5</v>
      </c>
      <c r="CQ89" s="12">
        <v>42825</v>
      </c>
      <c r="CR89">
        <v>11.329000000000001</v>
      </c>
      <c r="CS89" s="12">
        <v>42825</v>
      </c>
      <c r="CT89">
        <v>20.998999999999999</v>
      </c>
      <c r="CU89" s="12">
        <v>42825</v>
      </c>
      <c r="CV89">
        <v>4.7050000000000001</v>
      </c>
      <c r="CW89" s="12">
        <v>42825</v>
      </c>
      <c r="CX89">
        <v>8.3089999999999993</v>
      </c>
      <c r="CY89" s="12">
        <v>42916</v>
      </c>
      <c r="CZ89">
        <v>9.4149999999999991</v>
      </c>
      <c r="DA89" s="12">
        <v>42825</v>
      </c>
      <c r="DB89">
        <v>22.562999999999999</v>
      </c>
      <c r="DC89" s="12">
        <v>42825</v>
      </c>
      <c r="DD89">
        <v>16.649000000000001</v>
      </c>
      <c r="DE89" s="12">
        <v>42825</v>
      </c>
      <c r="DF89">
        <v>19.506</v>
      </c>
      <c r="DG89" s="12">
        <v>43585</v>
      </c>
      <c r="DH89">
        <v>32.65</v>
      </c>
      <c r="DI89" s="12">
        <v>42825</v>
      </c>
      <c r="DJ89">
        <v>13.797000000000001</v>
      </c>
      <c r="DK89" s="12">
        <v>42825</v>
      </c>
      <c r="DL89">
        <v>17.018000000000001</v>
      </c>
      <c r="DM89" s="12">
        <v>43251</v>
      </c>
      <c r="DN89">
        <v>9.4809999999999999</v>
      </c>
      <c r="DO89" s="12">
        <v>42825</v>
      </c>
      <c r="DP89">
        <v>12.256</v>
      </c>
      <c r="DQ89" s="12">
        <v>42825</v>
      </c>
      <c r="DR89">
        <v>14.5</v>
      </c>
      <c r="DS89" s="12">
        <v>42853</v>
      </c>
      <c r="DT89">
        <v>21.202999999999999</v>
      </c>
      <c r="DU89" s="12">
        <v>42825</v>
      </c>
      <c r="DV89">
        <v>11.302</v>
      </c>
      <c r="DW89" s="12">
        <v>42825</v>
      </c>
      <c r="DX89">
        <v>4.5030000000000001</v>
      </c>
      <c r="DY89" s="12">
        <v>42825</v>
      </c>
      <c r="DZ89">
        <v>12.847</v>
      </c>
      <c r="EC89" s="12">
        <v>42825</v>
      </c>
      <c r="ED89">
        <v>26.081</v>
      </c>
      <c r="EE89" s="12">
        <v>42825</v>
      </c>
      <c r="EF89">
        <v>18.855</v>
      </c>
      <c r="EI89" s="12">
        <v>42825</v>
      </c>
      <c r="EJ89">
        <v>16.155000000000001</v>
      </c>
      <c r="EK89" s="12">
        <v>42825</v>
      </c>
      <c r="EL89">
        <v>9.93</v>
      </c>
      <c r="EM89" s="12">
        <v>42825</v>
      </c>
      <c r="EN89">
        <v>10.356</v>
      </c>
      <c r="EQ89" s="12">
        <v>42825</v>
      </c>
      <c r="ER89">
        <v>4.6829999999999998</v>
      </c>
      <c r="ES89" s="12">
        <v>42825</v>
      </c>
      <c r="ET89">
        <v>8.34</v>
      </c>
      <c r="EU89" s="12">
        <v>42825</v>
      </c>
      <c r="EV89">
        <v>6.4950000000000001</v>
      </c>
      <c r="EY89" s="12">
        <v>42825</v>
      </c>
      <c r="EZ89">
        <v>15.661</v>
      </c>
      <c r="FA89" s="12">
        <v>42825</v>
      </c>
      <c r="FB89">
        <v>24.96</v>
      </c>
      <c r="FC89" s="12">
        <v>42825</v>
      </c>
      <c r="FD89">
        <v>30.742000000000001</v>
      </c>
      <c r="FG89" s="12">
        <v>42825</v>
      </c>
      <c r="FH89">
        <v>6.7949999999999999</v>
      </c>
      <c r="FI89" s="12">
        <v>42825</v>
      </c>
      <c r="FJ89">
        <v>18.103000000000002</v>
      </c>
      <c r="FK89" s="12">
        <v>42825</v>
      </c>
      <c r="FL89">
        <v>20.853000000000002</v>
      </c>
      <c r="FM89" s="12">
        <v>42825</v>
      </c>
      <c r="FN89">
        <v>9.8930000000000007</v>
      </c>
      <c r="FO89" s="12">
        <v>42825</v>
      </c>
      <c r="FP89">
        <v>23.475000000000001</v>
      </c>
      <c r="FS89" s="12">
        <v>42825</v>
      </c>
      <c r="FT89">
        <v>2.3119999999999998</v>
      </c>
      <c r="FU89" s="12">
        <v>42825</v>
      </c>
      <c r="FV89">
        <v>12.943999999999999</v>
      </c>
      <c r="FW89" s="12">
        <v>42825</v>
      </c>
      <c r="FX89">
        <v>16.048999999999999</v>
      </c>
      <c r="FY89" s="12">
        <v>43677</v>
      </c>
      <c r="FZ89">
        <v>16.364000000000001</v>
      </c>
      <c r="GA89" s="12">
        <v>42825</v>
      </c>
      <c r="GB89">
        <v>17.927</v>
      </c>
      <c r="GC89" s="12">
        <v>42825</v>
      </c>
      <c r="GD89">
        <v>19.417999999999999</v>
      </c>
      <c r="GI89" s="12">
        <v>42825</v>
      </c>
      <c r="GJ89">
        <v>22.081</v>
      </c>
      <c r="GK89" s="12">
        <v>42825</v>
      </c>
      <c r="GL89">
        <v>23.030999999999999</v>
      </c>
      <c r="GM89" s="12">
        <v>42825</v>
      </c>
      <c r="GN89">
        <v>41.435000000000002</v>
      </c>
      <c r="GO89" s="12">
        <v>43312</v>
      </c>
      <c r="GP89">
        <v>16.396999999999998</v>
      </c>
      <c r="GQ89" s="12">
        <v>42947</v>
      </c>
      <c r="GR89">
        <v>3.98</v>
      </c>
      <c r="GS89" s="12">
        <v>42825</v>
      </c>
      <c r="GT89">
        <v>4.8899999999999997</v>
      </c>
      <c r="GW89" s="12">
        <v>42886</v>
      </c>
      <c r="GX89">
        <v>35.502000000000002</v>
      </c>
      <c r="GY89" s="12">
        <v>42825</v>
      </c>
      <c r="GZ89">
        <v>5.71</v>
      </c>
      <c r="HA89" s="12">
        <v>42825</v>
      </c>
      <c r="HB89">
        <v>11.115</v>
      </c>
      <c r="HC89" s="12">
        <v>42825</v>
      </c>
      <c r="HD89">
        <v>20.905000000000001</v>
      </c>
      <c r="HE89" s="12">
        <v>42825</v>
      </c>
      <c r="HF89">
        <v>15.134</v>
      </c>
      <c r="HG89" s="12">
        <v>42825</v>
      </c>
      <c r="HH89">
        <v>14.11</v>
      </c>
      <c r="HI89" s="12">
        <v>42825</v>
      </c>
      <c r="HJ89">
        <v>10.323</v>
      </c>
      <c r="HK89" s="12">
        <v>42825</v>
      </c>
      <c r="HL89">
        <v>3.74</v>
      </c>
      <c r="HM89" s="12">
        <v>42825</v>
      </c>
      <c r="HN89">
        <v>3.09</v>
      </c>
      <c r="HO89" s="12">
        <v>42825</v>
      </c>
      <c r="HP89">
        <v>2.996</v>
      </c>
      <c r="HQ89" s="12">
        <v>42916</v>
      </c>
      <c r="HR89">
        <v>11.4</v>
      </c>
      <c r="HS89" s="12">
        <v>42825</v>
      </c>
      <c r="HT89">
        <v>58.234999999999999</v>
      </c>
      <c r="HU89" s="12">
        <v>42825</v>
      </c>
      <c r="HV89">
        <v>22.1</v>
      </c>
      <c r="HW89" s="12">
        <v>42825</v>
      </c>
      <c r="HX89">
        <v>14.754</v>
      </c>
      <c r="HY89" s="12">
        <v>42825</v>
      </c>
      <c r="HZ89">
        <v>13.443</v>
      </c>
      <c r="IA89" s="12">
        <v>42825</v>
      </c>
      <c r="IB89">
        <v>22.95</v>
      </c>
      <c r="IC89" s="12">
        <v>42825</v>
      </c>
      <c r="ID89">
        <v>2.431</v>
      </c>
      <c r="IE89" s="12">
        <v>42825</v>
      </c>
      <c r="IF89">
        <v>3.4750000000000001</v>
      </c>
      <c r="IG89" s="12">
        <v>43131</v>
      </c>
      <c r="IH89">
        <v>8.83</v>
      </c>
      <c r="II89" s="12">
        <v>42825</v>
      </c>
      <c r="IJ89">
        <v>9.27</v>
      </c>
      <c r="IM89" s="12">
        <v>42825</v>
      </c>
      <c r="IN89">
        <v>23.420999999999999</v>
      </c>
      <c r="IO89" s="12">
        <v>43371</v>
      </c>
      <c r="IP89">
        <v>13.824</v>
      </c>
      <c r="IQ89" s="12">
        <v>42825</v>
      </c>
      <c r="IR89">
        <v>57.223999999999997</v>
      </c>
      <c r="IU89" s="12">
        <v>42825</v>
      </c>
      <c r="IV89">
        <v>4.5381</v>
      </c>
      <c r="IY89" s="12">
        <v>42825</v>
      </c>
      <c r="IZ89">
        <v>12.185</v>
      </c>
      <c r="JC89" s="12">
        <v>42825</v>
      </c>
      <c r="JD89">
        <v>9.7799999999999994</v>
      </c>
      <c r="JE89" s="12">
        <v>42825</v>
      </c>
      <c r="JF89">
        <v>7.5</v>
      </c>
      <c r="JI89" s="12">
        <v>42825</v>
      </c>
      <c r="JJ89">
        <v>23.474</v>
      </c>
      <c r="JM89" s="12">
        <v>42825</v>
      </c>
      <c r="JN89">
        <v>3.0510000000000002</v>
      </c>
      <c r="JO89" s="12">
        <v>42825</v>
      </c>
      <c r="JP89">
        <v>28.771999999999998</v>
      </c>
      <c r="JS89" s="12">
        <v>42825</v>
      </c>
      <c r="JT89">
        <v>7.2469999999999999</v>
      </c>
      <c r="JW89" s="12">
        <v>42825</v>
      </c>
      <c r="JX89">
        <v>16.062000000000001</v>
      </c>
      <c r="JY89" s="12">
        <v>42825</v>
      </c>
      <c r="JZ89">
        <v>15.653</v>
      </c>
      <c r="KC89" s="12">
        <v>42825</v>
      </c>
      <c r="KD89">
        <v>12.914</v>
      </c>
      <c r="KE89" s="12">
        <v>42825</v>
      </c>
      <c r="KF89">
        <v>17.234000000000002</v>
      </c>
      <c r="KI89" s="12">
        <v>42825</v>
      </c>
      <c r="KJ89">
        <v>2.7</v>
      </c>
      <c r="KQ89" s="12">
        <v>42825</v>
      </c>
      <c r="KR89">
        <v>13.25</v>
      </c>
      <c r="KS89" s="12">
        <v>42825</v>
      </c>
      <c r="KT89">
        <v>10.964</v>
      </c>
      <c r="KU89" s="12">
        <v>42825</v>
      </c>
      <c r="KV89">
        <v>9.3670000000000009</v>
      </c>
      <c r="LC89" s="12">
        <v>42825</v>
      </c>
      <c r="LD89">
        <v>8.9629999999999992</v>
      </c>
      <c r="LE89" s="12">
        <v>42825</v>
      </c>
      <c r="LF89">
        <v>12.013999999999999</v>
      </c>
      <c r="LG89" s="12">
        <v>42825</v>
      </c>
      <c r="LH89">
        <v>12.151999999999999</v>
      </c>
      <c r="LI89" s="12">
        <v>42825</v>
      </c>
      <c r="LJ89">
        <v>33.238</v>
      </c>
      <c r="LM89" s="12">
        <v>42825</v>
      </c>
      <c r="LN89">
        <v>8.1809999999999992</v>
      </c>
      <c r="LO89" s="12">
        <v>42825</v>
      </c>
      <c r="LP89">
        <v>4.3070000000000004</v>
      </c>
      <c r="LQ89" s="12">
        <v>42825</v>
      </c>
      <c r="LR89">
        <v>26.707999999999998</v>
      </c>
      <c r="LS89" s="12">
        <v>42825</v>
      </c>
      <c r="LT89">
        <v>27.259</v>
      </c>
      <c r="LW89" s="12">
        <v>42825</v>
      </c>
      <c r="LX89">
        <v>17.88</v>
      </c>
      <c r="LY89" s="12">
        <v>42825</v>
      </c>
      <c r="LZ89">
        <v>37.305</v>
      </c>
      <c r="MA89" s="12">
        <v>42825</v>
      </c>
      <c r="MB89">
        <v>18.143999999999998</v>
      </c>
      <c r="ME89" s="12">
        <v>42853</v>
      </c>
      <c r="MF89">
        <v>4.4779999999999998</v>
      </c>
      <c r="MG89" s="12">
        <v>42825</v>
      </c>
      <c r="MH89">
        <v>12.746</v>
      </c>
      <c r="MK89" s="12">
        <v>42825</v>
      </c>
      <c r="ML89">
        <v>14.032</v>
      </c>
    </row>
    <row r="90" spans="1:350" x14ac:dyDescent="0.3">
      <c r="A90" s="12">
        <v>42853</v>
      </c>
      <c r="B90" s="1">
        <v>16.826000000000001</v>
      </c>
      <c r="C90" s="1"/>
      <c r="G90" s="17">
        <v>42853</v>
      </c>
      <c r="H90" s="13">
        <v>10.115</v>
      </c>
      <c r="I90" s="17">
        <v>42886</v>
      </c>
      <c r="J90">
        <v>13.464</v>
      </c>
      <c r="N90" s="12"/>
      <c r="U90" s="12">
        <v>43280</v>
      </c>
      <c r="V90">
        <v>42.628999999999998</v>
      </c>
      <c r="Y90" s="12">
        <v>42853</v>
      </c>
      <c r="Z90">
        <v>17.265999999999998</v>
      </c>
      <c r="AA90" s="12">
        <v>42853</v>
      </c>
      <c r="AB90">
        <v>28.67</v>
      </c>
      <c r="AC90" s="12">
        <v>42853</v>
      </c>
      <c r="AD90">
        <v>17.888000000000002</v>
      </c>
      <c r="AE90" s="12">
        <v>42853</v>
      </c>
      <c r="AF90">
        <v>18.324999999999999</v>
      </c>
      <c r="AG90" s="12">
        <v>42853</v>
      </c>
      <c r="AH90">
        <v>15.222</v>
      </c>
      <c r="AK90" s="12">
        <v>42853</v>
      </c>
      <c r="AL90">
        <v>10.1</v>
      </c>
      <c r="AS90" s="12">
        <v>42853</v>
      </c>
      <c r="AT90">
        <v>1.7650000000000001</v>
      </c>
      <c r="AU90" s="12">
        <v>42853</v>
      </c>
      <c r="AV90">
        <v>17.446000000000002</v>
      </c>
      <c r="AY90" s="12">
        <v>42853</v>
      </c>
      <c r="AZ90">
        <v>39.79</v>
      </c>
      <c r="BA90" s="12">
        <v>42853</v>
      </c>
      <c r="BB90">
        <v>30.949000000000002</v>
      </c>
      <c r="BC90" s="12">
        <v>42853</v>
      </c>
      <c r="BD90">
        <v>11.29</v>
      </c>
      <c r="BE90" s="12">
        <v>42947</v>
      </c>
      <c r="BF90">
        <v>9.4770000000000003</v>
      </c>
      <c r="BG90" s="12">
        <v>42853</v>
      </c>
      <c r="BH90">
        <v>11.362</v>
      </c>
      <c r="BI90" s="12">
        <v>42853</v>
      </c>
      <c r="BJ90">
        <v>13.225</v>
      </c>
      <c r="BK90" s="12">
        <v>42853</v>
      </c>
      <c r="BL90">
        <v>15.214</v>
      </c>
      <c r="BM90" s="12">
        <v>42853</v>
      </c>
      <c r="BN90">
        <v>15.768000000000001</v>
      </c>
      <c r="BO90" s="12">
        <v>42853</v>
      </c>
      <c r="BP90">
        <v>20.013999999999999</v>
      </c>
      <c r="BQ90" s="12">
        <v>42853</v>
      </c>
      <c r="BR90">
        <v>8.5500000000000007</v>
      </c>
      <c r="BS90" s="12">
        <v>42853</v>
      </c>
      <c r="BT90">
        <v>7.407</v>
      </c>
      <c r="BW90" s="12">
        <v>42853</v>
      </c>
      <c r="BX90">
        <v>13.977</v>
      </c>
      <c r="BY90" s="12">
        <v>42853</v>
      </c>
      <c r="BZ90">
        <v>25.294</v>
      </c>
      <c r="CA90" s="12">
        <v>42853</v>
      </c>
      <c r="CB90">
        <v>23.994</v>
      </c>
      <c r="CG90" s="12">
        <v>42853</v>
      </c>
      <c r="CH90">
        <v>34.415999999999997</v>
      </c>
      <c r="CI90" s="12">
        <v>42853</v>
      </c>
      <c r="CJ90">
        <v>30.004999999999999</v>
      </c>
      <c r="CK90" s="12">
        <v>42853</v>
      </c>
      <c r="CL90">
        <v>7.226</v>
      </c>
      <c r="CQ90" s="12">
        <v>42853</v>
      </c>
      <c r="CR90">
        <v>11.295</v>
      </c>
      <c r="CS90" s="12">
        <v>42853</v>
      </c>
      <c r="CT90">
        <v>26.280999999999999</v>
      </c>
      <c r="CU90" s="12">
        <v>42853</v>
      </c>
      <c r="CV90">
        <v>5.125</v>
      </c>
      <c r="CW90" s="12">
        <v>42853</v>
      </c>
      <c r="CX90">
        <v>8.0649999999999995</v>
      </c>
      <c r="CY90" s="12">
        <v>42947</v>
      </c>
      <c r="CZ90">
        <v>9.7240000000000002</v>
      </c>
      <c r="DA90" s="12">
        <v>42853</v>
      </c>
      <c r="DB90">
        <v>21.689</v>
      </c>
      <c r="DC90" s="12">
        <v>42853</v>
      </c>
      <c r="DD90">
        <v>17.584</v>
      </c>
      <c r="DE90" s="12">
        <v>42853</v>
      </c>
      <c r="DF90">
        <v>20.239999999999998</v>
      </c>
      <c r="DG90" s="12">
        <v>43616</v>
      </c>
      <c r="DH90">
        <v>33</v>
      </c>
      <c r="DI90" s="12">
        <v>42853</v>
      </c>
      <c r="DJ90">
        <v>15.04</v>
      </c>
      <c r="DK90" s="12">
        <v>42853</v>
      </c>
      <c r="DL90">
        <v>15.13</v>
      </c>
      <c r="DM90" s="12">
        <v>43280</v>
      </c>
      <c r="DN90">
        <v>11.510999999999999</v>
      </c>
      <c r="DO90" s="12">
        <v>42853</v>
      </c>
      <c r="DP90">
        <v>11.79</v>
      </c>
      <c r="DQ90" s="12">
        <v>42853</v>
      </c>
      <c r="DR90">
        <v>14.58</v>
      </c>
      <c r="DS90" s="12">
        <v>42886</v>
      </c>
      <c r="DT90">
        <v>20.97</v>
      </c>
      <c r="DU90" s="12">
        <v>42853</v>
      </c>
      <c r="DV90">
        <v>11.17</v>
      </c>
      <c r="DW90" s="12">
        <v>42853</v>
      </c>
      <c r="DX90">
        <v>4.3460000000000001</v>
      </c>
      <c r="DY90" s="12">
        <v>42853</v>
      </c>
      <c r="DZ90">
        <v>13.561</v>
      </c>
      <c r="EC90" s="12">
        <v>42853</v>
      </c>
      <c r="ED90">
        <v>26.56</v>
      </c>
      <c r="EE90" s="12">
        <v>42853</v>
      </c>
      <c r="EF90">
        <v>23.41</v>
      </c>
      <c r="EI90" s="12">
        <v>42853</v>
      </c>
      <c r="EJ90">
        <v>15.287000000000001</v>
      </c>
      <c r="EK90" s="12">
        <v>42853</v>
      </c>
      <c r="EL90">
        <v>9.1020000000000003</v>
      </c>
      <c r="EM90" s="12">
        <v>42853</v>
      </c>
      <c r="EN90">
        <v>9.32</v>
      </c>
      <c r="EQ90" s="12">
        <v>42853</v>
      </c>
      <c r="ER90">
        <v>4.3520000000000003</v>
      </c>
      <c r="ES90" s="12">
        <v>42853</v>
      </c>
      <c r="ET90">
        <v>10.039999999999999</v>
      </c>
      <c r="EU90" s="12">
        <v>42853</v>
      </c>
      <c r="EV90">
        <v>7.2160000000000002</v>
      </c>
      <c r="EY90" s="12">
        <v>42853</v>
      </c>
      <c r="EZ90">
        <v>19.190000000000001</v>
      </c>
      <c r="FA90" s="12">
        <v>42853</v>
      </c>
      <c r="FB90">
        <v>25.917000000000002</v>
      </c>
      <c r="FC90" s="12">
        <v>42853</v>
      </c>
      <c r="FD90">
        <v>31.721</v>
      </c>
      <c r="FG90" s="12">
        <v>42853</v>
      </c>
      <c r="FH90">
        <v>7.0739999999999998</v>
      </c>
      <c r="FI90" s="12">
        <v>42853</v>
      </c>
      <c r="FJ90">
        <v>18.266999999999999</v>
      </c>
      <c r="FK90" s="12">
        <v>42853</v>
      </c>
      <c r="FL90">
        <v>21.61</v>
      </c>
      <c r="FM90" s="12">
        <v>42853</v>
      </c>
      <c r="FN90">
        <v>9.9510000000000005</v>
      </c>
      <c r="FO90" s="12">
        <v>42853</v>
      </c>
      <c r="FP90">
        <v>24.530999999999999</v>
      </c>
      <c r="FS90" s="12">
        <v>42853</v>
      </c>
      <c r="FT90">
        <v>2.4510000000000001</v>
      </c>
      <c r="FU90" s="12">
        <v>42853</v>
      </c>
      <c r="FV90">
        <v>13.353999999999999</v>
      </c>
      <c r="FW90" s="12">
        <v>42853</v>
      </c>
      <c r="FX90">
        <v>16.52</v>
      </c>
      <c r="FY90" s="12">
        <v>43707</v>
      </c>
      <c r="FZ90">
        <v>18.016999999999999</v>
      </c>
      <c r="GA90" s="12">
        <v>42853</v>
      </c>
      <c r="GB90">
        <v>16.696000000000002</v>
      </c>
      <c r="GC90" s="12">
        <v>42853</v>
      </c>
      <c r="GD90">
        <v>21.472000000000001</v>
      </c>
      <c r="GI90" s="12">
        <v>42853</v>
      </c>
      <c r="GJ90">
        <v>23.593</v>
      </c>
      <c r="GK90" s="12">
        <v>42853</v>
      </c>
      <c r="GL90">
        <v>24.792999999999999</v>
      </c>
      <c r="GM90" s="12">
        <v>42853</v>
      </c>
      <c r="GN90">
        <v>47.396999999999998</v>
      </c>
      <c r="GO90" s="12">
        <v>43343</v>
      </c>
      <c r="GP90">
        <v>16.148</v>
      </c>
      <c r="GQ90" s="12">
        <v>42978</v>
      </c>
      <c r="GR90">
        <v>4.07</v>
      </c>
      <c r="GS90" s="12">
        <v>42853</v>
      </c>
      <c r="GT90">
        <v>4.84</v>
      </c>
      <c r="GW90" s="12">
        <v>42916</v>
      </c>
      <c r="GX90">
        <v>34.497999999999998</v>
      </c>
      <c r="GY90" s="12">
        <v>42853</v>
      </c>
      <c r="GZ90">
        <v>7.22</v>
      </c>
      <c r="HA90" s="12">
        <v>42853</v>
      </c>
      <c r="HB90">
        <v>12.337</v>
      </c>
      <c r="HC90" s="12">
        <v>42853</v>
      </c>
      <c r="HD90">
        <v>21.347000000000001</v>
      </c>
      <c r="HE90" s="12">
        <v>42853</v>
      </c>
      <c r="HF90">
        <v>15.17</v>
      </c>
      <c r="HG90" s="12">
        <v>42853</v>
      </c>
      <c r="HH90">
        <v>14.712999999999999</v>
      </c>
      <c r="HI90" s="12">
        <v>42853</v>
      </c>
      <c r="HJ90">
        <v>10.523</v>
      </c>
      <c r="HK90" s="12">
        <v>42853</v>
      </c>
      <c r="HL90">
        <v>3.34</v>
      </c>
      <c r="HM90" s="12">
        <v>42853</v>
      </c>
      <c r="HN90">
        <v>3.052</v>
      </c>
      <c r="HO90" s="12">
        <v>42853</v>
      </c>
      <c r="HP90">
        <v>2.5990000000000002</v>
      </c>
      <c r="HQ90" s="12">
        <v>42947</v>
      </c>
      <c r="HR90">
        <v>11</v>
      </c>
      <c r="HS90" s="12">
        <v>42853</v>
      </c>
      <c r="HT90">
        <v>69.524000000000001</v>
      </c>
      <c r="HU90" s="12">
        <v>42853</v>
      </c>
      <c r="HV90">
        <v>20</v>
      </c>
      <c r="HW90" s="12">
        <v>42853</v>
      </c>
      <c r="HX90">
        <v>13.984999999999999</v>
      </c>
      <c r="HY90" s="12">
        <v>42853</v>
      </c>
      <c r="HZ90">
        <v>12.961</v>
      </c>
      <c r="IA90" s="12">
        <v>42853</v>
      </c>
      <c r="IB90">
        <v>22.1</v>
      </c>
      <c r="IC90" s="12">
        <v>42853</v>
      </c>
      <c r="ID90">
        <v>2.2269999999999999</v>
      </c>
      <c r="IE90" s="12">
        <v>42853</v>
      </c>
      <c r="IF90">
        <v>3.6339999999999999</v>
      </c>
      <c r="IG90" s="12">
        <v>43159</v>
      </c>
      <c r="IH90">
        <v>7.25</v>
      </c>
      <c r="II90" s="12">
        <v>42853</v>
      </c>
      <c r="IJ90">
        <v>9.0299999999999994</v>
      </c>
      <c r="IM90" s="12">
        <v>42853</v>
      </c>
      <c r="IN90">
        <v>23.675999999999998</v>
      </c>
      <c r="IO90" s="12">
        <v>43404</v>
      </c>
      <c r="IP90">
        <v>12.079000000000001</v>
      </c>
      <c r="IQ90" s="12">
        <v>42853</v>
      </c>
      <c r="IR90">
        <v>65.787999999999997</v>
      </c>
      <c r="IU90" s="12">
        <v>42853</v>
      </c>
      <c r="IV90">
        <v>4.4436</v>
      </c>
      <c r="IY90" s="12">
        <v>42853</v>
      </c>
      <c r="IZ90">
        <v>13.832000000000001</v>
      </c>
      <c r="JC90" s="12">
        <v>42853</v>
      </c>
      <c r="JD90">
        <v>9.15</v>
      </c>
      <c r="JE90" s="12">
        <v>42853</v>
      </c>
      <c r="JF90">
        <v>6.3</v>
      </c>
      <c r="JI90" s="12">
        <v>42853</v>
      </c>
      <c r="JJ90">
        <v>23.277999999999999</v>
      </c>
      <c r="JM90" s="12">
        <v>42853</v>
      </c>
      <c r="JN90">
        <v>2.8529999999999998</v>
      </c>
      <c r="JO90" s="12">
        <v>42853</v>
      </c>
      <c r="JP90">
        <v>26.826000000000001</v>
      </c>
      <c r="JS90" s="12">
        <v>42853</v>
      </c>
      <c r="JT90">
        <v>8.032</v>
      </c>
      <c r="JW90" s="12">
        <v>42853</v>
      </c>
      <c r="JX90">
        <v>16.545999999999999</v>
      </c>
      <c r="JY90" s="12">
        <v>42853</v>
      </c>
      <c r="JZ90">
        <v>15.747</v>
      </c>
      <c r="KC90" s="12">
        <v>42853</v>
      </c>
      <c r="KD90">
        <v>13.06</v>
      </c>
      <c r="KE90" s="12">
        <v>42853</v>
      </c>
      <c r="KF90">
        <v>17.279</v>
      </c>
      <c r="KI90" s="12">
        <v>42853</v>
      </c>
      <c r="KJ90">
        <v>2.84</v>
      </c>
      <c r="KQ90" s="12">
        <v>42853</v>
      </c>
      <c r="KR90">
        <v>12.78</v>
      </c>
      <c r="KS90" s="12">
        <v>42853</v>
      </c>
      <c r="KT90">
        <v>10.865</v>
      </c>
      <c r="KU90" s="12">
        <v>42853</v>
      </c>
      <c r="KV90">
        <v>9.5730000000000004</v>
      </c>
      <c r="LC90" s="12">
        <v>42853</v>
      </c>
      <c r="LD90">
        <v>8.9939999999999998</v>
      </c>
      <c r="LE90" s="12">
        <v>42853</v>
      </c>
      <c r="LF90">
        <v>11.438000000000001</v>
      </c>
      <c r="LG90" s="12">
        <v>42853</v>
      </c>
      <c r="LH90">
        <v>12.661</v>
      </c>
      <c r="LI90" s="12">
        <v>42853</v>
      </c>
      <c r="LJ90">
        <v>32.680999999999997</v>
      </c>
      <c r="LM90" s="12">
        <v>42853</v>
      </c>
      <c r="LN90">
        <v>8.5709999999999997</v>
      </c>
      <c r="LO90" s="12">
        <v>42853</v>
      </c>
      <c r="LP90">
        <v>4.1319999999999997</v>
      </c>
      <c r="LQ90" s="12">
        <v>42853</v>
      </c>
      <c r="LR90">
        <v>25.449000000000002</v>
      </c>
      <c r="LS90" s="12">
        <v>42853</v>
      </c>
      <c r="LT90">
        <v>26.26</v>
      </c>
      <c r="LW90" s="12">
        <v>42853</v>
      </c>
      <c r="LX90">
        <v>16.704000000000001</v>
      </c>
      <c r="LY90" s="12">
        <v>42853</v>
      </c>
      <c r="LZ90">
        <v>38.853000000000002</v>
      </c>
      <c r="MA90" s="12">
        <v>42853</v>
      </c>
      <c r="MB90">
        <v>18.024000000000001</v>
      </c>
      <c r="ME90" s="12">
        <v>42886</v>
      </c>
      <c r="MF90">
        <v>3.6720000000000002</v>
      </c>
      <c r="MG90" s="12">
        <v>42853</v>
      </c>
      <c r="MH90">
        <v>12.965999999999999</v>
      </c>
      <c r="MK90" s="12">
        <v>42853</v>
      </c>
      <c r="ML90">
        <v>16.038</v>
      </c>
    </row>
    <row r="91" spans="1:350" x14ac:dyDescent="0.3">
      <c r="A91" s="12">
        <v>42886</v>
      </c>
      <c r="B91" s="1">
        <v>17.239999999999998</v>
      </c>
      <c r="C91" s="1"/>
      <c r="G91" s="17">
        <v>42886</v>
      </c>
      <c r="H91" s="13">
        <v>9.11</v>
      </c>
      <c r="I91" s="17">
        <v>42916</v>
      </c>
      <c r="J91">
        <v>14.756</v>
      </c>
      <c r="N91" s="12"/>
      <c r="U91" s="12">
        <v>43312</v>
      </c>
      <c r="V91">
        <v>40.98</v>
      </c>
      <c r="Y91" s="12">
        <v>42886</v>
      </c>
      <c r="Z91">
        <v>16.792000000000002</v>
      </c>
      <c r="AA91" s="12">
        <v>42886</v>
      </c>
      <c r="AB91">
        <v>24.905000000000001</v>
      </c>
      <c r="AC91" s="12">
        <v>42886</v>
      </c>
      <c r="AD91">
        <v>16.361000000000001</v>
      </c>
      <c r="AE91" s="12">
        <v>42886</v>
      </c>
      <c r="AF91">
        <v>16.614000000000001</v>
      </c>
      <c r="AG91" s="12">
        <v>42886</v>
      </c>
      <c r="AH91">
        <v>14.382</v>
      </c>
      <c r="AK91" s="12">
        <v>42886</v>
      </c>
      <c r="AL91">
        <v>10.92</v>
      </c>
      <c r="AS91" s="12">
        <v>42886</v>
      </c>
      <c r="AT91">
        <v>1.6890000000000001</v>
      </c>
      <c r="AU91" s="12">
        <v>42886</v>
      </c>
      <c r="AV91">
        <v>16.805</v>
      </c>
      <c r="AY91" s="12">
        <v>42886</v>
      </c>
      <c r="AZ91">
        <v>43.32</v>
      </c>
      <c r="BA91" s="12">
        <v>42886</v>
      </c>
      <c r="BB91">
        <v>30.033000000000001</v>
      </c>
      <c r="BC91" s="12">
        <v>42886</v>
      </c>
      <c r="BD91">
        <v>11.124000000000001</v>
      </c>
      <c r="BE91" s="12">
        <v>42978</v>
      </c>
      <c r="BF91">
        <v>10.682</v>
      </c>
      <c r="BG91" s="12">
        <v>42886</v>
      </c>
      <c r="BH91">
        <v>11.249000000000001</v>
      </c>
      <c r="BI91" s="12">
        <v>42886</v>
      </c>
      <c r="BJ91">
        <v>12.484</v>
      </c>
      <c r="BK91" s="12">
        <v>42886</v>
      </c>
      <c r="BL91">
        <v>14.250999999999999</v>
      </c>
      <c r="BM91" s="12">
        <v>42886</v>
      </c>
      <c r="BN91">
        <v>14.666</v>
      </c>
      <c r="BO91" s="12">
        <v>42886</v>
      </c>
      <c r="BP91">
        <v>18.943000000000001</v>
      </c>
      <c r="BQ91" s="12">
        <v>42886</v>
      </c>
      <c r="BR91">
        <v>7.157</v>
      </c>
      <c r="BS91" s="12">
        <v>42886</v>
      </c>
      <c r="BT91">
        <v>6.5449999999999999</v>
      </c>
      <c r="BW91" s="12">
        <v>42886</v>
      </c>
      <c r="BX91">
        <v>13.664</v>
      </c>
      <c r="BY91" s="12">
        <v>42886</v>
      </c>
      <c r="BZ91">
        <v>25.576000000000001</v>
      </c>
      <c r="CA91" s="12">
        <v>42886</v>
      </c>
      <c r="CB91">
        <v>24.515000000000001</v>
      </c>
      <c r="CG91" s="12">
        <v>42886</v>
      </c>
      <c r="CH91">
        <v>34.274999999999999</v>
      </c>
      <c r="CI91" s="12">
        <v>42886</v>
      </c>
      <c r="CJ91">
        <v>29.088000000000001</v>
      </c>
      <c r="CK91" s="12">
        <v>42886</v>
      </c>
      <c r="CL91">
        <v>6.3959999999999999</v>
      </c>
      <c r="CQ91" s="12">
        <v>42886</v>
      </c>
      <c r="CR91">
        <v>9.2129999999999992</v>
      </c>
      <c r="CS91" s="12">
        <v>42886</v>
      </c>
      <c r="CT91">
        <v>28.518999999999998</v>
      </c>
      <c r="CU91" s="12">
        <v>42886</v>
      </c>
      <c r="CV91">
        <v>4.2930000000000001</v>
      </c>
      <c r="CW91" s="12">
        <v>42886</v>
      </c>
      <c r="CX91">
        <v>7.2519999999999998</v>
      </c>
      <c r="CY91" s="12">
        <v>42978</v>
      </c>
      <c r="CZ91">
        <v>9.7330000000000005</v>
      </c>
      <c r="DA91" s="12">
        <v>42886</v>
      </c>
      <c r="DB91">
        <v>21.562999999999999</v>
      </c>
      <c r="DC91" s="12">
        <v>42886</v>
      </c>
      <c r="DD91">
        <v>13.388</v>
      </c>
      <c r="DE91" s="12">
        <v>42886</v>
      </c>
      <c r="DF91">
        <v>16.55</v>
      </c>
      <c r="DG91" s="12">
        <v>43644</v>
      </c>
      <c r="DH91">
        <v>45.95</v>
      </c>
      <c r="DI91" s="12">
        <v>42886</v>
      </c>
      <c r="DJ91">
        <v>12.39</v>
      </c>
      <c r="DK91" s="12">
        <v>42886</v>
      </c>
      <c r="DL91">
        <v>15.771000000000001</v>
      </c>
      <c r="DM91" s="12">
        <v>43312</v>
      </c>
      <c r="DN91">
        <v>12.584</v>
      </c>
      <c r="DO91" s="12">
        <v>42886</v>
      </c>
      <c r="DP91">
        <v>11.72</v>
      </c>
      <c r="DQ91" s="12">
        <v>42886</v>
      </c>
      <c r="DR91">
        <v>13.61</v>
      </c>
      <c r="DS91" s="12">
        <v>42916</v>
      </c>
      <c r="DT91">
        <v>22.256</v>
      </c>
      <c r="DU91" s="12">
        <v>42886</v>
      </c>
      <c r="DV91">
        <v>10.375999999999999</v>
      </c>
      <c r="DW91" s="12">
        <v>42886</v>
      </c>
      <c r="DX91">
        <v>3.6710000000000003</v>
      </c>
      <c r="DY91" s="12">
        <v>42886</v>
      </c>
      <c r="DZ91">
        <v>12.547000000000001</v>
      </c>
      <c r="EC91" s="12">
        <v>42886</v>
      </c>
      <c r="ED91">
        <v>34.338000000000001</v>
      </c>
      <c r="EE91" s="12">
        <v>42886</v>
      </c>
      <c r="EF91">
        <v>25.305</v>
      </c>
      <c r="EI91" s="12">
        <v>42886</v>
      </c>
      <c r="EJ91">
        <v>8.9920000000000009</v>
      </c>
      <c r="EK91" s="12">
        <v>42886</v>
      </c>
      <c r="EL91">
        <v>8.9039999999999999</v>
      </c>
      <c r="EM91" s="12">
        <v>42886</v>
      </c>
      <c r="EN91">
        <v>9.0730000000000004</v>
      </c>
      <c r="EQ91" s="12">
        <v>42886</v>
      </c>
      <c r="ER91">
        <v>4.2190000000000003</v>
      </c>
      <c r="ES91" s="12">
        <v>42886</v>
      </c>
      <c r="ET91">
        <v>7.8</v>
      </c>
      <c r="EU91" s="12">
        <v>42886</v>
      </c>
      <c r="EV91">
        <v>7.7990000000000004</v>
      </c>
      <c r="EY91" s="12">
        <v>42886</v>
      </c>
      <c r="EZ91">
        <v>19.306000000000001</v>
      </c>
      <c r="FA91" s="12">
        <v>42886</v>
      </c>
      <c r="FB91">
        <v>25.434000000000001</v>
      </c>
      <c r="FC91" s="12">
        <v>42886</v>
      </c>
      <c r="FD91">
        <v>30.411000000000001</v>
      </c>
      <c r="FG91" s="12">
        <v>42886</v>
      </c>
      <c r="FH91">
        <v>6.4009999999999998</v>
      </c>
      <c r="FI91" s="12">
        <v>42886</v>
      </c>
      <c r="FJ91">
        <v>17.32</v>
      </c>
      <c r="FK91" s="12">
        <v>42886</v>
      </c>
      <c r="FL91">
        <v>19.574999999999999</v>
      </c>
      <c r="FM91" s="12">
        <v>42886</v>
      </c>
      <c r="FN91">
        <v>7.8449999999999998</v>
      </c>
      <c r="FO91" s="12">
        <v>42886</v>
      </c>
      <c r="FP91">
        <v>23.044</v>
      </c>
      <c r="FS91" s="12">
        <v>42886</v>
      </c>
      <c r="FT91">
        <v>2.488</v>
      </c>
      <c r="FU91" s="12">
        <v>42886</v>
      </c>
      <c r="FV91">
        <v>12.103999999999999</v>
      </c>
      <c r="FW91" s="12">
        <v>42886</v>
      </c>
      <c r="FX91">
        <v>14.323</v>
      </c>
      <c r="FY91" s="12">
        <v>43738</v>
      </c>
      <c r="FZ91">
        <v>16.678000000000001</v>
      </c>
      <c r="GA91" s="12">
        <v>42886</v>
      </c>
      <c r="GB91">
        <v>15.670999999999999</v>
      </c>
      <c r="GC91" s="12">
        <v>42886</v>
      </c>
      <c r="GD91">
        <v>20.922000000000001</v>
      </c>
      <c r="GI91" s="12">
        <v>42886</v>
      </c>
      <c r="GJ91">
        <v>23.135999999999999</v>
      </c>
      <c r="GK91" s="12">
        <v>42886</v>
      </c>
      <c r="GL91">
        <v>29.103000000000002</v>
      </c>
      <c r="GM91" s="12">
        <v>42886</v>
      </c>
      <c r="GN91">
        <v>52.62</v>
      </c>
      <c r="GO91" s="12">
        <v>43371</v>
      </c>
      <c r="GP91">
        <v>15.186</v>
      </c>
      <c r="GQ91" s="12">
        <v>43007</v>
      </c>
      <c r="GR91">
        <v>4.6399999999999997</v>
      </c>
      <c r="GS91" s="12">
        <v>42886</v>
      </c>
      <c r="GT91">
        <v>4.05</v>
      </c>
      <c r="GW91" s="12">
        <v>42947</v>
      </c>
      <c r="GX91">
        <v>35.350999999999999</v>
      </c>
      <c r="GY91" s="12">
        <v>42886</v>
      </c>
      <c r="GZ91">
        <v>6.3</v>
      </c>
      <c r="HA91" s="12">
        <v>42886</v>
      </c>
      <c r="HB91">
        <v>10.225</v>
      </c>
      <c r="HC91" s="12">
        <v>42886</v>
      </c>
      <c r="HD91">
        <v>20.212</v>
      </c>
      <c r="HE91" s="12">
        <v>42886</v>
      </c>
      <c r="HF91">
        <v>13.391</v>
      </c>
      <c r="HG91" s="12">
        <v>42886</v>
      </c>
      <c r="HH91">
        <v>15.840999999999999</v>
      </c>
      <c r="HI91" s="12">
        <v>42886</v>
      </c>
      <c r="HJ91">
        <v>11.169</v>
      </c>
      <c r="HK91" s="12">
        <v>42886</v>
      </c>
      <c r="HL91">
        <v>3.01</v>
      </c>
      <c r="HM91" s="12">
        <v>42886</v>
      </c>
      <c r="HN91">
        <v>2.9630000000000001</v>
      </c>
      <c r="HO91" s="12">
        <v>42886</v>
      </c>
      <c r="HP91">
        <v>2.7130000000000001</v>
      </c>
      <c r="HQ91" s="12">
        <v>42978</v>
      </c>
      <c r="HR91">
        <v>12.95</v>
      </c>
      <c r="HS91" s="12">
        <v>42886</v>
      </c>
      <c r="HT91">
        <v>66.84</v>
      </c>
      <c r="HU91" s="12">
        <v>42886</v>
      </c>
      <c r="HV91">
        <v>20.3</v>
      </c>
      <c r="HW91" s="12">
        <v>42886</v>
      </c>
      <c r="HX91">
        <v>13.263999999999999</v>
      </c>
      <c r="HY91" s="12">
        <v>42886</v>
      </c>
      <c r="HZ91">
        <v>12.023999999999999</v>
      </c>
      <c r="IA91" s="12">
        <v>42886</v>
      </c>
      <c r="IB91">
        <v>22.1</v>
      </c>
      <c r="IC91" s="12">
        <v>42886</v>
      </c>
      <c r="ID91">
        <v>2.617</v>
      </c>
      <c r="IE91" s="12">
        <v>42886</v>
      </c>
      <c r="IF91">
        <v>3.26</v>
      </c>
      <c r="IG91" s="12">
        <v>43189</v>
      </c>
      <c r="IH91">
        <v>5.9</v>
      </c>
      <c r="II91" s="12">
        <v>42886</v>
      </c>
      <c r="IJ91">
        <v>7.92</v>
      </c>
      <c r="IM91" s="12">
        <v>42886</v>
      </c>
      <c r="IN91">
        <v>26.545000000000002</v>
      </c>
      <c r="IO91" s="12">
        <v>43434</v>
      </c>
      <c r="IP91">
        <v>11.625999999999999</v>
      </c>
      <c r="IQ91" s="12">
        <v>42886</v>
      </c>
      <c r="IR91">
        <v>70.225999999999999</v>
      </c>
      <c r="IU91" s="12">
        <v>42886</v>
      </c>
      <c r="IV91">
        <v>4.5098000000000003</v>
      </c>
      <c r="IY91" s="12">
        <v>42886</v>
      </c>
      <c r="IZ91">
        <v>13.35</v>
      </c>
      <c r="JC91" s="12">
        <v>42886</v>
      </c>
      <c r="JD91">
        <v>9.44</v>
      </c>
      <c r="JE91" s="12">
        <v>42886</v>
      </c>
      <c r="JF91">
        <v>7.18</v>
      </c>
      <c r="JI91" s="12">
        <v>42886</v>
      </c>
      <c r="JJ91">
        <v>21.704000000000001</v>
      </c>
      <c r="JM91" s="12">
        <v>42886</v>
      </c>
      <c r="JN91">
        <v>2.9</v>
      </c>
      <c r="JO91" s="12">
        <v>42886</v>
      </c>
      <c r="JP91">
        <v>26.579000000000001</v>
      </c>
      <c r="JS91" s="12">
        <v>42886</v>
      </c>
      <c r="JT91">
        <v>8.266</v>
      </c>
      <c r="JW91" s="12">
        <v>42886</v>
      </c>
      <c r="JX91">
        <v>16.731999999999999</v>
      </c>
      <c r="JY91" s="12">
        <v>42886</v>
      </c>
      <c r="JZ91">
        <v>16.741</v>
      </c>
      <c r="KC91" s="12">
        <v>42886</v>
      </c>
      <c r="KD91">
        <v>15.35</v>
      </c>
      <c r="KE91" s="12">
        <v>42886</v>
      </c>
      <c r="KF91">
        <v>17.834</v>
      </c>
      <c r="KI91" s="12">
        <v>42886</v>
      </c>
      <c r="KJ91">
        <v>2.2999999999999998</v>
      </c>
      <c r="KQ91" s="12">
        <v>42886</v>
      </c>
      <c r="KR91">
        <v>13.71</v>
      </c>
      <c r="KS91" s="12">
        <v>42886</v>
      </c>
      <c r="KT91">
        <v>11.396000000000001</v>
      </c>
      <c r="KU91" s="12">
        <v>42886</v>
      </c>
      <c r="KV91">
        <v>9.2550000000000008</v>
      </c>
      <c r="LC91" s="12">
        <v>42886</v>
      </c>
      <c r="LD91">
        <v>9.7639999999999993</v>
      </c>
      <c r="LE91" s="12">
        <v>42886</v>
      </c>
      <c r="LF91">
        <v>11.907</v>
      </c>
      <c r="LG91" s="12">
        <v>42886</v>
      </c>
      <c r="LH91">
        <v>12.055</v>
      </c>
      <c r="LI91" s="12">
        <v>42886</v>
      </c>
      <c r="LJ91">
        <v>34.737000000000002</v>
      </c>
      <c r="LM91" s="12">
        <v>42886</v>
      </c>
      <c r="LN91">
        <v>8.3369999999999997</v>
      </c>
      <c r="LO91" s="12">
        <v>42886</v>
      </c>
      <c r="LP91">
        <v>3.851</v>
      </c>
      <c r="LQ91" s="12">
        <v>42886</v>
      </c>
      <c r="LR91">
        <v>25.170999999999999</v>
      </c>
      <c r="LS91" s="12">
        <v>42886</v>
      </c>
      <c r="LT91">
        <v>25.79</v>
      </c>
      <c r="LW91" s="12">
        <v>42886</v>
      </c>
      <c r="LX91">
        <v>21.489000000000001</v>
      </c>
      <c r="LY91" s="12">
        <v>42886</v>
      </c>
      <c r="LZ91">
        <v>38.450000000000003</v>
      </c>
      <c r="MA91" s="12">
        <v>42886</v>
      </c>
      <c r="MB91">
        <v>14.699</v>
      </c>
      <c r="ME91" s="12">
        <v>42916</v>
      </c>
      <c r="MF91">
        <v>4</v>
      </c>
      <c r="MG91" s="12">
        <v>42886</v>
      </c>
      <c r="MH91">
        <v>13.919</v>
      </c>
      <c r="MK91" s="12">
        <v>42886</v>
      </c>
      <c r="ML91">
        <v>15.643000000000001</v>
      </c>
    </row>
    <row r="92" spans="1:350" x14ac:dyDescent="0.3">
      <c r="A92" s="12">
        <v>42916</v>
      </c>
      <c r="B92" s="1">
        <v>17.021000000000001</v>
      </c>
      <c r="C92" s="1"/>
      <c r="G92" s="17">
        <v>42916</v>
      </c>
      <c r="H92" s="13">
        <v>10.494999999999999</v>
      </c>
      <c r="I92" s="17">
        <v>42947</v>
      </c>
      <c r="J92">
        <v>16.45</v>
      </c>
      <c r="N92" s="12"/>
      <c r="U92" s="12">
        <v>43343</v>
      </c>
      <c r="V92">
        <v>38.020000000000003</v>
      </c>
      <c r="Y92" s="12">
        <v>42916</v>
      </c>
      <c r="Z92">
        <v>18.004999999999999</v>
      </c>
      <c r="AA92" s="12">
        <v>42916</v>
      </c>
      <c r="AB92">
        <v>23.62</v>
      </c>
      <c r="AC92" s="12">
        <v>42916</v>
      </c>
      <c r="AD92">
        <v>16.704999999999998</v>
      </c>
      <c r="AE92" s="12">
        <v>42916</v>
      </c>
      <c r="AF92">
        <v>17.006</v>
      </c>
      <c r="AG92" s="12">
        <v>42916</v>
      </c>
      <c r="AH92">
        <v>11.6</v>
      </c>
      <c r="AK92" s="12">
        <v>42916</v>
      </c>
      <c r="AL92">
        <v>12.31</v>
      </c>
      <c r="AS92" s="12">
        <v>42916</v>
      </c>
      <c r="AT92">
        <v>1.492</v>
      </c>
      <c r="AU92" s="12">
        <v>42916</v>
      </c>
      <c r="AV92">
        <v>18.106000000000002</v>
      </c>
      <c r="AY92" s="12">
        <v>42916</v>
      </c>
      <c r="AZ92">
        <v>39.200000000000003</v>
      </c>
      <c r="BA92" s="12">
        <v>42916</v>
      </c>
      <c r="BB92">
        <v>31.003</v>
      </c>
      <c r="BC92" s="12">
        <v>42916</v>
      </c>
      <c r="BD92">
        <v>11.096</v>
      </c>
      <c r="BE92" s="12">
        <v>43007</v>
      </c>
      <c r="BF92">
        <v>10.856999999999999</v>
      </c>
      <c r="BG92" s="12">
        <v>42916</v>
      </c>
      <c r="BH92">
        <v>10.672000000000001</v>
      </c>
      <c r="BI92" s="12">
        <v>42916</v>
      </c>
      <c r="BJ92">
        <v>11.564</v>
      </c>
      <c r="BK92" s="12">
        <v>42916</v>
      </c>
      <c r="BL92">
        <v>14.526</v>
      </c>
      <c r="BM92" s="12">
        <v>42916</v>
      </c>
      <c r="BN92">
        <v>13.852</v>
      </c>
      <c r="BO92" s="12">
        <v>42916</v>
      </c>
      <c r="BP92">
        <v>20.529</v>
      </c>
      <c r="BQ92" s="12">
        <v>42916</v>
      </c>
      <c r="BR92">
        <v>7.5910000000000002</v>
      </c>
      <c r="BS92" s="12">
        <v>42916</v>
      </c>
      <c r="BT92">
        <v>6.9219999999999997</v>
      </c>
      <c r="BW92" s="12">
        <v>42916</v>
      </c>
      <c r="BX92">
        <v>14.013</v>
      </c>
      <c r="BY92" s="12">
        <v>42916</v>
      </c>
      <c r="BZ92">
        <v>25.79</v>
      </c>
      <c r="CA92" s="12">
        <v>42916</v>
      </c>
      <c r="CB92">
        <v>21.591999999999999</v>
      </c>
      <c r="CG92" s="12">
        <v>42916</v>
      </c>
      <c r="CH92">
        <v>32.896000000000001</v>
      </c>
      <c r="CI92" s="12">
        <v>42916</v>
      </c>
      <c r="CJ92">
        <v>33.607999999999997</v>
      </c>
      <c r="CK92" s="12">
        <v>42916</v>
      </c>
      <c r="CL92">
        <v>6.6950000000000003</v>
      </c>
      <c r="CQ92" s="12">
        <v>42916</v>
      </c>
      <c r="CR92">
        <v>9.4450000000000003</v>
      </c>
      <c r="CS92" s="12">
        <v>42916</v>
      </c>
      <c r="CT92">
        <v>25.745999999999999</v>
      </c>
      <c r="CU92" s="12">
        <v>42916</v>
      </c>
      <c r="CV92">
        <v>4.327</v>
      </c>
      <c r="CW92" s="12">
        <v>42916</v>
      </c>
      <c r="CX92">
        <v>7.3789999999999996</v>
      </c>
      <c r="CY92" s="12">
        <v>43007</v>
      </c>
      <c r="CZ92">
        <v>10.379</v>
      </c>
      <c r="DA92" s="12">
        <v>42916</v>
      </c>
      <c r="DB92">
        <v>22.050999999999998</v>
      </c>
      <c r="DC92" s="12">
        <v>42916</v>
      </c>
      <c r="DD92">
        <v>12.122</v>
      </c>
      <c r="DE92" s="12">
        <v>42916</v>
      </c>
      <c r="DF92">
        <v>15.734999999999999</v>
      </c>
      <c r="DG92" s="12">
        <v>43677</v>
      </c>
      <c r="DH92">
        <v>47.19</v>
      </c>
      <c r="DI92" s="12">
        <v>42916</v>
      </c>
      <c r="DJ92">
        <v>12.65</v>
      </c>
      <c r="DK92" s="12">
        <v>42916</v>
      </c>
      <c r="DL92">
        <v>14.942</v>
      </c>
      <c r="DM92" s="12">
        <v>43343</v>
      </c>
      <c r="DN92">
        <v>9.4890000000000008</v>
      </c>
      <c r="DO92" s="12">
        <v>42916</v>
      </c>
      <c r="DP92">
        <v>12.465999999999999</v>
      </c>
      <c r="DQ92" s="12">
        <v>42916</v>
      </c>
      <c r="DR92">
        <v>13.61</v>
      </c>
      <c r="DS92" s="12">
        <v>42947</v>
      </c>
      <c r="DT92">
        <v>23.207000000000001</v>
      </c>
      <c r="DU92" s="12">
        <v>42916</v>
      </c>
      <c r="DV92">
        <v>10.526999999999999</v>
      </c>
      <c r="DW92" s="12">
        <v>42916</v>
      </c>
      <c r="DX92">
        <v>3.867</v>
      </c>
      <c r="DY92" s="12">
        <v>42916</v>
      </c>
      <c r="DZ92">
        <v>12.518000000000001</v>
      </c>
      <c r="EC92" s="12">
        <v>42916</v>
      </c>
      <c r="ED92">
        <v>31.292999999999999</v>
      </c>
      <c r="EE92" s="12">
        <v>42916</v>
      </c>
      <c r="EF92">
        <v>23.891999999999999</v>
      </c>
      <c r="EI92" s="12">
        <v>42916</v>
      </c>
      <c r="EJ92">
        <v>9.093</v>
      </c>
      <c r="EK92" s="12">
        <v>42916</v>
      </c>
      <c r="EL92">
        <v>9.5630000000000006</v>
      </c>
      <c r="EM92" s="12">
        <v>42916</v>
      </c>
      <c r="EN92">
        <v>9.7759999999999998</v>
      </c>
      <c r="EQ92" s="12">
        <v>42916</v>
      </c>
      <c r="ER92">
        <v>4.702</v>
      </c>
      <c r="ES92" s="12">
        <v>42916</v>
      </c>
      <c r="ET92">
        <v>7.55</v>
      </c>
      <c r="EU92" s="12">
        <v>42916</v>
      </c>
      <c r="EV92">
        <v>7.6</v>
      </c>
      <c r="EY92" s="12">
        <v>42916</v>
      </c>
      <c r="EZ92">
        <v>17.795999999999999</v>
      </c>
      <c r="FA92" s="12">
        <v>42916</v>
      </c>
      <c r="FB92">
        <v>25.096</v>
      </c>
      <c r="FC92" s="12">
        <v>42916</v>
      </c>
      <c r="FD92">
        <v>31.481999999999999</v>
      </c>
      <c r="FG92" s="12">
        <v>42916</v>
      </c>
      <c r="FH92">
        <v>6.4619999999999997</v>
      </c>
      <c r="FI92" s="12">
        <v>42916</v>
      </c>
      <c r="FJ92">
        <v>17.466999999999999</v>
      </c>
      <c r="FK92" s="12">
        <v>42916</v>
      </c>
      <c r="FL92">
        <v>20.245000000000001</v>
      </c>
      <c r="FM92" s="12">
        <v>42916</v>
      </c>
      <c r="FN92">
        <v>6.3479999999999999</v>
      </c>
      <c r="FO92" s="12">
        <v>42916</v>
      </c>
      <c r="FP92">
        <v>23.103000000000002</v>
      </c>
      <c r="FS92" s="12">
        <v>42916</v>
      </c>
      <c r="FT92">
        <v>2.4529999999999998</v>
      </c>
      <c r="FU92" s="12">
        <v>42916</v>
      </c>
      <c r="FV92">
        <v>11.86</v>
      </c>
      <c r="FW92" s="12">
        <v>42916</v>
      </c>
      <c r="FX92">
        <v>13.734</v>
      </c>
      <c r="FY92" s="12">
        <v>43769</v>
      </c>
      <c r="FZ92">
        <v>17.033000000000001</v>
      </c>
      <c r="GA92" s="12">
        <v>42916</v>
      </c>
      <c r="GB92">
        <v>16.068000000000001</v>
      </c>
      <c r="GC92" s="12">
        <v>42916</v>
      </c>
      <c r="GD92">
        <v>22.023</v>
      </c>
      <c r="GI92" s="12">
        <v>42916</v>
      </c>
      <c r="GJ92">
        <v>24.081</v>
      </c>
      <c r="GK92" s="12">
        <v>42916</v>
      </c>
      <c r="GL92">
        <v>35.975000000000001</v>
      </c>
      <c r="GM92" s="12">
        <v>42916</v>
      </c>
      <c r="GN92">
        <v>47.951000000000001</v>
      </c>
      <c r="GO92" s="12">
        <v>43404</v>
      </c>
      <c r="GP92">
        <v>20.927</v>
      </c>
      <c r="GQ92" s="12">
        <v>43039</v>
      </c>
      <c r="GR92">
        <v>4.28</v>
      </c>
      <c r="GS92" s="12">
        <v>42916</v>
      </c>
      <c r="GT92">
        <v>3.7</v>
      </c>
      <c r="GW92" s="12">
        <v>42978</v>
      </c>
      <c r="GX92">
        <v>33.966999999999999</v>
      </c>
      <c r="GY92" s="12">
        <v>42916</v>
      </c>
      <c r="GZ92">
        <v>6.76</v>
      </c>
      <c r="HA92" s="12">
        <v>42916</v>
      </c>
      <c r="HB92">
        <v>10.675000000000001</v>
      </c>
      <c r="HC92" s="12">
        <v>42916</v>
      </c>
      <c r="HD92">
        <v>20.771000000000001</v>
      </c>
      <c r="HE92" s="12">
        <v>42916</v>
      </c>
      <c r="HF92">
        <v>15.106</v>
      </c>
      <c r="HG92" s="12">
        <v>42916</v>
      </c>
      <c r="HH92">
        <v>12.5</v>
      </c>
      <c r="HI92" s="12">
        <v>42916</v>
      </c>
      <c r="HJ92">
        <v>10.8</v>
      </c>
      <c r="HK92" s="12">
        <v>42916</v>
      </c>
      <c r="HL92">
        <v>3.94</v>
      </c>
      <c r="HM92" s="12">
        <v>42916</v>
      </c>
      <c r="HN92">
        <v>3.0150000000000001</v>
      </c>
      <c r="HO92" s="12">
        <v>42916</v>
      </c>
      <c r="HP92">
        <v>2.6139999999999999</v>
      </c>
      <c r="HQ92" s="12">
        <v>43007</v>
      </c>
      <c r="HR92">
        <v>10.79</v>
      </c>
      <c r="HS92" s="12">
        <v>42916</v>
      </c>
      <c r="HT92">
        <v>63.128999999999998</v>
      </c>
      <c r="HU92" s="12">
        <v>42916</v>
      </c>
      <c r="HV92">
        <v>18.899999999999999</v>
      </c>
      <c r="HW92" s="12">
        <v>42916</v>
      </c>
      <c r="HX92">
        <v>12.855</v>
      </c>
      <c r="HY92" s="12">
        <v>42916</v>
      </c>
      <c r="HZ92">
        <v>11.477</v>
      </c>
      <c r="IA92" s="12">
        <v>42916</v>
      </c>
      <c r="IB92">
        <v>22.44</v>
      </c>
      <c r="IC92" s="12">
        <v>42916</v>
      </c>
      <c r="ID92">
        <v>2.6349999999999998</v>
      </c>
      <c r="IE92" s="12">
        <v>42916</v>
      </c>
      <c r="IF92">
        <v>3.31</v>
      </c>
      <c r="IG92" s="12">
        <v>43220</v>
      </c>
      <c r="IH92">
        <v>7.2640000000000002</v>
      </c>
      <c r="II92" s="12">
        <v>42916</v>
      </c>
      <c r="IJ92">
        <v>10.5</v>
      </c>
      <c r="IM92" s="12">
        <v>42916</v>
      </c>
      <c r="IN92">
        <v>25.234000000000002</v>
      </c>
      <c r="IO92" s="12">
        <v>43465</v>
      </c>
      <c r="IP92">
        <v>10.811999999999999</v>
      </c>
      <c r="IQ92" s="12">
        <v>42916</v>
      </c>
      <c r="IR92">
        <v>68.522999999999996</v>
      </c>
      <c r="IU92" s="12">
        <v>42916</v>
      </c>
      <c r="IV92">
        <v>4.3490000000000002</v>
      </c>
      <c r="IY92" s="12">
        <v>42916</v>
      </c>
      <c r="IZ92">
        <v>13.863</v>
      </c>
      <c r="JC92" s="12">
        <v>42916</v>
      </c>
      <c r="JD92">
        <v>9</v>
      </c>
      <c r="JE92" s="12">
        <v>42916</v>
      </c>
      <c r="JF92">
        <v>7.35</v>
      </c>
      <c r="JI92" s="12">
        <v>42916</v>
      </c>
      <c r="JJ92">
        <v>21.329000000000001</v>
      </c>
      <c r="JM92" s="12">
        <v>42916</v>
      </c>
      <c r="JN92">
        <v>3.0249999999999999</v>
      </c>
      <c r="JO92" s="12">
        <v>42916</v>
      </c>
      <c r="JP92">
        <v>29.015999999999998</v>
      </c>
      <c r="JS92" s="12">
        <v>42916</v>
      </c>
      <c r="JT92">
        <v>8.6470000000000002</v>
      </c>
      <c r="JW92" s="12">
        <v>42916</v>
      </c>
      <c r="JX92">
        <v>15.988</v>
      </c>
      <c r="JY92" s="12">
        <v>42916</v>
      </c>
      <c r="JZ92">
        <v>16.600000000000001</v>
      </c>
      <c r="KC92" s="12">
        <v>42916</v>
      </c>
      <c r="KD92">
        <v>14.26</v>
      </c>
      <c r="KE92" s="12">
        <v>42916</v>
      </c>
      <c r="KF92">
        <v>17.315999999999999</v>
      </c>
      <c r="KI92" s="12">
        <v>42916</v>
      </c>
      <c r="KJ92">
        <v>2.0499999999999998</v>
      </c>
      <c r="KQ92" s="12">
        <v>42916</v>
      </c>
      <c r="KR92">
        <v>16.91</v>
      </c>
      <c r="KS92" s="12">
        <v>42916</v>
      </c>
      <c r="KT92">
        <v>11.263999999999999</v>
      </c>
      <c r="KU92" s="12">
        <v>42916</v>
      </c>
      <c r="KV92">
        <v>9.1340000000000003</v>
      </c>
      <c r="LC92" s="12">
        <v>42916</v>
      </c>
      <c r="LD92">
        <v>9.7569999999999997</v>
      </c>
      <c r="LE92" s="12">
        <v>42916</v>
      </c>
      <c r="LF92">
        <v>12.052</v>
      </c>
      <c r="LG92" s="12">
        <v>42916</v>
      </c>
      <c r="LH92">
        <v>13.509</v>
      </c>
      <c r="LI92" s="12">
        <v>42916</v>
      </c>
      <c r="LJ92">
        <v>35.975999999999999</v>
      </c>
      <c r="LM92" s="12">
        <v>42916</v>
      </c>
      <c r="LN92">
        <v>8.6199999999999992</v>
      </c>
      <c r="LO92" s="12">
        <v>42916</v>
      </c>
      <c r="LP92">
        <v>4.4619999999999997</v>
      </c>
      <c r="LQ92" s="12">
        <v>42916</v>
      </c>
      <c r="LR92">
        <v>26.867000000000001</v>
      </c>
      <c r="LS92" s="12">
        <v>42916</v>
      </c>
      <c r="LT92">
        <v>26.91</v>
      </c>
      <c r="LW92" s="12">
        <v>42916</v>
      </c>
      <c r="LX92">
        <v>19.055</v>
      </c>
      <c r="LY92" s="12">
        <v>42916</v>
      </c>
      <c r="LZ92">
        <v>36.889000000000003</v>
      </c>
      <c r="MA92" s="12">
        <v>42916</v>
      </c>
      <c r="MB92">
        <v>13.178000000000001</v>
      </c>
      <c r="ME92" s="12">
        <v>42947</v>
      </c>
      <c r="MF92">
        <v>5.8309999999999995</v>
      </c>
      <c r="MG92" s="12">
        <v>42916</v>
      </c>
      <c r="MH92">
        <v>12.965999999999999</v>
      </c>
      <c r="MK92" s="12">
        <v>42916</v>
      </c>
      <c r="ML92">
        <v>13.151</v>
      </c>
    </row>
    <row r="93" spans="1:350" x14ac:dyDescent="0.3">
      <c r="A93" s="12">
        <v>42947</v>
      </c>
      <c r="B93" s="1">
        <v>17.802</v>
      </c>
      <c r="C93" s="1"/>
      <c r="G93" s="17">
        <v>42947</v>
      </c>
      <c r="H93" s="13">
        <v>11.398</v>
      </c>
      <c r="I93" s="17">
        <v>42978</v>
      </c>
      <c r="J93">
        <v>17.038</v>
      </c>
      <c r="N93" s="12"/>
      <c r="U93" s="12">
        <v>43371</v>
      </c>
      <c r="V93">
        <v>41.180999999999997</v>
      </c>
      <c r="Y93" s="12">
        <v>42947</v>
      </c>
      <c r="Z93">
        <v>18.678999999999998</v>
      </c>
      <c r="AA93" s="12">
        <v>42947</v>
      </c>
      <c r="AB93">
        <v>25.295000000000002</v>
      </c>
      <c r="AC93" s="12">
        <v>42947</v>
      </c>
      <c r="AD93">
        <v>18.373999999999999</v>
      </c>
      <c r="AE93" s="12">
        <v>42947</v>
      </c>
      <c r="AF93">
        <v>18.373999999999999</v>
      </c>
      <c r="AG93" s="12">
        <v>42947</v>
      </c>
      <c r="AH93">
        <v>11.2</v>
      </c>
      <c r="AK93" s="12">
        <v>42947</v>
      </c>
      <c r="AL93">
        <v>12.4</v>
      </c>
      <c r="AS93" s="12">
        <v>42947</v>
      </c>
      <c r="AT93">
        <v>1.7650000000000001</v>
      </c>
      <c r="AU93" s="12">
        <v>42947</v>
      </c>
      <c r="AV93">
        <v>20.285</v>
      </c>
      <c r="AY93" s="12">
        <v>42947</v>
      </c>
      <c r="AZ93">
        <v>36.92</v>
      </c>
      <c r="BA93" s="12">
        <v>42947</v>
      </c>
      <c r="BB93">
        <v>33.822000000000003</v>
      </c>
      <c r="BC93" s="12">
        <v>42947</v>
      </c>
      <c r="BD93">
        <v>12.256</v>
      </c>
      <c r="BE93" s="12">
        <v>43039</v>
      </c>
      <c r="BF93">
        <v>10.147</v>
      </c>
      <c r="BG93" s="12">
        <v>42947</v>
      </c>
      <c r="BH93">
        <v>11.882</v>
      </c>
      <c r="BI93" s="12">
        <v>42947</v>
      </c>
      <c r="BJ93">
        <v>13.146000000000001</v>
      </c>
      <c r="BK93" s="12">
        <v>42947</v>
      </c>
      <c r="BL93">
        <v>14.681000000000001</v>
      </c>
      <c r="BM93" s="12">
        <v>42947</v>
      </c>
      <c r="BN93">
        <v>13.959</v>
      </c>
      <c r="BO93" s="12">
        <v>42947</v>
      </c>
      <c r="BP93">
        <v>21.780999999999999</v>
      </c>
      <c r="BQ93" s="12">
        <v>42947</v>
      </c>
      <c r="BR93">
        <v>8.0429999999999993</v>
      </c>
      <c r="BS93" s="12">
        <v>42947</v>
      </c>
      <c r="BT93">
        <v>7.2990000000000004</v>
      </c>
      <c r="BW93" s="12">
        <v>42947</v>
      </c>
      <c r="BX93">
        <v>14.211</v>
      </c>
      <c r="BY93" s="12">
        <v>42947</v>
      </c>
      <c r="BZ93">
        <v>26.131</v>
      </c>
      <c r="CA93" s="12">
        <v>42947</v>
      </c>
      <c r="CB93">
        <v>22.806999999999999</v>
      </c>
      <c r="CG93" s="12">
        <v>42947</v>
      </c>
      <c r="CH93">
        <v>34.341999999999999</v>
      </c>
      <c r="CI93" s="12">
        <v>42947</v>
      </c>
      <c r="CJ93">
        <v>35.607999999999997</v>
      </c>
      <c r="CK93" s="12">
        <v>42947</v>
      </c>
      <c r="CL93">
        <v>7.1050000000000004</v>
      </c>
      <c r="CQ93" s="12">
        <v>42947</v>
      </c>
      <c r="CR93">
        <v>10.548</v>
      </c>
      <c r="CS93" s="12">
        <v>42947</v>
      </c>
      <c r="CT93">
        <v>28.716999999999999</v>
      </c>
      <c r="CU93" s="12">
        <v>42947</v>
      </c>
      <c r="CV93">
        <v>4.7640000000000002</v>
      </c>
      <c r="CW93" s="12">
        <v>42947</v>
      </c>
      <c r="CX93">
        <v>7.1529999999999996</v>
      </c>
      <c r="CY93" s="12">
        <v>43039</v>
      </c>
      <c r="CZ93">
        <v>11.098000000000001</v>
      </c>
      <c r="DA93" s="12">
        <v>42947</v>
      </c>
      <c r="DB93">
        <v>22.753</v>
      </c>
      <c r="DC93" s="12">
        <v>42947</v>
      </c>
      <c r="DD93">
        <v>13.144</v>
      </c>
      <c r="DE93" s="12">
        <v>42947</v>
      </c>
      <c r="DF93">
        <v>15.984999999999999</v>
      </c>
      <c r="DG93" s="12">
        <v>43707</v>
      </c>
      <c r="DH93">
        <v>48.15</v>
      </c>
      <c r="DI93" s="12">
        <v>42947</v>
      </c>
      <c r="DJ93">
        <v>14.29</v>
      </c>
      <c r="DK93" s="12">
        <v>42947</v>
      </c>
      <c r="DL93">
        <v>15.574</v>
      </c>
      <c r="DM93" s="12">
        <v>43371</v>
      </c>
      <c r="DN93">
        <v>10.305</v>
      </c>
      <c r="DO93" s="12">
        <v>42947</v>
      </c>
      <c r="DP93">
        <v>12.625</v>
      </c>
      <c r="DQ93" s="12">
        <v>42947</v>
      </c>
      <c r="DR93">
        <v>13.94</v>
      </c>
      <c r="DS93" s="12">
        <v>42978</v>
      </c>
      <c r="DT93">
        <v>23.349</v>
      </c>
      <c r="DU93" s="12">
        <v>42947</v>
      </c>
      <c r="DV93">
        <v>11.016999999999999</v>
      </c>
      <c r="DW93" s="12">
        <v>42947</v>
      </c>
      <c r="DX93">
        <v>4.4829999999999997</v>
      </c>
      <c r="DY93" s="12">
        <v>42947</v>
      </c>
      <c r="DZ93">
        <v>13.808999999999999</v>
      </c>
      <c r="EC93" s="12">
        <v>42947</v>
      </c>
      <c r="ED93">
        <v>30.617999999999999</v>
      </c>
      <c r="EE93" s="12">
        <v>42947</v>
      </c>
      <c r="EF93">
        <v>26.771000000000001</v>
      </c>
      <c r="EI93" s="12">
        <v>42947</v>
      </c>
      <c r="EJ93">
        <v>9.9589999999999996</v>
      </c>
      <c r="EK93" s="12">
        <v>42947</v>
      </c>
      <c r="EL93">
        <v>10.006</v>
      </c>
      <c r="EM93" s="12">
        <v>42947</v>
      </c>
      <c r="EN93">
        <v>10.138</v>
      </c>
      <c r="EQ93" s="12">
        <v>42947</v>
      </c>
      <c r="ER93">
        <v>4.976</v>
      </c>
      <c r="ES93" s="12">
        <v>42947</v>
      </c>
      <c r="ET93">
        <v>8.9499999999999993</v>
      </c>
      <c r="EU93" s="12">
        <v>42947</v>
      </c>
      <c r="EV93">
        <v>7.84</v>
      </c>
      <c r="EY93" s="12">
        <v>42947</v>
      </c>
      <c r="EZ93">
        <v>19.364000000000001</v>
      </c>
      <c r="FA93" s="12">
        <v>42947</v>
      </c>
      <c r="FB93">
        <v>25.266999999999999</v>
      </c>
      <c r="FC93" s="12">
        <v>42947</v>
      </c>
      <c r="FD93">
        <v>35.095999999999997</v>
      </c>
      <c r="FG93" s="12">
        <v>42947</v>
      </c>
      <c r="FH93">
        <v>6.6269999999999998</v>
      </c>
      <c r="FI93" s="12">
        <v>42947</v>
      </c>
      <c r="FJ93">
        <v>17.765000000000001</v>
      </c>
      <c r="FK93" s="12">
        <v>42947</v>
      </c>
      <c r="FL93">
        <v>20.567</v>
      </c>
      <c r="FM93" s="12">
        <v>42947</v>
      </c>
      <c r="FN93">
        <v>7.4850000000000003</v>
      </c>
      <c r="FO93" s="12">
        <v>42947</v>
      </c>
      <c r="FP93">
        <v>23.170999999999999</v>
      </c>
      <c r="FS93" s="12">
        <v>42947</v>
      </c>
      <c r="FT93">
        <v>2.4529999999999998</v>
      </c>
      <c r="FU93" s="12">
        <v>42947</v>
      </c>
      <c r="FV93">
        <v>12.602</v>
      </c>
      <c r="FW93" s="12">
        <v>42947</v>
      </c>
      <c r="FX93">
        <v>15.372</v>
      </c>
      <c r="FY93" s="12">
        <v>43798</v>
      </c>
      <c r="FZ93">
        <v>17.141999999999999</v>
      </c>
      <c r="GA93" s="12">
        <v>42947</v>
      </c>
      <c r="GB93">
        <v>14.052</v>
      </c>
      <c r="GC93" s="12">
        <v>42947</v>
      </c>
      <c r="GD93">
        <v>22.16</v>
      </c>
      <c r="GI93" s="12">
        <v>42947</v>
      </c>
      <c r="GJ93">
        <v>25.768999999999998</v>
      </c>
      <c r="GK93" s="12">
        <v>42947</v>
      </c>
      <c r="GL93">
        <v>34.118000000000002</v>
      </c>
      <c r="GM93" s="12">
        <v>42947</v>
      </c>
      <c r="GN93">
        <v>49.371000000000002</v>
      </c>
      <c r="GO93" s="12">
        <v>43434</v>
      </c>
      <c r="GP93">
        <v>20.41</v>
      </c>
      <c r="GQ93" s="12">
        <v>43069</v>
      </c>
      <c r="GR93">
        <v>4.42</v>
      </c>
      <c r="GS93" s="12">
        <v>42947</v>
      </c>
      <c r="GT93">
        <v>3.55</v>
      </c>
      <c r="GW93" s="12">
        <v>43007</v>
      </c>
      <c r="GX93">
        <v>35.405999999999999</v>
      </c>
      <c r="GY93" s="12">
        <v>42947</v>
      </c>
      <c r="GZ93">
        <v>6.42</v>
      </c>
      <c r="HA93" s="12">
        <v>42947</v>
      </c>
      <c r="HB93">
        <v>11.314</v>
      </c>
      <c r="HC93" s="12">
        <v>42947</v>
      </c>
      <c r="HD93">
        <v>22.856999999999999</v>
      </c>
      <c r="HE93" s="12">
        <v>42947</v>
      </c>
      <c r="HF93">
        <v>15.324</v>
      </c>
      <c r="HG93" s="12">
        <v>42947</v>
      </c>
      <c r="HH93">
        <v>12.183999999999999</v>
      </c>
      <c r="HI93" s="12">
        <v>42947</v>
      </c>
      <c r="HJ93">
        <v>12.061</v>
      </c>
      <c r="HK93" s="12">
        <v>42947</v>
      </c>
      <c r="HL93">
        <v>4.17</v>
      </c>
      <c r="HM93" s="12">
        <v>42947</v>
      </c>
      <c r="HN93">
        <v>3.1869999999999998</v>
      </c>
      <c r="HO93" s="12">
        <v>42947</v>
      </c>
      <c r="HP93">
        <v>2.6059999999999999</v>
      </c>
      <c r="HQ93" s="12">
        <v>43039</v>
      </c>
      <c r="HR93">
        <v>9.8800000000000008</v>
      </c>
      <c r="HS93" s="12">
        <v>42947</v>
      </c>
      <c r="HT93">
        <v>70.251000000000005</v>
      </c>
      <c r="HU93" s="12">
        <v>42947</v>
      </c>
      <c r="HV93">
        <v>21</v>
      </c>
      <c r="HW93" s="12">
        <v>42947</v>
      </c>
      <c r="HX93">
        <v>13.439</v>
      </c>
      <c r="HY93" s="12">
        <v>42947</v>
      </c>
      <c r="HZ93">
        <v>12.33</v>
      </c>
      <c r="IA93" s="12">
        <v>42947</v>
      </c>
      <c r="IB93">
        <v>27.54</v>
      </c>
      <c r="IC93" s="12">
        <v>42947</v>
      </c>
      <c r="ID93">
        <v>3.0249999999999999</v>
      </c>
      <c r="IE93" s="12">
        <v>42947</v>
      </c>
      <c r="IF93">
        <v>3.95</v>
      </c>
      <c r="IG93" s="12">
        <v>43251</v>
      </c>
      <c r="IH93">
        <v>7.13</v>
      </c>
      <c r="II93" s="12">
        <v>42947</v>
      </c>
      <c r="IJ93">
        <v>11</v>
      </c>
      <c r="IM93" s="12">
        <v>42947</v>
      </c>
      <c r="IN93">
        <v>26.623000000000001</v>
      </c>
      <c r="IO93" s="12">
        <v>43496</v>
      </c>
      <c r="IP93">
        <v>13.295</v>
      </c>
      <c r="IQ93" s="12">
        <v>42947</v>
      </c>
      <c r="IR93">
        <v>67.438000000000002</v>
      </c>
      <c r="IU93" s="12">
        <v>42947</v>
      </c>
      <c r="IV93">
        <v>5.0833000000000004</v>
      </c>
      <c r="IY93" s="12">
        <v>42947</v>
      </c>
      <c r="IZ93">
        <v>15.999000000000001</v>
      </c>
      <c r="JC93" s="12">
        <v>42947</v>
      </c>
      <c r="JD93">
        <v>7.67</v>
      </c>
      <c r="JE93" s="12">
        <v>42947</v>
      </c>
      <c r="JF93">
        <v>7.1</v>
      </c>
      <c r="JI93" s="12">
        <v>42947</v>
      </c>
      <c r="JJ93">
        <v>21.763999999999999</v>
      </c>
      <c r="JM93" s="12">
        <v>42947</v>
      </c>
      <c r="JN93">
        <v>3.0329999999999999</v>
      </c>
      <c r="JO93" s="12">
        <v>42947</v>
      </c>
      <c r="JP93">
        <v>30.748999999999999</v>
      </c>
      <c r="JS93" s="12">
        <v>42947</v>
      </c>
      <c r="JT93">
        <v>8.9179999999999993</v>
      </c>
      <c r="JW93" s="12">
        <v>42947</v>
      </c>
      <c r="JX93">
        <v>16.585000000000001</v>
      </c>
      <c r="JY93" s="12">
        <v>42947</v>
      </c>
      <c r="JZ93">
        <v>16.46</v>
      </c>
      <c r="KC93" s="12">
        <v>42947</v>
      </c>
      <c r="KD93">
        <v>14.02</v>
      </c>
      <c r="KE93" s="12">
        <v>42947</v>
      </c>
      <c r="KF93">
        <v>18.242999999999999</v>
      </c>
      <c r="KI93" s="12">
        <v>42947</v>
      </c>
      <c r="KJ93">
        <v>2.34</v>
      </c>
      <c r="KQ93" s="12">
        <v>42947</v>
      </c>
      <c r="KR93">
        <v>17.18</v>
      </c>
      <c r="KS93" s="12">
        <v>42947</v>
      </c>
      <c r="KT93">
        <v>11.603</v>
      </c>
      <c r="KU93" s="12">
        <v>42947</v>
      </c>
      <c r="KV93">
        <v>9.9269999999999996</v>
      </c>
      <c r="LC93" s="12">
        <v>42947</v>
      </c>
      <c r="LD93">
        <v>9.7059999999999995</v>
      </c>
      <c r="LE93" s="12">
        <v>42947</v>
      </c>
      <c r="LF93">
        <v>13.079000000000001</v>
      </c>
      <c r="LG93" s="12">
        <v>42947</v>
      </c>
      <c r="LH93">
        <v>12.574</v>
      </c>
      <c r="LI93" s="12">
        <v>42947</v>
      </c>
      <c r="LJ93">
        <v>34.343000000000004</v>
      </c>
      <c r="LM93" s="12">
        <v>42947</v>
      </c>
      <c r="LN93">
        <v>10.143000000000001</v>
      </c>
      <c r="LO93" s="12">
        <v>42947</v>
      </c>
      <c r="LP93">
        <v>5.0149999999999997</v>
      </c>
      <c r="LQ93" s="12">
        <v>42947</v>
      </c>
      <c r="LR93">
        <v>28.998000000000001</v>
      </c>
      <c r="LS93" s="12">
        <v>42947</v>
      </c>
      <c r="LT93">
        <v>29.17</v>
      </c>
      <c r="LW93" s="12">
        <v>42947</v>
      </c>
      <c r="LX93">
        <v>18.466999999999999</v>
      </c>
      <c r="LY93" s="12">
        <v>42947</v>
      </c>
      <c r="LZ93">
        <v>38.426000000000002</v>
      </c>
      <c r="MA93" s="12">
        <v>42947</v>
      </c>
      <c r="MB93">
        <v>15.010999999999999</v>
      </c>
      <c r="ME93" s="12">
        <v>42978</v>
      </c>
      <c r="MF93">
        <v>6.6669999999999998</v>
      </c>
      <c r="MG93" s="12">
        <v>42947</v>
      </c>
      <c r="MH93">
        <v>13.961</v>
      </c>
      <c r="MK93" s="12">
        <v>42947</v>
      </c>
      <c r="ML93">
        <v>18.350000000000001</v>
      </c>
    </row>
    <row r="94" spans="1:350" x14ac:dyDescent="0.3">
      <c r="A94" s="12">
        <v>42978</v>
      </c>
      <c r="B94" s="1">
        <v>18.462</v>
      </c>
      <c r="C94" s="1"/>
      <c r="G94" s="17">
        <v>42978</v>
      </c>
      <c r="H94" s="13">
        <v>10.627000000000001</v>
      </c>
      <c r="I94" s="17">
        <v>43007</v>
      </c>
      <c r="J94">
        <v>18.143999999999998</v>
      </c>
      <c r="N94" s="12"/>
      <c r="U94" s="12">
        <v>43404</v>
      </c>
      <c r="V94">
        <v>45.82</v>
      </c>
      <c r="Y94" s="12">
        <v>42978</v>
      </c>
      <c r="Z94">
        <v>20.202000000000002</v>
      </c>
      <c r="AA94" s="12">
        <v>42978</v>
      </c>
      <c r="AB94">
        <v>27.238</v>
      </c>
      <c r="AC94" s="12">
        <v>42978</v>
      </c>
      <c r="AD94">
        <v>19.664999999999999</v>
      </c>
      <c r="AE94" s="12">
        <v>42978</v>
      </c>
      <c r="AF94">
        <v>20.45</v>
      </c>
      <c r="AG94" s="12">
        <v>42978</v>
      </c>
      <c r="AH94">
        <v>9.9</v>
      </c>
      <c r="AK94" s="12">
        <v>42978</v>
      </c>
      <c r="AL94">
        <v>11.58</v>
      </c>
      <c r="AS94" s="12">
        <v>42978</v>
      </c>
      <c r="AT94">
        <v>1.736</v>
      </c>
      <c r="AU94" s="12">
        <v>42978</v>
      </c>
      <c r="AV94">
        <v>23.625</v>
      </c>
      <c r="AY94" s="12">
        <v>42978</v>
      </c>
      <c r="AZ94">
        <v>42.52</v>
      </c>
      <c r="BA94" s="12">
        <v>42978</v>
      </c>
      <c r="BB94">
        <v>34.546999999999997</v>
      </c>
      <c r="BC94" s="12">
        <v>42978</v>
      </c>
      <c r="BD94">
        <v>12.628</v>
      </c>
      <c r="BE94" s="12">
        <v>43069</v>
      </c>
      <c r="BF94">
        <v>10.692</v>
      </c>
      <c r="BG94" s="12">
        <v>42978</v>
      </c>
      <c r="BH94">
        <v>13.920999999999999</v>
      </c>
      <c r="BI94" s="12">
        <v>42978</v>
      </c>
      <c r="BJ94">
        <v>18.276</v>
      </c>
      <c r="BK94" s="12">
        <v>42978</v>
      </c>
      <c r="BL94">
        <v>15.007</v>
      </c>
      <c r="BM94" s="12">
        <v>42978</v>
      </c>
      <c r="BN94">
        <v>13.180999999999999</v>
      </c>
      <c r="BO94" s="12">
        <v>42978</v>
      </c>
      <c r="BP94">
        <v>18.718</v>
      </c>
      <c r="BQ94" s="12">
        <v>42978</v>
      </c>
      <c r="BR94">
        <v>7.8579999999999997</v>
      </c>
      <c r="BS94" s="12">
        <v>42978</v>
      </c>
      <c r="BT94">
        <v>7.1790000000000003</v>
      </c>
      <c r="BW94" s="12">
        <v>42978</v>
      </c>
      <c r="BX94">
        <v>17.056000000000001</v>
      </c>
      <c r="BY94" s="12">
        <v>42978</v>
      </c>
      <c r="BZ94">
        <v>26.355</v>
      </c>
      <c r="CA94" s="12">
        <v>42978</v>
      </c>
      <c r="CB94">
        <v>25.297999999999998</v>
      </c>
      <c r="CG94" s="12">
        <v>42978</v>
      </c>
      <c r="CH94">
        <v>36.710999999999999</v>
      </c>
      <c r="CI94" s="12">
        <v>42978</v>
      </c>
      <c r="CJ94">
        <v>36.220999999999997</v>
      </c>
      <c r="CK94" s="12">
        <v>42978</v>
      </c>
      <c r="CL94">
        <v>8.1029999999999998</v>
      </c>
      <c r="CQ94" s="12">
        <v>42978</v>
      </c>
      <c r="CR94">
        <v>11.359</v>
      </c>
      <c r="CS94" s="12">
        <v>42978</v>
      </c>
      <c r="CT94">
        <v>28.271000000000001</v>
      </c>
      <c r="CU94" s="12">
        <v>42978</v>
      </c>
      <c r="CV94">
        <v>4.4030000000000005</v>
      </c>
      <c r="CW94" s="12">
        <v>42978</v>
      </c>
      <c r="CX94">
        <v>7.7670000000000003</v>
      </c>
      <c r="CY94" s="12">
        <v>43069</v>
      </c>
      <c r="CZ94">
        <v>11.157999999999999</v>
      </c>
      <c r="DA94" s="12">
        <v>42978</v>
      </c>
      <c r="DB94">
        <v>24.45</v>
      </c>
      <c r="DC94" s="12">
        <v>42978</v>
      </c>
      <c r="DD94">
        <v>17.155999999999999</v>
      </c>
      <c r="DE94" s="12">
        <v>42978</v>
      </c>
      <c r="DF94">
        <v>19.686</v>
      </c>
      <c r="DG94" s="12">
        <v>43738</v>
      </c>
      <c r="DH94">
        <v>48.55</v>
      </c>
      <c r="DI94" s="12">
        <v>42978</v>
      </c>
      <c r="DJ94">
        <v>15.92</v>
      </c>
      <c r="DK94" s="12">
        <v>42978</v>
      </c>
      <c r="DL94">
        <v>17.707000000000001</v>
      </c>
      <c r="DM94" s="12">
        <v>43404</v>
      </c>
      <c r="DN94">
        <v>9.3330000000000002</v>
      </c>
      <c r="DO94" s="12">
        <v>42978</v>
      </c>
      <c r="DP94">
        <v>13.388999999999999</v>
      </c>
      <c r="DQ94" s="12">
        <v>42978</v>
      </c>
      <c r="DR94">
        <v>16</v>
      </c>
      <c r="DS94" s="12">
        <v>43007</v>
      </c>
      <c r="DT94">
        <v>24.15</v>
      </c>
      <c r="DU94" s="12">
        <v>42978</v>
      </c>
      <c r="DV94">
        <v>11.875999999999999</v>
      </c>
      <c r="DW94" s="12">
        <v>42978</v>
      </c>
      <c r="DX94">
        <v>4.6690000000000005</v>
      </c>
      <c r="DY94" s="12">
        <v>42978</v>
      </c>
      <c r="DZ94">
        <v>15.712999999999999</v>
      </c>
      <c r="EC94" s="12">
        <v>42978</v>
      </c>
      <c r="ED94">
        <v>38.679000000000002</v>
      </c>
      <c r="EE94" s="12">
        <v>42978</v>
      </c>
      <c r="EF94">
        <v>28.440999999999999</v>
      </c>
      <c r="EI94" s="12">
        <v>42978</v>
      </c>
      <c r="EJ94">
        <v>9.9589999999999996</v>
      </c>
      <c r="EK94" s="12">
        <v>42978</v>
      </c>
      <c r="EL94">
        <v>11.099</v>
      </c>
      <c r="EM94" s="12">
        <v>42978</v>
      </c>
      <c r="EN94">
        <v>11.29</v>
      </c>
      <c r="EQ94" s="12">
        <v>42978</v>
      </c>
      <c r="ER94">
        <v>5.3550000000000004</v>
      </c>
      <c r="ES94" s="12">
        <v>42978</v>
      </c>
      <c r="ET94">
        <v>11.33</v>
      </c>
      <c r="EU94" s="12">
        <v>42978</v>
      </c>
      <c r="EV94">
        <v>8.1329999999999991</v>
      </c>
      <c r="EY94" s="12">
        <v>42978</v>
      </c>
      <c r="EZ94">
        <v>24.670999999999999</v>
      </c>
      <c r="FA94" s="12">
        <v>42978</v>
      </c>
      <c r="FB94">
        <v>26.638999999999999</v>
      </c>
      <c r="FC94" s="12">
        <v>42978</v>
      </c>
      <c r="FD94">
        <v>35.765999999999998</v>
      </c>
      <c r="FG94" s="12">
        <v>42978</v>
      </c>
      <c r="FH94">
        <v>7.3659999999999997</v>
      </c>
      <c r="FI94" s="12">
        <v>42978</v>
      </c>
      <c r="FJ94">
        <v>19.388000000000002</v>
      </c>
      <c r="FK94" s="12">
        <v>42978</v>
      </c>
      <c r="FL94">
        <v>22.47</v>
      </c>
      <c r="FM94" s="12">
        <v>42978</v>
      </c>
      <c r="FN94">
        <v>8.4280000000000008</v>
      </c>
      <c r="FO94" s="12">
        <v>42978</v>
      </c>
      <c r="FP94">
        <v>22.251999999999999</v>
      </c>
      <c r="FS94" s="12">
        <v>42978</v>
      </c>
      <c r="FT94">
        <v>2.7039999999999997</v>
      </c>
      <c r="FU94" s="12">
        <v>42978</v>
      </c>
      <c r="FV94">
        <v>14.095000000000001</v>
      </c>
      <c r="FW94" s="12">
        <v>42978</v>
      </c>
      <c r="FX94">
        <v>17.431999999999999</v>
      </c>
      <c r="FY94" s="12">
        <v>43830</v>
      </c>
      <c r="FZ94">
        <v>22.411999999999999</v>
      </c>
      <c r="GA94" s="12">
        <v>42978</v>
      </c>
      <c r="GB94">
        <v>16.172000000000001</v>
      </c>
      <c r="GC94" s="12">
        <v>42978</v>
      </c>
      <c r="GD94">
        <v>20.244</v>
      </c>
      <c r="GI94" s="12">
        <v>42978</v>
      </c>
      <c r="GJ94">
        <v>26.913</v>
      </c>
      <c r="GK94" s="12">
        <v>42978</v>
      </c>
      <c r="GL94">
        <v>39.5</v>
      </c>
      <c r="GM94" s="12">
        <v>42978</v>
      </c>
      <c r="GN94">
        <v>47.927999999999997</v>
      </c>
      <c r="GO94" s="12">
        <v>43465</v>
      </c>
      <c r="GP94">
        <v>22.449000000000002</v>
      </c>
      <c r="GQ94" s="12">
        <v>43098</v>
      </c>
      <c r="GR94">
        <v>4.12</v>
      </c>
      <c r="GS94" s="12">
        <v>42978</v>
      </c>
      <c r="GT94">
        <v>3.5300000000000002</v>
      </c>
      <c r="GW94" s="12">
        <v>43039</v>
      </c>
      <c r="GX94">
        <v>34.409999999999997</v>
      </c>
      <c r="GY94" s="12">
        <v>42978</v>
      </c>
      <c r="GZ94">
        <v>7.13</v>
      </c>
      <c r="HA94" s="12">
        <v>42978</v>
      </c>
      <c r="HB94">
        <v>10.651</v>
      </c>
      <c r="HC94" s="12">
        <v>42978</v>
      </c>
      <c r="HD94">
        <v>23.241</v>
      </c>
      <c r="HE94" s="12">
        <v>42978</v>
      </c>
      <c r="HF94">
        <v>18.338000000000001</v>
      </c>
      <c r="HG94" s="12">
        <v>42978</v>
      </c>
      <c r="HH94">
        <v>14.348000000000001</v>
      </c>
      <c r="HI94" s="12">
        <v>42978</v>
      </c>
      <c r="HJ94">
        <v>13.94</v>
      </c>
      <c r="HK94" s="12">
        <v>42978</v>
      </c>
      <c r="HL94">
        <v>4.0599999999999996</v>
      </c>
      <c r="HM94" s="12">
        <v>42978</v>
      </c>
      <c r="HN94">
        <v>3.351</v>
      </c>
      <c r="HO94" s="12">
        <v>42978</v>
      </c>
      <c r="HP94">
        <v>2.8279999999999998</v>
      </c>
      <c r="HQ94" s="12">
        <v>43069</v>
      </c>
      <c r="HR94">
        <v>9.56</v>
      </c>
      <c r="HS94" s="12">
        <v>42978</v>
      </c>
      <c r="HT94">
        <v>69.756</v>
      </c>
      <c r="HU94" s="12">
        <v>42978</v>
      </c>
      <c r="HV94">
        <v>21.2</v>
      </c>
      <c r="HW94" s="12">
        <v>42978</v>
      </c>
      <c r="HX94">
        <v>13.605</v>
      </c>
      <c r="HY94" s="12">
        <v>42978</v>
      </c>
      <c r="HZ94">
        <v>12.664</v>
      </c>
      <c r="IA94" s="12">
        <v>42978</v>
      </c>
      <c r="IB94">
        <v>26.86</v>
      </c>
      <c r="IC94" s="12">
        <v>42978</v>
      </c>
      <c r="ID94">
        <v>3.61</v>
      </c>
      <c r="IE94" s="12">
        <v>42978</v>
      </c>
      <c r="IF94">
        <v>3.37</v>
      </c>
      <c r="IG94" s="12">
        <v>43280</v>
      </c>
      <c r="IH94">
        <v>7</v>
      </c>
      <c r="II94" s="12">
        <v>42978</v>
      </c>
      <c r="IJ94">
        <v>11.3</v>
      </c>
      <c r="IM94" s="12">
        <v>42978</v>
      </c>
      <c r="IN94">
        <v>29.37</v>
      </c>
      <c r="IO94" s="12">
        <v>43524</v>
      </c>
      <c r="IP94">
        <v>12.993</v>
      </c>
      <c r="IQ94" s="12">
        <v>42978</v>
      </c>
      <c r="IR94">
        <v>67.78</v>
      </c>
      <c r="IU94" s="12">
        <v>42978</v>
      </c>
      <c r="IV94">
        <v>6.0846999999999998</v>
      </c>
      <c r="IY94" s="12">
        <v>42978</v>
      </c>
      <c r="IZ94">
        <v>18.356999999999999</v>
      </c>
      <c r="JC94" s="12">
        <v>42978</v>
      </c>
      <c r="JD94">
        <v>8.98</v>
      </c>
      <c r="JE94" s="12">
        <v>42978</v>
      </c>
      <c r="JF94">
        <v>7.05</v>
      </c>
      <c r="JI94" s="12">
        <v>42978</v>
      </c>
      <c r="JJ94">
        <v>24.044</v>
      </c>
      <c r="JM94" s="12">
        <v>42978</v>
      </c>
      <c r="JN94">
        <v>2.9870000000000001</v>
      </c>
      <c r="JO94" s="12">
        <v>42978</v>
      </c>
      <c r="JP94">
        <v>29.466000000000001</v>
      </c>
      <c r="JS94" s="12">
        <v>42978</v>
      </c>
      <c r="JT94">
        <v>9.0980000000000008</v>
      </c>
      <c r="JW94" s="12">
        <v>42978</v>
      </c>
      <c r="JX94">
        <v>16.481000000000002</v>
      </c>
      <c r="JY94" s="12">
        <v>42978</v>
      </c>
      <c r="JZ94">
        <v>16.863</v>
      </c>
      <c r="KC94" s="12">
        <v>42978</v>
      </c>
      <c r="KD94">
        <v>17.5</v>
      </c>
      <c r="KE94" s="12">
        <v>42978</v>
      </c>
      <c r="KF94">
        <v>17.835000000000001</v>
      </c>
      <c r="KI94" s="12">
        <v>42978</v>
      </c>
      <c r="KJ94">
        <v>2.38</v>
      </c>
      <c r="KQ94" s="12">
        <v>42978</v>
      </c>
      <c r="KR94">
        <v>16.8</v>
      </c>
      <c r="KS94" s="12">
        <v>42978</v>
      </c>
      <c r="KT94">
        <v>11.897</v>
      </c>
      <c r="KU94" s="12">
        <v>42978</v>
      </c>
      <c r="KV94">
        <v>10.524000000000001</v>
      </c>
      <c r="LC94" s="12">
        <v>42978</v>
      </c>
      <c r="LD94">
        <v>10.113</v>
      </c>
      <c r="LE94" s="12">
        <v>42978</v>
      </c>
      <c r="LF94">
        <v>13.218999999999999</v>
      </c>
      <c r="LG94" s="12">
        <v>42978</v>
      </c>
      <c r="LH94">
        <v>14.573</v>
      </c>
      <c r="LI94" s="12">
        <v>42978</v>
      </c>
      <c r="LJ94">
        <v>34.494999999999997</v>
      </c>
      <c r="LM94" s="12">
        <v>42978</v>
      </c>
      <c r="LN94">
        <v>10.016</v>
      </c>
      <c r="LO94" s="12">
        <v>42978</v>
      </c>
      <c r="LP94">
        <v>6.6829999999999998</v>
      </c>
      <c r="LQ94" s="12">
        <v>42978</v>
      </c>
      <c r="LR94">
        <v>32.499000000000002</v>
      </c>
      <c r="LS94" s="12">
        <v>42978</v>
      </c>
      <c r="LT94">
        <v>32.57</v>
      </c>
      <c r="LW94" s="12">
        <v>42978</v>
      </c>
      <c r="LX94">
        <v>18.466999999999999</v>
      </c>
      <c r="LY94" s="12">
        <v>42978</v>
      </c>
      <c r="LZ94">
        <v>40.177999999999997</v>
      </c>
      <c r="MA94" s="12">
        <v>42978</v>
      </c>
      <c r="MB94">
        <v>17.786999999999999</v>
      </c>
      <c r="ME94" s="12">
        <v>43007</v>
      </c>
      <c r="MF94">
        <v>7.8010000000000002</v>
      </c>
      <c r="MG94" s="12">
        <v>42978</v>
      </c>
      <c r="MH94">
        <v>15.081</v>
      </c>
      <c r="MK94" s="12">
        <v>42978</v>
      </c>
      <c r="ML94">
        <v>23.216000000000001</v>
      </c>
    </row>
    <row r="95" spans="1:350" x14ac:dyDescent="0.3">
      <c r="A95" s="12">
        <v>43007</v>
      </c>
      <c r="B95" s="1">
        <v>19.559000000000001</v>
      </c>
      <c r="C95" s="1"/>
      <c r="G95" s="17">
        <v>43007</v>
      </c>
      <c r="H95" s="13">
        <v>12.09</v>
      </c>
      <c r="I95" s="17">
        <v>43039</v>
      </c>
      <c r="J95">
        <v>17.175000000000001</v>
      </c>
      <c r="N95" s="12"/>
      <c r="U95" s="12">
        <v>43434</v>
      </c>
      <c r="V95">
        <v>48.276000000000003</v>
      </c>
      <c r="Y95" s="12">
        <v>43007</v>
      </c>
      <c r="Z95">
        <v>21.873000000000001</v>
      </c>
      <c r="AA95" s="12">
        <v>43007</v>
      </c>
      <c r="AB95">
        <v>31.033999999999999</v>
      </c>
      <c r="AC95" s="12">
        <v>43007</v>
      </c>
      <c r="AD95">
        <v>20.376999999999999</v>
      </c>
      <c r="AE95" s="12">
        <v>43007</v>
      </c>
      <c r="AF95">
        <v>21.356999999999999</v>
      </c>
      <c r="AG95" s="12">
        <v>43007</v>
      </c>
      <c r="AH95">
        <v>12.4</v>
      </c>
      <c r="AK95" s="12">
        <v>43007</v>
      </c>
      <c r="AL95">
        <v>11.2</v>
      </c>
      <c r="AS95" s="12">
        <v>43007</v>
      </c>
      <c r="AT95">
        <v>1.7650000000000001</v>
      </c>
      <c r="AU95" s="12">
        <v>43007</v>
      </c>
      <c r="AV95">
        <v>21.181999999999999</v>
      </c>
      <c r="AY95" s="12">
        <v>43007</v>
      </c>
      <c r="AZ95">
        <v>45.67</v>
      </c>
      <c r="BA95" s="12">
        <v>43007</v>
      </c>
      <c r="BB95">
        <v>38.463999999999999</v>
      </c>
      <c r="BC95" s="12">
        <v>43007</v>
      </c>
      <c r="BD95">
        <v>13.064</v>
      </c>
      <c r="BE95" s="12">
        <v>43098</v>
      </c>
      <c r="BF95">
        <v>10.303000000000001</v>
      </c>
      <c r="BG95" s="12">
        <v>43007</v>
      </c>
      <c r="BH95">
        <v>14.513</v>
      </c>
      <c r="BI95" s="12">
        <v>43007</v>
      </c>
      <c r="BJ95">
        <v>20.895</v>
      </c>
      <c r="BK95" s="12">
        <v>43007</v>
      </c>
      <c r="BL95">
        <v>15.222</v>
      </c>
      <c r="BM95" s="12">
        <v>43007</v>
      </c>
      <c r="BN95">
        <v>12.912000000000001</v>
      </c>
      <c r="BO95" s="12">
        <v>43007</v>
      </c>
      <c r="BP95">
        <v>18.637</v>
      </c>
      <c r="BQ95" s="12">
        <v>43007</v>
      </c>
      <c r="BR95">
        <v>7.3789999999999996</v>
      </c>
      <c r="BS95" s="12">
        <v>43007</v>
      </c>
      <c r="BT95">
        <v>6.8369999999999997</v>
      </c>
      <c r="BW95" s="12">
        <v>43007</v>
      </c>
      <c r="BX95">
        <v>19.03</v>
      </c>
      <c r="BY95" s="12">
        <v>43007</v>
      </c>
      <c r="BZ95">
        <v>26.481000000000002</v>
      </c>
      <c r="CA95" s="12">
        <v>43007</v>
      </c>
      <c r="CB95">
        <v>24.849</v>
      </c>
      <c r="CG95" s="12">
        <v>43007</v>
      </c>
      <c r="CH95">
        <v>34.436999999999998</v>
      </c>
      <c r="CI95" s="12">
        <v>43007</v>
      </c>
      <c r="CJ95">
        <v>36.219000000000001</v>
      </c>
      <c r="CK95" s="12">
        <v>43007</v>
      </c>
      <c r="CL95">
        <v>8.9610000000000003</v>
      </c>
      <c r="CQ95" s="12">
        <v>43007</v>
      </c>
      <c r="CR95">
        <v>11.893000000000001</v>
      </c>
      <c r="CS95" s="12">
        <v>43007</v>
      </c>
      <c r="CT95">
        <v>26.39</v>
      </c>
      <c r="CU95" s="12">
        <v>43007</v>
      </c>
      <c r="CV95">
        <v>4.907</v>
      </c>
      <c r="CW95" s="12">
        <v>43007</v>
      </c>
      <c r="CX95">
        <v>8.5530000000000008</v>
      </c>
      <c r="CY95" s="12">
        <v>43098</v>
      </c>
      <c r="CZ95">
        <v>11.407999999999999</v>
      </c>
      <c r="DA95" s="12">
        <v>43007</v>
      </c>
      <c r="DB95">
        <v>24.552</v>
      </c>
      <c r="DC95" s="12">
        <v>43007</v>
      </c>
      <c r="DD95">
        <v>19.239000000000001</v>
      </c>
      <c r="DE95" s="12">
        <v>43007</v>
      </c>
      <c r="DF95">
        <v>21.757000000000001</v>
      </c>
      <c r="DG95" s="12">
        <v>43769</v>
      </c>
      <c r="DH95">
        <v>49.13</v>
      </c>
      <c r="DI95" s="12">
        <v>43007</v>
      </c>
      <c r="DJ95">
        <v>12.67</v>
      </c>
      <c r="DK95" s="12">
        <v>43007</v>
      </c>
      <c r="DL95">
        <v>17.706</v>
      </c>
      <c r="DM95" s="12">
        <v>43434</v>
      </c>
      <c r="DN95">
        <v>8.1120000000000001</v>
      </c>
      <c r="DO95" s="12">
        <v>43007</v>
      </c>
      <c r="DP95">
        <v>13.301</v>
      </c>
      <c r="DQ95" s="12">
        <v>43007</v>
      </c>
      <c r="DR95">
        <v>15.55</v>
      </c>
      <c r="DS95" s="12">
        <v>43039</v>
      </c>
      <c r="DT95">
        <v>23.302</v>
      </c>
      <c r="DU95" s="12">
        <v>43007</v>
      </c>
      <c r="DV95">
        <v>11.901</v>
      </c>
      <c r="DW95" s="12">
        <v>43007</v>
      </c>
      <c r="DX95">
        <v>5.4329999999999998</v>
      </c>
      <c r="DY95" s="12">
        <v>43007</v>
      </c>
      <c r="DZ95">
        <v>15.868</v>
      </c>
      <c r="EC95" s="12">
        <v>43007</v>
      </c>
      <c r="ED95">
        <v>39.659999999999997</v>
      </c>
      <c r="EE95" s="12">
        <v>43007</v>
      </c>
      <c r="EF95">
        <v>26.440999999999999</v>
      </c>
      <c r="EI95" s="12">
        <v>43007</v>
      </c>
      <c r="EJ95">
        <v>11.531000000000001</v>
      </c>
      <c r="EK95" s="12">
        <v>43007</v>
      </c>
      <c r="EL95">
        <v>10.401</v>
      </c>
      <c r="EM95" s="12">
        <v>43007</v>
      </c>
      <c r="EN95">
        <v>10.518000000000001</v>
      </c>
      <c r="EQ95" s="12">
        <v>43007</v>
      </c>
      <c r="ER95">
        <v>5.0049999999999999</v>
      </c>
      <c r="ES95" s="12">
        <v>43007</v>
      </c>
      <c r="ET95">
        <v>13.35</v>
      </c>
      <c r="EU95" s="12">
        <v>43007</v>
      </c>
      <c r="EV95">
        <v>7.9809999999999999</v>
      </c>
      <c r="EY95" s="12">
        <v>43007</v>
      </c>
      <c r="EZ95">
        <v>26.3</v>
      </c>
      <c r="FA95" s="12">
        <v>43007</v>
      </c>
      <c r="FB95">
        <v>29.068000000000001</v>
      </c>
      <c r="FC95" s="12">
        <v>43007</v>
      </c>
      <c r="FD95">
        <v>37.545000000000002</v>
      </c>
      <c r="FG95" s="12">
        <v>43007</v>
      </c>
      <c r="FH95">
        <v>7.9779999999999998</v>
      </c>
      <c r="FI95" s="12">
        <v>43007</v>
      </c>
      <c r="FJ95">
        <v>20.881</v>
      </c>
      <c r="FK95" s="12">
        <v>43007</v>
      </c>
      <c r="FL95">
        <v>24.15</v>
      </c>
      <c r="FM95" s="12">
        <v>43007</v>
      </c>
      <c r="FN95">
        <v>8.2629999999999999</v>
      </c>
      <c r="FO95" s="12">
        <v>43007</v>
      </c>
      <c r="FP95">
        <v>22.202999999999999</v>
      </c>
      <c r="FS95" s="12">
        <v>43007</v>
      </c>
      <c r="FT95">
        <v>2.9329999999999998</v>
      </c>
      <c r="FU95" s="12">
        <v>43007</v>
      </c>
      <c r="FV95">
        <v>15.335000000000001</v>
      </c>
      <c r="FW95" s="12">
        <v>43007</v>
      </c>
      <c r="FX95">
        <v>18.884</v>
      </c>
      <c r="GA95" s="12">
        <v>43007</v>
      </c>
      <c r="GB95">
        <v>16.805</v>
      </c>
      <c r="GC95" s="12">
        <v>43007</v>
      </c>
      <c r="GD95">
        <v>19.291</v>
      </c>
      <c r="GI95" s="12">
        <v>43007</v>
      </c>
      <c r="GJ95">
        <v>31.779</v>
      </c>
      <c r="GK95" s="12">
        <v>43007</v>
      </c>
      <c r="GL95">
        <v>40.6</v>
      </c>
      <c r="GM95" s="12">
        <v>43007</v>
      </c>
      <c r="GN95">
        <v>48.514000000000003</v>
      </c>
      <c r="GO95" s="12">
        <v>43496</v>
      </c>
      <c r="GP95">
        <v>22.274000000000001</v>
      </c>
      <c r="GQ95" s="12">
        <v>43131</v>
      </c>
      <c r="GR95">
        <v>4.45</v>
      </c>
      <c r="GS95" s="12">
        <v>43007</v>
      </c>
      <c r="GT95">
        <v>3.41</v>
      </c>
      <c r="GW95" s="12">
        <v>43069</v>
      </c>
      <c r="GX95">
        <v>32.442</v>
      </c>
      <c r="GY95" s="12">
        <v>43007</v>
      </c>
      <c r="GZ95">
        <v>6.47</v>
      </c>
      <c r="HA95" s="12">
        <v>43007</v>
      </c>
      <c r="HB95">
        <v>10.864000000000001</v>
      </c>
      <c r="HC95" s="12">
        <v>43007</v>
      </c>
      <c r="HD95">
        <v>23.422000000000001</v>
      </c>
      <c r="HE95" s="12">
        <v>43007</v>
      </c>
      <c r="HF95">
        <v>19.509</v>
      </c>
      <c r="HG95" s="12">
        <v>43007</v>
      </c>
      <c r="HH95">
        <v>15.175000000000001</v>
      </c>
      <c r="HI95" s="12">
        <v>43007</v>
      </c>
      <c r="HJ95">
        <v>14.534000000000001</v>
      </c>
      <c r="HK95" s="12">
        <v>43007</v>
      </c>
      <c r="HL95">
        <v>3.89</v>
      </c>
      <c r="HM95" s="12">
        <v>43007</v>
      </c>
      <c r="HN95">
        <v>3.7690000000000001</v>
      </c>
      <c r="HO95" s="12">
        <v>43007</v>
      </c>
      <c r="HP95">
        <v>2.7359999999999998</v>
      </c>
      <c r="HQ95" s="12">
        <v>43098</v>
      </c>
      <c r="HR95">
        <v>7.66</v>
      </c>
      <c r="HS95" s="12">
        <v>43007</v>
      </c>
      <c r="HT95">
        <v>72.673000000000002</v>
      </c>
      <c r="HU95" s="12">
        <v>43007</v>
      </c>
      <c r="HV95">
        <v>24.6</v>
      </c>
      <c r="HW95" s="12">
        <v>43007</v>
      </c>
      <c r="HX95">
        <v>15.397</v>
      </c>
      <c r="HY95" s="12">
        <v>43007</v>
      </c>
      <c r="HZ95">
        <v>14.195</v>
      </c>
      <c r="IA95" s="12">
        <v>43007</v>
      </c>
      <c r="IB95">
        <v>26.52</v>
      </c>
      <c r="IC95" s="12">
        <v>43007</v>
      </c>
      <c r="ID95">
        <v>4.0359999999999996</v>
      </c>
      <c r="IE95" s="12">
        <v>43007</v>
      </c>
      <c r="IF95">
        <v>3.55</v>
      </c>
      <c r="IG95" s="12">
        <v>43312</v>
      </c>
      <c r="IH95">
        <v>8.0210000000000008</v>
      </c>
      <c r="II95" s="12">
        <v>43007</v>
      </c>
      <c r="IJ95">
        <v>11.15</v>
      </c>
      <c r="IM95" s="12">
        <v>43007</v>
      </c>
      <c r="IN95">
        <v>31.838000000000001</v>
      </c>
      <c r="IO95" s="12">
        <v>43553</v>
      </c>
      <c r="IP95">
        <v>13.153</v>
      </c>
      <c r="IQ95" s="12">
        <v>43007</v>
      </c>
      <c r="IR95">
        <v>73.456999999999994</v>
      </c>
      <c r="IU95" s="12">
        <v>43007</v>
      </c>
      <c r="IV95">
        <v>6.5997000000000003</v>
      </c>
      <c r="IY95" s="12">
        <v>43007</v>
      </c>
      <c r="IZ95">
        <v>17.844000000000001</v>
      </c>
      <c r="JC95" s="12">
        <v>43007</v>
      </c>
      <c r="JD95">
        <v>9.76</v>
      </c>
      <c r="JE95" s="12">
        <v>43007</v>
      </c>
      <c r="JF95">
        <v>7.29</v>
      </c>
      <c r="JI95" s="12">
        <v>43007</v>
      </c>
      <c r="JJ95">
        <v>23.701000000000001</v>
      </c>
      <c r="JM95" s="12">
        <v>43007</v>
      </c>
      <c r="JN95">
        <v>3.0960000000000001</v>
      </c>
      <c r="JO95" s="12">
        <v>43007</v>
      </c>
      <c r="JP95">
        <v>30.501000000000001</v>
      </c>
      <c r="JS95" s="12">
        <v>43007</v>
      </c>
      <c r="JT95">
        <v>10.122999999999999</v>
      </c>
      <c r="JW95" s="12">
        <v>43007</v>
      </c>
      <c r="JX95">
        <v>16.803000000000001</v>
      </c>
      <c r="JY95" s="12">
        <v>43007</v>
      </c>
      <c r="JZ95">
        <v>16.779</v>
      </c>
      <c r="KC95" s="12">
        <v>43007</v>
      </c>
      <c r="KD95">
        <v>18.309999999999999</v>
      </c>
      <c r="KE95" s="12">
        <v>43007</v>
      </c>
      <c r="KF95">
        <v>17.637</v>
      </c>
      <c r="KI95" s="12">
        <v>43007</v>
      </c>
      <c r="KJ95">
        <v>2.2800000000000002</v>
      </c>
      <c r="KQ95" s="12">
        <v>43007</v>
      </c>
      <c r="KR95">
        <v>16.98</v>
      </c>
      <c r="KS95" s="12">
        <v>43007</v>
      </c>
      <c r="KT95">
        <v>11.99</v>
      </c>
      <c r="KU95" s="12">
        <v>43007</v>
      </c>
      <c r="KV95">
        <v>10.776</v>
      </c>
      <c r="LC95" s="12">
        <v>43007</v>
      </c>
      <c r="LD95">
        <v>10.192</v>
      </c>
      <c r="LE95" s="12">
        <v>43007</v>
      </c>
      <c r="LF95">
        <v>12.765000000000001</v>
      </c>
      <c r="LG95" s="12">
        <v>43007</v>
      </c>
      <c r="LH95">
        <v>15.459</v>
      </c>
      <c r="LI95" s="12">
        <v>43007</v>
      </c>
      <c r="LJ95">
        <v>35.368000000000002</v>
      </c>
      <c r="LM95" s="12">
        <v>43007</v>
      </c>
      <c r="LN95">
        <v>9.8109999999999999</v>
      </c>
      <c r="LO95" s="12">
        <v>43007</v>
      </c>
      <c r="LP95">
        <v>7.5460000000000003</v>
      </c>
      <c r="LQ95" s="12">
        <v>43007</v>
      </c>
      <c r="LR95">
        <v>29.526</v>
      </c>
      <c r="LS95" s="12">
        <v>43007</v>
      </c>
      <c r="LT95">
        <v>29.54</v>
      </c>
      <c r="LW95" s="12">
        <v>43007</v>
      </c>
      <c r="LX95">
        <v>20.65</v>
      </c>
      <c r="LY95" s="12">
        <v>43007</v>
      </c>
      <c r="LZ95">
        <v>41.518999999999998</v>
      </c>
      <c r="MA95" s="12">
        <v>43007</v>
      </c>
      <c r="MB95">
        <v>18.116</v>
      </c>
      <c r="ME95" s="12">
        <v>43039</v>
      </c>
      <c r="MF95">
        <v>7.5629999999999997</v>
      </c>
      <c r="MG95" s="12">
        <v>43007</v>
      </c>
      <c r="MH95">
        <v>15.774000000000001</v>
      </c>
      <c r="MK95" s="12">
        <v>43007</v>
      </c>
      <c r="ML95">
        <v>27.876000000000001</v>
      </c>
    </row>
    <row r="96" spans="1:350" x14ac:dyDescent="0.3">
      <c r="A96" s="12">
        <v>43039</v>
      </c>
      <c r="B96" s="1">
        <v>19.428999999999998</v>
      </c>
      <c r="C96" s="1"/>
      <c r="G96" s="17">
        <v>43039</v>
      </c>
      <c r="H96" s="13">
        <v>13.321999999999999</v>
      </c>
      <c r="I96" s="17">
        <v>43069</v>
      </c>
      <c r="J96">
        <v>16.684999999999999</v>
      </c>
      <c r="N96" s="12"/>
      <c r="U96" s="12">
        <v>43465</v>
      </c>
      <c r="V96">
        <v>53.454999999999998</v>
      </c>
      <c r="Y96" s="12">
        <v>43039</v>
      </c>
      <c r="Z96">
        <v>21.827999999999999</v>
      </c>
      <c r="AA96" s="12">
        <v>43039</v>
      </c>
      <c r="AB96">
        <v>30.625</v>
      </c>
      <c r="AC96" s="12">
        <v>43039</v>
      </c>
      <c r="AD96">
        <v>20.009</v>
      </c>
      <c r="AE96" s="12">
        <v>43039</v>
      </c>
      <c r="AF96">
        <v>21.143000000000001</v>
      </c>
      <c r="AG96" s="12">
        <v>43039</v>
      </c>
      <c r="AH96">
        <v>11.1</v>
      </c>
      <c r="AK96" s="12">
        <v>43039</v>
      </c>
      <c r="AL96">
        <v>11.5</v>
      </c>
      <c r="AS96" s="12">
        <v>43039</v>
      </c>
      <c r="AT96">
        <v>1.8580000000000001</v>
      </c>
      <c r="AU96" s="12">
        <v>43039</v>
      </c>
      <c r="AV96">
        <v>21.094000000000001</v>
      </c>
      <c r="AY96" s="12">
        <v>43039</v>
      </c>
      <c r="AZ96">
        <v>44.25</v>
      </c>
      <c r="BA96" s="12">
        <v>43039</v>
      </c>
      <c r="BB96">
        <v>47.465000000000003</v>
      </c>
      <c r="BC96" s="12">
        <v>43039</v>
      </c>
      <c r="BD96">
        <v>11.773</v>
      </c>
      <c r="BE96" s="12">
        <v>43131</v>
      </c>
      <c r="BF96">
        <v>10.769</v>
      </c>
      <c r="BG96" s="12">
        <v>43039</v>
      </c>
      <c r="BH96">
        <v>12.539</v>
      </c>
      <c r="BI96" s="12">
        <v>43039</v>
      </c>
      <c r="BJ96">
        <v>20.984000000000002</v>
      </c>
      <c r="BK96" s="12">
        <v>43039</v>
      </c>
      <c r="BL96">
        <v>16.013999999999999</v>
      </c>
      <c r="BM96" s="12">
        <v>43039</v>
      </c>
      <c r="BN96">
        <v>11.632999999999999</v>
      </c>
      <c r="BO96" s="12">
        <v>43039</v>
      </c>
      <c r="BP96">
        <v>18.975999999999999</v>
      </c>
      <c r="BQ96" s="12">
        <v>43039</v>
      </c>
      <c r="BR96">
        <v>6.8920000000000003</v>
      </c>
      <c r="BS96" s="12">
        <v>43039</v>
      </c>
      <c r="BT96">
        <v>6.8319999999999999</v>
      </c>
      <c r="BW96" s="12">
        <v>43039</v>
      </c>
      <c r="BX96">
        <v>17.074999999999999</v>
      </c>
      <c r="BY96" s="12">
        <v>43039</v>
      </c>
      <c r="BZ96">
        <v>26.754000000000001</v>
      </c>
      <c r="CA96" s="12">
        <v>43039</v>
      </c>
      <c r="CB96">
        <v>21.997</v>
      </c>
      <c r="CG96" s="12">
        <v>43039</v>
      </c>
      <c r="CH96">
        <v>35.578000000000003</v>
      </c>
      <c r="CI96" s="12">
        <v>43039</v>
      </c>
      <c r="CJ96">
        <v>33.341000000000001</v>
      </c>
      <c r="CK96" s="12">
        <v>43039</v>
      </c>
      <c r="CL96">
        <v>7.86</v>
      </c>
      <c r="CQ96" s="12">
        <v>43039</v>
      </c>
      <c r="CR96">
        <v>11.031000000000001</v>
      </c>
      <c r="CS96" s="12">
        <v>43039</v>
      </c>
      <c r="CT96">
        <v>28.716999999999999</v>
      </c>
      <c r="CU96" s="12">
        <v>43039</v>
      </c>
      <c r="CV96">
        <v>4.915</v>
      </c>
      <c r="CW96" s="12">
        <v>43039</v>
      </c>
      <c r="CX96">
        <v>8.6340000000000003</v>
      </c>
      <c r="CY96" s="12">
        <v>43131</v>
      </c>
      <c r="CZ96">
        <v>10.564</v>
      </c>
      <c r="DA96" s="12">
        <v>43039</v>
      </c>
      <c r="DB96">
        <v>24.247</v>
      </c>
      <c r="DC96" s="12">
        <v>43039</v>
      </c>
      <c r="DD96">
        <v>21.469000000000001</v>
      </c>
      <c r="DE96" s="12">
        <v>43039</v>
      </c>
      <c r="DF96">
        <v>24.297999999999998</v>
      </c>
      <c r="DG96" s="12">
        <v>43798</v>
      </c>
      <c r="DH96">
        <v>49.32</v>
      </c>
      <c r="DI96" s="12">
        <v>43039</v>
      </c>
      <c r="DJ96">
        <v>14.74</v>
      </c>
      <c r="DK96" s="12">
        <v>43039</v>
      </c>
      <c r="DL96">
        <v>15.507999999999999</v>
      </c>
      <c r="DM96" s="12">
        <v>43465</v>
      </c>
      <c r="DN96">
        <v>7.2720000000000002</v>
      </c>
      <c r="DO96" s="12">
        <v>43039</v>
      </c>
      <c r="DP96">
        <v>12.651</v>
      </c>
      <c r="DQ96" s="12">
        <v>43039</v>
      </c>
      <c r="DR96">
        <v>13.35</v>
      </c>
      <c r="DS96" s="12">
        <v>43069</v>
      </c>
      <c r="DT96">
        <v>23.867000000000001</v>
      </c>
      <c r="DU96" s="12">
        <v>43039</v>
      </c>
      <c r="DV96">
        <v>11.852</v>
      </c>
      <c r="DW96" s="12">
        <v>43039</v>
      </c>
      <c r="DX96">
        <v>5.2859999999999996</v>
      </c>
      <c r="DY96" s="12">
        <v>43039</v>
      </c>
      <c r="DZ96">
        <v>15.163</v>
      </c>
      <c r="EC96" s="12">
        <v>43039</v>
      </c>
      <c r="ED96">
        <v>48.444000000000003</v>
      </c>
      <c r="EE96" s="12">
        <v>43039</v>
      </c>
      <c r="EF96">
        <v>25.911000000000001</v>
      </c>
      <c r="EI96" s="12">
        <v>43039</v>
      </c>
      <c r="EJ96">
        <v>12.438000000000001</v>
      </c>
      <c r="EK96" s="12">
        <v>43039</v>
      </c>
      <c r="EL96">
        <v>10.222</v>
      </c>
      <c r="EM96" s="12">
        <v>43039</v>
      </c>
      <c r="EN96">
        <v>10.432</v>
      </c>
      <c r="EQ96" s="12">
        <v>43039</v>
      </c>
      <c r="ER96">
        <v>4.8339999999999996</v>
      </c>
      <c r="ES96" s="12">
        <v>43039</v>
      </c>
      <c r="ET96">
        <v>13.85</v>
      </c>
      <c r="EU96" s="12">
        <v>43039</v>
      </c>
      <c r="EV96">
        <v>8.2140000000000004</v>
      </c>
      <c r="EY96" s="12">
        <v>43039</v>
      </c>
      <c r="EZ96">
        <v>26.992999999999999</v>
      </c>
      <c r="FA96" s="12">
        <v>43039</v>
      </c>
      <c r="FB96">
        <v>30.873000000000001</v>
      </c>
      <c r="FC96" s="12">
        <v>43039</v>
      </c>
      <c r="FD96">
        <v>36.798999999999999</v>
      </c>
      <c r="FG96" s="12">
        <v>43039</v>
      </c>
      <c r="FH96">
        <v>7.58</v>
      </c>
      <c r="FI96" s="12">
        <v>43039</v>
      </c>
      <c r="FJ96">
        <v>20.9</v>
      </c>
      <c r="FK96" s="12">
        <v>43039</v>
      </c>
      <c r="FL96">
        <v>23.434000000000001</v>
      </c>
      <c r="FM96" s="12">
        <v>43039</v>
      </c>
      <c r="FN96">
        <v>7.3289999999999997</v>
      </c>
      <c r="FO96" s="12">
        <v>43039</v>
      </c>
      <c r="FP96">
        <v>21.841000000000001</v>
      </c>
      <c r="FS96" s="12">
        <v>43039</v>
      </c>
      <c r="FT96">
        <v>3.0030000000000001</v>
      </c>
      <c r="FU96" s="12">
        <v>43039</v>
      </c>
      <c r="FV96">
        <v>13.968</v>
      </c>
      <c r="FW96" s="12">
        <v>43039</v>
      </c>
      <c r="FX96">
        <v>17.245999999999999</v>
      </c>
      <c r="GA96" s="12">
        <v>43039</v>
      </c>
      <c r="GB96">
        <v>18.114000000000001</v>
      </c>
      <c r="GC96" s="12">
        <v>43039</v>
      </c>
      <c r="GD96">
        <v>17.963999999999999</v>
      </c>
      <c r="GI96" s="12">
        <v>43039</v>
      </c>
      <c r="GJ96">
        <v>30.387</v>
      </c>
      <c r="GK96" s="12">
        <v>43039</v>
      </c>
      <c r="GL96">
        <v>46</v>
      </c>
      <c r="GM96" s="12">
        <v>43039</v>
      </c>
      <c r="GN96">
        <v>47.000999999999998</v>
      </c>
      <c r="GO96" s="12">
        <v>43524</v>
      </c>
      <c r="GP96">
        <v>21.576000000000001</v>
      </c>
      <c r="GQ96" s="12">
        <v>43159</v>
      </c>
      <c r="GR96">
        <v>3.57</v>
      </c>
      <c r="GS96" s="12">
        <v>43039</v>
      </c>
      <c r="GT96">
        <v>3.27</v>
      </c>
      <c r="GW96" s="12">
        <v>43098</v>
      </c>
      <c r="GX96">
        <v>32.572000000000003</v>
      </c>
      <c r="GY96" s="12">
        <v>43039</v>
      </c>
      <c r="GZ96">
        <v>6.43</v>
      </c>
      <c r="HA96" s="12">
        <v>43039</v>
      </c>
      <c r="HB96">
        <v>9.9879999999999995</v>
      </c>
      <c r="HC96" s="12">
        <v>43039</v>
      </c>
      <c r="HD96">
        <v>22.837</v>
      </c>
      <c r="HE96" s="12">
        <v>43039</v>
      </c>
      <c r="HF96">
        <v>20.326000000000001</v>
      </c>
      <c r="HG96" s="12">
        <v>43039</v>
      </c>
      <c r="HH96">
        <v>15.063000000000001</v>
      </c>
      <c r="HI96" s="12">
        <v>43039</v>
      </c>
      <c r="HJ96">
        <v>14.920999999999999</v>
      </c>
      <c r="HK96" s="12">
        <v>43039</v>
      </c>
      <c r="HL96">
        <v>3.62</v>
      </c>
      <c r="HM96" s="12">
        <v>43039</v>
      </c>
      <c r="HN96">
        <v>3.4929999999999999</v>
      </c>
      <c r="HO96" s="12">
        <v>43039</v>
      </c>
      <c r="HP96">
        <v>2.92</v>
      </c>
      <c r="HQ96" s="12">
        <v>43131</v>
      </c>
      <c r="HR96">
        <v>7.4</v>
      </c>
      <c r="HS96" s="12">
        <v>43039</v>
      </c>
      <c r="HT96">
        <v>73.835999999999999</v>
      </c>
      <c r="HU96" s="12">
        <v>43039</v>
      </c>
      <c r="HV96">
        <v>23.5</v>
      </c>
      <c r="HW96" s="12">
        <v>43039</v>
      </c>
      <c r="HX96">
        <v>16.963999999999999</v>
      </c>
      <c r="HY96" s="12">
        <v>43039</v>
      </c>
      <c r="HZ96">
        <v>15.558999999999999</v>
      </c>
      <c r="IA96" s="12">
        <v>43039</v>
      </c>
      <c r="IB96">
        <v>25.16</v>
      </c>
      <c r="IC96" s="12">
        <v>43039</v>
      </c>
      <c r="ID96">
        <v>3.6840000000000002</v>
      </c>
      <c r="IE96" s="12">
        <v>43039</v>
      </c>
      <c r="IF96">
        <v>3.16</v>
      </c>
      <c r="IG96" s="12">
        <v>43343</v>
      </c>
      <c r="IH96">
        <v>9.4529999999999994</v>
      </c>
      <c r="II96" s="12">
        <v>43039</v>
      </c>
      <c r="IJ96">
        <v>11.13</v>
      </c>
      <c r="IM96" s="12">
        <v>43039</v>
      </c>
      <c r="IN96">
        <v>30.8</v>
      </c>
      <c r="IO96" s="12">
        <v>43585</v>
      </c>
      <c r="IP96">
        <v>14.984999999999999</v>
      </c>
      <c r="IQ96" s="12">
        <v>43039</v>
      </c>
      <c r="IR96">
        <v>76.599999999999994</v>
      </c>
      <c r="IU96" s="12">
        <v>43039</v>
      </c>
      <c r="IV96">
        <v>6.6474000000000002</v>
      </c>
      <c r="IY96" s="12">
        <v>43039</v>
      </c>
      <c r="IZ96">
        <v>17.893999999999998</v>
      </c>
      <c r="JC96" s="12">
        <v>43039</v>
      </c>
      <c r="JD96">
        <v>9.4600000000000009</v>
      </c>
      <c r="JE96" s="12">
        <v>43039</v>
      </c>
      <c r="JF96">
        <v>6.5600000000000005</v>
      </c>
      <c r="JI96" s="12">
        <v>43039</v>
      </c>
      <c r="JJ96">
        <v>24.646999999999998</v>
      </c>
      <c r="JM96" s="12">
        <v>43039</v>
      </c>
      <c r="JN96">
        <v>3.105</v>
      </c>
      <c r="JO96" s="12">
        <v>43039</v>
      </c>
      <c r="JP96">
        <v>27.312000000000001</v>
      </c>
      <c r="JS96" s="12">
        <v>43039</v>
      </c>
      <c r="JT96">
        <v>9.8409999999999993</v>
      </c>
      <c r="JW96" s="12">
        <v>43039</v>
      </c>
      <c r="JX96">
        <v>17.388000000000002</v>
      </c>
      <c r="JY96" s="12">
        <v>43039</v>
      </c>
      <c r="JZ96">
        <v>16.815999999999999</v>
      </c>
      <c r="KC96" s="12">
        <v>43039</v>
      </c>
      <c r="KD96">
        <v>20.329999999999998</v>
      </c>
      <c r="KE96" s="12">
        <v>43039</v>
      </c>
      <c r="KF96">
        <v>16.25</v>
      </c>
      <c r="KI96" s="12">
        <v>43039</v>
      </c>
      <c r="KJ96">
        <v>2.33</v>
      </c>
      <c r="KQ96" s="12">
        <v>43039</v>
      </c>
      <c r="KR96">
        <v>16</v>
      </c>
      <c r="KS96" s="12">
        <v>43039</v>
      </c>
      <c r="KT96">
        <v>10.888</v>
      </c>
      <c r="KU96" s="12">
        <v>43039</v>
      </c>
      <c r="KV96">
        <v>11.317</v>
      </c>
      <c r="LC96" s="12">
        <v>43039</v>
      </c>
      <c r="LD96">
        <v>10.608000000000001</v>
      </c>
      <c r="LE96" s="12">
        <v>43039</v>
      </c>
      <c r="LF96">
        <v>12.425000000000001</v>
      </c>
      <c r="LG96" s="12">
        <v>43039</v>
      </c>
      <c r="LH96">
        <v>15.138</v>
      </c>
      <c r="LI96" s="12">
        <v>43039</v>
      </c>
      <c r="LJ96">
        <v>36.679000000000002</v>
      </c>
      <c r="LM96" s="12">
        <v>43039</v>
      </c>
      <c r="LN96">
        <v>11.744</v>
      </c>
      <c r="LO96" s="12">
        <v>43039</v>
      </c>
      <c r="LP96">
        <v>8.5449999999999999</v>
      </c>
      <c r="LQ96" s="12">
        <v>43039</v>
      </c>
      <c r="LR96">
        <v>29.739000000000001</v>
      </c>
      <c r="LS96" s="12">
        <v>43039</v>
      </c>
      <c r="LT96">
        <v>29.74</v>
      </c>
      <c r="LW96" s="12">
        <v>43039</v>
      </c>
      <c r="LX96">
        <v>20.565999999999999</v>
      </c>
      <c r="LY96" s="12">
        <v>43039</v>
      </c>
      <c r="LZ96">
        <v>41.698</v>
      </c>
      <c r="MA96" s="12">
        <v>43039</v>
      </c>
      <c r="MB96">
        <v>16.300999999999998</v>
      </c>
      <c r="ME96" s="12">
        <v>43069</v>
      </c>
      <c r="MF96">
        <v>7.3239999999999998</v>
      </c>
      <c r="MG96" s="12">
        <v>43039</v>
      </c>
      <c r="MH96">
        <v>15.728</v>
      </c>
      <c r="MK96" s="12">
        <v>43039</v>
      </c>
      <c r="ML96">
        <v>26.382999999999999</v>
      </c>
    </row>
    <row r="97" spans="1:350" x14ac:dyDescent="0.3">
      <c r="A97" s="12">
        <v>43069</v>
      </c>
      <c r="B97" s="1">
        <v>19.113</v>
      </c>
      <c r="C97" s="1"/>
      <c r="G97" s="17">
        <v>43069</v>
      </c>
      <c r="H97" s="13">
        <v>12.849</v>
      </c>
      <c r="I97" s="17">
        <v>43098</v>
      </c>
      <c r="J97">
        <v>17.664999999999999</v>
      </c>
      <c r="N97" s="12"/>
      <c r="U97" s="12">
        <v>43496</v>
      </c>
      <c r="V97">
        <v>53.396999999999998</v>
      </c>
      <c r="Y97" s="12">
        <v>43069</v>
      </c>
      <c r="Z97">
        <v>21.297000000000001</v>
      </c>
      <c r="AA97" s="12">
        <v>43069</v>
      </c>
      <c r="AB97">
        <v>26.795000000000002</v>
      </c>
      <c r="AC97" s="12">
        <v>43069</v>
      </c>
      <c r="AD97">
        <v>18.553999999999998</v>
      </c>
      <c r="AE97" s="12">
        <v>43069</v>
      </c>
      <c r="AF97">
        <v>19.917000000000002</v>
      </c>
      <c r="AG97" s="12">
        <v>43069</v>
      </c>
      <c r="AH97">
        <v>9.8000000000000007</v>
      </c>
      <c r="AK97" s="12">
        <v>43069</v>
      </c>
      <c r="AL97">
        <v>10.85</v>
      </c>
      <c r="AS97" s="12">
        <v>43069</v>
      </c>
      <c r="AT97">
        <v>1.7650000000000001</v>
      </c>
      <c r="AU97" s="12">
        <v>43069</v>
      </c>
      <c r="AV97">
        <v>22.245000000000001</v>
      </c>
      <c r="AY97" s="12">
        <v>43069</v>
      </c>
      <c r="AZ97">
        <v>38.479999999999997</v>
      </c>
      <c r="BA97" s="12">
        <v>43069</v>
      </c>
      <c r="BB97">
        <v>41.155999999999999</v>
      </c>
      <c r="BC97" s="12">
        <v>43069</v>
      </c>
      <c r="BD97">
        <v>11.226000000000001</v>
      </c>
      <c r="BE97" s="12">
        <v>43159</v>
      </c>
      <c r="BF97">
        <v>8.7279999999999998</v>
      </c>
      <c r="BG97" s="12">
        <v>43069</v>
      </c>
      <c r="BH97">
        <v>10.75</v>
      </c>
      <c r="BI97" s="12">
        <v>43069</v>
      </c>
      <c r="BJ97">
        <v>16.991</v>
      </c>
      <c r="BK97" s="12">
        <v>43069</v>
      </c>
      <c r="BL97">
        <v>13.929</v>
      </c>
      <c r="BM97" s="12">
        <v>43069</v>
      </c>
      <c r="BN97">
        <v>10.978999999999999</v>
      </c>
      <c r="BO97" s="12">
        <v>43069</v>
      </c>
      <c r="BP97">
        <v>19.417000000000002</v>
      </c>
      <c r="BQ97" s="12">
        <v>43069</v>
      </c>
      <c r="BR97">
        <v>6.165</v>
      </c>
      <c r="BS97" s="12">
        <v>43069</v>
      </c>
      <c r="BT97">
        <v>5.8330000000000002</v>
      </c>
      <c r="BW97" s="12">
        <v>43069</v>
      </c>
      <c r="BX97">
        <v>17.295999999999999</v>
      </c>
      <c r="BY97" s="12">
        <v>43069</v>
      </c>
      <c r="BZ97">
        <v>20.420000000000002</v>
      </c>
      <c r="CA97" s="12">
        <v>43069</v>
      </c>
      <c r="CB97">
        <v>20.306999999999999</v>
      </c>
      <c r="CG97" s="12">
        <v>43069</v>
      </c>
      <c r="CH97">
        <v>34.085000000000001</v>
      </c>
      <c r="CI97" s="12">
        <v>43069</v>
      </c>
      <c r="CJ97">
        <v>35.433</v>
      </c>
      <c r="CK97" s="12">
        <v>43069</v>
      </c>
      <c r="CL97">
        <v>6.8629999999999995</v>
      </c>
      <c r="CQ97" s="12">
        <v>43069</v>
      </c>
      <c r="CR97">
        <v>10.497</v>
      </c>
      <c r="CS97" s="12">
        <v>43069</v>
      </c>
      <c r="CT97">
        <v>26.736000000000001</v>
      </c>
      <c r="CU97" s="12">
        <v>43069</v>
      </c>
      <c r="CV97">
        <v>4.7140000000000004</v>
      </c>
      <c r="CW97" s="12">
        <v>43069</v>
      </c>
      <c r="CX97">
        <v>7.9749999999999996</v>
      </c>
      <c r="CY97" s="12">
        <v>43159</v>
      </c>
      <c r="CZ97">
        <v>9.3209999999999997</v>
      </c>
      <c r="DA97" s="12">
        <v>43069</v>
      </c>
      <c r="DB97">
        <v>24.417999999999999</v>
      </c>
      <c r="DC97" s="12">
        <v>43069</v>
      </c>
      <c r="DD97">
        <v>18.236000000000001</v>
      </c>
      <c r="DE97" s="12">
        <v>43069</v>
      </c>
      <c r="DF97">
        <v>20.481999999999999</v>
      </c>
      <c r="DI97" s="12">
        <v>43069</v>
      </c>
      <c r="DJ97">
        <v>15.98</v>
      </c>
      <c r="DK97" s="12">
        <v>43069</v>
      </c>
      <c r="DL97">
        <v>15.489000000000001</v>
      </c>
      <c r="DM97" s="12">
        <v>43496</v>
      </c>
      <c r="DN97">
        <v>9.3719999999999999</v>
      </c>
      <c r="DO97" s="12">
        <v>43069</v>
      </c>
      <c r="DP97">
        <v>12.124000000000001</v>
      </c>
      <c r="DQ97" s="12">
        <v>43069</v>
      </c>
      <c r="DR97">
        <v>13.95</v>
      </c>
      <c r="DS97" s="12">
        <v>43098</v>
      </c>
      <c r="DT97">
        <v>25.734000000000002</v>
      </c>
      <c r="DU97" s="12">
        <v>43069</v>
      </c>
      <c r="DV97">
        <v>12.425000000000001</v>
      </c>
      <c r="DW97" s="12">
        <v>43069</v>
      </c>
      <c r="DX97">
        <v>4.8550000000000004</v>
      </c>
      <c r="DY97" s="12">
        <v>43069</v>
      </c>
      <c r="DZ97">
        <v>15.339</v>
      </c>
      <c r="EC97" s="12">
        <v>43069</v>
      </c>
      <c r="ED97">
        <v>41.808</v>
      </c>
      <c r="EE97" s="12">
        <v>43069</v>
      </c>
      <c r="EF97">
        <v>23.533999999999999</v>
      </c>
      <c r="EI97" s="12">
        <v>43069</v>
      </c>
      <c r="EJ97">
        <v>16.001999999999999</v>
      </c>
      <c r="EK97" s="12">
        <v>43069</v>
      </c>
      <c r="EL97">
        <v>9.0229999999999997</v>
      </c>
      <c r="EM97" s="12">
        <v>43069</v>
      </c>
      <c r="EN97">
        <v>10.586</v>
      </c>
      <c r="EQ97" s="12">
        <v>43069</v>
      </c>
      <c r="ER97">
        <v>4.8159999999999998</v>
      </c>
      <c r="ES97" s="12">
        <v>43069</v>
      </c>
      <c r="ET97">
        <v>14.04</v>
      </c>
      <c r="EU97" s="12">
        <v>43069</v>
      </c>
      <c r="EV97">
        <v>7.8159999999999998</v>
      </c>
      <c r="EY97" s="12">
        <v>43069</v>
      </c>
      <c r="EZ97">
        <v>23.709</v>
      </c>
      <c r="FA97" s="12">
        <v>43069</v>
      </c>
      <c r="FB97">
        <v>29.655000000000001</v>
      </c>
      <c r="FC97" s="12">
        <v>43069</v>
      </c>
      <c r="FD97">
        <v>36.694000000000003</v>
      </c>
      <c r="FG97" s="12">
        <v>43069</v>
      </c>
      <c r="FH97">
        <v>7.5069999999999997</v>
      </c>
      <c r="FI97" s="12">
        <v>43069</v>
      </c>
      <c r="FJ97">
        <v>20.195</v>
      </c>
      <c r="FK97" s="12">
        <v>43069</v>
      </c>
      <c r="FL97">
        <v>23.007000000000001</v>
      </c>
      <c r="FM97" s="12">
        <v>43069</v>
      </c>
      <c r="FN97">
        <v>7.6890000000000001</v>
      </c>
      <c r="FO97" s="12">
        <v>43069</v>
      </c>
      <c r="FP97">
        <v>17.86</v>
      </c>
      <c r="FS97" s="12">
        <v>43069</v>
      </c>
      <c r="FT97">
        <v>2.89</v>
      </c>
      <c r="FU97" s="12">
        <v>43069</v>
      </c>
      <c r="FV97">
        <v>11.821</v>
      </c>
      <c r="FW97" s="12">
        <v>43069</v>
      </c>
      <c r="FX97">
        <v>14.548</v>
      </c>
      <c r="GA97" s="12">
        <v>43069</v>
      </c>
      <c r="GB97">
        <v>19.227</v>
      </c>
      <c r="GC97" s="12">
        <v>43069</v>
      </c>
      <c r="GD97">
        <v>15.821999999999999</v>
      </c>
      <c r="GI97" s="12">
        <v>43069</v>
      </c>
      <c r="GJ97">
        <v>29.902000000000001</v>
      </c>
      <c r="GK97" s="12">
        <v>43069</v>
      </c>
      <c r="GL97">
        <v>51.36</v>
      </c>
      <c r="GM97" s="12">
        <v>43069</v>
      </c>
      <c r="GN97">
        <v>45.683</v>
      </c>
      <c r="GO97" s="12">
        <v>43553</v>
      </c>
      <c r="GP97">
        <v>21.5</v>
      </c>
      <c r="GQ97" s="12">
        <v>43189</v>
      </c>
      <c r="GR97">
        <v>3.24</v>
      </c>
      <c r="GS97" s="12">
        <v>43069</v>
      </c>
      <c r="GT97">
        <v>2.96</v>
      </c>
      <c r="GW97" s="12">
        <v>43131</v>
      </c>
      <c r="GX97">
        <v>32.758000000000003</v>
      </c>
      <c r="GY97" s="12">
        <v>43069</v>
      </c>
      <c r="GZ97">
        <v>6.85</v>
      </c>
      <c r="HA97" s="12">
        <v>43069</v>
      </c>
      <c r="HB97">
        <v>10.541</v>
      </c>
      <c r="HC97" s="12">
        <v>43069</v>
      </c>
      <c r="HD97">
        <v>22.210999999999999</v>
      </c>
      <c r="HE97" s="12">
        <v>43069</v>
      </c>
      <c r="HF97">
        <v>19.318999999999999</v>
      </c>
      <c r="HG97" s="12">
        <v>43069</v>
      </c>
      <c r="HH97">
        <v>14.183</v>
      </c>
      <c r="HI97" s="12">
        <v>43069</v>
      </c>
      <c r="HJ97">
        <v>14.456</v>
      </c>
      <c r="HK97" s="12">
        <v>43069</v>
      </c>
      <c r="HL97">
        <v>3.4</v>
      </c>
      <c r="HM97" s="12">
        <v>43069</v>
      </c>
      <c r="HN97">
        <v>3.3730000000000002</v>
      </c>
      <c r="HO97" s="12">
        <v>43069</v>
      </c>
      <c r="HP97">
        <v>2.9660000000000002</v>
      </c>
      <c r="HQ97" s="12">
        <v>43159</v>
      </c>
      <c r="HR97">
        <v>6.2</v>
      </c>
      <c r="HS97" s="12">
        <v>43069</v>
      </c>
      <c r="HT97">
        <v>67.828000000000003</v>
      </c>
      <c r="HU97" s="12">
        <v>43069</v>
      </c>
      <c r="HV97">
        <v>23.5</v>
      </c>
      <c r="HW97" s="12">
        <v>43069</v>
      </c>
      <c r="HX97">
        <v>15.532999999999999</v>
      </c>
      <c r="HY97" s="12">
        <v>43069</v>
      </c>
      <c r="HZ97">
        <v>14.269</v>
      </c>
      <c r="IA97" s="12">
        <v>43069</v>
      </c>
      <c r="IB97">
        <v>25.16</v>
      </c>
      <c r="IC97" s="12">
        <v>43069</v>
      </c>
      <c r="ID97">
        <v>3.34</v>
      </c>
      <c r="IE97" s="12">
        <v>43069</v>
      </c>
      <c r="IF97">
        <v>3.04</v>
      </c>
      <c r="IG97" s="12">
        <v>43371</v>
      </c>
      <c r="IH97">
        <v>11.1</v>
      </c>
      <c r="II97" s="12">
        <v>43069</v>
      </c>
      <c r="IJ97">
        <v>11</v>
      </c>
      <c r="IM97" s="12">
        <v>43069</v>
      </c>
      <c r="IN97">
        <v>30.902999999999999</v>
      </c>
      <c r="IO97" s="12">
        <v>43616</v>
      </c>
      <c r="IP97">
        <v>17.555</v>
      </c>
      <c r="IQ97" s="12">
        <v>43069</v>
      </c>
      <c r="IR97">
        <v>86.188999999999993</v>
      </c>
      <c r="IU97" s="12">
        <v>43069</v>
      </c>
      <c r="IV97">
        <v>6.1037999999999997</v>
      </c>
      <c r="IY97" s="12">
        <v>43069</v>
      </c>
      <c r="IZ97">
        <v>18.579999999999998</v>
      </c>
      <c r="JC97" s="12">
        <v>43069</v>
      </c>
      <c r="JD97">
        <v>9.3699999999999992</v>
      </c>
      <c r="JE97" s="12">
        <v>43069</v>
      </c>
      <c r="JF97">
        <v>6.3</v>
      </c>
      <c r="JI97" s="12">
        <v>43069</v>
      </c>
      <c r="JJ97">
        <v>24.896000000000001</v>
      </c>
      <c r="JM97" s="12">
        <v>43069</v>
      </c>
      <c r="JN97">
        <v>3.036</v>
      </c>
      <c r="JO97" s="12">
        <v>43069</v>
      </c>
      <c r="JP97">
        <v>29.97</v>
      </c>
      <c r="JS97" s="12">
        <v>43069</v>
      </c>
      <c r="JT97">
        <v>9.9570000000000007</v>
      </c>
      <c r="JW97" s="12">
        <v>43069</v>
      </c>
      <c r="JX97">
        <v>16.151</v>
      </c>
      <c r="JY97" s="12">
        <v>43069</v>
      </c>
      <c r="JZ97">
        <v>16.779</v>
      </c>
      <c r="KC97" s="12">
        <v>43069</v>
      </c>
      <c r="KD97">
        <v>21.13</v>
      </c>
      <c r="KE97" s="12">
        <v>43069</v>
      </c>
      <c r="KF97">
        <v>17.091999999999999</v>
      </c>
      <c r="KI97" s="12">
        <v>43069</v>
      </c>
      <c r="KJ97">
        <v>1.97</v>
      </c>
      <c r="KQ97" s="12">
        <v>43069</v>
      </c>
      <c r="KR97">
        <v>13.31</v>
      </c>
      <c r="KS97" s="12">
        <v>43069</v>
      </c>
      <c r="KT97">
        <v>11.106</v>
      </c>
      <c r="KU97" s="12">
        <v>43069</v>
      </c>
      <c r="KV97">
        <v>11.085000000000001</v>
      </c>
      <c r="LC97" s="12">
        <v>43069</v>
      </c>
      <c r="LD97">
        <v>9.8559999999999999</v>
      </c>
      <c r="LE97" s="12">
        <v>43069</v>
      </c>
      <c r="LF97">
        <v>11.798999999999999</v>
      </c>
      <c r="LG97" s="12">
        <v>43069</v>
      </c>
      <c r="LH97">
        <v>16.385999999999999</v>
      </c>
      <c r="LI97" s="12">
        <v>43069</v>
      </c>
      <c r="LJ97">
        <v>32.968000000000004</v>
      </c>
      <c r="LM97" s="12">
        <v>43069</v>
      </c>
      <c r="LN97">
        <v>10.641</v>
      </c>
      <c r="LO97" s="12">
        <v>43069</v>
      </c>
      <c r="LP97">
        <v>8.3030000000000008</v>
      </c>
      <c r="LQ97" s="12">
        <v>43069</v>
      </c>
      <c r="LR97">
        <v>32.555</v>
      </c>
      <c r="LS97" s="12">
        <v>43069</v>
      </c>
      <c r="LT97">
        <v>33.36</v>
      </c>
      <c r="LW97" s="12">
        <v>43069</v>
      </c>
      <c r="LX97">
        <v>18.382999999999999</v>
      </c>
      <c r="LY97" s="12">
        <v>43069</v>
      </c>
      <c r="LZ97">
        <v>39.204000000000001</v>
      </c>
      <c r="MA97" s="12">
        <v>43069</v>
      </c>
      <c r="MB97">
        <v>15.176</v>
      </c>
      <c r="ME97" s="12">
        <v>43098</v>
      </c>
      <c r="MF97">
        <v>7.9180000000000001</v>
      </c>
      <c r="MG97" s="12">
        <v>43069</v>
      </c>
      <c r="MH97">
        <v>16.911000000000001</v>
      </c>
      <c r="MK97" s="12">
        <v>43069</v>
      </c>
      <c r="ML97">
        <v>27.57</v>
      </c>
    </row>
    <row r="98" spans="1:350" x14ac:dyDescent="0.3">
      <c r="A98" s="12">
        <v>43098</v>
      </c>
      <c r="B98" s="1">
        <v>20.079999999999998</v>
      </c>
      <c r="C98" s="1"/>
      <c r="G98" s="17">
        <v>43098</v>
      </c>
      <c r="H98" s="13">
        <v>13.506</v>
      </c>
      <c r="I98" s="17">
        <v>43131</v>
      </c>
      <c r="J98">
        <v>17.841000000000001</v>
      </c>
      <c r="N98" s="12"/>
      <c r="U98" s="12">
        <v>43524</v>
      </c>
      <c r="V98">
        <v>53.210999999999999</v>
      </c>
      <c r="Y98" s="12">
        <v>43098</v>
      </c>
      <c r="Z98">
        <v>21.123999999999999</v>
      </c>
      <c r="AA98" s="12">
        <v>43098</v>
      </c>
      <c r="AB98">
        <v>28.564</v>
      </c>
      <c r="AC98" s="12">
        <v>43098</v>
      </c>
      <c r="AD98">
        <v>20.071000000000002</v>
      </c>
      <c r="AE98" s="12">
        <v>43098</v>
      </c>
      <c r="AF98">
        <v>21.177</v>
      </c>
      <c r="AG98" s="12">
        <v>43098</v>
      </c>
      <c r="AH98">
        <v>9.9</v>
      </c>
      <c r="AK98" s="12">
        <v>43098</v>
      </c>
      <c r="AL98">
        <v>10.65</v>
      </c>
      <c r="AS98" s="12">
        <v>43098</v>
      </c>
      <c r="AT98">
        <v>1.7549999999999999</v>
      </c>
      <c r="AU98" s="12">
        <v>43098</v>
      </c>
      <c r="AV98">
        <v>26.096</v>
      </c>
      <c r="AY98" s="12">
        <v>43098</v>
      </c>
      <c r="AZ98">
        <v>36.6</v>
      </c>
      <c r="BA98" s="12">
        <v>43098</v>
      </c>
      <c r="BB98">
        <v>39.972999999999999</v>
      </c>
      <c r="BC98" s="12">
        <v>43098</v>
      </c>
      <c r="BD98">
        <v>11.82</v>
      </c>
      <c r="BE98" s="12">
        <v>43189</v>
      </c>
      <c r="BF98">
        <v>8.7870000000000008</v>
      </c>
      <c r="BG98" s="12">
        <v>43098</v>
      </c>
      <c r="BH98">
        <v>12.321</v>
      </c>
      <c r="BI98" s="12">
        <v>43098</v>
      </c>
      <c r="BJ98">
        <v>20.262</v>
      </c>
      <c r="BK98" s="12">
        <v>43098</v>
      </c>
      <c r="BL98">
        <v>14.21</v>
      </c>
      <c r="BM98" s="12">
        <v>43098</v>
      </c>
      <c r="BN98">
        <v>11.811999999999999</v>
      </c>
      <c r="BO98" s="12">
        <v>43098</v>
      </c>
      <c r="BP98">
        <v>20.042999999999999</v>
      </c>
      <c r="BQ98" s="12">
        <v>43098</v>
      </c>
      <c r="BR98">
        <v>6.0519999999999996</v>
      </c>
      <c r="BS98" s="12">
        <v>43098</v>
      </c>
      <c r="BT98">
        <v>6.0720000000000001</v>
      </c>
      <c r="BW98" s="12">
        <v>43098</v>
      </c>
      <c r="BX98">
        <v>17.562999999999999</v>
      </c>
      <c r="BY98" s="12">
        <v>43098</v>
      </c>
      <c r="BZ98">
        <v>18.824999999999999</v>
      </c>
      <c r="CA98" s="12">
        <v>43098</v>
      </c>
      <c r="CB98">
        <v>21.962</v>
      </c>
      <c r="CG98" s="12">
        <v>43098</v>
      </c>
      <c r="CH98">
        <v>39.478999999999999</v>
      </c>
      <c r="CI98" s="12">
        <v>43098</v>
      </c>
      <c r="CJ98">
        <v>37.590000000000003</v>
      </c>
      <c r="CK98" s="12">
        <v>43098</v>
      </c>
      <c r="CL98">
        <v>7.8140000000000001</v>
      </c>
      <c r="CQ98" s="12">
        <v>43098</v>
      </c>
      <c r="CR98">
        <v>11.393000000000001</v>
      </c>
      <c r="CS98" s="12">
        <v>43098</v>
      </c>
      <c r="CT98">
        <v>27.231999999999999</v>
      </c>
      <c r="CU98" s="12">
        <v>43098</v>
      </c>
      <c r="CV98">
        <v>4.7469999999999999</v>
      </c>
      <c r="CW98" s="12">
        <v>43098</v>
      </c>
      <c r="CX98">
        <v>8.3940000000000001</v>
      </c>
      <c r="CY98" s="12">
        <v>43189</v>
      </c>
      <c r="CZ98">
        <v>8.1150000000000002</v>
      </c>
      <c r="DA98" s="12">
        <v>43098</v>
      </c>
      <c r="DB98">
        <v>24.472999999999999</v>
      </c>
      <c r="DC98" s="12">
        <v>43098</v>
      </c>
      <c r="DD98">
        <v>18.829999999999998</v>
      </c>
      <c r="DE98" s="12">
        <v>43098</v>
      </c>
      <c r="DF98">
        <v>21.766999999999999</v>
      </c>
      <c r="DK98" s="12">
        <v>43098</v>
      </c>
      <c r="DL98">
        <v>19.884</v>
      </c>
      <c r="DM98" s="12">
        <v>43524</v>
      </c>
      <c r="DN98">
        <v>10.282</v>
      </c>
      <c r="DO98" s="12">
        <v>43098</v>
      </c>
      <c r="DP98">
        <v>12.41</v>
      </c>
      <c r="DQ98" s="12">
        <v>43098</v>
      </c>
      <c r="DR98">
        <v>13.9</v>
      </c>
      <c r="DS98" s="12">
        <v>43131</v>
      </c>
      <c r="DT98">
        <v>28.75</v>
      </c>
      <c r="DU98" s="12">
        <v>43098</v>
      </c>
      <c r="DV98">
        <v>12.756</v>
      </c>
      <c r="DW98" s="12">
        <v>43098</v>
      </c>
      <c r="DX98">
        <v>5.6189999999999998</v>
      </c>
      <c r="DY98" s="12">
        <v>43098</v>
      </c>
      <c r="DZ98">
        <v>17.166</v>
      </c>
      <c r="EC98" s="12">
        <v>43098</v>
      </c>
      <c r="ED98">
        <v>44.287999999999997</v>
      </c>
      <c r="EE98" s="12">
        <v>43098</v>
      </c>
      <c r="EF98">
        <v>26.565999999999999</v>
      </c>
      <c r="EI98" s="12">
        <v>43098</v>
      </c>
      <c r="EJ98">
        <v>19.431999999999999</v>
      </c>
      <c r="EK98" s="12">
        <v>43098</v>
      </c>
      <c r="EL98">
        <v>9.8079999999999998</v>
      </c>
      <c r="EM98" s="12">
        <v>43098</v>
      </c>
      <c r="EN98">
        <v>11.829000000000001</v>
      </c>
      <c r="EQ98" s="12">
        <v>43098</v>
      </c>
      <c r="ER98">
        <v>5.5</v>
      </c>
      <c r="ES98" s="12">
        <v>43098</v>
      </c>
      <c r="ET98">
        <v>14.6</v>
      </c>
      <c r="EU98" s="12">
        <v>43098</v>
      </c>
      <c r="EV98">
        <v>8.5689999999999991</v>
      </c>
      <c r="EY98" s="12">
        <v>43098</v>
      </c>
      <c r="EZ98">
        <v>23.923999999999999</v>
      </c>
      <c r="FA98" s="12">
        <v>43098</v>
      </c>
      <c r="FB98">
        <v>32.497999999999998</v>
      </c>
      <c r="FC98" s="12">
        <v>43098</v>
      </c>
      <c r="FD98">
        <v>37.668999999999997</v>
      </c>
      <c r="FG98" s="12">
        <v>43098</v>
      </c>
      <c r="FH98">
        <v>7.9589999999999996</v>
      </c>
      <c r="FI98" s="12">
        <v>43098</v>
      </c>
      <c r="FJ98">
        <v>20.599</v>
      </c>
      <c r="FK98" s="12">
        <v>43098</v>
      </c>
      <c r="FL98">
        <v>23.83</v>
      </c>
      <c r="FM98" s="12">
        <v>43098</v>
      </c>
      <c r="FN98">
        <v>9.5359999999999996</v>
      </c>
      <c r="FO98" s="12">
        <v>43098</v>
      </c>
      <c r="FP98">
        <v>19.103000000000002</v>
      </c>
      <c r="FS98" s="12">
        <v>43098</v>
      </c>
      <c r="FT98">
        <v>2.7829999999999999</v>
      </c>
      <c r="FU98" s="12">
        <v>43098</v>
      </c>
      <c r="FV98">
        <v>12.817</v>
      </c>
      <c r="FW98" s="12">
        <v>43098</v>
      </c>
      <c r="FX98">
        <v>16.725999999999999</v>
      </c>
      <c r="GA98" s="12">
        <v>43098</v>
      </c>
      <c r="GB98">
        <v>20.306999999999999</v>
      </c>
      <c r="GC98" s="12">
        <v>43098</v>
      </c>
      <c r="GD98">
        <v>16.402000000000001</v>
      </c>
      <c r="GI98" s="12">
        <v>43098</v>
      </c>
      <c r="GJ98">
        <v>31.347000000000001</v>
      </c>
      <c r="GK98" s="12">
        <v>43098</v>
      </c>
      <c r="GL98">
        <v>50.4</v>
      </c>
      <c r="GM98" s="12">
        <v>43098</v>
      </c>
      <c r="GN98">
        <v>51.26</v>
      </c>
      <c r="GO98" s="12">
        <v>43585</v>
      </c>
      <c r="GP98">
        <v>23.844000000000001</v>
      </c>
      <c r="GQ98" s="12">
        <v>43220</v>
      </c>
      <c r="GR98">
        <v>3.48</v>
      </c>
      <c r="GS98" s="12">
        <v>43098</v>
      </c>
      <c r="GT98">
        <v>2.96</v>
      </c>
      <c r="GW98" s="12">
        <v>43159</v>
      </c>
      <c r="GX98">
        <v>32.040999999999997</v>
      </c>
      <c r="GY98" s="12">
        <v>43098</v>
      </c>
      <c r="GZ98">
        <v>7.32</v>
      </c>
      <c r="HA98" s="12">
        <v>43098</v>
      </c>
      <c r="HB98">
        <v>11.875</v>
      </c>
      <c r="HC98" s="12">
        <v>43098</v>
      </c>
      <c r="HD98">
        <v>22.751000000000001</v>
      </c>
      <c r="HE98" s="12">
        <v>43098</v>
      </c>
      <c r="HF98">
        <v>20.88</v>
      </c>
      <c r="HG98" s="12">
        <v>43098</v>
      </c>
      <c r="HH98">
        <v>16.172000000000001</v>
      </c>
      <c r="HI98" s="12">
        <v>43098</v>
      </c>
      <c r="HJ98">
        <v>15.105</v>
      </c>
      <c r="HK98" s="12">
        <v>43098</v>
      </c>
      <c r="HL98">
        <v>3.15</v>
      </c>
      <c r="HM98" s="12">
        <v>43098</v>
      </c>
      <c r="HN98">
        <v>2.7090000000000001</v>
      </c>
      <c r="HO98" s="12">
        <v>43098</v>
      </c>
      <c r="HP98">
        <v>2.6520000000000001</v>
      </c>
      <c r="HQ98" s="12">
        <v>43189</v>
      </c>
      <c r="HR98">
        <v>7.75</v>
      </c>
      <c r="HS98" s="12">
        <v>43098</v>
      </c>
      <c r="HT98">
        <v>76.804000000000002</v>
      </c>
      <c r="HU98" s="12">
        <v>43098</v>
      </c>
      <c r="HV98">
        <v>22.7</v>
      </c>
      <c r="HW98" s="12">
        <v>43098</v>
      </c>
      <c r="HX98">
        <v>16.468</v>
      </c>
      <c r="HY98" s="12">
        <v>43098</v>
      </c>
      <c r="HZ98">
        <v>14.936999999999999</v>
      </c>
      <c r="IA98" s="12">
        <v>43098</v>
      </c>
      <c r="IB98">
        <v>27.03</v>
      </c>
      <c r="IC98" s="12">
        <v>43098</v>
      </c>
      <c r="ID98">
        <v>3.7199999999999998</v>
      </c>
      <c r="IE98" s="12">
        <v>43098</v>
      </c>
      <c r="IF98">
        <v>3.11</v>
      </c>
      <c r="IG98" s="12">
        <v>43404</v>
      </c>
      <c r="IH98">
        <v>11.9</v>
      </c>
      <c r="II98" s="12">
        <v>43098</v>
      </c>
      <c r="IJ98">
        <v>11.43</v>
      </c>
      <c r="IM98" s="12">
        <v>43098</v>
      </c>
      <c r="IN98">
        <v>31.334</v>
      </c>
      <c r="IO98" s="12">
        <v>43644</v>
      </c>
      <c r="IP98">
        <v>20.012</v>
      </c>
      <c r="IQ98" s="12">
        <v>43098</v>
      </c>
      <c r="IR98">
        <v>90.070999999999998</v>
      </c>
      <c r="IU98" s="12">
        <v>43098</v>
      </c>
      <c r="IV98">
        <v>6.8381999999999996</v>
      </c>
      <c r="IY98" s="12">
        <v>43098</v>
      </c>
      <c r="IZ98">
        <v>20.527000000000001</v>
      </c>
      <c r="JC98" s="12">
        <v>43098</v>
      </c>
      <c r="JD98">
        <v>7.9</v>
      </c>
      <c r="JE98" s="12">
        <v>43098</v>
      </c>
      <c r="JF98">
        <v>7.19</v>
      </c>
      <c r="JI98" s="12">
        <v>43098</v>
      </c>
      <c r="JJ98">
        <v>27.463999999999999</v>
      </c>
      <c r="JM98" s="12">
        <v>43098</v>
      </c>
      <c r="JN98">
        <v>3.3479999999999999</v>
      </c>
      <c r="JO98" s="12">
        <v>43098</v>
      </c>
      <c r="JP98">
        <v>31.463999999999999</v>
      </c>
      <c r="JS98" s="12">
        <v>43098</v>
      </c>
      <c r="JT98">
        <v>11.93</v>
      </c>
      <c r="JW98" s="12">
        <v>43098</v>
      </c>
      <c r="JX98">
        <v>18.228999999999999</v>
      </c>
      <c r="JY98" s="12">
        <v>43098</v>
      </c>
      <c r="JZ98">
        <v>17.501000000000001</v>
      </c>
      <c r="KE98" s="12">
        <v>43098</v>
      </c>
      <c r="KF98">
        <v>17.367000000000001</v>
      </c>
      <c r="KI98" s="12">
        <v>43098</v>
      </c>
      <c r="KJ98">
        <v>2.06</v>
      </c>
      <c r="KQ98" s="12">
        <v>43098</v>
      </c>
      <c r="KR98">
        <v>14.89</v>
      </c>
      <c r="KS98" s="12">
        <v>43098</v>
      </c>
      <c r="KT98">
        <v>10.836</v>
      </c>
      <c r="KU98" s="12">
        <v>43098</v>
      </c>
      <c r="KV98">
        <v>12.307</v>
      </c>
      <c r="LC98" s="12">
        <v>43098</v>
      </c>
      <c r="LD98">
        <v>9.7669999999999995</v>
      </c>
      <c r="LE98" s="12">
        <v>43098</v>
      </c>
      <c r="LF98">
        <v>12.949</v>
      </c>
      <c r="LG98" s="12">
        <v>43098</v>
      </c>
      <c r="LH98">
        <v>16.164000000000001</v>
      </c>
      <c r="LI98" s="12">
        <v>43098</v>
      </c>
      <c r="LJ98">
        <v>35.222999999999999</v>
      </c>
      <c r="LM98" s="12">
        <v>43098</v>
      </c>
      <c r="LN98">
        <v>10.571999999999999</v>
      </c>
      <c r="LO98" s="12">
        <v>43098</v>
      </c>
      <c r="LP98">
        <v>8.827</v>
      </c>
      <c r="LQ98" s="12">
        <v>43098</v>
      </c>
      <c r="LR98">
        <v>37.697000000000003</v>
      </c>
      <c r="LW98" s="12">
        <v>43098</v>
      </c>
      <c r="LX98">
        <v>15.11</v>
      </c>
      <c r="LY98" s="12">
        <v>43098</v>
      </c>
      <c r="LZ98">
        <v>40.89</v>
      </c>
      <c r="MA98" s="12">
        <v>43098</v>
      </c>
      <c r="MB98">
        <v>16.698</v>
      </c>
      <c r="ME98" s="12">
        <v>43131</v>
      </c>
      <c r="MF98">
        <v>8.0879999999999992</v>
      </c>
      <c r="MG98" s="12">
        <v>43098</v>
      </c>
      <c r="MH98">
        <v>17.863</v>
      </c>
      <c r="MK98" s="12">
        <v>43098</v>
      </c>
      <c r="ML98">
        <v>29.521999999999998</v>
      </c>
    </row>
    <row r="99" spans="1:350" x14ac:dyDescent="0.3">
      <c r="A99" s="12">
        <v>43131</v>
      </c>
      <c r="B99" s="1">
        <v>20.712</v>
      </c>
      <c r="C99" s="1"/>
      <c r="G99" s="17">
        <v>43131</v>
      </c>
      <c r="H99" s="13">
        <v>12.369</v>
      </c>
      <c r="I99" s="17">
        <v>43159</v>
      </c>
      <c r="J99">
        <v>17.547000000000001</v>
      </c>
      <c r="N99" s="12"/>
      <c r="U99" s="12">
        <v>43553</v>
      </c>
      <c r="V99">
        <v>49.277000000000001</v>
      </c>
      <c r="Y99" s="12">
        <v>43131</v>
      </c>
      <c r="Z99">
        <v>24.184000000000001</v>
      </c>
      <c r="AA99" s="12">
        <v>43131</v>
      </c>
      <c r="AB99">
        <v>35.619999999999997</v>
      </c>
      <c r="AC99" s="12">
        <v>43131</v>
      </c>
      <c r="AD99">
        <v>24.635000000000002</v>
      </c>
      <c r="AE99" s="12">
        <v>43131</v>
      </c>
      <c r="AF99">
        <v>25.507000000000001</v>
      </c>
      <c r="AG99" s="12">
        <v>43131</v>
      </c>
      <c r="AH99">
        <v>9.8000000000000007</v>
      </c>
      <c r="AK99" s="12">
        <v>43131</v>
      </c>
      <c r="AL99">
        <v>9.6300000000000008</v>
      </c>
      <c r="AS99" s="12">
        <v>43131</v>
      </c>
      <c r="AT99">
        <v>1.8580000000000001</v>
      </c>
      <c r="AU99" s="12">
        <v>43131</v>
      </c>
      <c r="AV99">
        <v>28.431999999999999</v>
      </c>
      <c r="AY99" s="12">
        <v>43131</v>
      </c>
      <c r="AZ99">
        <v>35.35</v>
      </c>
      <c r="BA99" s="12">
        <v>43131</v>
      </c>
      <c r="BB99">
        <v>46.070999999999998</v>
      </c>
      <c r="BC99" s="12">
        <v>43131</v>
      </c>
      <c r="BD99">
        <v>11.931000000000001</v>
      </c>
      <c r="BE99" s="12">
        <v>43220</v>
      </c>
      <c r="BF99">
        <v>8.6509999999999998</v>
      </c>
      <c r="BG99" s="12">
        <v>43131</v>
      </c>
      <c r="BH99">
        <v>14.093999999999999</v>
      </c>
      <c r="BI99" s="12">
        <v>43131</v>
      </c>
      <c r="BJ99">
        <v>21.004000000000001</v>
      </c>
      <c r="BK99" s="12">
        <v>43131</v>
      </c>
      <c r="BL99">
        <v>13.788</v>
      </c>
      <c r="BM99" s="12">
        <v>43131</v>
      </c>
      <c r="BN99">
        <v>13.78</v>
      </c>
      <c r="BO99" s="12">
        <v>43131</v>
      </c>
      <c r="BP99">
        <v>22.905999999999999</v>
      </c>
      <c r="BQ99" s="12">
        <v>43131</v>
      </c>
      <c r="BR99">
        <v>6.5330000000000004</v>
      </c>
      <c r="BS99" s="12">
        <v>43131</v>
      </c>
      <c r="BT99">
        <v>6.6289999999999996</v>
      </c>
      <c r="BW99" s="12">
        <v>43131</v>
      </c>
      <c r="BX99">
        <v>15.510999999999999</v>
      </c>
      <c r="BY99" s="12">
        <v>43131</v>
      </c>
      <c r="BZ99">
        <v>20.867999999999999</v>
      </c>
      <c r="CA99" s="12">
        <v>43131</v>
      </c>
      <c r="CB99">
        <v>22.492999999999999</v>
      </c>
      <c r="CG99" s="12">
        <v>43131</v>
      </c>
      <c r="CH99">
        <v>41.515000000000001</v>
      </c>
      <c r="CI99" s="12">
        <v>43131</v>
      </c>
      <c r="CJ99">
        <v>39.072000000000003</v>
      </c>
      <c r="CK99" s="12">
        <v>43131</v>
      </c>
      <c r="CL99">
        <v>10.247</v>
      </c>
      <c r="CQ99" s="12">
        <v>43131</v>
      </c>
      <c r="CR99">
        <v>12.91</v>
      </c>
      <c r="CS99" s="12">
        <v>43131</v>
      </c>
      <c r="CT99">
        <v>26.835000000000001</v>
      </c>
      <c r="CU99" s="12">
        <v>43131</v>
      </c>
      <c r="CV99">
        <v>5.5030000000000001</v>
      </c>
      <c r="CW99" s="12">
        <v>43131</v>
      </c>
      <c r="CX99">
        <v>9.3059999999999992</v>
      </c>
      <c r="CY99" s="12">
        <v>43220</v>
      </c>
      <c r="CZ99">
        <v>9.2279999999999998</v>
      </c>
      <c r="DA99" s="12">
        <v>43131</v>
      </c>
      <c r="DB99">
        <v>24.768999999999998</v>
      </c>
      <c r="DC99" s="12">
        <v>43131</v>
      </c>
      <c r="DD99">
        <v>19.794</v>
      </c>
      <c r="DE99" s="12">
        <v>43131</v>
      </c>
      <c r="DF99">
        <v>22.716000000000001</v>
      </c>
      <c r="DK99" s="12">
        <v>43131</v>
      </c>
      <c r="DL99">
        <v>19.904</v>
      </c>
      <c r="DM99" s="12">
        <v>43553</v>
      </c>
      <c r="DN99">
        <v>11.9</v>
      </c>
      <c r="DO99" s="12">
        <v>43131</v>
      </c>
      <c r="DP99">
        <v>12.153</v>
      </c>
      <c r="DQ99" s="12">
        <v>43131</v>
      </c>
      <c r="DR99">
        <v>13.84</v>
      </c>
      <c r="DS99" s="12">
        <v>43159</v>
      </c>
      <c r="DT99">
        <v>31.106999999999999</v>
      </c>
      <c r="DU99" s="12">
        <v>43131</v>
      </c>
      <c r="DV99">
        <v>13.624000000000001</v>
      </c>
      <c r="DW99" s="12">
        <v>43131</v>
      </c>
      <c r="DX99">
        <v>6.1180000000000003</v>
      </c>
      <c r="DY99" s="12">
        <v>43131</v>
      </c>
      <c r="DZ99">
        <v>17.666</v>
      </c>
      <c r="EC99" s="12">
        <v>43131</v>
      </c>
      <c r="ED99">
        <v>50.795000000000002</v>
      </c>
      <c r="EE99" s="12">
        <v>43131</v>
      </c>
      <c r="EF99">
        <v>27.036000000000001</v>
      </c>
      <c r="EI99" s="12">
        <v>43131</v>
      </c>
      <c r="EJ99">
        <v>16.335999999999999</v>
      </c>
      <c r="EK99" s="12">
        <v>43131</v>
      </c>
      <c r="EL99">
        <v>11.69</v>
      </c>
      <c r="EM99" s="12">
        <v>43131</v>
      </c>
      <c r="EN99">
        <v>13.759</v>
      </c>
      <c r="EQ99" s="12">
        <v>43131</v>
      </c>
      <c r="ER99">
        <v>6.5359999999999996</v>
      </c>
      <c r="ES99" s="12">
        <v>43131</v>
      </c>
      <c r="ET99">
        <v>18.11</v>
      </c>
      <c r="EU99" s="12">
        <v>43131</v>
      </c>
      <c r="EV99">
        <v>8.81</v>
      </c>
      <c r="EY99" s="12">
        <v>43131</v>
      </c>
      <c r="EZ99">
        <v>20.87</v>
      </c>
      <c r="FA99" s="12">
        <v>43131</v>
      </c>
      <c r="FB99">
        <v>33.664999999999999</v>
      </c>
      <c r="FC99" s="12">
        <v>43131</v>
      </c>
      <c r="FD99">
        <v>41.121000000000002</v>
      </c>
      <c r="FG99" s="12">
        <v>43131</v>
      </c>
      <c r="FH99">
        <v>9.7469999999999999</v>
      </c>
      <c r="FI99" s="12">
        <v>43131</v>
      </c>
      <c r="FJ99">
        <v>24.244</v>
      </c>
      <c r="FK99" s="12">
        <v>43131</v>
      </c>
      <c r="FL99">
        <v>29.257999999999999</v>
      </c>
      <c r="FM99" s="12">
        <v>43131</v>
      </c>
      <c r="FN99">
        <v>9.7690000000000001</v>
      </c>
      <c r="FO99" s="12">
        <v>43131</v>
      </c>
      <c r="FP99">
        <v>16.129000000000001</v>
      </c>
      <c r="FS99" s="12">
        <v>43131</v>
      </c>
      <c r="FT99">
        <v>2.863</v>
      </c>
      <c r="FU99" s="12">
        <v>43131</v>
      </c>
      <c r="FV99">
        <v>12.785</v>
      </c>
      <c r="FW99" s="12">
        <v>43131</v>
      </c>
      <c r="FX99">
        <v>16.655999999999999</v>
      </c>
      <c r="GA99" s="12">
        <v>43131</v>
      </c>
      <c r="GB99">
        <v>21.071999999999999</v>
      </c>
      <c r="GC99" s="12">
        <v>43131</v>
      </c>
      <c r="GD99">
        <v>16.312999999999999</v>
      </c>
      <c r="GI99" s="12">
        <v>43131</v>
      </c>
      <c r="GJ99">
        <v>33.441000000000003</v>
      </c>
      <c r="GK99" s="12">
        <v>43131</v>
      </c>
      <c r="GL99">
        <v>54.95</v>
      </c>
      <c r="GM99" s="12">
        <v>43131</v>
      </c>
      <c r="GN99">
        <v>56.347000000000001</v>
      </c>
      <c r="GO99" s="12">
        <v>43616</v>
      </c>
      <c r="GP99">
        <v>24.434999999999999</v>
      </c>
      <c r="GQ99" s="12">
        <v>43251</v>
      </c>
      <c r="GR99">
        <v>2.6</v>
      </c>
      <c r="GS99" s="12">
        <v>43131</v>
      </c>
      <c r="GT99">
        <v>2.98</v>
      </c>
      <c r="GW99" s="12">
        <v>43189</v>
      </c>
      <c r="GX99">
        <v>29.347000000000001</v>
      </c>
      <c r="GY99" s="12">
        <v>43131</v>
      </c>
      <c r="GZ99">
        <v>6.8100000000000005</v>
      </c>
      <c r="HA99" s="12">
        <v>43131</v>
      </c>
      <c r="HB99">
        <v>11.962</v>
      </c>
      <c r="HC99" s="12">
        <v>43131</v>
      </c>
      <c r="HD99">
        <v>23.277000000000001</v>
      </c>
      <c r="HE99" s="12">
        <v>43131</v>
      </c>
      <c r="HF99">
        <v>21.606000000000002</v>
      </c>
      <c r="HG99" s="12">
        <v>43131</v>
      </c>
      <c r="HH99">
        <v>17.081</v>
      </c>
      <c r="HI99" s="12">
        <v>43131</v>
      </c>
      <c r="HJ99">
        <v>15.788</v>
      </c>
      <c r="HK99" s="12">
        <v>43131</v>
      </c>
      <c r="HL99">
        <v>3.12</v>
      </c>
      <c r="HM99" s="12">
        <v>43131</v>
      </c>
      <c r="HN99">
        <v>2.6870000000000003</v>
      </c>
      <c r="HO99" s="12">
        <v>43131</v>
      </c>
      <c r="HP99">
        <v>2.7519999999999998</v>
      </c>
      <c r="HQ99" s="12">
        <v>43220</v>
      </c>
      <c r="HR99">
        <v>6.7</v>
      </c>
      <c r="HS99" s="12">
        <v>43131</v>
      </c>
      <c r="HT99">
        <v>73.271000000000001</v>
      </c>
      <c r="HU99" s="12">
        <v>43131</v>
      </c>
      <c r="HV99">
        <v>21.5</v>
      </c>
      <c r="HW99" s="12">
        <v>43131</v>
      </c>
      <c r="HX99">
        <v>20.742999999999999</v>
      </c>
      <c r="HY99" s="12">
        <v>43131</v>
      </c>
      <c r="HZ99">
        <v>18.277000000000001</v>
      </c>
      <c r="IA99" s="12">
        <v>43131</v>
      </c>
      <c r="IB99">
        <v>26.69</v>
      </c>
      <c r="IC99" s="12">
        <v>43131</v>
      </c>
      <c r="ID99">
        <v>3.8970000000000002</v>
      </c>
      <c r="IE99" s="12">
        <v>43131</v>
      </c>
      <c r="IF99">
        <v>3.7</v>
      </c>
      <c r="IG99" s="12">
        <v>43434</v>
      </c>
      <c r="IH99">
        <v>9.68</v>
      </c>
      <c r="II99" s="12">
        <v>43131</v>
      </c>
      <c r="IJ99">
        <v>11.23</v>
      </c>
      <c r="IM99" s="12">
        <v>43131</v>
      </c>
      <c r="IN99">
        <v>38.104999999999997</v>
      </c>
      <c r="IO99" s="12">
        <v>43677</v>
      </c>
      <c r="IP99">
        <v>19.928000000000001</v>
      </c>
      <c r="IQ99" s="12">
        <v>43131</v>
      </c>
      <c r="IR99">
        <v>82.84</v>
      </c>
      <c r="IU99" s="12">
        <v>43131</v>
      </c>
      <c r="IV99">
        <v>8.1542999999999992</v>
      </c>
      <c r="IY99" s="12">
        <v>43131</v>
      </c>
      <c r="IZ99">
        <v>23.988</v>
      </c>
      <c r="JC99" s="12">
        <v>43131</v>
      </c>
      <c r="JD99">
        <v>7.79</v>
      </c>
      <c r="JE99" s="12">
        <v>43131</v>
      </c>
      <c r="JF99">
        <v>7.01</v>
      </c>
      <c r="JI99" s="12">
        <v>43131</v>
      </c>
      <c r="JJ99">
        <v>32.103999999999999</v>
      </c>
      <c r="JM99" s="12">
        <v>43131</v>
      </c>
      <c r="JN99">
        <v>3.1230000000000002</v>
      </c>
      <c r="JO99" s="12">
        <v>43131</v>
      </c>
      <c r="JP99">
        <v>33.341999999999999</v>
      </c>
      <c r="JS99" s="12">
        <v>43131</v>
      </c>
      <c r="JT99">
        <v>14.041</v>
      </c>
      <c r="JW99" s="12">
        <v>43131</v>
      </c>
      <c r="JX99">
        <v>17.803999999999998</v>
      </c>
      <c r="JY99" s="12">
        <v>43131</v>
      </c>
      <c r="JZ99">
        <v>19.414999999999999</v>
      </c>
      <c r="KE99" s="12">
        <v>43131</v>
      </c>
      <c r="KF99">
        <v>16.398</v>
      </c>
      <c r="KI99" s="12">
        <v>43131</v>
      </c>
      <c r="KJ99">
        <v>2.04</v>
      </c>
      <c r="KQ99" s="12">
        <v>43131</v>
      </c>
      <c r="KR99">
        <v>13.8</v>
      </c>
      <c r="KS99" s="12">
        <v>43131</v>
      </c>
      <c r="KT99">
        <v>10.606999999999999</v>
      </c>
      <c r="KU99" s="12">
        <v>43131</v>
      </c>
      <c r="KV99">
        <v>12.682</v>
      </c>
      <c r="LC99" s="12">
        <v>43131</v>
      </c>
      <c r="LD99">
        <v>10.62</v>
      </c>
      <c r="LE99" s="12">
        <v>43131</v>
      </c>
      <c r="LF99">
        <v>13.016999999999999</v>
      </c>
      <c r="LG99" s="12">
        <v>43131</v>
      </c>
      <c r="LH99">
        <v>16.030999999999999</v>
      </c>
      <c r="LI99" s="12">
        <v>43131</v>
      </c>
      <c r="LJ99">
        <v>38.293999999999997</v>
      </c>
      <c r="LM99" s="12">
        <v>43131</v>
      </c>
      <c r="LN99">
        <v>13.774000000000001</v>
      </c>
      <c r="LO99" s="12">
        <v>43131</v>
      </c>
      <c r="LP99">
        <v>11.504</v>
      </c>
      <c r="LQ99" s="12">
        <v>43131</v>
      </c>
      <c r="LR99">
        <v>38.811</v>
      </c>
      <c r="LW99" s="12">
        <v>43131</v>
      </c>
      <c r="LX99">
        <v>16.62</v>
      </c>
      <c r="LY99" s="12">
        <v>43131</v>
      </c>
      <c r="LZ99">
        <v>45.287999999999997</v>
      </c>
      <c r="MA99" s="12">
        <v>43131</v>
      </c>
      <c r="MB99">
        <v>18.373000000000001</v>
      </c>
      <c r="ME99" s="12">
        <v>43159</v>
      </c>
      <c r="MF99">
        <v>7.8680000000000003</v>
      </c>
      <c r="MG99" s="12">
        <v>43131</v>
      </c>
      <c r="MH99">
        <v>17.559000000000001</v>
      </c>
      <c r="MK99" s="12">
        <v>43131</v>
      </c>
      <c r="ML99">
        <v>31.527999999999999</v>
      </c>
    </row>
    <row r="100" spans="1:350" x14ac:dyDescent="0.3">
      <c r="A100" s="12">
        <v>43159</v>
      </c>
      <c r="B100" s="1">
        <v>20.824999999999999</v>
      </c>
      <c r="C100" s="1"/>
      <c r="G100" s="17">
        <v>43159</v>
      </c>
      <c r="H100" s="13">
        <v>13.439</v>
      </c>
      <c r="I100" s="17">
        <v>43189</v>
      </c>
      <c r="J100">
        <v>18.388999999999999</v>
      </c>
      <c r="N100" s="12"/>
      <c r="U100" s="12">
        <v>43585</v>
      </c>
      <c r="V100">
        <v>50.283000000000001</v>
      </c>
      <c r="Y100" s="12">
        <v>43159</v>
      </c>
      <c r="Z100">
        <v>23.757000000000001</v>
      </c>
      <c r="AA100" s="12">
        <v>43159</v>
      </c>
      <c r="AB100">
        <v>37.523000000000003</v>
      </c>
      <c r="AC100" s="12">
        <v>43159</v>
      </c>
      <c r="AD100">
        <v>23.08</v>
      </c>
      <c r="AE100" s="12">
        <v>43159</v>
      </c>
      <c r="AF100">
        <v>24.28</v>
      </c>
      <c r="AG100" s="12">
        <v>43159</v>
      </c>
      <c r="AH100">
        <v>7.5</v>
      </c>
      <c r="AK100" s="12">
        <v>43159</v>
      </c>
      <c r="AL100">
        <v>9.08</v>
      </c>
      <c r="AS100" s="12">
        <v>43159</v>
      </c>
      <c r="AT100">
        <v>1.8580000000000001</v>
      </c>
      <c r="AU100" s="12">
        <v>43159</v>
      </c>
      <c r="AV100">
        <v>31.048999999999999</v>
      </c>
      <c r="AY100" s="12">
        <v>43159</v>
      </c>
      <c r="AZ100">
        <v>29.92</v>
      </c>
      <c r="BA100" s="12">
        <v>43159</v>
      </c>
      <c r="BB100">
        <v>43.302</v>
      </c>
      <c r="BC100" s="12">
        <v>43159</v>
      </c>
      <c r="BD100">
        <v>11.077</v>
      </c>
      <c r="BE100" s="12">
        <v>43251</v>
      </c>
      <c r="BF100">
        <v>7.5739999999999998</v>
      </c>
      <c r="BG100" s="12">
        <v>43159</v>
      </c>
      <c r="BH100">
        <v>15.496</v>
      </c>
      <c r="BI100" s="12">
        <v>43159</v>
      </c>
      <c r="BJ100">
        <v>23.513999999999999</v>
      </c>
      <c r="BK100" s="12">
        <v>43159</v>
      </c>
      <c r="BL100">
        <v>11.175000000000001</v>
      </c>
      <c r="BM100" s="12">
        <v>43159</v>
      </c>
      <c r="BN100">
        <v>13.600999999999999</v>
      </c>
      <c r="BO100" s="12">
        <v>43159</v>
      </c>
      <c r="BP100">
        <v>20.614000000000001</v>
      </c>
      <c r="BQ100" s="12">
        <v>43159</v>
      </c>
      <c r="BR100">
        <v>6.93</v>
      </c>
      <c r="BS100" s="12">
        <v>43159</v>
      </c>
      <c r="BT100">
        <v>7.2560000000000002</v>
      </c>
      <c r="BW100" s="12">
        <v>43159</v>
      </c>
      <c r="BX100">
        <v>14.795</v>
      </c>
      <c r="BY100" s="12">
        <v>43159</v>
      </c>
      <c r="BZ100">
        <v>23.417000000000002</v>
      </c>
      <c r="CA100" s="12">
        <v>43159</v>
      </c>
      <c r="CB100">
        <v>23.263999999999999</v>
      </c>
      <c r="CG100" s="12">
        <v>43159</v>
      </c>
      <c r="CH100">
        <v>41.258000000000003</v>
      </c>
      <c r="CI100" s="12">
        <v>43159</v>
      </c>
      <c r="CJ100">
        <v>38.478999999999999</v>
      </c>
      <c r="CK100" s="12">
        <v>43159</v>
      </c>
      <c r="CL100">
        <v>9.4640000000000004</v>
      </c>
      <c r="CQ100" s="12">
        <v>43159</v>
      </c>
      <c r="CR100">
        <v>13.22</v>
      </c>
      <c r="CS100" s="12">
        <v>43159</v>
      </c>
      <c r="CT100">
        <v>27.727</v>
      </c>
      <c r="CU100" s="12">
        <v>43159</v>
      </c>
      <c r="CV100">
        <v>4.9989999999999997</v>
      </c>
      <c r="CW100" s="12">
        <v>43159</v>
      </c>
      <c r="CX100">
        <v>10.391999999999999</v>
      </c>
      <c r="CY100" s="12">
        <v>43251</v>
      </c>
      <c r="CZ100">
        <v>7.6120000000000001</v>
      </c>
      <c r="DA100" s="12">
        <v>43159</v>
      </c>
      <c r="DB100">
        <v>26.981999999999999</v>
      </c>
      <c r="DC100" s="12">
        <v>43159</v>
      </c>
      <c r="DD100">
        <v>24.117000000000001</v>
      </c>
      <c r="DE100" s="12">
        <v>43159</v>
      </c>
      <c r="DF100">
        <v>26.753</v>
      </c>
      <c r="DK100" s="12">
        <v>43159</v>
      </c>
      <c r="DL100">
        <v>21.634</v>
      </c>
      <c r="DM100" s="12">
        <v>43585</v>
      </c>
      <c r="DN100">
        <v>11.856</v>
      </c>
      <c r="DO100" s="12">
        <v>43159</v>
      </c>
      <c r="DP100">
        <v>11.79</v>
      </c>
      <c r="DQ100" s="12">
        <v>43159</v>
      </c>
      <c r="DR100">
        <v>13.52</v>
      </c>
      <c r="DS100" s="12">
        <v>43189</v>
      </c>
      <c r="DT100">
        <v>33.213000000000001</v>
      </c>
      <c r="DU100" s="12">
        <v>43159</v>
      </c>
      <c r="DV100">
        <v>13.935</v>
      </c>
      <c r="DW100" s="12">
        <v>43159</v>
      </c>
      <c r="DX100">
        <v>5.9219999999999997</v>
      </c>
      <c r="DY100" s="12">
        <v>43159</v>
      </c>
      <c r="DZ100">
        <v>19.274999999999999</v>
      </c>
      <c r="EC100" s="12">
        <v>43159</v>
      </c>
      <c r="ED100">
        <v>57.079000000000001</v>
      </c>
      <c r="EE100" s="12">
        <v>43159</v>
      </c>
      <c r="EF100">
        <v>24.449000000000002</v>
      </c>
      <c r="EI100" s="12">
        <v>43159</v>
      </c>
      <c r="EJ100">
        <v>14.654999999999999</v>
      </c>
      <c r="EK100" s="12">
        <v>43159</v>
      </c>
      <c r="EL100">
        <v>12.806000000000001</v>
      </c>
      <c r="EM100" s="12">
        <v>43159</v>
      </c>
      <c r="EN100">
        <v>15.88</v>
      </c>
      <c r="EQ100" s="12">
        <v>43159</v>
      </c>
      <c r="ER100">
        <v>7.4859999999999998</v>
      </c>
      <c r="ES100" s="12">
        <v>43159</v>
      </c>
      <c r="ET100">
        <v>19.2</v>
      </c>
      <c r="EU100" s="12">
        <v>43159</v>
      </c>
      <c r="EV100">
        <v>8.5570000000000004</v>
      </c>
      <c r="EY100" s="12">
        <v>43159</v>
      </c>
      <c r="EZ100">
        <v>21.477</v>
      </c>
      <c r="FA100" s="12">
        <v>43159</v>
      </c>
      <c r="FB100">
        <v>31.978999999999999</v>
      </c>
      <c r="FC100" s="12">
        <v>43159</v>
      </c>
      <c r="FD100">
        <v>37.765000000000001</v>
      </c>
      <c r="FG100" s="12">
        <v>43159</v>
      </c>
      <c r="FH100">
        <v>10.223000000000001</v>
      </c>
      <c r="FI100" s="12">
        <v>43159</v>
      </c>
      <c r="FJ100">
        <v>25.061</v>
      </c>
      <c r="FK100" s="12">
        <v>43159</v>
      </c>
      <c r="FL100">
        <v>29.468</v>
      </c>
      <c r="FM100" s="12">
        <v>43159</v>
      </c>
      <c r="FN100">
        <v>9.6329999999999991</v>
      </c>
      <c r="FO100" s="12">
        <v>43159</v>
      </c>
      <c r="FP100">
        <v>12.833</v>
      </c>
      <c r="FS100" s="12">
        <v>43159</v>
      </c>
      <c r="FT100">
        <v>2.8120000000000003</v>
      </c>
      <c r="FU100" s="12">
        <v>43159</v>
      </c>
      <c r="FV100">
        <v>12.766</v>
      </c>
      <c r="FW100" s="12">
        <v>43159</v>
      </c>
      <c r="FX100">
        <v>16.635999999999999</v>
      </c>
      <c r="GA100" s="12">
        <v>43159</v>
      </c>
      <c r="GB100">
        <v>19.832999999999998</v>
      </c>
      <c r="GC100" s="12">
        <v>43159</v>
      </c>
      <c r="GD100">
        <v>15.006</v>
      </c>
      <c r="GI100" s="12">
        <v>43159</v>
      </c>
      <c r="GJ100">
        <v>30.491</v>
      </c>
      <c r="GK100" s="12">
        <v>43159</v>
      </c>
      <c r="GL100">
        <v>55</v>
      </c>
      <c r="GM100" s="12">
        <v>43159</v>
      </c>
      <c r="GN100">
        <v>58.865000000000002</v>
      </c>
      <c r="GO100" s="12">
        <v>43644</v>
      </c>
      <c r="GP100">
        <v>26.32</v>
      </c>
      <c r="GQ100" s="12">
        <v>43280</v>
      </c>
      <c r="GR100">
        <v>1.95</v>
      </c>
      <c r="GS100" s="12">
        <v>43159</v>
      </c>
      <c r="GT100">
        <v>2.9</v>
      </c>
      <c r="GW100" s="12">
        <v>43220</v>
      </c>
      <c r="GX100">
        <v>27.207000000000001</v>
      </c>
      <c r="GY100" s="12">
        <v>43159</v>
      </c>
      <c r="GZ100">
        <v>5.97</v>
      </c>
      <c r="HA100" s="12">
        <v>43159</v>
      </c>
      <c r="HB100">
        <v>11.986000000000001</v>
      </c>
      <c r="HC100" s="12">
        <v>43159</v>
      </c>
      <c r="HD100">
        <v>22.527000000000001</v>
      </c>
      <c r="HE100" s="12">
        <v>43159</v>
      </c>
      <c r="HF100">
        <v>20.274000000000001</v>
      </c>
      <c r="HG100" s="12">
        <v>43159</v>
      </c>
      <c r="HH100">
        <v>16.792999999999999</v>
      </c>
      <c r="HI100" s="12">
        <v>43159</v>
      </c>
      <c r="HJ100">
        <v>14.535</v>
      </c>
      <c r="HK100" s="12">
        <v>43159</v>
      </c>
      <c r="HL100">
        <v>3.08</v>
      </c>
      <c r="HM100" s="12">
        <v>43159</v>
      </c>
      <c r="HN100">
        <v>3.0150000000000001</v>
      </c>
      <c r="HO100" s="12">
        <v>43159</v>
      </c>
      <c r="HP100">
        <v>2.9050000000000002</v>
      </c>
      <c r="HQ100" s="12">
        <v>43251</v>
      </c>
      <c r="HR100">
        <v>7.38</v>
      </c>
      <c r="HS100" s="12">
        <v>43159</v>
      </c>
      <c r="HT100">
        <v>66.644999999999996</v>
      </c>
      <c r="HU100" s="12">
        <v>43159</v>
      </c>
      <c r="HV100">
        <v>19.399999999999999</v>
      </c>
      <c r="HW100" s="12">
        <v>43159</v>
      </c>
      <c r="HX100">
        <v>22.545000000000002</v>
      </c>
      <c r="HY100" s="12">
        <v>43159</v>
      </c>
      <c r="HZ100">
        <v>19.91</v>
      </c>
      <c r="IA100" s="12">
        <v>43159</v>
      </c>
      <c r="IB100">
        <v>26.69</v>
      </c>
      <c r="IC100" s="12">
        <v>43159</v>
      </c>
      <c r="ID100">
        <v>3.8319999999999999</v>
      </c>
      <c r="IE100" s="12">
        <v>43159</v>
      </c>
      <c r="IF100">
        <v>3.44</v>
      </c>
      <c r="IG100" s="12">
        <v>43465</v>
      </c>
      <c r="IH100">
        <v>9.92</v>
      </c>
      <c r="II100" s="12">
        <v>43159</v>
      </c>
      <c r="IJ100">
        <v>11.35</v>
      </c>
      <c r="IM100" s="12">
        <v>43159</v>
      </c>
      <c r="IN100">
        <v>39.494</v>
      </c>
      <c r="IO100" s="12">
        <v>43707</v>
      </c>
      <c r="IP100">
        <v>25.640999999999998</v>
      </c>
      <c r="IQ100" s="12">
        <v>43159</v>
      </c>
      <c r="IR100">
        <v>76.275999999999996</v>
      </c>
      <c r="IU100" s="12">
        <v>43159</v>
      </c>
      <c r="IV100">
        <v>8.8314000000000004</v>
      </c>
      <c r="IY100" s="12">
        <v>43159</v>
      </c>
      <c r="IZ100">
        <v>24.137</v>
      </c>
      <c r="JC100" s="12">
        <v>43159</v>
      </c>
      <c r="JD100">
        <v>6.8</v>
      </c>
      <c r="JE100" s="12">
        <v>43159</v>
      </c>
      <c r="JF100">
        <v>6.99</v>
      </c>
      <c r="JI100" s="12">
        <v>43159</v>
      </c>
      <c r="JJ100">
        <v>32.936999999999998</v>
      </c>
      <c r="JM100" s="12">
        <v>43159</v>
      </c>
      <c r="JN100">
        <v>3.0409999999999999</v>
      </c>
      <c r="JO100" s="12">
        <v>43159</v>
      </c>
      <c r="JP100">
        <v>34.506</v>
      </c>
      <c r="JS100" s="12">
        <v>43159</v>
      </c>
      <c r="JT100">
        <v>15.53</v>
      </c>
      <c r="JW100" s="12">
        <v>43159</v>
      </c>
      <c r="JX100">
        <v>17.332000000000001</v>
      </c>
      <c r="JY100" s="12">
        <v>43159</v>
      </c>
      <c r="JZ100">
        <v>20.420000000000002</v>
      </c>
      <c r="KE100" s="12">
        <v>43159</v>
      </c>
      <c r="KF100">
        <v>16.683</v>
      </c>
      <c r="KI100" s="12">
        <v>43159</v>
      </c>
      <c r="KJ100">
        <v>1.88</v>
      </c>
      <c r="KQ100" s="12">
        <v>43159</v>
      </c>
      <c r="KR100">
        <v>13</v>
      </c>
      <c r="KS100" s="12">
        <v>43159</v>
      </c>
      <c r="KT100">
        <v>9.6460000000000008</v>
      </c>
      <c r="KU100" s="12">
        <v>43159</v>
      </c>
      <c r="KV100">
        <v>13.246</v>
      </c>
      <c r="LC100" s="12">
        <v>43159</v>
      </c>
      <c r="LD100">
        <v>9.9789999999999992</v>
      </c>
      <c r="LE100" s="12">
        <v>43159</v>
      </c>
      <c r="LF100">
        <v>12.912000000000001</v>
      </c>
      <c r="LG100" s="12">
        <v>43159</v>
      </c>
      <c r="LH100">
        <v>16.030999999999999</v>
      </c>
      <c r="LI100" s="12">
        <v>43159</v>
      </c>
      <c r="LJ100">
        <v>35.381999999999998</v>
      </c>
      <c r="LM100" s="12">
        <v>43159</v>
      </c>
      <c r="LN100">
        <v>12.779</v>
      </c>
      <c r="LO100" s="12">
        <v>43159</v>
      </c>
      <c r="LP100">
        <v>11.95</v>
      </c>
      <c r="LQ100" s="12">
        <v>43159</v>
      </c>
      <c r="LR100">
        <v>42.182000000000002</v>
      </c>
      <c r="LW100" s="12">
        <v>43159</v>
      </c>
      <c r="LX100">
        <v>16.033000000000001</v>
      </c>
      <c r="LY100" s="12">
        <v>43159</v>
      </c>
      <c r="LZ100">
        <v>42.597000000000001</v>
      </c>
      <c r="MA100" s="12">
        <v>43159</v>
      </c>
      <c r="MB100">
        <v>17.841999999999999</v>
      </c>
      <c r="ME100" s="12">
        <v>43189</v>
      </c>
      <c r="MF100">
        <v>8.1379999999999999</v>
      </c>
      <c r="MG100" s="12">
        <v>43159</v>
      </c>
      <c r="MH100">
        <v>17.344000000000001</v>
      </c>
      <c r="MK100" s="12">
        <v>43159</v>
      </c>
      <c r="ML100">
        <v>30.494</v>
      </c>
    </row>
    <row r="101" spans="1:350" x14ac:dyDescent="0.3">
      <c r="A101" s="12">
        <v>43189</v>
      </c>
      <c r="B101" s="1">
        <v>22.785</v>
      </c>
      <c r="C101" s="1"/>
      <c r="G101" s="17">
        <v>43189</v>
      </c>
      <c r="H101" s="13">
        <v>13.64</v>
      </c>
      <c r="I101" s="17">
        <v>43220</v>
      </c>
      <c r="J101">
        <v>16.97</v>
      </c>
      <c r="N101" s="12"/>
      <c r="U101" s="12">
        <v>43616</v>
      </c>
      <c r="V101">
        <v>49.981999999999999</v>
      </c>
      <c r="Y101" s="12">
        <v>43189</v>
      </c>
      <c r="Z101">
        <v>24.748999999999999</v>
      </c>
      <c r="AA101" s="12">
        <v>43189</v>
      </c>
      <c r="AB101">
        <v>37.116999999999997</v>
      </c>
      <c r="AC101" s="12">
        <v>43189</v>
      </c>
      <c r="AD101">
        <v>24.117999999999999</v>
      </c>
      <c r="AE101" s="12">
        <v>43189</v>
      </c>
      <c r="AF101">
        <v>24.748999999999999</v>
      </c>
      <c r="AG101" s="12">
        <v>43189</v>
      </c>
      <c r="AH101">
        <v>5</v>
      </c>
      <c r="AK101" s="12">
        <v>43189</v>
      </c>
      <c r="AL101">
        <v>7.57</v>
      </c>
      <c r="AS101" s="12">
        <v>43189</v>
      </c>
      <c r="AT101">
        <v>1.7930000000000001</v>
      </c>
      <c r="AU101" s="12">
        <v>43189</v>
      </c>
      <c r="AV101">
        <v>28.613</v>
      </c>
      <c r="AY101" s="12">
        <v>43189</v>
      </c>
      <c r="AZ101">
        <v>22.83</v>
      </c>
      <c r="BA101" s="12">
        <v>43189</v>
      </c>
      <c r="BB101">
        <v>44.756</v>
      </c>
      <c r="BC101" s="12">
        <v>43189</v>
      </c>
      <c r="BD101">
        <v>10.817</v>
      </c>
      <c r="BE101" s="12">
        <v>43280</v>
      </c>
      <c r="BF101">
        <v>9.01</v>
      </c>
      <c r="BG101" s="12">
        <v>43189</v>
      </c>
      <c r="BH101">
        <v>17.306000000000001</v>
      </c>
      <c r="BI101" s="12">
        <v>43189</v>
      </c>
      <c r="BJ101">
        <v>25.343</v>
      </c>
      <c r="BK101" s="12">
        <v>43189</v>
      </c>
      <c r="BL101">
        <v>10.999000000000001</v>
      </c>
      <c r="BM101" s="12">
        <v>43189</v>
      </c>
      <c r="BN101">
        <v>14.138</v>
      </c>
      <c r="BO101" s="12">
        <v>43189</v>
      </c>
      <c r="BP101">
        <v>17.936</v>
      </c>
      <c r="BQ101" s="12">
        <v>43189</v>
      </c>
      <c r="BR101">
        <v>7.383</v>
      </c>
      <c r="BS101" s="12">
        <v>43189</v>
      </c>
      <c r="BT101">
        <v>7.5649999999999995</v>
      </c>
      <c r="BW101" s="12">
        <v>43189</v>
      </c>
      <c r="BX101">
        <v>13.064</v>
      </c>
      <c r="BY101" s="12">
        <v>43189</v>
      </c>
      <c r="BZ101">
        <v>24.234000000000002</v>
      </c>
      <c r="CA101" s="12">
        <v>43189</v>
      </c>
      <c r="CB101">
        <v>23.934000000000001</v>
      </c>
      <c r="CG101" s="12">
        <v>43189</v>
      </c>
      <c r="CH101">
        <v>39.488</v>
      </c>
      <c r="CI101" s="12">
        <v>43189</v>
      </c>
      <c r="CJ101">
        <v>42.518999999999998</v>
      </c>
      <c r="CK101" s="12">
        <v>43189</v>
      </c>
      <c r="CL101">
        <v>8.2050000000000001</v>
      </c>
      <c r="CQ101" s="12">
        <v>43189</v>
      </c>
      <c r="CR101">
        <v>13.177</v>
      </c>
      <c r="CS101" s="12">
        <v>43189</v>
      </c>
      <c r="CT101">
        <v>28.864999999999998</v>
      </c>
      <c r="CU101" s="12">
        <v>43189</v>
      </c>
      <c r="CV101">
        <v>5.1079999999999997</v>
      </c>
      <c r="CW101" s="12">
        <v>43189</v>
      </c>
      <c r="CX101">
        <v>10.811</v>
      </c>
      <c r="CY101" s="12">
        <v>43280</v>
      </c>
      <c r="CZ101">
        <v>7.13</v>
      </c>
      <c r="DA101" s="12">
        <v>43189</v>
      </c>
      <c r="DB101">
        <v>26.988</v>
      </c>
      <c r="DC101" s="12">
        <v>43189</v>
      </c>
      <c r="DD101">
        <v>20.446999999999999</v>
      </c>
      <c r="DE101" s="12">
        <v>43189</v>
      </c>
      <c r="DF101">
        <v>23.109000000000002</v>
      </c>
      <c r="DK101" s="12">
        <v>43189</v>
      </c>
      <c r="DL101">
        <v>21.445</v>
      </c>
      <c r="DM101" s="12">
        <v>43616</v>
      </c>
      <c r="DN101">
        <v>11.281000000000001</v>
      </c>
      <c r="DO101" s="12">
        <v>43189</v>
      </c>
      <c r="DP101">
        <v>11.798</v>
      </c>
      <c r="DQ101" s="12">
        <v>43189</v>
      </c>
      <c r="DR101">
        <v>13.2</v>
      </c>
      <c r="DS101" s="12">
        <v>43220</v>
      </c>
      <c r="DT101">
        <v>31.71</v>
      </c>
      <c r="DU101" s="12">
        <v>43189</v>
      </c>
      <c r="DV101">
        <v>13.916</v>
      </c>
      <c r="DW101" s="12">
        <v>43189</v>
      </c>
      <c r="DX101">
        <v>5.12</v>
      </c>
      <c r="DY101" s="12">
        <v>43189</v>
      </c>
      <c r="DZ101">
        <v>18.3</v>
      </c>
      <c r="EC101" s="12">
        <v>43189</v>
      </c>
      <c r="ED101">
        <v>60.189</v>
      </c>
      <c r="EE101" s="12">
        <v>43189</v>
      </c>
      <c r="EF101">
        <v>25.026</v>
      </c>
      <c r="EI101" s="12">
        <v>43189</v>
      </c>
      <c r="EJ101">
        <v>9.6880000000000006</v>
      </c>
      <c r="EK101" s="12">
        <v>43189</v>
      </c>
      <c r="EL101">
        <v>12.465999999999999</v>
      </c>
      <c r="EM101" s="12">
        <v>43189</v>
      </c>
      <c r="EN101">
        <v>14.837</v>
      </c>
      <c r="EQ101" s="12">
        <v>43189</v>
      </c>
      <c r="ER101">
        <v>6.7830000000000004</v>
      </c>
      <c r="ES101" s="12">
        <v>43189</v>
      </c>
      <c r="ET101">
        <v>21.65</v>
      </c>
      <c r="EU101" s="12">
        <v>43189</v>
      </c>
      <c r="EV101">
        <v>8.2409999999999997</v>
      </c>
      <c r="EY101" s="12">
        <v>43189</v>
      </c>
      <c r="EZ101">
        <v>19.273</v>
      </c>
      <c r="FA101" s="12">
        <v>43189</v>
      </c>
      <c r="FB101">
        <v>33.499000000000002</v>
      </c>
      <c r="FC101" s="12">
        <v>43189</v>
      </c>
      <c r="FD101">
        <v>37.545000000000002</v>
      </c>
      <c r="FG101" s="12">
        <v>43189</v>
      </c>
      <c r="FH101">
        <v>10.757</v>
      </c>
      <c r="FI101" s="12">
        <v>43189</v>
      </c>
      <c r="FJ101">
        <v>25.949000000000002</v>
      </c>
      <c r="FK101" s="12">
        <v>43189</v>
      </c>
      <c r="FL101">
        <v>30.021000000000001</v>
      </c>
      <c r="FM101" s="12">
        <v>43189</v>
      </c>
      <c r="FN101">
        <v>9.0890000000000004</v>
      </c>
      <c r="FO101" s="12">
        <v>43189</v>
      </c>
      <c r="FP101">
        <v>11.855</v>
      </c>
      <c r="FS101" s="12">
        <v>43189</v>
      </c>
      <c r="FT101">
        <v>2.9820000000000002</v>
      </c>
      <c r="FU101" s="12">
        <v>43189</v>
      </c>
      <c r="FV101">
        <v>13.766999999999999</v>
      </c>
      <c r="FW101" s="12">
        <v>43189</v>
      </c>
      <c r="FX101">
        <v>18.568000000000001</v>
      </c>
      <c r="GA101" s="12">
        <v>43189</v>
      </c>
      <c r="GB101">
        <v>21.03</v>
      </c>
      <c r="GC101" s="12">
        <v>43189</v>
      </c>
      <c r="GD101">
        <v>13.316000000000001</v>
      </c>
      <c r="GI101" s="12">
        <v>43189</v>
      </c>
      <c r="GJ101">
        <v>30.405000000000001</v>
      </c>
      <c r="GK101" s="12">
        <v>43189</v>
      </c>
      <c r="GL101">
        <v>58.2</v>
      </c>
      <c r="GM101" s="12">
        <v>43189</v>
      </c>
      <c r="GN101">
        <v>50.188000000000002</v>
      </c>
      <c r="GO101" s="12">
        <v>43677</v>
      </c>
      <c r="GP101">
        <v>32.877000000000002</v>
      </c>
      <c r="GQ101" s="12">
        <v>43312</v>
      </c>
      <c r="GR101">
        <v>2.17</v>
      </c>
      <c r="GS101" s="12">
        <v>43189</v>
      </c>
      <c r="GT101">
        <v>2.87</v>
      </c>
      <c r="GW101" s="12">
        <v>43251</v>
      </c>
      <c r="GX101">
        <v>25.227</v>
      </c>
      <c r="GY101" s="12">
        <v>43189</v>
      </c>
      <c r="GZ101">
        <v>5.9399999999999995</v>
      </c>
      <c r="HA101" s="12">
        <v>43189</v>
      </c>
      <c r="HB101">
        <v>12.83</v>
      </c>
      <c r="HC101" s="12">
        <v>43189</v>
      </c>
      <c r="HD101">
        <v>22.039000000000001</v>
      </c>
      <c r="HE101" s="12">
        <v>43189</v>
      </c>
      <c r="HF101">
        <v>24.018000000000001</v>
      </c>
      <c r="HG101" s="12">
        <v>43189</v>
      </c>
      <c r="HH101">
        <v>15.806000000000001</v>
      </c>
      <c r="HI101" s="12">
        <v>43189</v>
      </c>
      <c r="HJ101">
        <v>14.2</v>
      </c>
      <c r="HK101" s="12">
        <v>43189</v>
      </c>
      <c r="HL101">
        <v>3.5</v>
      </c>
      <c r="HM101" s="12">
        <v>43189</v>
      </c>
      <c r="HN101">
        <v>2.94</v>
      </c>
      <c r="HO101" s="12">
        <v>43189</v>
      </c>
      <c r="HP101">
        <v>2.6909999999999998</v>
      </c>
      <c r="HQ101" s="12">
        <v>43280</v>
      </c>
      <c r="HR101">
        <v>6.31</v>
      </c>
      <c r="HS101" s="12">
        <v>43189</v>
      </c>
      <c r="HT101">
        <v>64.757000000000005</v>
      </c>
      <c r="HU101" s="12">
        <v>43189</v>
      </c>
      <c r="HV101">
        <v>16</v>
      </c>
      <c r="HW101" s="12">
        <v>43189</v>
      </c>
      <c r="HX101">
        <v>22.748999999999999</v>
      </c>
      <c r="HY101" s="12">
        <v>43189</v>
      </c>
      <c r="HZ101">
        <v>19.864000000000001</v>
      </c>
      <c r="IA101" s="12">
        <v>43189</v>
      </c>
      <c r="IB101">
        <v>25.33</v>
      </c>
      <c r="IC101" s="12">
        <v>43189</v>
      </c>
      <c r="ID101">
        <v>3.6539999999999999</v>
      </c>
      <c r="IE101" s="12">
        <v>43189</v>
      </c>
      <c r="IF101">
        <v>3.49</v>
      </c>
      <c r="IG101" s="12">
        <v>43496</v>
      </c>
      <c r="IH101">
        <v>11.5</v>
      </c>
      <c r="II101" s="12">
        <v>43189</v>
      </c>
      <c r="IJ101">
        <v>11.4</v>
      </c>
      <c r="IM101" s="12">
        <v>43189</v>
      </c>
      <c r="IN101">
        <v>41.883000000000003</v>
      </c>
      <c r="IO101" s="12">
        <v>43738</v>
      </c>
      <c r="IP101">
        <v>27.891999999999999</v>
      </c>
      <c r="IQ101" s="12">
        <v>43189</v>
      </c>
      <c r="IR101">
        <v>73.540000000000006</v>
      </c>
      <c r="IU101" s="12">
        <v>43189</v>
      </c>
      <c r="IV101">
        <v>8.2306000000000008</v>
      </c>
      <c r="IY101" s="12">
        <v>43189</v>
      </c>
      <c r="IZ101">
        <v>26.783999999999999</v>
      </c>
      <c r="JC101" s="12">
        <v>43189</v>
      </c>
      <c r="JD101">
        <v>8.89</v>
      </c>
      <c r="JE101" s="12">
        <v>43189</v>
      </c>
      <c r="JF101">
        <v>6.54</v>
      </c>
      <c r="JI101" s="12">
        <v>43189</v>
      </c>
      <c r="JJ101">
        <v>35.75</v>
      </c>
      <c r="JM101" s="12">
        <v>43189</v>
      </c>
      <c r="JN101">
        <v>3.1880000000000002</v>
      </c>
      <c r="JO101" s="12">
        <v>43189</v>
      </c>
      <c r="JP101">
        <v>32.078000000000003</v>
      </c>
      <c r="JS101" s="12">
        <v>43189</v>
      </c>
      <c r="JT101">
        <v>15.454000000000001</v>
      </c>
      <c r="JW101" s="12">
        <v>43189</v>
      </c>
      <c r="JX101">
        <v>16.556999999999999</v>
      </c>
      <c r="JY101" s="12">
        <v>43189</v>
      </c>
      <c r="JZ101">
        <v>20.992999999999999</v>
      </c>
      <c r="KE101" s="12">
        <v>43189</v>
      </c>
      <c r="KF101">
        <v>17.684000000000001</v>
      </c>
      <c r="KI101" s="12">
        <v>43189</v>
      </c>
      <c r="KJ101">
        <v>1.55</v>
      </c>
      <c r="KQ101" s="12">
        <v>43189</v>
      </c>
      <c r="KR101">
        <v>13.1</v>
      </c>
      <c r="KS101" s="12">
        <v>43189</v>
      </c>
      <c r="KT101">
        <v>10.318</v>
      </c>
      <c r="KU101" s="12">
        <v>43189</v>
      </c>
      <c r="KV101">
        <v>13.528</v>
      </c>
      <c r="LC101" s="12">
        <v>43189</v>
      </c>
      <c r="LD101">
        <v>9.4139999999999997</v>
      </c>
      <c r="LE101" s="12">
        <v>43189</v>
      </c>
      <c r="LF101">
        <v>12.871</v>
      </c>
      <c r="LG101" s="12">
        <v>43189</v>
      </c>
      <c r="LH101">
        <v>15.33</v>
      </c>
      <c r="LI101" s="12">
        <v>43189</v>
      </c>
      <c r="LJ101">
        <v>33.716000000000001</v>
      </c>
      <c r="LM101" s="12">
        <v>43189</v>
      </c>
      <c r="LN101">
        <v>12.016999999999999</v>
      </c>
      <c r="LO101" s="12">
        <v>43189</v>
      </c>
      <c r="LP101">
        <v>10.592000000000001</v>
      </c>
      <c r="LQ101" s="12">
        <v>43189</v>
      </c>
      <c r="LR101">
        <v>39.972000000000001</v>
      </c>
      <c r="LW101" s="12">
        <v>43189</v>
      </c>
      <c r="LX101">
        <v>15.247</v>
      </c>
      <c r="LY101" s="12">
        <v>43189</v>
      </c>
      <c r="LZ101">
        <v>42.387</v>
      </c>
      <c r="MA101" s="12">
        <v>43189</v>
      </c>
      <c r="MB101">
        <v>16.391999999999999</v>
      </c>
      <c r="ME101" s="12">
        <v>43220</v>
      </c>
      <c r="MF101">
        <v>8.11</v>
      </c>
      <c r="MG101" s="12">
        <v>43189</v>
      </c>
      <c r="MH101">
        <v>16.850000000000001</v>
      </c>
      <c r="MK101" s="12">
        <v>43189</v>
      </c>
      <c r="ML101">
        <v>31.456</v>
      </c>
    </row>
    <row r="102" spans="1:350" x14ac:dyDescent="0.3">
      <c r="A102" s="12">
        <v>43220</v>
      </c>
      <c r="B102" s="1">
        <v>22.084</v>
      </c>
      <c r="C102" s="1"/>
      <c r="G102" s="17">
        <v>43220</v>
      </c>
      <c r="H102" s="13">
        <v>12.308</v>
      </c>
      <c r="I102" s="17">
        <v>43251</v>
      </c>
      <c r="J102">
        <v>14.958</v>
      </c>
      <c r="N102" s="12"/>
      <c r="U102" s="12">
        <v>43644</v>
      </c>
      <c r="V102">
        <v>49.914000000000001</v>
      </c>
      <c r="Y102" s="12">
        <v>43220</v>
      </c>
      <c r="Z102">
        <v>23.55</v>
      </c>
      <c r="AA102" s="12">
        <v>43220</v>
      </c>
      <c r="AB102">
        <v>33.200000000000003</v>
      </c>
      <c r="AC102" s="12">
        <v>43220</v>
      </c>
      <c r="AD102">
        <v>22.010999999999999</v>
      </c>
      <c r="AE102" s="12">
        <v>43220</v>
      </c>
      <c r="AF102">
        <v>23.838999999999999</v>
      </c>
      <c r="AG102" s="12">
        <v>43220</v>
      </c>
      <c r="AH102">
        <v>5.6</v>
      </c>
      <c r="AK102" s="12">
        <v>43220</v>
      </c>
      <c r="AL102">
        <v>8.1999999999999993</v>
      </c>
      <c r="AS102" s="12">
        <v>43220</v>
      </c>
      <c r="AT102">
        <v>1.8420000000000001</v>
      </c>
      <c r="AU102" s="12">
        <v>43220</v>
      </c>
      <c r="AV102">
        <v>33.491999999999997</v>
      </c>
      <c r="AY102" s="12">
        <v>43220</v>
      </c>
      <c r="AZ102">
        <v>24.8</v>
      </c>
      <c r="BA102" s="12">
        <v>43220</v>
      </c>
      <c r="BB102">
        <v>42.564999999999998</v>
      </c>
      <c r="BC102" s="12">
        <v>43220</v>
      </c>
      <c r="BD102">
        <v>10.138999999999999</v>
      </c>
      <c r="BE102" s="12">
        <v>43312</v>
      </c>
      <c r="BF102">
        <v>8.9310000000000009</v>
      </c>
      <c r="BG102" s="12">
        <v>43220</v>
      </c>
      <c r="BH102">
        <v>17.152000000000001</v>
      </c>
      <c r="BI102" s="12">
        <v>43220</v>
      </c>
      <c r="BJ102">
        <v>28.565000000000001</v>
      </c>
      <c r="BK102" s="12">
        <v>43220</v>
      </c>
      <c r="BL102">
        <v>10.696999999999999</v>
      </c>
      <c r="BM102" s="12">
        <v>43220</v>
      </c>
      <c r="BN102">
        <v>15.704000000000001</v>
      </c>
      <c r="BO102" s="12">
        <v>43220</v>
      </c>
      <c r="BP102">
        <v>16.645</v>
      </c>
      <c r="BQ102" s="12">
        <v>43220</v>
      </c>
      <c r="BR102">
        <v>7.27</v>
      </c>
      <c r="BS102" s="12">
        <v>43220</v>
      </c>
      <c r="BT102">
        <v>7.4770000000000003</v>
      </c>
      <c r="BW102" s="12">
        <v>43220</v>
      </c>
      <c r="BX102">
        <v>13.458</v>
      </c>
      <c r="BY102" s="12">
        <v>43220</v>
      </c>
      <c r="BZ102">
        <v>23.8</v>
      </c>
      <c r="CA102" s="12">
        <v>43220</v>
      </c>
      <c r="CB102">
        <v>24.585999999999999</v>
      </c>
      <c r="CG102" s="12">
        <v>43220</v>
      </c>
      <c r="CH102">
        <v>37.843000000000004</v>
      </c>
      <c r="CI102" s="12">
        <v>43220</v>
      </c>
      <c r="CJ102">
        <v>44.570999999999998</v>
      </c>
      <c r="CK102" s="12">
        <v>43220</v>
      </c>
      <c r="CL102">
        <v>8.1869999999999994</v>
      </c>
      <c r="CQ102" s="12">
        <v>43220</v>
      </c>
      <c r="CR102">
        <v>11.978999999999999</v>
      </c>
      <c r="CS102" s="12">
        <v>43220</v>
      </c>
      <c r="CT102">
        <v>26.756</v>
      </c>
      <c r="CU102" s="12">
        <v>43220</v>
      </c>
      <c r="CV102">
        <v>5.117</v>
      </c>
      <c r="CW102" s="12">
        <v>43220</v>
      </c>
      <c r="CX102">
        <v>9.7620000000000005</v>
      </c>
      <c r="CY102" s="12">
        <v>43312</v>
      </c>
      <c r="CZ102">
        <v>7.516</v>
      </c>
      <c r="DA102" s="12">
        <v>43220</v>
      </c>
      <c r="DB102">
        <v>26.178000000000001</v>
      </c>
      <c r="DC102" s="12">
        <v>43220</v>
      </c>
      <c r="DD102">
        <v>18.567</v>
      </c>
      <c r="DE102" s="12">
        <v>43220</v>
      </c>
      <c r="DF102">
        <v>21.863</v>
      </c>
      <c r="DK102" s="12">
        <v>43220</v>
      </c>
      <c r="DL102">
        <v>22.1</v>
      </c>
      <c r="DM102" s="12">
        <v>43644</v>
      </c>
      <c r="DN102">
        <v>11.308</v>
      </c>
      <c r="DO102" s="12">
        <v>43220</v>
      </c>
      <c r="DP102">
        <v>12.774000000000001</v>
      </c>
      <c r="DQ102" s="12">
        <v>43220</v>
      </c>
      <c r="DR102">
        <v>13.3</v>
      </c>
      <c r="DS102" s="12">
        <v>43251</v>
      </c>
      <c r="DT102">
        <v>28.838000000000001</v>
      </c>
      <c r="DU102" s="12">
        <v>43220</v>
      </c>
      <c r="DV102">
        <v>14.065</v>
      </c>
      <c r="DW102" s="12">
        <v>43220</v>
      </c>
      <c r="DX102">
        <v>4.4340000000000002</v>
      </c>
      <c r="DY102" s="12">
        <v>43220</v>
      </c>
      <c r="DZ102">
        <v>16.350000000000001</v>
      </c>
      <c r="EC102" s="12">
        <v>43220</v>
      </c>
      <c r="ED102">
        <v>63.688000000000002</v>
      </c>
      <c r="EE102" s="12">
        <v>43220</v>
      </c>
      <c r="EF102">
        <v>24.076000000000001</v>
      </c>
      <c r="EI102" s="12">
        <v>43220</v>
      </c>
      <c r="EJ102">
        <v>11.188000000000001</v>
      </c>
      <c r="EK102" s="12">
        <v>43220</v>
      </c>
      <c r="EL102">
        <v>13.337999999999999</v>
      </c>
      <c r="EM102" s="12">
        <v>43220</v>
      </c>
      <c r="EN102">
        <v>15.938000000000001</v>
      </c>
      <c r="EQ102" s="12">
        <v>43220</v>
      </c>
      <c r="ER102">
        <v>7.4290000000000003</v>
      </c>
      <c r="ES102" s="12">
        <v>43220</v>
      </c>
      <c r="ET102">
        <v>19.420000000000002</v>
      </c>
      <c r="EU102" s="12">
        <v>43220</v>
      </c>
      <c r="EV102">
        <v>8.2319999999999993</v>
      </c>
      <c r="EY102" s="12">
        <v>43220</v>
      </c>
      <c r="EZ102">
        <v>18.007999999999999</v>
      </c>
      <c r="FA102" s="12">
        <v>43220</v>
      </c>
      <c r="FB102">
        <v>29.350999999999999</v>
      </c>
      <c r="FC102" s="12">
        <v>43220</v>
      </c>
      <c r="FD102">
        <v>34.780999999999999</v>
      </c>
      <c r="FG102" s="12">
        <v>43220</v>
      </c>
      <c r="FH102">
        <v>10.617000000000001</v>
      </c>
      <c r="FI102" s="12">
        <v>43220</v>
      </c>
      <c r="FJ102">
        <v>25.364999999999998</v>
      </c>
      <c r="FK102" s="12">
        <v>43220</v>
      </c>
      <c r="FL102">
        <v>29.853999999999999</v>
      </c>
      <c r="FM102" s="12">
        <v>43220</v>
      </c>
      <c r="FN102">
        <v>8.5060000000000002</v>
      </c>
      <c r="FO102" s="12">
        <v>43220</v>
      </c>
      <c r="FP102">
        <v>11.688000000000001</v>
      </c>
      <c r="FS102" s="12">
        <v>43220</v>
      </c>
      <c r="FT102">
        <v>3</v>
      </c>
      <c r="FU102" s="12">
        <v>43220</v>
      </c>
      <c r="FV102">
        <v>14.641</v>
      </c>
      <c r="FW102" s="12">
        <v>43220</v>
      </c>
      <c r="FX102">
        <v>19.661999999999999</v>
      </c>
      <c r="GA102" s="12">
        <v>43220</v>
      </c>
      <c r="GB102">
        <v>20.986999999999998</v>
      </c>
      <c r="GC102" s="12">
        <v>43220</v>
      </c>
      <c r="GD102">
        <v>17.38</v>
      </c>
      <c r="GI102" s="12">
        <v>43220</v>
      </c>
      <c r="GJ102">
        <v>28.983000000000001</v>
      </c>
      <c r="GK102" s="12">
        <v>43220</v>
      </c>
      <c r="GL102">
        <v>57.5</v>
      </c>
      <c r="GM102" s="12">
        <v>43220</v>
      </c>
      <c r="GN102">
        <v>43.290999999999997</v>
      </c>
      <c r="GO102" s="12">
        <v>43707</v>
      </c>
      <c r="GP102">
        <v>36.192999999999998</v>
      </c>
      <c r="GQ102" s="12">
        <v>43343</v>
      </c>
      <c r="GR102">
        <v>2.17</v>
      </c>
      <c r="GS102" s="12">
        <v>43220</v>
      </c>
      <c r="GT102">
        <v>2.84</v>
      </c>
      <c r="GW102" s="12">
        <v>43280</v>
      </c>
      <c r="GX102">
        <v>28.381</v>
      </c>
      <c r="GY102" s="12">
        <v>43220</v>
      </c>
      <c r="GZ102">
        <v>7.92</v>
      </c>
      <c r="HA102" s="12">
        <v>43220</v>
      </c>
      <c r="HB102">
        <v>12.128</v>
      </c>
      <c r="HC102" s="12">
        <v>43220</v>
      </c>
      <c r="HD102">
        <v>21.346</v>
      </c>
      <c r="HE102" s="12">
        <v>43220</v>
      </c>
      <c r="HF102">
        <v>25.79</v>
      </c>
      <c r="HG102" s="12">
        <v>43220</v>
      </c>
      <c r="HH102">
        <v>15.909000000000001</v>
      </c>
      <c r="HI102" s="12">
        <v>43220</v>
      </c>
      <c r="HJ102">
        <v>14.301</v>
      </c>
      <c r="HK102" s="12">
        <v>43220</v>
      </c>
      <c r="HL102">
        <v>3.5</v>
      </c>
      <c r="HM102" s="12">
        <v>43220</v>
      </c>
      <c r="HN102">
        <v>2.8879999999999999</v>
      </c>
      <c r="HO102" s="12">
        <v>43220</v>
      </c>
      <c r="HP102">
        <v>2.5070000000000001</v>
      </c>
      <c r="HQ102" s="12">
        <v>43312</v>
      </c>
      <c r="HR102">
        <v>6.11</v>
      </c>
      <c r="HS102" s="12">
        <v>43220</v>
      </c>
      <c r="HT102">
        <v>77.019000000000005</v>
      </c>
      <c r="HU102" s="12">
        <v>43220</v>
      </c>
      <c r="HV102">
        <v>16.5</v>
      </c>
      <c r="HW102" s="12">
        <v>43220</v>
      </c>
      <c r="HX102">
        <v>23.986000000000001</v>
      </c>
      <c r="HY102" s="12">
        <v>43220</v>
      </c>
      <c r="HZ102">
        <v>21.311</v>
      </c>
      <c r="IA102" s="12">
        <v>43220</v>
      </c>
      <c r="IB102">
        <v>21.93</v>
      </c>
      <c r="IC102" s="12">
        <v>43220</v>
      </c>
      <c r="ID102">
        <v>3.823</v>
      </c>
      <c r="IE102" s="12">
        <v>43220</v>
      </c>
      <c r="IF102">
        <v>3.36</v>
      </c>
      <c r="IG102" s="12">
        <v>43524</v>
      </c>
      <c r="IH102">
        <v>15.098000000000001</v>
      </c>
      <c r="II102" s="12">
        <v>43220</v>
      </c>
      <c r="IJ102">
        <v>11.52</v>
      </c>
      <c r="IM102" s="12">
        <v>43220</v>
      </c>
      <c r="IN102">
        <v>39.052999999999997</v>
      </c>
      <c r="IO102" s="12">
        <v>43769</v>
      </c>
      <c r="IP102">
        <v>31.895</v>
      </c>
      <c r="IQ102" s="12">
        <v>43220</v>
      </c>
      <c r="IR102">
        <v>67.622</v>
      </c>
      <c r="IU102" s="12">
        <v>43220</v>
      </c>
      <c r="IV102">
        <v>8.3545999999999996</v>
      </c>
      <c r="IY102" s="12">
        <v>43220</v>
      </c>
      <c r="IZ102">
        <v>26.01</v>
      </c>
      <c r="JC102" s="12">
        <v>43220</v>
      </c>
      <c r="JD102">
        <v>7.2</v>
      </c>
      <c r="JE102" s="12">
        <v>43220</v>
      </c>
      <c r="JF102">
        <v>6.89</v>
      </c>
      <c r="JI102" s="12">
        <v>43220</v>
      </c>
      <c r="JJ102">
        <v>34.276000000000003</v>
      </c>
      <c r="JM102" s="12">
        <v>43220</v>
      </c>
      <c r="JN102">
        <v>3.145</v>
      </c>
      <c r="JO102" s="12">
        <v>43220</v>
      </c>
      <c r="JP102">
        <v>33.180999999999997</v>
      </c>
      <c r="JS102" s="12">
        <v>43220</v>
      </c>
      <c r="JT102">
        <v>20.003</v>
      </c>
      <c r="JW102" s="12">
        <v>43220</v>
      </c>
      <c r="JX102">
        <v>16.038</v>
      </c>
      <c r="JY102" s="12">
        <v>43220</v>
      </c>
      <c r="JZ102">
        <v>20.834</v>
      </c>
      <c r="KE102" s="12">
        <v>43220</v>
      </c>
      <c r="KF102">
        <v>17.326000000000001</v>
      </c>
      <c r="KI102" s="12">
        <v>43220</v>
      </c>
      <c r="KJ102">
        <v>1.58</v>
      </c>
      <c r="KQ102" s="12">
        <v>43220</v>
      </c>
      <c r="KR102">
        <v>14.1</v>
      </c>
      <c r="KS102" s="12">
        <v>43220</v>
      </c>
      <c r="KT102">
        <v>9.7929999999999993</v>
      </c>
      <c r="KU102" s="12">
        <v>43220</v>
      </c>
      <c r="KV102">
        <v>15.025</v>
      </c>
      <c r="LC102" s="12">
        <v>43220</v>
      </c>
      <c r="LD102">
        <v>10.468</v>
      </c>
      <c r="LE102" s="12">
        <v>43220</v>
      </c>
      <c r="LF102">
        <v>13.266999999999999</v>
      </c>
      <c r="LG102" s="12">
        <v>43220</v>
      </c>
      <c r="LH102">
        <v>17.073</v>
      </c>
      <c r="LI102" s="12">
        <v>43220</v>
      </c>
      <c r="LJ102">
        <v>28.738</v>
      </c>
      <c r="LM102" s="12">
        <v>43220</v>
      </c>
      <c r="LN102">
        <v>12.587</v>
      </c>
      <c r="LO102" s="12">
        <v>43220</v>
      </c>
      <c r="LP102">
        <v>10.619</v>
      </c>
      <c r="LQ102" s="12">
        <v>43220</v>
      </c>
      <c r="LR102">
        <v>46.088999999999999</v>
      </c>
      <c r="LW102" s="12">
        <v>43220</v>
      </c>
      <c r="LX102">
        <v>14.199</v>
      </c>
      <c r="LY102" s="12">
        <v>43220</v>
      </c>
      <c r="LZ102">
        <v>42.478999999999999</v>
      </c>
      <c r="MA102" s="12">
        <v>43220</v>
      </c>
      <c r="MB102">
        <v>16.617000000000001</v>
      </c>
      <c r="ME102" s="12">
        <v>43251</v>
      </c>
      <c r="MF102">
        <v>6.5</v>
      </c>
      <c r="MG102" s="12">
        <v>43220</v>
      </c>
      <c r="MH102">
        <v>17.225000000000001</v>
      </c>
      <c r="MK102" s="12">
        <v>43220</v>
      </c>
      <c r="ML102">
        <v>28.96</v>
      </c>
    </row>
    <row r="103" spans="1:350" x14ac:dyDescent="0.3">
      <c r="A103" s="12">
        <v>43251</v>
      </c>
      <c r="B103" s="1">
        <v>18.638999999999999</v>
      </c>
      <c r="C103" s="1"/>
      <c r="G103" s="17">
        <v>43251</v>
      </c>
      <c r="H103" s="13">
        <v>10.452999999999999</v>
      </c>
      <c r="I103" s="17">
        <v>43280</v>
      </c>
      <c r="J103">
        <v>14.632999999999999</v>
      </c>
      <c r="N103" s="12"/>
      <c r="U103" s="12">
        <v>43677</v>
      </c>
      <c r="V103">
        <v>50.103000000000002</v>
      </c>
      <c r="Y103" s="12">
        <v>43251</v>
      </c>
      <c r="Z103">
        <v>20.263999999999999</v>
      </c>
      <c r="AA103" s="12">
        <v>43251</v>
      </c>
      <c r="AB103">
        <v>27.658999999999999</v>
      </c>
      <c r="AC103" s="12">
        <v>43251</v>
      </c>
      <c r="AD103">
        <v>18.004999999999999</v>
      </c>
      <c r="AE103" s="12">
        <v>43251</v>
      </c>
      <c r="AF103">
        <v>20.126000000000001</v>
      </c>
      <c r="AG103" s="12">
        <v>43251</v>
      </c>
      <c r="AH103">
        <v>4.2</v>
      </c>
      <c r="AK103" s="12">
        <v>43251</v>
      </c>
      <c r="AL103">
        <v>7.08</v>
      </c>
      <c r="AS103" s="12">
        <v>43251</v>
      </c>
      <c r="AT103">
        <v>1.794</v>
      </c>
      <c r="AU103" s="12">
        <v>43251</v>
      </c>
      <c r="AV103">
        <v>29.338000000000001</v>
      </c>
      <c r="AY103" s="12">
        <v>43251</v>
      </c>
      <c r="AZ103">
        <v>21.42</v>
      </c>
      <c r="BA103" s="12">
        <v>43251</v>
      </c>
      <c r="BB103">
        <v>44.155999999999999</v>
      </c>
      <c r="BC103" s="12">
        <v>43251</v>
      </c>
      <c r="BD103">
        <v>9.5640000000000001</v>
      </c>
      <c r="BE103" s="12">
        <v>43343</v>
      </c>
      <c r="BF103">
        <v>9.109</v>
      </c>
      <c r="BG103" s="12">
        <v>43251</v>
      </c>
      <c r="BH103">
        <v>14.22</v>
      </c>
      <c r="BI103" s="12">
        <v>43251</v>
      </c>
      <c r="BJ103">
        <v>25.056000000000001</v>
      </c>
      <c r="BK103" s="12">
        <v>43251</v>
      </c>
      <c r="BL103">
        <v>9.2119999999999997</v>
      </c>
      <c r="BM103" s="12">
        <v>43251</v>
      </c>
      <c r="BN103">
        <v>14.824</v>
      </c>
      <c r="BO103" s="12">
        <v>43251</v>
      </c>
      <c r="BP103">
        <v>14.693999999999999</v>
      </c>
      <c r="BQ103" s="12">
        <v>43251</v>
      </c>
      <c r="BR103">
        <v>6.6349999999999998</v>
      </c>
      <c r="BS103" s="12">
        <v>43251</v>
      </c>
      <c r="BT103">
        <v>7.2050000000000001</v>
      </c>
      <c r="BW103" s="12">
        <v>43251</v>
      </c>
      <c r="BX103">
        <v>10.49</v>
      </c>
      <c r="BY103" s="12">
        <v>43251</v>
      </c>
      <c r="BZ103">
        <v>22.530999999999999</v>
      </c>
      <c r="CA103" s="12">
        <v>43251</v>
      </c>
      <c r="CB103">
        <v>21.565999999999999</v>
      </c>
      <c r="CG103" s="12">
        <v>43251</v>
      </c>
      <c r="CH103">
        <v>37.97</v>
      </c>
      <c r="CI103" s="12">
        <v>43251</v>
      </c>
      <c r="CJ103">
        <v>39.969000000000001</v>
      </c>
      <c r="CK103" s="12">
        <v>43251</v>
      </c>
      <c r="CL103">
        <v>7.18</v>
      </c>
      <c r="CQ103" s="12">
        <v>43251</v>
      </c>
      <c r="CR103">
        <v>10.481</v>
      </c>
      <c r="CS103" s="12">
        <v>43251</v>
      </c>
      <c r="CT103">
        <v>26.241</v>
      </c>
      <c r="CU103" s="12">
        <v>43251</v>
      </c>
      <c r="CV103">
        <v>5.31</v>
      </c>
      <c r="CW103" s="12">
        <v>43251</v>
      </c>
      <c r="CX103">
        <v>8.8949999999999996</v>
      </c>
      <c r="CY103" s="12">
        <v>43343</v>
      </c>
      <c r="CZ103">
        <v>6.8410000000000002</v>
      </c>
      <c r="DA103" s="12">
        <v>43251</v>
      </c>
      <c r="DB103">
        <v>26.178000000000001</v>
      </c>
      <c r="DC103" s="12">
        <v>43251</v>
      </c>
      <c r="DD103">
        <v>14.244</v>
      </c>
      <c r="DE103" s="12">
        <v>43251</v>
      </c>
      <c r="DF103">
        <v>16.061</v>
      </c>
      <c r="DK103" s="12">
        <v>43251</v>
      </c>
      <c r="DL103">
        <v>22.449000000000002</v>
      </c>
      <c r="DM103" s="12">
        <v>43677</v>
      </c>
      <c r="DN103">
        <v>11.724</v>
      </c>
      <c r="DO103" s="12">
        <v>43251</v>
      </c>
      <c r="DP103">
        <v>12.157999999999999</v>
      </c>
      <c r="DQ103" s="12">
        <v>43251</v>
      </c>
      <c r="DR103">
        <v>13.01</v>
      </c>
      <c r="DS103" s="12">
        <v>43280</v>
      </c>
      <c r="DT103">
        <v>27.995999999999999</v>
      </c>
      <c r="DU103" s="12">
        <v>43251</v>
      </c>
      <c r="DV103">
        <v>12.016999999999999</v>
      </c>
      <c r="DW103" s="12">
        <v>43251</v>
      </c>
      <c r="DX103">
        <v>4.1020000000000003</v>
      </c>
      <c r="DY103" s="12">
        <v>43251</v>
      </c>
      <c r="DZ103">
        <v>14.634</v>
      </c>
      <c r="EC103" s="12">
        <v>43251</v>
      </c>
      <c r="ED103">
        <v>65.953999999999994</v>
      </c>
      <c r="EE103" s="12">
        <v>43251</v>
      </c>
      <c r="EF103">
        <v>22.664999999999999</v>
      </c>
      <c r="EI103" s="12">
        <v>43251</v>
      </c>
      <c r="EJ103">
        <v>11.682</v>
      </c>
      <c r="EK103" s="12">
        <v>43251</v>
      </c>
      <c r="EL103">
        <v>10.914999999999999</v>
      </c>
      <c r="EM103" s="12">
        <v>43251</v>
      </c>
      <c r="EN103">
        <v>14.233000000000001</v>
      </c>
      <c r="EQ103" s="12">
        <v>43251</v>
      </c>
      <c r="ER103">
        <v>6.5030000000000001</v>
      </c>
      <c r="ES103" s="12">
        <v>43251</v>
      </c>
      <c r="ET103">
        <v>13.49</v>
      </c>
      <c r="EU103" s="12">
        <v>43251</v>
      </c>
      <c r="EV103">
        <v>7.2560000000000002</v>
      </c>
      <c r="EY103" s="12">
        <v>43251</v>
      </c>
      <c r="EZ103">
        <v>16.009</v>
      </c>
      <c r="FA103" s="12">
        <v>43251</v>
      </c>
      <c r="FB103">
        <v>26.276</v>
      </c>
      <c r="FC103" s="12">
        <v>43251</v>
      </c>
      <c r="FD103">
        <v>30.611000000000001</v>
      </c>
      <c r="FG103" s="12">
        <v>43251</v>
      </c>
      <c r="FH103">
        <v>8.76</v>
      </c>
      <c r="FI103" s="12">
        <v>43251</v>
      </c>
      <c r="FJ103">
        <v>21.984999999999999</v>
      </c>
      <c r="FK103" s="12">
        <v>43251</v>
      </c>
      <c r="FL103">
        <v>25.161999999999999</v>
      </c>
      <c r="FM103" s="12">
        <v>43251</v>
      </c>
      <c r="FN103">
        <v>8.7270000000000003</v>
      </c>
      <c r="FO103" s="12">
        <v>43251</v>
      </c>
      <c r="FP103">
        <v>9.2629999999999999</v>
      </c>
      <c r="FS103" s="12">
        <v>43251</v>
      </c>
      <c r="FT103">
        <v>3.0529999999999999</v>
      </c>
      <c r="FU103" s="12">
        <v>43251</v>
      </c>
      <c r="FV103">
        <v>13.266</v>
      </c>
      <c r="FW103" s="12">
        <v>43251</v>
      </c>
      <c r="FX103">
        <v>17.513999999999999</v>
      </c>
      <c r="GA103" s="12">
        <v>43251</v>
      </c>
      <c r="GB103">
        <v>24.129000000000001</v>
      </c>
      <c r="GC103" s="12">
        <v>43251</v>
      </c>
      <c r="GD103">
        <v>12.237</v>
      </c>
      <c r="GI103" s="12">
        <v>43251</v>
      </c>
      <c r="GJ103">
        <v>26.37</v>
      </c>
      <c r="GK103" s="12">
        <v>43251</v>
      </c>
      <c r="GL103">
        <v>67.39</v>
      </c>
      <c r="GM103" s="12">
        <v>43251</v>
      </c>
      <c r="GN103">
        <v>41.323</v>
      </c>
      <c r="GO103" s="12">
        <v>43738</v>
      </c>
      <c r="GP103">
        <v>36.941000000000003</v>
      </c>
      <c r="GQ103" s="12">
        <v>43371</v>
      </c>
      <c r="GR103">
        <v>1.8399999999999999</v>
      </c>
      <c r="GS103" s="12">
        <v>43251</v>
      </c>
      <c r="GT103">
        <v>2.62</v>
      </c>
      <c r="GW103" s="12">
        <v>43312</v>
      </c>
      <c r="GX103">
        <v>26.876999999999999</v>
      </c>
      <c r="GY103" s="12">
        <v>43251</v>
      </c>
      <c r="GZ103">
        <v>7.91</v>
      </c>
      <c r="HA103" s="12">
        <v>43251</v>
      </c>
      <c r="HB103">
        <v>11.178000000000001</v>
      </c>
      <c r="HC103" s="12">
        <v>43251</v>
      </c>
      <c r="HD103">
        <v>18.826999999999998</v>
      </c>
      <c r="HE103" s="12">
        <v>43251</v>
      </c>
      <c r="HF103">
        <v>21.834</v>
      </c>
      <c r="HG103" s="12">
        <v>43251</v>
      </c>
      <c r="HH103">
        <v>16.655000000000001</v>
      </c>
      <c r="HI103" s="12">
        <v>43251</v>
      </c>
      <c r="HJ103">
        <v>13.282999999999999</v>
      </c>
      <c r="HK103" s="12">
        <v>43251</v>
      </c>
      <c r="HL103">
        <v>3.17</v>
      </c>
      <c r="HM103" s="12">
        <v>43251</v>
      </c>
      <c r="HN103">
        <v>2.6269999999999998</v>
      </c>
      <c r="HO103" s="12">
        <v>43251</v>
      </c>
      <c r="HP103">
        <v>2.2170000000000001</v>
      </c>
      <c r="HQ103" s="12">
        <v>43343</v>
      </c>
      <c r="HR103">
        <v>5.99</v>
      </c>
      <c r="HS103" s="12">
        <v>43251</v>
      </c>
      <c r="HT103">
        <v>78.066999999999993</v>
      </c>
      <c r="HU103" s="12">
        <v>43251</v>
      </c>
      <c r="HV103">
        <v>13.1</v>
      </c>
      <c r="HW103" s="12">
        <v>43251</v>
      </c>
      <c r="HX103">
        <v>21.646999999999998</v>
      </c>
      <c r="HY103" s="12">
        <v>43251</v>
      </c>
      <c r="HZ103">
        <v>17.643999999999998</v>
      </c>
      <c r="IA103" s="12">
        <v>43251</v>
      </c>
      <c r="IB103">
        <v>16.149999999999999</v>
      </c>
      <c r="IC103" s="12">
        <v>43251</v>
      </c>
      <c r="ID103">
        <v>3.3449999999999998</v>
      </c>
      <c r="IE103" s="12">
        <v>43251</v>
      </c>
      <c r="IF103">
        <v>2.9</v>
      </c>
      <c r="IG103" s="12">
        <v>43553</v>
      </c>
      <c r="IH103">
        <v>18.899999999999999</v>
      </c>
      <c r="IM103" s="12">
        <v>43251</v>
      </c>
      <c r="IN103">
        <v>38.048999999999999</v>
      </c>
      <c r="IO103" s="12">
        <v>43798</v>
      </c>
      <c r="IP103">
        <v>36.793999999999997</v>
      </c>
      <c r="IQ103" s="12">
        <v>43251</v>
      </c>
      <c r="IR103">
        <v>61.220999999999997</v>
      </c>
      <c r="IU103" s="12">
        <v>43251</v>
      </c>
      <c r="IV103">
        <v>6.6264000000000003</v>
      </c>
      <c r="IY103" s="12">
        <v>43251</v>
      </c>
      <c r="IZ103">
        <v>23.062999999999999</v>
      </c>
      <c r="JC103" s="12">
        <v>43251</v>
      </c>
      <c r="JD103">
        <v>6.05</v>
      </c>
      <c r="JE103" s="12">
        <v>43251</v>
      </c>
      <c r="JF103">
        <v>5.99</v>
      </c>
      <c r="JI103" s="12">
        <v>43251</v>
      </c>
      <c r="JJ103">
        <v>30.382000000000001</v>
      </c>
      <c r="JM103" s="12">
        <v>43251</v>
      </c>
      <c r="JN103">
        <v>2.6230000000000002</v>
      </c>
      <c r="JO103" s="12">
        <v>43251</v>
      </c>
      <c r="JP103">
        <v>24.678000000000001</v>
      </c>
      <c r="JS103" s="12">
        <v>43251</v>
      </c>
      <c r="JT103">
        <v>21.277999999999999</v>
      </c>
      <c r="JW103" s="12">
        <v>43251</v>
      </c>
      <c r="JX103">
        <v>16.548000000000002</v>
      </c>
      <c r="JY103" s="12">
        <v>43251</v>
      </c>
      <c r="JZ103">
        <v>18.867999999999999</v>
      </c>
      <c r="KE103" s="12">
        <v>43251</v>
      </c>
      <c r="KF103">
        <v>16.602</v>
      </c>
      <c r="KI103" s="12">
        <v>43251</v>
      </c>
      <c r="KJ103">
        <v>1.29</v>
      </c>
      <c r="KQ103" s="12">
        <v>43251</v>
      </c>
      <c r="KR103">
        <v>11.91</v>
      </c>
      <c r="KS103" s="12">
        <v>43251</v>
      </c>
      <c r="KT103">
        <v>8.7059999999999995</v>
      </c>
      <c r="KU103" s="12">
        <v>43251</v>
      </c>
      <c r="KV103">
        <v>12.718</v>
      </c>
      <c r="LC103" s="12">
        <v>43251</v>
      </c>
      <c r="LD103">
        <v>9.1760000000000002</v>
      </c>
      <c r="LE103" s="12">
        <v>43251</v>
      </c>
      <c r="LF103">
        <v>12.587999999999999</v>
      </c>
      <c r="LG103" s="12">
        <v>43251</v>
      </c>
      <c r="LH103">
        <v>16.43</v>
      </c>
      <c r="LI103" s="12">
        <v>43251</v>
      </c>
      <c r="LJ103">
        <v>23.77</v>
      </c>
      <c r="LM103" s="12">
        <v>43251</v>
      </c>
      <c r="LN103">
        <v>11.94</v>
      </c>
      <c r="LO103" s="12">
        <v>43251</v>
      </c>
      <c r="LP103">
        <v>8.0370000000000008</v>
      </c>
      <c r="LQ103" s="12">
        <v>43251</v>
      </c>
      <c r="LR103">
        <v>47.945</v>
      </c>
      <c r="LW103" s="12">
        <v>43251</v>
      </c>
      <c r="LX103">
        <v>4.7649999999999997</v>
      </c>
      <c r="LY103" s="12">
        <v>43251</v>
      </c>
      <c r="LZ103">
        <v>39.332999999999998</v>
      </c>
      <c r="MA103" s="12">
        <v>43251</v>
      </c>
      <c r="MB103">
        <v>16.507999999999999</v>
      </c>
      <c r="ME103" s="12">
        <v>43280</v>
      </c>
      <c r="MF103">
        <v>5.89</v>
      </c>
      <c r="MG103" s="12">
        <v>43251</v>
      </c>
      <c r="MH103">
        <v>16.643999999999998</v>
      </c>
      <c r="MK103" s="12">
        <v>43251</v>
      </c>
      <c r="ML103">
        <v>22.832000000000001</v>
      </c>
    </row>
    <row r="104" spans="1:350" x14ac:dyDescent="0.3">
      <c r="A104" s="12">
        <v>43280</v>
      </c>
      <c r="B104" s="1">
        <v>17.167000000000002</v>
      </c>
      <c r="C104" s="1"/>
      <c r="G104" s="17">
        <v>43280</v>
      </c>
      <c r="H104" s="13">
        <v>9.5969999999999995</v>
      </c>
      <c r="I104" s="17">
        <v>43312</v>
      </c>
      <c r="J104">
        <v>14.899000000000001</v>
      </c>
      <c r="N104" s="12"/>
      <c r="U104" s="12">
        <v>43707</v>
      </c>
      <c r="V104">
        <v>49.198</v>
      </c>
      <c r="Y104" s="12">
        <v>43280</v>
      </c>
      <c r="Z104">
        <v>19.245999999999999</v>
      </c>
      <c r="AA104" s="12">
        <v>43280</v>
      </c>
      <c r="AB104">
        <v>26.17</v>
      </c>
      <c r="AC104" s="12">
        <v>43280</v>
      </c>
      <c r="AD104">
        <v>16.841999999999999</v>
      </c>
      <c r="AE104" s="12">
        <v>43280</v>
      </c>
      <c r="AF104">
        <v>18.571999999999999</v>
      </c>
      <c r="AG104" s="12">
        <v>43280</v>
      </c>
      <c r="AH104">
        <v>3.9</v>
      </c>
      <c r="AK104" s="12">
        <v>43280</v>
      </c>
      <c r="AL104">
        <v>6.27</v>
      </c>
      <c r="AS104" s="12">
        <v>43280</v>
      </c>
      <c r="AT104">
        <v>1.6480000000000001</v>
      </c>
      <c r="AU104" s="12">
        <v>43280</v>
      </c>
      <c r="AV104">
        <v>27.53</v>
      </c>
      <c r="AY104" s="12">
        <v>43280</v>
      </c>
      <c r="AZ104">
        <v>18</v>
      </c>
      <c r="BA104" s="12">
        <v>43280</v>
      </c>
      <c r="BB104">
        <v>49.369</v>
      </c>
      <c r="BC104" s="12">
        <v>43280</v>
      </c>
      <c r="BD104">
        <v>9.0069999999999997</v>
      </c>
      <c r="BE104" s="12">
        <v>43371</v>
      </c>
      <c r="BF104">
        <v>7.5739999999999998</v>
      </c>
      <c r="BG104" s="12">
        <v>43280</v>
      </c>
      <c r="BH104">
        <v>12.781000000000001</v>
      </c>
      <c r="BI104" s="12">
        <v>43280</v>
      </c>
      <c r="BJ104">
        <v>26.588000000000001</v>
      </c>
      <c r="BK104" s="12">
        <v>43280</v>
      </c>
      <c r="BL104">
        <v>9.0510000000000002</v>
      </c>
      <c r="BM104" s="12">
        <v>43280</v>
      </c>
      <c r="BN104">
        <v>14.670999999999999</v>
      </c>
      <c r="BO104" s="12">
        <v>43280</v>
      </c>
      <c r="BP104">
        <v>14.321</v>
      </c>
      <c r="BQ104" s="12">
        <v>43280</v>
      </c>
      <c r="BR104">
        <v>6.2560000000000002</v>
      </c>
      <c r="BS104" s="12">
        <v>43280</v>
      </c>
      <c r="BT104">
        <v>6.8570000000000002</v>
      </c>
      <c r="BW104" s="12">
        <v>43280</v>
      </c>
      <c r="BX104">
        <v>9.0440000000000005</v>
      </c>
      <c r="BY104" s="12">
        <v>43280</v>
      </c>
      <c r="BZ104">
        <v>21.321000000000002</v>
      </c>
      <c r="CA104" s="12">
        <v>43280</v>
      </c>
      <c r="CB104">
        <v>20.198</v>
      </c>
      <c r="CG104" s="12">
        <v>43280</v>
      </c>
      <c r="CH104">
        <v>34.427</v>
      </c>
      <c r="CI104" s="12">
        <v>43280</v>
      </c>
      <c r="CJ104">
        <v>38.326000000000001</v>
      </c>
      <c r="CK104" s="12">
        <v>43280</v>
      </c>
      <c r="CL104">
        <v>7.3289999999999997</v>
      </c>
      <c r="CQ104" s="12">
        <v>43280</v>
      </c>
      <c r="CR104">
        <v>9.8620000000000001</v>
      </c>
      <c r="CS104" s="12">
        <v>43280</v>
      </c>
      <c r="CT104">
        <v>25.745999999999999</v>
      </c>
      <c r="CU104" s="12">
        <v>43280</v>
      </c>
      <c r="CV104">
        <v>5.008</v>
      </c>
      <c r="CW104" s="12">
        <v>43280</v>
      </c>
      <c r="CX104">
        <v>7.9370000000000003</v>
      </c>
      <c r="CY104" s="12">
        <v>43371</v>
      </c>
      <c r="CZ104">
        <v>6.899</v>
      </c>
      <c r="DA104" s="12">
        <v>43280</v>
      </c>
      <c r="DB104">
        <v>24.224</v>
      </c>
      <c r="DC104" s="12">
        <v>43280</v>
      </c>
      <c r="DD104">
        <v>11.869</v>
      </c>
      <c r="DE104" s="12">
        <v>43280</v>
      </c>
      <c r="DF104">
        <v>12.993</v>
      </c>
      <c r="DK104" s="12">
        <v>43280</v>
      </c>
      <c r="DL104">
        <v>24.236000000000001</v>
      </c>
      <c r="DM104" s="12">
        <v>43707</v>
      </c>
      <c r="DN104">
        <v>9.8130000000000006</v>
      </c>
      <c r="DO104" s="12">
        <v>43280</v>
      </c>
      <c r="DP104">
        <v>12.755000000000001</v>
      </c>
      <c r="DQ104" s="12">
        <v>43280</v>
      </c>
      <c r="DR104">
        <v>11.9</v>
      </c>
      <c r="DS104" s="12">
        <v>43312</v>
      </c>
      <c r="DT104">
        <v>29.010999999999999</v>
      </c>
      <c r="DU104" s="12">
        <v>43280</v>
      </c>
      <c r="DV104">
        <v>11.225</v>
      </c>
      <c r="DW104" s="12">
        <v>43280</v>
      </c>
      <c r="DX104">
        <v>3.573</v>
      </c>
      <c r="DY104" s="12">
        <v>43280</v>
      </c>
      <c r="DZ104">
        <v>13.121</v>
      </c>
      <c r="EC104" s="12">
        <v>43280</v>
      </c>
      <c r="ED104">
        <v>67.620999999999995</v>
      </c>
      <c r="EE104" s="12">
        <v>43280</v>
      </c>
      <c r="EF104">
        <v>24.39</v>
      </c>
      <c r="EI104" s="12">
        <v>43280</v>
      </c>
      <c r="EJ104">
        <v>9.8209999999999997</v>
      </c>
      <c r="EK104" s="12">
        <v>43280</v>
      </c>
      <c r="EL104">
        <v>10.218999999999999</v>
      </c>
      <c r="EM104" s="12">
        <v>43280</v>
      </c>
      <c r="EN104">
        <v>13.377000000000001</v>
      </c>
      <c r="EQ104" s="12">
        <v>43280</v>
      </c>
      <c r="ER104">
        <v>5.9009999999999998</v>
      </c>
      <c r="ES104" s="12">
        <v>43280</v>
      </c>
      <c r="ET104">
        <v>10.42</v>
      </c>
      <c r="EU104" s="12">
        <v>43280</v>
      </c>
      <c r="EV104">
        <v>7.383</v>
      </c>
      <c r="EY104" s="12">
        <v>43280</v>
      </c>
      <c r="EZ104">
        <v>13.644</v>
      </c>
      <c r="FA104" s="12">
        <v>43280</v>
      </c>
      <c r="FB104">
        <v>25.727</v>
      </c>
      <c r="FC104" s="12">
        <v>43280</v>
      </c>
      <c r="FD104">
        <v>30.045999999999999</v>
      </c>
      <c r="FG104" s="12">
        <v>43280</v>
      </c>
      <c r="FH104">
        <v>7.8879999999999999</v>
      </c>
      <c r="FI104" s="12">
        <v>43280</v>
      </c>
      <c r="FJ104">
        <v>20.664000000000001</v>
      </c>
      <c r="FK104" s="12">
        <v>43280</v>
      </c>
      <c r="FL104">
        <v>23.625</v>
      </c>
      <c r="FM104" s="12">
        <v>43280</v>
      </c>
      <c r="FN104">
        <v>9.0890000000000004</v>
      </c>
      <c r="FO104" s="12">
        <v>43280</v>
      </c>
      <c r="FP104">
        <v>9.84</v>
      </c>
      <c r="FS104" s="12">
        <v>43280</v>
      </c>
      <c r="FT104">
        <v>2.827</v>
      </c>
      <c r="FU104" s="12">
        <v>43280</v>
      </c>
      <c r="FV104">
        <v>12.717000000000001</v>
      </c>
      <c r="FW104" s="12">
        <v>43280</v>
      </c>
      <c r="FX104">
        <v>16.43</v>
      </c>
      <c r="GA104" s="12">
        <v>43280</v>
      </c>
      <c r="GB104">
        <v>23.253</v>
      </c>
      <c r="GC104" s="12">
        <v>43280</v>
      </c>
      <c r="GD104">
        <v>11.147</v>
      </c>
      <c r="GI104" s="12">
        <v>43280</v>
      </c>
      <c r="GJ104">
        <v>26.170999999999999</v>
      </c>
      <c r="GK104" s="12">
        <v>43280</v>
      </c>
      <c r="GL104">
        <v>63.4</v>
      </c>
      <c r="GM104" s="12">
        <v>43280</v>
      </c>
      <c r="GN104">
        <v>36.796999999999997</v>
      </c>
      <c r="GO104" s="12">
        <v>43769</v>
      </c>
      <c r="GP104">
        <v>44.606999999999999</v>
      </c>
      <c r="GQ104" s="12">
        <v>43404</v>
      </c>
      <c r="GR104">
        <v>3.14</v>
      </c>
      <c r="GS104" s="12">
        <v>43280</v>
      </c>
      <c r="GT104">
        <v>2.4</v>
      </c>
      <c r="GW104" s="12">
        <v>43343</v>
      </c>
      <c r="GX104">
        <v>23.966000000000001</v>
      </c>
      <c r="GY104" s="12">
        <v>43280</v>
      </c>
      <c r="GZ104">
        <v>8.14</v>
      </c>
      <c r="HA104" s="12">
        <v>43280</v>
      </c>
      <c r="HB104">
        <v>9.9920000000000009</v>
      </c>
      <c r="HC104" s="12">
        <v>43280</v>
      </c>
      <c r="HD104">
        <v>18.47</v>
      </c>
      <c r="HE104" s="12">
        <v>43280</v>
      </c>
      <c r="HF104">
        <v>19.411000000000001</v>
      </c>
      <c r="HG104" s="12">
        <v>43280</v>
      </c>
      <c r="HH104">
        <v>14.951000000000001</v>
      </c>
      <c r="HI104" s="12">
        <v>43280</v>
      </c>
      <c r="HJ104">
        <v>12.464</v>
      </c>
      <c r="HK104" s="12">
        <v>43280</v>
      </c>
      <c r="HL104">
        <v>3.01</v>
      </c>
      <c r="HM104" s="12">
        <v>43280</v>
      </c>
      <c r="HN104">
        <v>2.6120000000000001</v>
      </c>
      <c r="HO104" s="12">
        <v>43280</v>
      </c>
      <c r="HP104">
        <v>2.2090000000000001</v>
      </c>
      <c r="HQ104" s="12">
        <v>43371</v>
      </c>
      <c r="HR104">
        <v>6.28</v>
      </c>
      <c r="HS104" s="12">
        <v>43280</v>
      </c>
      <c r="HT104">
        <v>76.486000000000004</v>
      </c>
      <c r="HU104" s="12">
        <v>43280</v>
      </c>
      <c r="HV104">
        <v>10</v>
      </c>
      <c r="HW104" s="12">
        <v>43280</v>
      </c>
      <c r="HX104">
        <v>18.945</v>
      </c>
      <c r="HY104" s="12">
        <v>43280</v>
      </c>
      <c r="HZ104">
        <v>15.98</v>
      </c>
      <c r="IA104" s="12">
        <v>43280</v>
      </c>
      <c r="IB104">
        <v>19.04</v>
      </c>
      <c r="IC104" s="12">
        <v>43280</v>
      </c>
      <c r="ID104">
        <v>3.1390000000000002</v>
      </c>
      <c r="IE104" s="12">
        <v>43280</v>
      </c>
      <c r="IF104">
        <v>2.3199999999999998</v>
      </c>
      <c r="IG104" s="12">
        <v>43585</v>
      </c>
      <c r="IH104">
        <v>18.45</v>
      </c>
      <c r="IM104" s="12">
        <v>43280</v>
      </c>
      <c r="IN104">
        <v>37.075000000000003</v>
      </c>
      <c r="IO104" s="12">
        <v>43830</v>
      </c>
      <c r="IP104">
        <v>37.094000000000001</v>
      </c>
      <c r="IQ104" s="12">
        <v>43280</v>
      </c>
      <c r="IR104">
        <v>65.429000000000002</v>
      </c>
      <c r="IU104" s="12">
        <v>43280</v>
      </c>
      <c r="IV104">
        <v>5.9166999999999996</v>
      </c>
      <c r="IY104" s="12">
        <v>43280</v>
      </c>
      <c r="IZ104">
        <v>22.190999999999999</v>
      </c>
      <c r="JC104" s="12">
        <v>43280</v>
      </c>
      <c r="JD104">
        <v>4.7699999999999996</v>
      </c>
      <c r="JE104" s="12">
        <v>43280</v>
      </c>
      <c r="JF104">
        <v>4.47</v>
      </c>
      <c r="JI104" s="12">
        <v>43280</v>
      </c>
      <c r="JJ104">
        <v>26.352</v>
      </c>
      <c r="JM104" s="12">
        <v>43280</v>
      </c>
      <c r="JN104">
        <v>2.6470000000000002</v>
      </c>
      <c r="JO104" s="12">
        <v>43280</v>
      </c>
      <c r="JP104">
        <v>21.978999999999999</v>
      </c>
      <c r="JS104" s="12">
        <v>43280</v>
      </c>
      <c r="JT104">
        <v>23.937000000000001</v>
      </c>
      <c r="JW104" s="12">
        <v>43280</v>
      </c>
      <c r="JX104">
        <v>16.859000000000002</v>
      </c>
      <c r="JY104" s="12">
        <v>43280</v>
      </c>
      <c r="JZ104">
        <v>17.614999999999998</v>
      </c>
      <c r="KE104" s="12">
        <v>43280</v>
      </c>
      <c r="KF104">
        <v>16.135999999999999</v>
      </c>
      <c r="KI104" s="12">
        <v>43280</v>
      </c>
      <c r="KJ104">
        <v>1.2</v>
      </c>
      <c r="KQ104" s="12">
        <v>43280</v>
      </c>
      <c r="KR104">
        <v>10</v>
      </c>
      <c r="KS104" s="12">
        <v>43280</v>
      </c>
      <c r="KT104">
        <v>8.4269999999999996</v>
      </c>
      <c r="KU104" s="12">
        <v>43280</v>
      </c>
      <c r="KV104">
        <v>12.5</v>
      </c>
      <c r="LC104" s="12">
        <v>43280</v>
      </c>
      <c r="LD104">
        <v>8.8979999999999997</v>
      </c>
      <c r="LE104" s="12">
        <v>43280</v>
      </c>
      <c r="LF104">
        <v>12.118</v>
      </c>
      <c r="LG104" s="12">
        <v>43280</v>
      </c>
      <c r="LH104">
        <v>16.411999999999999</v>
      </c>
      <c r="LI104" s="12">
        <v>43280</v>
      </c>
      <c r="LJ104">
        <v>21.844999999999999</v>
      </c>
      <c r="LM104" s="12">
        <v>43280</v>
      </c>
      <c r="LN104">
        <v>11</v>
      </c>
      <c r="LO104" s="12">
        <v>43280</v>
      </c>
      <c r="LP104">
        <v>7.1310000000000002</v>
      </c>
      <c r="LQ104" s="12">
        <v>43280</v>
      </c>
      <c r="LR104">
        <v>46.96</v>
      </c>
      <c r="LW104" s="12">
        <v>43280</v>
      </c>
      <c r="LX104">
        <v>2.7640000000000002</v>
      </c>
      <c r="LY104" s="12">
        <v>43280</v>
      </c>
      <c r="LZ104">
        <v>39.54</v>
      </c>
      <c r="MA104" s="12">
        <v>43280</v>
      </c>
      <c r="MB104">
        <v>15.083</v>
      </c>
      <c r="ME104" s="12">
        <v>43312</v>
      </c>
      <c r="MF104">
        <v>7.15</v>
      </c>
      <c r="MG104" s="12">
        <v>43280</v>
      </c>
      <c r="MH104">
        <v>15.743</v>
      </c>
      <c r="MK104" s="12">
        <v>43280</v>
      </c>
      <c r="ML104">
        <v>22.132999999999999</v>
      </c>
    </row>
    <row r="105" spans="1:350" x14ac:dyDescent="0.3">
      <c r="A105" s="12">
        <v>43312</v>
      </c>
      <c r="B105" s="1">
        <v>18.532</v>
      </c>
      <c r="C105" s="1"/>
      <c r="G105" s="17">
        <v>43312</v>
      </c>
      <c r="H105" s="13">
        <v>10.112</v>
      </c>
      <c r="I105" s="17">
        <v>43343</v>
      </c>
      <c r="J105">
        <v>14.919</v>
      </c>
      <c r="N105" s="12"/>
      <c r="U105" s="12">
        <v>43738</v>
      </c>
      <c r="V105">
        <v>49.238</v>
      </c>
      <c r="Y105" s="12">
        <v>43312</v>
      </c>
      <c r="Z105">
        <v>22.388999999999999</v>
      </c>
      <c r="AA105" s="12">
        <v>43312</v>
      </c>
      <c r="AB105">
        <v>29.687000000000001</v>
      </c>
      <c r="AC105" s="12">
        <v>43312</v>
      </c>
      <c r="AD105">
        <v>19.411000000000001</v>
      </c>
      <c r="AE105" s="12">
        <v>43312</v>
      </c>
      <c r="AF105">
        <v>21.242999999999999</v>
      </c>
      <c r="AG105" s="12">
        <v>43312</v>
      </c>
      <c r="AH105">
        <v>3.2</v>
      </c>
      <c r="AK105" s="12">
        <v>43312</v>
      </c>
      <c r="AL105">
        <v>7.54</v>
      </c>
      <c r="AS105" s="12">
        <v>43312</v>
      </c>
      <c r="AT105">
        <v>1.6579999999999999</v>
      </c>
      <c r="AU105" s="12">
        <v>43312</v>
      </c>
      <c r="AV105">
        <v>30.684999999999999</v>
      </c>
      <c r="AY105" s="12">
        <v>43312</v>
      </c>
      <c r="AZ105">
        <v>22.65</v>
      </c>
      <c r="BA105" s="12">
        <v>43312</v>
      </c>
      <c r="BB105">
        <v>53.210999999999999</v>
      </c>
      <c r="BC105" s="12">
        <v>43312</v>
      </c>
      <c r="BD105">
        <v>9.2390000000000008</v>
      </c>
      <c r="BE105" s="12">
        <v>43404</v>
      </c>
      <c r="BF105">
        <v>7.7329999999999997</v>
      </c>
      <c r="BG105" s="12">
        <v>43312</v>
      </c>
      <c r="BH105">
        <v>13.63</v>
      </c>
      <c r="BI105" s="12">
        <v>43312</v>
      </c>
      <c r="BJ105">
        <v>27.824000000000002</v>
      </c>
      <c r="BK105" s="12">
        <v>43312</v>
      </c>
      <c r="BL105">
        <v>9.4179999999999993</v>
      </c>
      <c r="BM105" s="12">
        <v>43312</v>
      </c>
      <c r="BN105">
        <v>15.613</v>
      </c>
      <c r="BO105" s="12">
        <v>43312</v>
      </c>
      <c r="BP105">
        <v>12.526999999999999</v>
      </c>
      <c r="BQ105" s="12">
        <v>43312</v>
      </c>
      <c r="BR105">
        <v>6.8529999999999998</v>
      </c>
      <c r="BS105" s="12">
        <v>43312</v>
      </c>
      <c r="BT105">
        <v>7.7309999999999999</v>
      </c>
      <c r="BW105" s="12">
        <v>43312</v>
      </c>
      <c r="BX105">
        <v>10.965999999999999</v>
      </c>
      <c r="BY105" s="12">
        <v>43312</v>
      </c>
      <c r="BZ105">
        <v>21.4</v>
      </c>
      <c r="CA105" s="12">
        <v>43312</v>
      </c>
      <c r="CB105">
        <v>18.89</v>
      </c>
      <c r="CG105" s="12">
        <v>43312</v>
      </c>
      <c r="CH105">
        <v>36.081000000000003</v>
      </c>
      <c r="CI105" s="12">
        <v>43312</v>
      </c>
      <c r="CJ105">
        <v>38.008000000000003</v>
      </c>
      <c r="CK105" s="12">
        <v>43312</v>
      </c>
      <c r="CL105">
        <v>8.56</v>
      </c>
      <c r="CQ105" s="12">
        <v>43312</v>
      </c>
      <c r="CR105">
        <v>10.391</v>
      </c>
      <c r="CS105" s="12">
        <v>43312</v>
      </c>
      <c r="CT105">
        <v>26.241</v>
      </c>
      <c r="CU105" s="12">
        <v>43312</v>
      </c>
      <c r="CV105">
        <v>5.8140000000000001</v>
      </c>
      <c r="CW105" s="12">
        <v>43312</v>
      </c>
      <c r="CX105">
        <v>9.2880000000000003</v>
      </c>
      <c r="CY105" s="12">
        <v>43404</v>
      </c>
      <c r="CZ105">
        <v>9.1059999999999999</v>
      </c>
      <c r="DA105" s="12">
        <v>43312</v>
      </c>
      <c r="DB105">
        <v>26.460999999999999</v>
      </c>
      <c r="DC105" s="12">
        <v>43312</v>
      </c>
      <c r="DD105">
        <v>16.815000000000001</v>
      </c>
      <c r="DE105" s="12">
        <v>43312</v>
      </c>
      <c r="DF105">
        <v>18.486999999999998</v>
      </c>
      <c r="DK105" s="12">
        <v>43312</v>
      </c>
      <c r="DL105">
        <v>19.231000000000002</v>
      </c>
      <c r="DM105" s="12">
        <v>43738</v>
      </c>
      <c r="DN105">
        <v>9.8130000000000006</v>
      </c>
      <c r="DO105" s="12">
        <v>43312</v>
      </c>
      <c r="DP105">
        <v>12.553000000000001</v>
      </c>
      <c r="DQ105" s="12">
        <v>43312</v>
      </c>
      <c r="DR105">
        <v>12.5</v>
      </c>
      <c r="DS105" s="12">
        <v>43343</v>
      </c>
      <c r="DT105">
        <v>29.190999999999999</v>
      </c>
      <c r="DU105" s="12">
        <v>43312</v>
      </c>
      <c r="DV105">
        <v>12.108000000000001</v>
      </c>
      <c r="DW105" s="12">
        <v>43312</v>
      </c>
      <c r="DX105">
        <v>3.641</v>
      </c>
      <c r="DY105" s="12">
        <v>43312</v>
      </c>
      <c r="DZ105">
        <v>14.089</v>
      </c>
      <c r="EC105" s="12">
        <v>43312</v>
      </c>
      <c r="ED105">
        <v>68.953999999999994</v>
      </c>
      <c r="EE105" s="12">
        <v>43312</v>
      </c>
      <c r="EF105">
        <v>25.247</v>
      </c>
      <c r="EI105" s="12">
        <v>43312</v>
      </c>
      <c r="EJ105">
        <v>11.616</v>
      </c>
      <c r="EK105" s="12">
        <v>43312</v>
      </c>
      <c r="EL105">
        <v>11.859</v>
      </c>
      <c r="EM105" s="12">
        <v>43312</v>
      </c>
      <c r="EN105">
        <v>16.041</v>
      </c>
      <c r="EQ105" s="12">
        <v>43312</v>
      </c>
      <c r="ER105">
        <v>7.343</v>
      </c>
      <c r="ES105" s="12">
        <v>43312</v>
      </c>
      <c r="ET105">
        <v>13.81</v>
      </c>
      <c r="EU105" s="12">
        <v>43312</v>
      </c>
      <c r="EV105">
        <v>7.2620000000000005</v>
      </c>
      <c r="EY105" s="12">
        <v>43312</v>
      </c>
      <c r="EZ105">
        <v>14.122999999999999</v>
      </c>
      <c r="FA105" s="12">
        <v>43312</v>
      </c>
      <c r="FB105">
        <v>26.047999999999998</v>
      </c>
      <c r="FC105" s="12">
        <v>43312</v>
      </c>
      <c r="FD105">
        <v>32.793999999999997</v>
      </c>
      <c r="FG105" s="12">
        <v>43312</v>
      </c>
      <c r="FH105">
        <v>8.9529999999999994</v>
      </c>
      <c r="FI105" s="12">
        <v>43312</v>
      </c>
      <c r="FJ105">
        <v>23.033000000000001</v>
      </c>
      <c r="FK105" s="12">
        <v>43312</v>
      </c>
      <c r="FL105">
        <v>26.364000000000001</v>
      </c>
      <c r="FM105" s="12">
        <v>43312</v>
      </c>
      <c r="FN105">
        <v>8.8149999999999995</v>
      </c>
      <c r="FO105" s="12">
        <v>43312</v>
      </c>
      <c r="FP105">
        <v>10.182</v>
      </c>
      <c r="FS105" s="12">
        <v>43312</v>
      </c>
      <c r="FT105">
        <v>2.9809999999999999</v>
      </c>
      <c r="FU105" s="12">
        <v>43312</v>
      </c>
      <c r="FV105">
        <v>13.452999999999999</v>
      </c>
      <c r="FW105" s="12">
        <v>43312</v>
      </c>
      <c r="FX105">
        <v>17.878</v>
      </c>
      <c r="GA105" s="12">
        <v>43312</v>
      </c>
      <c r="GB105">
        <v>24.574999999999999</v>
      </c>
      <c r="GC105" s="12">
        <v>43312</v>
      </c>
      <c r="GD105">
        <v>12.961</v>
      </c>
      <c r="GI105" s="12">
        <v>43312</v>
      </c>
      <c r="GJ105">
        <v>27.515999999999998</v>
      </c>
      <c r="GK105" s="12">
        <v>43312</v>
      </c>
      <c r="GL105">
        <v>68.55</v>
      </c>
      <c r="GM105" s="12">
        <v>43312</v>
      </c>
      <c r="GN105">
        <v>37.750999999999998</v>
      </c>
      <c r="GO105" s="12">
        <v>43798</v>
      </c>
      <c r="GP105">
        <v>44.996000000000002</v>
      </c>
      <c r="GQ105" s="12">
        <v>43434</v>
      </c>
      <c r="GR105">
        <v>3.31</v>
      </c>
      <c r="GS105" s="12">
        <v>43312</v>
      </c>
      <c r="GT105">
        <v>2.4</v>
      </c>
      <c r="GW105" s="12">
        <v>43371</v>
      </c>
      <c r="GX105">
        <v>24.006</v>
      </c>
      <c r="GY105" s="12">
        <v>43312</v>
      </c>
      <c r="GZ105">
        <v>8.1999999999999993</v>
      </c>
      <c r="HA105" s="12">
        <v>43312</v>
      </c>
      <c r="HB105">
        <v>10.962999999999999</v>
      </c>
      <c r="HC105" s="12">
        <v>43312</v>
      </c>
      <c r="HD105">
        <v>19.52</v>
      </c>
      <c r="HE105" s="12">
        <v>43312</v>
      </c>
      <c r="HF105">
        <v>21.398</v>
      </c>
      <c r="HG105" s="12">
        <v>43312</v>
      </c>
      <c r="HH105">
        <v>14.372999999999999</v>
      </c>
      <c r="HI105" s="12">
        <v>43312</v>
      </c>
      <c r="HJ105">
        <v>12.760999999999999</v>
      </c>
      <c r="HK105" s="12">
        <v>43312</v>
      </c>
      <c r="HL105">
        <v>2.96</v>
      </c>
      <c r="HM105" s="12">
        <v>43312</v>
      </c>
      <c r="HN105">
        <v>2.2090000000000001</v>
      </c>
      <c r="HO105" s="12">
        <v>43312</v>
      </c>
      <c r="HP105">
        <v>2.1019999999999999</v>
      </c>
      <c r="HQ105" s="12">
        <v>43404</v>
      </c>
      <c r="HR105">
        <v>5.03</v>
      </c>
      <c r="HS105" s="12">
        <v>43312</v>
      </c>
      <c r="HT105">
        <v>81.652000000000001</v>
      </c>
      <c r="HU105" s="12">
        <v>43312</v>
      </c>
      <c r="HV105">
        <v>8.8000000000000007</v>
      </c>
      <c r="HW105" s="12">
        <v>43312</v>
      </c>
      <c r="HX105">
        <v>21.402999999999999</v>
      </c>
      <c r="HY105" s="12">
        <v>43312</v>
      </c>
      <c r="HZ105">
        <v>18.332000000000001</v>
      </c>
      <c r="IA105" s="12">
        <v>43312</v>
      </c>
      <c r="IB105">
        <v>21.42</v>
      </c>
      <c r="IC105" s="12">
        <v>43312</v>
      </c>
      <c r="ID105">
        <v>3.56</v>
      </c>
      <c r="IE105" s="12">
        <v>43312</v>
      </c>
      <c r="IF105">
        <v>2.7199999999999998</v>
      </c>
      <c r="IG105" s="12">
        <v>43616</v>
      </c>
      <c r="IH105">
        <v>17.37</v>
      </c>
      <c r="IM105" s="12">
        <v>43312</v>
      </c>
      <c r="IN105">
        <v>45.204000000000001</v>
      </c>
      <c r="IQ105" s="12">
        <v>43312</v>
      </c>
      <c r="IR105">
        <v>73.272999999999996</v>
      </c>
      <c r="IU105" s="12">
        <v>43312</v>
      </c>
      <c r="IV105">
        <v>6.5880000000000001</v>
      </c>
      <c r="IY105" s="12">
        <v>43312</v>
      </c>
      <c r="IZ105">
        <v>22.21</v>
      </c>
      <c r="JC105" s="12">
        <v>43312</v>
      </c>
      <c r="JD105">
        <v>4.7</v>
      </c>
      <c r="JE105" s="12">
        <v>43312</v>
      </c>
      <c r="JF105">
        <v>4.08</v>
      </c>
      <c r="JI105" s="12">
        <v>43312</v>
      </c>
      <c r="JJ105">
        <v>32.985999999999997</v>
      </c>
      <c r="JM105" s="12">
        <v>43312</v>
      </c>
      <c r="JN105">
        <v>2.5380000000000003</v>
      </c>
      <c r="JO105" s="12">
        <v>43312</v>
      </c>
      <c r="JP105">
        <v>23.593</v>
      </c>
      <c r="JS105" s="12">
        <v>43312</v>
      </c>
      <c r="JT105">
        <v>24.847999999999999</v>
      </c>
      <c r="JW105" s="12">
        <v>43312</v>
      </c>
      <c r="JX105">
        <v>18.896999999999998</v>
      </c>
      <c r="JY105" s="12">
        <v>43312</v>
      </c>
      <c r="JZ105">
        <v>21.266999999999999</v>
      </c>
      <c r="KE105" s="12">
        <v>43312</v>
      </c>
      <c r="KF105">
        <v>17.439</v>
      </c>
      <c r="KI105" s="12">
        <v>43312</v>
      </c>
      <c r="KJ105">
        <v>1.31</v>
      </c>
      <c r="KQ105" s="12">
        <v>43312</v>
      </c>
      <c r="KR105">
        <v>9.8800000000000008</v>
      </c>
      <c r="KS105" s="12">
        <v>43312</v>
      </c>
      <c r="KT105">
        <v>8.8369999999999997</v>
      </c>
      <c r="KU105" s="12">
        <v>43312</v>
      </c>
      <c r="KV105">
        <v>11.849</v>
      </c>
      <c r="LC105" s="12">
        <v>43312</v>
      </c>
      <c r="LD105">
        <v>9.6370000000000005</v>
      </c>
      <c r="LE105" s="12">
        <v>43312</v>
      </c>
      <c r="LF105">
        <v>12.816000000000001</v>
      </c>
      <c r="LG105" s="12">
        <v>43312</v>
      </c>
      <c r="LH105">
        <v>18.425000000000001</v>
      </c>
      <c r="LI105" s="12">
        <v>43312</v>
      </c>
      <c r="LJ105">
        <v>19.324999999999999</v>
      </c>
      <c r="LM105" s="12">
        <v>43312</v>
      </c>
      <c r="LN105">
        <v>11.93</v>
      </c>
      <c r="LO105" s="12">
        <v>43312</v>
      </c>
      <c r="LP105">
        <v>8.641</v>
      </c>
      <c r="LQ105" s="12">
        <v>43312</v>
      </c>
      <c r="LR105">
        <v>51.932000000000002</v>
      </c>
      <c r="LW105" s="12">
        <v>43312</v>
      </c>
      <c r="LX105">
        <v>2.4779999999999998</v>
      </c>
      <c r="LY105" s="12">
        <v>43312</v>
      </c>
      <c r="LZ105">
        <v>35.685000000000002</v>
      </c>
      <c r="MA105" s="12">
        <v>43312</v>
      </c>
      <c r="MB105">
        <v>16.481000000000002</v>
      </c>
      <c r="ME105" s="12">
        <v>43343</v>
      </c>
      <c r="MF105">
        <v>5.7</v>
      </c>
      <c r="MG105" s="12">
        <v>43312</v>
      </c>
      <c r="MH105">
        <v>18.056000000000001</v>
      </c>
      <c r="MK105" s="12">
        <v>43312</v>
      </c>
      <c r="ML105">
        <v>23.558</v>
      </c>
    </row>
    <row r="106" spans="1:350" x14ac:dyDescent="0.3">
      <c r="A106" s="12">
        <v>43343</v>
      </c>
      <c r="B106" s="1">
        <v>17.997</v>
      </c>
      <c r="C106" s="1"/>
      <c r="G106" s="17">
        <v>43343</v>
      </c>
      <c r="H106" s="13">
        <v>9.6649999999999991</v>
      </c>
      <c r="I106" s="17">
        <v>43371</v>
      </c>
      <c r="J106">
        <v>14.603</v>
      </c>
      <c r="N106" s="12"/>
      <c r="U106" s="12">
        <v>43769</v>
      </c>
      <c r="V106">
        <v>58.847999999999999</v>
      </c>
      <c r="Y106" s="12">
        <v>43343</v>
      </c>
      <c r="Z106">
        <v>20.478999999999999</v>
      </c>
      <c r="AA106" s="12">
        <v>43343</v>
      </c>
      <c r="AB106">
        <v>27.751000000000001</v>
      </c>
      <c r="AC106" s="12">
        <v>43343</v>
      </c>
      <c r="AD106">
        <v>17.492999999999999</v>
      </c>
      <c r="AE106" s="12">
        <v>43343</v>
      </c>
      <c r="AF106">
        <v>19.759</v>
      </c>
      <c r="AG106" s="12">
        <v>43343</v>
      </c>
      <c r="AH106">
        <v>3.4</v>
      </c>
      <c r="AK106" s="12">
        <v>43343</v>
      </c>
      <c r="AL106">
        <v>5.82</v>
      </c>
      <c r="AS106" s="12">
        <v>43343</v>
      </c>
      <c r="AT106">
        <v>1.6099999999999999</v>
      </c>
      <c r="AU106" s="12">
        <v>43343</v>
      </c>
      <c r="AV106">
        <v>29.263000000000002</v>
      </c>
      <c r="AY106" s="12">
        <v>43343</v>
      </c>
      <c r="AZ106">
        <v>20.13</v>
      </c>
      <c r="BA106" s="12">
        <v>43343</v>
      </c>
      <c r="BB106">
        <v>57.588000000000001</v>
      </c>
      <c r="BC106" s="12">
        <v>43343</v>
      </c>
      <c r="BD106">
        <v>8.4960000000000004</v>
      </c>
      <c r="BE106" s="12">
        <v>43434</v>
      </c>
      <c r="BF106">
        <v>7.6139999999999999</v>
      </c>
      <c r="BG106" s="12">
        <v>43343</v>
      </c>
      <c r="BH106">
        <v>12.867000000000001</v>
      </c>
      <c r="BI106" s="12">
        <v>43343</v>
      </c>
      <c r="BJ106">
        <v>26.114000000000001</v>
      </c>
      <c r="BK106" s="12">
        <v>43343</v>
      </c>
      <c r="BL106">
        <v>8.3719999999999999</v>
      </c>
      <c r="BM106" s="12">
        <v>43343</v>
      </c>
      <c r="BN106">
        <v>14.975999999999999</v>
      </c>
      <c r="BO106" s="12">
        <v>43343</v>
      </c>
      <c r="BP106">
        <v>13.182</v>
      </c>
      <c r="BQ106" s="12">
        <v>43343</v>
      </c>
      <c r="BR106">
        <v>6.6539999999999999</v>
      </c>
      <c r="BS106" s="12">
        <v>43343</v>
      </c>
      <c r="BT106">
        <v>7.008</v>
      </c>
      <c r="BW106" s="12">
        <v>43343</v>
      </c>
      <c r="BX106">
        <v>10.026999999999999</v>
      </c>
      <c r="BY106" s="12">
        <v>43343</v>
      </c>
      <c r="BZ106">
        <v>21.744</v>
      </c>
      <c r="CA106" s="12">
        <v>43343</v>
      </c>
      <c r="CB106">
        <v>18.789000000000001</v>
      </c>
      <c r="CG106" s="12">
        <v>43343</v>
      </c>
      <c r="CH106">
        <v>34.055999999999997</v>
      </c>
      <c r="CI106" s="12">
        <v>43343</v>
      </c>
      <c r="CJ106">
        <v>39.128999999999998</v>
      </c>
      <c r="CK106" s="12">
        <v>43343</v>
      </c>
      <c r="CL106">
        <v>8.1869999999999994</v>
      </c>
      <c r="CQ106" s="12">
        <v>43343</v>
      </c>
      <c r="CR106">
        <v>9.7989999999999995</v>
      </c>
      <c r="CS106" s="12">
        <v>43343</v>
      </c>
      <c r="CT106">
        <v>26.538</v>
      </c>
      <c r="CU106" s="12">
        <v>43343</v>
      </c>
      <c r="CV106">
        <v>5.6710000000000003</v>
      </c>
      <c r="CW106" s="12">
        <v>43343</v>
      </c>
      <c r="CX106">
        <v>8.8130000000000006</v>
      </c>
      <c r="CY106" s="12">
        <v>43434</v>
      </c>
      <c r="CZ106">
        <v>9.3000000000000007</v>
      </c>
      <c r="DA106" s="12">
        <v>43343</v>
      </c>
      <c r="DB106">
        <v>27.402000000000001</v>
      </c>
      <c r="DC106" s="12">
        <v>43343</v>
      </c>
      <c r="DD106">
        <v>15.403</v>
      </c>
      <c r="DE106" s="12">
        <v>43343</v>
      </c>
      <c r="DF106">
        <v>17.356000000000002</v>
      </c>
      <c r="DK106" s="12">
        <v>43343</v>
      </c>
      <c r="DL106">
        <v>19.581</v>
      </c>
      <c r="DM106" s="12">
        <v>43769</v>
      </c>
      <c r="DN106">
        <v>11.644</v>
      </c>
      <c r="DO106" s="12">
        <v>43343</v>
      </c>
      <c r="DP106">
        <v>12.332000000000001</v>
      </c>
      <c r="DQ106" s="12">
        <v>43343</v>
      </c>
      <c r="DR106">
        <v>12.93</v>
      </c>
      <c r="DS106" s="12">
        <v>43371</v>
      </c>
      <c r="DT106">
        <v>29.760999999999999</v>
      </c>
      <c r="DU106" s="12">
        <v>43343</v>
      </c>
      <c r="DV106">
        <v>11.268000000000001</v>
      </c>
      <c r="DW106" s="12">
        <v>43343</v>
      </c>
      <c r="DX106">
        <v>3.3970000000000002</v>
      </c>
      <c r="DY106" s="12">
        <v>43343</v>
      </c>
      <c r="DZ106">
        <v>13.055999999999999</v>
      </c>
      <c r="EC106" s="12">
        <v>43343</v>
      </c>
      <c r="ED106">
        <v>73.781000000000006</v>
      </c>
      <c r="EE106" s="12">
        <v>43343</v>
      </c>
      <c r="EF106">
        <v>23.856999999999999</v>
      </c>
      <c r="EI106" s="12">
        <v>43343</v>
      </c>
      <c r="EJ106">
        <v>10.723000000000001</v>
      </c>
      <c r="EK106" s="12">
        <v>43343</v>
      </c>
      <c r="EL106">
        <v>12.266999999999999</v>
      </c>
      <c r="EM106" s="12">
        <v>43343</v>
      </c>
      <c r="EN106">
        <v>15.563000000000001</v>
      </c>
      <c r="EQ106" s="12">
        <v>43343</v>
      </c>
      <c r="ER106">
        <v>7.5739999999999998</v>
      </c>
      <c r="ES106" s="12">
        <v>43343</v>
      </c>
      <c r="ET106">
        <v>11.21</v>
      </c>
      <c r="EU106" s="12">
        <v>43343</v>
      </c>
      <c r="EV106">
        <v>6.7059999999999995</v>
      </c>
      <c r="EY106" s="12">
        <v>43343</v>
      </c>
      <c r="EZ106">
        <v>15.712</v>
      </c>
      <c r="FA106" s="12">
        <v>43343</v>
      </c>
      <c r="FB106">
        <v>25.72</v>
      </c>
      <c r="FC106" s="12">
        <v>43343</v>
      </c>
      <c r="FD106">
        <v>29.852</v>
      </c>
      <c r="FG106" s="12">
        <v>43343</v>
      </c>
      <c r="FH106">
        <v>8.4160000000000004</v>
      </c>
      <c r="FI106" s="12">
        <v>43343</v>
      </c>
      <c r="FJ106">
        <v>21.969000000000001</v>
      </c>
      <c r="FK106" s="12">
        <v>43343</v>
      </c>
      <c r="FL106">
        <v>25.210999999999999</v>
      </c>
      <c r="FM106" s="12">
        <v>43343</v>
      </c>
      <c r="FN106">
        <v>9.1869999999999994</v>
      </c>
      <c r="FO106" s="12">
        <v>43343</v>
      </c>
      <c r="FP106">
        <v>9.39</v>
      </c>
      <c r="FS106" s="12">
        <v>43343</v>
      </c>
      <c r="FT106">
        <v>2.948</v>
      </c>
      <c r="FU106" s="12">
        <v>43343</v>
      </c>
      <c r="FV106">
        <v>11.135999999999999</v>
      </c>
      <c r="FW106" s="12">
        <v>43343</v>
      </c>
      <c r="FX106">
        <v>15.375</v>
      </c>
      <c r="GA106" s="12">
        <v>43343</v>
      </c>
      <c r="GB106">
        <v>22.547000000000001</v>
      </c>
      <c r="GC106" s="12">
        <v>43343</v>
      </c>
      <c r="GD106">
        <v>13.753</v>
      </c>
      <c r="GI106" s="12">
        <v>43343</v>
      </c>
      <c r="GJ106">
        <v>25.199000000000002</v>
      </c>
      <c r="GK106" s="12">
        <v>43343</v>
      </c>
      <c r="GL106">
        <v>71</v>
      </c>
      <c r="GM106" s="12">
        <v>43343</v>
      </c>
      <c r="GN106">
        <v>41.628</v>
      </c>
      <c r="GO106" s="12">
        <v>43830</v>
      </c>
      <c r="GP106">
        <v>47.664000000000001</v>
      </c>
      <c r="GQ106" s="12">
        <v>43465</v>
      </c>
      <c r="GR106">
        <v>4.28</v>
      </c>
      <c r="GS106" s="12">
        <v>43343</v>
      </c>
      <c r="GT106">
        <v>2.2999999999999998</v>
      </c>
      <c r="GW106" s="12">
        <v>43404</v>
      </c>
      <c r="GX106">
        <v>24.863</v>
      </c>
      <c r="GY106" s="12">
        <v>43343</v>
      </c>
      <c r="GZ106">
        <v>5.72</v>
      </c>
      <c r="HA106" s="12">
        <v>43343</v>
      </c>
      <c r="HB106">
        <v>10.788</v>
      </c>
      <c r="HC106" s="12">
        <v>43343</v>
      </c>
      <c r="HD106">
        <v>18.11</v>
      </c>
      <c r="HE106" s="12">
        <v>43343</v>
      </c>
      <c r="HF106">
        <v>20.887</v>
      </c>
      <c r="HG106" s="12">
        <v>43343</v>
      </c>
      <c r="HH106">
        <v>14.324</v>
      </c>
      <c r="HI106" s="12">
        <v>43343</v>
      </c>
      <c r="HJ106">
        <v>12.541</v>
      </c>
      <c r="HK106" s="12">
        <v>43343</v>
      </c>
      <c r="HL106">
        <v>2.67</v>
      </c>
      <c r="HM106" s="12">
        <v>43343</v>
      </c>
      <c r="HN106">
        <v>2.0670000000000002</v>
      </c>
      <c r="HO106" s="12">
        <v>43343</v>
      </c>
      <c r="HP106">
        <v>1.9569999999999999</v>
      </c>
      <c r="HQ106" s="12">
        <v>43434</v>
      </c>
      <c r="HR106">
        <v>4.2</v>
      </c>
      <c r="HS106" s="12">
        <v>43343</v>
      </c>
      <c r="HT106">
        <v>80.197999999999993</v>
      </c>
      <c r="HU106" s="12">
        <v>43343</v>
      </c>
      <c r="HV106">
        <v>5.9</v>
      </c>
      <c r="HW106" s="12">
        <v>43343</v>
      </c>
      <c r="HX106">
        <v>21.588000000000001</v>
      </c>
      <c r="HY106" s="12">
        <v>43343</v>
      </c>
      <c r="HZ106">
        <v>17.949000000000002</v>
      </c>
      <c r="IA106" s="12">
        <v>43343</v>
      </c>
      <c r="IB106">
        <v>20.059999999999999</v>
      </c>
      <c r="IC106" s="12">
        <v>43343</v>
      </c>
      <c r="ID106">
        <v>3.5510000000000002</v>
      </c>
      <c r="IE106" s="12">
        <v>43343</v>
      </c>
      <c r="IF106">
        <v>2.1800000000000002</v>
      </c>
      <c r="IG106" s="12">
        <v>43644</v>
      </c>
      <c r="IH106">
        <v>15.77</v>
      </c>
      <c r="IM106" s="12">
        <v>43343</v>
      </c>
      <c r="IN106">
        <v>50.015999999999998</v>
      </c>
      <c r="IQ106" s="12">
        <v>43343</v>
      </c>
      <c r="IR106">
        <v>75.873999999999995</v>
      </c>
      <c r="IU106" s="12">
        <v>43343</v>
      </c>
      <c r="IV106">
        <v>6.3609</v>
      </c>
      <c r="IY106" s="12">
        <v>43343</v>
      </c>
      <c r="IZ106">
        <v>20.134</v>
      </c>
      <c r="JC106" s="12">
        <v>43343</v>
      </c>
      <c r="JD106">
        <v>4.4000000000000004</v>
      </c>
      <c r="JE106" s="12">
        <v>43343</v>
      </c>
      <c r="JF106">
        <v>4.05</v>
      </c>
      <c r="JI106" s="12">
        <v>43343</v>
      </c>
      <c r="JJ106">
        <v>31.286000000000001</v>
      </c>
      <c r="JM106" s="12">
        <v>43343</v>
      </c>
      <c r="JN106">
        <v>2.6</v>
      </c>
      <c r="JO106" s="12">
        <v>43343</v>
      </c>
      <c r="JP106">
        <v>23.027000000000001</v>
      </c>
      <c r="JS106" s="12">
        <v>43343</v>
      </c>
      <c r="JT106">
        <v>31.001000000000001</v>
      </c>
      <c r="JW106" s="12">
        <v>43343</v>
      </c>
      <c r="JX106">
        <v>18.364000000000001</v>
      </c>
      <c r="JY106" s="12">
        <v>43343</v>
      </c>
      <c r="JZ106">
        <v>22.135000000000002</v>
      </c>
      <c r="KE106" s="12">
        <v>43343</v>
      </c>
      <c r="KF106">
        <v>17.760999999999999</v>
      </c>
      <c r="KI106" s="12">
        <v>43343</v>
      </c>
      <c r="KJ106">
        <v>0.99</v>
      </c>
      <c r="KQ106" s="12">
        <v>43343</v>
      </c>
      <c r="KR106">
        <v>10.199999999999999</v>
      </c>
      <c r="KS106" s="12">
        <v>43343</v>
      </c>
      <c r="KT106">
        <v>8.6560000000000006</v>
      </c>
      <c r="KU106" s="12">
        <v>43343</v>
      </c>
      <c r="KV106">
        <v>11.744</v>
      </c>
      <c r="LC106" s="12">
        <v>43343</v>
      </c>
      <c r="LD106">
        <v>8.7740000000000009</v>
      </c>
      <c r="LE106" s="12">
        <v>43343</v>
      </c>
      <c r="LF106">
        <v>11.961</v>
      </c>
      <c r="LG106" s="12">
        <v>43343</v>
      </c>
      <c r="LH106">
        <v>22.071999999999999</v>
      </c>
      <c r="LI106" s="12">
        <v>43343</v>
      </c>
      <c r="LJ106">
        <v>19.826999999999998</v>
      </c>
      <c r="LM106" s="12">
        <v>43343</v>
      </c>
      <c r="LN106">
        <v>11.157</v>
      </c>
      <c r="LO106" s="12">
        <v>43343</v>
      </c>
      <c r="LP106">
        <v>7.8620000000000001</v>
      </c>
      <c r="LQ106" s="12">
        <v>43343</v>
      </c>
      <c r="LR106">
        <v>52.235999999999997</v>
      </c>
      <c r="LW106" s="12">
        <v>43343</v>
      </c>
      <c r="LX106">
        <v>1.9060000000000001</v>
      </c>
      <c r="LY106" s="12">
        <v>43343</v>
      </c>
      <c r="LZ106">
        <v>34.780999999999999</v>
      </c>
      <c r="MA106" s="12">
        <v>43343</v>
      </c>
      <c r="MB106">
        <v>13.394</v>
      </c>
      <c r="ME106" s="12">
        <v>43371</v>
      </c>
      <c r="MF106">
        <v>5.0599999999999996</v>
      </c>
      <c r="MG106" s="12">
        <v>43343</v>
      </c>
      <c r="MH106">
        <v>18.670000000000002</v>
      </c>
      <c r="MK106" s="12">
        <v>43343</v>
      </c>
      <c r="ML106">
        <v>20.463000000000001</v>
      </c>
    </row>
    <row r="107" spans="1:350" x14ac:dyDescent="0.3">
      <c r="A107" s="12">
        <v>43371</v>
      </c>
      <c r="B107" s="1">
        <v>17.510999999999999</v>
      </c>
      <c r="C107" s="1"/>
      <c r="G107" s="17">
        <v>43371</v>
      </c>
      <c r="H107" s="13">
        <v>9.7850000000000001</v>
      </c>
      <c r="I107" s="17">
        <v>43404</v>
      </c>
      <c r="J107">
        <v>17.276</v>
      </c>
      <c r="N107" s="12"/>
      <c r="U107" s="12">
        <v>43798</v>
      </c>
      <c r="V107">
        <v>62.234000000000002</v>
      </c>
      <c r="Y107" s="12">
        <v>43371</v>
      </c>
      <c r="Z107">
        <v>22.192</v>
      </c>
      <c r="AA107" s="12">
        <v>43371</v>
      </c>
      <c r="AB107">
        <v>27.236000000000001</v>
      </c>
      <c r="AC107" s="12">
        <v>43371</v>
      </c>
      <c r="AD107">
        <v>17.951000000000001</v>
      </c>
      <c r="AE107" s="12">
        <v>43371</v>
      </c>
      <c r="AF107">
        <v>19.974</v>
      </c>
      <c r="AG107" s="12">
        <v>43371</v>
      </c>
      <c r="AH107">
        <v>3.75</v>
      </c>
      <c r="AK107" s="12">
        <v>43371</v>
      </c>
      <c r="AL107">
        <v>5.01</v>
      </c>
      <c r="AS107" s="12">
        <v>43371</v>
      </c>
      <c r="AT107">
        <v>1.58</v>
      </c>
      <c r="AU107" s="12">
        <v>43371</v>
      </c>
      <c r="AV107">
        <v>34.914000000000001</v>
      </c>
      <c r="AY107" s="12">
        <v>43371</v>
      </c>
      <c r="AZ107">
        <v>21.97</v>
      </c>
      <c r="BA107" s="12">
        <v>43371</v>
      </c>
      <c r="BB107">
        <v>56.838999999999999</v>
      </c>
      <c r="BC107" s="12">
        <v>43371</v>
      </c>
      <c r="BD107">
        <v>8.9320000000000004</v>
      </c>
      <c r="BE107" s="12">
        <v>43465</v>
      </c>
      <c r="BF107">
        <v>8.1189999999999998</v>
      </c>
      <c r="BG107" s="12">
        <v>43371</v>
      </c>
      <c r="BH107">
        <v>13.157</v>
      </c>
      <c r="BI107" s="12">
        <v>43371</v>
      </c>
      <c r="BJ107">
        <v>27.379000000000001</v>
      </c>
      <c r="BK107" s="12">
        <v>43371</v>
      </c>
      <c r="BL107">
        <v>7.5670000000000002</v>
      </c>
      <c r="BM107" s="12">
        <v>43371</v>
      </c>
      <c r="BN107">
        <v>13.317</v>
      </c>
      <c r="BO107" s="12">
        <v>43371</v>
      </c>
      <c r="BP107">
        <v>11.161</v>
      </c>
      <c r="BQ107" s="12">
        <v>43371</v>
      </c>
      <c r="BR107">
        <v>6.2089999999999996</v>
      </c>
      <c r="BS107" s="12">
        <v>43371</v>
      </c>
      <c r="BT107">
        <v>6.726</v>
      </c>
      <c r="BW107" s="12">
        <v>43371</v>
      </c>
      <c r="BX107">
        <v>11.183999999999999</v>
      </c>
      <c r="BY107" s="12">
        <v>43371</v>
      </c>
      <c r="BZ107">
        <v>23.486000000000001</v>
      </c>
      <c r="CA107" s="12">
        <v>43371</v>
      </c>
      <c r="CB107">
        <v>19.728999999999999</v>
      </c>
      <c r="CG107" s="12">
        <v>43371</v>
      </c>
      <c r="CH107">
        <v>31.716999999999999</v>
      </c>
      <c r="CI107" s="12">
        <v>43371</v>
      </c>
      <c r="CJ107">
        <v>36.78</v>
      </c>
      <c r="CK107" s="12">
        <v>43371</v>
      </c>
      <c r="CL107">
        <v>8.7089999999999996</v>
      </c>
      <c r="CQ107" s="12">
        <v>43371</v>
      </c>
      <c r="CR107">
        <v>9.6289999999999996</v>
      </c>
      <c r="CS107" s="12">
        <v>43371</v>
      </c>
      <c r="CT107">
        <v>25.745999999999999</v>
      </c>
      <c r="CU107" s="12">
        <v>43371</v>
      </c>
      <c r="CV107">
        <v>5.7389999999999999</v>
      </c>
      <c r="CW107" s="12">
        <v>43371</v>
      </c>
      <c r="CX107">
        <v>8.2379999999999995</v>
      </c>
      <c r="CY107" s="12">
        <v>43465</v>
      </c>
      <c r="CZ107">
        <v>9.3800000000000008</v>
      </c>
      <c r="DA107" s="12">
        <v>43371</v>
      </c>
      <c r="DB107">
        <v>26.347000000000001</v>
      </c>
      <c r="DC107" s="12">
        <v>43371</v>
      </c>
      <c r="DD107">
        <v>15.101000000000001</v>
      </c>
      <c r="DE107" s="12">
        <v>43371</v>
      </c>
      <c r="DF107">
        <v>17.855</v>
      </c>
      <c r="DK107" s="12">
        <v>43371</v>
      </c>
      <c r="DL107">
        <v>19.821000000000002</v>
      </c>
      <c r="DM107" s="12">
        <v>43798</v>
      </c>
      <c r="DN107">
        <v>12.202</v>
      </c>
      <c r="DO107" s="12">
        <v>43371</v>
      </c>
      <c r="DP107">
        <v>11.762</v>
      </c>
      <c r="DQ107" s="12">
        <v>43371</v>
      </c>
      <c r="DR107">
        <v>13.25</v>
      </c>
      <c r="DS107" s="12">
        <v>43404</v>
      </c>
      <c r="DT107">
        <v>33.347999999999999</v>
      </c>
      <c r="DU107" s="12">
        <v>43371</v>
      </c>
      <c r="DV107">
        <v>11.359</v>
      </c>
      <c r="DW107" s="12">
        <v>43371</v>
      </c>
      <c r="DX107">
        <v>2.9859999999999998</v>
      </c>
      <c r="DY107" s="12">
        <v>43371</v>
      </c>
      <c r="DZ107">
        <v>13.666</v>
      </c>
      <c r="EC107" s="12">
        <v>43371</v>
      </c>
      <c r="ED107">
        <v>70.37</v>
      </c>
      <c r="EE107" s="12">
        <v>43371</v>
      </c>
      <c r="EF107">
        <v>19.773</v>
      </c>
      <c r="EI107" s="12">
        <v>43371</v>
      </c>
      <c r="EJ107">
        <v>10.628</v>
      </c>
      <c r="EK107" s="12">
        <v>43371</v>
      </c>
      <c r="EL107">
        <v>12.874000000000001</v>
      </c>
      <c r="EM107" s="12">
        <v>43371</v>
      </c>
      <c r="EN107">
        <v>16.678000000000001</v>
      </c>
      <c r="EQ107" s="12">
        <v>43371</v>
      </c>
      <c r="ER107">
        <v>7.6890000000000001</v>
      </c>
      <c r="ES107" s="12">
        <v>43371</v>
      </c>
      <c r="ET107">
        <v>11.05</v>
      </c>
      <c r="EU107" s="12">
        <v>43371</v>
      </c>
      <c r="EV107">
        <v>6.3029999999999999</v>
      </c>
      <c r="EY107" s="12">
        <v>43371</v>
      </c>
      <c r="EZ107">
        <v>17.013999999999999</v>
      </c>
      <c r="FA107" s="12">
        <v>43371</v>
      </c>
      <c r="FB107">
        <v>26.771000000000001</v>
      </c>
      <c r="FC107" s="12">
        <v>43371</v>
      </c>
      <c r="FD107">
        <v>30.251000000000001</v>
      </c>
      <c r="FG107" s="12">
        <v>43371</v>
      </c>
      <c r="FH107">
        <v>8.8780000000000001</v>
      </c>
      <c r="FI107" s="12">
        <v>43371</v>
      </c>
      <c r="FJ107">
        <v>22.154</v>
      </c>
      <c r="FK107" s="12">
        <v>43371</v>
      </c>
      <c r="FL107">
        <v>26.33</v>
      </c>
      <c r="FM107" s="12">
        <v>43371</v>
      </c>
      <c r="FN107">
        <v>9.1669999999999998</v>
      </c>
      <c r="FO107" s="12">
        <v>43371</v>
      </c>
      <c r="FP107">
        <v>8.8030000000000008</v>
      </c>
      <c r="FS107" s="12">
        <v>43371</v>
      </c>
      <c r="FT107">
        <v>2.9119999999999999</v>
      </c>
      <c r="FU107" s="12">
        <v>43371</v>
      </c>
      <c r="FV107">
        <v>11.734999999999999</v>
      </c>
      <c r="FW107" s="12">
        <v>43371</v>
      </c>
      <c r="FX107">
        <v>15.641</v>
      </c>
      <c r="GA107" s="12">
        <v>43371</v>
      </c>
      <c r="GB107">
        <v>21.670999999999999</v>
      </c>
      <c r="GC107" s="12">
        <v>43371</v>
      </c>
      <c r="GD107">
        <v>12.653</v>
      </c>
      <c r="GI107" s="12">
        <v>43371</v>
      </c>
      <c r="GJ107">
        <v>27.693999999999999</v>
      </c>
      <c r="GK107" s="12">
        <v>43371</v>
      </c>
      <c r="GL107">
        <v>71</v>
      </c>
      <c r="GM107" s="12">
        <v>43371</v>
      </c>
      <c r="GN107">
        <v>38.755000000000003</v>
      </c>
      <c r="GQ107" s="12">
        <v>43496</v>
      </c>
      <c r="GR107">
        <v>5.5600000000000005</v>
      </c>
      <c r="GS107" s="12">
        <v>43371</v>
      </c>
      <c r="GT107">
        <v>2.21</v>
      </c>
      <c r="GW107" s="12">
        <v>43434</v>
      </c>
      <c r="GX107">
        <v>24.9</v>
      </c>
      <c r="GY107" s="12">
        <v>43371</v>
      </c>
      <c r="GZ107">
        <v>5.3</v>
      </c>
      <c r="HA107" s="12">
        <v>43371</v>
      </c>
      <c r="HB107">
        <v>10.199</v>
      </c>
      <c r="HC107" s="12">
        <v>43371</v>
      </c>
      <c r="HD107">
        <v>18.323</v>
      </c>
      <c r="HE107" s="12">
        <v>43371</v>
      </c>
      <c r="HF107">
        <v>17.934999999999999</v>
      </c>
      <c r="HG107" s="12">
        <v>43371</v>
      </c>
      <c r="HH107">
        <v>14.018000000000001</v>
      </c>
      <c r="HI107" s="12">
        <v>43371</v>
      </c>
      <c r="HJ107">
        <v>12.29</v>
      </c>
      <c r="HK107" s="12">
        <v>43371</v>
      </c>
      <c r="HL107">
        <v>2.62</v>
      </c>
      <c r="HM107" s="12">
        <v>43371</v>
      </c>
      <c r="HN107">
        <v>1.679</v>
      </c>
      <c r="HO107" s="12">
        <v>43371</v>
      </c>
      <c r="HP107">
        <v>1.536</v>
      </c>
      <c r="HQ107" s="12">
        <v>43465</v>
      </c>
      <c r="HR107">
        <v>3.45</v>
      </c>
      <c r="HS107" s="12">
        <v>43371</v>
      </c>
      <c r="HT107">
        <v>85.933000000000007</v>
      </c>
      <c r="HU107" s="12">
        <v>43371</v>
      </c>
      <c r="HV107">
        <v>4.4000000000000004</v>
      </c>
      <c r="HW107" s="12">
        <v>43371</v>
      </c>
      <c r="HX107">
        <v>23.69</v>
      </c>
      <c r="HY107" s="12">
        <v>43371</v>
      </c>
      <c r="HZ107">
        <v>19.655000000000001</v>
      </c>
      <c r="IA107" s="12">
        <v>43371</v>
      </c>
      <c r="IB107">
        <v>21.76</v>
      </c>
      <c r="IC107" s="12">
        <v>43371</v>
      </c>
      <c r="ID107">
        <v>3.2040000000000002</v>
      </c>
      <c r="IE107" s="12">
        <v>43371</v>
      </c>
      <c r="IF107">
        <v>2.08</v>
      </c>
      <c r="IG107" s="12">
        <v>43677</v>
      </c>
      <c r="IH107">
        <v>17.600000000000001</v>
      </c>
      <c r="IM107" s="12">
        <v>43371</v>
      </c>
      <c r="IN107">
        <v>54.034999999999997</v>
      </c>
      <c r="IQ107" s="12">
        <v>43371</v>
      </c>
      <c r="IR107">
        <v>71.525999999999996</v>
      </c>
      <c r="IU107" s="12">
        <v>43371</v>
      </c>
      <c r="IV107">
        <v>6.0514999999999999</v>
      </c>
      <c r="IY107" s="12">
        <v>43371</v>
      </c>
      <c r="IZ107">
        <v>21.337</v>
      </c>
      <c r="JC107" s="12">
        <v>43371</v>
      </c>
      <c r="JD107">
        <v>3.59</v>
      </c>
      <c r="JE107" s="12">
        <v>43371</v>
      </c>
      <c r="JF107">
        <v>3.7800000000000002</v>
      </c>
      <c r="JI107" s="12">
        <v>43371</v>
      </c>
      <c r="JJ107">
        <v>32.29</v>
      </c>
      <c r="JM107" s="12">
        <v>43371</v>
      </c>
      <c r="JN107">
        <v>2.5449999999999999</v>
      </c>
      <c r="JO107" s="12">
        <v>43371</v>
      </c>
      <c r="JP107">
        <v>22.262</v>
      </c>
      <c r="JS107" s="12">
        <v>43371</v>
      </c>
      <c r="JT107">
        <v>28.648</v>
      </c>
      <c r="JW107" s="12">
        <v>43371</v>
      </c>
      <c r="JX107">
        <v>17.753</v>
      </c>
      <c r="JY107" s="12">
        <v>43371</v>
      </c>
      <c r="JZ107">
        <v>25.053999999999998</v>
      </c>
      <c r="KE107" s="12">
        <v>43371</v>
      </c>
      <c r="KF107">
        <v>17.673000000000002</v>
      </c>
      <c r="KI107" s="12">
        <v>43371</v>
      </c>
      <c r="KJ107">
        <v>0.96</v>
      </c>
      <c r="KQ107" s="12">
        <v>43371</v>
      </c>
      <c r="KR107">
        <v>10.06</v>
      </c>
      <c r="KS107" s="12">
        <v>43371</v>
      </c>
      <c r="KT107">
        <v>8.5129999999999999</v>
      </c>
      <c r="KU107" s="12">
        <v>43371</v>
      </c>
      <c r="KV107">
        <v>11.209</v>
      </c>
      <c r="LC107" s="12">
        <v>43371</v>
      </c>
      <c r="LD107">
        <v>8.266</v>
      </c>
      <c r="LE107" s="12">
        <v>43371</v>
      </c>
      <c r="LF107">
        <v>12.214</v>
      </c>
      <c r="LG107" s="12">
        <v>43371</v>
      </c>
      <c r="LH107">
        <v>18.783000000000001</v>
      </c>
      <c r="LI107" s="12">
        <v>43371</v>
      </c>
      <c r="LJ107">
        <v>17.977</v>
      </c>
      <c r="LM107" s="12">
        <v>43371</v>
      </c>
      <c r="LN107">
        <v>11.137</v>
      </c>
      <c r="LO107" s="12">
        <v>43371</v>
      </c>
      <c r="LP107">
        <v>8.1050000000000004</v>
      </c>
      <c r="LQ107" s="12">
        <v>43371</v>
      </c>
      <c r="LR107">
        <v>58.276000000000003</v>
      </c>
      <c r="LW107" s="12">
        <v>43371</v>
      </c>
      <c r="LX107">
        <v>1.62</v>
      </c>
      <c r="LY107" s="12">
        <v>43371</v>
      </c>
      <c r="LZ107">
        <v>35.576999999999998</v>
      </c>
      <c r="MA107" s="12">
        <v>43371</v>
      </c>
      <c r="MB107">
        <v>11.638</v>
      </c>
      <c r="ME107" s="12">
        <v>43404</v>
      </c>
      <c r="MF107">
        <v>5.6</v>
      </c>
      <c r="MG107" s="12">
        <v>43371</v>
      </c>
      <c r="MH107">
        <v>19.303999999999998</v>
      </c>
      <c r="MK107" s="12">
        <v>43371</v>
      </c>
      <c r="ML107">
        <v>22.687000000000001</v>
      </c>
    </row>
    <row r="108" spans="1:350" x14ac:dyDescent="0.3">
      <c r="A108" s="12">
        <v>43404</v>
      </c>
      <c r="B108" s="1">
        <v>15.600999999999999</v>
      </c>
      <c r="C108" s="1"/>
      <c r="G108" s="17">
        <v>43404</v>
      </c>
      <c r="H108" s="13">
        <v>12.132999999999999</v>
      </c>
      <c r="I108" s="17">
        <v>43434</v>
      </c>
      <c r="J108">
        <v>18.538</v>
      </c>
      <c r="N108" s="12"/>
      <c r="U108" s="12">
        <v>43830</v>
      </c>
      <c r="V108">
        <v>64</v>
      </c>
      <c r="Y108" s="12">
        <v>43404</v>
      </c>
      <c r="Z108">
        <v>25.169</v>
      </c>
      <c r="AA108" s="12">
        <v>43404</v>
      </c>
      <c r="AB108">
        <v>39.536000000000001</v>
      </c>
      <c r="AC108" s="12">
        <v>43404</v>
      </c>
      <c r="AD108">
        <v>21.103000000000002</v>
      </c>
      <c r="AE108" s="12">
        <v>43404</v>
      </c>
      <c r="AF108">
        <v>23.913</v>
      </c>
      <c r="AG108" s="12">
        <v>43404</v>
      </c>
      <c r="AH108">
        <v>5.9399999999999995</v>
      </c>
      <c r="AK108" s="12">
        <v>43404</v>
      </c>
      <c r="AL108">
        <v>5.49</v>
      </c>
      <c r="AS108" s="12">
        <v>43404</v>
      </c>
      <c r="AT108">
        <v>1.7450000000000001</v>
      </c>
      <c r="AU108" s="12">
        <v>43404</v>
      </c>
      <c r="AV108">
        <v>32.549999999999997</v>
      </c>
      <c r="AY108" s="12">
        <v>43404</v>
      </c>
      <c r="AZ108">
        <v>21.9</v>
      </c>
      <c r="BA108" s="12">
        <v>43404</v>
      </c>
      <c r="BB108">
        <v>50.720999999999997</v>
      </c>
      <c r="BC108" s="12">
        <v>43404</v>
      </c>
      <c r="BD108">
        <v>11.792</v>
      </c>
      <c r="BE108" s="12">
        <v>43496</v>
      </c>
      <c r="BF108">
        <v>8.7129999999999992</v>
      </c>
      <c r="BG108" s="12">
        <v>43404</v>
      </c>
      <c r="BH108">
        <v>17.602</v>
      </c>
      <c r="BI108" s="12">
        <v>43404</v>
      </c>
      <c r="BJ108">
        <v>34.1</v>
      </c>
      <c r="BK108" s="12">
        <v>43404</v>
      </c>
      <c r="BL108">
        <v>10.183</v>
      </c>
      <c r="BM108" s="12">
        <v>43404</v>
      </c>
      <c r="BN108">
        <v>17.800999999999998</v>
      </c>
      <c r="BO108" s="12">
        <v>43404</v>
      </c>
      <c r="BP108">
        <v>12.026999999999999</v>
      </c>
      <c r="BQ108" s="12">
        <v>43404</v>
      </c>
      <c r="BR108">
        <v>10.503</v>
      </c>
      <c r="BS108" s="12">
        <v>43404</v>
      </c>
      <c r="BT108">
        <v>10.361000000000001</v>
      </c>
      <c r="BW108" s="12">
        <v>43404</v>
      </c>
      <c r="BX108">
        <v>11.204000000000001</v>
      </c>
      <c r="BY108" s="12">
        <v>43404</v>
      </c>
      <c r="BZ108">
        <v>24.745000000000001</v>
      </c>
      <c r="CA108" s="12">
        <v>43404</v>
      </c>
      <c r="CB108">
        <v>24.17</v>
      </c>
      <c r="CG108" s="12">
        <v>43404</v>
      </c>
      <c r="CH108">
        <v>31.56</v>
      </c>
      <c r="CI108" s="12">
        <v>43404</v>
      </c>
      <c r="CJ108">
        <v>48.454000000000001</v>
      </c>
      <c r="CK108" s="12">
        <v>43404</v>
      </c>
      <c r="CL108">
        <v>8.923</v>
      </c>
      <c r="CQ108" s="12">
        <v>43404</v>
      </c>
      <c r="CR108">
        <v>13.09</v>
      </c>
      <c r="CS108" s="12">
        <v>43404</v>
      </c>
      <c r="CT108">
        <v>27.727</v>
      </c>
      <c r="CU108" s="12">
        <v>43404</v>
      </c>
      <c r="CV108">
        <v>6.5919999999999996</v>
      </c>
      <c r="CW108" s="12">
        <v>43404</v>
      </c>
      <c r="CX108">
        <v>10.483000000000001</v>
      </c>
      <c r="CY108" s="12">
        <v>43496</v>
      </c>
      <c r="CZ108">
        <v>11.39</v>
      </c>
      <c r="DA108" s="12">
        <v>43404</v>
      </c>
      <c r="DB108">
        <v>29.555</v>
      </c>
      <c r="DC108" s="12">
        <v>43404</v>
      </c>
      <c r="DD108">
        <v>22.881</v>
      </c>
      <c r="DE108" s="12">
        <v>43404</v>
      </c>
      <c r="DF108">
        <v>25.506</v>
      </c>
      <c r="DK108" s="12">
        <v>43404</v>
      </c>
      <c r="DL108">
        <v>20.92</v>
      </c>
      <c r="DM108" s="12">
        <v>43830</v>
      </c>
      <c r="DN108">
        <v>14.157</v>
      </c>
      <c r="DO108" s="12">
        <v>43404</v>
      </c>
      <c r="DP108">
        <v>12.875</v>
      </c>
      <c r="DQ108" s="12">
        <v>43404</v>
      </c>
      <c r="DR108">
        <v>13.8</v>
      </c>
      <c r="DS108" s="12">
        <v>43434</v>
      </c>
      <c r="DT108">
        <v>36.26</v>
      </c>
      <c r="DU108" s="12">
        <v>43404</v>
      </c>
      <c r="DV108">
        <v>13.441000000000001</v>
      </c>
      <c r="DW108" s="12">
        <v>43404</v>
      </c>
      <c r="DX108">
        <v>4.6890000000000001</v>
      </c>
      <c r="DY108" s="12">
        <v>43404</v>
      </c>
      <c r="DZ108">
        <v>19.506</v>
      </c>
      <c r="EC108" s="12">
        <v>43404</v>
      </c>
      <c r="ED108">
        <v>66.950999999999993</v>
      </c>
      <c r="EE108" s="12">
        <v>43404</v>
      </c>
      <c r="EF108">
        <v>19.355</v>
      </c>
      <c r="EI108" s="12">
        <v>43404</v>
      </c>
      <c r="EJ108">
        <v>11.207000000000001</v>
      </c>
      <c r="EK108" s="12">
        <v>43404</v>
      </c>
      <c r="EL108">
        <v>12.507999999999999</v>
      </c>
      <c r="EM108" s="12">
        <v>43404</v>
      </c>
      <c r="EN108">
        <v>15.776</v>
      </c>
      <c r="EQ108" s="12">
        <v>43404</v>
      </c>
      <c r="ER108">
        <v>7.6509999999999998</v>
      </c>
      <c r="ES108" s="12">
        <v>43404</v>
      </c>
      <c r="ET108">
        <v>18.399999999999999</v>
      </c>
      <c r="EU108" s="12">
        <v>43404</v>
      </c>
      <c r="EV108">
        <v>6.8280000000000003</v>
      </c>
      <c r="EY108" s="12">
        <v>43404</v>
      </c>
      <c r="EZ108">
        <v>21.687000000000001</v>
      </c>
      <c r="FA108" s="12">
        <v>43404</v>
      </c>
      <c r="FB108">
        <v>28.148</v>
      </c>
      <c r="FC108" s="12">
        <v>43404</v>
      </c>
      <c r="FD108">
        <v>37.86</v>
      </c>
      <c r="FG108" s="12">
        <v>43404</v>
      </c>
      <c r="FH108">
        <v>9.8800000000000008</v>
      </c>
      <c r="FI108" s="12">
        <v>43404</v>
      </c>
      <c r="FJ108">
        <v>24.92</v>
      </c>
      <c r="FK108" s="12">
        <v>43404</v>
      </c>
      <c r="FL108">
        <v>29.393999999999998</v>
      </c>
      <c r="FM108" s="12">
        <v>43404</v>
      </c>
      <c r="FN108">
        <v>10.016999999999999</v>
      </c>
      <c r="FO108" s="12">
        <v>43404</v>
      </c>
      <c r="FP108">
        <v>11.542</v>
      </c>
      <c r="FS108" s="12">
        <v>43404</v>
      </c>
      <c r="FT108">
        <v>2.903</v>
      </c>
      <c r="FU108" s="12">
        <v>43404</v>
      </c>
      <c r="FV108">
        <v>13.747999999999999</v>
      </c>
      <c r="FW108" s="12">
        <v>43404</v>
      </c>
      <c r="FX108">
        <v>18.529</v>
      </c>
      <c r="GA108" s="12">
        <v>43404</v>
      </c>
      <c r="GB108">
        <v>19.196000000000002</v>
      </c>
      <c r="GC108" s="12">
        <v>43404</v>
      </c>
      <c r="GD108">
        <v>16.518000000000001</v>
      </c>
      <c r="GI108" s="12">
        <v>43404</v>
      </c>
      <c r="GJ108">
        <v>33.591000000000001</v>
      </c>
      <c r="GK108" s="12">
        <v>43404</v>
      </c>
      <c r="GL108">
        <v>56.1</v>
      </c>
      <c r="GM108" s="12">
        <v>43404</v>
      </c>
      <c r="GN108">
        <v>43.753</v>
      </c>
      <c r="GQ108" s="12">
        <v>43524</v>
      </c>
      <c r="GR108">
        <v>5.43</v>
      </c>
      <c r="GS108" s="12">
        <v>43404</v>
      </c>
      <c r="GT108">
        <v>2.31</v>
      </c>
      <c r="GW108" s="12">
        <v>43465</v>
      </c>
      <c r="GX108">
        <v>25.15</v>
      </c>
      <c r="GY108" s="12">
        <v>43404</v>
      </c>
      <c r="GZ108">
        <v>6.41</v>
      </c>
      <c r="HA108" s="12">
        <v>43404</v>
      </c>
      <c r="HB108">
        <v>10.49</v>
      </c>
      <c r="HC108" s="12">
        <v>43404</v>
      </c>
      <c r="HD108">
        <v>22.524000000000001</v>
      </c>
      <c r="HE108" s="12">
        <v>43404</v>
      </c>
      <c r="HF108">
        <v>18.198</v>
      </c>
      <c r="HG108" s="12">
        <v>43404</v>
      </c>
      <c r="HH108">
        <v>16.097000000000001</v>
      </c>
      <c r="HI108" s="12">
        <v>43404</v>
      </c>
      <c r="HJ108">
        <v>12.683</v>
      </c>
      <c r="HK108" s="12">
        <v>43404</v>
      </c>
      <c r="HL108">
        <v>2.54</v>
      </c>
      <c r="HM108" s="12">
        <v>43404</v>
      </c>
      <c r="HN108">
        <v>2.09</v>
      </c>
      <c r="HO108" s="12">
        <v>43404</v>
      </c>
      <c r="HP108">
        <v>1.8420000000000001</v>
      </c>
      <c r="HQ108" s="12">
        <v>43496</v>
      </c>
      <c r="HR108">
        <v>4.67</v>
      </c>
      <c r="HS108" s="12">
        <v>43404</v>
      </c>
      <c r="HT108">
        <v>77.209000000000003</v>
      </c>
      <c r="HU108" s="12">
        <v>43404</v>
      </c>
      <c r="HV108">
        <v>10.199999999999999</v>
      </c>
      <c r="HW108" s="12">
        <v>43404</v>
      </c>
      <c r="HX108">
        <v>29.643999999999998</v>
      </c>
      <c r="HY108" s="12">
        <v>43404</v>
      </c>
      <c r="HZ108">
        <v>25.741</v>
      </c>
      <c r="IA108" s="12">
        <v>43404</v>
      </c>
      <c r="IB108">
        <v>24.99</v>
      </c>
      <c r="IC108" s="12">
        <v>43404</v>
      </c>
      <c r="ID108">
        <v>3.6819999999999999</v>
      </c>
      <c r="IE108" s="12">
        <v>43404</v>
      </c>
      <c r="IF108">
        <v>2.38</v>
      </c>
      <c r="IG108" s="12">
        <v>43707</v>
      </c>
      <c r="IH108">
        <v>16.899999999999999</v>
      </c>
      <c r="IM108" s="12">
        <v>43404</v>
      </c>
      <c r="IN108">
        <v>49.56</v>
      </c>
      <c r="IQ108" s="12">
        <v>43404</v>
      </c>
      <c r="IR108">
        <v>62.036000000000001</v>
      </c>
      <c r="IU108" s="12">
        <v>43404</v>
      </c>
      <c r="IV108">
        <v>7.6756000000000002</v>
      </c>
      <c r="IY108" s="12">
        <v>43404</v>
      </c>
      <c r="IZ108">
        <v>26.965</v>
      </c>
      <c r="JC108" s="12">
        <v>43404</v>
      </c>
      <c r="JD108">
        <v>3.65</v>
      </c>
      <c r="JE108" s="12">
        <v>43404</v>
      </c>
      <c r="JF108">
        <v>5.46</v>
      </c>
      <c r="JI108" s="12">
        <v>43404</v>
      </c>
      <c r="JJ108">
        <v>38.314</v>
      </c>
      <c r="JM108" s="12">
        <v>43404</v>
      </c>
      <c r="JN108">
        <v>3.0830000000000002</v>
      </c>
      <c r="JO108" s="12">
        <v>43404</v>
      </c>
      <c r="JP108">
        <v>26.376999999999999</v>
      </c>
      <c r="JS108" s="12">
        <v>43404</v>
      </c>
      <c r="JT108">
        <v>26.811</v>
      </c>
      <c r="JW108" s="12">
        <v>43404</v>
      </c>
      <c r="JX108">
        <v>18.8</v>
      </c>
      <c r="JY108" s="12">
        <v>43404</v>
      </c>
      <c r="JZ108">
        <v>23.898</v>
      </c>
      <c r="KE108" s="12">
        <v>43404</v>
      </c>
      <c r="KF108">
        <v>19.670000000000002</v>
      </c>
      <c r="KI108" s="12">
        <v>43404</v>
      </c>
      <c r="KJ108">
        <v>1.35</v>
      </c>
      <c r="KQ108" s="12">
        <v>43404</v>
      </c>
      <c r="KR108">
        <v>12.5</v>
      </c>
      <c r="KS108" s="12">
        <v>43404</v>
      </c>
      <c r="KT108">
        <v>9.23</v>
      </c>
      <c r="KU108" s="12">
        <v>43404</v>
      </c>
      <c r="KV108">
        <v>11.074999999999999</v>
      </c>
      <c r="LC108" s="12">
        <v>43404</v>
      </c>
      <c r="LD108">
        <v>8.266</v>
      </c>
      <c r="LE108" s="12">
        <v>43404</v>
      </c>
      <c r="LF108">
        <v>13.654</v>
      </c>
      <c r="LG108" s="12">
        <v>43404</v>
      </c>
      <c r="LH108">
        <v>16.216000000000001</v>
      </c>
      <c r="LI108" s="12">
        <v>43404</v>
      </c>
      <c r="LJ108">
        <v>21.31</v>
      </c>
      <c r="LM108" s="12">
        <v>43404</v>
      </c>
      <c r="LN108">
        <v>12.538</v>
      </c>
      <c r="LO108" s="12">
        <v>43404</v>
      </c>
      <c r="LP108">
        <v>10.015000000000001</v>
      </c>
      <c r="LQ108" s="12">
        <v>43404</v>
      </c>
      <c r="LR108">
        <v>55.246000000000002</v>
      </c>
      <c r="LW108" s="12">
        <v>43404</v>
      </c>
      <c r="LX108">
        <v>3.907</v>
      </c>
      <c r="LY108" s="12">
        <v>43404</v>
      </c>
      <c r="LZ108">
        <v>39.225000000000001</v>
      </c>
      <c r="MA108" s="12">
        <v>43404</v>
      </c>
      <c r="MB108">
        <v>14.099</v>
      </c>
      <c r="ME108" s="12">
        <v>43434</v>
      </c>
      <c r="MF108">
        <v>5.18</v>
      </c>
      <c r="MG108" s="12">
        <v>43404</v>
      </c>
      <c r="MH108">
        <v>17.594000000000001</v>
      </c>
      <c r="MK108" s="12">
        <v>43404</v>
      </c>
      <c r="ML108">
        <v>20.998000000000001</v>
      </c>
    </row>
    <row r="109" spans="1:350" x14ac:dyDescent="0.3">
      <c r="A109" s="12">
        <v>43434</v>
      </c>
      <c r="B109" s="1">
        <v>16.155000000000001</v>
      </c>
      <c r="C109" s="1"/>
      <c r="G109" s="17">
        <v>43434</v>
      </c>
      <c r="H109" s="13">
        <v>13.02</v>
      </c>
      <c r="I109" s="17">
        <v>43465</v>
      </c>
      <c r="J109">
        <v>18.853000000000002</v>
      </c>
      <c r="N109" s="12"/>
      <c r="Y109" s="12">
        <v>43434</v>
      </c>
      <c r="Z109">
        <v>26.744</v>
      </c>
      <c r="AA109" s="12">
        <v>43434</v>
      </c>
      <c r="AB109">
        <v>41.67</v>
      </c>
      <c r="AC109" s="12">
        <v>43434</v>
      </c>
      <c r="AD109">
        <v>23.445</v>
      </c>
      <c r="AE109" s="12">
        <v>43434</v>
      </c>
      <c r="AF109">
        <v>26.826999999999998</v>
      </c>
      <c r="AG109" s="12">
        <v>43434</v>
      </c>
      <c r="AH109">
        <v>5.93</v>
      </c>
      <c r="AK109" s="12">
        <v>43434</v>
      </c>
      <c r="AL109">
        <v>5.51</v>
      </c>
      <c r="AS109" s="12">
        <v>43434</v>
      </c>
      <c r="AT109">
        <v>1.9</v>
      </c>
      <c r="AU109" s="12">
        <v>43434</v>
      </c>
      <c r="AV109">
        <v>29.931999999999999</v>
      </c>
      <c r="AY109" s="12">
        <v>43434</v>
      </c>
      <c r="AZ109">
        <v>22.17</v>
      </c>
      <c r="BA109" s="12">
        <v>43434</v>
      </c>
      <c r="BB109">
        <v>52.695999999999998</v>
      </c>
      <c r="BC109" s="12">
        <v>43434</v>
      </c>
      <c r="BD109">
        <v>12.162000000000001</v>
      </c>
      <c r="BE109" s="12">
        <v>43524</v>
      </c>
      <c r="BF109">
        <v>8.673</v>
      </c>
      <c r="BG109" s="12">
        <v>43434</v>
      </c>
      <c r="BH109">
        <v>20.187000000000001</v>
      </c>
      <c r="BI109" s="12">
        <v>43434</v>
      </c>
      <c r="BJ109">
        <v>37.826999999999998</v>
      </c>
      <c r="BK109" s="12">
        <v>43434</v>
      </c>
      <c r="BL109">
        <v>12.058</v>
      </c>
      <c r="BM109" s="12">
        <v>43434</v>
      </c>
      <c r="BN109">
        <v>17.451000000000001</v>
      </c>
      <c r="BO109" s="12">
        <v>43434</v>
      </c>
      <c r="BP109">
        <v>8.6739999999999995</v>
      </c>
      <c r="BQ109" s="12">
        <v>43434</v>
      </c>
      <c r="BR109">
        <v>12.057</v>
      </c>
      <c r="BS109" s="12">
        <v>43434</v>
      </c>
      <c r="BT109">
        <v>11.939</v>
      </c>
      <c r="BW109" s="12">
        <v>43434</v>
      </c>
      <c r="BX109">
        <v>10.377000000000001</v>
      </c>
      <c r="BY109" s="12">
        <v>43434</v>
      </c>
      <c r="BZ109">
        <v>26.466999999999999</v>
      </c>
      <c r="CA109" s="12">
        <v>43434</v>
      </c>
      <c r="CB109">
        <v>29.948</v>
      </c>
      <c r="CG109" s="12">
        <v>43434</v>
      </c>
      <c r="CH109">
        <v>33.722999999999999</v>
      </c>
      <c r="CI109" s="12">
        <v>43434</v>
      </c>
      <c r="CJ109">
        <v>48.387999999999998</v>
      </c>
      <c r="CK109" s="12">
        <v>43434</v>
      </c>
      <c r="CL109">
        <v>8.2710000000000008</v>
      </c>
      <c r="CQ109" s="12">
        <v>43434</v>
      </c>
      <c r="CR109">
        <v>12.766999999999999</v>
      </c>
      <c r="CS109" s="12">
        <v>43434</v>
      </c>
      <c r="CT109">
        <v>26.745999999999999</v>
      </c>
      <c r="CU109" s="12">
        <v>43434</v>
      </c>
      <c r="CV109">
        <v>7.0720000000000001</v>
      </c>
      <c r="CW109" s="12">
        <v>43434</v>
      </c>
      <c r="CX109">
        <v>11.167</v>
      </c>
      <c r="CY109" s="12">
        <v>43524</v>
      </c>
      <c r="CZ109">
        <v>11.32</v>
      </c>
      <c r="DA109" s="12">
        <v>43434</v>
      </c>
      <c r="DB109">
        <v>32.729999999999997</v>
      </c>
      <c r="DC109" s="12">
        <v>43434</v>
      </c>
      <c r="DD109">
        <v>23.786000000000001</v>
      </c>
      <c r="DE109" s="12">
        <v>43434</v>
      </c>
      <c r="DF109">
        <v>27.155999999999999</v>
      </c>
      <c r="DK109" s="12">
        <v>43434</v>
      </c>
      <c r="DL109">
        <v>21.79</v>
      </c>
      <c r="DO109" s="12">
        <v>43434</v>
      </c>
      <c r="DP109">
        <v>12.59</v>
      </c>
      <c r="DQ109" s="12">
        <v>43434</v>
      </c>
      <c r="DR109">
        <v>14.25</v>
      </c>
      <c r="DS109" s="12">
        <v>43465</v>
      </c>
      <c r="DT109">
        <v>35.969000000000001</v>
      </c>
      <c r="DU109" s="12">
        <v>43434</v>
      </c>
      <c r="DV109">
        <v>14.36</v>
      </c>
      <c r="DW109" s="12">
        <v>43434</v>
      </c>
      <c r="DX109">
        <v>5.0410000000000004</v>
      </c>
      <c r="DY109" s="12">
        <v>43434</v>
      </c>
      <c r="DZ109">
        <v>18.709</v>
      </c>
      <c r="EC109" s="12">
        <v>43434</v>
      </c>
      <c r="ED109">
        <v>68.227000000000004</v>
      </c>
      <c r="EE109" s="12">
        <v>43434</v>
      </c>
      <c r="EF109">
        <v>20.050999999999998</v>
      </c>
      <c r="EI109" s="12">
        <v>43434</v>
      </c>
      <c r="EJ109">
        <v>14.959</v>
      </c>
      <c r="EK109" s="12">
        <v>43434</v>
      </c>
      <c r="EL109">
        <v>11.862</v>
      </c>
      <c r="EM109" s="12">
        <v>43434</v>
      </c>
      <c r="EN109">
        <v>15.147</v>
      </c>
      <c r="EQ109" s="12">
        <v>43434</v>
      </c>
      <c r="ER109">
        <v>7.1390000000000002</v>
      </c>
      <c r="ES109" s="12">
        <v>43434</v>
      </c>
      <c r="ET109">
        <v>21.6</v>
      </c>
      <c r="EU109" s="12">
        <v>43434</v>
      </c>
      <c r="EV109">
        <v>7.3179999999999996</v>
      </c>
      <c r="EY109" s="12">
        <v>43434</v>
      </c>
      <c r="EZ109">
        <v>24.948</v>
      </c>
      <c r="FA109" s="12">
        <v>43434</v>
      </c>
      <c r="FB109">
        <v>30.341000000000001</v>
      </c>
      <c r="FC109" s="12">
        <v>43434</v>
      </c>
      <c r="FD109">
        <v>38.122999999999998</v>
      </c>
      <c r="FG109" s="12">
        <v>43434</v>
      </c>
      <c r="FH109">
        <v>10.847</v>
      </c>
      <c r="FI109" s="12">
        <v>43434</v>
      </c>
      <c r="FJ109">
        <v>27.222999999999999</v>
      </c>
      <c r="FK109" s="12">
        <v>43434</v>
      </c>
      <c r="FL109">
        <v>32.256999999999998</v>
      </c>
      <c r="FM109" s="12">
        <v>43434</v>
      </c>
      <c r="FN109">
        <v>11.503</v>
      </c>
      <c r="FO109" s="12">
        <v>43434</v>
      </c>
      <c r="FP109">
        <v>14.622999999999999</v>
      </c>
      <c r="FS109" s="12">
        <v>43434</v>
      </c>
      <c r="FT109">
        <v>2.766</v>
      </c>
      <c r="FU109" s="12">
        <v>43434</v>
      </c>
      <c r="FV109">
        <v>14.239000000000001</v>
      </c>
      <c r="FW109" s="12">
        <v>43434</v>
      </c>
      <c r="FX109">
        <v>19.425999999999998</v>
      </c>
      <c r="GA109" s="12">
        <v>43434</v>
      </c>
      <c r="GB109">
        <v>22.312999999999999</v>
      </c>
      <c r="GC109" s="12">
        <v>43434</v>
      </c>
      <c r="GD109">
        <v>15.537000000000001</v>
      </c>
      <c r="GI109" s="12">
        <v>43434</v>
      </c>
      <c r="GJ109">
        <v>34.930999999999997</v>
      </c>
      <c r="GK109" s="12">
        <v>43434</v>
      </c>
      <c r="GL109">
        <v>55.31</v>
      </c>
      <c r="GM109" s="12">
        <v>43434</v>
      </c>
      <c r="GN109">
        <v>39.758000000000003</v>
      </c>
      <c r="GQ109" s="12">
        <v>43553</v>
      </c>
      <c r="GR109">
        <v>4.8</v>
      </c>
      <c r="GS109" s="12">
        <v>43434</v>
      </c>
      <c r="GT109">
        <v>2.1800000000000002</v>
      </c>
      <c r="GW109" s="12">
        <v>43496</v>
      </c>
      <c r="GX109">
        <v>26</v>
      </c>
      <c r="GY109" s="12">
        <v>43434</v>
      </c>
      <c r="GZ109">
        <v>6.2</v>
      </c>
      <c r="HA109" s="12">
        <v>43434</v>
      </c>
      <c r="HB109">
        <v>10.066000000000001</v>
      </c>
      <c r="HC109" s="12">
        <v>43434</v>
      </c>
      <c r="HD109">
        <v>22.73</v>
      </c>
      <c r="HE109" s="12">
        <v>43434</v>
      </c>
      <c r="HF109">
        <v>22.809000000000001</v>
      </c>
      <c r="HG109" s="12">
        <v>43434</v>
      </c>
      <c r="HH109">
        <v>20.207000000000001</v>
      </c>
      <c r="HI109" s="12">
        <v>43434</v>
      </c>
      <c r="HJ109">
        <v>13.335000000000001</v>
      </c>
      <c r="HK109" s="12">
        <v>43434</v>
      </c>
      <c r="HL109">
        <v>1.8900000000000001</v>
      </c>
      <c r="HM109" s="12">
        <v>43434</v>
      </c>
      <c r="HN109">
        <v>1.44</v>
      </c>
      <c r="HO109" s="12">
        <v>43434</v>
      </c>
      <c r="HP109">
        <v>1.46</v>
      </c>
      <c r="HQ109" s="12">
        <v>43524</v>
      </c>
      <c r="HR109">
        <v>4.5999999999999996</v>
      </c>
      <c r="HS109" s="12">
        <v>43434</v>
      </c>
      <c r="HT109">
        <v>82.331000000000003</v>
      </c>
      <c r="HU109" s="12">
        <v>43434</v>
      </c>
      <c r="HV109">
        <v>11.7</v>
      </c>
      <c r="HW109" s="12">
        <v>43434</v>
      </c>
      <c r="HX109">
        <v>27.603999999999999</v>
      </c>
      <c r="HY109" s="12">
        <v>43434</v>
      </c>
      <c r="HZ109">
        <v>23.821999999999999</v>
      </c>
      <c r="IA109" s="12">
        <v>43434</v>
      </c>
      <c r="IB109">
        <v>24.99</v>
      </c>
      <c r="IC109" s="12">
        <v>43434</v>
      </c>
      <c r="ID109">
        <v>3.879</v>
      </c>
      <c r="IE109" s="12">
        <v>43434</v>
      </c>
      <c r="IF109">
        <v>2.2999999999999998</v>
      </c>
      <c r="IG109" s="12">
        <v>43738</v>
      </c>
      <c r="IH109">
        <v>17.420000000000002</v>
      </c>
      <c r="IM109" s="12">
        <v>43434</v>
      </c>
      <c r="IN109">
        <v>48.767000000000003</v>
      </c>
      <c r="IQ109" s="12">
        <v>43434</v>
      </c>
      <c r="IR109">
        <v>61.354999999999997</v>
      </c>
      <c r="IU109" s="12">
        <v>43434</v>
      </c>
      <c r="IV109">
        <v>8.5068999999999999</v>
      </c>
      <c r="IY109" s="12">
        <v>43434</v>
      </c>
      <c r="IZ109">
        <v>25.239000000000001</v>
      </c>
      <c r="JC109" s="12">
        <v>43434</v>
      </c>
      <c r="JD109">
        <v>3.35</v>
      </c>
      <c r="JE109" s="12">
        <v>43434</v>
      </c>
      <c r="JF109">
        <v>4.96</v>
      </c>
      <c r="JI109" s="12">
        <v>43434</v>
      </c>
      <c r="JJ109">
        <v>38.786000000000001</v>
      </c>
      <c r="JM109" s="12">
        <v>43434</v>
      </c>
      <c r="JN109">
        <v>3.1960000000000002</v>
      </c>
      <c r="JO109" s="12">
        <v>43434</v>
      </c>
      <c r="JP109">
        <v>26.640999999999998</v>
      </c>
      <c r="JS109" s="12">
        <v>43434</v>
      </c>
      <c r="JT109">
        <v>21.809000000000001</v>
      </c>
      <c r="JW109" s="12">
        <v>43434</v>
      </c>
      <c r="JX109">
        <v>17.491</v>
      </c>
      <c r="JY109" s="12">
        <v>43434</v>
      </c>
      <c r="JZ109">
        <v>25.922000000000001</v>
      </c>
      <c r="KE109" s="12">
        <v>43434</v>
      </c>
      <c r="KF109">
        <v>20.503</v>
      </c>
      <c r="KI109" s="12">
        <v>43434</v>
      </c>
      <c r="KJ109">
        <v>1.24</v>
      </c>
      <c r="KQ109" s="12">
        <v>43434</v>
      </c>
      <c r="KR109">
        <v>12.77</v>
      </c>
      <c r="KS109" s="12">
        <v>43434</v>
      </c>
      <c r="KT109">
        <v>9.3179999999999996</v>
      </c>
      <c r="KU109" s="12">
        <v>43434</v>
      </c>
      <c r="KV109">
        <v>11.333</v>
      </c>
      <c r="LC109" s="12">
        <v>43434</v>
      </c>
      <c r="LD109">
        <v>9.5510000000000002</v>
      </c>
      <c r="LE109" s="12">
        <v>43434</v>
      </c>
      <c r="LF109">
        <v>15.074999999999999</v>
      </c>
      <c r="LG109" s="12">
        <v>43434</v>
      </c>
      <c r="LH109">
        <v>18.614000000000001</v>
      </c>
      <c r="LI109" s="12">
        <v>43434</v>
      </c>
      <c r="LJ109">
        <v>22.754999999999999</v>
      </c>
      <c r="LM109" s="12">
        <v>43434</v>
      </c>
      <c r="LN109">
        <v>11.656000000000001</v>
      </c>
      <c r="LO109" s="12">
        <v>43434</v>
      </c>
      <c r="LP109">
        <v>9.109</v>
      </c>
      <c r="LQ109" s="12">
        <v>43434</v>
      </c>
      <c r="LR109">
        <v>51.436999999999998</v>
      </c>
      <c r="LW109" s="12">
        <v>43434</v>
      </c>
      <c r="LX109">
        <v>4.2880000000000003</v>
      </c>
      <c r="LY109" s="12">
        <v>43434</v>
      </c>
      <c r="LZ109">
        <v>41.756999999999998</v>
      </c>
      <c r="MA109" s="12">
        <v>43434</v>
      </c>
      <c r="MB109">
        <v>15.792</v>
      </c>
      <c r="ME109" s="12">
        <v>43465</v>
      </c>
      <c r="MF109">
        <v>4.3899999999999997</v>
      </c>
      <c r="MG109" s="12">
        <v>43434</v>
      </c>
      <c r="MH109">
        <v>17.417999999999999</v>
      </c>
      <c r="MK109" s="12">
        <v>43434</v>
      </c>
      <c r="ML109">
        <v>23.849</v>
      </c>
    </row>
    <row r="110" spans="1:350" x14ac:dyDescent="0.3">
      <c r="A110" s="12">
        <v>43465</v>
      </c>
      <c r="B110" s="1">
        <v>14.986000000000001</v>
      </c>
      <c r="C110" s="1"/>
      <c r="G110" s="17">
        <v>43465</v>
      </c>
      <c r="H110" s="13">
        <v>13.595000000000001</v>
      </c>
      <c r="I110" s="17">
        <v>43496</v>
      </c>
      <c r="J110">
        <v>20.036000000000001</v>
      </c>
      <c r="N110" s="12"/>
      <c r="Y110" s="12">
        <v>43465</v>
      </c>
      <c r="Z110">
        <v>25.623999999999999</v>
      </c>
      <c r="AA110" s="12">
        <v>43465</v>
      </c>
      <c r="AB110">
        <v>43.533999999999999</v>
      </c>
      <c r="AC110" s="12">
        <v>43465</v>
      </c>
      <c r="AD110">
        <v>24.12</v>
      </c>
      <c r="AE110" s="12">
        <v>43465</v>
      </c>
      <c r="AF110">
        <v>27.506</v>
      </c>
      <c r="AG110" s="12">
        <v>43465</v>
      </c>
      <c r="AH110">
        <v>6.3</v>
      </c>
      <c r="AK110" s="12">
        <v>43465</v>
      </c>
      <c r="AL110">
        <v>4.99</v>
      </c>
      <c r="AS110" s="12">
        <v>43465</v>
      </c>
      <c r="AT110">
        <v>1.891</v>
      </c>
      <c r="AU110" s="12">
        <v>43465</v>
      </c>
      <c r="AV110">
        <v>29.847000000000001</v>
      </c>
      <c r="AY110" s="12">
        <v>43465</v>
      </c>
      <c r="AZ110">
        <v>21.93</v>
      </c>
      <c r="BA110" s="12">
        <v>43465</v>
      </c>
      <c r="BB110">
        <v>46.082000000000001</v>
      </c>
      <c r="BC110" s="12">
        <v>43465</v>
      </c>
      <c r="BD110">
        <v>12.23</v>
      </c>
      <c r="BE110" s="12">
        <v>43553</v>
      </c>
      <c r="BF110">
        <v>8.8119999999999994</v>
      </c>
      <c r="BG110" s="12">
        <v>43465</v>
      </c>
      <c r="BH110">
        <v>20.687999999999999</v>
      </c>
      <c r="BI110" s="12">
        <v>43465</v>
      </c>
      <c r="BJ110">
        <v>41.533000000000001</v>
      </c>
      <c r="BK110" s="12">
        <v>43465</v>
      </c>
      <c r="BL110">
        <v>10.397</v>
      </c>
      <c r="BM110" s="12">
        <v>43465</v>
      </c>
      <c r="BN110">
        <v>19.55</v>
      </c>
      <c r="BO110" s="12">
        <v>43465</v>
      </c>
      <c r="BP110">
        <v>8.3879999999999999</v>
      </c>
      <c r="BQ110" s="12">
        <v>43465</v>
      </c>
      <c r="BR110">
        <v>14.388999999999999</v>
      </c>
      <c r="BS110" s="12">
        <v>43465</v>
      </c>
      <c r="BT110">
        <v>13.161</v>
      </c>
      <c r="BW110" s="12">
        <v>43465</v>
      </c>
      <c r="BX110">
        <v>8.766</v>
      </c>
      <c r="BY110" s="12">
        <v>43465</v>
      </c>
      <c r="BZ110">
        <v>28.385000000000002</v>
      </c>
      <c r="CA110" s="12">
        <v>43465</v>
      </c>
      <c r="CB110">
        <v>29.189</v>
      </c>
      <c r="CG110" s="12">
        <v>43465</v>
      </c>
      <c r="CH110">
        <v>32.744</v>
      </c>
      <c r="CI110" s="12">
        <v>43465</v>
      </c>
      <c r="CJ110">
        <v>58.116</v>
      </c>
      <c r="CK110" s="12">
        <v>43465</v>
      </c>
      <c r="CL110">
        <v>8.2430000000000003</v>
      </c>
      <c r="CQ110" s="12">
        <v>43465</v>
      </c>
      <c r="CR110">
        <v>14.427</v>
      </c>
      <c r="CS110" s="12">
        <v>43465</v>
      </c>
      <c r="CT110">
        <v>26.736000000000001</v>
      </c>
      <c r="CU110" s="12">
        <v>43465</v>
      </c>
      <c r="CV110">
        <v>6.9240000000000004</v>
      </c>
      <c r="CW110" s="12">
        <v>43465</v>
      </c>
      <c r="CX110">
        <v>11.542999999999999</v>
      </c>
      <c r="CY110" s="12">
        <v>43553</v>
      </c>
      <c r="CZ110">
        <v>9.59</v>
      </c>
      <c r="DA110" s="12">
        <v>43465</v>
      </c>
      <c r="DB110">
        <v>31.879000000000001</v>
      </c>
      <c r="DC110" s="12">
        <v>43465</v>
      </c>
      <c r="DD110">
        <v>23.591000000000001</v>
      </c>
      <c r="DE110" s="12">
        <v>43465</v>
      </c>
      <c r="DF110">
        <v>27.012</v>
      </c>
      <c r="DK110" s="12">
        <v>43465</v>
      </c>
      <c r="DL110">
        <v>21.68</v>
      </c>
      <c r="DO110" s="12">
        <v>43465</v>
      </c>
      <c r="DP110">
        <v>13.565</v>
      </c>
      <c r="DQ110" s="12">
        <v>43465</v>
      </c>
      <c r="DR110">
        <v>16.09</v>
      </c>
      <c r="DS110" s="12">
        <v>43496</v>
      </c>
      <c r="DT110">
        <v>40.429000000000002</v>
      </c>
      <c r="DU110" s="12">
        <v>43465</v>
      </c>
      <c r="DV110">
        <v>14.739000000000001</v>
      </c>
      <c r="DW110" s="12">
        <v>43465</v>
      </c>
      <c r="DX110">
        <v>5.8730000000000002</v>
      </c>
      <c r="DY110" s="12">
        <v>43465</v>
      </c>
      <c r="DZ110">
        <v>20.352</v>
      </c>
      <c r="EC110" s="12">
        <v>43465</v>
      </c>
      <c r="ED110">
        <v>67.599999999999994</v>
      </c>
      <c r="EE110" s="12">
        <v>43465</v>
      </c>
      <c r="EF110">
        <v>18.361999999999998</v>
      </c>
      <c r="EI110" s="12">
        <v>43465</v>
      </c>
      <c r="EJ110">
        <v>16.050999999999998</v>
      </c>
      <c r="EK110" s="12">
        <v>43465</v>
      </c>
      <c r="EL110">
        <v>11.93</v>
      </c>
      <c r="EM110" s="12">
        <v>43465</v>
      </c>
      <c r="EN110">
        <v>14.502000000000001</v>
      </c>
      <c r="EQ110" s="12">
        <v>43465</v>
      </c>
      <c r="ER110">
        <v>6.7690000000000001</v>
      </c>
      <c r="ES110" s="12">
        <v>43465</v>
      </c>
      <c r="ET110">
        <v>25.1</v>
      </c>
      <c r="EU110" s="12">
        <v>43465</v>
      </c>
      <c r="EV110">
        <v>7.7329999999999997</v>
      </c>
      <c r="EY110" s="12">
        <v>43465</v>
      </c>
      <c r="EZ110">
        <v>28.285</v>
      </c>
      <c r="FA110" s="12">
        <v>43465</v>
      </c>
      <c r="FB110">
        <v>28.879000000000001</v>
      </c>
      <c r="FC110" s="12">
        <v>43465</v>
      </c>
      <c r="FD110">
        <v>40.529000000000003</v>
      </c>
      <c r="FG110" s="12">
        <v>43465</v>
      </c>
      <c r="FH110">
        <v>10.643000000000001</v>
      </c>
      <c r="FI110" s="12">
        <v>43465</v>
      </c>
      <c r="FJ110">
        <v>26.53</v>
      </c>
      <c r="FK110" s="12">
        <v>43465</v>
      </c>
      <c r="FL110">
        <v>31.814</v>
      </c>
      <c r="FM110" s="12">
        <v>43465</v>
      </c>
      <c r="FN110">
        <v>11.327</v>
      </c>
      <c r="FO110" s="12">
        <v>43465</v>
      </c>
      <c r="FP110">
        <v>14.593</v>
      </c>
      <c r="FS110" s="12">
        <v>43465</v>
      </c>
      <c r="FT110">
        <v>2.6790000000000003</v>
      </c>
      <c r="FU110" s="12">
        <v>43465</v>
      </c>
      <c r="FV110">
        <v>14.759</v>
      </c>
      <c r="FW110" s="12">
        <v>43465</v>
      </c>
      <c r="FX110">
        <v>19.416</v>
      </c>
      <c r="GA110" s="12">
        <v>43465</v>
      </c>
      <c r="GB110">
        <v>22.972000000000001</v>
      </c>
      <c r="GC110" s="12">
        <v>43465</v>
      </c>
      <c r="GD110">
        <v>16.349</v>
      </c>
      <c r="GI110" s="12">
        <v>43465</v>
      </c>
      <c r="GJ110">
        <v>37.963000000000001</v>
      </c>
      <c r="GK110" s="12">
        <v>43465</v>
      </c>
      <c r="GL110">
        <v>55.2</v>
      </c>
      <c r="GM110" s="12">
        <v>43465</v>
      </c>
      <c r="GN110">
        <v>42.518999999999998</v>
      </c>
      <c r="GQ110" s="12">
        <v>43585</v>
      </c>
      <c r="GR110">
        <v>4.71</v>
      </c>
      <c r="GS110" s="12">
        <v>43465</v>
      </c>
      <c r="GT110">
        <v>2.15</v>
      </c>
      <c r="GW110" s="12">
        <v>43524</v>
      </c>
      <c r="GX110">
        <v>26.67</v>
      </c>
      <c r="GY110" s="12">
        <v>43465</v>
      </c>
      <c r="GZ110">
        <v>5.46</v>
      </c>
      <c r="HA110" s="12">
        <v>43465</v>
      </c>
      <c r="HB110">
        <v>11.606999999999999</v>
      </c>
      <c r="HC110" s="12">
        <v>43465</v>
      </c>
      <c r="HD110">
        <v>23.806999999999999</v>
      </c>
      <c r="HE110" s="12">
        <v>43465</v>
      </c>
      <c r="HF110">
        <v>22.6</v>
      </c>
      <c r="HG110" s="12">
        <v>43465</v>
      </c>
      <c r="HH110">
        <v>22.227</v>
      </c>
      <c r="HI110" s="12">
        <v>43465</v>
      </c>
      <c r="HJ110">
        <v>13.326000000000001</v>
      </c>
      <c r="HK110" s="12">
        <v>43465</v>
      </c>
      <c r="HL110">
        <v>1.5</v>
      </c>
      <c r="HM110" s="12">
        <v>43465</v>
      </c>
      <c r="HN110">
        <v>1.25</v>
      </c>
      <c r="HO110" s="12">
        <v>43465</v>
      </c>
      <c r="HP110">
        <v>1.26</v>
      </c>
      <c r="HQ110" s="12">
        <v>43553</v>
      </c>
      <c r="HR110">
        <v>4.4000000000000004</v>
      </c>
      <c r="HS110" s="12">
        <v>43465</v>
      </c>
      <c r="HT110">
        <v>80.194999999999993</v>
      </c>
      <c r="HU110" s="12">
        <v>43465</v>
      </c>
      <c r="HV110">
        <v>11.1</v>
      </c>
      <c r="HW110" s="12">
        <v>43465</v>
      </c>
      <c r="HX110">
        <v>24.978000000000002</v>
      </c>
      <c r="HY110" s="12">
        <v>43465</v>
      </c>
      <c r="HZ110">
        <v>21.951000000000001</v>
      </c>
      <c r="IA110" s="12">
        <v>43465</v>
      </c>
      <c r="IB110">
        <v>23.8</v>
      </c>
      <c r="IC110" s="12">
        <v>43465</v>
      </c>
      <c r="ID110">
        <v>3.9279999999999999</v>
      </c>
      <c r="IE110" s="12">
        <v>43465</v>
      </c>
      <c r="IF110">
        <v>2.2400000000000002</v>
      </c>
      <c r="IG110" s="12">
        <v>43769</v>
      </c>
      <c r="IH110">
        <v>18.5</v>
      </c>
      <c r="IM110" s="12">
        <v>43465</v>
      </c>
      <c r="IN110">
        <v>49.04</v>
      </c>
      <c r="IQ110" s="12">
        <v>43465</v>
      </c>
      <c r="IR110">
        <v>56.591000000000001</v>
      </c>
      <c r="IU110" s="12">
        <v>43465</v>
      </c>
      <c r="IV110">
        <v>8.9515999999999991</v>
      </c>
      <c r="IY110" s="12">
        <v>43465</v>
      </c>
      <c r="IZ110">
        <v>27.978000000000002</v>
      </c>
      <c r="JC110" s="12">
        <v>43465</v>
      </c>
      <c r="JD110">
        <v>2.99</v>
      </c>
      <c r="JE110" s="12">
        <v>43465</v>
      </c>
      <c r="JF110">
        <v>5.3</v>
      </c>
      <c r="JI110" s="12">
        <v>43465</v>
      </c>
      <c r="JJ110">
        <v>38.768000000000001</v>
      </c>
      <c r="JM110" s="12">
        <v>43465</v>
      </c>
      <c r="JN110">
        <v>3.2720000000000002</v>
      </c>
      <c r="JO110" s="12">
        <v>43465</v>
      </c>
      <c r="JP110">
        <v>29.727</v>
      </c>
      <c r="JS110" s="12">
        <v>43465</v>
      </c>
      <c r="JT110">
        <v>19.661999999999999</v>
      </c>
      <c r="JW110" s="12">
        <v>43465</v>
      </c>
      <c r="JX110">
        <v>17.626999999999999</v>
      </c>
      <c r="JY110" s="12">
        <v>43465</v>
      </c>
      <c r="JZ110">
        <v>27.56</v>
      </c>
      <c r="KE110" s="12">
        <v>43465</v>
      </c>
      <c r="KF110">
        <v>21.895</v>
      </c>
      <c r="KI110" s="12">
        <v>43465</v>
      </c>
      <c r="KJ110">
        <v>1.45</v>
      </c>
      <c r="KQ110" s="12">
        <v>43465</v>
      </c>
      <c r="KR110">
        <v>12.24</v>
      </c>
      <c r="KS110" s="12">
        <v>43465</v>
      </c>
      <c r="KT110">
        <v>9.1709999999999994</v>
      </c>
      <c r="KU110" s="12">
        <v>43465</v>
      </c>
      <c r="KV110">
        <v>11.324</v>
      </c>
      <c r="LC110" s="12">
        <v>43465</v>
      </c>
      <c r="LD110">
        <v>8.9420000000000002</v>
      </c>
      <c r="LE110" s="12">
        <v>43465</v>
      </c>
      <c r="LF110">
        <v>16.038</v>
      </c>
      <c r="LG110" s="12">
        <v>43465</v>
      </c>
      <c r="LH110">
        <v>19.010000000000002</v>
      </c>
      <c r="LI110" s="12">
        <v>43465</v>
      </c>
      <c r="LJ110">
        <v>25.62</v>
      </c>
      <c r="LM110" s="12">
        <v>43465</v>
      </c>
      <c r="LN110">
        <v>11.206</v>
      </c>
      <c r="LO110" s="12">
        <v>43465</v>
      </c>
      <c r="LP110">
        <v>8.9819999999999993</v>
      </c>
      <c r="LQ110" s="12">
        <v>43465</v>
      </c>
      <c r="LR110">
        <v>49.683</v>
      </c>
      <c r="LW110" s="12">
        <v>43465</v>
      </c>
      <c r="LX110">
        <v>4.4790000000000001</v>
      </c>
      <c r="LY110" s="12">
        <v>43465</v>
      </c>
      <c r="LZ110">
        <v>42.701000000000001</v>
      </c>
      <c r="MA110" s="12">
        <v>43465</v>
      </c>
      <c r="MB110">
        <v>17.201000000000001</v>
      </c>
      <c r="ME110" s="12">
        <v>43496</v>
      </c>
      <c r="MF110">
        <v>6</v>
      </c>
      <c r="MG110" s="12">
        <v>43465</v>
      </c>
      <c r="MH110">
        <v>17.195</v>
      </c>
      <c r="MK110" s="12">
        <v>43465</v>
      </c>
      <c r="ML110">
        <v>22.895</v>
      </c>
    </row>
    <row r="111" spans="1:350" x14ac:dyDescent="0.3">
      <c r="A111" s="12">
        <v>43496</v>
      </c>
      <c r="B111" s="1">
        <v>17.062000000000001</v>
      </c>
      <c r="C111" s="1"/>
      <c r="G111" s="17">
        <v>43496</v>
      </c>
      <c r="H111" s="13">
        <v>16.023</v>
      </c>
      <c r="I111" s="17">
        <v>43524</v>
      </c>
      <c r="J111">
        <v>19.82</v>
      </c>
      <c r="N111" s="12"/>
      <c r="Y111" s="12">
        <v>43496</v>
      </c>
      <c r="Z111">
        <v>30.077999999999999</v>
      </c>
      <c r="AA111" s="12">
        <v>43496</v>
      </c>
      <c r="AB111">
        <v>48.561999999999998</v>
      </c>
      <c r="AC111" s="12">
        <v>43496</v>
      </c>
      <c r="AD111">
        <v>28.701999999999998</v>
      </c>
      <c r="AE111" s="12">
        <v>43496</v>
      </c>
      <c r="AF111">
        <v>32.225000000000001</v>
      </c>
      <c r="AG111" s="12">
        <v>43496</v>
      </c>
      <c r="AH111">
        <v>6.7</v>
      </c>
      <c r="AK111" s="12">
        <v>43496</v>
      </c>
      <c r="AL111">
        <v>6.1</v>
      </c>
      <c r="AS111" s="12">
        <v>43496</v>
      </c>
      <c r="AT111">
        <v>2.1139999999999999</v>
      </c>
      <c r="AU111" s="12">
        <v>43496</v>
      </c>
      <c r="AV111">
        <v>27.044</v>
      </c>
      <c r="AY111" s="12">
        <v>43496</v>
      </c>
      <c r="AZ111">
        <v>23.54</v>
      </c>
      <c r="BA111" s="12">
        <v>43496</v>
      </c>
      <c r="BB111">
        <v>50.828000000000003</v>
      </c>
      <c r="BC111" s="12">
        <v>43496</v>
      </c>
      <c r="BD111">
        <v>13.615</v>
      </c>
      <c r="BE111" s="12">
        <v>43585</v>
      </c>
      <c r="BF111">
        <v>8.6639999999999997</v>
      </c>
      <c r="BG111" s="12">
        <v>43496</v>
      </c>
      <c r="BH111">
        <v>21.92</v>
      </c>
      <c r="BI111" s="12">
        <v>43496</v>
      </c>
      <c r="BJ111">
        <v>49.420999999999999</v>
      </c>
      <c r="BK111" s="12">
        <v>43496</v>
      </c>
      <c r="BL111">
        <v>13.813000000000001</v>
      </c>
      <c r="BM111" s="12">
        <v>43496</v>
      </c>
      <c r="BN111">
        <v>20.437000000000001</v>
      </c>
      <c r="BO111" s="12">
        <v>43496</v>
      </c>
      <c r="BP111">
        <v>11.266</v>
      </c>
      <c r="BQ111" s="12">
        <v>43496</v>
      </c>
      <c r="BR111">
        <v>15.529</v>
      </c>
      <c r="BS111" s="12">
        <v>43496</v>
      </c>
      <c r="BT111">
        <v>13.151</v>
      </c>
      <c r="BW111" s="12">
        <v>43496</v>
      </c>
      <c r="BX111">
        <v>11.295999999999999</v>
      </c>
      <c r="BY111" s="12">
        <v>43496</v>
      </c>
      <c r="BZ111">
        <v>32.075000000000003</v>
      </c>
      <c r="CA111" s="12">
        <v>43496</v>
      </c>
      <c r="CB111">
        <v>33.737000000000002</v>
      </c>
      <c r="CG111" s="12">
        <v>43496</v>
      </c>
      <c r="CH111">
        <v>43.44</v>
      </c>
      <c r="CI111" s="12">
        <v>43496</v>
      </c>
      <c r="CJ111">
        <v>56.302999999999997</v>
      </c>
      <c r="CK111" s="12">
        <v>43496</v>
      </c>
      <c r="CL111">
        <v>9.5109999999999992</v>
      </c>
      <c r="CQ111" s="12">
        <v>43496</v>
      </c>
      <c r="CR111">
        <v>15.863</v>
      </c>
      <c r="CS111" s="12">
        <v>43496</v>
      </c>
      <c r="CT111">
        <v>30.696999999999999</v>
      </c>
      <c r="CU111" s="12">
        <v>43496</v>
      </c>
      <c r="CV111">
        <v>8.4939999999999998</v>
      </c>
      <c r="CW111" s="12">
        <v>43496</v>
      </c>
      <c r="CX111">
        <v>11.943</v>
      </c>
      <c r="CY111" s="12">
        <v>43585</v>
      </c>
      <c r="CZ111">
        <v>8.11</v>
      </c>
      <c r="DA111" s="12">
        <v>43496</v>
      </c>
      <c r="DB111">
        <v>40.404000000000003</v>
      </c>
      <c r="DC111" s="12">
        <v>43496</v>
      </c>
      <c r="DD111">
        <v>36.414000000000001</v>
      </c>
      <c r="DE111" s="12">
        <v>43496</v>
      </c>
      <c r="DF111">
        <v>39.027000000000001</v>
      </c>
      <c r="DK111" s="12">
        <v>43496</v>
      </c>
      <c r="DL111">
        <v>19.34</v>
      </c>
      <c r="DO111" s="12">
        <v>43496</v>
      </c>
      <c r="DP111">
        <v>16.238</v>
      </c>
      <c r="DQ111" s="12">
        <v>43496</v>
      </c>
      <c r="DR111">
        <v>18.510000000000002</v>
      </c>
      <c r="DS111" s="12">
        <v>43524</v>
      </c>
      <c r="DT111">
        <v>39.697000000000003</v>
      </c>
      <c r="DU111" s="12">
        <v>43496</v>
      </c>
      <c r="DV111">
        <v>17.425999999999998</v>
      </c>
      <c r="DW111" s="12">
        <v>43496</v>
      </c>
      <c r="DX111">
        <v>6.5880000000000001</v>
      </c>
      <c r="DY111" s="12">
        <v>43496</v>
      </c>
      <c r="DZ111">
        <v>22.524000000000001</v>
      </c>
      <c r="EC111" s="12">
        <v>43496</v>
      </c>
      <c r="ED111">
        <v>66.3</v>
      </c>
      <c r="EE111" s="12">
        <v>43496</v>
      </c>
      <c r="EF111">
        <v>20.814</v>
      </c>
      <c r="EI111" s="12">
        <v>43496</v>
      </c>
      <c r="EJ111">
        <v>13.391999999999999</v>
      </c>
      <c r="EK111" s="12">
        <v>43496</v>
      </c>
      <c r="EL111">
        <v>12.378</v>
      </c>
      <c r="EM111" s="12">
        <v>43496</v>
      </c>
      <c r="EN111">
        <v>15.314</v>
      </c>
      <c r="EQ111" s="12">
        <v>43496</v>
      </c>
      <c r="ER111">
        <v>7.266</v>
      </c>
      <c r="ES111" s="12">
        <v>43496</v>
      </c>
      <c r="ET111">
        <v>24.72</v>
      </c>
      <c r="EU111" s="12">
        <v>43496</v>
      </c>
      <c r="EV111">
        <v>8.6199999999999992</v>
      </c>
      <c r="EY111" s="12">
        <v>43496</v>
      </c>
      <c r="EZ111">
        <v>30.427</v>
      </c>
      <c r="FA111" s="12">
        <v>43496</v>
      </c>
      <c r="FB111">
        <v>30.456</v>
      </c>
      <c r="FC111" s="12">
        <v>43496</v>
      </c>
      <c r="FD111">
        <v>43.404000000000003</v>
      </c>
      <c r="FG111" s="12">
        <v>43496</v>
      </c>
      <c r="FH111">
        <v>11.894</v>
      </c>
      <c r="FI111" s="12">
        <v>43496</v>
      </c>
      <c r="FJ111">
        <v>29.035</v>
      </c>
      <c r="FK111" s="12">
        <v>43496</v>
      </c>
      <c r="FL111">
        <v>34.768000000000001</v>
      </c>
      <c r="FM111" s="12">
        <v>43496</v>
      </c>
      <c r="FN111">
        <v>14.747</v>
      </c>
      <c r="FO111" s="12">
        <v>43496</v>
      </c>
      <c r="FP111">
        <v>14.672000000000001</v>
      </c>
      <c r="FS111" s="12">
        <v>43496</v>
      </c>
      <c r="FT111">
        <v>2.9820000000000002</v>
      </c>
      <c r="FU111" s="12">
        <v>43496</v>
      </c>
      <c r="FV111">
        <v>15.446999999999999</v>
      </c>
      <c r="FW111" s="12">
        <v>43496</v>
      </c>
      <c r="FX111">
        <v>20.847000000000001</v>
      </c>
      <c r="GA111" s="12">
        <v>43496</v>
      </c>
      <c r="GB111">
        <v>24.707000000000001</v>
      </c>
      <c r="GC111" s="12">
        <v>43496</v>
      </c>
      <c r="GD111">
        <v>19.757999999999999</v>
      </c>
      <c r="GI111" s="12">
        <v>43496</v>
      </c>
      <c r="GJ111">
        <v>40.738999999999997</v>
      </c>
      <c r="GK111" s="12">
        <v>43496</v>
      </c>
      <c r="GL111">
        <v>59.4</v>
      </c>
      <c r="GM111" s="12">
        <v>43496</v>
      </c>
      <c r="GN111">
        <v>47.296999999999997</v>
      </c>
      <c r="GQ111" s="12">
        <v>43616</v>
      </c>
      <c r="GR111">
        <v>5.01</v>
      </c>
      <c r="GS111" s="12">
        <v>43496</v>
      </c>
      <c r="GT111">
        <v>2.08</v>
      </c>
      <c r="GW111" s="12">
        <v>43553</v>
      </c>
      <c r="GX111">
        <v>26.84</v>
      </c>
      <c r="GY111" s="12">
        <v>43496</v>
      </c>
      <c r="GZ111">
        <v>6.08</v>
      </c>
      <c r="HA111" s="12">
        <v>43496</v>
      </c>
      <c r="HB111">
        <v>14.086</v>
      </c>
      <c r="HC111" s="12">
        <v>43496</v>
      </c>
      <c r="HD111">
        <v>25.616</v>
      </c>
      <c r="HE111" s="12">
        <v>43496</v>
      </c>
      <c r="HF111">
        <v>21.213999999999999</v>
      </c>
      <c r="HG111" s="12">
        <v>43496</v>
      </c>
      <c r="HH111">
        <v>23.556000000000001</v>
      </c>
      <c r="HI111" s="12">
        <v>43496</v>
      </c>
      <c r="HJ111">
        <v>15.846</v>
      </c>
      <c r="HK111" s="12">
        <v>43496</v>
      </c>
      <c r="HL111">
        <v>1.63</v>
      </c>
      <c r="HM111" s="12">
        <v>43496</v>
      </c>
      <c r="HN111">
        <v>1.3</v>
      </c>
      <c r="HO111" s="12">
        <v>43496</v>
      </c>
      <c r="HP111">
        <v>1.34</v>
      </c>
      <c r="HQ111" s="12">
        <v>43585</v>
      </c>
      <c r="HR111">
        <v>3.87</v>
      </c>
      <c r="HS111" s="12">
        <v>43496</v>
      </c>
      <c r="HT111">
        <v>96.337000000000003</v>
      </c>
      <c r="HU111" s="12">
        <v>43496</v>
      </c>
      <c r="HV111">
        <v>8.4</v>
      </c>
      <c r="HW111" s="12">
        <v>43496</v>
      </c>
      <c r="HX111">
        <v>29.059000000000001</v>
      </c>
      <c r="HY111" s="12">
        <v>43496</v>
      </c>
      <c r="HZ111">
        <v>24.757999999999999</v>
      </c>
      <c r="IA111" s="12">
        <v>43496</v>
      </c>
      <c r="IB111">
        <v>23.46</v>
      </c>
      <c r="IC111" s="12">
        <v>43496</v>
      </c>
      <c r="ID111">
        <v>3.9279999999999999</v>
      </c>
      <c r="IE111" s="12">
        <v>43496</v>
      </c>
      <c r="IF111">
        <v>2.36</v>
      </c>
      <c r="IG111" s="12">
        <v>43798</v>
      </c>
      <c r="IH111">
        <v>23.26</v>
      </c>
      <c r="IM111" s="12">
        <v>43496</v>
      </c>
      <c r="IN111">
        <v>52.735999999999997</v>
      </c>
      <c r="IQ111" s="12">
        <v>43496</v>
      </c>
      <c r="IR111">
        <v>61.393000000000001</v>
      </c>
      <c r="IU111" s="12">
        <v>43496</v>
      </c>
      <c r="IV111">
        <v>9.6669999999999998</v>
      </c>
      <c r="IY111" s="12">
        <v>43496</v>
      </c>
      <c r="IZ111">
        <v>31.315999999999999</v>
      </c>
      <c r="JC111" s="12">
        <v>43496</v>
      </c>
      <c r="JD111">
        <v>3</v>
      </c>
      <c r="JE111" s="12">
        <v>43496</v>
      </c>
      <c r="JF111">
        <v>5.52</v>
      </c>
      <c r="JI111" s="12">
        <v>43496</v>
      </c>
      <c r="JJ111">
        <v>44.837000000000003</v>
      </c>
      <c r="JM111" s="12">
        <v>43496</v>
      </c>
      <c r="JN111">
        <v>4.2649999999999997</v>
      </c>
      <c r="JO111" s="12">
        <v>43496</v>
      </c>
      <c r="JP111">
        <v>40.929000000000002</v>
      </c>
      <c r="JS111" s="12">
        <v>43496</v>
      </c>
      <c r="JT111">
        <v>20.808</v>
      </c>
      <c r="JW111" s="12">
        <v>43496</v>
      </c>
      <c r="JX111">
        <v>18.645</v>
      </c>
      <c r="JY111" s="12">
        <v>43496</v>
      </c>
      <c r="JZ111">
        <v>31.385999999999999</v>
      </c>
      <c r="KE111" s="12">
        <v>43496</v>
      </c>
      <c r="KF111">
        <v>23.861999999999998</v>
      </c>
      <c r="KI111" s="12">
        <v>43496</v>
      </c>
      <c r="KJ111">
        <v>1.3900000000000001</v>
      </c>
      <c r="KQ111" s="12">
        <v>43496</v>
      </c>
      <c r="KR111">
        <v>13.99</v>
      </c>
      <c r="KS111" s="12">
        <v>43496</v>
      </c>
      <c r="KT111">
        <v>10.663</v>
      </c>
      <c r="KU111" s="12">
        <v>43496</v>
      </c>
      <c r="KV111">
        <v>12.004</v>
      </c>
      <c r="LC111" s="12">
        <v>43496</v>
      </c>
      <c r="LD111">
        <v>10.986000000000001</v>
      </c>
      <c r="LE111" s="12">
        <v>43496</v>
      </c>
      <c r="LF111">
        <v>18.224</v>
      </c>
      <c r="LG111" s="12">
        <v>43496</v>
      </c>
      <c r="LH111">
        <v>17.189</v>
      </c>
      <c r="LI111" s="12">
        <v>43496</v>
      </c>
      <c r="LJ111">
        <v>27.545999999999999</v>
      </c>
      <c r="LM111" s="12">
        <v>43496</v>
      </c>
      <c r="LN111">
        <v>11.39</v>
      </c>
      <c r="LO111" s="12">
        <v>43496</v>
      </c>
      <c r="LP111">
        <v>9.6319999999999997</v>
      </c>
      <c r="LQ111" s="12">
        <v>43496</v>
      </c>
      <c r="LR111">
        <v>44.325000000000003</v>
      </c>
      <c r="LW111" s="12">
        <v>43496</v>
      </c>
      <c r="LX111">
        <v>3.7170000000000001</v>
      </c>
      <c r="LY111" s="12">
        <v>43496</v>
      </c>
      <c r="LZ111">
        <v>44.973999999999997</v>
      </c>
      <c r="MA111" s="12">
        <v>43496</v>
      </c>
      <c r="MB111">
        <v>19.963000000000001</v>
      </c>
      <c r="ME111" s="12">
        <v>43524</v>
      </c>
      <c r="MF111">
        <v>4.58</v>
      </c>
      <c r="MG111" s="12">
        <v>43496</v>
      </c>
      <c r="MH111">
        <v>18.47</v>
      </c>
      <c r="MK111" s="12">
        <v>43496</v>
      </c>
      <c r="ML111">
        <v>29.966999999999999</v>
      </c>
    </row>
    <row r="112" spans="1:350" x14ac:dyDescent="0.3">
      <c r="A112" s="12">
        <v>43524</v>
      </c>
      <c r="B112" s="1">
        <v>16.789000000000001</v>
      </c>
      <c r="C112" s="1"/>
      <c r="G112" s="17">
        <v>43524</v>
      </c>
      <c r="H112" s="13">
        <v>15.32</v>
      </c>
      <c r="I112" s="17">
        <v>43553</v>
      </c>
      <c r="J112">
        <v>19.690999999999999</v>
      </c>
      <c r="N112" s="12"/>
      <c r="Y112" s="12">
        <v>43524</v>
      </c>
      <c r="Z112">
        <v>31.338999999999999</v>
      </c>
      <c r="AA112" s="12">
        <v>43524</v>
      </c>
      <c r="AB112">
        <v>47.914999999999999</v>
      </c>
      <c r="AC112" s="12">
        <v>43524</v>
      </c>
      <c r="AD112">
        <v>27.48</v>
      </c>
      <c r="AE112" s="12">
        <v>43524</v>
      </c>
      <c r="AF112">
        <v>30.821000000000002</v>
      </c>
      <c r="AG112" s="12">
        <v>43524</v>
      </c>
      <c r="AH112">
        <v>6.97</v>
      </c>
      <c r="AK112" s="12">
        <v>43524</v>
      </c>
      <c r="AL112">
        <v>6.38</v>
      </c>
      <c r="AS112" s="12">
        <v>43524</v>
      </c>
      <c r="AT112">
        <v>2.9089999999999998</v>
      </c>
      <c r="AU112" s="12">
        <v>43524</v>
      </c>
      <c r="AV112">
        <v>27.707000000000001</v>
      </c>
      <c r="AY112" s="12">
        <v>43524</v>
      </c>
      <c r="AZ112">
        <v>20.57</v>
      </c>
      <c r="BA112" s="12">
        <v>43524</v>
      </c>
      <c r="BB112">
        <v>52.91</v>
      </c>
      <c r="BC112" s="12">
        <v>43524</v>
      </c>
      <c r="BD112">
        <v>12.529</v>
      </c>
      <c r="BE112" s="12">
        <v>43616</v>
      </c>
      <c r="BF112">
        <v>8.6829999999999998</v>
      </c>
      <c r="BG112" s="12">
        <v>43524</v>
      </c>
      <c r="BH112">
        <v>23.318999999999999</v>
      </c>
      <c r="BI112" s="12">
        <v>43524</v>
      </c>
      <c r="BJ112">
        <v>47.79</v>
      </c>
      <c r="BK112" s="12">
        <v>43524</v>
      </c>
      <c r="BL112">
        <v>13.209</v>
      </c>
      <c r="BM112" s="12">
        <v>43524</v>
      </c>
      <c r="BN112">
        <v>21.611999999999998</v>
      </c>
      <c r="BO112" s="12">
        <v>43524</v>
      </c>
      <c r="BP112">
        <v>10.499000000000001</v>
      </c>
      <c r="BQ112" s="12">
        <v>43524</v>
      </c>
      <c r="BR112">
        <v>16.036000000000001</v>
      </c>
      <c r="BS112" s="12">
        <v>43524</v>
      </c>
      <c r="BT112">
        <v>13.673</v>
      </c>
      <c r="BW112" s="12">
        <v>43524</v>
      </c>
      <c r="BX112">
        <v>10.840999999999999</v>
      </c>
      <c r="BY112" s="12">
        <v>43524</v>
      </c>
      <c r="BZ112">
        <v>30.196000000000002</v>
      </c>
      <c r="CA112" s="12">
        <v>43524</v>
      </c>
      <c r="CB112">
        <v>34.148000000000003</v>
      </c>
      <c r="CG112" s="12">
        <v>43524</v>
      </c>
      <c r="CH112">
        <v>42.765000000000001</v>
      </c>
      <c r="CI112" s="12">
        <v>43524</v>
      </c>
      <c r="CJ112">
        <v>58.512999999999998</v>
      </c>
      <c r="CK112" s="12">
        <v>43524</v>
      </c>
      <c r="CL112">
        <v>12.196</v>
      </c>
      <c r="CQ112" s="12">
        <v>43524</v>
      </c>
      <c r="CR112">
        <v>15.946999999999999</v>
      </c>
      <c r="CS112" s="12">
        <v>43524</v>
      </c>
      <c r="CT112">
        <v>29.509</v>
      </c>
      <c r="CU112" s="12">
        <v>43524</v>
      </c>
      <c r="CV112">
        <v>8.0410000000000004</v>
      </c>
      <c r="CW112" s="12">
        <v>43524</v>
      </c>
      <c r="CX112">
        <v>11.513999999999999</v>
      </c>
      <c r="CY112" s="12">
        <v>43616</v>
      </c>
      <c r="CZ112">
        <v>9.4600000000000009</v>
      </c>
      <c r="DA112" s="12">
        <v>43524</v>
      </c>
      <c r="DB112">
        <v>39.738</v>
      </c>
      <c r="DC112" s="12">
        <v>43524</v>
      </c>
      <c r="DD112">
        <v>36.005000000000003</v>
      </c>
      <c r="DE112" s="12">
        <v>43524</v>
      </c>
      <c r="DF112">
        <v>37.368000000000002</v>
      </c>
      <c r="DK112" s="12">
        <v>43524</v>
      </c>
      <c r="DL112">
        <v>19.079999999999998</v>
      </c>
      <c r="DO112" s="12">
        <v>43524</v>
      </c>
      <c r="DP112">
        <v>16.731000000000002</v>
      </c>
      <c r="DQ112" s="12">
        <v>43524</v>
      </c>
      <c r="DR112">
        <v>18.690000000000001</v>
      </c>
      <c r="DS112" s="12">
        <v>43553</v>
      </c>
      <c r="DT112">
        <v>40.090000000000003</v>
      </c>
      <c r="DU112" s="12">
        <v>43524</v>
      </c>
      <c r="DV112">
        <v>16.236000000000001</v>
      </c>
      <c r="DW112" s="12">
        <v>43524</v>
      </c>
      <c r="DX112">
        <v>5.8440000000000003</v>
      </c>
      <c r="DY112" s="12">
        <v>43524</v>
      </c>
      <c r="DZ112">
        <v>21.693999999999999</v>
      </c>
      <c r="EE112" s="12">
        <v>43524</v>
      </c>
      <c r="EF112">
        <v>18.684000000000001</v>
      </c>
      <c r="EI112" s="12">
        <v>43524</v>
      </c>
      <c r="EJ112">
        <v>9.327</v>
      </c>
      <c r="EK112" s="12">
        <v>43524</v>
      </c>
      <c r="EL112">
        <v>12.164</v>
      </c>
      <c r="EM112" s="12">
        <v>43524</v>
      </c>
      <c r="EN112">
        <v>14.815</v>
      </c>
      <c r="EQ112" s="12">
        <v>43524</v>
      </c>
      <c r="ER112">
        <v>7.0030000000000001</v>
      </c>
      <c r="ES112" s="12">
        <v>43524</v>
      </c>
      <c r="ET112">
        <v>26.66</v>
      </c>
      <c r="EU112" s="12">
        <v>43524</v>
      </c>
      <c r="EV112">
        <v>8.1769999999999996</v>
      </c>
      <c r="EY112" s="12">
        <v>43524</v>
      </c>
      <c r="EZ112">
        <v>29.442</v>
      </c>
      <c r="FA112" s="12">
        <v>43524</v>
      </c>
      <c r="FB112">
        <v>25.722999999999999</v>
      </c>
      <c r="FC112" s="12">
        <v>43524</v>
      </c>
      <c r="FD112">
        <v>40.918999999999997</v>
      </c>
      <c r="FG112" s="12">
        <v>43524</v>
      </c>
      <c r="FH112">
        <v>11.54</v>
      </c>
      <c r="FI112" s="12">
        <v>43524</v>
      </c>
      <c r="FJ112">
        <v>29.038</v>
      </c>
      <c r="FK112" s="12">
        <v>43524</v>
      </c>
      <c r="FL112">
        <v>33.152000000000001</v>
      </c>
      <c r="FM112" s="12">
        <v>43524</v>
      </c>
      <c r="FN112">
        <v>13.125</v>
      </c>
      <c r="FO112" s="12">
        <v>43524</v>
      </c>
      <c r="FP112">
        <v>16.872</v>
      </c>
      <c r="FS112" s="12">
        <v>43524</v>
      </c>
      <c r="FT112">
        <v>2.9569999999999999</v>
      </c>
      <c r="FU112" s="12">
        <v>43524</v>
      </c>
      <c r="FV112">
        <v>14.805</v>
      </c>
      <c r="FW112" s="12">
        <v>43524</v>
      </c>
      <c r="FX112">
        <v>19.699000000000002</v>
      </c>
      <c r="GA112" s="12">
        <v>43524</v>
      </c>
      <c r="GB112">
        <v>24.184000000000001</v>
      </c>
      <c r="GC112" s="12">
        <v>43524</v>
      </c>
      <c r="GD112">
        <v>19.669</v>
      </c>
      <c r="GI112" s="12">
        <v>43524</v>
      </c>
      <c r="GJ112">
        <v>38.750999999999998</v>
      </c>
      <c r="GM112" s="12">
        <v>43524</v>
      </c>
      <c r="GN112">
        <v>46.670999999999999</v>
      </c>
      <c r="GQ112" s="12">
        <v>43644</v>
      </c>
      <c r="GR112">
        <v>6</v>
      </c>
      <c r="GS112" s="12">
        <v>43524</v>
      </c>
      <c r="GT112">
        <v>2.11</v>
      </c>
      <c r="GW112" s="12">
        <v>43585</v>
      </c>
      <c r="GX112">
        <v>26.8</v>
      </c>
      <c r="GY112" s="12">
        <v>43524</v>
      </c>
      <c r="GZ112">
        <v>5.5</v>
      </c>
      <c r="HA112" s="12">
        <v>43524</v>
      </c>
      <c r="HB112">
        <v>12.762</v>
      </c>
      <c r="HC112" s="12">
        <v>43524</v>
      </c>
      <c r="HD112">
        <v>24.77</v>
      </c>
      <c r="HE112" s="12">
        <v>43524</v>
      </c>
      <c r="HF112">
        <v>20.616</v>
      </c>
      <c r="HG112" s="12">
        <v>43524</v>
      </c>
      <c r="HH112">
        <v>24.091999999999999</v>
      </c>
      <c r="HI112" s="12">
        <v>43524</v>
      </c>
      <c r="HJ112">
        <v>16.088000000000001</v>
      </c>
      <c r="HM112" s="12">
        <v>43524</v>
      </c>
      <c r="HN112">
        <v>1.79</v>
      </c>
      <c r="HO112" s="12">
        <v>43524</v>
      </c>
      <c r="HP112">
        <v>1.8</v>
      </c>
      <c r="HQ112" s="12">
        <v>43616</v>
      </c>
      <c r="HR112">
        <v>3.29</v>
      </c>
      <c r="HS112" s="12">
        <v>43524</v>
      </c>
      <c r="HT112">
        <v>92.207999999999998</v>
      </c>
      <c r="HU112" s="12">
        <v>43524</v>
      </c>
      <c r="HV112">
        <v>7.3</v>
      </c>
      <c r="HW112" s="12">
        <v>43524</v>
      </c>
      <c r="HX112">
        <v>29.364000000000001</v>
      </c>
      <c r="HY112" s="12">
        <v>43524</v>
      </c>
      <c r="HZ112">
        <v>26.19</v>
      </c>
      <c r="IA112" s="12">
        <v>43524</v>
      </c>
      <c r="IB112">
        <v>24.82</v>
      </c>
      <c r="IC112" s="12">
        <v>43524</v>
      </c>
      <c r="ID112">
        <v>3.9</v>
      </c>
      <c r="IE112" s="12">
        <v>43524</v>
      </c>
      <c r="IF112">
        <v>2.35</v>
      </c>
      <c r="IG112" s="12">
        <v>43830</v>
      </c>
      <c r="IH112">
        <v>33.06</v>
      </c>
      <c r="IM112" s="12">
        <v>43524</v>
      </c>
      <c r="IN112">
        <v>52.698</v>
      </c>
      <c r="IQ112" s="12">
        <v>43524</v>
      </c>
      <c r="IR112">
        <v>64.77</v>
      </c>
      <c r="IU112" s="12">
        <v>43524</v>
      </c>
      <c r="IV112">
        <v>9.3285999999999998</v>
      </c>
      <c r="IY112" s="12">
        <v>43524</v>
      </c>
      <c r="IZ112">
        <v>32.491999999999997</v>
      </c>
      <c r="JC112" s="12">
        <v>43524</v>
      </c>
      <c r="JD112">
        <v>2.94</v>
      </c>
      <c r="JE112" s="12">
        <v>43524</v>
      </c>
      <c r="JF112">
        <v>4.9800000000000004</v>
      </c>
      <c r="JI112" s="12">
        <v>43524</v>
      </c>
      <c r="JJ112">
        <v>41.917999999999999</v>
      </c>
      <c r="JM112" s="12">
        <v>43524</v>
      </c>
      <c r="JN112">
        <v>4.3220000000000001</v>
      </c>
      <c r="JO112" s="12">
        <v>43524</v>
      </c>
      <c r="JP112">
        <v>37.136000000000003</v>
      </c>
      <c r="JS112" s="12">
        <v>43524</v>
      </c>
      <c r="JT112">
        <v>19.268000000000001</v>
      </c>
      <c r="JW112" s="12">
        <v>43524</v>
      </c>
      <c r="JX112">
        <v>18.199000000000002</v>
      </c>
      <c r="JY112" s="12">
        <v>43524</v>
      </c>
      <c r="JZ112">
        <v>29.724</v>
      </c>
      <c r="KE112" s="12">
        <v>43524</v>
      </c>
      <c r="KF112">
        <v>23.157</v>
      </c>
      <c r="KI112" s="12">
        <v>43524</v>
      </c>
      <c r="KJ112">
        <v>1.28</v>
      </c>
      <c r="KQ112" s="12">
        <v>43524</v>
      </c>
      <c r="KR112">
        <v>13.1</v>
      </c>
      <c r="KS112" s="12">
        <v>43524</v>
      </c>
      <c r="KT112">
        <v>10.653</v>
      </c>
      <c r="KU112" s="12">
        <v>43524</v>
      </c>
      <c r="KV112">
        <v>11.443</v>
      </c>
      <c r="LC112" s="12">
        <v>43524</v>
      </c>
      <c r="LD112">
        <v>12.04</v>
      </c>
      <c r="LE112" s="12">
        <v>43524</v>
      </c>
      <c r="LF112">
        <v>17.896999999999998</v>
      </c>
      <c r="LG112" s="12">
        <v>43524</v>
      </c>
      <c r="LH112">
        <v>17.359000000000002</v>
      </c>
      <c r="LI112" s="12">
        <v>43524</v>
      </c>
      <c r="LJ112">
        <v>25.721</v>
      </c>
      <c r="LM112" s="12">
        <v>43524</v>
      </c>
      <c r="LN112">
        <v>11.045</v>
      </c>
      <c r="LO112" s="12">
        <v>43524</v>
      </c>
      <c r="LP112">
        <v>9.4849999999999994</v>
      </c>
      <c r="LQ112" s="12">
        <v>43524</v>
      </c>
      <c r="LR112">
        <v>45.884</v>
      </c>
      <c r="LW112" s="12">
        <v>43524</v>
      </c>
      <c r="LX112">
        <v>3.5259999999999998</v>
      </c>
      <c r="LY112" s="12">
        <v>43524</v>
      </c>
      <c r="LZ112">
        <v>43.219000000000001</v>
      </c>
      <c r="MA112" s="12">
        <v>43524</v>
      </c>
      <c r="MB112">
        <v>18.815999999999999</v>
      </c>
      <c r="ME112" s="12">
        <v>43553</v>
      </c>
      <c r="MF112">
        <v>4.22</v>
      </c>
      <c r="MG112" s="12">
        <v>43524</v>
      </c>
      <c r="MH112">
        <v>18.137</v>
      </c>
      <c r="MK112" s="12">
        <v>43524</v>
      </c>
      <c r="ML112">
        <v>26.547000000000001</v>
      </c>
    </row>
    <row r="113" spans="1:350" x14ac:dyDescent="0.3">
      <c r="A113" s="12">
        <v>43553</v>
      </c>
      <c r="B113" s="1">
        <v>16.399000000000001</v>
      </c>
      <c r="C113" s="1"/>
      <c r="G113" s="17">
        <v>43553</v>
      </c>
      <c r="H113" s="13">
        <v>15.356</v>
      </c>
      <c r="I113" s="17">
        <v>43585</v>
      </c>
      <c r="J113">
        <v>19</v>
      </c>
      <c r="N113" s="12"/>
      <c r="Y113" s="12">
        <v>43553</v>
      </c>
      <c r="Z113">
        <v>30.878</v>
      </c>
      <c r="AA113" s="12">
        <v>43553</v>
      </c>
      <c r="AB113">
        <v>46.268999999999998</v>
      </c>
      <c r="AC113" s="12">
        <v>43553</v>
      </c>
      <c r="AD113">
        <v>27.007999999999999</v>
      </c>
      <c r="AE113" s="12">
        <v>43553</v>
      </c>
      <c r="AF113">
        <v>30.6</v>
      </c>
      <c r="AG113" s="12">
        <v>43553</v>
      </c>
      <c r="AH113">
        <v>5.25</v>
      </c>
      <c r="AK113" s="12">
        <v>43553</v>
      </c>
      <c r="AL113">
        <v>7.03</v>
      </c>
      <c r="AS113" s="12">
        <v>43553</v>
      </c>
      <c r="AT113">
        <v>3.161</v>
      </c>
      <c r="AU113" s="12">
        <v>43553</v>
      </c>
      <c r="AV113">
        <v>30.667999999999999</v>
      </c>
      <c r="AY113" s="12">
        <v>43553</v>
      </c>
      <c r="AZ113">
        <v>22.65</v>
      </c>
      <c r="BA113" s="12">
        <v>43553</v>
      </c>
      <c r="BB113">
        <v>49.505000000000003</v>
      </c>
      <c r="BC113" s="12">
        <v>43553</v>
      </c>
      <c r="BD113">
        <v>11.824</v>
      </c>
      <c r="BE113" s="12">
        <v>43644</v>
      </c>
      <c r="BF113">
        <v>9.7530000000000001</v>
      </c>
      <c r="BG113" s="12">
        <v>43553</v>
      </c>
      <c r="BH113">
        <v>22.86</v>
      </c>
      <c r="BI113" s="12">
        <v>43553</v>
      </c>
      <c r="BJ113">
        <v>41.731000000000002</v>
      </c>
      <c r="BK113" s="12">
        <v>43553</v>
      </c>
      <c r="BL113">
        <v>10.898</v>
      </c>
      <c r="BM113" s="12">
        <v>43553</v>
      </c>
      <c r="BN113">
        <v>21.648</v>
      </c>
      <c r="BO113" s="12">
        <v>43553</v>
      </c>
      <c r="BP113">
        <v>9.218</v>
      </c>
      <c r="BQ113" s="12">
        <v>43553</v>
      </c>
      <c r="BR113">
        <v>15.988</v>
      </c>
      <c r="BS113" s="12">
        <v>43553</v>
      </c>
      <c r="BT113">
        <v>13.199</v>
      </c>
      <c r="BW113" s="12">
        <v>43553</v>
      </c>
      <c r="BX113">
        <v>10.475999999999999</v>
      </c>
      <c r="BY113" s="12">
        <v>43553</v>
      </c>
      <c r="BZ113">
        <v>29.989000000000001</v>
      </c>
      <c r="CA113" s="12">
        <v>43553</v>
      </c>
      <c r="CB113">
        <v>34.779000000000003</v>
      </c>
      <c r="CG113" s="12">
        <v>43553</v>
      </c>
      <c r="CH113">
        <v>41.738</v>
      </c>
      <c r="CI113" s="12">
        <v>43553</v>
      </c>
      <c r="CJ113">
        <v>58.784999999999997</v>
      </c>
      <c r="CK113" s="12">
        <v>43553</v>
      </c>
      <c r="CL113">
        <v>15.151999999999999</v>
      </c>
      <c r="CQ113" s="12">
        <v>43553</v>
      </c>
      <c r="CR113">
        <v>15.173</v>
      </c>
      <c r="CS113" s="12">
        <v>43553</v>
      </c>
      <c r="CT113">
        <v>28.222000000000001</v>
      </c>
      <c r="CU113" s="12">
        <v>43553</v>
      </c>
      <c r="CV113">
        <v>8.3360000000000003</v>
      </c>
      <c r="CW113" s="12">
        <v>43553</v>
      </c>
      <c r="CX113">
        <v>10.704000000000001</v>
      </c>
      <c r="CY113" s="12">
        <v>43644</v>
      </c>
      <c r="CZ113">
        <v>10.76</v>
      </c>
      <c r="DA113" s="12">
        <v>43553</v>
      </c>
      <c r="DB113">
        <v>41.234000000000002</v>
      </c>
      <c r="DC113" s="12">
        <v>43553</v>
      </c>
      <c r="DD113">
        <v>35.722999999999999</v>
      </c>
      <c r="DE113" s="12">
        <v>43553</v>
      </c>
      <c r="DF113">
        <v>36.304000000000002</v>
      </c>
      <c r="DK113" s="12">
        <v>43553</v>
      </c>
      <c r="DL113">
        <v>18.45</v>
      </c>
      <c r="DO113" s="12">
        <v>43553</v>
      </c>
      <c r="DP113">
        <v>16.422000000000001</v>
      </c>
      <c r="DQ113" s="12">
        <v>43553</v>
      </c>
      <c r="DR113">
        <v>18.5</v>
      </c>
      <c r="DS113" s="12">
        <v>43585</v>
      </c>
      <c r="DT113">
        <v>41.326000000000001</v>
      </c>
      <c r="DU113" s="12">
        <v>43553</v>
      </c>
      <c r="DV113">
        <v>15.815</v>
      </c>
      <c r="DW113" s="12">
        <v>43553</v>
      </c>
      <c r="DX113">
        <v>5.8730000000000002</v>
      </c>
      <c r="DY113" s="12">
        <v>43553</v>
      </c>
      <c r="DZ113">
        <v>21.8</v>
      </c>
      <c r="EE113" s="12">
        <v>43553</v>
      </c>
      <c r="EF113">
        <v>19.736000000000001</v>
      </c>
      <c r="EI113" s="12">
        <v>43553</v>
      </c>
      <c r="EJ113">
        <v>8.1110000000000007</v>
      </c>
      <c r="EK113" s="12">
        <v>43553</v>
      </c>
      <c r="EL113">
        <v>11.988</v>
      </c>
      <c r="EM113" s="12">
        <v>43553</v>
      </c>
      <c r="EN113">
        <v>14.914</v>
      </c>
      <c r="EQ113" s="12">
        <v>43553</v>
      </c>
      <c r="ER113">
        <v>6.9829999999999997</v>
      </c>
      <c r="ES113" s="12">
        <v>43553</v>
      </c>
      <c r="ET113">
        <v>25.9</v>
      </c>
      <c r="EU113" s="12">
        <v>43553</v>
      </c>
      <c r="EV113">
        <v>7.9030000000000005</v>
      </c>
      <c r="EY113" s="12">
        <v>43553</v>
      </c>
      <c r="EZ113">
        <v>29.15</v>
      </c>
      <c r="FA113" s="12">
        <v>43553</v>
      </c>
      <c r="FB113">
        <v>24.766999999999999</v>
      </c>
      <c r="FC113" s="12">
        <v>43553</v>
      </c>
      <c r="FD113">
        <v>38.113999999999997</v>
      </c>
      <c r="FG113" s="12">
        <v>43553</v>
      </c>
      <c r="FH113">
        <v>11.194000000000001</v>
      </c>
      <c r="FI113" s="12">
        <v>43553</v>
      </c>
      <c r="FJ113">
        <v>27.876000000000001</v>
      </c>
      <c r="FK113" s="12">
        <v>43553</v>
      </c>
      <c r="FL113">
        <v>32.412999999999997</v>
      </c>
      <c r="FM113" s="12">
        <v>43553</v>
      </c>
      <c r="FN113">
        <v>15.558</v>
      </c>
      <c r="FO113" s="12">
        <v>43553</v>
      </c>
      <c r="FP113">
        <v>16.920999999999999</v>
      </c>
      <c r="FS113" s="12">
        <v>43553</v>
      </c>
      <c r="FT113">
        <v>2.919</v>
      </c>
      <c r="FU113" s="12">
        <v>43553</v>
      </c>
      <c r="FV113">
        <v>13.048</v>
      </c>
      <c r="FW113" s="12">
        <v>43553</v>
      </c>
      <c r="FX113">
        <v>16.591999999999999</v>
      </c>
      <c r="GA113" s="12">
        <v>43553</v>
      </c>
      <c r="GB113">
        <v>22.318999999999999</v>
      </c>
      <c r="GC113" s="12">
        <v>43553</v>
      </c>
      <c r="GD113">
        <v>20.361999999999998</v>
      </c>
      <c r="GI113" s="12">
        <v>43553</v>
      </c>
      <c r="GJ113">
        <v>39.301000000000002</v>
      </c>
      <c r="GM113" s="12">
        <v>43553</v>
      </c>
      <c r="GN113">
        <v>43.164000000000001</v>
      </c>
      <c r="GQ113" s="12">
        <v>43677</v>
      </c>
      <c r="GR113">
        <v>6.95</v>
      </c>
      <c r="GS113" s="12">
        <v>43553</v>
      </c>
      <c r="GT113">
        <v>2.0699999999999998</v>
      </c>
      <c r="GY113" s="12">
        <v>43553</v>
      </c>
      <c r="GZ113">
        <v>5.98</v>
      </c>
      <c r="HA113" s="12">
        <v>43553</v>
      </c>
      <c r="HB113">
        <v>13.138</v>
      </c>
      <c r="HC113" s="12">
        <v>43553</v>
      </c>
      <c r="HD113">
        <v>23.018000000000001</v>
      </c>
      <c r="HE113" s="12">
        <v>43553</v>
      </c>
      <c r="HF113">
        <v>20.36</v>
      </c>
      <c r="HG113" s="12">
        <v>43553</v>
      </c>
      <c r="HH113">
        <v>22.603000000000002</v>
      </c>
      <c r="HI113" s="12">
        <v>43553</v>
      </c>
      <c r="HJ113">
        <v>15.927</v>
      </c>
      <c r="HM113" s="12">
        <v>43553</v>
      </c>
      <c r="HN113">
        <v>1.52</v>
      </c>
      <c r="HO113" s="12">
        <v>43553</v>
      </c>
      <c r="HP113">
        <v>1.51</v>
      </c>
      <c r="HQ113" s="12">
        <v>43644</v>
      </c>
      <c r="HR113">
        <v>4.7</v>
      </c>
      <c r="HS113" s="12">
        <v>43553</v>
      </c>
      <c r="HT113">
        <v>91.322000000000003</v>
      </c>
      <c r="HU113" s="12">
        <v>43553</v>
      </c>
      <c r="HV113">
        <v>7.3</v>
      </c>
      <c r="HW113" s="12">
        <v>43553</v>
      </c>
      <c r="HX113">
        <v>30.632000000000001</v>
      </c>
      <c r="HY113" s="12">
        <v>43553</v>
      </c>
      <c r="HZ113">
        <v>27.158000000000001</v>
      </c>
      <c r="IA113" s="12">
        <v>43553</v>
      </c>
      <c r="IB113">
        <v>24.82</v>
      </c>
      <c r="IC113" s="12">
        <v>43553</v>
      </c>
      <c r="ID113">
        <v>3.7549999999999999</v>
      </c>
      <c r="IE113" s="12">
        <v>43553</v>
      </c>
      <c r="IF113">
        <v>2.2800000000000002</v>
      </c>
      <c r="IM113" s="12">
        <v>43553</v>
      </c>
      <c r="IN113">
        <v>50.62</v>
      </c>
      <c r="IQ113" s="12">
        <v>43553</v>
      </c>
      <c r="IR113">
        <v>64.83</v>
      </c>
      <c r="IU113" s="12">
        <v>43553</v>
      </c>
      <c r="IV113">
        <v>9.3770000000000007</v>
      </c>
      <c r="IY113" s="12">
        <v>43553</v>
      </c>
      <c r="IZ113">
        <v>31.183</v>
      </c>
      <c r="JC113" s="12">
        <v>43553</v>
      </c>
      <c r="JD113">
        <v>2.56</v>
      </c>
      <c r="JE113" s="12">
        <v>43553</v>
      </c>
      <c r="JF113">
        <v>4.6899999999999995</v>
      </c>
      <c r="JI113" s="12">
        <v>43553</v>
      </c>
      <c r="JJ113">
        <v>41.012999999999998</v>
      </c>
      <c r="JM113" s="12">
        <v>43553</v>
      </c>
      <c r="JN113">
        <v>4.391</v>
      </c>
      <c r="JO113" s="12">
        <v>43553</v>
      </c>
      <c r="JP113">
        <v>39.636000000000003</v>
      </c>
      <c r="JS113" s="12">
        <v>43553</v>
      </c>
      <c r="JT113">
        <v>19.286999999999999</v>
      </c>
      <c r="JW113" s="12">
        <v>43553</v>
      </c>
      <c r="JX113">
        <v>17.771999999999998</v>
      </c>
      <c r="JY113" s="12">
        <v>43553</v>
      </c>
      <c r="JZ113">
        <v>29.341999999999999</v>
      </c>
      <c r="KE113" s="12">
        <v>43553</v>
      </c>
      <c r="KF113">
        <v>23.007999999999999</v>
      </c>
      <c r="KI113" s="12">
        <v>43553</v>
      </c>
      <c r="KJ113">
        <v>1.31</v>
      </c>
      <c r="KQ113" s="12">
        <v>43553</v>
      </c>
      <c r="KR113">
        <v>13.2</v>
      </c>
      <c r="KS113" s="12">
        <v>43553</v>
      </c>
      <c r="KT113">
        <v>10.141</v>
      </c>
      <c r="KU113" s="12">
        <v>43553</v>
      </c>
      <c r="KV113">
        <v>11.414</v>
      </c>
      <c r="LC113" s="12">
        <v>43553</v>
      </c>
      <c r="LD113">
        <v>13.013999999999999</v>
      </c>
      <c r="LE113" s="12">
        <v>43553</v>
      </c>
      <c r="LF113">
        <v>17.882999999999999</v>
      </c>
      <c r="LG113" s="12">
        <v>43553</v>
      </c>
      <c r="LH113">
        <v>17.949000000000002</v>
      </c>
      <c r="LI113" s="12">
        <v>43553</v>
      </c>
      <c r="LJ113">
        <v>22.934999999999999</v>
      </c>
      <c r="LM113" s="12">
        <v>43553</v>
      </c>
      <c r="LN113">
        <v>11.478999999999999</v>
      </c>
      <c r="LO113" s="12">
        <v>43553</v>
      </c>
      <c r="LP113">
        <v>9.8580000000000005</v>
      </c>
      <c r="LQ113" s="12">
        <v>43553</v>
      </c>
      <c r="LR113">
        <v>49.615000000000002</v>
      </c>
      <c r="LW113" s="12">
        <v>43553</v>
      </c>
      <c r="LX113">
        <v>3.5259999999999998</v>
      </c>
      <c r="LY113" s="12">
        <v>43553</v>
      </c>
      <c r="LZ113">
        <v>44.279000000000003</v>
      </c>
      <c r="MA113" s="12">
        <v>43553</v>
      </c>
      <c r="MB113">
        <v>18.425000000000001</v>
      </c>
      <c r="ME113" s="12">
        <v>43585</v>
      </c>
      <c r="MF113">
        <v>4.0999999999999996</v>
      </c>
      <c r="MG113" s="12">
        <v>43553</v>
      </c>
      <c r="MH113">
        <v>17.768000000000001</v>
      </c>
      <c r="MK113" s="12">
        <v>43553</v>
      </c>
      <c r="ML113">
        <v>25.631</v>
      </c>
    </row>
    <row r="114" spans="1:350" x14ac:dyDescent="0.3">
      <c r="A114" s="12">
        <v>43585</v>
      </c>
      <c r="B114" s="1">
        <v>17.997</v>
      </c>
      <c r="C114" s="1"/>
      <c r="G114" s="17">
        <v>43585</v>
      </c>
      <c r="H114" s="13">
        <v>15.625999999999999</v>
      </c>
      <c r="I114" s="17">
        <v>43616</v>
      </c>
      <c r="J114">
        <v>20.58</v>
      </c>
      <c r="N114" s="12"/>
      <c r="Y114" s="12">
        <v>43585</v>
      </c>
      <c r="Z114">
        <v>33.118000000000002</v>
      </c>
      <c r="AA114" s="12">
        <v>43585</v>
      </c>
      <c r="AB114">
        <v>47.180999999999997</v>
      </c>
      <c r="AC114" s="12">
        <v>43585</v>
      </c>
      <c r="AD114">
        <v>26.558</v>
      </c>
      <c r="AE114" s="12">
        <v>43585</v>
      </c>
      <c r="AF114">
        <v>30.442</v>
      </c>
      <c r="AG114" s="12">
        <v>43585</v>
      </c>
      <c r="AH114">
        <v>5.44</v>
      </c>
      <c r="AK114" s="12">
        <v>43585</v>
      </c>
      <c r="AL114">
        <v>8.4</v>
      </c>
      <c r="AS114" s="12">
        <v>43585</v>
      </c>
      <c r="AT114">
        <v>3.2869999999999999</v>
      </c>
      <c r="AU114" s="12">
        <v>43585</v>
      </c>
      <c r="AV114">
        <v>30.667999999999999</v>
      </c>
      <c r="AY114" s="12">
        <v>43585</v>
      </c>
      <c r="AZ114">
        <v>31.05</v>
      </c>
      <c r="BA114" s="12">
        <v>43585</v>
      </c>
      <c r="BB114">
        <v>46.470999999999997</v>
      </c>
      <c r="BC114" s="12">
        <v>43585</v>
      </c>
      <c r="BD114">
        <v>11.57</v>
      </c>
      <c r="BE114" s="12">
        <v>43677</v>
      </c>
      <c r="BF114">
        <v>9.9410000000000007</v>
      </c>
      <c r="BG114" s="12">
        <v>43585</v>
      </c>
      <c r="BH114">
        <v>23.077999999999999</v>
      </c>
      <c r="BI114" s="12">
        <v>43585</v>
      </c>
      <c r="BJ114">
        <v>37.807000000000002</v>
      </c>
      <c r="BK114" s="12">
        <v>43585</v>
      </c>
      <c r="BL114">
        <v>10.852</v>
      </c>
      <c r="BM114" s="12">
        <v>43585</v>
      </c>
      <c r="BN114">
        <v>23.94</v>
      </c>
      <c r="BO114" s="12">
        <v>43585</v>
      </c>
      <c r="BP114">
        <v>7.46</v>
      </c>
      <c r="BQ114" s="12">
        <v>43585</v>
      </c>
      <c r="BR114">
        <v>16.917000000000002</v>
      </c>
      <c r="BS114" s="12">
        <v>43585</v>
      </c>
      <c r="BT114">
        <v>13.996</v>
      </c>
      <c r="BW114" s="12">
        <v>43585</v>
      </c>
      <c r="BX114">
        <v>9.6590000000000007</v>
      </c>
      <c r="BY114" s="12">
        <v>43585</v>
      </c>
      <c r="BZ114">
        <v>29.34</v>
      </c>
      <c r="CA114" s="12">
        <v>43585</v>
      </c>
      <c r="CB114">
        <v>39.734999999999999</v>
      </c>
      <c r="CG114" s="12">
        <v>43585</v>
      </c>
      <c r="CH114">
        <v>45.866999999999997</v>
      </c>
      <c r="CI114" s="12">
        <v>43585</v>
      </c>
      <c r="CJ114">
        <v>66.418000000000006</v>
      </c>
      <c r="CK114" s="12">
        <v>43585</v>
      </c>
      <c r="CL114">
        <v>13.557</v>
      </c>
      <c r="CQ114" s="12">
        <v>43585</v>
      </c>
      <c r="CR114">
        <v>16.581</v>
      </c>
      <c r="CS114" s="12">
        <v>43585</v>
      </c>
      <c r="CT114">
        <v>28.518999999999998</v>
      </c>
      <c r="CU114" s="12">
        <v>43585</v>
      </c>
      <c r="CV114">
        <v>7.923</v>
      </c>
      <c r="CW114" s="12">
        <v>43585</v>
      </c>
      <c r="CX114">
        <v>9.6989999999999998</v>
      </c>
      <c r="CY114" s="12">
        <v>43677</v>
      </c>
      <c r="CZ114">
        <v>11.78</v>
      </c>
      <c r="DA114" s="12">
        <v>43585</v>
      </c>
      <c r="DB114">
        <v>42.953000000000003</v>
      </c>
      <c r="DC114" s="12">
        <v>43585</v>
      </c>
      <c r="DD114">
        <v>32.688000000000002</v>
      </c>
      <c r="DE114" s="12">
        <v>43585</v>
      </c>
      <c r="DF114">
        <v>34.65</v>
      </c>
      <c r="DK114" s="12">
        <v>43585</v>
      </c>
      <c r="DL114">
        <v>19.64</v>
      </c>
      <c r="DO114" s="12">
        <v>43585</v>
      </c>
      <c r="DP114">
        <v>16.995999999999999</v>
      </c>
      <c r="DQ114" s="12">
        <v>43585</v>
      </c>
      <c r="DR114">
        <v>19.87</v>
      </c>
      <c r="DS114" s="12">
        <v>43616</v>
      </c>
      <c r="DT114">
        <v>44.5</v>
      </c>
      <c r="DU114" s="12">
        <v>43585</v>
      </c>
      <c r="DV114">
        <v>16.23</v>
      </c>
      <c r="DW114" s="12">
        <v>43585</v>
      </c>
      <c r="DX114">
        <v>6.3730000000000002</v>
      </c>
      <c r="DY114" s="12">
        <v>43585</v>
      </c>
      <c r="DZ114">
        <v>21.42</v>
      </c>
      <c r="EE114" s="12">
        <v>43585</v>
      </c>
      <c r="EF114">
        <v>20.074000000000002</v>
      </c>
      <c r="EI114" s="12">
        <v>43585</v>
      </c>
      <c r="EJ114">
        <v>5.758</v>
      </c>
      <c r="EK114" s="12">
        <v>43585</v>
      </c>
      <c r="EL114">
        <v>11.417999999999999</v>
      </c>
      <c r="EM114" s="12">
        <v>43585</v>
      </c>
      <c r="EN114">
        <v>13.939</v>
      </c>
      <c r="EQ114" s="12">
        <v>43585</v>
      </c>
      <c r="ER114">
        <v>6.6790000000000003</v>
      </c>
      <c r="ES114" s="12">
        <v>43585</v>
      </c>
      <c r="ET114">
        <v>22.78</v>
      </c>
      <c r="EU114" s="12">
        <v>43585</v>
      </c>
      <c r="EV114">
        <v>7.0590000000000002</v>
      </c>
      <c r="EY114" s="12">
        <v>43585</v>
      </c>
      <c r="EZ114">
        <v>31.289000000000001</v>
      </c>
      <c r="FA114" s="12">
        <v>43585</v>
      </c>
      <c r="FB114">
        <v>27.125</v>
      </c>
      <c r="FC114" s="12">
        <v>43585</v>
      </c>
      <c r="FD114">
        <v>38.034999999999997</v>
      </c>
      <c r="FG114" s="12">
        <v>43585</v>
      </c>
      <c r="FH114">
        <v>11.129</v>
      </c>
      <c r="FI114" s="12">
        <v>43585</v>
      </c>
      <c r="FJ114">
        <v>27.422999999999998</v>
      </c>
      <c r="FK114" s="12">
        <v>43585</v>
      </c>
      <c r="FL114">
        <v>31.861999999999998</v>
      </c>
      <c r="FM114" s="12">
        <v>43585</v>
      </c>
      <c r="FN114">
        <v>19.321000000000002</v>
      </c>
      <c r="FO114" s="12">
        <v>43585</v>
      </c>
      <c r="FP114">
        <v>18.103000000000002</v>
      </c>
      <c r="FS114" s="12">
        <v>43585</v>
      </c>
      <c r="FT114">
        <v>2.8620000000000001</v>
      </c>
      <c r="FU114" s="12">
        <v>43585</v>
      </c>
      <c r="FV114">
        <v>12.634</v>
      </c>
      <c r="FW114" s="12">
        <v>43585</v>
      </c>
      <c r="FX114">
        <v>15.553000000000001</v>
      </c>
      <c r="GA114" s="12">
        <v>43585</v>
      </c>
      <c r="GB114">
        <v>22.108000000000001</v>
      </c>
      <c r="GC114" s="12">
        <v>43585</v>
      </c>
      <c r="GD114">
        <v>21.19</v>
      </c>
      <c r="GI114" s="12">
        <v>43585</v>
      </c>
      <c r="GJ114">
        <v>42.314999999999998</v>
      </c>
      <c r="GM114" s="12">
        <v>43585</v>
      </c>
      <c r="GN114">
        <v>41.317</v>
      </c>
      <c r="GQ114" s="12">
        <v>43707</v>
      </c>
      <c r="GR114">
        <v>7.43</v>
      </c>
      <c r="GS114" s="12">
        <v>43585</v>
      </c>
      <c r="GT114">
        <v>2.0699999999999998</v>
      </c>
      <c r="GY114" s="12">
        <v>43585</v>
      </c>
      <c r="GZ114">
        <v>7.32</v>
      </c>
      <c r="HA114" s="12">
        <v>43585</v>
      </c>
      <c r="HB114">
        <v>13.625999999999999</v>
      </c>
      <c r="HC114" s="12">
        <v>43585</v>
      </c>
      <c r="HD114">
        <v>23.579000000000001</v>
      </c>
      <c r="HE114" s="12">
        <v>43585</v>
      </c>
      <c r="HF114">
        <v>18.87</v>
      </c>
      <c r="HG114" s="12">
        <v>43585</v>
      </c>
      <c r="HH114">
        <v>26.013999999999999</v>
      </c>
      <c r="HI114" s="12">
        <v>43585</v>
      </c>
      <c r="HJ114">
        <v>16.268000000000001</v>
      </c>
      <c r="HM114" s="12">
        <v>43585</v>
      </c>
      <c r="HN114">
        <v>1.69</v>
      </c>
      <c r="HO114" s="12">
        <v>43585</v>
      </c>
      <c r="HP114">
        <v>1.6800000000000002</v>
      </c>
      <c r="HQ114" s="12">
        <v>43677</v>
      </c>
      <c r="HR114">
        <v>4.24</v>
      </c>
      <c r="HS114" s="12">
        <v>43585</v>
      </c>
      <c r="HT114">
        <v>96.353999999999999</v>
      </c>
      <c r="HU114" s="12">
        <v>43585</v>
      </c>
      <c r="HV114">
        <v>5.36</v>
      </c>
      <c r="HW114" s="12">
        <v>43585</v>
      </c>
      <c r="HX114">
        <v>29.462</v>
      </c>
      <c r="HY114" s="12">
        <v>43585</v>
      </c>
      <c r="HZ114">
        <v>26.257000000000001</v>
      </c>
      <c r="IA114" s="12">
        <v>43585</v>
      </c>
      <c r="IB114">
        <v>23.8</v>
      </c>
      <c r="IC114" s="12">
        <v>43585</v>
      </c>
      <c r="ID114">
        <v>3.3890000000000002</v>
      </c>
      <c r="IE114" s="12">
        <v>43585</v>
      </c>
      <c r="IF114">
        <v>2.31</v>
      </c>
      <c r="IM114" s="12">
        <v>43585</v>
      </c>
      <c r="IN114">
        <v>51.631</v>
      </c>
      <c r="IQ114" s="12">
        <v>43585</v>
      </c>
      <c r="IR114">
        <v>68.643000000000001</v>
      </c>
      <c r="IU114" s="12">
        <v>43585</v>
      </c>
      <c r="IV114">
        <v>8.2169000000000008</v>
      </c>
      <c r="IY114" s="12">
        <v>43585</v>
      </c>
      <c r="IZ114">
        <v>34.143999999999998</v>
      </c>
      <c r="JC114" s="12">
        <v>43585</v>
      </c>
      <c r="JD114">
        <v>1.88</v>
      </c>
      <c r="JE114" s="12">
        <v>43585</v>
      </c>
      <c r="JF114">
        <v>4.2300000000000004</v>
      </c>
      <c r="JI114" s="12">
        <v>43585</v>
      </c>
      <c r="JJ114">
        <v>42.228999999999999</v>
      </c>
      <c r="JM114" s="12">
        <v>43585</v>
      </c>
      <c r="JN114">
        <v>4.5609999999999999</v>
      </c>
      <c r="JO114" s="12">
        <v>43585</v>
      </c>
      <c r="JP114">
        <v>45.463000000000001</v>
      </c>
      <c r="JS114" s="12">
        <v>43585</v>
      </c>
      <c r="JT114">
        <v>19.305</v>
      </c>
      <c r="JW114" s="12">
        <v>43585</v>
      </c>
      <c r="JX114">
        <v>18.498999999999999</v>
      </c>
      <c r="JY114" s="12">
        <v>43585</v>
      </c>
      <c r="JZ114">
        <v>30.721</v>
      </c>
      <c r="KE114" s="12">
        <v>43585</v>
      </c>
      <c r="KF114">
        <v>24.353999999999999</v>
      </c>
      <c r="KI114" s="12">
        <v>43585</v>
      </c>
      <c r="KJ114">
        <v>1.32</v>
      </c>
      <c r="KQ114" s="12">
        <v>43585</v>
      </c>
      <c r="KR114">
        <v>13.1</v>
      </c>
      <c r="KS114" s="12">
        <v>43585</v>
      </c>
      <c r="KT114">
        <v>10.068</v>
      </c>
      <c r="KU114" s="12">
        <v>43585</v>
      </c>
      <c r="KV114">
        <v>11.317</v>
      </c>
      <c r="LC114" s="12">
        <v>43585</v>
      </c>
      <c r="LD114">
        <v>14.715</v>
      </c>
      <c r="LE114" s="12">
        <v>43585</v>
      </c>
      <c r="LF114">
        <v>19.474</v>
      </c>
      <c r="LG114" s="12">
        <v>43585</v>
      </c>
      <c r="LH114">
        <v>17.335000000000001</v>
      </c>
      <c r="LI114" s="12">
        <v>43585</v>
      </c>
      <c r="LJ114">
        <v>20.495000000000001</v>
      </c>
      <c r="LM114" s="12">
        <v>43585</v>
      </c>
      <c r="LN114">
        <v>10.465</v>
      </c>
      <c r="LO114" s="12">
        <v>43585</v>
      </c>
      <c r="LP114">
        <v>8.5399999999999991</v>
      </c>
      <c r="LQ114" s="12">
        <v>43585</v>
      </c>
      <c r="LR114">
        <v>48.807000000000002</v>
      </c>
      <c r="LW114" s="12">
        <v>43585</v>
      </c>
      <c r="LX114">
        <v>2.1440000000000001</v>
      </c>
      <c r="LY114" s="12">
        <v>43585</v>
      </c>
      <c r="LZ114">
        <v>44.804000000000002</v>
      </c>
      <c r="MA114" s="12">
        <v>43585</v>
      </c>
      <c r="MB114">
        <v>16.962</v>
      </c>
      <c r="ME114" s="12">
        <v>43616</v>
      </c>
      <c r="MF114">
        <v>4.7</v>
      </c>
      <c r="MG114" s="12">
        <v>43585</v>
      </c>
      <c r="MH114">
        <v>18.341000000000001</v>
      </c>
      <c r="MK114" s="12">
        <v>43585</v>
      </c>
      <c r="ML114">
        <v>26.677</v>
      </c>
    </row>
    <row r="115" spans="1:350" x14ac:dyDescent="0.3">
      <c r="A115" s="12">
        <v>43616</v>
      </c>
      <c r="B115" s="1">
        <v>17.100999999999999</v>
      </c>
      <c r="C115" s="1"/>
      <c r="G115" s="17">
        <v>43616</v>
      </c>
      <c r="H115" s="13">
        <v>18.332000000000001</v>
      </c>
      <c r="I115" s="17">
        <v>43644</v>
      </c>
      <c r="J115">
        <v>24.59</v>
      </c>
      <c r="N115" s="12"/>
      <c r="Y115" s="12">
        <v>43616</v>
      </c>
      <c r="Z115">
        <v>35.155999999999999</v>
      </c>
      <c r="AA115" s="12">
        <v>43616</v>
      </c>
      <c r="AB115">
        <v>49.661000000000001</v>
      </c>
      <c r="AC115" s="12">
        <v>43616</v>
      </c>
      <c r="AD115">
        <v>27.988</v>
      </c>
      <c r="AE115" s="12">
        <v>43616</v>
      </c>
      <c r="AF115">
        <v>31.673999999999999</v>
      </c>
      <c r="AG115" s="12">
        <v>43616</v>
      </c>
      <c r="AH115">
        <v>5.0999999999999996</v>
      </c>
      <c r="AK115" s="12">
        <v>43616</v>
      </c>
      <c r="AL115">
        <v>8.1999999999999993</v>
      </c>
      <c r="AS115" s="12">
        <v>43616</v>
      </c>
      <c r="AT115">
        <v>7.9180000000000001</v>
      </c>
      <c r="AU115" s="12">
        <v>43616</v>
      </c>
      <c r="AV115">
        <v>30.074000000000002</v>
      </c>
      <c r="AY115" s="12">
        <v>43616</v>
      </c>
      <c r="AZ115">
        <v>27.7</v>
      </c>
      <c r="BA115" s="12">
        <v>43616</v>
      </c>
      <c r="BB115">
        <v>41.607999999999997</v>
      </c>
      <c r="BC115" s="12">
        <v>43616</v>
      </c>
      <c r="BD115">
        <v>12.132</v>
      </c>
      <c r="BE115" s="12">
        <v>43707</v>
      </c>
      <c r="BF115">
        <v>10.891</v>
      </c>
      <c r="BG115" s="12">
        <v>43616</v>
      </c>
      <c r="BH115">
        <v>22.765000000000001</v>
      </c>
      <c r="BI115" s="12">
        <v>43616</v>
      </c>
      <c r="BJ115">
        <v>31.036000000000001</v>
      </c>
      <c r="BK115" s="12">
        <v>43616</v>
      </c>
      <c r="BL115">
        <v>12.721</v>
      </c>
      <c r="BM115" s="12">
        <v>43616</v>
      </c>
      <c r="BN115">
        <v>24.571000000000002</v>
      </c>
      <c r="BO115" s="12">
        <v>43616</v>
      </c>
      <c r="BP115">
        <v>6.508</v>
      </c>
      <c r="BQ115" s="12">
        <v>43616</v>
      </c>
      <c r="BR115">
        <v>17.684000000000001</v>
      </c>
      <c r="BS115" s="12">
        <v>43616</v>
      </c>
      <c r="BT115">
        <v>14.465999999999999</v>
      </c>
      <c r="BW115" s="12">
        <v>43616</v>
      </c>
      <c r="BX115">
        <v>10.304</v>
      </c>
      <c r="BY115" s="12">
        <v>43616</v>
      </c>
      <c r="BZ115">
        <v>30.74</v>
      </c>
      <c r="CA115" s="12">
        <v>43616</v>
      </c>
      <c r="CB115">
        <v>46.292999999999999</v>
      </c>
      <c r="CG115" s="12">
        <v>43616</v>
      </c>
      <c r="CH115">
        <v>47.14</v>
      </c>
      <c r="CI115" s="12">
        <v>43616</v>
      </c>
      <c r="CJ115">
        <v>59.814999999999998</v>
      </c>
      <c r="CK115" s="12">
        <v>43616</v>
      </c>
      <c r="CL115">
        <v>16.18</v>
      </c>
      <c r="CQ115" s="12">
        <v>43616</v>
      </c>
      <c r="CR115">
        <v>16.263999999999999</v>
      </c>
      <c r="CS115" s="12">
        <v>43616</v>
      </c>
      <c r="CT115">
        <v>28.716999999999999</v>
      </c>
      <c r="CU115" s="12">
        <v>43616</v>
      </c>
      <c r="CV115">
        <v>9.5670000000000002</v>
      </c>
      <c r="CW115" s="12">
        <v>43616</v>
      </c>
      <c r="CX115">
        <v>10.284000000000001</v>
      </c>
      <c r="CY115" s="12">
        <v>43707</v>
      </c>
      <c r="CZ115">
        <v>12.4</v>
      </c>
      <c r="DA115" s="12">
        <v>43616</v>
      </c>
      <c r="DB115">
        <v>44.819000000000003</v>
      </c>
      <c r="DC115" s="12">
        <v>43616</v>
      </c>
      <c r="DD115">
        <v>34.396999999999998</v>
      </c>
      <c r="DE115" s="12">
        <v>43616</v>
      </c>
      <c r="DF115">
        <v>35.67</v>
      </c>
      <c r="DK115" s="12">
        <v>43616</v>
      </c>
      <c r="DL115">
        <v>18.95</v>
      </c>
      <c r="DO115" s="12">
        <v>43616</v>
      </c>
      <c r="DP115">
        <v>19.257000000000001</v>
      </c>
      <c r="DQ115" s="12">
        <v>43616</v>
      </c>
      <c r="DR115">
        <v>22.75</v>
      </c>
      <c r="DS115" s="12">
        <v>43644</v>
      </c>
      <c r="DT115">
        <v>45.557000000000002</v>
      </c>
      <c r="DU115" s="12">
        <v>43616</v>
      </c>
      <c r="DV115">
        <v>17.23</v>
      </c>
      <c r="DW115" s="12">
        <v>43616</v>
      </c>
      <c r="DX115">
        <v>6.7539999999999996</v>
      </c>
      <c r="DY115" s="12">
        <v>43616</v>
      </c>
      <c r="DZ115">
        <v>21.806000000000001</v>
      </c>
      <c r="EE115" s="12">
        <v>43616</v>
      </c>
      <c r="EF115">
        <v>19.155000000000001</v>
      </c>
      <c r="EI115" s="12">
        <v>43616</v>
      </c>
      <c r="EJ115">
        <v>4.8520000000000003</v>
      </c>
      <c r="EK115" s="12">
        <v>43616</v>
      </c>
      <c r="EL115">
        <v>11.41</v>
      </c>
      <c r="EM115" s="12">
        <v>43616</v>
      </c>
      <c r="EN115">
        <v>13.733000000000001</v>
      </c>
      <c r="EQ115" s="12">
        <v>43616</v>
      </c>
      <c r="ER115">
        <v>6.4039999999999999</v>
      </c>
      <c r="ES115" s="12">
        <v>43616</v>
      </c>
      <c r="ET115">
        <v>26.98</v>
      </c>
      <c r="EU115" s="12">
        <v>43616</v>
      </c>
      <c r="EV115">
        <v>6.8289999999999997</v>
      </c>
      <c r="EY115" s="12">
        <v>43616</v>
      </c>
      <c r="EZ115">
        <v>28.925000000000001</v>
      </c>
      <c r="FA115" s="12">
        <v>43616</v>
      </c>
      <c r="FB115">
        <v>29.192</v>
      </c>
      <c r="FC115" s="12">
        <v>43616</v>
      </c>
      <c r="FD115">
        <v>39.847999999999999</v>
      </c>
      <c r="FG115" s="12">
        <v>43616</v>
      </c>
      <c r="FH115">
        <v>11.577</v>
      </c>
      <c r="FI115" s="12">
        <v>43616</v>
      </c>
      <c r="FJ115">
        <v>28.146999999999998</v>
      </c>
      <c r="FK115" s="12">
        <v>43616</v>
      </c>
      <c r="FL115">
        <v>32.978999999999999</v>
      </c>
      <c r="FM115" s="12">
        <v>43616</v>
      </c>
      <c r="FN115">
        <v>21.366</v>
      </c>
      <c r="FO115" s="12">
        <v>43616</v>
      </c>
      <c r="FP115">
        <v>18.388000000000002</v>
      </c>
      <c r="FS115" s="12">
        <v>43616</v>
      </c>
      <c r="FT115">
        <v>2.774</v>
      </c>
      <c r="FU115" s="12">
        <v>43616</v>
      </c>
      <c r="FV115">
        <v>12.731999999999999</v>
      </c>
      <c r="FW115" s="12">
        <v>43616</v>
      </c>
      <c r="FX115">
        <v>15.968999999999999</v>
      </c>
      <c r="GA115" s="12">
        <v>43616</v>
      </c>
      <c r="GB115">
        <v>22.24</v>
      </c>
      <c r="GC115" s="12">
        <v>43616</v>
      </c>
      <c r="GD115">
        <v>18.940000000000001</v>
      </c>
      <c r="GI115" s="12">
        <v>43616</v>
      </c>
      <c r="GJ115">
        <v>43.726999999999997</v>
      </c>
      <c r="GM115" s="12">
        <v>43616</v>
      </c>
      <c r="GN115">
        <v>38.436</v>
      </c>
      <c r="GQ115" s="12">
        <v>43738</v>
      </c>
      <c r="GR115">
        <v>6.85</v>
      </c>
      <c r="GS115" s="12">
        <v>43616</v>
      </c>
      <c r="GT115">
        <v>2.04</v>
      </c>
      <c r="GY115" s="12">
        <v>43616</v>
      </c>
      <c r="GZ115">
        <v>6.83</v>
      </c>
      <c r="HA115" s="12">
        <v>43616</v>
      </c>
      <c r="HB115">
        <v>16.152000000000001</v>
      </c>
      <c r="HC115" s="12">
        <v>43616</v>
      </c>
      <c r="HD115">
        <v>24.445</v>
      </c>
      <c r="HE115" s="12">
        <v>43616</v>
      </c>
      <c r="HF115">
        <v>18.774999999999999</v>
      </c>
      <c r="HG115" s="12">
        <v>43616</v>
      </c>
      <c r="HH115">
        <v>29.869</v>
      </c>
      <c r="HI115" s="12">
        <v>43616</v>
      </c>
      <c r="HJ115">
        <v>15.992000000000001</v>
      </c>
      <c r="HM115" s="12">
        <v>43616</v>
      </c>
      <c r="HN115">
        <v>1.47</v>
      </c>
      <c r="HO115" s="12">
        <v>43616</v>
      </c>
      <c r="HP115">
        <v>1.6</v>
      </c>
      <c r="HQ115" s="12">
        <v>43707</v>
      </c>
      <c r="HR115">
        <v>2.9</v>
      </c>
      <c r="HS115" s="12">
        <v>43616</v>
      </c>
      <c r="HT115">
        <v>87.078000000000003</v>
      </c>
      <c r="HU115" s="12">
        <v>43616</v>
      </c>
      <c r="HV115">
        <v>4.55</v>
      </c>
      <c r="HW115" s="12">
        <v>43616</v>
      </c>
      <c r="HX115">
        <v>27.856999999999999</v>
      </c>
      <c r="HY115" s="12">
        <v>43616</v>
      </c>
      <c r="HZ115">
        <v>24.84</v>
      </c>
      <c r="IA115" s="12">
        <v>43616</v>
      </c>
      <c r="IB115">
        <v>20.67</v>
      </c>
      <c r="IC115" s="12">
        <v>43616</v>
      </c>
      <c r="ID115">
        <v>3.5049999999999999</v>
      </c>
      <c r="IE115" s="12">
        <v>43616</v>
      </c>
      <c r="IF115">
        <v>2.2800000000000002</v>
      </c>
      <c r="IM115" s="12">
        <v>43616</v>
      </c>
      <c r="IN115">
        <v>50.561999999999998</v>
      </c>
      <c r="IQ115" s="12">
        <v>43616</v>
      </c>
      <c r="IR115">
        <v>68.921000000000006</v>
      </c>
      <c r="IU115" s="12">
        <v>43616</v>
      </c>
      <c r="IV115">
        <v>8.2812999999999999</v>
      </c>
      <c r="IY115" s="12">
        <v>43616</v>
      </c>
      <c r="IZ115">
        <v>35.89</v>
      </c>
      <c r="JC115" s="12">
        <v>43616</v>
      </c>
      <c r="JD115">
        <v>1.9</v>
      </c>
      <c r="JE115" s="12">
        <v>43616</v>
      </c>
      <c r="JF115">
        <v>3.88</v>
      </c>
      <c r="JI115" s="12">
        <v>43616</v>
      </c>
      <c r="JJ115">
        <v>42.877000000000002</v>
      </c>
      <c r="JM115" s="12">
        <v>43616</v>
      </c>
      <c r="JN115">
        <v>4.3339999999999996</v>
      </c>
      <c r="JO115" s="12">
        <v>43616</v>
      </c>
      <c r="JP115">
        <v>42.764000000000003</v>
      </c>
      <c r="JS115" s="12">
        <v>43616</v>
      </c>
      <c r="JT115">
        <v>19.204000000000001</v>
      </c>
      <c r="JW115" s="12">
        <v>43616</v>
      </c>
      <c r="JX115">
        <v>18.945</v>
      </c>
      <c r="JY115" s="12">
        <v>43616</v>
      </c>
      <c r="JZ115">
        <v>34.374000000000002</v>
      </c>
      <c r="KE115" s="12">
        <v>43616</v>
      </c>
      <c r="KF115">
        <v>25.06</v>
      </c>
      <c r="KI115" s="12">
        <v>43616</v>
      </c>
      <c r="KJ115">
        <v>1.27</v>
      </c>
      <c r="KQ115" s="12">
        <v>43616</v>
      </c>
      <c r="KR115">
        <v>14.29</v>
      </c>
      <c r="KS115" s="12">
        <v>43616</v>
      </c>
      <c r="KT115">
        <v>10.861000000000001</v>
      </c>
      <c r="KU115" s="12">
        <v>43616</v>
      </c>
      <c r="KV115">
        <v>10.649000000000001</v>
      </c>
      <c r="LC115" s="12">
        <v>43616</v>
      </c>
      <c r="LD115">
        <v>13.047000000000001</v>
      </c>
      <c r="LE115" s="12">
        <v>43616</v>
      </c>
      <c r="LF115">
        <v>20.957000000000001</v>
      </c>
      <c r="LG115" s="12">
        <v>43616</v>
      </c>
      <c r="LH115">
        <v>19.64</v>
      </c>
      <c r="LI115" s="12">
        <v>43616</v>
      </c>
      <c r="LJ115">
        <v>20.183</v>
      </c>
      <c r="LM115" s="12">
        <v>43616</v>
      </c>
      <c r="LN115">
        <v>9.7520000000000007</v>
      </c>
      <c r="LO115" s="12">
        <v>43616</v>
      </c>
      <c r="LP115">
        <v>8.1140000000000008</v>
      </c>
      <c r="LQ115" s="12">
        <v>43616</v>
      </c>
      <c r="LR115">
        <v>47.734999999999999</v>
      </c>
      <c r="LW115" s="12">
        <v>43616</v>
      </c>
      <c r="LX115">
        <v>1.8010000000000002</v>
      </c>
      <c r="LY115" s="12">
        <v>43616</v>
      </c>
      <c r="LZ115">
        <v>46.576000000000001</v>
      </c>
      <c r="MA115" s="12">
        <v>43616</v>
      </c>
      <c r="MB115">
        <v>14.201000000000001</v>
      </c>
      <c r="ME115" s="12">
        <v>43644</v>
      </c>
      <c r="MF115">
        <v>5.07</v>
      </c>
      <c r="MG115" s="12">
        <v>43616</v>
      </c>
      <c r="MH115">
        <v>18.805</v>
      </c>
      <c r="MK115" s="12">
        <v>43616</v>
      </c>
      <c r="ML115">
        <v>28.905000000000001</v>
      </c>
    </row>
    <row r="116" spans="1:350" x14ac:dyDescent="0.3">
      <c r="A116" s="12">
        <v>43644</v>
      </c>
      <c r="B116" s="1">
        <v>17.431999999999999</v>
      </c>
      <c r="C116" s="1"/>
      <c r="G116" s="17">
        <v>43644</v>
      </c>
      <c r="H116" s="13">
        <v>20.379000000000001</v>
      </c>
      <c r="I116" s="17">
        <v>43677</v>
      </c>
      <c r="J116">
        <v>28.19</v>
      </c>
      <c r="N116" s="12"/>
      <c r="Y116" s="12">
        <v>43644</v>
      </c>
      <c r="Z116">
        <v>36.194000000000003</v>
      </c>
      <c r="AA116" s="12">
        <v>43644</v>
      </c>
      <c r="AB116">
        <v>51.83</v>
      </c>
      <c r="AC116" s="12">
        <v>43644</v>
      </c>
      <c r="AD116">
        <v>28.687999999999999</v>
      </c>
      <c r="AE116" s="12">
        <v>43644</v>
      </c>
      <c r="AF116">
        <v>32.323999999999998</v>
      </c>
      <c r="AG116" s="12">
        <v>43644</v>
      </c>
      <c r="AH116">
        <v>5.25</v>
      </c>
      <c r="AK116" s="12">
        <v>43644</v>
      </c>
      <c r="AL116">
        <v>7.95</v>
      </c>
      <c r="AS116" s="12">
        <v>43644</v>
      </c>
      <c r="AT116">
        <v>8.7829999999999995</v>
      </c>
      <c r="AU116" s="12">
        <v>43644</v>
      </c>
      <c r="AV116">
        <v>32.18</v>
      </c>
      <c r="AY116" s="12">
        <v>43644</v>
      </c>
      <c r="AZ116">
        <v>29.52</v>
      </c>
      <c r="BA116" s="12">
        <v>43644</v>
      </c>
      <c r="BB116">
        <v>34.07</v>
      </c>
      <c r="BC116" s="12">
        <v>43644</v>
      </c>
      <c r="BD116">
        <v>13.571</v>
      </c>
      <c r="BE116" s="12">
        <v>43738</v>
      </c>
      <c r="BF116">
        <v>11.673</v>
      </c>
      <c r="BG116" s="12">
        <v>43644</v>
      </c>
      <c r="BH116">
        <v>22.841000000000001</v>
      </c>
      <c r="BI116" s="12">
        <v>43644</v>
      </c>
      <c r="BJ116">
        <v>32.341000000000001</v>
      </c>
      <c r="BK116" s="12">
        <v>43644</v>
      </c>
      <c r="BL116">
        <v>12.997</v>
      </c>
      <c r="BM116" s="12">
        <v>43644</v>
      </c>
      <c r="BN116">
        <v>25.201000000000001</v>
      </c>
      <c r="BO116" s="12">
        <v>43644</v>
      </c>
      <c r="BP116">
        <v>6.6550000000000002</v>
      </c>
      <c r="BQ116" s="12">
        <v>43644</v>
      </c>
      <c r="BR116">
        <v>18.391999999999999</v>
      </c>
      <c r="BS116" s="12">
        <v>43644</v>
      </c>
      <c r="BT116">
        <v>14.554</v>
      </c>
      <c r="BW116" s="12">
        <v>43644</v>
      </c>
      <c r="BX116">
        <v>10.932</v>
      </c>
      <c r="BY116" s="12">
        <v>43644</v>
      </c>
      <c r="BZ116">
        <v>30.43</v>
      </c>
      <c r="CA116" s="12">
        <v>43644</v>
      </c>
      <c r="CB116">
        <v>46.871000000000002</v>
      </c>
      <c r="CG116" s="12">
        <v>43644</v>
      </c>
      <c r="CH116">
        <v>46.15</v>
      </c>
      <c r="CI116" s="12">
        <v>43644</v>
      </c>
      <c r="CJ116">
        <v>64.692999999999998</v>
      </c>
      <c r="CK116" s="12">
        <v>43644</v>
      </c>
      <c r="CL116">
        <v>16.347000000000001</v>
      </c>
      <c r="CQ116" s="12">
        <v>43644</v>
      </c>
      <c r="CR116">
        <v>19.398</v>
      </c>
      <c r="CS116" s="12">
        <v>43644</v>
      </c>
      <c r="CT116">
        <v>28.222000000000001</v>
      </c>
      <c r="CU116" s="12">
        <v>43644</v>
      </c>
      <c r="CV116">
        <v>10.769</v>
      </c>
      <c r="CW116" s="12">
        <v>43644</v>
      </c>
      <c r="CX116">
        <v>11.532999999999999</v>
      </c>
      <c r="CY116" s="12">
        <v>43738</v>
      </c>
      <c r="CZ116">
        <v>14.1</v>
      </c>
      <c r="DA116" s="12">
        <v>43644</v>
      </c>
      <c r="DB116">
        <v>42.061</v>
      </c>
      <c r="DC116" s="12">
        <v>43644</v>
      </c>
      <c r="DD116">
        <v>35.237000000000002</v>
      </c>
      <c r="DE116" s="12">
        <v>43644</v>
      </c>
      <c r="DF116">
        <v>36</v>
      </c>
      <c r="DK116" s="12">
        <v>43644</v>
      </c>
      <c r="DL116">
        <v>19.41</v>
      </c>
      <c r="DO116" s="12">
        <v>43644</v>
      </c>
      <c r="DP116">
        <v>18.344999999999999</v>
      </c>
      <c r="DQ116" s="12">
        <v>43644</v>
      </c>
      <c r="DR116">
        <v>24.12</v>
      </c>
      <c r="DS116" s="12">
        <v>43677</v>
      </c>
      <c r="DT116">
        <v>48.84</v>
      </c>
      <c r="DU116" s="12">
        <v>43644</v>
      </c>
      <c r="DV116">
        <v>18.36</v>
      </c>
      <c r="DW116" s="12">
        <v>43644</v>
      </c>
      <c r="DX116">
        <v>8.125</v>
      </c>
      <c r="DY116" s="12">
        <v>43644</v>
      </c>
      <c r="DZ116">
        <v>25.474</v>
      </c>
      <c r="EE116" s="12">
        <v>43644</v>
      </c>
      <c r="EF116">
        <v>20.655000000000001</v>
      </c>
      <c r="EI116" s="12">
        <v>43644</v>
      </c>
      <c r="EJ116">
        <v>6.2169999999999996</v>
      </c>
      <c r="EK116" s="12">
        <v>43644</v>
      </c>
      <c r="EL116">
        <v>12.359</v>
      </c>
      <c r="EM116" s="12">
        <v>43644</v>
      </c>
      <c r="EN116">
        <v>15.05</v>
      </c>
      <c r="EQ116" s="12">
        <v>43644</v>
      </c>
      <c r="ER116">
        <v>7.1559999999999997</v>
      </c>
      <c r="ES116" s="12">
        <v>43644</v>
      </c>
      <c r="ET116">
        <v>32.6</v>
      </c>
      <c r="EU116" s="12">
        <v>43644</v>
      </c>
      <c r="EV116">
        <v>7.5440000000000005</v>
      </c>
      <c r="EY116" s="12">
        <v>43644</v>
      </c>
      <c r="EZ116">
        <v>29.27</v>
      </c>
      <c r="FA116" s="12">
        <v>43644</v>
      </c>
      <c r="FB116">
        <v>28.97</v>
      </c>
      <c r="FC116" s="12">
        <v>43644</v>
      </c>
      <c r="FD116">
        <v>45.774999999999999</v>
      </c>
      <c r="FG116" s="12">
        <v>43644</v>
      </c>
      <c r="FH116">
        <v>12.064</v>
      </c>
      <c r="FI116" s="12">
        <v>43644</v>
      </c>
      <c r="FJ116">
        <v>29.114999999999998</v>
      </c>
      <c r="FK116" s="12">
        <v>43644</v>
      </c>
      <c r="FL116">
        <v>34.180999999999997</v>
      </c>
      <c r="FM116" s="12">
        <v>43644</v>
      </c>
      <c r="FN116">
        <v>20.74</v>
      </c>
      <c r="FO116" s="12">
        <v>43644</v>
      </c>
      <c r="FP116">
        <v>19.036999999999999</v>
      </c>
      <c r="FS116" s="12">
        <v>43644</v>
      </c>
      <c r="FT116">
        <v>2.9370000000000003</v>
      </c>
      <c r="FU116" s="12">
        <v>43644</v>
      </c>
      <c r="FV116">
        <v>13.009</v>
      </c>
      <c r="FW116" s="12">
        <v>43644</v>
      </c>
      <c r="FX116">
        <v>16.295000000000002</v>
      </c>
      <c r="GA116" s="12">
        <v>43644</v>
      </c>
      <c r="GB116">
        <v>24.102</v>
      </c>
      <c r="GC116" s="12">
        <v>43644</v>
      </c>
      <c r="GD116">
        <v>19.38</v>
      </c>
      <c r="GI116" s="12">
        <v>43644</v>
      </c>
      <c r="GJ116">
        <v>46.902999999999999</v>
      </c>
      <c r="GM116" s="12">
        <v>43644</v>
      </c>
      <c r="GN116">
        <v>38.704000000000001</v>
      </c>
      <c r="GQ116" s="12">
        <v>43769</v>
      </c>
      <c r="GR116">
        <v>7.28</v>
      </c>
      <c r="GS116" s="12">
        <v>43644</v>
      </c>
      <c r="GT116">
        <v>2.0699999999999998</v>
      </c>
      <c r="GY116" s="12">
        <v>43644</v>
      </c>
      <c r="GZ116">
        <v>6.29</v>
      </c>
      <c r="HA116" s="12">
        <v>43644</v>
      </c>
      <c r="HB116">
        <v>18.776</v>
      </c>
      <c r="HC116" s="12">
        <v>43644</v>
      </c>
      <c r="HD116">
        <v>27.504999999999999</v>
      </c>
      <c r="HE116" s="12">
        <v>43644</v>
      </c>
      <c r="HF116">
        <v>21.175999999999998</v>
      </c>
      <c r="HG116" s="12">
        <v>43644</v>
      </c>
      <c r="HH116">
        <v>28.131</v>
      </c>
      <c r="HI116" s="12">
        <v>43644</v>
      </c>
      <c r="HJ116">
        <v>17.922000000000001</v>
      </c>
      <c r="HM116" s="12">
        <v>43644</v>
      </c>
      <c r="HN116">
        <v>1.6</v>
      </c>
      <c r="HO116" s="12">
        <v>43644</v>
      </c>
      <c r="HP116">
        <v>1.65</v>
      </c>
      <c r="HQ116" s="12">
        <v>43738</v>
      </c>
      <c r="HR116">
        <v>2.87</v>
      </c>
      <c r="HS116" s="12">
        <v>43644</v>
      </c>
      <c r="HT116">
        <v>94.68</v>
      </c>
      <c r="HU116" s="12">
        <v>43644</v>
      </c>
      <c r="HV116">
        <v>6.96</v>
      </c>
      <c r="HW116" s="12">
        <v>43644</v>
      </c>
      <c r="HX116">
        <v>29.623999999999999</v>
      </c>
      <c r="HY116" s="12">
        <v>43644</v>
      </c>
      <c r="HZ116">
        <v>26.648</v>
      </c>
      <c r="IA116" s="12">
        <v>43644</v>
      </c>
      <c r="IB116">
        <v>21.88</v>
      </c>
      <c r="IC116" s="12">
        <v>43644</v>
      </c>
      <c r="ID116">
        <v>3.7370000000000001</v>
      </c>
      <c r="IE116" s="12">
        <v>43644</v>
      </c>
      <c r="IF116">
        <v>2.6</v>
      </c>
      <c r="IM116" s="12">
        <v>43644</v>
      </c>
      <c r="IN116">
        <v>49.978999999999999</v>
      </c>
      <c r="IQ116" s="12">
        <v>43644</v>
      </c>
      <c r="IR116">
        <v>75.72</v>
      </c>
      <c r="IU116" s="12">
        <v>43644</v>
      </c>
      <c r="IV116">
        <v>8.8282000000000007</v>
      </c>
      <c r="IY116" s="12">
        <v>43644</v>
      </c>
      <c r="IZ116">
        <v>38.761000000000003</v>
      </c>
      <c r="JC116" s="12">
        <v>43644</v>
      </c>
      <c r="JD116">
        <v>1.8399999999999999</v>
      </c>
      <c r="JE116" s="12">
        <v>43644</v>
      </c>
      <c r="JF116">
        <v>4.6899999999999995</v>
      </c>
      <c r="JI116" s="12">
        <v>43644</v>
      </c>
      <c r="JJ116">
        <v>42.652000000000001</v>
      </c>
      <c r="JM116" s="12">
        <v>43644</v>
      </c>
      <c r="JN116">
        <v>4.7089999999999996</v>
      </c>
      <c r="JO116" s="12">
        <v>43644</v>
      </c>
      <c r="JP116">
        <v>45.723999999999997</v>
      </c>
      <c r="JS116" s="12">
        <v>43644</v>
      </c>
      <c r="JT116">
        <v>17.402000000000001</v>
      </c>
      <c r="JW116" s="12">
        <v>43644</v>
      </c>
      <c r="JX116">
        <v>19.516999999999999</v>
      </c>
      <c r="JY116" s="12">
        <v>43644</v>
      </c>
      <c r="JZ116">
        <v>36.944000000000003</v>
      </c>
      <c r="KE116" s="12">
        <v>43644</v>
      </c>
      <c r="KF116">
        <v>25.655000000000001</v>
      </c>
      <c r="KI116" s="12">
        <v>43644</v>
      </c>
      <c r="KJ116">
        <v>1.33</v>
      </c>
      <c r="KQ116" s="12">
        <v>43644</v>
      </c>
      <c r="KR116">
        <v>15.15</v>
      </c>
      <c r="KS116" s="12">
        <v>43644</v>
      </c>
      <c r="KT116">
        <v>11.135</v>
      </c>
      <c r="KU116" s="12">
        <v>43644</v>
      </c>
      <c r="KV116">
        <v>11.259</v>
      </c>
      <c r="LC116" s="12">
        <v>43644</v>
      </c>
      <c r="LD116">
        <v>14.524000000000001</v>
      </c>
      <c r="LE116" s="12">
        <v>43644</v>
      </c>
      <c r="LF116">
        <v>22.942</v>
      </c>
      <c r="LG116" s="12">
        <v>43644</v>
      </c>
      <c r="LH116">
        <v>20.89</v>
      </c>
      <c r="LI116" s="12">
        <v>43644</v>
      </c>
      <c r="LJ116">
        <v>19.616</v>
      </c>
      <c r="LM116" s="12">
        <v>43644</v>
      </c>
      <c r="LN116">
        <v>10.406000000000001</v>
      </c>
      <c r="LO116" s="12">
        <v>43644</v>
      </c>
      <c r="LP116">
        <v>8.8460000000000001</v>
      </c>
      <c r="LQ116" s="12">
        <v>43644</v>
      </c>
      <c r="LR116">
        <v>50.481999999999999</v>
      </c>
      <c r="LW116" s="12">
        <v>43644</v>
      </c>
      <c r="LX116">
        <v>1.849</v>
      </c>
      <c r="LY116" s="12">
        <v>43644</v>
      </c>
      <c r="LZ116">
        <v>48.378999999999998</v>
      </c>
      <c r="MA116" s="12">
        <v>43644</v>
      </c>
      <c r="MB116">
        <v>14.792999999999999</v>
      </c>
      <c r="ME116" s="12">
        <v>43677</v>
      </c>
      <c r="MF116">
        <v>7.72</v>
      </c>
      <c r="MG116" s="12">
        <v>43644</v>
      </c>
      <c r="MH116">
        <v>21.085000000000001</v>
      </c>
      <c r="MK116" s="12">
        <v>43644</v>
      </c>
      <c r="ML116">
        <v>28.463000000000001</v>
      </c>
    </row>
    <row r="117" spans="1:350" x14ac:dyDescent="0.3">
      <c r="A117" s="12">
        <v>43677</v>
      </c>
      <c r="B117" s="1">
        <v>19.614999999999998</v>
      </c>
      <c r="C117" s="1"/>
      <c r="G117" s="17">
        <v>43677</v>
      </c>
      <c r="H117" s="13">
        <v>20.718</v>
      </c>
      <c r="I117" s="17">
        <v>43707</v>
      </c>
      <c r="J117">
        <v>27.75</v>
      </c>
      <c r="N117" s="12"/>
      <c r="Y117" s="12">
        <v>43677</v>
      </c>
      <c r="Z117">
        <v>40.871000000000002</v>
      </c>
      <c r="AA117" s="12">
        <v>43677</v>
      </c>
      <c r="AB117">
        <v>47.295000000000002</v>
      </c>
      <c r="AC117" s="12">
        <v>43677</v>
      </c>
      <c r="AD117">
        <v>26.834</v>
      </c>
      <c r="AE117" s="12">
        <v>43677</v>
      </c>
      <c r="AF117">
        <v>29.713000000000001</v>
      </c>
      <c r="AG117" s="12">
        <v>43677</v>
      </c>
      <c r="AH117">
        <v>6.37</v>
      </c>
      <c r="AK117" s="12">
        <v>43677</v>
      </c>
      <c r="AL117">
        <v>8.6199999999999992</v>
      </c>
      <c r="AS117" s="12">
        <v>43677</v>
      </c>
      <c r="AT117">
        <v>9.2949999999999999</v>
      </c>
      <c r="AU117" s="12">
        <v>43677</v>
      </c>
      <c r="AV117">
        <v>30.975000000000001</v>
      </c>
      <c r="AY117" s="12">
        <v>43677</v>
      </c>
      <c r="AZ117">
        <v>33.409999999999997</v>
      </c>
      <c r="BA117" s="12">
        <v>43677</v>
      </c>
      <c r="BB117">
        <v>33.106999999999999</v>
      </c>
      <c r="BC117" s="12">
        <v>43677</v>
      </c>
      <c r="BD117">
        <v>14.215</v>
      </c>
      <c r="BE117" s="12">
        <v>43769</v>
      </c>
      <c r="BF117">
        <v>12.03</v>
      </c>
      <c r="BG117" s="12">
        <v>43677</v>
      </c>
      <c r="BH117">
        <v>22.61</v>
      </c>
      <c r="BI117" s="12">
        <v>43677</v>
      </c>
      <c r="BJ117">
        <v>37.5</v>
      </c>
      <c r="BK117" s="12">
        <v>43677</v>
      </c>
      <c r="BL117">
        <v>14.224</v>
      </c>
      <c r="BM117" s="12">
        <v>43677</v>
      </c>
      <c r="BN117">
        <v>26.879000000000001</v>
      </c>
      <c r="BO117" s="12">
        <v>43677</v>
      </c>
      <c r="BP117">
        <v>7.17</v>
      </c>
      <c r="BQ117" s="12">
        <v>43677</v>
      </c>
      <c r="BR117">
        <v>16.721</v>
      </c>
      <c r="BS117" s="12">
        <v>43677</v>
      </c>
      <c r="BT117">
        <v>13.858000000000001</v>
      </c>
      <c r="BW117" s="12">
        <v>43677</v>
      </c>
      <c r="BX117">
        <v>12.516</v>
      </c>
      <c r="BY117" s="12">
        <v>43677</v>
      </c>
      <c r="BZ117">
        <v>32.229999999999997</v>
      </c>
      <c r="CA117" s="12">
        <v>43677</v>
      </c>
      <c r="CB117">
        <v>47.402000000000001</v>
      </c>
      <c r="CG117" s="12">
        <v>43677</v>
      </c>
      <c r="CH117">
        <v>50.88</v>
      </c>
      <c r="CI117" s="12">
        <v>43677</v>
      </c>
      <c r="CJ117">
        <v>65.040999999999997</v>
      </c>
      <c r="CK117" s="12">
        <v>43677</v>
      </c>
      <c r="CL117">
        <v>16.170999999999999</v>
      </c>
      <c r="CQ117" s="12">
        <v>43677</v>
      </c>
      <c r="CR117">
        <v>23.524000000000001</v>
      </c>
      <c r="CS117" s="12">
        <v>43677</v>
      </c>
      <c r="CT117">
        <v>30.509</v>
      </c>
      <c r="CU117" s="12">
        <v>43677</v>
      </c>
      <c r="CV117">
        <v>12.105</v>
      </c>
      <c r="CW117" s="12">
        <v>43677</v>
      </c>
      <c r="CX117">
        <v>12.265000000000001</v>
      </c>
      <c r="CY117" s="12">
        <v>43769</v>
      </c>
      <c r="CZ117">
        <v>13.75</v>
      </c>
      <c r="DA117" s="12">
        <v>43677</v>
      </c>
      <c r="DB117">
        <v>46.704999999999998</v>
      </c>
      <c r="DC117" s="12">
        <v>43677</v>
      </c>
      <c r="DD117">
        <v>39.375</v>
      </c>
      <c r="DE117" s="12">
        <v>43677</v>
      </c>
      <c r="DF117">
        <v>39.6</v>
      </c>
      <c r="DK117" s="12">
        <v>43677</v>
      </c>
      <c r="DL117">
        <v>19.309999999999999</v>
      </c>
      <c r="DO117" s="12">
        <v>43677</v>
      </c>
      <c r="DP117">
        <v>18.722999999999999</v>
      </c>
      <c r="DQ117" s="12">
        <v>43677</v>
      </c>
      <c r="DR117">
        <v>25.88</v>
      </c>
      <c r="DS117" s="12">
        <v>43707</v>
      </c>
      <c r="DT117">
        <v>47.213999999999999</v>
      </c>
      <c r="DU117" s="12">
        <v>43677</v>
      </c>
      <c r="DV117">
        <v>18.899999999999999</v>
      </c>
      <c r="DW117" s="12">
        <v>43677</v>
      </c>
      <c r="DX117">
        <v>9.593</v>
      </c>
      <c r="DY117" s="12">
        <v>43677</v>
      </c>
      <c r="DZ117">
        <v>32.561</v>
      </c>
      <c r="EE117" s="12">
        <v>43677</v>
      </c>
      <c r="EF117">
        <v>22.763000000000002</v>
      </c>
      <c r="EI117" s="12">
        <v>43677</v>
      </c>
      <c r="EJ117">
        <v>6.4260000000000002</v>
      </c>
      <c r="EK117" s="12">
        <v>43677</v>
      </c>
      <c r="EL117">
        <v>11.696</v>
      </c>
      <c r="EM117" s="12">
        <v>43677</v>
      </c>
      <c r="EN117">
        <v>13.614000000000001</v>
      </c>
      <c r="EQ117" s="12">
        <v>43677</v>
      </c>
      <c r="ER117">
        <v>6.5730000000000004</v>
      </c>
      <c r="ES117" s="12">
        <v>43677</v>
      </c>
      <c r="ET117">
        <v>40.97</v>
      </c>
      <c r="EU117" s="12">
        <v>43677</v>
      </c>
      <c r="EV117">
        <v>7.351</v>
      </c>
      <c r="EY117" s="12">
        <v>43677</v>
      </c>
      <c r="EZ117">
        <v>31.494</v>
      </c>
      <c r="FA117" s="12">
        <v>43677</v>
      </c>
      <c r="FB117">
        <v>29.41</v>
      </c>
      <c r="FC117" s="12">
        <v>43677</v>
      </c>
      <c r="FD117">
        <v>47.906999999999996</v>
      </c>
      <c r="FG117" s="12">
        <v>43677</v>
      </c>
      <c r="FH117">
        <v>11.670999999999999</v>
      </c>
      <c r="FI117" s="12">
        <v>43677</v>
      </c>
      <c r="FJ117">
        <v>27.978000000000002</v>
      </c>
      <c r="FK117" s="12">
        <v>43677</v>
      </c>
      <c r="FL117">
        <v>32.837000000000003</v>
      </c>
      <c r="FM117" s="12">
        <v>43677</v>
      </c>
      <c r="FN117">
        <v>24.337</v>
      </c>
      <c r="FO117" s="12">
        <v>43677</v>
      </c>
      <c r="FP117">
        <v>20.305</v>
      </c>
      <c r="FS117" s="12">
        <v>43677</v>
      </c>
      <c r="FT117">
        <v>2.8120000000000003</v>
      </c>
      <c r="FU117" s="12">
        <v>43677</v>
      </c>
      <c r="FV117">
        <v>13.808</v>
      </c>
      <c r="FW117" s="12">
        <v>43677</v>
      </c>
      <c r="FX117">
        <v>17.957999999999998</v>
      </c>
      <c r="GA117" s="12">
        <v>43677</v>
      </c>
      <c r="GB117">
        <v>24.013999999999999</v>
      </c>
      <c r="GC117" s="12">
        <v>43677</v>
      </c>
      <c r="GD117">
        <v>19.350000000000001</v>
      </c>
      <c r="GI117" s="12">
        <v>43677</v>
      </c>
      <c r="GJ117">
        <v>47.201999999999998</v>
      </c>
      <c r="GM117" s="12">
        <v>43677</v>
      </c>
      <c r="GN117">
        <v>38.872999999999998</v>
      </c>
      <c r="GQ117" s="12">
        <v>43798</v>
      </c>
      <c r="GR117">
        <v>7.01</v>
      </c>
      <c r="GS117" s="12">
        <v>43677</v>
      </c>
      <c r="GT117">
        <v>2.14</v>
      </c>
      <c r="GY117" s="12">
        <v>43677</v>
      </c>
      <c r="GZ117">
        <v>6.63</v>
      </c>
      <c r="HA117" s="12">
        <v>43677</v>
      </c>
      <c r="HB117">
        <v>19.457000000000001</v>
      </c>
      <c r="HC117" s="12">
        <v>43677</v>
      </c>
      <c r="HD117">
        <v>28.129000000000001</v>
      </c>
      <c r="HE117" s="12">
        <v>43677</v>
      </c>
      <c r="HF117">
        <v>20.891999999999999</v>
      </c>
      <c r="HG117" s="12">
        <v>43677</v>
      </c>
      <c r="HH117">
        <v>30.460999999999999</v>
      </c>
      <c r="HI117" s="12">
        <v>43677</v>
      </c>
      <c r="HJ117">
        <v>17.175999999999998</v>
      </c>
      <c r="HM117" s="12">
        <v>43677</v>
      </c>
      <c r="HN117">
        <v>1.56</v>
      </c>
      <c r="HO117" s="12">
        <v>43677</v>
      </c>
      <c r="HP117">
        <v>1.72</v>
      </c>
      <c r="HQ117" s="12">
        <v>43769</v>
      </c>
      <c r="HR117">
        <v>2.69</v>
      </c>
      <c r="HS117" s="12">
        <v>43677</v>
      </c>
      <c r="HT117">
        <v>93.55</v>
      </c>
      <c r="HU117" s="12">
        <v>43677</v>
      </c>
      <c r="HV117">
        <v>6.45</v>
      </c>
      <c r="HW117" s="12">
        <v>43677</v>
      </c>
      <c r="HX117">
        <v>28.41</v>
      </c>
      <c r="HY117" s="12">
        <v>43677</v>
      </c>
      <c r="HZ117">
        <v>25.355</v>
      </c>
      <c r="IA117" s="12">
        <v>43677</v>
      </c>
      <c r="IB117">
        <v>22.99</v>
      </c>
      <c r="IC117" s="12">
        <v>43677</v>
      </c>
      <c r="ID117">
        <v>3.698</v>
      </c>
      <c r="IE117" s="12">
        <v>43677</v>
      </c>
      <c r="IF117">
        <v>2.86</v>
      </c>
      <c r="IM117" s="12">
        <v>43677</v>
      </c>
      <c r="IN117">
        <v>50.384999999999998</v>
      </c>
      <c r="IQ117" s="12">
        <v>43677</v>
      </c>
      <c r="IR117">
        <v>82.596000000000004</v>
      </c>
      <c r="IU117" s="12">
        <v>43677</v>
      </c>
      <c r="IV117">
        <v>9.7813999999999997</v>
      </c>
      <c r="IY117" s="12">
        <v>43677</v>
      </c>
      <c r="IZ117">
        <v>41.618000000000002</v>
      </c>
      <c r="JC117" s="12">
        <v>43677</v>
      </c>
      <c r="JD117">
        <v>6.4</v>
      </c>
      <c r="JE117" s="12">
        <v>43677</v>
      </c>
      <c r="JF117">
        <v>5</v>
      </c>
      <c r="JI117" s="12">
        <v>43677</v>
      </c>
      <c r="JJ117">
        <v>40.430999999999997</v>
      </c>
      <c r="JM117" s="12">
        <v>43677</v>
      </c>
      <c r="JN117">
        <v>5.226</v>
      </c>
      <c r="JO117" s="12">
        <v>43677</v>
      </c>
      <c r="JP117">
        <v>51.652999999999999</v>
      </c>
      <c r="JS117" s="12">
        <v>43677</v>
      </c>
      <c r="JT117">
        <v>17.765999999999998</v>
      </c>
      <c r="JW117" s="12">
        <v>43677</v>
      </c>
      <c r="JX117">
        <v>19.899000000000001</v>
      </c>
      <c r="JY117" s="12">
        <v>43677</v>
      </c>
      <c r="JZ117">
        <v>41.375</v>
      </c>
      <c r="KE117" s="12">
        <v>43677</v>
      </c>
      <c r="KF117">
        <v>26.279</v>
      </c>
      <c r="KI117" s="12">
        <v>43677</v>
      </c>
      <c r="KJ117">
        <v>1.24</v>
      </c>
      <c r="KQ117" s="12">
        <v>43677</v>
      </c>
      <c r="KR117">
        <v>15.65</v>
      </c>
      <c r="KS117" s="12">
        <v>43677</v>
      </c>
      <c r="KT117">
        <v>12.1</v>
      </c>
      <c r="KU117" s="12">
        <v>43677</v>
      </c>
      <c r="KV117">
        <v>11.83</v>
      </c>
      <c r="LC117" s="12">
        <v>43677</v>
      </c>
      <c r="LD117">
        <v>16.02</v>
      </c>
      <c r="LE117" s="12">
        <v>43677</v>
      </c>
      <c r="LF117">
        <v>22.440999999999999</v>
      </c>
      <c r="LG117" s="12">
        <v>43677</v>
      </c>
      <c r="LH117">
        <v>19.21</v>
      </c>
      <c r="LI117" s="12">
        <v>43677</v>
      </c>
      <c r="LJ117">
        <v>19.411999999999999</v>
      </c>
      <c r="LM117" s="12">
        <v>43677</v>
      </c>
      <c r="LN117">
        <v>9.93</v>
      </c>
      <c r="LO117" s="12">
        <v>43677</v>
      </c>
      <c r="LP117">
        <v>8.6690000000000005</v>
      </c>
      <c r="LQ117" s="12">
        <v>43677</v>
      </c>
      <c r="LR117">
        <v>48.524000000000001</v>
      </c>
      <c r="LW117" s="12">
        <v>43677</v>
      </c>
      <c r="LX117">
        <v>1.8959999999999999</v>
      </c>
      <c r="LY117" s="12">
        <v>43677</v>
      </c>
      <c r="LZ117">
        <v>51.304000000000002</v>
      </c>
      <c r="MA117" s="12">
        <v>43677</v>
      </c>
      <c r="MB117">
        <v>14.535</v>
      </c>
      <c r="ME117" s="12">
        <v>43707</v>
      </c>
      <c r="MF117">
        <v>7.73</v>
      </c>
      <c r="MG117" s="12">
        <v>43677</v>
      </c>
      <c r="MH117">
        <v>23.651</v>
      </c>
      <c r="MK117" s="12">
        <v>43677</v>
      </c>
      <c r="ML117">
        <v>33.664999999999999</v>
      </c>
    </row>
    <row r="118" spans="1:350" x14ac:dyDescent="0.3">
      <c r="A118" s="12">
        <v>43707</v>
      </c>
      <c r="B118" s="1">
        <v>18.241</v>
      </c>
      <c r="C118" s="1"/>
      <c r="G118" s="17">
        <v>43707</v>
      </c>
      <c r="H118" s="13">
        <v>24.742000000000001</v>
      </c>
      <c r="I118" s="3"/>
      <c r="N118" s="12"/>
      <c r="Y118" s="12">
        <v>43707</v>
      </c>
      <c r="Z118">
        <v>43.399000000000001</v>
      </c>
      <c r="AA118" s="12">
        <v>43707</v>
      </c>
      <c r="AB118">
        <v>44.853999999999999</v>
      </c>
      <c r="AC118" s="12">
        <v>43707</v>
      </c>
      <c r="AD118">
        <v>26.15</v>
      </c>
      <c r="AE118" s="12">
        <v>43707</v>
      </c>
      <c r="AF118">
        <v>28.393999999999998</v>
      </c>
      <c r="AG118" s="12">
        <v>43707</v>
      </c>
      <c r="AH118">
        <v>6.04</v>
      </c>
      <c r="AK118" s="12">
        <v>43707</v>
      </c>
      <c r="AL118">
        <v>8.49</v>
      </c>
      <c r="AS118" s="12">
        <v>43707</v>
      </c>
      <c r="AT118">
        <v>9.6</v>
      </c>
      <c r="AU118" s="12">
        <v>43707</v>
      </c>
      <c r="AV118">
        <v>27.85</v>
      </c>
      <c r="AY118" s="12">
        <v>43707</v>
      </c>
      <c r="AZ118">
        <v>38.14</v>
      </c>
      <c r="BA118" s="12">
        <v>43707</v>
      </c>
      <c r="BB118">
        <v>27.446999999999999</v>
      </c>
      <c r="BC118" s="12">
        <v>43707</v>
      </c>
      <c r="BD118">
        <v>13.48</v>
      </c>
      <c r="BE118" s="12">
        <v>43798</v>
      </c>
      <c r="BF118">
        <v>12.743</v>
      </c>
      <c r="BG118" s="12">
        <v>43707</v>
      </c>
      <c r="BH118">
        <v>22.02</v>
      </c>
      <c r="BI118" s="12">
        <v>43707</v>
      </c>
      <c r="BJ118">
        <v>47</v>
      </c>
      <c r="BK118" s="12">
        <v>43707</v>
      </c>
      <c r="BL118">
        <v>15.461</v>
      </c>
      <c r="BM118" s="12">
        <v>43707</v>
      </c>
      <c r="BN118">
        <v>25.795000000000002</v>
      </c>
      <c r="BO118" s="12">
        <v>43707</v>
      </c>
      <c r="BP118">
        <v>7.6749999999999998</v>
      </c>
      <c r="BQ118" s="12">
        <v>43707</v>
      </c>
      <c r="BR118">
        <v>17.271999999999998</v>
      </c>
      <c r="BS118" s="12">
        <v>43707</v>
      </c>
      <c r="BT118">
        <v>14.465999999999999</v>
      </c>
      <c r="BW118" s="12">
        <v>43707</v>
      </c>
      <c r="BX118">
        <v>10.074999999999999</v>
      </c>
      <c r="BY118" s="12">
        <v>43707</v>
      </c>
      <c r="BZ118">
        <v>32.4</v>
      </c>
      <c r="CA118" s="12">
        <v>43707</v>
      </c>
      <c r="CB118">
        <v>50.247</v>
      </c>
      <c r="CG118" s="12">
        <v>43707</v>
      </c>
      <c r="CH118">
        <v>49.99</v>
      </c>
      <c r="CI118" s="12">
        <v>43707</v>
      </c>
      <c r="CJ118">
        <v>66.932000000000002</v>
      </c>
      <c r="CK118" s="12">
        <v>43707</v>
      </c>
      <c r="CL118">
        <v>14.048</v>
      </c>
      <c r="CQ118" s="12">
        <v>43707</v>
      </c>
      <c r="CR118">
        <v>24.286000000000001</v>
      </c>
      <c r="CS118" s="12">
        <v>43707</v>
      </c>
      <c r="CT118">
        <v>29.608000000000001</v>
      </c>
      <c r="CU118" s="12">
        <v>43707</v>
      </c>
      <c r="CV118">
        <v>12.49</v>
      </c>
      <c r="CW118" s="12">
        <v>43707</v>
      </c>
      <c r="CX118">
        <v>12.928000000000001</v>
      </c>
      <c r="CY118" s="12">
        <v>43798</v>
      </c>
      <c r="CZ118">
        <v>14.4</v>
      </c>
      <c r="DA118" s="12">
        <v>43707</v>
      </c>
      <c r="DB118">
        <v>43.521999999999998</v>
      </c>
      <c r="DC118" s="12">
        <v>43707</v>
      </c>
      <c r="DD118">
        <v>45.923000000000002</v>
      </c>
      <c r="DE118" s="12">
        <v>43707</v>
      </c>
      <c r="DF118">
        <v>46.95</v>
      </c>
      <c r="DK118" s="12">
        <v>43707</v>
      </c>
      <c r="DL118">
        <v>17.95</v>
      </c>
      <c r="DO118" s="12">
        <v>43707</v>
      </c>
      <c r="DP118">
        <v>19.509</v>
      </c>
      <c r="DQ118" s="12">
        <v>43707</v>
      </c>
      <c r="DR118">
        <v>26.85</v>
      </c>
      <c r="DS118" s="12">
        <v>43738</v>
      </c>
      <c r="DT118">
        <v>49.658999999999999</v>
      </c>
      <c r="DU118" s="12">
        <v>43707</v>
      </c>
      <c r="DV118">
        <v>19.154</v>
      </c>
      <c r="DW118" s="12">
        <v>43707</v>
      </c>
      <c r="DX118">
        <v>11.081</v>
      </c>
      <c r="DY118" s="12">
        <v>43707</v>
      </c>
      <c r="DZ118">
        <v>38.716000000000001</v>
      </c>
      <c r="EE118" s="12">
        <v>43707</v>
      </c>
      <c r="EF118">
        <v>23.417000000000002</v>
      </c>
      <c r="EI118" s="12">
        <v>43707</v>
      </c>
      <c r="EJ118">
        <v>5.59</v>
      </c>
      <c r="EK118" s="12">
        <v>43707</v>
      </c>
      <c r="EL118">
        <v>10.933</v>
      </c>
      <c r="EM118" s="12">
        <v>43707</v>
      </c>
      <c r="EN118">
        <v>12.814</v>
      </c>
      <c r="EQ118" s="12">
        <v>43707</v>
      </c>
      <c r="ER118">
        <v>6.2169999999999996</v>
      </c>
      <c r="ES118" s="12">
        <v>43707</v>
      </c>
      <c r="ET118">
        <v>33.200000000000003</v>
      </c>
      <c r="EU118" s="12">
        <v>43707</v>
      </c>
      <c r="EV118">
        <v>7.8029999999999999</v>
      </c>
      <c r="EY118" s="12">
        <v>43707</v>
      </c>
      <c r="EZ118">
        <v>32.920999999999999</v>
      </c>
      <c r="FA118" s="12">
        <v>43707</v>
      </c>
      <c r="FB118">
        <v>31.349</v>
      </c>
      <c r="FC118" s="12">
        <v>43707</v>
      </c>
      <c r="FD118">
        <v>45.825000000000003</v>
      </c>
      <c r="FG118" s="12">
        <v>43707</v>
      </c>
      <c r="FH118">
        <v>11.817</v>
      </c>
      <c r="FI118" s="12">
        <v>43707</v>
      </c>
      <c r="FJ118">
        <v>28.741</v>
      </c>
      <c r="FK118" s="12">
        <v>43707</v>
      </c>
      <c r="FL118">
        <v>32.756999999999998</v>
      </c>
      <c r="FM118" s="12">
        <v>43707</v>
      </c>
      <c r="FN118">
        <v>28.97</v>
      </c>
      <c r="FO118" s="12">
        <v>43707</v>
      </c>
      <c r="FP118">
        <v>20.718</v>
      </c>
      <c r="FS118" s="12">
        <v>43707</v>
      </c>
      <c r="FT118">
        <v>2.7989999999999999</v>
      </c>
      <c r="FU118" s="12">
        <v>43707</v>
      </c>
      <c r="FV118">
        <v>14.223000000000001</v>
      </c>
      <c r="FW118" s="12">
        <v>43707</v>
      </c>
      <c r="FX118">
        <v>18.530999999999999</v>
      </c>
      <c r="GA118" s="12">
        <v>43707</v>
      </c>
      <c r="GB118">
        <v>23.088000000000001</v>
      </c>
      <c r="GC118" s="12">
        <v>43707</v>
      </c>
      <c r="GD118">
        <v>20.25</v>
      </c>
      <c r="GI118" s="12">
        <v>43707</v>
      </c>
      <c r="GJ118">
        <v>50.274999999999999</v>
      </c>
      <c r="GM118" s="12">
        <v>43707</v>
      </c>
      <c r="GN118">
        <v>35.962000000000003</v>
      </c>
      <c r="GQ118" s="12">
        <v>43830</v>
      </c>
      <c r="GR118">
        <v>10.45</v>
      </c>
      <c r="GS118" s="12">
        <v>43707</v>
      </c>
      <c r="GT118">
        <v>1.5699999999999998</v>
      </c>
      <c r="GY118" s="12">
        <v>43707</v>
      </c>
      <c r="GZ118">
        <v>8.35</v>
      </c>
      <c r="HA118" s="12">
        <v>43707</v>
      </c>
      <c r="HB118">
        <v>18.901</v>
      </c>
      <c r="HC118" s="12">
        <v>43707</v>
      </c>
      <c r="HD118">
        <v>25.751000000000001</v>
      </c>
      <c r="HE118" s="12">
        <v>43707</v>
      </c>
      <c r="HF118">
        <v>18.661999999999999</v>
      </c>
      <c r="HG118" s="12">
        <v>43707</v>
      </c>
      <c r="HH118">
        <v>32.856999999999999</v>
      </c>
      <c r="HI118" s="12">
        <v>43707</v>
      </c>
      <c r="HJ118">
        <v>16.757999999999999</v>
      </c>
      <c r="HM118" s="12">
        <v>43707</v>
      </c>
      <c r="HN118">
        <v>1.19</v>
      </c>
      <c r="HO118" s="12">
        <v>43707</v>
      </c>
      <c r="HP118">
        <v>1.6400000000000001</v>
      </c>
      <c r="HQ118" s="12">
        <v>43798</v>
      </c>
      <c r="HR118">
        <v>3.54</v>
      </c>
      <c r="HS118" s="12">
        <v>43707</v>
      </c>
      <c r="HT118">
        <v>87.56</v>
      </c>
      <c r="HU118" s="12">
        <v>43707</v>
      </c>
      <c r="HV118">
        <v>5.22</v>
      </c>
      <c r="HW118" s="12">
        <v>43707</v>
      </c>
      <c r="HX118">
        <v>28.099</v>
      </c>
      <c r="HY118" s="12">
        <v>43707</v>
      </c>
      <c r="HZ118">
        <v>24.986000000000001</v>
      </c>
      <c r="IA118" s="12">
        <v>43707</v>
      </c>
      <c r="IB118">
        <v>41.99</v>
      </c>
      <c r="IC118" s="12">
        <v>43707</v>
      </c>
      <c r="ID118">
        <v>3.5140000000000002</v>
      </c>
      <c r="IE118" s="12">
        <v>43707</v>
      </c>
      <c r="IF118">
        <v>3.36</v>
      </c>
      <c r="IM118" s="12">
        <v>43707</v>
      </c>
      <c r="IN118">
        <v>54.156999999999996</v>
      </c>
      <c r="IQ118" s="12">
        <v>43707</v>
      </c>
      <c r="IR118">
        <v>91.581000000000003</v>
      </c>
      <c r="IU118" s="12">
        <v>43707</v>
      </c>
      <c r="IV118">
        <v>9.3371999999999993</v>
      </c>
      <c r="IY118" s="12">
        <v>43707</v>
      </c>
      <c r="IZ118">
        <v>44.493000000000002</v>
      </c>
      <c r="JC118" s="12">
        <v>43707</v>
      </c>
      <c r="JD118">
        <v>4.9800000000000004</v>
      </c>
      <c r="JE118" s="12">
        <v>43707</v>
      </c>
      <c r="JF118">
        <v>4.38</v>
      </c>
      <c r="JI118" s="12">
        <v>43707</v>
      </c>
      <c r="JJ118">
        <v>40.195999999999998</v>
      </c>
      <c r="JM118" s="12">
        <v>43707</v>
      </c>
      <c r="JN118">
        <v>5.7450000000000001</v>
      </c>
      <c r="JO118" s="12">
        <v>43707</v>
      </c>
      <c r="JP118">
        <v>50.009</v>
      </c>
      <c r="JS118" s="12">
        <v>43707</v>
      </c>
      <c r="JT118">
        <v>17.067</v>
      </c>
      <c r="JW118" s="12">
        <v>43707</v>
      </c>
      <c r="JX118">
        <v>17.565999999999999</v>
      </c>
      <c r="JY118" s="12">
        <v>43707</v>
      </c>
      <c r="JZ118">
        <v>47.706000000000003</v>
      </c>
      <c r="KE118" s="12">
        <v>43707</v>
      </c>
      <c r="KF118">
        <v>27.221</v>
      </c>
      <c r="KI118" s="12">
        <v>43707</v>
      </c>
      <c r="KJ118">
        <v>1.3900000000000001</v>
      </c>
      <c r="KQ118" s="12">
        <v>43707</v>
      </c>
      <c r="KR118">
        <v>16.82</v>
      </c>
      <c r="KS118" s="12">
        <v>43707</v>
      </c>
      <c r="KT118">
        <v>11.414</v>
      </c>
      <c r="KU118" s="12">
        <v>43707</v>
      </c>
      <c r="KV118">
        <v>12.055999999999999</v>
      </c>
      <c r="LC118" s="12">
        <v>43707</v>
      </c>
      <c r="LD118">
        <v>17.859000000000002</v>
      </c>
      <c r="LE118" s="12">
        <v>43707</v>
      </c>
      <c r="LF118">
        <v>23.532</v>
      </c>
      <c r="LG118" s="12">
        <v>43707</v>
      </c>
      <c r="LH118">
        <v>17.64</v>
      </c>
      <c r="LI118" s="12">
        <v>43707</v>
      </c>
      <c r="LJ118">
        <v>16.213999999999999</v>
      </c>
      <c r="LM118" s="12">
        <v>43707</v>
      </c>
      <c r="LN118">
        <v>9.5229999999999997</v>
      </c>
      <c r="LO118" s="12">
        <v>43707</v>
      </c>
      <c r="LP118">
        <v>7.827</v>
      </c>
      <c r="LQ118" s="12">
        <v>43707</v>
      </c>
      <c r="LR118">
        <v>44.393999999999998</v>
      </c>
      <c r="LW118" s="12">
        <v>43707</v>
      </c>
      <c r="LX118">
        <v>1.534</v>
      </c>
      <c r="LY118" s="12">
        <v>43707</v>
      </c>
      <c r="LZ118">
        <v>52.646999999999998</v>
      </c>
      <c r="MA118" s="12">
        <v>43707</v>
      </c>
      <c r="MB118">
        <v>11.028</v>
      </c>
      <c r="ME118" s="12">
        <v>43738</v>
      </c>
      <c r="MF118">
        <v>7.92</v>
      </c>
      <c r="MG118" s="12">
        <v>43707</v>
      </c>
      <c r="MH118">
        <v>22.34</v>
      </c>
      <c r="MK118" s="12">
        <v>43707</v>
      </c>
      <c r="ML118">
        <v>30.878</v>
      </c>
    </row>
    <row r="119" spans="1:350" x14ac:dyDescent="0.3">
      <c r="A119" s="12">
        <v>43738</v>
      </c>
      <c r="B119" s="1">
        <v>18.757000000000001</v>
      </c>
      <c r="C119" s="1"/>
      <c r="G119" s="17">
        <v>43738</v>
      </c>
      <c r="H119" s="13">
        <v>25.86</v>
      </c>
      <c r="I119" s="3"/>
      <c r="N119" s="12"/>
      <c r="Y119" s="12">
        <v>43738</v>
      </c>
      <c r="Z119">
        <v>42.57</v>
      </c>
      <c r="AA119" s="12">
        <v>43738</v>
      </c>
      <c r="AB119">
        <v>44.341000000000001</v>
      </c>
      <c r="AC119" s="12">
        <v>43738</v>
      </c>
      <c r="AD119">
        <v>26.984999999999999</v>
      </c>
      <c r="AE119" s="12">
        <v>43738</v>
      </c>
      <c r="AF119">
        <v>29.247</v>
      </c>
      <c r="AG119" s="12">
        <v>43738</v>
      </c>
      <c r="AH119">
        <v>5.6</v>
      </c>
      <c r="AK119" s="12">
        <v>43738</v>
      </c>
      <c r="AL119">
        <v>9.7899999999999991</v>
      </c>
      <c r="AS119" s="12">
        <v>43738</v>
      </c>
      <c r="AT119">
        <v>8.3699999999999992</v>
      </c>
      <c r="AU119" s="12">
        <v>43738</v>
      </c>
      <c r="AV119">
        <v>30.916</v>
      </c>
      <c r="AY119" s="12">
        <v>43738</v>
      </c>
      <c r="AZ119">
        <v>38.200000000000003</v>
      </c>
      <c r="BA119" s="12">
        <v>43738</v>
      </c>
      <c r="BB119">
        <v>31.629000000000001</v>
      </c>
      <c r="BC119" s="12">
        <v>43738</v>
      </c>
      <c r="BD119">
        <v>14.41</v>
      </c>
      <c r="BE119" s="12">
        <v>43830</v>
      </c>
      <c r="BF119">
        <v>14.337</v>
      </c>
      <c r="BG119" s="12">
        <v>43738</v>
      </c>
      <c r="BH119">
        <v>21.942</v>
      </c>
      <c r="BI119" s="12">
        <v>43738</v>
      </c>
      <c r="BJ119">
        <v>48.35</v>
      </c>
      <c r="BK119" s="12">
        <v>43738</v>
      </c>
      <c r="BL119">
        <v>16.411999999999999</v>
      </c>
      <c r="BM119" s="12">
        <v>43738</v>
      </c>
      <c r="BN119">
        <v>26.425000000000001</v>
      </c>
      <c r="BO119" s="12">
        <v>43738</v>
      </c>
      <c r="BP119">
        <v>7.9530000000000003</v>
      </c>
      <c r="BQ119" s="12">
        <v>43738</v>
      </c>
      <c r="BR119">
        <v>15.621</v>
      </c>
      <c r="BS119" s="12">
        <v>43738</v>
      </c>
      <c r="BT119">
        <v>14.045</v>
      </c>
      <c r="BW119" s="12">
        <v>43738</v>
      </c>
      <c r="BX119">
        <v>11.175000000000001</v>
      </c>
      <c r="BY119" s="12">
        <v>43738</v>
      </c>
      <c r="BZ119">
        <v>32.89</v>
      </c>
      <c r="CA119" s="12">
        <v>43738</v>
      </c>
      <c r="CB119">
        <v>47.845999999999997</v>
      </c>
      <c r="CG119" s="12">
        <v>43738</v>
      </c>
      <c r="CH119">
        <v>53.2</v>
      </c>
      <c r="CI119" s="12">
        <v>43738</v>
      </c>
      <c r="CJ119">
        <v>66.025000000000006</v>
      </c>
      <c r="CK119" s="12">
        <v>43738</v>
      </c>
      <c r="CL119">
        <v>13.215999999999999</v>
      </c>
      <c r="CQ119" s="12">
        <v>43738</v>
      </c>
      <c r="CR119">
        <v>23.187000000000001</v>
      </c>
      <c r="CS119" s="12">
        <v>43738</v>
      </c>
      <c r="CT119">
        <v>32.677999999999997</v>
      </c>
      <c r="CU119" s="12">
        <v>43738</v>
      </c>
      <c r="CV119">
        <v>11.875</v>
      </c>
      <c r="CW119" s="12">
        <v>43738</v>
      </c>
      <c r="CX119">
        <v>12.343</v>
      </c>
      <c r="CY119" s="12">
        <v>43830</v>
      </c>
      <c r="CZ119">
        <v>16.3</v>
      </c>
      <c r="DA119" s="12">
        <v>43738</v>
      </c>
      <c r="DB119">
        <v>42.951000000000001</v>
      </c>
      <c r="DC119" s="12">
        <v>43738</v>
      </c>
      <c r="DD119">
        <v>40.134999999999998</v>
      </c>
      <c r="DE119" s="12">
        <v>43738</v>
      </c>
      <c r="DF119">
        <v>42.02</v>
      </c>
      <c r="DK119" s="12">
        <v>43738</v>
      </c>
      <c r="DL119">
        <v>17.91</v>
      </c>
      <c r="DO119" s="12">
        <v>43738</v>
      </c>
      <c r="DP119">
        <v>19.024000000000001</v>
      </c>
      <c r="DQ119" s="12">
        <v>43738</v>
      </c>
      <c r="DR119">
        <v>30.67</v>
      </c>
      <c r="DS119" s="12">
        <v>43769</v>
      </c>
      <c r="DT119">
        <v>47.640999999999998</v>
      </c>
      <c r="DU119" s="12">
        <v>43738</v>
      </c>
      <c r="DV119">
        <v>20.058</v>
      </c>
      <c r="DW119" s="12">
        <v>43738</v>
      </c>
      <c r="DX119">
        <v>10.278</v>
      </c>
      <c r="DY119" s="12">
        <v>43738</v>
      </c>
      <c r="DZ119">
        <v>35.881</v>
      </c>
      <c r="EE119" s="12">
        <v>43738</v>
      </c>
      <c r="EF119">
        <v>25.777999999999999</v>
      </c>
      <c r="EI119" s="12">
        <v>43738</v>
      </c>
      <c r="EJ119">
        <v>5.9399999999999995</v>
      </c>
      <c r="EK119" s="12">
        <v>43738</v>
      </c>
      <c r="EL119">
        <v>10.933</v>
      </c>
      <c r="EM119" s="12">
        <v>43738</v>
      </c>
      <c r="EN119">
        <v>13.102</v>
      </c>
      <c r="EQ119" s="12">
        <v>43738</v>
      </c>
      <c r="ER119">
        <v>6.2169999999999996</v>
      </c>
      <c r="ES119" s="12">
        <v>43738</v>
      </c>
      <c r="ET119">
        <v>32.299999999999997</v>
      </c>
      <c r="EU119" s="12">
        <v>43738</v>
      </c>
      <c r="EV119">
        <v>8.4629999999999992</v>
      </c>
      <c r="EY119" s="12">
        <v>43738</v>
      </c>
      <c r="EZ119">
        <v>34.606000000000002</v>
      </c>
      <c r="FA119" s="12">
        <v>43738</v>
      </c>
      <c r="FB119">
        <v>32.674999999999997</v>
      </c>
      <c r="FC119" s="12">
        <v>43738</v>
      </c>
      <c r="FD119">
        <v>47.348999999999997</v>
      </c>
      <c r="FG119" s="12">
        <v>43738</v>
      </c>
      <c r="FH119">
        <v>12.693</v>
      </c>
      <c r="FI119" s="12">
        <v>43738</v>
      </c>
      <c r="FJ119">
        <v>28.966999999999999</v>
      </c>
      <c r="FK119" s="12">
        <v>43738</v>
      </c>
      <c r="FL119">
        <v>33.823999999999998</v>
      </c>
      <c r="FM119" s="12">
        <v>43738</v>
      </c>
      <c r="FN119">
        <v>32.048999999999999</v>
      </c>
      <c r="FO119" s="12">
        <v>43738</v>
      </c>
      <c r="FP119">
        <v>21.21</v>
      </c>
      <c r="FS119" s="12">
        <v>43738</v>
      </c>
      <c r="FT119">
        <v>2.8479999999999999</v>
      </c>
      <c r="FU119" s="12">
        <v>43738</v>
      </c>
      <c r="FV119">
        <v>14.736000000000001</v>
      </c>
      <c r="FW119" s="12">
        <v>43738</v>
      </c>
      <c r="FX119">
        <v>19.748000000000001</v>
      </c>
      <c r="GA119" s="12">
        <v>43738</v>
      </c>
      <c r="GB119">
        <v>23.137</v>
      </c>
      <c r="GC119" s="12">
        <v>43738</v>
      </c>
      <c r="GD119">
        <v>19.2</v>
      </c>
      <c r="GI119" s="12">
        <v>43738</v>
      </c>
      <c r="GJ119">
        <v>50.274999999999999</v>
      </c>
      <c r="GM119" s="12">
        <v>43738</v>
      </c>
      <c r="GN119">
        <v>34.770000000000003</v>
      </c>
      <c r="GS119" s="12">
        <v>43738</v>
      </c>
      <c r="GT119">
        <v>1.44</v>
      </c>
      <c r="GY119" s="12">
        <v>43738</v>
      </c>
      <c r="GZ119">
        <v>11.02</v>
      </c>
      <c r="HA119" s="12">
        <v>43738</v>
      </c>
      <c r="HB119">
        <v>16.923999999999999</v>
      </c>
      <c r="HC119" s="12">
        <v>43738</v>
      </c>
      <c r="HD119">
        <v>28.585000000000001</v>
      </c>
      <c r="HE119" s="12">
        <v>43738</v>
      </c>
      <c r="HF119">
        <v>18.356000000000002</v>
      </c>
      <c r="HG119" s="12">
        <v>43738</v>
      </c>
      <c r="HH119">
        <v>33.722999999999999</v>
      </c>
      <c r="HI119" s="12">
        <v>43738</v>
      </c>
      <c r="HJ119">
        <v>15.939</v>
      </c>
      <c r="HM119" s="12">
        <v>43738</v>
      </c>
      <c r="HN119">
        <v>0.95</v>
      </c>
      <c r="HO119" s="12">
        <v>43738</v>
      </c>
      <c r="HP119">
        <v>1.43</v>
      </c>
      <c r="HQ119" s="12">
        <v>43830</v>
      </c>
      <c r="HR119">
        <v>3.27</v>
      </c>
      <c r="HS119" s="12">
        <v>43738</v>
      </c>
      <c r="HT119">
        <v>79.8</v>
      </c>
      <c r="HU119" s="12">
        <v>43738</v>
      </c>
      <c r="HV119">
        <v>5.41</v>
      </c>
      <c r="HW119" s="12">
        <v>43738</v>
      </c>
      <c r="HX119">
        <v>29.966999999999999</v>
      </c>
      <c r="HY119" s="12">
        <v>43738</v>
      </c>
      <c r="HZ119">
        <v>26.995000000000001</v>
      </c>
      <c r="IA119" s="12">
        <v>43738</v>
      </c>
      <c r="IB119">
        <v>31.2</v>
      </c>
      <c r="IC119" s="12">
        <v>43738</v>
      </c>
      <c r="ID119">
        <v>3.1829999999999998</v>
      </c>
      <c r="IE119" s="12">
        <v>43738</v>
      </c>
      <c r="IF119">
        <v>3.48</v>
      </c>
      <c r="IM119" s="12">
        <v>43738</v>
      </c>
      <c r="IN119">
        <v>56.951000000000001</v>
      </c>
      <c r="IQ119" s="12">
        <v>43738</v>
      </c>
      <c r="IR119">
        <v>95.489000000000004</v>
      </c>
      <c r="IU119" s="12">
        <v>43738</v>
      </c>
      <c r="IV119">
        <v>9.4655000000000005</v>
      </c>
      <c r="IY119" s="12">
        <v>43738</v>
      </c>
      <c r="IZ119">
        <v>43.097000000000001</v>
      </c>
      <c r="JC119" s="12">
        <v>43738</v>
      </c>
      <c r="JD119">
        <v>5.0999999999999996</v>
      </c>
      <c r="JE119" s="12">
        <v>43738</v>
      </c>
      <c r="JF119">
        <v>4.01</v>
      </c>
      <c r="JI119" s="12">
        <v>43738</v>
      </c>
      <c r="JJ119">
        <v>42.771000000000001</v>
      </c>
      <c r="JM119" s="12">
        <v>43738</v>
      </c>
      <c r="JN119">
        <v>5.4</v>
      </c>
      <c r="JO119" s="12">
        <v>43738</v>
      </c>
      <c r="JP119">
        <v>47.978000000000002</v>
      </c>
      <c r="JS119" s="12">
        <v>43738</v>
      </c>
      <c r="JT119">
        <v>17.617999999999999</v>
      </c>
      <c r="JW119" s="12">
        <v>43738</v>
      </c>
      <c r="JX119">
        <v>18.658000000000001</v>
      </c>
      <c r="JY119" s="12">
        <v>43738</v>
      </c>
      <c r="JZ119">
        <v>47.142000000000003</v>
      </c>
      <c r="KE119" s="12">
        <v>43738</v>
      </c>
      <c r="KF119">
        <v>27.899000000000001</v>
      </c>
      <c r="KI119" s="12">
        <v>43738</v>
      </c>
      <c r="KJ119">
        <v>1.24</v>
      </c>
      <c r="KQ119" s="12">
        <v>43738</v>
      </c>
      <c r="KR119">
        <v>16.75</v>
      </c>
      <c r="KS119" s="12">
        <v>43738</v>
      </c>
      <c r="KT119">
        <v>11.653</v>
      </c>
      <c r="KU119" s="12">
        <v>43738</v>
      </c>
      <c r="KV119">
        <v>11.673999999999999</v>
      </c>
      <c r="LC119" s="12">
        <v>43738</v>
      </c>
      <c r="LD119">
        <v>19.138999999999999</v>
      </c>
      <c r="LE119" s="12">
        <v>43738</v>
      </c>
      <c r="LF119">
        <v>23.437000000000001</v>
      </c>
      <c r="LG119" s="12">
        <v>43738</v>
      </c>
      <c r="LH119">
        <v>17.95</v>
      </c>
      <c r="LI119" s="12">
        <v>43738</v>
      </c>
      <c r="LJ119">
        <v>18.257999999999999</v>
      </c>
      <c r="LM119" s="12">
        <v>43738</v>
      </c>
      <c r="LN119">
        <v>9.2750000000000004</v>
      </c>
      <c r="LO119" s="12">
        <v>43738</v>
      </c>
      <c r="LP119">
        <v>7.7379999999999995</v>
      </c>
      <c r="LQ119" s="12">
        <v>43738</v>
      </c>
      <c r="LR119">
        <v>46.517000000000003</v>
      </c>
      <c r="LW119" s="12">
        <v>43738</v>
      </c>
      <c r="LX119">
        <v>1.534</v>
      </c>
      <c r="LY119" s="12">
        <v>43738</v>
      </c>
      <c r="LZ119">
        <v>53.893000000000001</v>
      </c>
      <c r="MA119" s="12">
        <v>43738</v>
      </c>
      <c r="MB119">
        <v>13.207000000000001</v>
      </c>
      <c r="ME119" s="12">
        <v>43769</v>
      </c>
      <c r="MF119">
        <v>7.42</v>
      </c>
      <c r="MG119" s="12">
        <v>43738</v>
      </c>
      <c r="MH119">
        <v>24.099</v>
      </c>
      <c r="MK119" s="12">
        <v>43738</v>
      </c>
      <c r="ML119">
        <v>35.411999999999999</v>
      </c>
    </row>
    <row r="120" spans="1:350" x14ac:dyDescent="0.3">
      <c r="A120" s="12">
        <v>43769</v>
      </c>
      <c r="B120" s="1">
        <v>16.934999999999999</v>
      </c>
      <c r="C120" s="1"/>
      <c r="G120" s="17">
        <v>43769</v>
      </c>
      <c r="H120" s="13">
        <v>27.198</v>
      </c>
      <c r="I120" s="3"/>
      <c r="N120" s="12"/>
      <c r="Y120" s="12">
        <v>43769</v>
      </c>
      <c r="Z120">
        <v>47.204999999999998</v>
      </c>
      <c r="AA120" s="12">
        <v>43769</v>
      </c>
      <c r="AB120">
        <v>46.933999999999997</v>
      </c>
      <c r="AC120" s="12">
        <v>43769</v>
      </c>
      <c r="AD120">
        <v>29.231000000000002</v>
      </c>
      <c r="AE120" s="12">
        <v>43769</v>
      </c>
      <c r="AF120">
        <v>31.274000000000001</v>
      </c>
      <c r="AG120" s="12">
        <v>43769</v>
      </c>
      <c r="AH120">
        <v>4.59</v>
      </c>
      <c r="AK120" s="12">
        <v>43769</v>
      </c>
      <c r="AL120">
        <v>10.34</v>
      </c>
      <c r="AS120" s="12">
        <v>43769</v>
      </c>
      <c r="AT120">
        <v>8.9109999999999996</v>
      </c>
      <c r="AU120" s="12">
        <v>43769</v>
      </c>
      <c r="AV120">
        <v>31.356999999999999</v>
      </c>
      <c r="AY120" s="12">
        <v>43769</v>
      </c>
      <c r="AZ120">
        <v>35.51</v>
      </c>
      <c r="BA120" s="12">
        <v>43769</v>
      </c>
      <c r="BB120">
        <v>27.7</v>
      </c>
      <c r="BC120" s="12">
        <v>43769</v>
      </c>
      <c r="BD120">
        <v>15.35</v>
      </c>
      <c r="BG120" s="12">
        <v>43769</v>
      </c>
      <c r="BH120">
        <v>21.757000000000001</v>
      </c>
      <c r="BI120" s="12">
        <v>43769</v>
      </c>
      <c r="BJ120">
        <v>50.8</v>
      </c>
      <c r="BK120" s="12">
        <v>43769</v>
      </c>
      <c r="BL120">
        <v>16.059000000000001</v>
      </c>
      <c r="BM120" s="12">
        <v>43769</v>
      </c>
      <c r="BN120">
        <v>27.538</v>
      </c>
      <c r="BO120" s="12">
        <v>43769</v>
      </c>
      <c r="BP120">
        <v>7.516</v>
      </c>
      <c r="BQ120" s="12">
        <v>43769</v>
      </c>
      <c r="BR120">
        <v>14.688000000000001</v>
      </c>
      <c r="BS120" s="12">
        <v>43769</v>
      </c>
      <c r="BT120">
        <v>13.378</v>
      </c>
      <c r="BW120" s="12">
        <v>43769</v>
      </c>
      <c r="BX120">
        <v>9.6660000000000004</v>
      </c>
      <c r="BY120" s="12">
        <v>43769</v>
      </c>
      <c r="BZ120">
        <v>33.020000000000003</v>
      </c>
      <c r="CA120" s="12">
        <v>43769</v>
      </c>
      <c r="CB120">
        <v>53.69</v>
      </c>
      <c r="CG120" s="12">
        <v>43769</v>
      </c>
      <c r="CH120">
        <v>57.79</v>
      </c>
      <c r="CI120" s="12">
        <v>43769</v>
      </c>
      <c r="CJ120">
        <v>65.539000000000001</v>
      </c>
      <c r="CK120" s="12">
        <v>43769</v>
      </c>
      <c r="CL120">
        <v>11.787000000000001</v>
      </c>
      <c r="CQ120" s="12">
        <v>43769</v>
      </c>
      <c r="CR120">
        <v>25.963000000000001</v>
      </c>
      <c r="CS120" s="12">
        <v>43769</v>
      </c>
      <c r="CT120">
        <v>31.687999999999999</v>
      </c>
      <c r="CU120" s="12">
        <v>43769</v>
      </c>
      <c r="CV120">
        <v>11.95</v>
      </c>
      <c r="CW120" s="12">
        <v>43769</v>
      </c>
      <c r="CX120">
        <v>12.821</v>
      </c>
      <c r="DA120" s="12">
        <v>43769</v>
      </c>
      <c r="DB120">
        <v>43.792999999999999</v>
      </c>
      <c r="DC120" s="12">
        <v>43769</v>
      </c>
      <c r="DD120">
        <v>39.545000000000002</v>
      </c>
      <c r="DE120" s="12">
        <v>43769</v>
      </c>
      <c r="DF120">
        <v>40.99</v>
      </c>
      <c r="DK120" s="12">
        <v>43769</v>
      </c>
      <c r="DL120">
        <v>17.53</v>
      </c>
      <c r="DO120" s="12">
        <v>43769</v>
      </c>
      <c r="DP120">
        <v>18.413</v>
      </c>
      <c r="DQ120" s="12">
        <v>43769</v>
      </c>
      <c r="DR120">
        <v>32.869999999999997</v>
      </c>
      <c r="DS120" s="12">
        <v>43798</v>
      </c>
      <c r="DT120">
        <v>45.712000000000003</v>
      </c>
      <c r="DU120" s="12">
        <v>43769</v>
      </c>
      <c r="DV120">
        <v>20.376000000000001</v>
      </c>
      <c r="DW120" s="12">
        <v>43769</v>
      </c>
      <c r="DX120">
        <v>11.933</v>
      </c>
      <c r="DY120" s="12">
        <v>43769</v>
      </c>
      <c r="DZ120">
        <v>40.837000000000003</v>
      </c>
      <c r="EE120" s="12">
        <v>43769</v>
      </c>
      <c r="EF120">
        <v>24.832000000000001</v>
      </c>
      <c r="EI120" s="12">
        <v>43769</v>
      </c>
      <c r="EJ120">
        <v>5.44</v>
      </c>
      <c r="EK120" s="12">
        <v>43769</v>
      </c>
      <c r="EL120">
        <v>11.092000000000001</v>
      </c>
      <c r="EM120" s="12">
        <v>43769</v>
      </c>
      <c r="EN120">
        <v>13.371</v>
      </c>
      <c r="EQ120" s="12">
        <v>43769</v>
      </c>
      <c r="ER120">
        <v>6.2569999999999997</v>
      </c>
      <c r="ES120" s="12">
        <v>43769</v>
      </c>
      <c r="ET120">
        <v>36.6</v>
      </c>
      <c r="EU120" s="12">
        <v>43769</v>
      </c>
      <c r="EV120">
        <v>9.6649999999999991</v>
      </c>
      <c r="EY120" s="12">
        <v>43769</v>
      </c>
      <c r="EZ120">
        <v>31.367000000000001</v>
      </c>
      <c r="FA120" s="12">
        <v>43769</v>
      </c>
      <c r="FB120">
        <v>33.709000000000003</v>
      </c>
      <c r="FC120" s="12">
        <v>43769</v>
      </c>
      <c r="FD120">
        <v>47.718000000000004</v>
      </c>
      <c r="FG120" s="12">
        <v>43769</v>
      </c>
      <c r="FH120">
        <v>13.202999999999999</v>
      </c>
      <c r="FI120" s="12">
        <v>43769</v>
      </c>
      <c r="FJ120">
        <v>29.992000000000001</v>
      </c>
      <c r="FK120" s="12">
        <v>43769</v>
      </c>
      <c r="FL120">
        <v>34.997999999999998</v>
      </c>
      <c r="FM120" s="12">
        <v>43769</v>
      </c>
      <c r="FN120">
        <v>27.651</v>
      </c>
      <c r="FO120" s="12">
        <v>43769</v>
      </c>
      <c r="FP120">
        <v>20.945</v>
      </c>
      <c r="FS120" s="12">
        <v>43769</v>
      </c>
      <c r="FT120">
        <v>2.9539999999999997</v>
      </c>
      <c r="FU120" s="12">
        <v>43769</v>
      </c>
      <c r="FV120">
        <v>14.914</v>
      </c>
      <c r="FW120" s="12">
        <v>43769</v>
      </c>
      <c r="FX120">
        <v>19.777999999999999</v>
      </c>
      <c r="GA120" s="12">
        <v>43769</v>
      </c>
      <c r="GB120">
        <v>23.936</v>
      </c>
      <c r="GC120" s="12">
        <v>43769</v>
      </c>
      <c r="GD120">
        <v>19.899999999999999</v>
      </c>
      <c r="GI120" s="12">
        <v>43769</v>
      </c>
      <c r="GJ120">
        <v>50.554000000000002</v>
      </c>
      <c r="GM120" s="12">
        <v>43769</v>
      </c>
      <c r="GN120">
        <v>37.502000000000002</v>
      </c>
      <c r="GS120" s="12">
        <v>43769</v>
      </c>
      <c r="GT120">
        <v>1.45</v>
      </c>
      <c r="GY120" s="12">
        <v>43769</v>
      </c>
      <c r="GZ120">
        <v>10.75</v>
      </c>
      <c r="HA120" s="12">
        <v>43769</v>
      </c>
      <c r="HB120">
        <v>16.876000000000001</v>
      </c>
      <c r="HC120" s="12">
        <v>43769</v>
      </c>
      <c r="HD120">
        <v>29.077000000000002</v>
      </c>
      <c r="HE120" s="12">
        <v>43769</v>
      </c>
      <c r="HF120">
        <v>16.690999999999999</v>
      </c>
      <c r="HG120" s="12">
        <v>43769</v>
      </c>
      <c r="HH120">
        <v>31.033999999999999</v>
      </c>
      <c r="HI120" s="12">
        <v>43769</v>
      </c>
      <c r="HJ120">
        <v>14.587999999999999</v>
      </c>
      <c r="HM120" s="12">
        <v>43769</v>
      </c>
      <c r="HN120">
        <v>0.95</v>
      </c>
      <c r="HO120" s="12">
        <v>43769</v>
      </c>
      <c r="HP120">
        <v>1.31</v>
      </c>
      <c r="HS120" s="12">
        <v>43769</v>
      </c>
      <c r="HT120">
        <v>82.99</v>
      </c>
      <c r="HU120" s="12">
        <v>43769</v>
      </c>
      <c r="HV120">
        <v>5.26</v>
      </c>
      <c r="HW120" s="12">
        <v>43769</v>
      </c>
      <c r="HX120">
        <v>32.502000000000002</v>
      </c>
      <c r="HY120" s="12">
        <v>43769</v>
      </c>
      <c r="HZ120">
        <v>29.777000000000001</v>
      </c>
      <c r="IA120" s="12">
        <v>43769</v>
      </c>
      <c r="IB120">
        <v>27.5</v>
      </c>
      <c r="IC120" s="12">
        <v>43769</v>
      </c>
      <c r="ID120">
        <v>3.5550000000000002</v>
      </c>
      <c r="IE120" s="12">
        <v>43769</v>
      </c>
      <c r="IF120">
        <v>4.2</v>
      </c>
      <c r="IM120" s="12">
        <v>43769</v>
      </c>
      <c r="IN120">
        <v>56.140999999999998</v>
      </c>
      <c r="IQ120" s="12">
        <v>43769</v>
      </c>
      <c r="IR120">
        <v>109.631</v>
      </c>
      <c r="IU120" s="12">
        <v>43769</v>
      </c>
      <c r="IV120">
        <v>10.2157</v>
      </c>
      <c r="IY120" s="12">
        <v>43769</v>
      </c>
      <c r="IZ120">
        <v>40.936</v>
      </c>
      <c r="JC120" s="12">
        <v>43769</v>
      </c>
      <c r="JD120">
        <v>4.9399999999999995</v>
      </c>
      <c r="JE120" s="12">
        <v>43769</v>
      </c>
      <c r="JF120">
        <v>3.76</v>
      </c>
      <c r="JI120" s="12">
        <v>43769</v>
      </c>
      <c r="JJ120">
        <v>44.679000000000002</v>
      </c>
      <c r="JM120" s="12">
        <v>43769</v>
      </c>
      <c r="JN120">
        <v>5.9610000000000003</v>
      </c>
      <c r="JO120" s="12">
        <v>43769</v>
      </c>
      <c r="JP120">
        <v>52.832999999999998</v>
      </c>
      <c r="JS120" s="12">
        <v>43769</v>
      </c>
      <c r="JT120">
        <v>17.835000000000001</v>
      </c>
      <c r="JW120" s="12">
        <v>43769</v>
      </c>
      <c r="JX120">
        <v>17.29</v>
      </c>
      <c r="JY120" s="12">
        <v>43769</v>
      </c>
      <c r="JZ120">
        <v>47.715000000000003</v>
      </c>
      <c r="KE120" s="12">
        <v>43769</v>
      </c>
      <c r="KF120">
        <v>27.977</v>
      </c>
      <c r="KI120" s="12">
        <v>43769</v>
      </c>
      <c r="KJ120">
        <v>1.2</v>
      </c>
      <c r="KQ120" s="12">
        <v>43769</v>
      </c>
      <c r="KR120">
        <v>14.98</v>
      </c>
      <c r="KS120" s="12">
        <v>43769</v>
      </c>
      <c r="KT120">
        <v>11.185</v>
      </c>
      <c r="KU120" s="12">
        <v>43769</v>
      </c>
      <c r="KV120">
        <v>11.35</v>
      </c>
      <c r="LC120" s="12">
        <v>43769</v>
      </c>
      <c r="LD120">
        <v>20.643000000000001</v>
      </c>
      <c r="LE120" s="12">
        <v>43769</v>
      </c>
      <c r="LF120">
        <v>22.364999999999998</v>
      </c>
      <c r="LG120" s="12">
        <v>43769</v>
      </c>
      <c r="LH120">
        <v>19.13</v>
      </c>
      <c r="LI120" s="12">
        <v>43769</v>
      </c>
      <c r="LJ120">
        <v>18.634</v>
      </c>
      <c r="LM120" s="12">
        <v>43769</v>
      </c>
      <c r="LN120">
        <v>8.7690000000000001</v>
      </c>
      <c r="LO120" s="12">
        <v>43769</v>
      </c>
      <c r="LP120">
        <v>7.1929999999999996</v>
      </c>
      <c r="LQ120" s="12">
        <v>43769</v>
      </c>
      <c r="LR120">
        <v>45.981999999999999</v>
      </c>
      <c r="LW120" s="12">
        <v>43769</v>
      </c>
      <c r="LX120">
        <v>1.41</v>
      </c>
      <c r="LY120" s="12">
        <v>43769</v>
      </c>
      <c r="LZ120">
        <v>52.069000000000003</v>
      </c>
      <c r="MA120" s="12">
        <v>43769</v>
      </c>
      <c r="MB120">
        <v>12.691000000000001</v>
      </c>
      <c r="ME120" s="12">
        <v>43798</v>
      </c>
      <c r="MF120">
        <v>8.81</v>
      </c>
      <c r="MG120" s="12">
        <v>43769</v>
      </c>
      <c r="MH120">
        <v>25.361999999999998</v>
      </c>
      <c r="MK120" s="12">
        <v>43769</v>
      </c>
      <c r="ML120">
        <v>38.524000000000001</v>
      </c>
    </row>
    <row r="121" spans="1:350" x14ac:dyDescent="0.3">
      <c r="A121" s="12">
        <v>43798</v>
      </c>
      <c r="B121" s="1">
        <v>17.588000000000001</v>
      </c>
      <c r="C121" s="1"/>
      <c r="G121" s="17">
        <v>43798</v>
      </c>
      <c r="H121" s="13">
        <v>31.731000000000002</v>
      </c>
      <c r="I121" s="3"/>
      <c r="N121" s="12"/>
      <c r="Y121" s="12">
        <v>43798</v>
      </c>
      <c r="Z121">
        <v>46.561</v>
      </c>
      <c r="AA121" s="12">
        <v>43798</v>
      </c>
      <c r="AB121">
        <v>46.972999999999999</v>
      </c>
      <c r="AC121" s="12">
        <v>43798</v>
      </c>
      <c r="AD121">
        <v>27.821999999999999</v>
      </c>
      <c r="AE121" s="12">
        <v>43798</v>
      </c>
      <c r="AF121">
        <v>29.69</v>
      </c>
      <c r="AG121" s="12">
        <v>43798</v>
      </c>
      <c r="AH121">
        <v>3.82</v>
      </c>
      <c r="AK121" s="12">
        <v>43798</v>
      </c>
      <c r="AL121">
        <v>14.7</v>
      </c>
      <c r="AS121" s="12">
        <v>43798</v>
      </c>
      <c r="AT121">
        <v>8.8520000000000003</v>
      </c>
      <c r="AU121" s="12">
        <v>43798</v>
      </c>
      <c r="AV121">
        <v>33.502000000000002</v>
      </c>
      <c r="AY121" s="12">
        <v>43798</v>
      </c>
      <c r="AZ121">
        <v>36.6</v>
      </c>
      <c r="BA121" s="12">
        <v>43798</v>
      </c>
      <c r="BB121">
        <v>27.99</v>
      </c>
      <c r="BC121" s="12">
        <v>43798</v>
      </c>
      <c r="BD121">
        <v>15.57</v>
      </c>
      <c r="BG121" s="12">
        <v>43798</v>
      </c>
      <c r="BH121">
        <v>19.826999999999998</v>
      </c>
      <c r="BI121" s="12">
        <v>43798</v>
      </c>
      <c r="BJ121">
        <v>56.34</v>
      </c>
      <c r="BK121" s="12">
        <v>43798</v>
      </c>
      <c r="BL121">
        <v>16.791</v>
      </c>
      <c r="BM121" s="12">
        <v>43798</v>
      </c>
      <c r="BN121">
        <v>27.853000000000002</v>
      </c>
      <c r="BO121" s="12">
        <v>43798</v>
      </c>
      <c r="BP121">
        <v>7.7709999999999999</v>
      </c>
      <c r="BQ121" s="12">
        <v>43798</v>
      </c>
      <c r="BR121">
        <v>14.382999999999999</v>
      </c>
      <c r="BS121" s="12">
        <v>43798</v>
      </c>
      <c r="BT121">
        <v>12.79</v>
      </c>
      <c r="BW121" s="12">
        <v>43798</v>
      </c>
      <c r="BX121">
        <v>10.25</v>
      </c>
      <c r="BY121" s="12">
        <v>43798</v>
      </c>
      <c r="BZ121">
        <v>31.59</v>
      </c>
      <c r="CA121" s="12">
        <v>43798</v>
      </c>
      <c r="CB121">
        <v>61</v>
      </c>
      <c r="CG121" s="12">
        <v>43798</v>
      </c>
      <c r="CH121">
        <v>62.1</v>
      </c>
      <c r="CI121" s="12">
        <v>43798</v>
      </c>
      <c r="CJ121">
        <v>66.510999999999996</v>
      </c>
      <c r="CK121" s="12">
        <v>43798</v>
      </c>
      <c r="CL121">
        <v>12.545999999999999</v>
      </c>
      <c r="CQ121" s="12">
        <v>43798</v>
      </c>
      <c r="CR121">
        <v>25.876999999999999</v>
      </c>
      <c r="CS121" s="12">
        <v>43798</v>
      </c>
      <c r="CT121">
        <v>49.502000000000002</v>
      </c>
      <c r="CU121" s="12">
        <v>43798</v>
      </c>
      <c r="CV121">
        <v>12.15</v>
      </c>
      <c r="CW121" s="12">
        <v>43798</v>
      </c>
      <c r="CX121">
        <v>14.031000000000001</v>
      </c>
      <c r="DA121" s="12">
        <v>43798</v>
      </c>
      <c r="DB121">
        <v>45.253999999999998</v>
      </c>
      <c r="DC121" s="12">
        <v>43798</v>
      </c>
      <c r="DD121">
        <v>34.83</v>
      </c>
      <c r="DE121" s="12">
        <v>43798</v>
      </c>
      <c r="DF121">
        <v>35.93</v>
      </c>
      <c r="DK121" s="12">
        <v>43798</v>
      </c>
      <c r="DL121">
        <v>18</v>
      </c>
      <c r="DO121" s="12">
        <v>43798</v>
      </c>
      <c r="DP121">
        <v>19.306000000000001</v>
      </c>
      <c r="DQ121" s="12">
        <v>43798</v>
      </c>
      <c r="DR121">
        <v>38.1</v>
      </c>
      <c r="DS121" s="12">
        <v>43830</v>
      </c>
      <c r="DT121">
        <v>53.219000000000001</v>
      </c>
      <c r="DU121" s="12">
        <v>43798</v>
      </c>
      <c r="DV121">
        <v>20.64</v>
      </c>
      <c r="DW121" s="12">
        <v>43798</v>
      </c>
      <c r="DX121">
        <v>12.236000000000001</v>
      </c>
      <c r="DY121" s="12">
        <v>43798</v>
      </c>
      <c r="DZ121">
        <v>42.957999999999998</v>
      </c>
      <c r="EE121" s="12">
        <v>43798</v>
      </c>
      <c r="EF121">
        <v>27.808</v>
      </c>
      <c r="EI121" s="12">
        <v>43798</v>
      </c>
      <c r="EJ121">
        <v>6.33</v>
      </c>
      <c r="EK121" s="12">
        <v>43798</v>
      </c>
      <c r="EL121">
        <v>14.260999999999999</v>
      </c>
      <c r="EM121" s="12">
        <v>43798</v>
      </c>
      <c r="EN121">
        <v>16.97</v>
      </c>
      <c r="EQ121" s="12">
        <v>43798</v>
      </c>
      <c r="ER121">
        <v>7.78</v>
      </c>
      <c r="ES121" s="12">
        <v>43798</v>
      </c>
      <c r="ET121">
        <v>34.06</v>
      </c>
      <c r="EU121" s="12">
        <v>43798</v>
      </c>
      <c r="EV121">
        <v>10.53</v>
      </c>
      <c r="EY121" s="12">
        <v>43798</v>
      </c>
      <c r="EZ121">
        <v>31.954999999999998</v>
      </c>
      <c r="FA121" s="12">
        <v>43798</v>
      </c>
      <c r="FB121">
        <v>32.707000000000001</v>
      </c>
      <c r="FC121" s="12">
        <v>43798</v>
      </c>
      <c r="FD121">
        <v>47.28</v>
      </c>
      <c r="FG121" s="12">
        <v>43798</v>
      </c>
      <c r="FH121">
        <v>12.78</v>
      </c>
      <c r="FI121" s="12">
        <v>43798</v>
      </c>
      <c r="FJ121">
        <v>28.841999999999999</v>
      </c>
      <c r="FK121" s="12">
        <v>43798</v>
      </c>
      <c r="FL121">
        <v>33.631</v>
      </c>
      <c r="FM121" s="12">
        <v>43798</v>
      </c>
      <c r="FN121">
        <v>27.835999999999999</v>
      </c>
      <c r="FO121" s="12">
        <v>43798</v>
      </c>
      <c r="FP121">
        <v>21.681999999999999</v>
      </c>
      <c r="FS121" s="12">
        <v>43798</v>
      </c>
      <c r="FT121">
        <v>3.391</v>
      </c>
      <c r="FU121" s="12">
        <v>43798</v>
      </c>
      <c r="FV121">
        <v>16.256</v>
      </c>
      <c r="FW121" s="12">
        <v>43798</v>
      </c>
      <c r="FX121">
        <v>22.044</v>
      </c>
      <c r="GA121" s="12">
        <v>43798</v>
      </c>
      <c r="GB121">
        <v>24.713000000000001</v>
      </c>
      <c r="GC121" s="12">
        <v>43798</v>
      </c>
      <c r="GD121">
        <v>20.47</v>
      </c>
      <c r="GI121" s="12">
        <v>43798</v>
      </c>
      <c r="GJ121">
        <v>51.6</v>
      </c>
      <c r="GM121" s="12">
        <v>43798</v>
      </c>
      <c r="GN121">
        <v>32.863</v>
      </c>
      <c r="GS121" s="12">
        <v>43798</v>
      </c>
      <c r="GT121">
        <v>1.55</v>
      </c>
      <c r="GY121" s="12">
        <v>43798</v>
      </c>
      <c r="GZ121">
        <v>10.7</v>
      </c>
      <c r="HA121" s="12">
        <v>43798</v>
      </c>
      <c r="HB121">
        <v>17.236999999999998</v>
      </c>
      <c r="HC121" s="12">
        <v>43798</v>
      </c>
      <c r="HD121">
        <v>28.788</v>
      </c>
      <c r="HE121" s="12">
        <v>43798</v>
      </c>
      <c r="HF121">
        <v>18.518999999999998</v>
      </c>
      <c r="HG121" s="12">
        <v>43798</v>
      </c>
      <c r="HH121">
        <v>33.119999999999997</v>
      </c>
      <c r="HI121" s="12">
        <v>43798</v>
      </c>
      <c r="HJ121">
        <v>15.757</v>
      </c>
      <c r="HM121" s="12">
        <v>43798</v>
      </c>
      <c r="HN121">
        <v>0.92</v>
      </c>
      <c r="HO121" s="12">
        <v>43798</v>
      </c>
      <c r="HP121">
        <v>1.25</v>
      </c>
      <c r="HS121" s="12">
        <v>43798</v>
      </c>
      <c r="HT121">
        <v>80.16</v>
      </c>
      <c r="HU121" s="12">
        <v>43798</v>
      </c>
      <c r="HV121">
        <v>4.93</v>
      </c>
      <c r="HW121" s="12">
        <v>43798</v>
      </c>
      <c r="HX121">
        <v>31.2</v>
      </c>
      <c r="HY121" s="12">
        <v>43798</v>
      </c>
      <c r="HZ121">
        <v>28.751999999999999</v>
      </c>
      <c r="IA121" s="12">
        <v>43798</v>
      </c>
      <c r="IB121">
        <v>27.23</v>
      </c>
      <c r="IC121" s="12">
        <v>43798</v>
      </c>
      <c r="ID121">
        <v>3.496</v>
      </c>
      <c r="IE121" s="12">
        <v>43798</v>
      </c>
      <c r="IF121">
        <v>7.4</v>
      </c>
      <c r="IM121" s="12">
        <v>43798</v>
      </c>
      <c r="IN121">
        <v>58.683999999999997</v>
      </c>
      <c r="IQ121" s="12">
        <v>43798</v>
      </c>
      <c r="IR121">
        <v>112.611</v>
      </c>
      <c r="IU121" s="12">
        <v>43798</v>
      </c>
      <c r="IV121">
        <v>10.65</v>
      </c>
      <c r="IY121" s="12">
        <v>43798</v>
      </c>
      <c r="IZ121">
        <v>42.698999999999998</v>
      </c>
      <c r="JC121" s="12">
        <v>43798</v>
      </c>
      <c r="JD121">
        <v>5.0199999999999996</v>
      </c>
      <c r="JE121" s="12">
        <v>43798</v>
      </c>
      <c r="JF121">
        <v>3.84</v>
      </c>
      <c r="JI121" s="12">
        <v>43798</v>
      </c>
      <c r="JJ121">
        <v>41.869</v>
      </c>
      <c r="JM121" s="12">
        <v>43798</v>
      </c>
      <c r="JN121">
        <v>6.0730000000000004</v>
      </c>
      <c r="JO121" s="12">
        <v>43798</v>
      </c>
      <c r="JP121">
        <v>55.523000000000003</v>
      </c>
      <c r="JS121" s="12">
        <v>43798</v>
      </c>
      <c r="JT121">
        <v>18.908000000000001</v>
      </c>
      <c r="JW121" s="12">
        <v>43798</v>
      </c>
      <c r="JX121">
        <v>20.577999999999999</v>
      </c>
      <c r="JY121" s="12">
        <v>43798</v>
      </c>
      <c r="JZ121">
        <v>52.555999999999997</v>
      </c>
      <c r="KE121" s="12">
        <v>43798</v>
      </c>
      <c r="KF121">
        <v>27.949000000000002</v>
      </c>
      <c r="KI121" s="12">
        <v>43798</v>
      </c>
      <c r="KJ121">
        <v>1.4</v>
      </c>
      <c r="KQ121" s="12">
        <v>43798</v>
      </c>
      <c r="KR121">
        <v>14.36</v>
      </c>
      <c r="KS121" s="12">
        <v>43798</v>
      </c>
      <c r="KT121">
        <v>12.355</v>
      </c>
      <c r="KU121" s="12">
        <v>43798</v>
      </c>
      <c r="KV121">
        <v>13.457000000000001</v>
      </c>
      <c r="LC121" s="12">
        <v>43798</v>
      </c>
      <c r="LD121">
        <v>21.446000000000002</v>
      </c>
      <c r="LE121" s="12">
        <v>43798</v>
      </c>
      <c r="LF121">
        <v>21.728999999999999</v>
      </c>
      <c r="LG121" s="12">
        <v>43798</v>
      </c>
      <c r="LH121">
        <v>19.7</v>
      </c>
      <c r="LI121" s="12">
        <v>43798</v>
      </c>
      <c r="LJ121">
        <v>21.536999999999999</v>
      </c>
      <c r="LM121" s="12">
        <v>43798</v>
      </c>
      <c r="LN121">
        <v>9.2159999999999993</v>
      </c>
      <c r="LO121" s="12">
        <v>43798</v>
      </c>
      <c r="LP121">
        <v>8.4309999999999992</v>
      </c>
      <c r="LQ121" s="12">
        <v>43798</v>
      </c>
      <c r="LR121">
        <v>48.69</v>
      </c>
      <c r="LW121" s="12">
        <v>43798</v>
      </c>
      <c r="LX121">
        <v>1.353</v>
      </c>
      <c r="LY121" s="12">
        <v>43798</v>
      </c>
      <c r="LZ121">
        <v>55.177999999999997</v>
      </c>
      <c r="MA121" s="12">
        <v>43798</v>
      </c>
      <c r="MB121">
        <v>13.4</v>
      </c>
      <c r="ME121" s="12">
        <v>43830</v>
      </c>
      <c r="MF121">
        <v>11.17</v>
      </c>
      <c r="MG121" s="12">
        <v>43798</v>
      </c>
      <c r="MH121">
        <v>30.254999999999999</v>
      </c>
      <c r="MK121" s="12">
        <v>43798</v>
      </c>
      <c r="ML121">
        <v>41.625</v>
      </c>
    </row>
    <row r="122" spans="1:350" x14ac:dyDescent="0.3">
      <c r="A122" s="12">
        <v>43830</v>
      </c>
      <c r="B122" s="1">
        <v>18.670000000000002</v>
      </c>
      <c r="C122" s="1"/>
      <c r="G122" s="17">
        <v>43830</v>
      </c>
      <c r="H122" s="13">
        <v>33.149000000000001</v>
      </c>
      <c r="I122" s="3"/>
      <c r="N122" s="12"/>
      <c r="Y122" s="12">
        <v>43830</v>
      </c>
      <c r="Z122">
        <v>41.926000000000002</v>
      </c>
      <c r="AA122" s="12">
        <v>43830</v>
      </c>
      <c r="AB122">
        <v>52.087000000000003</v>
      </c>
      <c r="AC122" s="12">
        <v>43830</v>
      </c>
      <c r="AD122">
        <v>30.800999999999998</v>
      </c>
      <c r="AE122" s="12">
        <v>43830</v>
      </c>
      <c r="AF122">
        <v>32.695999999999998</v>
      </c>
      <c r="AG122" s="12">
        <v>43830</v>
      </c>
      <c r="AH122">
        <v>5.9</v>
      </c>
      <c r="AK122" s="12">
        <v>43830</v>
      </c>
      <c r="AL122">
        <v>12.84</v>
      </c>
      <c r="AS122" s="12">
        <v>43830</v>
      </c>
      <c r="AT122">
        <v>10.426</v>
      </c>
      <c r="AU122" s="12">
        <v>43830</v>
      </c>
      <c r="AV122">
        <v>38.28</v>
      </c>
      <c r="AY122" s="12">
        <v>43830</v>
      </c>
      <c r="AZ122">
        <v>35.200000000000003</v>
      </c>
      <c r="BA122" s="12">
        <v>43830</v>
      </c>
      <c r="BB122">
        <v>29.85</v>
      </c>
      <c r="BC122" s="12">
        <v>43830</v>
      </c>
      <c r="BD122">
        <v>18.059999999999999</v>
      </c>
      <c r="BG122" s="12">
        <v>43830</v>
      </c>
      <c r="BH122">
        <v>21.324000000000002</v>
      </c>
      <c r="BI122" s="12">
        <v>43830</v>
      </c>
      <c r="BJ122">
        <v>62.86</v>
      </c>
      <c r="BK122" s="12">
        <v>43830</v>
      </c>
      <c r="BL122">
        <v>18.54</v>
      </c>
      <c r="BM122" s="12">
        <v>43830</v>
      </c>
      <c r="BN122">
        <v>29.614999999999998</v>
      </c>
      <c r="BO122" s="12">
        <v>43830</v>
      </c>
      <c r="BP122">
        <v>8.3379999999999992</v>
      </c>
      <c r="BQ122" s="12">
        <v>43830</v>
      </c>
      <c r="BR122">
        <v>15.59</v>
      </c>
      <c r="BS122" s="12">
        <v>43830</v>
      </c>
      <c r="BT122">
        <v>13.79</v>
      </c>
      <c r="BW122" s="12">
        <v>43830</v>
      </c>
      <c r="BX122">
        <v>11.43</v>
      </c>
      <c r="BY122" s="12">
        <v>43830</v>
      </c>
      <c r="BZ122">
        <v>35.549999999999997</v>
      </c>
      <c r="CA122" s="12">
        <v>43830</v>
      </c>
      <c r="CB122">
        <v>69.069999999999993</v>
      </c>
      <c r="CG122" s="12">
        <v>43830</v>
      </c>
      <c r="CH122">
        <v>69.569999999999993</v>
      </c>
      <c r="CI122" s="12">
        <v>43830</v>
      </c>
      <c r="CJ122">
        <v>66.025000000000006</v>
      </c>
      <c r="CK122" s="12">
        <v>43830</v>
      </c>
      <c r="CL122">
        <v>14.095000000000001</v>
      </c>
      <c r="CQ122" s="12">
        <v>43830</v>
      </c>
      <c r="CR122">
        <v>29.69</v>
      </c>
      <c r="CS122" s="12">
        <v>43830</v>
      </c>
      <c r="CT122">
        <v>57.146999999999998</v>
      </c>
      <c r="CU122" s="12">
        <v>43830</v>
      </c>
      <c r="CV122">
        <v>15</v>
      </c>
      <c r="CW122" s="12">
        <v>43830</v>
      </c>
      <c r="CX122">
        <v>16.72</v>
      </c>
      <c r="DA122" s="12">
        <v>43830</v>
      </c>
      <c r="DB122">
        <v>50.8</v>
      </c>
      <c r="DC122" s="12">
        <v>43830</v>
      </c>
      <c r="DD122">
        <v>37.799999999999997</v>
      </c>
      <c r="DE122" s="12">
        <v>43830</v>
      </c>
      <c r="DF122">
        <v>38.24</v>
      </c>
      <c r="DK122" s="12">
        <v>43830</v>
      </c>
      <c r="DL122">
        <v>19.73</v>
      </c>
      <c r="DO122" s="12">
        <v>43830</v>
      </c>
      <c r="DP122">
        <v>21.451000000000001</v>
      </c>
      <c r="DQ122" s="12">
        <v>43830</v>
      </c>
      <c r="DR122">
        <v>43.69</v>
      </c>
      <c r="DU122" s="12">
        <v>43830</v>
      </c>
      <c r="DV122">
        <v>22.79</v>
      </c>
      <c r="DW122" s="12">
        <v>43830</v>
      </c>
      <c r="DX122">
        <v>15.231</v>
      </c>
      <c r="DY122" s="12">
        <v>43830</v>
      </c>
      <c r="DZ122">
        <v>51.442999999999998</v>
      </c>
      <c r="EE122" s="12">
        <v>43830</v>
      </c>
      <c r="EF122">
        <v>29.788</v>
      </c>
      <c r="EI122" s="12">
        <v>43830</v>
      </c>
      <c r="EJ122">
        <v>8.67</v>
      </c>
      <c r="EK122" s="12">
        <v>43830</v>
      </c>
      <c r="EL122">
        <v>17.074999999999999</v>
      </c>
      <c r="EM122" s="12">
        <v>43830</v>
      </c>
      <c r="EN122">
        <v>19.965</v>
      </c>
      <c r="EQ122" s="12">
        <v>43830</v>
      </c>
      <c r="ER122">
        <v>9.2569999999999997</v>
      </c>
      <c r="ES122" s="12">
        <v>43830</v>
      </c>
      <c r="ET122">
        <v>36.799999999999997</v>
      </c>
      <c r="EU122" s="12">
        <v>43830</v>
      </c>
      <c r="EV122">
        <v>12.029</v>
      </c>
      <c r="EY122" s="12">
        <v>43830</v>
      </c>
      <c r="EZ122">
        <v>34.04</v>
      </c>
      <c r="FA122" s="12">
        <v>43830</v>
      </c>
      <c r="FB122">
        <v>35.354999999999997</v>
      </c>
      <c r="FC122" s="12">
        <v>43830</v>
      </c>
      <c r="FD122">
        <v>52.698999999999998</v>
      </c>
      <c r="FG122" s="12">
        <v>43830</v>
      </c>
      <c r="FH122">
        <v>13.596</v>
      </c>
      <c r="FI122" s="12">
        <v>43830</v>
      </c>
      <c r="FJ122">
        <v>30.887</v>
      </c>
      <c r="FK122" s="12">
        <v>43830</v>
      </c>
      <c r="FL122">
        <v>35.906999999999996</v>
      </c>
      <c r="FM122" s="12">
        <v>43830</v>
      </c>
      <c r="FN122">
        <v>25.216999999999999</v>
      </c>
      <c r="FO122" s="12">
        <v>43830</v>
      </c>
      <c r="FP122">
        <v>29.158000000000001</v>
      </c>
      <c r="FS122" s="12">
        <v>43830</v>
      </c>
      <c r="FT122">
        <v>3.5460000000000003</v>
      </c>
      <c r="FU122" s="12">
        <v>43830</v>
      </c>
      <c r="FV122">
        <v>19.686</v>
      </c>
      <c r="FW122" s="12">
        <v>43830</v>
      </c>
      <c r="FX122">
        <v>25.896000000000001</v>
      </c>
      <c r="GA122" s="12">
        <v>43830</v>
      </c>
      <c r="GB122">
        <v>28.71</v>
      </c>
      <c r="GC122" s="12">
        <v>43830</v>
      </c>
      <c r="GD122">
        <v>23.76</v>
      </c>
      <c r="GI122" s="12">
        <v>43830</v>
      </c>
      <c r="GJ122">
        <v>56.05</v>
      </c>
      <c r="GM122" s="12">
        <v>43830</v>
      </c>
      <c r="GN122">
        <v>37.899000000000001</v>
      </c>
      <c r="GS122" s="12">
        <v>43830</v>
      </c>
      <c r="GT122">
        <v>2.5499999999999998</v>
      </c>
      <c r="GY122" s="12">
        <v>43830</v>
      </c>
      <c r="GZ122">
        <v>9.9600000000000009</v>
      </c>
      <c r="HA122" s="12">
        <v>43830</v>
      </c>
      <c r="HB122">
        <v>21.55</v>
      </c>
      <c r="HC122" s="12">
        <v>43830</v>
      </c>
      <c r="HD122">
        <v>32.948999999999998</v>
      </c>
      <c r="HE122" s="12">
        <v>43830</v>
      </c>
      <c r="HF122">
        <v>22.376000000000001</v>
      </c>
      <c r="HG122" s="12">
        <v>43830</v>
      </c>
      <c r="HH122">
        <v>36.86</v>
      </c>
      <c r="HI122" s="12">
        <v>43830</v>
      </c>
      <c r="HJ122">
        <v>16.713000000000001</v>
      </c>
      <c r="HM122" s="12">
        <v>43830</v>
      </c>
      <c r="HN122">
        <v>0.86</v>
      </c>
      <c r="HO122" s="12">
        <v>43830</v>
      </c>
      <c r="HP122">
        <v>1.23</v>
      </c>
      <c r="HS122" s="12">
        <v>43830</v>
      </c>
      <c r="HT122">
        <v>87.65</v>
      </c>
      <c r="HU122" s="12">
        <v>43830</v>
      </c>
      <c r="HV122">
        <v>7.39</v>
      </c>
      <c r="HW122" s="12">
        <v>43830</v>
      </c>
      <c r="HX122">
        <v>32</v>
      </c>
      <c r="HY122" s="12">
        <v>43830</v>
      </c>
      <c r="HZ122">
        <v>30.18</v>
      </c>
      <c r="IA122" s="12">
        <v>43830</v>
      </c>
      <c r="IB122">
        <v>29.09</v>
      </c>
      <c r="IC122" s="12">
        <v>43830</v>
      </c>
      <c r="ID122">
        <v>4.407</v>
      </c>
      <c r="IE122" s="12">
        <v>43830</v>
      </c>
      <c r="IF122">
        <v>10.19</v>
      </c>
      <c r="IM122" s="12">
        <v>43830</v>
      </c>
      <c r="IN122">
        <v>61.363999999999997</v>
      </c>
      <c r="IQ122" s="12">
        <v>43830</v>
      </c>
      <c r="IR122">
        <v>111.429</v>
      </c>
      <c r="IU122" s="12">
        <v>43830</v>
      </c>
      <c r="IV122">
        <v>13.4</v>
      </c>
      <c r="IY122" s="12">
        <v>43830</v>
      </c>
      <c r="IZ122">
        <v>47.292999999999999</v>
      </c>
      <c r="JC122" s="12">
        <v>43830</v>
      </c>
      <c r="JD122">
        <v>5.12</v>
      </c>
      <c r="JE122" s="12">
        <v>43830</v>
      </c>
      <c r="JF122">
        <v>9.1199999999999992</v>
      </c>
      <c r="JI122" s="12">
        <v>43830</v>
      </c>
      <c r="JJ122">
        <v>47.015000000000001</v>
      </c>
      <c r="JM122" s="12">
        <v>43830</v>
      </c>
      <c r="JN122">
        <v>6.92</v>
      </c>
      <c r="JO122" s="12">
        <v>43830</v>
      </c>
      <c r="JP122">
        <v>58.579000000000001</v>
      </c>
      <c r="JS122" s="12">
        <v>43830</v>
      </c>
      <c r="JT122">
        <v>24.422999999999998</v>
      </c>
      <c r="JW122" s="12">
        <v>43830</v>
      </c>
      <c r="JX122">
        <v>23.72</v>
      </c>
      <c r="JY122" s="12">
        <v>43830</v>
      </c>
      <c r="JZ122">
        <v>59.511000000000003</v>
      </c>
      <c r="KE122" s="12">
        <v>43830</v>
      </c>
      <c r="KF122">
        <v>30.977</v>
      </c>
      <c r="KI122" s="12">
        <v>43830</v>
      </c>
      <c r="KJ122">
        <v>1.83</v>
      </c>
      <c r="KQ122" s="12">
        <v>43830</v>
      </c>
      <c r="KR122">
        <v>22</v>
      </c>
      <c r="KS122" s="12">
        <v>43830</v>
      </c>
      <c r="KT122">
        <v>15.824</v>
      </c>
      <c r="KU122" s="12">
        <v>43830</v>
      </c>
      <c r="KV122">
        <v>15.574</v>
      </c>
      <c r="LC122" s="12">
        <v>43830</v>
      </c>
      <c r="LD122">
        <v>21.469000000000001</v>
      </c>
      <c r="LE122" s="12">
        <v>43830</v>
      </c>
      <c r="LF122">
        <v>22.321999999999999</v>
      </c>
      <c r="LG122" s="12">
        <v>43830</v>
      </c>
      <c r="LH122">
        <v>25.3</v>
      </c>
      <c r="LI122" s="12">
        <v>43830</v>
      </c>
      <c r="LJ122">
        <v>25.161000000000001</v>
      </c>
      <c r="LM122" s="12">
        <v>43830</v>
      </c>
      <c r="LN122">
        <v>9.7910000000000004</v>
      </c>
      <c r="LO122" s="12">
        <v>43830</v>
      </c>
      <c r="LP122">
        <v>9.4220000000000006</v>
      </c>
      <c r="LQ122" s="12">
        <v>43830</v>
      </c>
      <c r="LR122">
        <v>53.3</v>
      </c>
      <c r="LW122" s="12">
        <v>43830</v>
      </c>
      <c r="LX122">
        <v>2.44</v>
      </c>
      <c r="LY122" s="12">
        <v>43830</v>
      </c>
      <c r="LZ122">
        <v>56.875</v>
      </c>
      <c r="MA122" s="12">
        <v>43830</v>
      </c>
      <c r="MB122">
        <v>16.98</v>
      </c>
      <c r="MG122" s="12">
        <v>43830</v>
      </c>
      <c r="MH122">
        <v>34.511000000000003</v>
      </c>
      <c r="MK122" s="12">
        <v>43830</v>
      </c>
      <c r="ML122">
        <v>46.621000000000002</v>
      </c>
    </row>
    <row r="123" spans="1:350" x14ac:dyDescent="0.3">
      <c r="A123" s="12"/>
      <c r="B123" s="1"/>
      <c r="C123" s="1"/>
      <c r="G123" s="3"/>
      <c r="H123" s="13"/>
      <c r="I123" s="3"/>
      <c r="N123" s="12"/>
    </row>
    <row r="124" spans="1:350" x14ac:dyDescent="0.3">
      <c r="A124" s="12"/>
      <c r="B124" s="1"/>
      <c r="C124" s="1"/>
      <c r="G124" s="3"/>
      <c r="H124" s="13"/>
      <c r="I124" s="3"/>
      <c r="N124" s="12"/>
    </row>
    <row r="125" spans="1:350" x14ac:dyDescent="0.3">
      <c r="A125" s="12"/>
      <c r="B125" s="1"/>
      <c r="C125" s="1"/>
      <c r="G125" s="3"/>
      <c r="H125" s="13"/>
      <c r="I125" s="3"/>
      <c r="N125" s="12"/>
    </row>
    <row r="126" spans="1:350" x14ac:dyDescent="0.3">
      <c r="A126" s="12"/>
      <c r="B126" s="1"/>
      <c r="C126" s="1"/>
      <c r="G126" s="3"/>
      <c r="H126" s="13"/>
      <c r="I126" s="3"/>
      <c r="N126" s="12"/>
    </row>
    <row r="127" spans="1:350" x14ac:dyDescent="0.3">
      <c r="A127" s="12"/>
      <c r="B127" s="1"/>
      <c r="C127" s="1"/>
      <c r="G127" s="3"/>
      <c r="H127" s="13"/>
      <c r="I127" s="3"/>
      <c r="N127" s="12"/>
    </row>
    <row r="128" spans="1:350" x14ac:dyDescent="0.3">
      <c r="A128" s="12"/>
      <c r="B128" s="1"/>
      <c r="C128" s="1"/>
      <c r="G128" s="3"/>
      <c r="H128" s="13"/>
      <c r="I128" s="3"/>
      <c r="N128" s="12"/>
    </row>
    <row r="129" spans="1:14" x14ac:dyDescent="0.3">
      <c r="A129" s="12"/>
      <c r="B129" s="1"/>
      <c r="C129" s="1"/>
      <c r="G129" s="3"/>
      <c r="H129" s="13"/>
      <c r="I129" s="3"/>
      <c r="N129" s="12"/>
    </row>
    <row r="130" spans="1:14" x14ac:dyDescent="0.3">
      <c r="A130" s="12"/>
      <c r="B130" s="1"/>
      <c r="C130" s="1"/>
      <c r="G130" s="3"/>
      <c r="H130" s="13"/>
      <c r="I130" s="3"/>
      <c r="N130" s="12"/>
    </row>
    <row r="131" spans="1:14" x14ac:dyDescent="0.3">
      <c r="A131" s="12"/>
      <c r="B131" s="1"/>
      <c r="C131" s="1"/>
      <c r="G131" s="3"/>
      <c r="H131" s="13"/>
      <c r="I131" s="3"/>
      <c r="N131" s="12"/>
    </row>
    <row r="132" spans="1:14" x14ac:dyDescent="0.3">
      <c r="A132" s="12"/>
      <c r="B132" s="1"/>
      <c r="C132" s="1"/>
      <c r="G132" s="3"/>
      <c r="H132" s="13"/>
      <c r="I132" s="3"/>
      <c r="N132" s="12"/>
    </row>
    <row r="133" spans="1:14" x14ac:dyDescent="0.3">
      <c r="A133" s="12"/>
      <c r="B133" s="1"/>
      <c r="C133" s="1"/>
      <c r="G133" s="3"/>
      <c r="H133" s="13"/>
      <c r="I133" s="3"/>
      <c r="N133" s="12"/>
    </row>
    <row r="134" spans="1:14" x14ac:dyDescent="0.3">
      <c r="A134" s="12"/>
      <c r="B134" s="1"/>
      <c r="C134" s="1"/>
      <c r="G134" s="3"/>
      <c r="H134" s="13"/>
      <c r="I134" s="3"/>
      <c r="N134" s="12"/>
    </row>
    <row r="135" spans="1:14" x14ac:dyDescent="0.3">
      <c r="A135" s="12"/>
      <c r="B135" s="1"/>
      <c r="C135" s="1"/>
      <c r="G135" s="3"/>
      <c r="H135" s="13"/>
      <c r="I135" s="3"/>
      <c r="N135" s="12"/>
    </row>
    <row r="136" spans="1:14" x14ac:dyDescent="0.3">
      <c r="A136" s="12"/>
      <c r="B136" s="1"/>
      <c r="C136" s="1"/>
      <c r="G136" s="3"/>
      <c r="H136" s="13"/>
      <c r="I136" s="3"/>
      <c r="N136" s="12"/>
    </row>
    <row r="137" spans="1:14" x14ac:dyDescent="0.3">
      <c r="A137" s="12"/>
      <c r="B137" s="1"/>
      <c r="C137" s="1"/>
      <c r="G137" s="3"/>
      <c r="H137" s="13"/>
      <c r="I137" s="3"/>
      <c r="N137" s="12"/>
    </row>
    <row r="138" spans="1:14" x14ac:dyDescent="0.3">
      <c r="A138" s="12"/>
      <c r="B138" s="1"/>
      <c r="C138" s="1"/>
      <c r="G138" s="3"/>
      <c r="H138" s="13"/>
      <c r="I138" s="3"/>
      <c r="N138" s="12"/>
    </row>
    <row r="139" spans="1:14" x14ac:dyDescent="0.3">
      <c r="A139" s="12"/>
      <c r="B139" s="1"/>
      <c r="C139" s="1"/>
      <c r="G139" s="3"/>
      <c r="H139" s="13"/>
      <c r="I139" s="3"/>
      <c r="N139" s="12"/>
    </row>
    <row r="140" spans="1:14" x14ac:dyDescent="0.3">
      <c r="A140" s="12"/>
      <c r="B140" s="1"/>
      <c r="C140" s="1"/>
      <c r="G140" s="3"/>
      <c r="H140" s="13"/>
      <c r="I140" s="3"/>
      <c r="N140" s="12"/>
    </row>
    <row r="141" spans="1:14" x14ac:dyDescent="0.3">
      <c r="A141" s="12"/>
      <c r="B141" s="1"/>
      <c r="C141" s="1"/>
      <c r="G141" s="3"/>
      <c r="H141" s="13"/>
      <c r="I141" s="3"/>
      <c r="N141" s="12"/>
    </row>
    <row r="142" spans="1:14" x14ac:dyDescent="0.3">
      <c r="A142" s="12"/>
      <c r="B142" s="1"/>
      <c r="C142" s="1"/>
      <c r="G142" s="3"/>
      <c r="H142" s="13"/>
      <c r="I142" s="3"/>
      <c r="N142" s="12"/>
    </row>
    <row r="143" spans="1:14" x14ac:dyDescent="0.3">
      <c r="A143" s="12"/>
      <c r="B143" s="1"/>
      <c r="C143" s="1"/>
      <c r="G143" s="3"/>
      <c r="H143" s="13"/>
      <c r="I143" s="3"/>
      <c r="N143" s="12"/>
    </row>
    <row r="144" spans="1:14" x14ac:dyDescent="0.3">
      <c r="A144" s="12"/>
      <c r="B144" s="1"/>
      <c r="C144" s="1"/>
      <c r="G144" s="3"/>
      <c r="H144" s="13"/>
      <c r="I144" s="3"/>
      <c r="N144" s="12"/>
    </row>
    <row r="145" spans="1:14" x14ac:dyDescent="0.3">
      <c r="A145" s="12"/>
      <c r="B145" s="1"/>
      <c r="C145" s="1"/>
      <c r="G145" s="3"/>
      <c r="H145" s="13"/>
      <c r="I145" s="3"/>
      <c r="N145" s="12"/>
    </row>
    <row r="146" spans="1:14" x14ac:dyDescent="0.3">
      <c r="A146" s="12"/>
      <c r="B146" s="1"/>
      <c r="C146" s="1"/>
      <c r="G146" s="3"/>
      <c r="H146" s="13"/>
      <c r="I146" s="3"/>
      <c r="N146" s="12"/>
    </row>
    <row r="147" spans="1:14" x14ac:dyDescent="0.3">
      <c r="A147" s="12"/>
      <c r="B147" s="1"/>
      <c r="C147" s="1"/>
      <c r="G147" s="3"/>
      <c r="H147" s="13"/>
      <c r="I147" s="3"/>
      <c r="N147" s="12"/>
    </row>
    <row r="148" spans="1:14" x14ac:dyDescent="0.3">
      <c r="A148" s="12"/>
      <c r="B148" s="1"/>
      <c r="C148" s="1"/>
      <c r="G148" s="3"/>
      <c r="H148" s="13"/>
      <c r="I148" s="3"/>
      <c r="N148" s="12"/>
    </row>
    <row r="149" spans="1:14" x14ac:dyDescent="0.3">
      <c r="A149" s="12"/>
      <c r="B149" s="1"/>
      <c r="C149" s="1"/>
      <c r="G149" s="3"/>
      <c r="H149" s="13"/>
      <c r="I149" s="3"/>
      <c r="N149" s="12"/>
    </row>
    <row r="150" spans="1:14" x14ac:dyDescent="0.3">
      <c r="A150" s="12"/>
      <c r="B150" s="1"/>
      <c r="C150" s="1"/>
      <c r="G150" s="3"/>
      <c r="H150" s="13"/>
      <c r="I150" s="3"/>
      <c r="N150" s="12"/>
    </row>
    <row r="151" spans="1:14" x14ac:dyDescent="0.3">
      <c r="A151" s="12"/>
      <c r="B151" s="1"/>
      <c r="C151" s="1"/>
      <c r="G151" s="3"/>
      <c r="H151" s="13"/>
      <c r="I151" s="3"/>
      <c r="N151" s="12"/>
    </row>
    <row r="152" spans="1:14" x14ac:dyDescent="0.3">
      <c r="A152" s="12"/>
      <c r="B152" s="1"/>
      <c r="C152" s="1"/>
      <c r="G152" s="3"/>
      <c r="H152" s="13"/>
      <c r="I152" s="3"/>
      <c r="N152" s="12"/>
    </row>
    <row r="153" spans="1:14" x14ac:dyDescent="0.3">
      <c r="A153" s="12"/>
      <c r="B153" s="1"/>
      <c r="C153" s="1"/>
      <c r="G153" s="3"/>
      <c r="H153" s="13"/>
      <c r="I153" s="3"/>
      <c r="N153" s="12"/>
    </row>
    <row r="154" spans="1:14" x14ac:dyDescent="0.3">
      <c r="A154" s="12"/>
      <c r="B154" s="1"/>
      <c r="C154" s="1"/>
      <c r="G154" s="3"/>
      <c r="H154" s="13"/>
      <c r="I154" s="3"/>
      <c r="N154" s="12"/>
    </row>
    <row r="155" spans="1:14" x14ac:dyDescent="0.3">
      <c r="A155" s="12"/>
      <c r="B155" s="1"/>
      <c r="C155" s="1"/>
      <c r="G155" s="3"/>
      <c r="H155" s="13"/>
      <c r="I155" s="3"/>
      <c r="N155" s="12"/>
    </row>
    <row r="156" spans="1:14" x14ac:dyDescent="0.3">
      <c r="A156" s="12"/>
      <c r="B156" s="1"/>
      <c r="C156" s="1"/>
      <c r="G156" s="3"/>
      <c r="H156" s="13"/>
      <c r="I156" s="3"/>
      <c r="N156" s="12"/>
    </row>
    <row r="157" spans="1:14" x14ac:dyDescent="0.3">
      <c r="A157" s="12"/>
      <c r="B157" s="1"/>
      <c r="C157" s="1"/>
      <c r="G157" s="3"/>
      <c r="H157" s="13"/>
      <c r="I157" s="3"/>
      <c r="N157" s="12"/>
    </row>
    <row r="158" spans="1:14" x14ac:dyDescent="0.3">
      <c r="A158" s="12"/>
      <c r="B158" s="1"/>
      <c r="C158" s="1"/>
      <c r="G158" s="3"/>
      <c r="H158" s="13"/>
      <c r="I158" s="3"/>
      <c r="N158" s="12"/>
    </row>
    <row r="159" spans="1:14" x14ac:dyDescent="0.3">
      <c r="A159" s="12"/>
      <c r="B159" s="1"/>
      <c r="C159" s="1"/>
      <c r="G159" s="3"/>
      <c r="H159" s="13"/>
      <c r="I159" s="3"/>
      <c r="N159" s="12"/>
    </row>
    <row r="160" spans="1:14" x14ac:dyDescent="0.3">
      <c r="A160" s="12"/>
      <c r="B160" s="1"/>
      <c r="C160" s="1"/>
      <c r="G160" s="3"/>
      <c r="H160" s="13"/>
      <c r="I160" s="3"/>
      <c r="N160" s="12"/>
    </row>
    <row r="161" spans="1:14" x14ac:dyDescent="0.3">
      <c r="A161" s="12"/>
      <c r="B161" s="1"/>
      <c r="C161" s="1"/>
      <c r="G161" s="3"/>
      <c r="H161" s="13"/>
      <c r="I161" s="3"/>
      <c r="N161" s="12"/>
    </row>
    <row r="162" spans="1:14" x14ac:dyDescent="0.3">
      <c r="A162" s="12"/>
      <c r="B162" s="1"/>
      <c r="C162" s="1"/>
      <c r="G162" s="3"/>
      <c r="H162" s="13"/>
      <c r="I162" s="3"/>
      <c r="N162" s="12"/>
    </row>
    <row r="163" spans="1:14" x14ac:dyDescent="0.3">
      <c r="A163" s="12"/>
      <c r="B163" s="1"/>
      <c r="C163" s="1"/>
      <c r="G163" s="3"/>
      <c r="H163" s="13"/>
      <c r="I163" s="3"/>
      <c r="N163" s="12"/>
    </row>
    <row r="164" spans="1:14" x14ac:dyDescent="0.3">
      <c r="A164" s="12"/>
      <c r="B164" s="1"/>
      <c r="C164" s="1"/>
      <c r="G164" s="3"/>
      <c r="H164" s="13"/>
      <c r="I164" s="3"/>
      <c r="N164" s="12"/>
    </row>
    <row r="165" spans="1:14" x14ac:dyDescent="0.3">
      <c r="A165" s="12"/>
      <c r="B165" s="1"/>
      <c r="C165" s="1"/>
      <c r="G165" s="3"/>
      <c r="H165" s="13"/>
      <c r="I165" s="3"/>
      <c r="N165" s="12"/>
    </row>
    <row r="166" spans="1:14" x14ac:dyDescent="0.3">
      <c r="A166" s="12"/>
      <c r="B166" s="1"/>
      <c r="C166" s="1"/>
      <c r="G166" s="3"/>
      <c r="H166" s="13"/>
      <c r="I166" s="3"/>
      <c r="N166" s="12"/>
    </row>
    <row r="167" spans="1:14" x14ac:dyDescent="0.3">
      <c r="A167" s="12"/>
      <c r="B167" s="1"/>
      <c r="C167" s="1"/>
      <c r="G167" s="3"/>
      <c r="H167" s="13"/>
      <c r="I167" s="3"/>
      <c r="N167" s="12"/>
    </row>
    <row r="168" spans="1:14" x14ac:dyDescent="0.3">
      <c r="A168" s="12"/>
      <c r="B168" s="1"/>
      <c r="C168" s="1"/>
      <c r="G168" s="3"/>
      <c r="H168" s="13"/>
      <c r="I168" s="3"/>
      <c r="N168" s="12"/>
    </row>
    <row r="169" spans="1:14" x14ac:dyDescent="0.3">
      <c r="A169" s="12"/>
      <c r="B169" s="1"/>
      <c r="C169" s="1"/>
      <c r="G169" s="3"/>
      <c r="H169" s="13"/>
      <c r="I169" s="3"/>
      <c r="N169" s="12"/>
    </row>
    <row r="170" spans="1:14" x14ac:dyDescent="0.3">
      <c r="A170" s="12"/>
      <c r="B170" s="1"/>
      <c r="C170" s="1"/>
      <c r="G170" s="3"/>
      <c r="H170" s="13"/>
      <c r="I170" s="3"/>
      <c r="N170" s="12"/>
    </row>
    <row r="171" spans="1:14" x14ac:dyDescent="0.3">
      <c r="A171" s="12"/>
      <c r="B171" s="1"/>
      <c r="C171" s="1"/>
      <c r="G171" s="3"/>
      <c r="H171" s="13"/>
      <c r="I171" s="3"/>
      <c r="N171" s="12"/>
    </row>
    <row r="172" spans="1:14" x14ac:dyDescent="0.3">
      <c r="A172" s="12"/>
      <c r="B172" s="1"/>
      <c r="C172" s="1"/>
      <c r="G172" s="3"/>
      <c r="H172" s="13"/>
      <c r="I172" s="3"/>
      <c r="N172" s="12"/>
    </row>
    <row r="173" spans="1:14" x14ac:dyDescent="0.3">
      <c r="A173" s="12"/>
      <c r="B173" s="1"/>
      <c r="C173" s="1"/>
      <c r="G173" s="3"/>
      <c r="H173" s="13"/>
      <c r="I173" s="3"/>
      <c r="N173" s="12"/>
    </row>
    <row r="174" spans="1:14" x14ac:dyDescent="0.3">
      <c r="A174" s="12"/>
      <c r="B174" s="1"/>
      <c r="C174" s="1"/>
      <c r="G174" s="3"/>
      <c r="H174" s="13"/>
      <c r="I174" s="3"/>
      <c r="N174" s="12"/>
    </row>
    <row r="175" spans="1:14" x14ac:dyDescent="0.3">
      <c r="A175" s="12"/>
      <c r="B175" s="1"/>
      <c r="C175" s="1"/>
      <c r="G175" s="3"/>
      <c r="H175" s="13"/>
      <c r="I175" s="3"/>
      <c r="N175" s="12"/>
    </row>
    <row r="176" spans="1:14" x14ac:dyDescent="0.3">
      <c r="A176" s="12"/>
      <c r="B176" s="1"/>
      <c r="C176" s="1"/>
      <c r="G176" s="3"/>
      <c r="H176" s="13"/>
      <c r="I176" s="3"/>
      <c r="N176" s="12"/>
    </row>
    <row r="177" spans="1:14" x14ac:dyDescent="0.3">
      <c r="A177" s="12"/>
      <c r="B177" s="1"/>
      <c r="C177" s="1"/>
      <c r="G177" s="3"/>
      <c r="H177" s="13"/>
      <c r="I177" s="3"/>
      <c r="N177" s="12"/>
    </row>
    <row r="178" spans="1:14" x14ac:dyDescent="0.3">
      <c r="A178" s="12"/>
      <c r="B178" s="1"/>
      <c r="C178" s="1"/>
      <c r="G178" s="3"/>
      <c r="H178" s="13"/>
      <c r="I178" s="3"/>
      <c r="N178" s="12"/>
    </row>
    <row r="179" spans="1:14" x14ac:dyDescent="0.3">
      <c r="A179" s="12"/>
      <c r="B179" s="1"/>
      <c r="C179" s="1"/>
      <c r="G179" s="3"/>
      <c r="H179" s="13"/>
      <c r="I179" s="3"/>
      <c r="N179" s="12"/>
    </row>
    <row r="180" spans="1:14" x14ac:dyDescent="0.3">
      <c r="A180" s="12"/>
      <c r="B180" s="1"/>
      <c r="C180" s="1"/>
      <c r="G180" s="3"/>
      <c r="H180" s="13"/>
      <c r="I180" s="3"/>
      <c r="N180" s="12"/>
    </row>
    <row r="181" spans="1:14" x14ac:dyDescent="0.3">
      <c r="A181" s="12"/>
      <c r="B181" s="1"/>
      <c r="C181" s="1"/>
      <c r="G181" s="3"/>
      <c r="H181" s="13"/>
      <c r="I181" s="3"/>
      <c r="N181" s="12"/>
    </row>
    <row r="182" spans="1:14" x14ac:dyDescent="0.3">
      <c r="A182" s="12"/>
      <c r="B182" s="1"/>
      <c r="C182" s="1"/>
      <c r="G182" s="3"/>
      <c r="H182" s="13"/>
      <c r="I182" s="3"/>
      <c r="N182" s="12"/>
    </row>
    <row r="183" spans="1:14" x14ac:dyDescent="0.3">
      <c r="A183" s="12"/>
      <c r="B183" s="1"/>
      <c r="C183" s="1"/>
      <c r="G183" s="3"/>
      <c r="H183" s="13"/>
      <c r="I183" s="3"/>
      <c r="N183" s="12"/>
    </row>
    <row r="184" spans="1:14" x14ac:dyDescent="0.3">
      <c r="A184" s="12"/>
      <c r="B184" s="1"/>
      <c r="C184" s="1"/>
      <c r="G184" s="3"/>
      <c r="H184" s="13"/>
      <c r="I184" s="3"/>
      <c r="N184" s="12"/>
    </row>
    <row r="185" spans="1:14" x14ac:dyDescent="0.3">
      <c r="A185" s="12"/>
      <c r="B185" s="1"/>
      <c r="C185" s="1"/>
      <c r="G185" s="3"/>
      <c r="H185" s="13"/>
      <c r="I185" s="3"/>
      <c r="N185" s="12"/>
    </row>
    <row r="186" spans="1:14" x14ac:dyDescent="0.3">
      <c r="A186" s="12"/>
      <c r="B186" s="1"/>
      <c r="C186" s="1"/>
      <c r="G186" s="3"/>
      <c r="H186" s="13"/>
      <c r="I186" s="3"/>
      <c r="N186" s="12"/>
    </row>
    <row r="187" spans="1:14" x14ac:dyDescent="0.3">
      <c r="A187" s="12"/>
      <c r="B187" s="1"/>
      <c r="C187" s="1"/>
      <c r="G187" s="3"/>
      <c r="H187" s="13"/>
      <c r="I187" s="3"/>
      <c r="N187" s="12"/>
    </row>
    <row r="188" spans="1:14" x14ac:dyDescent="0.3">
      <c r="A188" s="12"/>
      <c r="B188" s="1"/>
      <c r="C188" s="1"/>
      <c r="G188" s="3"/>
      <c r="H188" s="13"/>
      <c r="I188" s="3"/>
      <c r="N188" s="12"/>
    </row>
    <row r="189" spans="1:14" x14ac:dyDescent="0.3">
      <c r="A189" s="12"/>
      <c r="B189" s="1"/>
      <c r="C189" s="1"/>
      <c r="G189" s="3"/>
      <c r="H189" s="13"/>
      <c r="I189" s="3"/>
      <c r="N189" s="12"/>
    </row>
    <row r="190" spans="1:14" x14ac:dyDescent="0.3">
      <c r="A190" s="12"/>
      <c r="B190" s="1"/>
      <c r="C190" s="1"/>
      <c r="G190" s="3"/>
      <c r="H190" s="13"/>
      <c r="I190" s="3"/>
      <c r="N190" s="12"/>
    </row>
    <row r="191" spans="1:14" x14ac:dyDescent="0.3">
      <c r="A191" s="12"/>
      <c r="B191" s="1"/>
      <c r="C191" s="1"/>
      <c r="G191" s="3"/>
      <c r="H191" s="13"/>
      <c r="I191" s="3"/>
      <c r="N191" s="12"/>
    </row>
    <row r="192" spans="1:14" x14ac:dyDescent="0.3">
      <c r="A192" s="12"/>
      <c r="B192" s="1"/>
      <c r="C192" s="1"/>
      <c r="G192" s="3"/>
      <c r="H192" s="13"/>
      <c r="I192" s="3"/>
      <c r="N192" s="12"/>
    </row>
    <row r="193" spans="1:14" x14ac:dyDescent="0.3">
      <c r="A193" s="12"/>
      <c r="B193" s="1"/>
      <c r="C193" s="1"/>
      <c r="G193" s="3"/>
      <c r="H193" s="13"/>
      <c r="I193" s="3"/>
      <c r="N193" s="12"/>
    </row>
    <row r="194" spans="1:14" x14ac:dyDescent="0.3">
      <c r="A194" s="12"/>
      <c r="B194" s="1"/>
      <c r="C194" s="1"/>
      <c r="G194" s="3"/>
      <c r="H194" s="13"/>
      <c r="I194" s="3"/>
      <c r="N194" s="12"/>
    </row>
    <row r="195" spans="1:14" x14ac:dyDescent="0.3">
      <c r="A195" s="12"/>
      <c r="B195" s="1"/>
      <c r="C195" s="1"/>
      <c r="G195" s="3"/>
      <c r="H195" s="13"/>
      <c r="I195" s="3"/>
      <c r="N195" s="12"/>
    </row>
    <row r="196" spans="1:14" x14ac:dyDescent="0.3">
      <c r="A196" s="12"/>
      <c r="B196" s="1"/>
      <c r="C196" s="1"/>
      <c r="G196" s="3"/>
      <c r="H196" s="13"/>
      <c r="I196" s="3"/>
      <c r="N196" s="12"/>
    </row>
    <row r="197" spans="1:14" x14ac:dyDescent="0.3">
      <c r="A197" s="12"/>
      <c r="B197" s="1"/>
      <c r="C197" s="1"/>
      <c r="G197" s="3"/>
      <c r="H197" s="13"/>
      <c r="I197" s="3"/>
      <c r="N197" s="12"/>
    </row>
    <row r="198" spans="1:14" x14ac:dyDescent="0.3">
      <c r="A198" s="12"/>
      <c r="B198" s="1"/>
      <c r="C198" s="1"/>
      <c r="G198" s="3"/>
      <c r="H198" s="13"/>
      <c r="I198" s="3"/>
      <c r="N198" s="12"/>
    </row>
    <row r="199" spans="1:14" x14ac:dyDescent="0.3">
      <c r="A199" s="12"/>
      <c r="B199" s="1"/>
      <c r="C199" s="1"/>
      <c r="G199" s="3"/>
      <c r="H199" s="13"/>
      <c r="I199" s="3"/>
      <c r="N199" s="12"/>
    </row>
    <row r="200" spans="1:14" x14ac:dyDescent="0.3">
      <c r="A200" s="12"/>
      <c r="B200" s="1"/>
      <c r="C200" s="1"/>
      <c r="G200" s="3"/>
      <c r="H200" s="13"/>
      <c r="I200" s="3"/>
      <c r="N200" s="12"/>
    </row>
    <row r="201" spans="1:14" x14ac:dyDescent="0.3">
      <c r="A201" s="12"/>
      <c r="B201" s="1"/>
      <c r="C201" s="1"/>
      <c r="G201" s="3"/>
      <c r="H201" s="13"/>
      <c r="I201" s="3"/>
      <c r="N201" s="12"/>
    </row>
    <row r="202" spans="1:14" x14ac:dyDescent="0.3">
      <c r="A202" s="12"/>
      <c r="B202" s="1"/>
      <c r="C202" s="1"/>
      <c r="G202" s="3"/>
      <c r="H202" s="13"/>
      <c r="I202" s="3"/>
      <c r="N202" s="12"/>
    </row>
    <row r="203" spans="1:14" x14ac:dyDescent="0.3">
      <c r="A203" s="12"/>
      <c r="B203" s="1"/>
      <c r="C203" s="1"/>
      <c r="G203" s="3"/>
      <c r="H203" s="13"/>
      <c r="I203" s="3"/>
      <c r="N203" s="12"/>
    </row>
    <row r="204" spans="1:14" x14ac:dyDescent="0.3">
      <c r="A204" s="12"/>
      <c r="B204" s="1"/>
      <c r="C204" s="1"/>
      <c r="G204" s="3"/>
      <c r="H204" s="13"/>
      <c r="I204" s="3"/>
      <c r="N204" s="12"/>
    </row>
    <row r="205" spans="1:14" x14ac:dyDescent="0.3">
      <c r="A205" s="12"/>
      <c r="B205" s="1"/>
      <c r="C205" s="1"/>
      <c r="G205" s="3"/>
      <c r="H205" s="13"/>
      <c r="I205" s="3"/>
      <c r="N205" s="12"/>
    </row>
    <row r="206" spans="1:14" x14ac:dyDescent="0.3">
      <c r="A206" s="12"/>
      <c r="B206" s="1"/>
      <c r="C206" s="1"/>
      <c r="G206" s="3"/>
      <c r="H206" s="13"/>
      <c r="I206" s="3"/>
      <c r="N206" s="12"/>
    </row>
    <row r="207" spans="1:14" x14ac:dyDescent="0.3">
      <c r="A207" s="12"/>
      <c r="B207" s="1"/>
      <c r="C207" s="1"/>
      <c r="G207" s="3"/>
      <c r="H207" s="13"/>
      <c r="I207" s="3"/>
      <c r="N207" s="12"/>
    </row>
    <row r="208" spans="1:14" x14ac:dyDescent="0.3">
      <c r="A208" s="12"/>
      <c r="B208" s="1"/>
      <c r="C208" s="1"/>
      <c r="G208" s="3"/>
      <c r="H208" s="13"/>
      <c r="I208" s="3"/>
      <c r="N208" s="12"/>
    </row>
    <row r="209" spans="1:14" x14ac:dyDescent="0.3">
      <c r="A209" s="12"/>
      <c r="B209" s="1"/>
      <c r="C209" s="1"/>
      <c r="G209" s="3"/>
      <c r="H209" s="13"/>
      <c r="I209" s="3"/>
      <c r="N209" s="12"/>
    </row>
    <row r="210" spans="1:14" x14ac:dyDescent="0.3">
      <c r="A210" s="12"/>
      <c r="B210" s="1"/>
      <c r="C210" s="1"/>
      <c r="G210" s="3"/>
      <c r="H210" s="13"/>
      <c r="I210" s="3"/>
      <c r="N210" s="12"/>
    </row>
    <row r="211" spans="1:14" x14ac:dyDescent="0.3">
      <c r="A211" s="12"/>
      <c r="B211" s="1"/>
      <c r="C211" s="1"/>
      <c r="G211" s="3"/>
      <c r="H211" s="13"/>
      <c r="I211" s="3"/>
      <c r="N211" s="12"/>
    </row>
    <row r="212" spans="1:14" x14ac:dyDescent="0.3">
      <c r="A212" s="12"/>
      <c r="B212" s="1"/>
      <c r="C212" s="1"/>
      <c r="G212" s="3"/>
      <c r="H212" s="13"/>
      <c r="I212" s="3"/>
      <c r="N212" s="12"/>
    </row>
    <row r="213" spans="1:14" x14ac:dyDescent="0.3">
      <c r="A213" s="12"/>
      <c r="B213" s="1"/>
      <c r="C213" s="1"/>
      <c r="G213" s="3"/>
      <c r="H213" s="13"/>
      <c r="I213" s="3"/>
      <c r="N213" s="12"/>
    </row>
    <row r="214" spans="1:14" x14ac:dyDescent="0.3">
      <c r="A214" s="12"/>
      <c r="B214" s="1"/>
      <c r="C214" s="1"/>
      <c r="G214" s="3"/>
      <c r="H214" s="13"/>
      <c r="I214" s="3"/>
      <c r="N214" s="12"/>
    </row>
    <row r="215" spans="1:14" x14ac:dyDescent="0.3">
      <c r="A215" s="12"/>
      <c r="B215" s="1"/>
      <c r="C215" s="1"/>
      <c r="G215" s="3"/>
      <c r="H215" s="13"/>
      <c r="I215" s="3"/>
      <c r="N215" s="12"/>
    </row>
    <row r="216" spans="1:14" x14ac:dyDescent="0.3">
      <c r="A216" s="12"/>
      <c r="B216" s="1"/>
      <c r="C216" s="1"/>
      <c r="G216" s="3"/>
      <c r="H216" s="13"/>
      <c r="I216" s="3"/>
      <c r="N216" s="12"/>
    </row>
    <row r="217" spans="1:14" x14ac:dyDescent="0.3">
      <c r="A217" s="12"/>
      <c r="B217" s="1"/>
      <c r="C217" s="1"/>
      <c r="G217" s="3"/>
      <c r="H217" s="13"/>
      <c r="I217" s="3"/>
      <c r="N217" s="12"/>
    </row>
    <row r="218" spans="1:14" x14ac:dyDescent="0.3">
      <c r="A218" s="12"/>
      <c r="B218" s="1"/>
      <c r="C218" s="1"/>
      <c r="G218" s="3"/>
      <c r="H218" s="13"/>
      <c r="I218" s="3"/>
      <c r="N218" s="12"/>
    </row>
    <row r="219" spans="1:14" x14ac:dyDescent="0.3">
      <c r="A219" s="12"/>
      <c r="B219" s="1"/>
      <c r="C219" s="1"/>
      <c r="G219" s="3"/>
      <c r="H219" s="13"/>
      <c r="I219" s="3"/>
      <c r="N219" s="12"/>
    </row>
    <row r="220" spans="1:14" x14ac:dyDescent="0.3">
      <c r="A220" s="12"/>
      <c r="B220" s="1"/>
      <c r="C220" s="1"/>
      <c r="G220" s="3"/>
      <c r="H220" s="13"/>
      <c r="I220" s="3"/>
      <c r="N220" s="12"/>
    </row>
    <row r="221" spans="1:14" x14ac:dyDescent="0.3">
      <c r="A221" s="12"/>
      <c r="B221" s="1"/>
      <c r="C221" s="1"/>
      <c r="G221" s="3"/>
      <c r="H221" s="13"/>
      <c r="I221" s="3"/>
      <c r="N221" s="12"/>
    </row>
    <row r="222" spans="1:14" x14ac:dyDescent="0.3">
      <c r="A222" s="12"/>
      <c r="B222" s="1"/>
      <c r="C222" s="1"/>
      <c r="G222" s="3"/>
      <c r="H222" s="13"/>
      <c r="I222" s="3"/>
      <c r="N222" s="12"/>
    </row>
    <row r="223" spans="1:14" x14ac:dyDescent="0.3">
      <c r="A223" s="12"/>
      <c r="B223" s="1"/>
      <c r="C223" s="1"/>
      <c r="G223" s="3"/>
      <c r="H223" s="13"/>
      <c r="I223" s="3"/>
      <c r="N223" s="12"/>
    </row>
    <row r="224" spans="1:14" x14ac:dyDescent="0.3">
      <c r="A224" s="12"/>
      <c r="B224" s="1"/>
      <c r="C224" s="1"/>
      <c r="G224" s="3"/>
      <c r="H224" s="13"/>
      <c r="I224" s="3"/>
      <c r="N224" s="12"/>
    </row>
    <row r="225" spans="1:14" x14ac:dyDescent="0.3">
      <c r="A225" s="12"/>
      <c r="B225" s="1"/>
      <c r="C225" s="1"/>
      <c r="G225" s="3"/>
      <c r="H225" s="13"/>
      <c r="I225" s="3"/>
      <c r="N225" s="12"/>
    </row>
    <row r="226" spans="1:14" x14ac:dyDescent="0.3">
      <c r="A226" s="12"/>
      <c r="B226" s="1"/>
      <c r="C226" s="1"/>
      <c r="G226" s="3"/>
      <c r="H226" s="13"/>
      <c r="I226" s="3"/>
      <c r="N226" s="12"/>
    </row>
    <row r="227" spans="1:14" x14ac:dyDescent="0.3">
      <c r="A227" s="12"/>
      <c r="B227" s="1"/>
      <c r="C227" s="1"/>
      <c r="G227" s="3"/>
      <c r="H227" s="13"/>
      <c r="I227" s="3"/>
      <c r="N227" s="12"/>
    </row>
    <row r="228" spans="1:14" x14ac:dyDescent="0.3">
      <c r="A228" s="12"/>
      <c r="B228" s="1"/>
      <c r="C228" s="1"/>
      <c r="G228" s="3"/>
      <c r="H228" s="13"/>
      <c r="I228" s="3"/>
      <c r="N228" s="12"/>
    </row>
    <row r="229" spans="1:14" x14ac:dyDescent="0.3">
      <c r="A229" s="12"/>
      <c r="B229" s="1"/>
      <c r="C229" s="1"/>
      <c r="G229" s="3"/>
      <c r="H229" s="13"/>
      <c r="I229" s="3"/>
      <c r="N229" s="12"/>
    </row>
    <row r="230" spans="1:14" x14ac:dyDescent="0.3">
      <c r="A230" s="12"/>
      <c r="B230" s="1"/>
      <c r="C230" s="1"/>
      <c r="G230" s="3"/>
      <c r="H230" s="13"/>
      <c r="I230" s="3"/>
      <c r="N230" s="12"/>
    </row>
    <row r="231" spans="1:14" x14ac:dyDescent="0.3">
      <c r="A231" s="12"/>
      <c r="B231" s="1"/>
      <c r="C231" s="1"/>
      <c r="G231" s="3"/>
      <c r="H231" s="13"/>
      <c r="I231" s="3"/>
      <c r="N231" s="12"/>
    </row>
    <row r="232" spans="1:14" x14ac:dyDescent="0.3">
      <c r="A232" s="12"/>
      <c r="B232" s="1"/>
      <c r="C232" s="1"/>
      <c r="G232" s="3"/>
      <c r="H232" s="13"/>
      <c r="I232" s="3"/>
      <c r="N232" s="12"/>
    </row>
    <row r="233" spans="1:14" x14ac:dyDescent="0.3">
      <c r="A233" s="12"/>
      <c r="B233" s="1"/>
      <c r="C233" s="1"/>
      <c r="G233" s="3"/>
      <c r="H233" s="13"/>
      <c r="I233" s="3"/>
      <c r="N233" s="12"/>
    </row>
    <row r="234" spans="1:14" x14ac:dyDescent="0.3">
      <c r="A234" s="12"/>
      <c r="B234" s="1"/>
      <c r="C234" s="1"/>
      <c r="G234" s="3"/>
      <c r="H234" s="13"/>
      <c r="I234" s="3"/>
      <c r="N234" s="12"/>
    </row>
    <row r="235" spans="1:14" x14ac:dyDescent="0.3">
      <c r="A235" s="12"/>
      <c r="B235" s="1"/>
      <c r="C235" s="1"/>
      <c r="G235" s="3"/>
      <c r="H235" s="13"/>
      <c r="I235" s="3"/>
      <c r="N235" s="12"/>
    </row>
    <row r="236" spans="1:14" x14ac:dyDescent="0.3">
      <c r="A236" s="12"/>
      <c r="B236" s="1"/>
      <c r="C236" s="1"/>
      <c r="G236" s="3"/>
      <c r="H236" s="13"/>
      <c r="I236" s="3"/>
      <c r="N236" s="12"/>
    </row>
    <row r="237" spans="1:14" x14ac:dyDescent="0.3">
      <c r="A237" s="12"/>
      <c r="B237" s="1"/>
      <c r="C237" s="1"/>
      <c r="G237" s="3"/>
      <c r="H237" s="13"/>
      <c r="I237" s="3"/>
      <c r="N237" s="12"/>
    </row>
    <row r="238" spans="1:14" x14ac:dyDescent="0.3">
      <c r="A238" s="12"/>
      <c r="B238" s="1"/>
      <c r="C238" s="1"/>
      <c r="G238" s="3"/>
      <c r="H238" s="13"/>
      <c r="I238" s="3"/>
      <c r="N238" s="12"/>
    </row>
    <row r="239" spans="1:14" x14ac:dyDescent="0.3">
      <c r="A239" s="12"/>
      <c r="B239" s="1"/>
      <c r="C239" s="1"/>
      <c r="G239" s="3"/>
      <c r="H239" s="13"/>
      <c r="I239" s="3"/>
      <c r="N239" s="12"/>
    </row>
    <row r="240" spans="1:14" x14ac:dyDescent="0.3">
      <c r="A240" s="12"/>
      <c r="B240" s="1"/>
      <c r="C240" s="1"/>
      <c r="G240" s="3"/>
      <c r="H240" s="13"/>
      <c r="I240" s="3"/>
      <c r="N240" s="12"/>
    </row>
    <row r="241" spans="1:14" x14ac:dyDescent="0.3">
      <c r="A241" s="12"/>
      <c r="B241" s="1"/>
      <c r="C241" s="1"/>
      <c r="G241" s="3"/>
      <c r="H241" s="13"/>
      <c r="I241" s="3"/>
      <c r="N241" s="12"/>
    </row>
    <row r="242" spans="1:14" x14ac:dyDescent="0.3">
      <c r="A242" s="12"/>
      <c r="B242" s="1"/>
      <c r="C242" s="1"/>
      <c r="G242" s="3"/>
      <c r="H242" s="13"/>
      <c r="I242" s="3"/>
      <c r="N242" s="12"/>
    </row>
    <row r="243" spans="1:14" x14ac:dyDescent="0.3">
      <c r="A243" s="12"/>
      <c r="B243" s="1"/>
      <c r="C243" s="1"/>
      <c r="G243" s="3"/>
      <c r="H243" s="13"/>
      <c r="I243" s="3"/>
      <c r="N243" s="12"/>
    </row>
    <row r="244" spans="1:14" x14ac:dyDescent="0.3">
      <c r="A244" s="12"/>
      <c r="B244" s="1"/>
      <c r="C244" s="1"/>
      <c r="G244" s="3"/>
      <c r="H244" s="13"/>
      <c r="I244" s="3"/>
      <c r="N244" s="12"/>
    </row>
    <row r="245" spans="1:14" x14ac:dyDescent="0.3">
      <c r="A245" s="12"/>
      <c r="B245" s="1"/>
      <c r="C245" s="1"/>
      <c r="G245" s="3"/>
      <c r="H245" s="13"/>
      <c r="I245" s="3"/>
      <c r="K245" s="1"/>
      <c r="N245" s="12"/>
    </row>
    <row r="246" spans="1:14" x14ac:dyDescent="0.3">
      <c r="A246" s="12"/>
      <c r="B246" s="1"/>
      <c r="C246" s="1"/>
      <c r="G246" s="3"/>
      <c r="H246" s="13"/>
      <c r="I246" s="3"/>
      <c r="N246" s="12"/>
    </row>
    <row r="247" spans="1:14" x14ac:dyDescent="0.3">
      <c r="A247" s="12"/>
      <c r="B247" s="1"/>
      <c r="C247" s="1"/>
      <c r="G247" s="3"/>
      <c r="H247" s="13"/>
      <c r="I247" s="3"/>
      <c r="N247" s="12"/>
    </row>
    <row r="248" spans="1:14" x14ac:dyDescent="0.3">
      <c r="A248" s="12"/>
      <c r="B248" s="1"/>
      <c r="C248" s="1"/>
      <c r="G248" s="3"/>
      <c r="H248" s="13"/>
      <c r="I248" s="3"/>
      <c r="N248" s="12"/>
    </row>
    <row r="249" spans="1:14" x14ac:dyDescent="0.3">
      <c r="A249" s="12"/>
      <c r="B249" s="1"/>
      <c r="C249" s="1"/>
      <c r="G249" s="3"/>
      <c r="H249" s="13"/>
      <c r="I249" s="3"/>
      <c r="N249" s="12"/>
    </row>
    <row r="250" spans="1:14" x14ac:dyDescent="0.3">
      <c r="A250" s="12"/>
      <c r="B250" s="1"/>
      <c r="C250" s="1"/>
      <c r="G250" s="3"/>
      <c r="H250" s="13"/>
      <c r="I250" s="3"/>
      <c r="N250" s="12"/>
    </row>
    <row r="251" spans="1:14" x14ac:dyDescent="0.3">
      <c r="A251" s="12"/>
      <c r="B251" s="1"/>
      <c r="C251" s="1"/>
      <c r="G251" s="3"/>
      <c r="H251" s="13"/>
      <c r="I251" s="3"/>
      <c r="N251" s="12"/>
    </row>
    <row r="252" spans="1:14" x14ac:dyDescent="0.3">
      <c r="A252" s="12"/>
      <c r="B252" s="1"/>
      <c r="C252" s="1"/>
      <c r="G252" s="3"/>
      <c r="H252" s="13"/>
      <c r="I252" s="3"/>
      <c r="N252" s="12"/>
    </row>
    <row r="253" spans="1:14" x14ac:dyDescent="0.3">
      <c r="A253" s="12"/>
      <c r="B253" s="1"/>
      <c r="C253" s="1"/>
      <c r="G253" s="3"/>
      <c r="H253" s="13"/>
      <c r="I253" s="3"/>
      <c r="N253" s="12"/>
    </row>
    <row r="254" spans="1:14" x14ac:dyDescent="0.3">
      <c r="A254" s="12"/>
      <c r="B254" s="1"/>
      <c r="C254" s="1"/>
      <c r="G254" s="3"/>
      <c r="H254" s="13"/>
      <c r="I254" s="3"/>
      <c r="N254" s="12"/>
    </row>
    <row r="255" spans="1:14" x14ac:dyDescent="0.3">
      <c r="A255" s="12"/>
      <c r="B255" s="1"/>
      <c r="C255" s="1"/>
      <c r="G255" s="3"/>
      <c r="H255" s="13"/>
      <c r="I255" s="3"/>
      <c r="N255" s="12"/>
    </row>
    <row r="256" spans="1:14" x14ac:dyDescent="0.3">
      <c r="A256" s="12"/>
      <c r="B256" s="1"/>
      <c r="C256" s="1"/>
      <c r="G256" s="3"/>
      <c r="H256" s="13"/>
      <c r="I256" s="3"/>
      <c r="N256" s="12"/>
    </row>
    <row r="257" spans="1:14" x14ac:dyDescent="0.3">
      <c r="A257" s="12"/>
      <c r="B257" s="1"/>
      <c r="C257" s="1"/>
      <c r="G257" s="3"/>
      <c r="H257" s="13"/>
      <c r="I257" s="3"/>
      <c r="N257" s="12"/>
    </row>
    <row r="258" spans="1:14" x14ac:dyDescent="0.3">
      <c r="A258" s="12"/>
      <c r="B258" s="1"/>
      <c r="C258" s="1"/>
      <c r="G258" s="3"/>
      <c r="H258" s="13"/>
      <c r="I258" s="3"/>
      <c r="N258" s="12"/>
    </row>
    <row r="259" spans="1:14" x14ac:dyDescent="0.3">
      <c r="A259" s="12"/>
      <c r="B259" s="1"/>
      <c r="C259" s="1"/>
      <c r="G259" s="3"/>
      <c r="H259" s="13"/>
      <c r="I259" s="3"/>
      <c r="N259" s="12"/>
    </row>
    <row r="260" spans="1:14" x14ac:dyDescent="0.3">
      <c r="A260" s="12"/>
      <c r="B260" s="1"/>
      <c r="C260" s="1"/>
      <c r="G260" s="3"/>
      <c r="H260" s="13"/>
      <c r="I260" s="3"/>
      <c r="N260" s="12"/>
    </row>
    <row r="261" spans="1:14" x14ac:dyDescent="0.3">
      <c r="A261" s="12"/>
      <c r="B261" s="1"/>
      <c r="C261" s="1"/>
      <c r="G261" s="3"/>
      <c r="H261" s="13"/>
      <c r="I261" s="3"/>
      <c r="N261" s="12"/>
    </row>
    <row r="262" spans="1:14" x14ac:dyDescent="0.3">
      <c r="A262" s="12"/>
      <c r="B262" s="1"/>
      <c r="C262" s="1"/>
      <c r="G262" s="3"/>
      <c r="H262" s="13"/>
      <c r="I262" s="3"/>
      <c r="N262" s="12"/>
    </row>
    <row r="263" spans="1:14" x14ac:dyDescent="0.3">
      <c r="A263" s="12"/>
      <c r="B263" s="1"/>
      <c r="C263" s="1"/>
      <c r="G263" s="3"/>
      <c r="H263" s="13"/>
      <c r="I263" s="3"/>
      <c r="N263" s="12"/>
    </row>
    <row r="264" spans="1:14" x14ac:dyDescent="0.3">
      <c r="A264" s="12"/>
      <c r="B264" s="1"/>
      <c r="C264" s="1"/>
      <c r="G264" s="3"/>
      <c r="H264" s="13"/>
      <c r="I264" s="3"/>
      <c r="N264" s="12"/>
    </row>
    <row r="265" spans="1:14" x14ac:dyDescent="0.3">
      <c r="A265" s="12"/>
      <c r="B265" s="1"/>
      <c r="C265" s="1"/>
      <c r="G265" s="3"/>
      <c r="H265" s="13"/>
      <c r="I265" s="3"/>
      <c r="N265" s="12"/>
    </row>
    <row r="266" spans="1:14" x14ac:dyDescent="0.3">
      <c r="A266" s="12"/>
      <c r="B266" s="1"/>
      <c r="C266" s="1"/>
      <c r="G266" s="3"/>
      <c r="H266" s="13"/>
      <c r="I266" s="3"/>
      <c r="N266" s="12"/>
    </row>
    <row r="267" spans="1:14" x14ac:dyDescent="0.3">
      <c r="A267" s="12"/>
      <c r="B267" s="1"/>
      <c r="C267" s="1"/>
      <c r="G267" s="3"/>
      <c r="H267" s="13"/>
      <c r="I267" s="3"/>
      <c r="K267">
        <v>1</v>
      </c>
      <c r="N267" s="12"/>
    </row>
    <row r="268" spans="1:14" x14ac:dyDescent="0.3">
      <c r="A268" s="12"/>
      <c r="B268" s="1"/>
      <c r="C268" s="1"/>
      <c r="G268" s="3"/>
      <c r="H268" s="13"/>
      <c r="I268" s="3"/>
      <c r="N268" s="12"/>
    </row>
    <row r="269" spans="1:14" x14ac:dyDescent="0.3">
      <c r="A269" s="12"/>
      <c r="B269" s="1"/>
      <c r="C269" s="1"/>
      <c r="G269" s="3"/>
      <c r="H269" s="13"/>
      <c r="I269" s="3"/>
      <c r="N269" s="12"/>
    </row>
    <row r="270" spans="1:14" x14ac:dyDescent="0.3">
      <c r="A270" s="12"/>
      <c r="B270" s="1"/>
      <c r="C270" s="1"/>
      <c r="G270" s="3"/>
      <c r="H270" s="13"/>
      <c r="I270" s="3"/>
      <c r="N270" s="12"/>
    </row>
    <row r="271" spans="1:14" x14ac:dyDescent="0.3">
      <c r="A271" s="12"/>
      <c r="B271" s="1"/>
      <c r="C271" s="1"/>
      <c r="G271" s="3"/>
      <c r="H271" s="13"/>
      <c r="I271" s="3"/>
      <c r="N271" s="12"/>
    </row>
    <row r="272" spans="1:14" x14ac:dyDescent="0.3">
      <c r="A272" s="12"/>
      <c r="B272" s="1"/>
      <c r="C272" s="1"/>
      <c r="G272" s="3"/>
      <c r="H272" s="13"/>
      <c r="I272" s="3"/>
      <c r="N272" s="12"/>
    </row>
    <row r="273" spans="1:14" x14ac:dyDescent="0.3">
      <c r="A273" s="12"/>
      <c r="B273" s="1"/>
      <c r="C273" s="1"/>
      <c r="G273" s="3"/>
      <c r="H273" s="13"/>
      <c r="I273" s="3"/>
      <c r="N273" s="12"/>
    </row>
    <row r="274" spans="1:14" x14ac:dyDescent="0.3">
      <c r="A274" s="12"/>
      <c r="B274" s="1"/>
      <c r="C274" s="1"/>
      <c r="G274" s="3"/>
      <c r="H274" s="13"/>
      <c r="I274" s="3"/>
      <c r="N274" s="12"/>
    </row>
    <row r="275" spans="1:14" x14ac:dyDescent="0.3">
      <c r="A275" s="12"/>
      <c r="B275" s="1"/>
      <c r="C275" s="1"/>
      <c r="G275" s="3"/>
      <c r="H275" s="13"/>
      <c r="I275" s="3"/>
      <c r="N275" s="12"/>
    </row>
    <row r="276" spans="1:14" x14ac:dyDescent="0.3">
      <c r="A276" s="12"/>
      <c r="B276" s="1"/>
      <c r="C276" s="1"/>
      <c r="G276" s="3"/>
      <c r="H276" s="13"/>
      <c r="I276" s="3"/>
      <c r="N276" s="12"/>
    </row>
    <row r="277" spans="1:14" x14ac:dyDescent="0.3">
      <c r="A277" s="12"/>
      <c r="B277" s="1"/>
      <c r="C277" s="1"/>
      <c r="G277" s="3"/>
      <c r="H277" s="13"/>
      <c r="I277" s="3"/>
      <c r="N277" s="12"/>
    </row>
    <row r="278" spans="1:14" x14ac:dyDescent="0.3">
      <c r="A278" s="12"/>
      <c r="B278" s="1"/>
      <c r="C278" s="1"/>
      <c r="G278" s="3"/>
      <c r="H278" s="13"/>
      <c r="I278" s="3"/>
      <c r="N278" s="12"/>
    </row>
    <row r="279" spans="1:14" x14ac:dyDescent="0.3">
      <c r="A279" s="12"/>
      <c r="B279" s="1"/>
      <c r="C279" s="1"/>
      <c r="G279" s="3"/>
      <c r="H279" s="13"/>
      <c r="I279" s="3"/>
      <c r="N279" s="12"/>
    </row>
    <row r="280" spans="1:14" x14ac:dyDescent="0.3">
      <c r="A280" s="12"/>
      <c r="B280" s="1"/>
      <c r="C280" s="1"/>
      <c r="G280" s="3"/>
      <c r="H280" s="13"/>
      <c r="I280" s="3"/>
      <c r="N280" s="12"/>
    </row>
    <row r="281" spans="1:14" x14ac:dyDescent="0.3">
      <c r="A281" s="12"/>
      <c r="B281" s="1"/>
      <c r="C281" s="1"/>
      <c r="G281" s="3"/>
      <c r="H281" s="13"/>
      <c r="I281" s="3"/>
      <c r="N281" s="12"/>
    </row>
    <row r="282" spans="1:14" x14ac:dyDescent="0.3">
      <c r="A282" s="12"/>
      <c r="B282" s="1"/>
      <c r="C282" s="1"/>
      <c r="G282" s="3"/>
      <c r="H282" s="13"/>
      <c r="I282" s="3"/>
      <c r="N282" s="12"/>
    </row>
    <row r="283" spans="1:14" x14ac:dyDescent="0.3">
      <c r="A283" s="12"/>
      <c r="B283" s="1"/>
      <c r="C283" s="1"/>
      <c r="G283" s="3"/>
      <c r="H283" s="13"/>
      <c r="I283" s="3"/>
      <c r="N283" s="12"/>
    </row>
    <row r="284" spans="1:14" x14ac:dyDescent="0.3">
      <c r="A284" s="12"/>
      <c r="B284" s="1"/>
      <c r="C284" s="1"/>
      <c r="G284" s="3"/>
      <c r="H284" s="13"/>
      <c r="I284" s="3"/>
      <c r="N284" s="12"/>
    </row>
    <row r="285" spans="1:14" x14ac:dyDescent="0.3">
      <c r="A285" s="12"/>
      <c r="B285" s="1"/>
      <c r="C285" s="1"/>
      <c r="G285" s="3"/>
      <c r="H285" s="13"/>
      <c r="I285" s="3"/>
      <c r="N285" s="12"/>
    </row>
    <row r="286" spans="1:14" x14ac:dyDescent="0.3">
      <c r="A286" s="12"/>
      <c r="B286" s="1"/>
      <c r="C286" s="1"/>
      <c r="G286" s="3"/>
      <c r="H286" s="13"/>
      <c r="I286" s="3"/>
      <c r="N286" s="12"/>
    </row>
    <row r="287" spans="1:14" x14ac:dyDescent="0.3">
      <c r="A287" s="12"/>
      <c r="B287" s="1"/>
      <c r="C287" s="1"/>
      <c r="G287" s="3"/>
      <c r="H287" s="13"/>
      <c r="I287" s="3"/>
      <c r="N287" s="12"/>
    </row>
    <row r="288" spans="1:14" x14ac:dyDescent="0.3">
      <c r="A288" s="12"/>
      <c r="B288" s="1"/>
      <c r="C288" s="1"/>
      <c r="G288" s="3"/>
      <c r="H288" s="13"/>
      <c r="I288" s="3"/>
      <c r="N288" s="12"/>
    </row>
    <row r="289" spans="1:14" x14ac:dyDescent="0.3">
      <c r="A289" s="12"/>
      <c r="B289" s="1"/>
      <c r="C289" s="1"/>
      <c r="G289" s="3"/>
      <c r="H289" s="13"/>
      <c r="I289" s="3"/>
      <c r="N289" s="12"/>
    </row>
    <row r="290" spans="1:14" x14ac:dyDescent="0.3">
      <c r="A290" s="12"/>
      <c r="B290" s="1"/>
      <c r="C290" s="1"/>
      <c r="G290" s="3"/>
      <c r="H290" s="13"/>
      <c r="I290" s="3"/>
      <c r="N290" s="12"/>
    </row>
    <row r="291" spans="1:14" x14ac:dyDescent="0.3">
      <c r="A291" s="12"/>
      <c r="B291" s="1"/>
      <c r="C291" s="1"/>
      <c r="G291" s="3"/>
      <c r="H291" s="13"/>
      <c r="I291" s="3"/>
      <c r="N291" s="12"/>
    </row>
    <row r="292" spans="1:14" x14ac:dyDescent="0.3">
      <c r="A292" s="12"/>
      <c r="B292" s="1"/>
      <c r="C292" s="1"/>
      <c r="G292" s="3"/>
      <c r="H292" s="13"/>
      <c r="I292" s="3"/>
      <c r="N292" s="12"/>
    </row>
    <row r="293" spans="1:14" x14ac:dyDescent="0.3">
      <c r="A293" s="12"/>
      <c r="B293" s="1"/>
      <c r="C293" s="1"/>
      <c r="G293" s="3"/>
      <c r="H293" s="13"/>
      <c r="I293" s="3"/>
      <c r="N293" s="12"/>
    </row>
    <row r="294" spans="1:14" x14ac:dyDescent="0.3">
      <c r="A294" s="12"/>
      <c r="B294" s="1"/>
      <c r="C294" s="1"/>
      <c r="G294" s="3"/>
      <c r="H294" s="13"/>
      <c r="I294" s="3"/>
      <c r="N294" s="12"/>
    </row>
    <row r="295" spans="1:14" x14ac:dyDescent="0.3">
      <c r="A295" s="12"/>
      <c r="B295" s="1"/>
      <c r="C295" s="1"/>
      <c r="G295" s="3"/>
      <c r="H295" s="13"/>
      <c r="I295" s="3"/>
      <c r="N295" s="12"/>
    </row>
    <row r="296" spans="1:14" x14ac:dyDescent="0.3">
      <c r="A296" s="12"/>
      <c r="B296" s="1"/>
      <c r="C296" s="1"/>
      <c r="G296" s="3"/>
      <c r="H296" s="13"/>
      <c r="I296" s="3"/>
      <c r="N296" s="12"/>
    </row>
    <row r="297" spans="1:14" x14ac:dyDescent="0.3">
      <c r="A297" s="12"/>
      <c r="B297" s="1"/>
      <c r="C297" s="1"/>
      <c r="G297" s="3"/>
      <c r="H297" s="13"/>
      <c r="I297" s="3"/>
      <c r="N297" s="12"/>
    </row>
    <row r="298" spans="1:14" x14ac:dyDescent="0.3">
      <c r="A298" s="12"/>
      <c r="B298" s="1"/>
      <c r="C298" s="1"/>
      <c r="G298" s="3"/>
      <c r="H298" s="13"/>
      <c r="I298" s="3"/>
      <c r="N298" s="12"/>
    </row>
    <row r="299" spans="1:14" x14ac:dyDescent="0.3">
      <c r="A299" s="12"/>
      <c r="B299" s="1"/>
      <c r="C299" s="1"/>
      <c r="G299" s="3"/>
      <c r="H299" s="13"/>
      <c r="I299" s="3"/>
      <c r="N299" s="12"/>
    </row>
    <row r="300" spans="1:14" x14ac:dyDescent="0.3">
      <c r="A300" s="12"/>
      <c r="B300" s="1"/>
      <c r="C300" s="1"/>
      <c r="G300" s="3"/>
      <c r="H300" s="13"/>
      <c r="I300" s="3"/>
      <c r="N300" s="12"/>
    </row>
    <row r="301" spans="1:14" x14ac:dyDescent="0.3">
      <c r="A301" s="12"/>
      <c r="B301" s="1"/>
      <c r="C301" s="1"/>
      <c r="G301" s="3"/>
      <c r="H301" s="13"/>
      <c r="I301" s="3"/>
      <c r="N301" s="12"/>
    </row>
    <row r="302" spans="1:14" x14ac:dyDescent="0.3">
      <c r="A302" s="12"/>
      <c r="B302" s="1"/>
      <c r="C302" s="1"/>
      <c r="G302" s="3"/>
      <c r="H302" s="13"/>
      <c r="I302" s="3"/>
      <c r="N302" s="12"/>
    </row>
    <row r="303" spans="1:14" x14ac:dyDescent="0.3">
      <c r="A303" s="12"/>
      <c r="B303" s="1"/>
      <c r="C303" s="1"/>
      <c r="G303" s="3"/>
      <c r="H303" s="13"/>
      <c r="I303" s="3"/>
      <c r="N303" s="12"/>
    </row>
    <row r="304" spans="1:14" x14ac:dyDescent="0.3">
      <c r="A304" s="12"/>
      <c r="B304" s="1"/>
      <c r="C304" s="1"/>
      <c r="G304" s="3"/>
      <c r="H304" s="13"/>
      <c r="I304" s="3"/>
      <c r="N304" s="12"/>
    </row>
    <row r="305" spans="1:14" x14ac:dyDescent="0.3">
      <c r="A305" s="12"/>
      <c r="B305" s="1"/>
      <c r="C305" s="1"/>
      <c r="G305" s="3"/>
      <c r="H305" s="13"/>
      <c r="I305" s="3"/>
      <c r="N305" s="12"/>
    </row>
    <row r="306" spans="1:14" x14ac:dyDescent="0.3">
      <c r="A306" s="12"/>
      <c r="B306" s="1"/>
      <c r="C306" s="1"/>
      <c r="G306" s="3"/>
      <c r="H306" s="13"/>
      <c r="I306" s="3"/>
      <c r="N306" s="12"/>
    </row>
    <row r="307" spans="1:14" x14ac:dyDescent="0.3">
      <c r="A307" s="12"/>
      <c r="B307" s="1"/>
      <c r="C307" s="1"/>
      <c r="G307" s="3"/>
      <c r="H307" s="13"/>
      <c r="I307" s="3"/>
      <c r="N307" s="12"/>
    </row>
    <row r="308" spans="1:14" x14ac:dyDescent="0.3">
      <c r="A308" s="12"/>
      <c r="B308" s="1"/>
      <c r="C308" s="1"/>
      <c r="G308" s="3"/>
      <c r="H308" s="13"/>
      <c r="I308" s="3"/>
      <c r="N308" s="12"/>
    </row>
    <row r="309" spans="1:14" x14ac:dyDescent="0.3">
      <c r="A309" s="12"/>
      <c r="B309" s="1"/>
      <c r="C309" s="1"/>
      <c r="G309" s="3"/>
      <c r="H309" s="13"/>
      <c r="I309" s="3"/>
      <c r="N309" s="12"/>
    </row>
    <row r="310" spans="1:14" x14ac:dyDescent="0.3">
      <c r="A310" s="12"/>
      <c r="B310" s="1"/>
      <c r="C310" s="1"/>
      <c r="G310" s="3"/>
      <c r="H310" s="13"/>
      <c r="I310" s="3"/>
      <c r="N310" s="12"/>
    </row>
    <row r="311" spans="1:14" x14ac:dyDescent="0.3">
      <c r="A311" s="12"/>
      <c r="B311" s="1"/>
      <c r="C311" s="1"/>
      <c r="G311" s="3"/>
      <c r="H311" s="13"/>
      <c r="I311" s="3"/>
      <c r="N311" s="12"/>
    </row>
    <row r="312" spans="1:14" x14ac:dyDescent="0.3">
      <c r="A312" s="12"/>
      <c r="B312" s="1"/>
      <c r="C312" s="1"/>
      <c r="G312" s="3"/>
      <c r="H312" s="13"/>
      <c r="I312" s="3"/>
      <c r="N312" s="12"/>
    </row>
    <row r="313" spans="1:14" x14ac:dyDescent="0.3">
      <c r="A313" s="12"/>
      <c r="B313" s="1"/>
      <c r="C313" s="1"/>
      <c r="G313" s="3"/>
      <c r="H313" s="13"/>
      <c r="I313" s="3"/>
      <c r="N313" s="12"/>
    </row>
    <row r="314" spans="1:14" x14ac:dyDescent="0.3">
      <c r="A314" s="12"/>
      <c r="B314" s="1"/>
      <c r="C314" s="1"/>
      <c r="G314" s="3"/>
      <c r="H314" s="13"/>
      <c r="I314" s="3"/>
      <c r="N314" s="12"/>
    </row>
    <row r="315" spans="1:14" x14ac:dyDescent="0.3">
      <c r="A315" s="12"/>
      <c r="B315" s="1"/>
      <c r="C315" s="1"/>
      <c r="G315" s="3"/>
      <c r="H315" s="13"/>
      <c r="I315" s="3"/>
      <c r="N315" s="12"/>
    </row>
    <row r="316" spans="1:14" x14ac:dyDescent="0.3">
      <c r="A316" s="12"/>
      <c r="B316" s="1"/>
      <c r="C316" s="1"/>
      <c r="G316" s="3"/>
      <c r="H316" s="13"/>
      <c r="I316" s="3"/>
      <c r="N316" s="12"/>
    </row>
    <row r="317" spans="1:14" x14ac:dyDescent="0.3">
      <c r="A317" s="12"/>
      <c r="B317" s="1"/>
      <c r="C317" s="1"/>
      <c r="G317" s="3"/>
      <c r="H317" s="13"/>
      <c r="I317" s="3"/>
      <c r="N317" s="12"/>
    </row>
    <row r="318" spans="1:14" x14ac:dyDescent="0.3">
      <c r="A318" s="12"/>
      <c r="B318" s="1"/>
      <c r="C318" s="1"/>
      <c r="G318" s="3"/>
      <c r="H318" s="13"/>
      <c r="I318" s="3"/>
      <c r="N318" s="12"/>
    </row>
    <row r="319" spans="1:14" x14ac:dyDescent="0.3">
      <c r="A319" s="12"/>
      <c r="B319" s="1"/>
      <c r="C319" s="1"/>
      <c r="G319" s="3"/>
      <c r="H319" s="13"/>
      <c r="I319" s="3"/>
      <c r="N319" s="12"/>
    </row>
    <row r="320" spans="1:14" x14ac:dyDescent="0.3">
      <c r="A320" s="12"/>
      <c r="B320" s="1"/>
      <c r="C320" s="1"/>
      <c r="G320" s="3"/>
      <c r="H320" s="13"/>
      <c r="I320" s="3"/>
      <c r="N320" s="12"/>
    </row>
    <row r="321" spans="1:14" x14ac:dyDescent="0.3">
      <c r="A321" s="12"/>
      <c r="B321" s="1"/>
      <c r="C321" s="1"/>
      <c r="G321" s="3"/>
      <c r="H321" s="13"/>
      <c r="I321" s="3"/>
      <c r="N321" s="12"/>
    </row>
    <row r="322" spans="1:14" x14ac:dyDescent="0.3">
      <c r="A322" s="12"/>
      <c r="B322" s="1"/>
      <c r="C322" s="1"/>
      <c r="G322" s="3"/>
      <c r="H322" s="13"/>
      <c r="I322" s="3"/>
      <c r="N322" s="12"/>
    </row>
    <row r="323" spans="1:14" x14ac:dyDescent="0.3">
      <c r="A323" s="12"/>
      <c r="B323" s="1"/>
      <c r="C323" s="1"/>
      <c r="G323" s="3"/>
      <c r="H323" s="13"/>
      <c r="I323" s="3"/>
      <c r="N323" s="12"/>
    </row>
    <row r="324" spans="1:14" x14ac:dyDescent="0.3">
      <c r="A324" s="12"/>
      <c r="B324" s="1"/>
      <c r="C324" s="1"/>
      <c r="G324" s="3"/>
      <c r="H324" s="13"/>
      <c r="I324" s="3"/>
      <c r="N324" s="12"/>
    </row>
    <row r="325" spans="1:14" x14ac:dyDescent="0.3">
      <c r="A325" s="12"/>
      <c r="B325" s="1"/>
      <c r="C325" s="1"/>
      <c r="G325" s="3"/>
      <c r="H325" s="13"/>
      <c r="I325" s="3"/>
      <c r="N325" s="12"/>
    </row>
    <row r="326" spans="1:14" x14ac:dyDescent="0.3">
      <c r="A326" s="12"/>
      <c r="B326" s="1"/>
      <c r="C326" s="1"/>
      <c r="G326" s="3"/>
      <c r="H326" s="13"/>
      <c r="I326" s="3"/>
      <c r="N326" s="12"/>
    </row>
    <row r="327" spans="1:14" x14ac:dyDescent="0.3">
      <c r="A327" s="12"/>
      <c r="B327" s="1"/>
      <c r="C327" s="1"/>
      <c r="G327" s="3"/>
      <c r="H327" s="13"/>
      <c r="I327" s="3"/>
      <c r="N327" s="12"/>
    </row>
    <row r="328" spans="1:14" x14ac:dyDescent="0.3">
      <c r="A328" s="12"/>
      <c r="B328" s="1"/>
      <c r="C328" s="1"/>
      <c r="G328" s="3"/>
      <c r="H328" s="13"/>
      <c r="I328" s="3"/>
      <c r="N328" s="12"/>
    </row>
    <row r="329" spans="1:14" x14ac:dyDescent="0.3">
      <c r="A329" s="12"/>
      <c r="B329" s="1"/>
      <c r="C329" s="1"/>
      <c r="G329" s="3"/>
      <c r="H329" s="13"/>
      <c r="I329" s="3"/>
      <c r="N329" s="12"/>
    </row>
    <row r="330" spans="1:14" x14ac:dyDescent="0.3">
      <c r="A330" s="12"/>
      <c r="B330" s="1"/>
      <c r="C330" s="1"/>
      <c r="G330" s="3"/>
      <c r="H330" s="13"/>
      <c r="I330" s="3"/>
      <c r="N330" s="12"/>
    </row>
    <row r="331" spans="1:14" x14ac:dyDescent="0.3">
      <c r="A331" s="12"/>
      <c r="B331" s="1"/>
      <c r="C331" s="1"/>
      <c r="G331" s="3"/>
      <c r="H331" s="13"/>
      <c r="I331" s="3"/>
      <c r="N331" s="12"/>
    </row>
    <row r="332" spans="1:14" x14ac:dyDescent="0.3">
      <c r="A332" s="12"/>
      <c r="B332" s="1"/>
      <c r="C332" s="1"/>
      <c r="G332" s="3"/>
      <c r="H332" s="13"/>
      <c r="I332" s="3"/>
      <c r="N332" s="12"/>
    </row>
    <row r="333" spans="1:14" x14ac:dyDescent="0.3">
      <c r="A333" s="12"/>
      <c r="B333" s="1"/>
      <c r="C333" s="1"/>
      <c r="G333" s="3"/>
      <c r="H333" s="13"/>
      <c r="I333" s="3"/>
      <c r="N333" s="12"/>
    </row>
    <row r="334" spans="1:14" x14ac:dyDescent="0.3">
      <c r="A334" s="12"/>
      <c r="B334" s="1"/>
      <c r="C334" s="1"/>
      <c r="G334" s="3"/>
      <c r="H334" s="13"/>
      <c r="I334" s="3"/>
      <c r="N334" s="12"/>
    </row>
    <row r="335" spans="1:14" x14ac:dyDescent="0.3">
      <c r="A335" s="12"/>
      <c r="B335" s="1"/>
      <c r="C335" s="1"/>
      <c r="G335" s="3"/>
      <c r="H335" s="13"/>
      <c r="I335" s="3"/>
      <c r="N335" s="12"/>
    </row>
    <row r="336" spans="1:14" x14ac:dyDescent="0.3">
      <c r="A336" s="12"/>
      <c r="B336" s="1"/>
      <c r="C336" s="1"/>
      <c r="G336" s="3"/>
      <c r="H336" s="13"/>
      <c r="I336" s="3"/>
      <c r="N336" s="12"/>
    </row>
    <row r="337" spans="1:14" x14ac:dyDescent="0.3">
      <c r="A337" s="12"/>
      <c r="B337" s="1"/>
      <c r="C337" s="1"/>
      <c r="G337" s="3"/>
      <c r="H337" s="13"/>
      <c r="I337" s="3"/>
      <c r="N337" s="12"/>
    </row>
    <row r="338" spans="1:14" x14ac:dyDescent="0.3">
      <c r="A338" s="12"/>
      <c r="B338" s="1"/>
      <c r="C338" s="1"/>
      <c r="G338" s="3"/>
      <c r="H338" s="13"/>
      <c r="I338" s="3"/>
      <c r="N338" s="12"/>
    </row>
    <row r="339" spans="1:14" x14ac:dyDescent="0.3">
      <c r="A339" s="12"/>
      <c r="B339" s="1"/>
      <c r="C339" s="1"/>
      <c r="G339" s="3"/>
      <c r="H339" s="13"/>
      <c r="I339" s="3"/>
      <c r="N339" s="12"/>
    </row>
    <row r="340" spans="1:14" x14ac:dyDescent="0.3">
      <c r="A340" s="12"/>
      <c r="B340" s="1"/>
      <c r="C340" s="1"/>
      <c r="G340" s="3"/>
      <c r="H340" s="13"/>
      <c r="I340" s="3"/>
      <c r="N340" s="12"/>
    </row>
    <row r="341" spans="1:14" x14ac:dyDescent="0.3">
      <c r="A341" s="12"/>
      <c r="B341" s="1"/>
      <c r="C341" s="1"/>
      <c r="G341" s="3"/>
      <c r="H341" s="13"/>
      <c r="I341" s="3"/>
      <c r="N341" s="12"/>
    </row>
    <row r="342" spans="1:14" x14ac:dyDescent="0.3">
      <c r="A342" s="12"/>
      <c r="B342" s="1"/>
      <c r="C342" s="1"/>
      <c r="G342" s="3"/>
      <c r="H342" s="13"/>
      <c r="I342" s="3"/>
      <c r="N342" s="12"/>
    </row>
    <row r="343" spans="1:14" x14ac:dyDescent="0.3">
      <c r="A343" s="12"/>
      <c r="B343" s="1"/>
      <c r="C343" s="1"/>
      <c r="G343" s="3"/>
      <c r="H343" s="13"/>
      <c r="I343" s="3"/>
      <c r="N343" s="12"/>
    </row>
    <row r="344" spans="1:14" x14ac:dyDescent="0.3">
      <c r="A344" s="12"/>
      <c r="B344" s="1"/>
      <c r="C344" s="1"/>
      <c r="G344" s="3"/>
      <c r="H344" s="13"/>
      <c r="I344" s="3"/>
      <c r="N344" s="12"/>
    </row>
    <row r="345" spans="1:14" x14ac:dyDescent="0.3">
      <c r="A345" s="12"/>
      <c r="B345" s="1"/>
      <c r="C345" s="1"/>
      <c r="G345" s="3"/>
      <c r="H345" s="13"/>
      <c r="I345" s="3"/>
      <c r="N345" s="12"/>
    </row>
    <row r="346" spans="1:14" x14ac:dyDescent="0.3">
      <c r="A346" s="12"/>
      <c r="B346" s="1"/>
      <c r="C346" s="1"/>
      <c r="G346" s="3"/>
      <c r="H346" s="13"/>
      <c r="I346" s="3"/>
      <c r="N346" s="12"/>
    </row>
    <row r="347" spans="1:14" x14ac:dyDescent="0.3">
      <c r="A347" s="12"/>
      <c r="B347" s="1"/>
      <c r="C347" s="1"/>
      <c r="G347" s="3"/>
      <c r="H347" s="13"/>
      <c r="I347" s="3"/>
      <c r="N347" s="12"/>
    </row>
    <row r="348" spans="1:14" x14ac:dyDescent="0.3">
      <c r="A348" s="12"/>
      <c r="B348" s="1"/>
      <c r="C348" s="1"/>
      <c r="G348" s="3"/>
      <c r="H348" s="13"/>
      <c r="I348" s="3"/>
      <c r="N348" s="12"/>
    </row>
    <row r="349" spans="1:14" x14ac:dyDescent="0.3">
      <c r="A349" s="12"/>
      <c r="B349" s="1"/>
      <c r="C349" s="1"/>
      <c r="G349" s="3"/>
      <c r="H349" s="13"/>
      <c r="I349" s="3"/>
      <c r="N349" s="12"/>
    </row>
    <row r="350" spans="1:14" x14ac:dyDescent="0.3">
      <c r="A350" s="12"/>
      <c r="B350" s="1"/>
      <c r="C350" s="1"/>
      <c r="G350" s="3"/>
      <c r="H350" s="13"/>
      <c r="I350" s="3"/>
      <c r="N350" s="12"/>
    </row>
    <row r="351" spans="1:14" x14ac:dyDescent="0.3">
      <c r="A351" s="12"/>
      <c r="B351" s="1"/>
      <c r="C351" s="1"/>
      <c r="G351" s="3"/>
      <c r="H351" s="13"/>
      <c r="I351" s="3"/>
      <c r="N351" s="12"/>
    </row>
    <row r="352" spans="1:14" x14ac:dyDescent="0.3">
      <c r="A352" s="12"/>
      <c r="B352" s="1"/>
      <c r="C352" s="1"/>
      <c r="G352" s="3"/>
      <c r="H352" s="13"/>
      <c r="I352" s="3"/>
      <c r="N352" s="12"/>
    </row>
    <row r="353" spans="1:14" x14ac:dyDescent="0.3">
      <c r="A353" s="12"/>
      <c r="B353" s="1"/>
      <c r="C353" s="1"/>
      <c r="G353" s="3"/>
      <c r="H353" s="13"/>
      <c r="I353" s="3"/>
      <c r="N353" s="12"/>
    </row>
    <row r="354" spans="1:14" x14ac:dyDescent="0.3">
      <c r="A354" s="12"/>
      <c r="B354" s="1"/>
      <c r="C354" s="1"/>
      <c r="G354" s="3"/>
      <c r="H354" s="13"/>
      <c r="I354" s="3"/>
      <c r="N354" s="12"/>
    </row>
    <row r="355" spans="1:14" x14ac:dyDescent="0.3">
      <c r="A355" s="12"/>
      <c r="B355" s="1"/>
      <c r="C355" s="1"/>
      <c r="G355" s="3"/>
      <c r="H355" s="13"/>
      <c r="I355" s="3"/>
      <c r="N355" s="12"/>
    </row>
    <row r="356" spans="1:14" x14ac:dyDescent="0.3">
      <c r="A356" s="12"/>
      <c r="B356" s="1"/>
      <c r="C356" s="1"/>
      <c r="G356" s="3"/>
      <c r="H356" s="13"/>
      <c r="I356" s="3"/>
      <c r="N356" s="12"/>
    </row>
    <row r="357" spans="1:14" x14ac:dyDescent="0.3">
      <c r="A357" s="12"/>
      <c r="B357" s="1"/>
      <c r="C357" s="1"/>
      <c r="G357" s="3"/>
      <c r="H357" s="13"/>
      <c r="I357" s="3"/>
      <c r="N357" s="12"/>
    </row>
    <row r="358" spans="1:14" x14ac:dyDescent="0.3">
      <c r="A358" s="12"/>
      <c r="B358" s="1"/>
      <c r="C358" s="1"/>
      <c r="G358" s="3"/>
      <c r="H358" s="13"/>
      <c r="I358" s="3"/>
      <c r="N358" s="12"/>
    </row>
    <row r="359" spans="1:14" x14ac:dyDescent="0.3">
      <c r="A359" s="12"/>
      <c r="B359" s="1"/>
      <c r="C359" s="1"/>
      <c r="G359" s="3"/>
      <c r="H359" s="13"/>
      <c r="I359" s="3"/>
      <c r="N359" s="12"/>
    </row>
    <row r="360" spans="1:14" x14ac:dyDescent="0.3">
      <c r="A360" s="12"/>
      <c r="B360" s="1"/>
      <c r="C360" s="1"/>
      <c r="G360" s="3"/>
      <c r="H360" s="13"/>
      <c r="I360" s="3"/>
      <c r="N360" s="12"/>
    </row>
    <row r="361" spans="1:14" x14ac:dyDescent="0.3">
      <c r="A361" s="12"/>
      <c r="B361" s="1"/>
      <c r="C361" s="1"/>
      <c r="G361" s="3"/>
      <c r="H361" s="13"/>
      <c r="I361" s="3"/>
      <c r="N361" s="12"/>
    </row>
    <row r="362" spans="1:14" x14ac:dyDescent="0.3">
      <c r="A362" s="12"/>
      <c r="B362" s="1"/>
      <c r="C362" s="1"/>
      <c r="G362" s="3"/>
      <c r="H362" s="13"/>
      <c r="I362" s="3"/>
      <c r="N362" s="12"/>
    </row>
    <row r="363" spans="1:14" x14ac:dyDescent="0.3">
      <c r="A363" s="12"/>
      <c r="B363" s="1"/>
      <c r="C363" s="1"/>
      <c r="G363" s="3"/>
      <c r="H363" s="13"/>
      <c r="I363" s="3"/>
      <c r="N363" s="12"/>
    </row>
    <row r="364" spans="1:14" x14ac:dyDescent="0.3">
      <c r="A364" s="12"/>
      <c r="B364" s="1"/>
      <c r="C364" s="1"/>
      <c r="G364" s="3"/>
      <c r="H364" s="13"/>
      <c r="I364" s="3"/>
      <c r="N364" s="12"/>
    </row>
    <row r="365" spans="1:14" x14ac:dyDescent="0.3">
      <c r="A365" s="12"/>
      <c r="B365" s="1"/>
      <c r="C365" s="1"/>
      <c r="G365" s="3"/>
      <c r="H365" s="13"/>
      <c r="I365" s="3"/>
      <c r="N365" s="12"/>
    </row>
    <row r="366" spans="1:14" x14ac:dyDescent="0.3">
      <c r="A366" s="12"/>
      <c r="B366" s="1"/>
      <c r="C366" s="1"/>
      <c r="G366" s="3"/>
      <c r="H366" s="13"/>
      <c r="I366" s="3"/>
      <c r="N366" s="12"/>
    </row>
    <row r="367" spans="1:14" x14ac:dyDescent="0.3">
      <c r="A367" s="12"/>
      <c r="B367" s="1"/>
      <c r="C367" s="1"/>
      <c r="G367" s="3"/>
      <c r="H367" s="13"/>
      <c r="I367" s="3"/>
      <c r="N367" s="12"/>
    </row>
    <row r="368" spans="1:14" x14ac:dyDescent="0.3">
      <c r="A368" s="12"/>
      <c r="B368" s="1"/>
      <c r="C368" s="1"/>
      <c r="G368" s="3"/>
      <c r="H368" s="13"/>
      <c r="I368" s="3"/>
      <c r="N368" s="12"/>
    </row>
    <row r="369" spans="1:14" x14ac:dyDescent="0.3">
      <c r="A369" s="12"/>
      <c r="B369" s="1"/>
      <c r="C369" s="1"/>
      <c r="G369" s="3"/>
      <c r="H369" s="13"/>
      <c r="I369" s="3"/>
      <c r="N369" s="12"/>
    </row>
    <row r="370" spans="1:14" x14ac:dyDescent="0.3">
      <c r="A370" s="12"/>
      <c r="B370" s="1"/>
      <c r="C370" s="1"/>
      <c r="G370" s="3"/>
      <c r="H370" s="13"/>
      <c r="I370" s="3"/>
      <c r="N370" s="12"/>
    </row>
    <row r="371" spans="1:14" x14ac:dyDescent="0.3">
      <c r="A371" s="12"/>
      <c r="B371" s="1"/>
      <c r="C371" s="1"/>
      <c r="G371" s="3"/>
      <c r="H371" s="13"/>
      <c r="I371" s="3"/>
      <c r="N371" s="12"/>
    </row>
    <row r="372" spans="1:14" x14ac:dyDescent="0.3">
      <c r="A372" s="12"/>
      <c r="B372" s="1"/>
      <c r="C372" s="1"/>
      <c r="G372" s="3"/>
      <c r="H372" s="13"/>
      <c r="I372" s="3"/>
      <c r="N372" s="12"/>
    </row>
    <row r="373" spans="1:14" x14ac:dyDescent="0.3">
      <c r="A373" s="12"/>
      <c r="B373" s="1"/>
      <c r="C373" s="1"/>
      <c r="G373" s="3"/>
      <c r="H373" s="13"/>
      <c r="I373" s="3"/>
      <c r="N373" s="12"/>
    </row>
    <row r="374" spans="1:14" x14ac:dyDescent="0.3">
      <c r="A374" s="12"/>
      <c r="B374" s="1"/>
      <c r="C374" s="1"/>
      <c r="G374" s="3"/>
      <c r="H374" s="13"/>
      <c r="I374" s="3"/>
      <c r="N374" s="12"/>
    </row>
    <row r="375" spans="1:14" x14ac:dyDescent="0.3">
      <c r="A375" s="12"/>
      <c r="B375" s="1"/>
      <c r="C375" s="1"/>
      <c r="G375" s="3"/>
      <c r="H375" s="13"/>
      <c r="I375" s="3"/>
      <c r="N375" s="12"/>
    </row>
    <row r="376" spans="1:14" x14ac:dyDescent="0.3">
      <c r="A376" s="12"/>
      <c r="B376" s="1"/>
      <c r="C376" s="1"/>
      <c r="G376" s="3"/>
      <c r="H376" s="13"/>
      <c r="I376" s="3"/>
      <c r="N376" s="12"/>
    </row>
    <row r="377" spans="1:14" x14ac:dyDescent="0.3">
      <c r="A377" s="12"/>
      <c r="B377" s="1"/>
      <c r="C377" s="1"/>
      <c r="G377" s="3"/>
      <c r="H377" s="13"/>
      <c r="I377" s="3"/>
      <c r="N377" s="12"/>
    </row>
    <row r="378" spans="1:14" x14ac:dyDescent="0.3">
      <c r="A378" s="12"/>
      <c r="B378" s="1"/>
      <c r="C378" s="1"/>
      <c r="G378" s="3"/>
      <c r="H378" s="13"/>
      <c r="I378" s="3"/>
      <c r="N378" s="12"/>
    </row>
    <row r="379" spans="1:14" x14ac:dyDescent="0.3">
      <c r="A379" s="12"/>
      <c r="B379" s="1"/>
      <c r="C379" s="1"/>
      <c r="G379" s="3"/>
      <c r="H379" s="13"/>
      <c r="I379" s="3"/>
      <c r="N379" s="12"/>
    </row>
    <row r="380" spans="1:14" x14ac:dyDescent="0.3">
      <c r="A380" s="12"/>
      <c r="B380" s="1"/>
      <c r="C380" s="1"/>
      <c r="G380" s="3"/>
      <c r="H380" s="13"/>
      <c r="I380" s="3"/>
      <c r="N380" s="12"/>
    </row>
    <row r="381" spans="1:14" x14ac:dyDescent="0.3">
      <c r="A381" s="12"/>
      <c r="B381" s="1"/>
      <c r="C381" s="1"/>
      <c r="G381" s="3"/>
      <c r="H381" s="13"/>
      <c r="I381" s="3"/>
      <c r="N381" s="12"/>
    </row>
    <row r="382" spans="1:14" x14ac:dyDescent="0.3">
      <c r="A382" s="12"/>
      <c r="B382" s="1"/>
      <c r="C382" s="1"/>
      <c r="G382" s="3"/>
      <c r="H382" s="13"/>
      <c r="I382" s="3"/>
      <c r="N382" s="12"/>
    </row>
    <row r="383" spans="1:14" x14ac:dyDescent="0.3">
      <c r="A383" s="12"/>
      <c r="B383" s="1"/>
      <c r="C383" s="1"/>
      <c r="G383" s="3"/>
      <c r="H383" s="13"/>
      <c r="I383" s="3"/>
      <c r="N383" s="12"/>
    </row>
    <row r="384" spans="1:14" x14ac:dyDescent="0.3">
      <c r="A384" s="12"/>
      <c r="B384" s="1"/>
      <c r="C384" s="1"/>
      <c r="G384" s="3"/>
      <c r="H384" s="13"/>
      <c r="I384" s="3"/>
      <c r="N384" s="12"/>
    </row>
    <row r="385" spans="1:14" x14ac:dyDescent="0.3">
      <c r="A385" s="12"/>
      <c r="B385" s="1"/>
      <c r="C385" s="1"/>
      <c r="G385" s="3"/>
      <c r="H385" s="13"/>
      <c r="I385" s="3"/>
      <c r="N385" s="12"/>
    </row>
    <row r="386" spans="1:14" x14ac:dyDescent="0.3">
      <c r="A386" s="12"/>
      <c r="B386" s="1"/>
      <c r="C386" s="1"/>
      <c r="G386" s="3"/>
      <c r="H386" s="13"/>
      <c r="I386" s="3"/>
      <c r="N386" s="12"/>
    </row>
    <row r="387" spans="1:14" x14ac:dyDescent="0.3">
      <c r="A387" s="12"/>
      <c r="B387" s="1"/>
      <c r="C387" s="1"/>
      <c r="G387" s="3"/>
      <c r="H387" s="13"/>
      <c r="I387" s="3"/>
      <c r="N387" s="12"/>
    </row>
    <row r="388" spans="1:14" x14ac:dyDescent="0.3">
      <c r="A388" s="12"/>
      <c r="B388" s="1"/>
      <c r="C388" s="1"/>
      <c r="G388" s="3"/>
      <c r="H388" s="13"/>
      <c r="I388" s="3"/>
      <c r="N388" s="12"/>
    </row>
    <row r="389" spans="1:14" x14ac:dyDescent="0.3">
      <c r="A389" s="12"/>
      <c r="B389" s="1"/>
      <c r="C389" s="1"/>
      <c r="G389" s="3"/>
      <c r="H389" s="13"/>
      <c r="I389" s="3"/>
      <c r="N389" s="12"/>
    </row>
    <row r="390" spans="1:14" x14ac:dyDescent="0.3">
      <c r="A390" s="12"/>
      <c r="B390" s="1"/>
      <c r="C390" s="1"/>
      <c r="G390" s="3"/>
      <c r="H390" s="13"/>
      <c r="I390" s="3"/>
      <c r="N390" s="12"/>
    </row>
    <row r="391" spans="1:14" x14ac:dyDescent="0.3">
      <c r="A391" s="12"/>
      <c r="B391" s="1"/>
      <c r="C391" s="1"/>
      <c r="G391" s="3"/>
      <c r="H391" s="13"/>
      <c r="I391" s="3"/>
      <c r="N391" s="12"/>
    </row>
    <row r="392" spans="1:14" x14ac:dyDescent="0.3">
      <c r="A392" s="12"/>
      <c r="B392" s="1"/>
      <c r="C392" s="1"/>
      <c r="G392" s="3"/>
      <c r="H392" s="13"/>
      <c r="I392" s="3"/>
      <c r="N392" s="12"/>
    </row>
    <row r="393" spans="1:14" x14ac:dyDescent="0.3">
      <c r="A393" s="12"/>
      <c r="B393" s="1"/>
      <c r="C393" s="1"/>
      <c r="G393" s="3"/>
      <c r="H393" s="13"/>
      <c r="I393" s="3"/>
      <c r="N393" s="12"/>
    </row>
    <row r="394" spans="1:14" x14ac:dyDescent="0.3">
      <c r="A394" s="12"/>
      <c r="B394" s="1"/>
      <c r="C394" s="1"/>
      <c r="G394" s="3"/>
      <c r="H394" s="13"/>
      <c r="I394" s="3"/>
      <c r="N394" s="12"/>
    </row>
    <row r="395" spans="1:14" x14ac:dyDescent="0.3">
      <c r="A395" s="12"/>
      <c r="B395" s="1"/>
      <c r="C395" s="1"/>
      <c r="G395" s="3"/>
      <c r="H395" s="13"/>
      <c r="I395" s="3"/>
      <c r="N395" s="12"/>
    </row>
    <row r="396" spans="1:14" x14ac:dyDescent="0.3">
      <c r="A396" s="12"/>
      <c r="B396" s="1"/>
      <c r="C396" s="1"/>
      <c r="G396" s="3"/>
      <c r="H396" s="13"/>
      <c r="I396" s="3"/>
      <c r="N396" s="12"/>
    </row>
    <row r="397" spans="1:14" x14ac:dyDescent="0.3">
      <c r="A397" s="12"/>
      <c r="B397" s="1"/>
      <c r="C397" s="1"/>
      <c r="G397" s="3"/>
      <c r="H397" s="13"/>
      <c r="I397" s="3"/>
      <c r="N397" s="12"/>
    </row>
    <row r="398" spans="1:14" x14ac:dyDescent="0.3">
      <c r="A398" s="12"/>
      <c r="B398" s="1"/>
      <c r="C398" s="1"/>
      <c r="G398" s="3"/>
      <c r="H398" s="13"/>
      <c r="I398" s="3"/>
      <c r="N398" s="12"/>
    </row>
    <row r="399" spans="1:14" x14ac:dyDescent="0.3">
      <c r="A399" s="12"/>
      <c r="B399" s="1"/>
      <c r="C399" s="1"/>
      <c r="G399" s="3"/>
      <c r="H399" s="13"/>
      <c r="I399" s="3"/>
      <c r="N399" s="12"/>
    </row>
    <row r="400" spans="1:14" x14ac:dyDescent="0.3">
      <c r="A400" s="12"/>
      <c r="B400" s="1"/>
      <c r="C400" s="1"/>
      <c r="G400" s="3"/>
      <c r="H400" s="13"/>
      <c r="I400" s="3"/>
      <c r="N400" s="12"/>
    </row>
    <row r="401" spans="1:14" x14ac:dyDescent="0.3">
      <c r="A401" s="12"/>
      <c r="B401" s="1"/>
      <c r="C401" s="1"/>
      <c r="G401" s="3"/>
      <c r="H401" s="13"/>
      <c r="I401" s="3"/>
      <c r="N401" s="12"/>
    </row>
    <row r="402" spans="1:14" x14ac:dyDescent="0.3">
      <c r="A402" s="12"/>
      <c r="B402" s="1"/>
      <c r="C402" s="1"/>
      <c r="G402" s="3"/>
      <c r="H402" s="13"/>
      <c r="I402" s="3"/>
      <c r="N402" s="12"/>
    </row>
    <row r="403" spans="1:14" x14ac:dyDescent="0.3">
      <c r="A403" s="12"/>
      <c r="B403" s="1"/>
      <c r="C403" s="1"/>
      <c r="G403" s="3"/>
      <c r="H403" s="13"/>
      <c r="I403" s="3"/>
      <c r="N403" s="12"/>
    </row>
    <row r="404" spans="1:14" x14ac:dyDescent="0.3">
      <c r="A404" s="12"/>
      <c r="B404" s="1"/>
      <c r="C404" s="1"/>
      <c r="G404" s="3"/>
      <c r="H404" s="13"/>
      <c r="I404" s="3"/>
      <c r="N404" s="12"/>
    </row>
    <row r="405" spans="1:14" x14ac:dyDescent="0.3">
      <c r="A405" s="12"/>
      <c r="B405" s="1"/>
      <c r="C405" s="1"/>
      <c r="G405" s="3"/>
      <c r="H405" s="13"/>
      <c r="I405" s="3"/>
      <c r="N405" s="12"/>
    </row>
    <row r="406" spans="1:14" x14ac:dyDescent="0.3">
      <c r="A406" s="12"/>
      <c r="B406" s="1"/>
      <c r="C406" s="1"/>
      <c r="G406" s="3"/>
      <c r="H406" s="13"/>
      <c r="I406" s="3"/>
      <c r="N406" s="12"/>
    </row>
    <row r="407" spans="1:14" x14ac:dyDescent="0.3">
      <c r="A407" s="12"/>
      <c r="B407" s="1"/>
      <c r="C407" s="1"/>
      <c r="G407" s="3"/>
      <c r="H407" s="13"/>
      <c r="I407" s="3"/>
      <c r="N407" s="12"/>
    </row>
    <row r="408" spans="1:14" x14ac:dyDescent="0.3">
      <c r="A408" s="12"/>
      <c r="B408" s="1"/>
      <c r="C408" s="1"/>
      <c r="G408" s="3"/>
      <c r="H408" s="13"/>
      <c r="I408" s="3"/>
      <c r="N408" s="12"/>
    </row>
    <row r="409" spans="1:14" x14ac:dyDescent="0.3">
      <c r="A409" s="12"/>
      <c r="B409" s="1"/>
      <c r="C409" s="1"/>
      <c r="G409" s="3"/>
      <c r="H409" s="13"/>
      <c r="I409" s="3"/>
      <c r="N409" s="12"/>
    </row>
    <row r="410" spans="1:14" x14ac:dyDescent="0.3">
      <c r="A410" s="12"/>
      <c r="B410" s="1"/>
      <c r="C410" s="1"/>
      <c r="G410" s="3"/>
      <c r="H410" s="13"/>
      <c r="I410" s="3"/>
      <c r="N410" s="12"/>
    </row>
    <row r="411" spans="1:14" x14ac:dyDescent="0.3">
      <c r="A411" s="12"/>
      <c r="B411" s="1"/>
      <c r="C411" s="1"/>
      <c r="G411" s="3"/>
      <c r="H411" s="13"/>
      <c r="I411" s="3"/>
      <c r="N411" s="12"/>
    </row>
    <row r="412" spans="1:14" x14ac:dyDescent="0.3">
      <c r="A412" s="12"/>
      <c r="B412" s="1"/>
      <c r="C412" s="1"/>
      <c r="G412" s="3"/>
      <c r="H412" s="13"/>
      <c r="I412" s="3"/>
      <c r="N412" s="12"/>
    </row>
    <row r="413" spans="1:14" x14ac:dyDescent="0.3">
      <c r="A413" s="12"/>
      <c r="B413" s="1"/>
      <c r="C413" s="1"/>
      <c r="G413" s="3"/>
      <c r="H413" s="13"/>
      <c r="I413" s="3"/>
      <c r="N413" s="12"/>
    </row>
    <row r="414" spans="1:14" x14ac:dyDescent="0.3">
      <c r="A414" s="12"/>
      <c r="B414" s="1"/>
      <c r="C414" s="1"/>
      <c r="G414" s="3"/>
      <c r="H414" s="13"/>
      <c r="I414" s="3"/>
      <c r="N414" s="12"/>
    </row>
    <row r="415" spans="1:14" x14ac:dyDescent="0.3">
      <c r="A415" s="12"/>
      <c r="B415" s="1"/>
      <c r="C415" s="1"/>
      <c r="G415" s="3"/>
      <c r="H415" s="13"/>
      <c r="I415" s="3"/>
      <c r="N415" s="12"/>
    </row>
    <row r="416" spans="1:14" x14ac:dyDescent="0.3">
      <c r="A416" s="12"/>
      <c r="B416" s="1"/>
      <c r="C416" s="1"/>
      <c r="G416" s="3"/>
      <c r="H416" s="13"/>
      <c r="I416" s="3"/>
      <c r="N416" s="12"/>
    </row>
    <row r="417" spans="1:14" x14ac:dyDescent="0.3">
      <c r="A417" s="12"/>
      <c r="B417" s="1"/>
      <c r="C417" s="1"/>
      <c r="G417" s="3"/>
      <c r="H417" s="13"/>
      <c r="I417" s="3"/>
      <c r="N417" s="12"/>
    </row>
    <row r="418" spans="1:14" x14ac:dyDescent="0.3">
      <c r="A418" s="12"/>
      <c r="B418" s="1"/>
      <c r="C418" s="1"/>
      <c r="G418" s="3"/>
      <c r="H418" s="13"/>
      <c r="I418" s="3"/>
      <c r="N418" s="12"/>
    </row>
    <row r="419" spans="1:14" x14ac:dyDescent="0.3">
      <c r="A419" s="12"/>
      <c r="B419" s="1"/>
      <c r="C419" s="1"/>
      <c r="G419" s="3"/>
      <c r="H419" s="13"/>
      <c r="I419" s="3"/>
      <c r="N419" s="12"/>
    </row>
    <row r="420" spans="1:14" x14ac:dyDescent="0.3">
      <c r="A420" s="12"/>
      <c r="B420" s="1"/>
      <c r="C420" s="1"/>
      <c r="G420" s="3"/>
      <c r="H420" s="13"/>
      <c r="I420" s="3"/>
      <c r="N420" s="12"/>
    </row>
    <row r="421" spans="1:14" x14ac:dyDescent="0.3">
      <c r="A421" s="12"/>
      <c r="B421" s="1"/>
      <c r="C421" s="1"/>
      <c r="G421" s="3"/>
      <c r="H421" s="13"/>
      <c r="I421" s="3"/>
      <c r="N421" s="12"/>
    </row>
    <row r="422" spans="1:14" x14ac:dyDescent="0.3">
      <c r="A422" s="12"/>
      <c r="B422" s="1"/>
      <c r="C422" s="1"/>
      <c r="G422" s="3"/>
      <c r="H422" s="13"/>
      <c r="I422" s="3"/>
      <c r="N422" s="12"/>
    </row>
    <row r="423" spans="1:14" x14ac:dyDescent="0.3">
      <c r="A423" s="12"/>
      <c r="B423" s="1"/>
      <c r="C423" s="1"/>
      <c r="G423" s="3"/>
      <c r="H423" s="13"/>
      <c r="I423" s="3"/>
      <c r="N423" s="12"/>
    </row>
    <row r="424" spans="1:14" x14ac:dyDescent="0.3">
      <c r="A424" s="12"/>
      <c r="B424" s="1"/>
      <c r="C424" s="1"/>
      <c r="G424" s="3"/>
      <c r="H424" s="13"/>
      <c r="I424" s="3"/>
      <c r="N424" s="12"/>
    </row>
    <row r="425" spans="1:14" x14ac:dyDescent="0.3">
      <c r="A425" s="12"/>
      <c r="B425" s="1"/>
      <c r="C425" s="1"/>
      <c r="G425" s="3"/>
      <c r="H425" s="13"/>
      <c r="I425" s="3"/>
      <c r="N425" s="12"/>
    </row>
    <row r="426" spans="1:14" x14ac:dyDescent="0.3">
      <c r="A426" s="12"/>
      <c r="B426" s="1"/>
      <c r="C426" s="1"/>
      <c r="G426" s="3"/>
      <c r="H426" s="13"/>
      <c r="I426" s="3"/>
      <c r="N426" s="12"/>
    </row>
    <row r="427" spans="1:14" x14ac:dyDescent="0.3">
      <c r="A427" s="12"/>
      <c r="B427" s="1"/>
      <c r="C427" s="1"/>
      <c r="G427" s="3"/>
      <c r="H427" s="13"/>
      <c r="I427" s="3"/>
      <c r="N427" s="12"/>
    </row>
    <row r="428" spans="1:14" x14ac:dyDescent="0.3">
      <c r="A428" s="12"/>
      <c r="B428" s="1"/>
      <c r="C428" s="1"/>
      <c r="G428" s="3"/>
      <c r="H428" s="13"/>
      <c r="I428" s="3"/>
      <c r="N428" s="12"/>
    </row>
    <row r="429" spans="1:14" x14ac:dyDescent="0.3">
      <c r="A429" s="12"/>
      <c r="B429" s="1"/>
      <c r="C429" s="1"/>
      <c r="G429" s="3"/>
      <c r="H429" s="13"/>
      <c r="I429" s="3"/>
      <c r="N429" s="12"/>
    </row>
    <row r="430" spans="1:14" x14ac:dyDescent="0.3">
      <c r="A430" s="12"/>
      <c r="B430" s="1"/>
      <c r="C430" s="1"/>
      <c r="G430" s="3"/>
      <c r="H430" s="13"/>
      <c r="I430" s="3"/>
      <c r="N430" s="12"/>
    </row>
    <row r="431" spans="1:14" x14ac:dyDescent="0.3">
      <c r="A431" s="12"/>
      <c r="B431" s="1"/>
      <c r="C431" s="1"/>
      <c r="G431" s="3"/>
      <c r="H431" s="13"/>
      <c r="I431" s="3"/>
      <c r="N431" s="12"/>
    </row>
    <row r="432" spans="1:14" x14ac:dyDescent="0.3">
      <c r="A432" s="12"/>
      <c r="B432" s="1"/>
      <c r="C432" s="1"/>
      <c r="G432" s="3"/>
      <c r="H432" s="13"/>
      <c r="I432" s="3"/>
      <c r="N432" s="12"/>
    </row>
    <row r="433" spans="1:14" x14ac:dyDescent="0.3">
      <c r="A433" s="12"/>
      <c r="B433" s="1"/>
      <c r="C433" s="1"/>
      <c r="G433" s="3"/>
      <c r="H433" s="13"/>
      <c r="I433" s="3"/>
      <c r="N433" s="12"/>
    </row>
    <row r="434" spans="1:14" x14ac:dyDescent="0.3">
      <c r="A434" s="12"/>
      <c r="B434" s="1"/>
      <c r="C434" s="1"/>
      <c r="G434" s="3"/>
      <c r="H434" s="13"/>
      <c r="I434" s="3"/>
      <c r="N434" s="12"/>
    </row>
    <row r="435" spans="1:14" x14ac:dyDescent="0.3">
      <c r="A435" s="12"/>
      <c r="B435" s="1"/>
      <c r="C435" s="1"/>
      <c r="G435" s="3"/>
      <c r="H435" s="13"/>
      <c r="I435" s="3"/>
      <c r="N435" s="12"/>
    </row>
    <row r="436" spans="1:14" x14ac:dyDescent="0.3">
      <c r="A436" s="12"/>
      <c r="B436" s="1"/>
      <c r="C436" s="1"/>
      <c r="G436" s="3"/>
      <c r="H436" s="13"/>
      <c r="I436" s="3"/>
      <c r="N436" s="12"/>
    </row>
    <row r="437" spans="1:14" x14ac:dyDescent="0.3">
      <c r="A437" s="12"/>
      <c r="B437" s="1"/>
      <c r="C437" s="1"/>
      <c r="G437" s="3"/>
      <c r="H437" s="13"/>
      <c r="I437" s="3"/>
      <c r="N437" s="12"/>
    </row>
    <row r="438" spans="1:14" x14ac:dyDescent="0.3">
      <c r="A438" s="12"/>
      <c r="B438" s="1"/>
      <c r="C438" s="1"/>
      <c r="G438" s="3"/>
      <c r="H438" s="13"/>
      <c r="I438" s="3"/>
      <c r="N438" s="12"/>
    </row>
    <row r="439" spans="1:14" x14ac:dyDescent="0.3">
      <c r="A439" s="12"/>
      <c r="B439" s="1"/>
      <c r="C439" s="1"/>
      <c r="G439" s="3"/>
      <c r="H439" s="13"/>
      <c r="I439" s="3"/>
      <c r="N439" s="12"/>
    </row>
    <row r="440" spans="1:14" x14ac:dyDescent="0.3">
      <c r="A440" s="12"/>
      <c r="B440" s="1"/>
      <c r="C440" s="1"/>
      <c r="G440" s="3"/>
      <c r="H440" s="13"/>
      <c r="I440" s="3"/>
      <c r="N440" s="12"/>
    </row>
    <row r="441" spans="1:14" x14ac:dyDescent="0.3">
      <c r="A441" s="12"/>
      <c r="B441" s="1"/>
      <c r="C441" s="1"/>
      <c r="G441" s="3"/>
      <c r="H441" s="13"/>
      <c r="I441" s="3"/>
      <c r="N441" s="12"/>
    </row>
    <row r="442" spans="1:14" x14ac:dyDescent="0.3">
      <c r="A442" s="12"/>
      <c r="B442" s="1"/>
      <c r="C442" s="1"/>
      <c r="G442" s="3"/>
      <c r="H442" s="13"/>
      <c r="I442" s="3"/>
      <c r="N442" s="12"/>
    </row>
    <row r="443" spans="1:14" x14ac:dyDescent="0.3">
      <c r="A443" s="12"/>
      <c r="B443" s="1"/>
      <c r="C443" s="1"/>
      <c r="G443" s="3"/>
      <c r="H443" s="13"/>
      <c r="I443" s="3"/>
      <c r="N443" s="12"/>
    </row>
    <row r="444" spans="1:14" x14ac:dyDescent="0.3">
      <c r="A444" s="12"/>
      <c r="B444" s="1"/>
      <c r="C444" s="1"/>
      <c r="G444" s="3"/>
      <c r="H444" s="13"/>
      <c r="I444" s="3"/>
      <c r="N444" s="12"/>
    </row>
    <row r="445" spans="1:14" x14ac:dyDescent="0.3">
      <c r="A445" s="12"/>
      <c r="B445" s="1"/>
      <c r="C445" s="1"/>
      <c r="G445" s="3"/>
      <c r="H445" s="13"/>
      <c r="I445" s="3"/>
      <c r="N445" s="12"/>
    </row>
    <row r="446" spans="1:14" x14ac:dyDescent="0.3">
      <c r="A446" s="12"/>
      <c r="B446" s="1"/>
      <c r="C446" s="1"/>
      <c r="G446" s="3"/>
      <c r="H446" s="13"/>
      <c r="I446" s="3"/>
      <c r="N446" s="12"/>
    </row>
    <row r="447" spans="1:14" x14ac:dyDescent="0.3">
      <c r="A447" s="12"/>
      <c r="B447" s="1"/>
      <c r="C447" s="1"/>
      <c r="G447" s="3"/>
      <c r="H447" s="13"/>
      <c r="I447" s="3"/>
      <c r="N447" s="12"/>
    </row>
    <row r="448" spans="1:14" x14ac:dyDescent="0.3">
      <c r="A448" s="12"/>
      <c r="B448" s="1"/>
      <c r="C448" s="1"/>
      <c r="G448" s="3"/>
      <c r="H448" s="13"/>
      <c r="I448" s="3"/>
      <c r="N448" s="12"/>
    </row>
    <row r="449" spans="1:14" x14ac:dyDescent="0.3">
      <c r="A449" s="12"/>
      <c r="B449" s="1"/>
      <c r="C449" s="1"/>
      <c r="G449" s="3"/>
      <c r="H449" s="13"/>
      <c r="I449" s="3"/>
      <c r="N449" s="12"/>
    </row>
    <row r="450" spans="1:14" x14ac:dyDescent="0.3">
      <c r="A450" s="12"/>
      <c r="B450" s="1"/>
      <c r="C450" s="1"/>
      <c r="G450" s="3"/>
      <c r="H450" s="13"/>
      <c r="I450" s="3"/>
      <c r="N450" s="12"/>
    </row>
    <row r="451" spans="1:14" x14ac:dyDescent="0.3">
      <c r="A451" s="12"/>
      <c r="B451" s="1"/>
      <c r="C451" s="1"/>
      <c r="G451" s="3"/>
      <c r="H451" s="13"/>
      <c r="I451" s="3"/>
      <c r="N451" s="12"/>
    </row>
    <row r="452" spans="1:14" x14ac:dyDescent="0.3">
      <c r="A452" s="12"/>
      <c r="B452" s="1"/>
      <c r="C452" s="1"/>
      <c r="G452" s="3"/>
      <c r="H452" s="13"/>
      <c r="I452" s="3"/>
      <c r="N452" s="12"/>
    </row>
    <row r="453" spans="1:14" x14ac:dyDescent="0.3">
      <c r="A453" s="12"/>
      <c r="B453" s="1"/>
      <c r="C453" s="1"/>
      <c r="G453" s="3"/>
      <c r="H453" s="13"/>
      <c r="I453" s="3"/>
      <c r="K453">
        <v>1</v>
      </c>
      <c r="N453" s="12"/>
    </row>
    <row r="454" spans="1:14" x14ac:dyDescent="0.3">
      <c r="A454" s="12"/>
      <c r="B454" s="1"/>
      <c r="C454" s="1"/>
      <c r="G454" s="3"/>
      <c r="H454" s="13"/>
      <c r="I454" s="3"/>
      <c r="N454" s="12"/>
    </row>
    <row r="455" spans="1:14" x14ac:dyDescent="0.3">
      <c r="A455" s="12"/>
      <c r="B455" s="1"/>
      <c r="C455" s="1"/>
      <c r="G455" s="3"/>
      <c r="H455" s="13"/>
      <c r="I455" s="3"/>
      <c r="N455" s="12"/>
    </row>
    <row r="456" spans="1:14" x14ac:dyDescent="0.3">
      <c r="A456" s="12"/>
      <c r="B456" s="1"/>
      <c r="C456" s="1"/>
      <c r="G456" s="3"/>
      <c r="H456" s="13"/>
      <c r="I456" s="3"/>
      <c r="N456" s="12"/>
    </row>
    <row r="457" spans="1:14" x14ac:dyDescent="0.3">
      <c r="A457" s="12"/>
      <c r="B457" s="1"/>
      <c r="C457" s="1"/>
      <c r="G457" s="3"/>
      <c r="H457" s="13"/>
      <c r="I457" s="3"/>
      <c r="N457" s="12"/>
    </row>
    <row r="458" spans="1:14" x14ac:dyDescent="0.3">
      <c r="A458" s="12"/>
      <c r="B458" s="1"/>
      <c r="C458" s="1"/>
      <c r="G458" s="3"/>
      <c r="H458" s="13"/>
      <c r="I458" s="3"/>
      <c r="N458" s="12"/>
    </row>
    <row r="459" spans="1:14" x14ac:dyDescent="0.3">
      <c r="A459" s="12"/>
      <c r="B459" s="1"/>
      <c r="C459" s="1"/>
      <c r="G459" s="3"/>
      <c r="H459" s="13"/>
      <c r="I459" s="3"/>
      <c r="N459" s="12"/>
    </row>
    <row r="460" spans="1:14" x14ac:dyDescent="0.3">
      <c r="A460" s="12"/>
      <c r="B460" s="1"/>
      <c r="C460" s="1"/>
      <c r="G460" s="3"/>
      <c r="H460" s="13"/>
      <c r="I460" s="3"/>
      <c r="N460" s="12"/>
    </row>
    <row r="461" spans="1:14" x14ac:dyDescent="0.3">
      <c r="A461" s="12"/>
      <c r="B461" s="1"/>
      <c r="C461" s="1"/>
      <c r="G461" s="3"/>
      <c r="H461" s="13"/>
      <c r="I461" s="3"/>
      <c r="N461" s="12"/>
    </row>
    <row r="462" spans="1:14" x14ac:dyDescent="0.3">
      <c r="A462" s="12"/>
      <c r="B462" s="1"/>
      <c r="C462" s="1"/>
      <c r="G462" s="3"/>
      <c r="H462" s="13"/>
      <c r="I462" s="3"/>
      <c r="N462" s="12"/>
    </row>
    <row r="463" spans="1:14" x14ac:dyDescent="0.3">
      <c r="A463" s="12"/>
      <c r="B463" s="1"/>
      <c r="C463" s="1"/>
      <c r="G463" s="3"/>
      <c r="H463" s="13"/>
      <c r="I463" s="3"/>
      <c r="N463" s="12"/>
    </row>
    <row r="464" spans="1:14" x14ac:dyDescent="0.3">
      <c r="A464" s="12"/>
      <c r="B464" s="1"/>
      <c r="C464" s="1"/>
      <c r="G464" s="3"/>
      <c r="H464" s="13"/>
      <c r="I464" s="3"/>
      <c r="N464" s="12"/>
    </row>
    <row r="465" spans="1:14" x14ac:dyDescent="0.3">
      <c r="A465" s="12"/>
      <c r="B465" s="1"/>
      <c r="C465" s="1"/>
      <c r="G465" s="3"/>
      <c r="H465" s="13"/>
      <c r="I465" s="3"/>
      <c r="N465" s="12"/>
    </row>
    <row r="466" spans="1:14" x14ac:dyDescent="0.3">
      <c r="A466" s="12"/>
      <c r="B466" s="1"/>
      <c r="C466" s="1"/>
      <c r="G466" s="3"/>
      <c r="H466" s="13"/>
      <c r="I466" s="3"/>
      <c r="N466" s="12"/>
    </row>
    <row r="467" spans="1:14" x14ac:dyDescent="0.3">
      <c r="A467" s="12"/>
      <c r="B467" s="1"/>
      <c r="C467" s="1"/>
      <c r="G467" s="3"/>
      <c r="H467" s="13"/>
      <c r="I467" s="3"/>
      <c r="N467" s="12"/>
    </row>
    <row r="468" spans="1:14" x14ac:dyDescent="0.3">
      <c r="A468" s="12"/>
      <c r="B468" s="1"/>
      <c r="C468" s="1"/>
      <c r="G468" s="3"/>
      <c r="H468" s="13"/>
      <c r="I468" s="3"/>
      <c r="N468" s="12"/>
    </row>
    <row r="469" spans="1:14" x14ac:dyDescent="0.3">
      <c r="A469" s="12"/>
      <c r="B469" s="1"/>
      <c r="C469" s="1"/>
      <c r="G469" s="3"/>
      <c r="H469" s="13"/>
      <c r="I469" s="3"/>
      <c r="N469" s="12"/>
    </row>
    <row r="470" spans="1:14" x14ac:dyDescent="0.3">
      <c r="A470" s="12"/>
      <c r="B470" s="1"/>
      <c r="C470" s="1"/>
      <c r="G470" s="3"/>
      <c r="H470" s="13"/>
      <c r="I470" s="3"/>
      <c r="N470" s="12"/>
    </row>
    <row r="471" spans="1:14" x14ac:dyDescent="0.3">
      <c r="A471" s="12"/>
      <c r="B471" s="1"/>
      <c r="C471" s="1"/>
      <c r="G471" s="3"/>
      <c r="H471" s="13"/>
      <c r="I471" s="3"/>
      <c r="N471" s="12"/>
    </row>
    <row r="472" spans="1:14" x14ac:dyDescent="0.3">
      <c r="A472" s="12"/>
      <c r="B472" s="1"/>
      <c r="C472" s="1"/>
      <c r="G472" s="3"/>
      <c r="H472" s="13"/>
      <c r="I472" s="3"/>
      <c r="N472" s="12"/>
    </row>
    <row r="473" spans="1:14" x14ac:dyDescent="0.3">
      <c r="A473" s="12"/>
      <c r="B473" s="1"/>
      <c r="C473" s="1"/>
      <c r="G473" s="3"/>
      <c r="H473" s="13"/>
      <c r="I473" s="3"/>
      <c r="N473" s="12"/>
    </row>
    <row r="474" spans="1:14" x14ac:dyDescent="0.3">
      <c r="A474" s="12"/>
      <c r="B474" s="1"/>
      <c r="C474" s="1"/>
      <c r="G474" s="3"/>
      <c r="H474" s="13"/>
      <c r="I474" s="3"/>
      <c r="N474" s="12"/>
    </row>
    <row r="475" spans="1:14" x14ac:dyDescent="0.3">
      <c r="A475" s="12"/>
      <c r="B475" s="1"/>
      <c r="C475" s="1"/>
      <c r="G475" s="3"/>
      <c r="H475" s="13"/>
      <c r="I475" s="3"/>
      <c r="N475" s="12"/>
    </row>
    <row r="476" spans="1:14" x14ac:dyDescent="0.3">
      <c r="A476" s="12"/>
      <c r="B476" s="1"/>
      <c r="C476" s="1"/>
      <c r="G476" s="3"/>
      <c r="H476" s="13"/>
      <c r="I476" s="3"/>
      <c r="N476" s="12"/>
    </row>
    <row r="477" spans="1:14" x14ac:dyDescent="0.3">
      <c r="A477" s="12"/>
      <c r="B477" s="1"/>
      <c r="C477" s="1"/>
      <c r="G477" s="3"/>
      <c r="H477" s="13"/>
      <c r="I477" s="3"/>
      <c r="N477" s="12"/>
    </row>
    <row r="478" spans="1:14" x14ac:dyDescent="0.3">
      <c r="A478" s="12"/>
      <c r="B478" s="1"/>
      <c r="C478" s="1"/>
      <c r="G478" s="3"/>
      <c r="H478" s="13"/>
      <c r="I478" s="3"/>
      <c r="N478" s="12"/>
    </row>
    <row r="479" spans="1:14" x14ac:dyDescent="0.3">
      <c r="A479" s="12"/>
      <c r="B479" s="1"/>
      <c r="C479" s="1"/>
      <c r="G479" s="3"/>
      <c r="H479" s="13"/>
      <c r="I479" s="3"/>
      <c r="N479" s="12"/>
    </row>
    <row r="480" spans="1:14" x14ac:dyDescent="0.3">
      <c r="A480" s="12"/>
      <c r="B480" s="1"/>
      <c r="C480" s="1"/>
      <c r="G480" s="3"/>
      <c r="H480" s="13"/>
      <c r="I480" s="3"/>
      <c r="N480" s="12"/>
    </row>
    <row r="481" spans="1:14" x14ac:dyDescent="0.3">
      <c r="A481" s="12"/>
      <c r="B481" s="1"/>
      <c r="C481" s="1"/>
      <c r="G481" s="3"/>
      <c r="H481" s="13"/>
      <c r="I481" s="3"/>
      <c r="N481" s="12"/>
    </row>
    <row r="482" spans="1:14" x14ac:dyDescent="0.3">
      <c r="A482" s="12"/>
      <c r="B482" s="1"/>
      <c r="C482" s="1"/>
      <c r="G482" s="3"/>
      <c r="H482" s="13"/>
      <c r="I482" s="3"/>
      <c r="N482" s="12"/>
    </row>
    <row r="483" spans="1:14" x14ac:dyDescent="0.3">
      <c r="A483" s="12"/>
      <c r="B483" s="1"/>
      <c r="C483" s="1"/>
      <c r="G483" s="3"/>
      <c r="H483" s="13"/>
      <c r="I483" s="3"/>
      <c r="N483" s="12"/>
    </row>
    <row r="484" spans="1:14" x14ac:dyDescent="0.3">
      <c r="A484" s="12"/>
      <c r="B484" s="1"/>
      <c r="C484" s="1"/>
      <c r="G484" s="3"/>
      <c r="H484" s="13"/>
      <c r="I484" s="3"/>
      <c r="N484" s="12"/>
    </row>
    <row r="485" spans="1:14" x14ac:dyDescent="0.3">
      <c r="A485" s="12"/>
      <c r="B485" s="1"/>
      <c r="C485" s="1"/>
      <c r="G485" s="3"/>
      <c r="H485" s="13"/>
      <c r="I485" s="3"/>
      <c r="N485" s="12"/>
    </row>
    <row r="486" spans="1:14" x14ac:dyDescent="0.3">
      <c r="A486" s="12"/>
      <c r="B486" s="1"/>
      <c r="C486" s="1"/>
      <c r="G486" s="3"/>
      <c r="H486" s="13"/>
      <c r="I486" s="3"/>
      <c r="N486" s="12"/>
    </row>
    <row r="487" spans="1:14" x14ac:dyDescent="0.3">
      <c r="A487" s="12"/>
      <c r="B487" s="1"/>
      <c r="C487" s="1"/>
      <c r="G487" s="3"/>
      <c r="H487" s="13"/>
      <c r="I487" s="3"/>
      <c r="N487" s="12"/>
    </row>
    <row r="488" spans="1:14" x14ac:dyDescent="0.3">
      <c r="A488" s="12"/>
      <c r="B488" s="1"/>
      <c r="C488" s="1"/>
      <c r="G488" s="3"/>
      <c r="H488" s="13"/>
      <c r="I488" s="3"/>
      <c r="N488" s="12"/>
    </row>
    <row r="489" spans="1:14" x14ac:dyDescent="0.3">
      <c r="A489" s="12"/>
      <c r="B489" s="1"/>
      <c r="C489" s="1"/>
      <c r="G489" s="3"/>
      <c r="H489" s="13"/>
      <c r="I489" s="3"/>
      <c r="N489" s="12"/>
    </row>
    <row r="490" spans="1:14" x14ac:dyDescent="0.3">
      <c r="A490" s="12"/>
      <c r="B490" s="1"/>
      <c r="C490" s="1"/>
      <c r="G490" s="3"/>
      <c r="H490" s="13"/>
      <c r="I490" s="3"/>
      <c r="N490" s="12"/>
    </row>
    <row r="491" spans="1:14" x14ac:dyDescent="0.3">
      <c r="A491" s="12"/>
      <c r="B491" s="1"/>
      <c r="C491" s="1"/>
      <c r="G491" s="3"/>
      <c r="H491" s="13"/>
      <c r="I491" s="3"/>
      <c r="N491" s="12"/>
    </row>
    <row r="492" spans="1:14" x14ac:dyDescent="0.3">
      <c r="A492" s="12"/>
      <c r="B492" s="1"/>
      <c r="C492" s="1"/>
      <c r="G492" s="3"/>
      <c r="H492" s="13"/>
      <c r="I492" s="3"/>
      <c r="N492" s="12"/>
    </row>
    <row r="493" spans="1:14" x14ac:dyDescent="0.3">
      <c r="A493" s="12"/>
      <c r="B493" s="1"/>
      <c r="C493" s="1"/>
      <c r="G493" s="3"/>
      <c r="H493" s="13"/>
      <c r="I493" s="3"/>
      <c r="N493" s="12"/>
    </row>
    <row r="494" spans="1:14" x14ac:dyDescent="0.3">
      <c r="A494" s="12"/>
      <c r="B494" s="1"/>
      <c r="C494" s="1"/>
      <c r="G494" s="3"/>
      <c r="H494" s="13"/>
      <c r="I494" s="3"/>
      <c r="N494" s="12"/>
    </row>
    <row r="495" spans="1:14" x14ac:dyDescent="0.3">
      <c r="A495" s="12"/>
      <c r="B495" s="1"/>
      <c r="C495" s="1"/>
      <c r="G495" s="3"/>
      <c r="H495" s="13"/>
      <c r="I495" s="3"/>
      <c r="N495" s="12"/>
    </row>
    <row r="496" spans="1:14" x14ac:dyDescent="0.3">
      <c r="A496" s="12"/>
      <c r="B496" s="1"/>
      <c r="C496" s="1"/>
      <c r="G496" s="3"/>
      <c r="H496" s="13"/>
      <c r="I496" s="3"/>
      <c r="N496" s="12"/>
    </row>
    <row r="497" spans="1:14" x14ac:dyDescent="0.3">
      <c r="A497" s="12"/>
      <c r="B497" s="1"/>
      <c r="C497" s="1"/>
      <c r="G497" s="3"/>
      <c r="H497" s="13"/>
      <c r="I497" s="3"/>
      <c r="N497" s="12"/>
    </row>
    <row r="498" spans="1:14" x14ac:dyDescent="0.3">
      <c r="A498" s="12"/>
      <c r="B498" s="1"/>
      <c r="C498" s="1"/>
      <c r="G498" s="3"/>
      <c r="H498" s="13"/>
      <c r="I498" s="3"/>
      <c r="N498" s="12"/>
    </row>
    <row r="499" spans="1:14" x14ac:dyDescent="0.3">
      <c r="A499" s="12"/>
      <c r="B499" s="1"/>
      <c r="C499" s="1"/>
      <c r="G499" s="3"/>
      <c r="H499" s="13"/>
      <c r="I499" s="3"/>
      <c r="N499" s="12"/>
    </row>
    <row r="500" spans="1:14" x14ac:dyDescent="0.3">
      <c r="A500" s="12"/>
      <c r="B500" s="1"/>
      <c r="C500" s="1"/>
      <c r="G500" s="3"/>
      <c r="H500" s="13"/>
      <c r="I500" s="3"/>
      <c r="N500" s="12"/>
    </row>
    <row r="501" spans="1:14" x14ac:dyDescent="0.3">
      <c r="A501" s="12"/>
      <c r="B501" s="1"/>
      <c r="C501" s="1"/>
      <c r="G501" s="3"/>
      <c r="H501" s="13"/>
      <c r="I501" s="3"/>
      <c r="N501" s="12"/>
    </row>
    <row r="502" spans="1:14" x14ac:dyDescent="0.3">
      <c r="A502" s="12"/>
      <c r="B502" s="1"/>
      <c r="C502" s="1"/>
      <c r="G502" s="3"/>
      <c r="H502" s="13"/>
      <c r="I502" s="3"/>
      <c r="N502" s="12"/>
    </row>
    <row r="503" spans="1:14" x14ac:dyDescent="0.3">
      <c r="A503" s="12"/>
      <c r="B503" s="1"/>
      <c r="C503" s="1"/>
      <c r="G503" s="3"/>
      <c r="H503" s="13"/>
      <c r="I503" s="3"/>
      <c r="N503" s="12"/>
    </row>
    <row r="504" spans="1:14" x14ac:dyDescent="0.3">
      <c r="A504" s="12"/>
      <c r="B504" s="1"/>
      <c r="C504" s="1"/>
      <c r="G504" s="3"/>
      <c r="H504" s="13"/>
      <c r="I504" s="3"/>
      <c r="N504" s="12"/>
    </row>
    <row r="505" spans="1:14" x14ac:dyDescent="0.3">
      <c r="A505" s="12"/>
      <c r="B505" s="1"/>
      <c r="C505" s="1"/>
      <c r="G505" s="3"/>
      <c r="H505" s="13"/>
      <c r="I505" s="3"/>
      <c r="N505" s="12"/>
    </row>
    <row r="506" spans="1:14" x14ac:dyDescent="0.3">
      <c r="A506" s="12"/>
      <c r="B506" s="1"/>
      <c r="C506" s="1"/>
      <c r="G506" s="3"/>
      <c r="H506" s="13"/>
      <c r="I506" s="3"/>
      <c r="N506" s="12"/>
    </row>
    <row r="507" spans="1:14" x14ac:dyDescent="0.3">
      <c r="A507" s="12"/>
      <c r="B507" s="1"/>
      <c r="C507" s="1"/>
      <c r="G507" s="3"/>
      <c r="H507" s="13"/>
      <c r="I507" s="3"/>
      <c r="N507" s="12"/>
    </row>
    <row r="508" spans="1:14" x14ac:dyDescent="0.3">
      <c r="A508" s="12"/>
      <c r="B508" s="1"/>
      <c r="C508" s="1"/>
      <c r="G508" s="3"/>
      <c r="H508" s="13"/>
      <c r="I508" s="3"/>
      <c r="N508" s="12"/>
    </row>
    <row r="509" spans="1:14" x14ac:dyDescent="0.3">
      <c r="A509" s="12"/>
      <c r="B509" s="1"/>
      <c r="C509" s="1"/>
      <c r="G509" s="3"/>
      <c r="H509" s="13"/>
      <c r="I509" s="3"/>
      <c r="N509" s="12"/>
    </row>
    <row r="510" spans="1:14" x14ac:dyDescent="0.3">
      <c r="A510" s="12"/>
      <c r="B510" s="1"/>
      <c r="C510" s="1"/>
      <c r="G510" s="3"/>
      <c r="H510" s="13"/>
      <c r="I510" s="3"/>
      <c r="N510" s="12"/>
    </row>
    <row r="511" spans="1:14" x14ac:dyDescent="0.3">
      <c r="A511" s="12"/>
      <c r="B511" s="1"/>
      <c r="C511" s="1"/>
      <c r="G511" s="3"/>
      <c r="H511" s="13"/>
      <c r="I511" s="3"/>
      <c r="N511" s="12"/>
    </row>
    <row r="512" spans="1:14" x14ac:dyDescent="0.3">
      <c r="A512" s="12"/>
      <c r="B512" s="1"/>
      <c r="C512" s="1"/>
      <c r="G512" s="3"/>
      <c r="H512" s="13"/>
      <c r="I512" s="3"/>
      <c r="N512" s="12"/>
    </row>
    <row r="513" spans="1:14" x14ac:dyDescent="0.3">
      <c r="A513" s="12"/>
      <c r="B513" s="1"/>
      <c r="C513" s="1"/>
      <c r="G513" s="3"/>
      <c r="H513" s="13"/>
      <c r="I513" s="3"/>
      <c r="N513" s="12"/>
    </row>
    <row r="514" spans="1:14" x14ac:dyDescent="0.3">
      <c r="A514" s="12"/>
      <c r="B514" s="1"/>
      <c r="C514" s="1"/>
      <c r="G514" s="3"/>
      <c r="H514" s="13"/>
      <c r="I514" s="3"/>
      <c r="N514" s="12"/>
    </row>
    <row r="515" spans="1:14" x14ac:dyDescent="0.3">
      <c r="A515" s="12"/>
      <c r="B515" s="1"/>
      <c r="C515" s="1"/>
      <c r="G515" s="3"/>
      <c r="H515" s="13"/>
      <c r="I515" s="3"/>
      <c r="N515" s="12"/>
    </row>
    <row r="516" spans="1:14" x14ac:dyDescent="0.3">
      <c r="A516" s="12"/>
      <c r="B516" s="1"/>
      <c r="C516" s="1"/>
      <c r="G516" s="3"/>
      <c r="H516" s="13"/>
      <c r="I516" s="3"/>
      <c r="N516" s="12"/>
    </row>
    <row r="517" spans="1:14" x14ac:dyDescent="0.3">
      <c r="A517" s="12"/>
      <c r="B517" s="1"/>
      <c r="C517" s="1"/>
      <c r="G517" s="3"/>
      <c r="H517" s="13"/>
      <c r="I517" s="3"/>
      <c r="N517" s="12"/>
    </row>
    <row r="518" spans="1:14" x14ac:dyDescent="0.3">
      <c r="A518" s="12"/>
      <c r="B518" s="1"/>
      <c r="C518" s="1"/>
      <c r="G518" s="3"/>
      <c r="H518" s="13"/>
      <c r="I518" s="3"/>
      <c r="N518" s="12"/>
    </row>
    <row r="519" spans="1:14" x14ac:dyDescent="0.3">
      <c r="A519" s="12"/>
      <c r="B519" s="1"/>
      <c r="C519" s="1"/>
      <c r="G519" s="3"/>
      <c r="H519" s="13"/>
      <c r="I519" s="3"/>
      <c r="N519" s="12"/>
    </row>
    <row r="520" spans="1:14" x14ac:dyDescent="0.3">
      <c r="A520" s="12"/>
      <c r="B520" s="1"/>
      <c r="C520" s="1"/>
      <c r="G520" s="3"/>
      <c r="H520" s="13"/>
      <c r="I520" s="3"/>
      <c r="N520" s="12"/>
    </row>
    <row r="521" spans="1:14" x14ac:dyDescent="0.3">
      <c r="A521" s="12"/>
      <c r="B521" s="1"/>
      <c r="C521" s="1"/>
      <c r="G521" s="3"/>
      <c r="H521" s="13"/>
      <c r="I521" s="3"/>
      <c r="N521" s="12"/>
    </row>
    <row r="522" spans="1:14" x14ac:dyDescent="0.3">
      <c r="A522" s="12"/>
      <c r="B522" s="1"/>
      <c r="C522" s="1"/>
      <c r="G522" s="3"/>
      <c r="H522" s="13"/>
      <c r="I522" s="3"/>
      <c r="N522" s="12"/>
    </row>
    <row r="523" spans="1:14" x14ac:dyDescent="0.3">
      <c r="A523" s="12"/>
      <c r="B523" s="1"/>
      <c r="C523" s="1"/>
      <c r="G523" s="3"/>
      <c r="H523" s="13"/>
      <c r="I523" s="3"/>
      <c r="N523" s="12"/>
    </row>
    <row r="524" spans="1:14" x14ac:dyDescent="0.3">
      <c r="A524" s="12"/>
      <c r="B524" s="1"/>
      <c r="C524" s="1"/>
      <c r="G524" s="3"/>
      <c r="H524" s="13"/>
      <c r="I524" s="3"/>
      <c r="N524" s="12"/>
    </row>
    <row r="525" spans="1:14" x14ac:dyDescent="0.3">
      <c r="A525" s="12"/>
      <c r="B525" s="1"/>
      <c r="C525" s="1"/>
      <c r="G525" s="3"/>
      <c r="H525" s="13"/>
      <c r="I525" s="3"/>
      <c r="N525" s="12"/>
    </row>
    <row r="526" spans="1:14" x14ac:dyDescent="0.3">
      <c r="A526" s="12"/>
      <c r="B526" s="1"/>
      <c r="C526" s="1"/>
      <c r="G526" s="3"/>
      <c r="H526" s="13"/>
      <c r="I526" s="3"/>
      <c r="N526" s="12"/>
    </row>
    <row r="527" spans="1:14" x14ac:dyDescent="0.3">
      <c r="A527" s="12"/>
      <c r="B527" s="1"/>
      <c r="C527" s="1"/>
      <c r="G527" s="3"/>
      <c r="H527" s="13"/>
      <c r="I527" s="3"/>
      <c r="N527" s="12"/>
    </row>
    <row r="528" spans="1:14" x14ac:dyDescent="0.3">
      <c r="A528" s="12"/>
      <c r="B528" s="1"/>
      <c r="C528" s="1"/>
      <c r="G528" s="3"/>
      <c r="H528" s="13"/>
      <c r="I528" s="3"/>
      <c r="N528" s="12"/>
    </row>
    <row r="529" spans="1:14" x14ac:dyDescent="0.3">
      <c r="A529" s="12"/>
      <c r="B529" s="1"/>
      <c r="C529" s="1"/>
      <c r="G529" s="3"/>
      <c r="H529" s="13"/>
      <c r="I529" s="3"/>
      <c r="N529" s="12"/>
    </row>
    <row r="530" spans="1:14" x14ac:dyDescent="0.3">
      <c r="A530" s="12"/>
      <c r="B530" s="1"/>
      <c r="C530" s="1"/>
      <c r="G530" s="3"/>
      <c r="H530" s="13"/>
      <c r="I530" s="3"/>
      <c r="N530" s="12"/>
    </row>
    <row r="531" spans="1:14" x14ac:dyDescent="0.3">
      <c r="A531" s="12"/>
      <c r="B531" s="1"/>
      <c r="C531" s="1"/>
      <c r="G531" s="3"/>
      <c r="H531" s="13"/>
      <c r="I531" s="3"/>
      <c r="N531" s="12"/>
    </row>
    <row r="532" spans="1:14" x14ac:dyDescent="0.3">
      <c r="A532" s="12"/>
      <c r="B532" s="1"/>
      <c r="C532" s="1"/>
      <c r="G532" s="3"/>
      <c r="H532" s="13"/>
      <c r="I532" s="3"/>
      <c r="N532" s="12"/>
    </row>
    <row r="533" spans="1:14" x14ac:dyDescent="0.3">
      <c r="A533" s="12"/>
      <c r="B533" s="1"/>
      <c r="C533" s="1"/>
      <c r="G533" s="3"/>
      <c r="H533" s="13"/>
      <c r="I533" s="3"/>
      <c r="N533" s="12"/>
    </row>
    <row r="534" spans="1:14" x14ac:dyDescent="0.3">
      <c r="A534" s="12"/>
      <c r="B534" s="1"/>
      <c r="C534" s="1"/>
      <c r="G534" s="3"/>
      <c r="H534" s="13"/>
      <c r="I534" s="3"/>
      <c r="N534" s="12"/>
    </row>
    <row r="535" spans="1:14" x14ac:dyDescent="0.3">
      <c r="A535" s="12"/>
      <c r="B535" s="1"/>
      <c r="C535" s="1"/>
      <c r="G535" s="3"/>
      <c r="H535" s="13"/>
      <c r="I535" s="3"/>
      <c r="N535" s="12"/>
    </row>
    <row r="536" spans="1:14" x14ac:dyDescent="0.3">
      <c r="A536" s="12"/>
      <c r="B536" s="1"/>
      <c r="C536" s="1"/>
      <c r="G536" s="3"/>
      <c r="H536" s="13"/>
      <c r="I536" s="3"/>
      <c r="N536" s="12"/>
    </row>
    <row r="537" spans="1:14" x14ac:dyDescent="0.3">
      <c r="A537" s="12"/>
      <c r="B537" s="1"/>
      <c r="C537" s="1"/>
      <c r="G537" s="3"/>
      <c r="H537" s="13"/>
      <c r="I537" s="3"/>
      <c r="N537" s="12"/>
    </row>
    <row r="538" spans="1:14" x14ac:dyDescent="0.3">
      <c r="A538" s="12"/>
      <c r="B538" s="1"/>
      <c r="C538" s="1"/>
      <c r="G538" s="3"/>
      <c r="H538" s="13"/>
      <c r="I538" s="3"/>
      <c r="N538" s="12"/>
    </row>
    <row r="539" spans="1:14" x14ac:dyDescent="0.3">
      <c r="A539" s="12"/>
      <c r="B539" s="1"/>
      <c r="C539" s="1"/>
      <c r="G539" s="3"/>
      <c r="H539" s="13"/>
      <c r="I539" s="3"/>
      <c r="N539" s="12"/>
    </row>
    <row r="540" spans="1:14" x14ac:dyDescent="0.3">
      <c r="A540" s="12"/>
      <c r="B540" s="1"/>
      <c r="C540" s="1"/>
      <c r="G540" s="3"/>
      <c r="H540" s="13"/>
      <c r="I540" s="3"/>
      <c r="N540" s="12"/>
    </row>
    <row r="541" spans="1:14" x14ac:dyDescent="0.3">
      <c r="A541" s="12"/>
      <c r="B541" s="1"/>
      <c r="C541" s="1"/>
      <c r="G541" s="3"/>
      <c r="H541" s="13"/>
      <c r="I541" s="3"/>
      <c r="N541" s="12"/>
    </row>
    <row r="542" spans="1:14" x14ac:dyDescent="0.3">
      <c r="A542" s="12"/>
      <c r="B542" s="1"/>
      <c r="C542" s="1"/>
      <c r="G542" s="3"/>
      <c r="H542" s="13"/>
      <c r="I542" s="3"/>
      <c r="N542" s="12"/>
    </row>
    <row r="543" spans="1:14" x14ac:dyDescent="0.3">
      <c r="A543" s="12"/>
      <c r="B543" s="1"/>
      <c r="C543" s="1"/>
      <c r="G543" s="3"/>
      <c r="H543" s="13"/>
      <c r="I543" s="3"/>
      <c r="N543" s="12"/>
    </row>
    <row r="544" spans="1:14" x14ac:dyDescent="0.3">
      <c r="A544" s="12"/>
      <c r="B544" s="1"/>
      <c r="C544" s="1"/>
      <c r="G544" s="3"/>
      <c r="H544" s="13"/>
      <c r="I544" s="3"/>
      <c r="N544" s="12"/>
    </row>
    <row r="545" spans="1:14" x14ac:dyDescent="0.3">
      <c r="A545" s="12"/>
      <c r="B545" s="1"/>
      <c r="C545" s="1"/>
      <c r="G545" s="3"/>
      <c r="H545" s="13"/>
      <c r="I545" s="3"/>
      <c r="N545" s="12"/>
    </row>
    <row r="546" spans="1:14" x14ac:dyDescent="0.3">
      <c r="A546" s="12"/>
      <c r="B546" s="1"/>
      <c r="C546" s="1"/>
      <c r="G546" s="3"/>
      <c r="H546" s="13"/>
      <c r="I546" s="3"/>
      <c r="N546" s="12"/>
    </row>
    <row r="547" spans="1:14" x14ac:dyDescent="0.3">
      <c r="A547" s="12"/>
      <c r="B547" s="1"/>
      <c r="C547" s="1"/>
      <c r="G547" s="3"/>
      <c r="H547" s="13"/>
      <c r="I547" s="3"/>
      <c r="N547" s="12"/>
    </row>
    <row r="548" spans="1:14" x14ac:dyDescent="0.3">
      <c r="A548" s="12"/>
      <c r="B548" s="1"/>
      <c r="C548" s="1"/>
      <c r="G548" s="3"/>
      <c r="H548" s="13"/>
      <c r="I548" s="3"/>
      <c r="N548" s="12"/>
    </row>
    <row r="549" spans="1:14" x14ac:dyDescent="0.3">
      <c r="A549" s="12"/>
      <c r="B549" s="1"/>
      <c r="C549" s="1"/>
      <c r="G549" s="3"/>
      <c r="H549" s="13"/>
      <c r="I549" s="3"/>
      <c r="N549" s="12"/>
    </row>
    <row r="550" spans="1:14" x14ac:dyDescent="0.3">
      <c r="A550" s="12"/>
      <c r="B550" s="1"/>
      <c r="C550" s="1"/>
      <c r="G550" s="3"/>
      <c r="H550" s="13"/>
      <c r="I550" s="3"/>
      <c r="N550" s="12"/>
    </row>
    <row r="551" spans="1:14" x14ac:dyDescent="0.3">
      <c r="A551" s="12"/>
      <c r="B551" s="1"/>
      <c r="C551" s="1"/>
      <c r="G551" s="3"/>
      <c r="H551" s="13"/>
      <c r="I551" s="3"/>
      <c r="N551" s="12"/>
    </row>
    <row r="552" spans="1:14" x14ac:dyDescent="0.3">
      <c r="A552" s="12"/>
      <c r="B552" s="1"/>
      <c r="C552" s="1"/>
      <c r="G552" s="3"/>
      <c r="H552" s="13"/>
      <c r="I552" s="3"/>
      <c r="N552" s="12"/>
    </row>
    <row r="553" spans="1:14" x14ac:dyDescent="0.3">
      <c r="A553" s="12"/>
      <c r="B553" s="1"/>
      <c r="C553" s="1"/>
      <c r="G553" s="3"/>
      <c r="H553" s="13"/>
      <c r="I553" s="3"/>
      <c r="N553" s="12"/>
    </row>
    <row r="554" spans="1:14" x14ac:dyDescent="0.3">
      <c r="A554" s="12"/>
      <c r="B554" s="1"/>
      <c r="C554" s="1"/>
      <c r="G554" s="3"/>
      <c r="H554" s="13"/>
      <c r="I554" s="3"/>
      <c r="N554" s="12"/>
    </row>
    <row r="555" spans="1:14" x14ac:dyDescent="0.3">
      <c r="A555" s="12"/>
      <c r="B555" s="1"/>
      <c r="C555" s="1"/>
      <c r="G555" s="3"/>
      <c r="H555" s="13"/>
      <c r="I555" s="3"/>
      <c r="N555" s="12"/>
    </row>
    <row r="556" spans="1:14" x14ac:dyDescent="0.3">
      <c r="A556" s="12"/>
      <c r="B556" s="1"/>
      <c r="C556" s="1"/>
      <c r="G556" s="3"/>
      <c r="H556" s="13"/>
      <c r="I556" s="3"/>
      <c r="N556" s="12"/>
    </row>
    <row r="557" spans="1:14" x14ac:dyDescent="0.3">
      <c r="A557" s="12"/>
      <c r="B557" s="1"/>
      <c r="C557" s="1"/>
      <c r="G557" s="3"/>
      <c r="H557" s="13"/>
      <c r="I557" s="3"/>
      <c r="N557" s="12"/>
    </row>
    <row r="558" spans="1:14" x14ac:dyDescent="0.3">
      <c r="A558" s="12"/>
      <c r="B558" s="1"/>
      <c r="C558" s="1"/>
      <c r="G558" s="3"/>
      <c r="H558" s="13"/>
      <c r="I558" s="3"/>
      <c r="N558" s="12"/>
    </row>
    <row r="559" spans="1:14" x14ac:dyDescent="0.3">
      <c r="A559" s="12"/>
      <c r="B559" s="1"/>
      <c r="C559" s="1"/>
      <c r="G559" s="3"/>
      <c r="H559" s="13"/>
      <c r="I559" s="3"/>
      <c r="N559" s="12"/>
    </row>
    <row r="560" spans="1:14" x14ac:dyDescent="0.3">
      <c r="A560" s="12"/>
      <c r="B560" s="1"/>
      <c r="C560" s="1"/>
      <c r="G560" s="3"/>
      <c r="H560" s="13"/>
      <c r="I560" s="3"/>
      <c r="N560" s="12"/>
    </row>
    <row r="561" spans="1:14" x14ac:dyDescent="0.3">
      <c r="A561" s="12"/>
      <c r="B561" s="1"/>
      <c r="C561" s="1"/>
      <c r="G561" s="3"/>
      <c r="H561" s="13"/>
      <c r="I561" s="3"/>
      <c r="N561" s="12"/>
    </row>
    <row r="562" spans="1:14" x14ac:dyDescent="0.3">
      <c r="A562" s="12"/>
      <c r="B562" s="1"/>
      <c r="C562" s="1"/>
      <c r="G562" s="3"/>
      <c r="H562" s="13"/>
      <c r="I562" s="3"/>
      <c r="N562" s="12"/>
    </row>
    <row r="563" spans="1:14" x14ac:dyDescent="0.3">
      <c r="A563" s="12"/>
      <c r="B563" s="1"/>
      <c r="C563" s="1"/>
      <c r="G563" s="3"/>
      <c r="H563" s="13"/>
      <c r="I563" s="3"/>
      <c r="N563" s="12"/>
    </row>
    <row r="564" spans="1:14" x14ac:dyDescent="0.3">
      <c r="A564" s="12"/>
      <c r="B564" s="1"/>
      <c r="C564" s="1"/>
      <c r="G564" s="3"/>
      <c r="H564" s="13"/>
      <c r="I564" s="3"/>
      <c r="N564" s="12"/>
    </row>
    <row r="565" spans="1:14" x14ac:dyDescent="0.3">
      <c r="A565" s="12"/>
      <c r="B565" s="1"/>
      <c r="C565" s="1"/>
      <c r="G565" s="3"/>
      <c r="H565" s="13"/>
      <c r="I565" s="3"/>
      <c r="N565" s="12"/>
    </row>
    <row r="566" spans="1:14" x14ac:dyDescent="0.3">
      <c r="A566" s="12"/>
      <c r="B566" s="1"/>
      <c r="C566" s="1"/>
      <c r="G566" s="3"/>
      <c r="H566" s="13"/>
      <c r="I566" s="3"/>
      <c r="N566" s="12"/>
    </row>
    <row r="567" spans="1:14" x14ac:dyDescent="0.3">
      <c r="A567" s="12"/>
      <c r="B567" s="1"/>
      <c r="C567" s="1"/>
      <c r="G567" s="3"/>
      <c r="H567" s="13"/>
      <c r="I567" s="3"/>
      <c r="N567" s="12"/>
    </row>
    <row r="568" spans="1:14" x14ac:dyDescent="0.3">
      <c r="A568" s="12"/>
      <c r="B568" s="1"/>
      <c r="C568" s="1"/>
      <c r="G568" s="3"/>
      <c r="H568" s="13"/>
      <c r="I568" s="3"/>
      <c r="N568" s="12"/>
    </row>
    <row r="569" spans="1:14" x14ac:dyDescent="0.3">
      <c r="A569" s="12"/>
      <c r="B569" s="1"/>
      <c r="C569" s="1"/>
      <c r="G569" s="3"/>
      <c r="H569" s="13"/>
      <c r="I569" s="3"/>
      <c r="N569" s="12"/>
    </row>
    <row r="570" spans="1:14" x14ac:dyDescent="0.3">
      <c r="A570" s="12"/>
      <c r="B570" s="1"/>
      <c r="C570" s="1"/>
      <c r="G570" s="3"/>
      <c r="H570" s="13"/>
      <c r="I570" s="3"/>
      <c r="N570" s="12"/>
    </row>
    <row r="571" spans="1:14" x14ac:dyDescent="0.3">
      <c r="A571" s="12"/>
      <c r="B571" s="1"/>
      <c r="C571" s="1"/>
      <c r="G571" s="3"/>
      <c r="H571" s="13"/>
      <c r="I571" s="3"/>
      <c r="N571" s="12"/>
    </row>
    <row r="572" spans="1:14" x14ac:dyDescent="0.3">
      <c r="A572" s="12"/>
      <c r="B572" s="1"/>
      <c r="C572" s="1"/>
      <c r="G572" s="3"/>
      <c r="H572" s="13"/>
      <c r="I572" s="3"/>
      <c r="N572" s="12"/>
    </row>
    <row r="573" spans="1:14" x14ac:dyDescent="0.3">
      <c r="A573" s="12"/>
      <c r="B573" s="1"/>
      <c r="C573" s="1"/>
      <c r="G573" s="3"/>
      <c r="H573" s="13"/>
      <c r="I573" s="3"/>
      <c r="N573" s="12"/>
    </row>
    <row r="574" spans="1:14" x14ac:dyDescent="0.3">
      <c r="A574" s="12"/>
      <c r="B574" s="1"/>
      <c r="C574" s="1"/>
      <c r="G574" s="3"/>
      <c r="H574" s="13"/>
      <c r="I574" s="3"/>
      <c r="N574" s="12"/>
    </row>
    <row r="575" spans="1:14" x14ac:dyDescent="0.3">
      <c r="A575" s="12"/>
      <c r="B575" s="1"/>
      <c r="C575" s="1"/>
      <c r="G575" s="3"/>
      <c r="H575" s="13"/>
      <c r="I575" s="3"/>
      <c r="N575" s="12"/>
    </row>
    <row r="576" spans="1:14" x14ac:dyDescent="0.3">
      <c r="A576" s="12"/>
      <c r="B576" s="1"/>
      <c r="C576" s="1"/>
      <c r="G576" s="3"/>
      <c r="H576" s="13"/>
      <c r="I576" s="3"/>
      <c r="N576" s="12"/>
    </row>
    <row r="577" spans="1:14" x14ac:dyDescent="0.3">
      <c r="A577" s="12"/>
      <c r="B577" s="1"/>
      <c r="C577" s="1"/>
      <c r="G577" s="3"/>
      <c r="H577" s="13"/>
      <c r="I577" s="3"/>
      <c r="N577" s="12"/>
    </row>
    <row r="578" spans="1:14" x14ac:dyDescent="0.3">
      <c r="A578" s="12"/>
      <c r="B578" s="1"/>
      <c r="C578" s="1"/>
      <c r="G578" s="3"/>
      <c r="H578" s="13"/>
      <c r="I578" s="3"/>
      <c r="N578" s="12"/>
    </row>
    <row r="579" spans="1:14" x14ac:dyDescent="0.3">
      <c r="A579" s="12"/>
      <c r="B579" s="1"/>
      <c r="C579" s="1"/>
      <c r="G579" s="3"/>
      <c r="H579" s="13"/>
      <c r="I579" s="3"/>
      <c r="N579" s="12"/>
    </row>
    <row r="580" spans="1:14" x14ac:dyDescent="0.3">
      <c r="A580" s="12"/>
      <c r="B580" s="1"/>
      <c r="C580" s="1"/>
      <c r="G580" s="3"/>
      <c r="H580" s="13"/>
      <c r="I580" s="3"/>
      <c r="N580" s="12"/>
    </row>
    <row r="581" spans="1:14" x14ac:dyDescent="0.3">
      <c r="A581" s="12"/>
      <c r="B581" s="1"/>
      <c r="C581" s="1"/>
      <c r="G581" s="3"/>
      <c r="H581" s="13"/>
      <c r="I581" s="3"/>
      <c r="N581" s="12"/>
    </row>
    <row r="582" spans="1:14" x14ac:dyDescent="0.3">
      <c r="A582" s="12"/>
      <c r="B582" s="1"/>
      <c r="C582" s="1"/>
      <c r="G582" s="3"/>
      <c r="H582" s="13"/>
      <c r="I582" s="3"/>
      <c r="N582" s="12"/>
    </row>
    <row r="583" spans="1:14" x14ac:dyDescent="0.3">
      <c r="A583" s="12"/>
      <c r="B583" s="1"/>
      <c r="C583" s="1"/>
      <c r="G583" s="3"/>
      <c r="H583" s="13"/>
      <c r="I583" s="3"/>
      <c r="N583" s="12"/>
    </row>
    <row r="584" spans="1:14" x14ac:dyDescent="0.3">
      <c r="A584" s="12"/>
      <c r="B584" s="1"/>
      <c r="C584" s="1"/>
      <c r="G584" s="3"/>
      <c r="H584" s="13"/>
      <c r="I584" s="3"/>
      <c r="N584" s="12"/>
    </row>
    <row r="585" spans="1:14" x14ac:dyDescent="0.3">
      <c r="A585" s="12"/>
      <c r="B585" s="1"/>
      <c r="C585" s="1"/>
      <c r="G585" s="3"/>
      <c r="H585" s="13"/>
      <c r="I585" s="3"/>
      <c r="N585" s="12"/>
    </row>
    <row r="586" spans="1:14" x14ac:dyDescent="0.3">
      <c r="A586" s="12"/>
      <c r="B586" s="1"/>
      <c r="C586" s="1"/>
      <c r="G586" s="3"/>
      <c r="H586" s="13"/>
      <c r="I586" s="3"/>
      <c r="N586" s="12"/>
    </row>
    <row r="587" spans="1:14" x14ac:dyDescent="0.3">
      <c r="A587" s="12"/>
      <c r="B587" s="1"/>
      <c r="C587" s="1"/>
      <c r="G587" s="3"/>
      <c r="H587" s="13"/>
      <c r="I587" s="3"/>
      <c r="N587" s="12"/>
    </row>
    <row r="588" spans="1:14" x14ac:dyDescent="0.3">
      <c r="A588" s="12"/>
      <c r="B588" s="1"/>
      <c r="C588" s="1"/>
      <c r="G588" s="3"/>
      <c r="H588" s="13"/>
      <c r="I588" s="3"/>
      <c r="N588" s="12"/>
    </row>
    <row r="589" spans="1:14" x14ac:dyDescent="0.3">
      <c r="A589" s="12"/>
      <c r="B589" s="1"/>
      <c r="C589" s="1"/>
      <c r="G589" s="3"/>
      <c r="H589" s="13"/>
      <c r="I589" s="3"/>
      <c r="N589" s="12"/>
    </row>
    <row r="590" spans="1:14" x14ac:dyDescent="0.3">
      <c r="A590" s="12"/>
      <c r="B590" s="1"/>
      <c r="C590" s="1"/>
      <c r="G590" s="3"/>
      <c r="H590" s="13"/>
      <c r="I590" s="3"/>
      <c r="N590" s="12"/>
    </row>
    <row r="591" spans="1:14" x14ac:dyDescent="0.3">
      <c r="A591" s="12"/>
      <c r="B591" s="1"/>
      <c r="C591" s="1"/>
      <c r="G591" s="3"/>
      <c r="H591" s="13"/>
      <c r="I591" s="3"/>
      <c r="N591" s="12"/>
    </row>
    <row r="592" spans="1:14" x14ac:dyDescent="0.3">
      <c r="A592" s="12"/>
      <c r="B592" s="1"/>
      <c r="C592" s="1"/>
      <c r="G592" s="3"/>
      <c r="H592" s="13"/>
      <c r="I592" s="3"/>
      <c r="N592" s="12"/>
    </row>
    <row r="593" spans="1:14" x14ac:dyDescent="0.3">
      <c r="A593" s="12"/>
      <c r="B593" s="1"/>
      <c r="C593" s="1"/>
      <c r="G593" s="3"/>
      <c r="H593" s="13"/>
      <c r="I593" s="3"/>
      <c r="N593" s="12"/>
    </row>
    <row r="594" spans="1:14" x14ac:dyDescent="0.3">
      <c r="A594" s="12"/>
      <c r="B594" s="1"/>
      <c r="C594" s="1"/>
      <c r="G594" s="3"/>
      <c r="H594" s="13"/>
      <c r="I594" s="3"/>
      <c r="N594" s="12"/>
    </row>
    <row r="595" spans="1:14" x14ac:dyDescent="0.3">
      <c r="A595" s="12"/>
      <c r="B595" s="1"/>
      <c r="C595" s="1"/>
      <c r="G595" s="3"/>
      <c r="H595" s="13"/>
      <c r="I595" s="3"/>
      <c r="N595" s="12"/>
    </row>
    <row r="596" spans="1:14" x14ac:dyDescent="0.3">
      <c r="A596" s="12"/>
      <c r="B596" s="1"/>
      <c r="C596" s="1"/>
      <c r="G596" s="3"/>
      <c r="H596" s="13"/>
      <c r="I596" s="3"/>
      <c r="N596" s="12"/>
    </row>
    <row r="597" spans="1:14" x14ac:dyDescent="0.3">
      <c r="A597" s="12"/>
      <c r="B597" s="1"/>
      <c r="C597" s="1"/>
      <c r="G597" s="3"/>
      <c r="H597" s="13"/>
      <c r="I597" s="3"/>
      <c r="N597" s="12"/>
    </row>
    <row r="598" spans="1:14" x14ac:dyDescent="0.3">
      <c r="A598" s="12"/>
      <c r="B598" s="1"/>
      <c r="C598" s="1"/>
      <c r="G598" s="3"/>
      <c r="H598" s="13"/>
      <c r="I598" s="3"/>
      <c r="N598" s="12"/>
    </row>
    <row r="599" spans="1:14" x14ac:dyDescent="0.3">
      <c r="A599" s="12"/>
      <c r="B599" s="1"/>
      <c r="C599" s="1"/>
      <c r="G599" s="3"/>
      <c r="H599" s="13"/>
      <c r="I599" s="3"/>
      <c r="N599" s="12"/>
    </row>
    <row r="600" spans="1:14" x14ac:dyDescent="0.3">
      <c r="A600" s="12"/>
      <c r="B600" s="1"/>
      <c r="C600" s="1"/>
      <c r="G600" s="3"/>
      <c r="H600" s="13"/>
      <c r="I600" s="3"/>
      <c r="N600" s="12"/>
    </row>
    <row r="601" spans="1:14" x14ac:dyDescent="0.3">
      <c r="A601" s="12"/>
      <c r="B601" s="1"/>
      <c r="C601" s="1"/>
      <c r="G601" s="3"/>
      <c r="H601" s="13"/>
      <c r="I601" s="3"/>
      <c r="N601" s="12"/>
    </row>
    <row r="602" spans="1:14" x14ac:dyDescent="0.3">
      <c r="A602" s="12"/>
      <c r="B602" s="1"/>
      <c r="C602" s="1"/>
      <c r="G602" s="3"/>
      <c r="H602" s="13"/>
      <c r="I602" s="3"/>
      <c r="N602" s="12"/>
    </row>
    <row r="603" spans="1:14" x14ac:dyDescent="0.3">
      <c r="A603" s="12"/>
      <c r="B603" s="1"/>
      <c r="C603" s="1"/>
      <c r="G603" s="3"/>
      <c r="H603" s="13"/>
      <c r="I603" s="3"/>
      <c r="N603" s="12"/>
    </row>
    <row r="604" spans="1:14" x14ac:dyDescent="0.3">
      <c r="A604" s="12"/>
      <c r="B604" s="1"/>
      <c r="C604" s="1"/>
      <c r="G604" s="3"/>
      <c r="H604" s="13"/>
      <c r="I604" s="3"/>
      <c r="N604" s="12"/>
    </row>
    <row r="605" spans="1:14" x14ac:dyDescent="0.3">
      <c r="A605" s="12"/>
      <c r="B605" s="1"/>
      <c r="C605" s="1"/>
      <c r="G605" s="3"/>
      <c r="H605" s="13"/>
      <c r="I605" s="3"/>
      <c r="N605" s="12"/>
    </row>
    <row r="606" spans="1:14" x14ac:dyDescent="0.3">
      <c r="A606" s="12"/>
      <c r="B606" s="1"/>
      <c r="C606" s="1"/>
      <c r="G606" s="3"/>
      <c r="H606" s="13"/>
      <c r="I606" s="3"/>
      <c r="N606" s="12"/>
    </row>
    <row r="607" spans="1:14" x14ac:dyDescent="0.3">
      <c r="A607" s="12"/>
      <c r="B607" s="1"/>
      <c r="C607" s="1"/>
      <c r="G607" s="3"/>
      <c r="H607" s="13"/>
      <c r="I607" s="3"/>
      <c r="N607" s="12"/>
    </row>
    <row r="608" spans="1:14" x14ac:dyDescent="0.3">
      <c r="A608" s="12"/>
      <c r="B608" s="1"/>
      <c r="C608" s="1"/>
      <c r="G608" s="3"/>
      <c r="H608" s="13"/>
      <c r="I608" s="3"/>
      <c r="N608" s="12"/>
    </row>
    <row r="609" spans="1:14" x14ac:dyDescent="0.3">
      <c r="A609" s="12"/>
      <c r="B609" s="1"/>
      <c r="C609" s="1"/>
      <c r="G609" s="3"/>
      <c r="H609" s="13"/>
      <c r="I609" s="3"/>
      <c r="N609" s="12"/>
    </row>
    <row r="610" spans="1:14" x14ac:dyDescent="0.3">
      <c r="A610" s="12"/>
      <c r="B610" s="1"/>
      <c r="C610" s="1"/>
      <c r="G610" s="3"/>
      <c r="H610" s="13"/>
      <c r="I610" s="3"/>
      <c r="N610" s="12"/>
    </row>
    <row r="611" spans="1:14" x14ac:dyDescent="0.3">
      <c r="A611" s="12"/>
      <c r="B611" s="1"/>
      <c r="C611" s="1"/>
      <c r="G611" s="3"/>
      <c r="H611" s="13"/>
      <c r="I611" s="3"/>
      <c r="N611" s="12"/>
    </row>
    <row r="612" spans="1:14" x14ac:dyDescent="0.3">
      <c r="A612" s="12"/>
      <c r="B612" s="1"/>
      <c r="C612" s="1"/>
      <c r="G612" s="3"/>
      <c r="H612" s="13"/>
      <c r="I612" s="3"/>
      <c r="N612" s="12"/>
    </row>
    <row r="613" spans="1:14" x14ac:dyDescent="0.3">
      <c r="A613" s="12"/>
      <c r="B613" s="1"/>
      <c r="C613" s="1"/>
      <c r="G613" s="3"/>
      <c r="H613" s="13"/>
      <c r="I613" s="3"/>
      <c r="N613" s="12"/>
    </row>
    <row r="614" spans="1:14" x14ac:dyDescent="0.3">
      <c r="A614" s="12"/>
      <c r="B614" s="1"/>
      <c r="C614" s="1"/>
      <c r="G614" s="3"/>
      <c r="H614" s="13"/>
      <c r="I614" s="3"/>
      <c r="N614" s="12"/>
    </row>
    <row r="615" spans="1:14" x14ac:dyDescent="0.3">
      <c r="A615" s="12"/>
      <c r="B615" s="1"/>
      <c r="C615" s="1"/>
      <c r="G615" s="3"/>
      <c r="H615" s="13"/>
      <c r="I615" s="3"/>
      <c r="N615" s="12"/>
    </row>
    <row r="616" spans="1:14" x14ac:dyDescent="0.3">
      <c r="A616" s="12"/>
      <c r="B616" s="1"/>
      <c r="C616" s="1"/>
      <c r="G616" s="3"/>
      <c r="H616" s="13"/>
      <c r="I616" s="3"/>
      <c r="N616" s="12"/>
    </row>
    <row r="617" spans="1:14" x14ac:dyDescent="0.3">
      <c r="A617" s="12"/>
      <c r="B617" s="1"/>
      <c r="C617" s="1"/>
      <c r="G617" s="3"/>
      <c r="H617" s="13"/>
      <c r="I617" s="3"/>
      <c r="N617" s="12"/>
    </row>
    <row r="618" spans="1:14" x14ac:dyDescent="0.3">
      <c r="A618" s="12"/>
      <c r="B618" s="1"/>
      <c r="C618" s="1"/>
      <c r="G618" s="3"/>
      <c r="H618" s="13"/>
      <c r="I618" s="3"/>
      <c r="N618" s="12"/>
    </row>
    <row r="619" spans="1:14" x14ac:dyDescent="0.3">
      <c r="A619" s="12"/>
      <c r="B619" s="1"/>
      <c r="C619" s="1"/>
      <c r="G619" s="3"/>
      <c r="H619" s="13"/>
      <c r="I619" s="3"/>
      <c r="N619" s="12"/>
    </row>
    <row r="620" spans="1:14" x14ac:dyDescent="0.3">
      <c r="A620" s="12"/>
      <c r="B620" s="1"/>
      <c r="C620" s="1"/>
      <c r="G620" s="3"/>
      <c r="H620" s="13"/>
      <c r="I620" s="3"/>
      <c r="N620" s="12"/>
    </row>
    <row r="621" spans="1:14" x14ac:dyDescent="0.3">
      <c r="A621" s="12"/>
      <c r="B621" s="1"/>
      <c r="C621" s="1"/>
      <c r="G621" s="3"/>
      <c r="H621" s="13"/>
      <c r="I621" s="3"/>
      <c r="N621" s="12"/>
    </row>
    <row r="622" spans="1:14" x14ac:dyDescent="0.3">
      <c r="A622" s="12"/>
      <c r="B622" s="1"/>
      <c r="C622" s="1"/>
      <c r="G622" s="3"/>
      <c r="H622" s="13"/>
      <c r="I622" s="3"/>
      <c r="N622" s="12"/>
    </row>
    <row r="623" spans="1:14" x14ac:dyDescent="0.3">
      <c r="A623" s="12"/>
      <c r="B623" s="1"/>
      <c r="C623" s="1"/>
      <c r="G623" s="3"/>
      <c r="H623" s="13"/>
      <c r="I623" s="3"/>
      <c r="N623" s="12"/>
    </row>
    <row r="624" spans="1:14" x14ac:dyDescent="0.3">
      <c r="A624" s="12"/>
      <c r="B624" s="1"/>
      <c r="C624" s="1"/>
      <c r="G624" s="3"/>
      <c r="H624" s="13"/>
      <c r="I624" s="3"/>
      <c r="N624" s="12"/>
    </row>
    <row r="625" spans="1:14" x14ac:dyDescent="0.3">
      <c r="A625" s="12"/>
      <c r="B625" s="1"/>
      <c r="C625" s="1"/>
      <c r="G625" s="3"/>
      <c r="H625" s="13"/>
      <c r="I625" s="3"/>
      <c r="N625" s="12"/>
    </row>
    <row r="626" spans="1:14" x14ac:dyDescent="0.3">
      <c r="A626" s="12"/>
      <c r="B626" s="1"/>
      <c r="C626" s="1"/>
      <c r="G626" s="3"/>
      <c r="H626" s="13"/>
      <c r="I626" s="3"/>
      <c r="N626" s="12"/>
    </row>
    <row r="627" spans="1:14" x14ac:dyDescent="0.3">
      <c r="A627" s="12"/>
      <c r="B627" s="1"/>
      <c r="C627" s="1"/>
      <c r="G627" s="3"/>
      <c r="H627" s="13"/>
      <c r="I627" s="3"/>
      <c r="N627" s="12"/>
    </row>
    <row r="628" spans="1:14" x14ac:dyDescent="0.3">
      <c r="A628" s="12"/>
      <c r="B628" s="1"/>
      <c r="C628" s="1"/>
      <c r="G628" s="3"/>
      <c r="H628" s="13"/>
      <c r="I628" s="3"/>
      <c r="N628" s="12"/>
    </row>
    <row r="629" spans="1:14" x14ac:dyDescent="0.3">
      <c r="A629" s="12"/>
      <c r="B629" s="1"/>
      <c r="C629" s="1"/>
      <c r="G629" s="3"/>
      <c r="H629" s="13"/>
      <c r="I629" s="3"/>
      <c r="N629" s="12"/>
    </row>
    <row r="630" spans="1:14" x14ac:dyDescent="0.3">
      <c r="A630" s="12"/>
      <c r="B630" s="1"/>
      <c r="C630" s="1"/>
      <c r="G630" s="3"/>
      <c r="H630" s="13"/>
      <c r="I630" s="3"/>
      <c r="N630" s="12"/>
    </row>
    <row r="631" spans="1:14" x14ac:dyDescent="0.3">
      <c r="A631" s="12"/>
      <c r="B631" s="1"/>
      <c r="C631" s="1"/>
      <c r="G631" s="3"/>
      <c r="H631" s="13"/>
      <c r="I631" s="3"/>
      <c r="N631" s="12"/>
    </row>
    <row r="632" spans="1:14" x14ac:dyDescent="0.3">
      <c r="A632" s="12"/>
      <c r="B632" s="1"/>
      <c r="C632" s="1"/>
      <c r="G632" s="3"/>
      <c r="H632" s="13"/>
      <c r="I632" s="3"/>
      <c r="N632" s="12"/>
    </row>
    <row r="633" spans="1:14" x14ac:dyDescent="0.3">
      <c r="A633" s="12"/>
      <c r="B633" s="1"/>
      <c r="C633" s="1"/>
      <c r="G633" s="3"/>
      <c r="H633" s="13"/>
      <c r="I633" s="3"/>
      <c r="N633" s="12"/>
    </row>
    <row r="634" spans="1:14" x14ac:dyDescent="0.3">
      <c r="A634" s="12"/>
      <c r="B634" s="1"/>
      <c r="C634" s="1"/>
      <c r="G634" s="3"/>
      <c r="H634" s="13"/>
      <c r="I634" s="3"/>
      <c r="N634" s="12"/>
    </row>
    <row r="635" spans="1:14" x14ac:dyDescent="0.3">
      <c r="A635" s="12"/>
      <c r="B635" s="1"/>
      <c r="C635" s="1"/>
      <c r="G635" s="3"/>
      <c r="H635" s="13"/>
      <c r="I635" s="3"/>
      <c r="N635" s="12"/>
    </row>
    <row r="636" spans="1:14" x14ac:dyDescent="0.3">
      <c r="A636" s="12"/>
      <c r="B636" s="1"/>
      <c r="C636" s="1"/>
      <c r="G636" s="3"/>
      <c r="H636" s="13"/>
      <c r="I636" s="3"/>
      <c r="N636" s="12"/>
    </row>
    <row r="637" spans="1:14" x14ac:dyDescent="0.3">
      <c r="A637" s="12"/>
      <c r="B637" s="1"/>
      <c r="C637" s="1"/>
      <c r="G637" s="3"/>
      <c r="H637" s="13"/>
      <c r="I637" s="3"/>
      <c r="N637" s="12"/>
    </row>
    <row r="638" spans="1:14" x14ac:dyDescent="0.3">
      <c r="A638" s="12"/>
      <c r="B638" s="1"/>
      <c r="C638" s="1"/>
      <c r="G638" s="3"/>
      <c r="H638" s="13"/>
      <c r="I638" s="3"/>
      <c r="N638" s="12"/>
    </row>
    <row r="639" spans="1:14" x14ac:dyDescent="0.3">
      <c r="A639" s="12"/>
      <c r="B639" s="1"/>
      <c r="C639" s="1"/>
      <c r="G639" s="3"/>
      <c r="H639" s="13"/>
      <c r="I639" s="3"/>
      <c r="N639" s="12"/>
    </row>
    <row r="640" spans="1:14" x14ac:dyDescent="0.3">
      <c r="A640" s="12"/>
      <c r="B640" s="1"/>
      <c r="C640" s="1"/>
      <c r="G640" s="3"/>
      <c r="H640" s="13"/>
      <c r="I640" s="3"/>
      <c r="N640" s="12"/>
    </row>
    <row r="641" spans="1:14" x14ac:dyDescent="0.3">
      <c r="A641" s="12"/>
      <c r="B641" s="1"/>
      <c r="C641" s="1"/>
      <c r="G641" s="3"/>
      <c r="H641" s="13"/>
      <c r="I641" s="3"/>
      <c r="N641" s="12"/>
    </row>
    <row r="642" spans="1:14" x14ac:dyDescent="0.3">
      <c r="A642" s="12"/>
      <c r="B642" s="1"/>
      <c r="C642" s="1"/>
      <c r="G642" s="3"/>
      <c r="H642" s="13"/>
      <c r="I642" s="3"/>
      <c r="N642" s="12"/>
    </row>
    <row r="643" spans="1:14" x14ac:dyDescent="0.3">
      <c r="A643" s="12"/>
      <c r="B643" s="1"/>
      <c r="C643" s="1"/>
      <c r="G643" s="3"/>
      <c r="H643" s="13"/>
      <c r="I643" s="3"/>
      <c r="N643" s="12"/>
    </row>
    <row r="644" spans="1:14" x14ac:dyDescent="0.3">
      <c r="A644" s="12"/>
      <c r="B644" s="1"/>
      <c r="C644" s="1"/>
      <c r="G644" s="3"/>
      <c r="H644" s="13"/>
      <c r="I644" s="3"/>
      <c r="N644" s="12"/>
    </row>
    <row r="645" spans="1:14" x14ac:dyDescent="0.3">
      <c r="A645" s="12"/>
      <c r="B645" s="1"/>
      <c r="C645" s="1"/>
      <c r="G645" s="3"/>
      <c r="H645" s="13"/>
      <c r="I645" s="3"/>
      <c r="N645" s="12"/>
    </row>
    <row r="646" spans="1:14" x14ac:dyDescent="0.3">
      <c r="A646" s="12"/>
      <c r="B646" s="1"/>
      <c r="C646" s="1"/>
      <c r="G646" s="3"/>
      <c r="H646" s="13"/>
      <c r="I646" s="3"/>
      <c r="N646" s="12"/>
    </row>
    <row r="647" spans="1:14" x14ac:dyDescent="0.3">
      <c r="A647" s="12"/>
      <c r="B647" s="1"/>
      <c r="C647" s="1"/>
      <c r="G647" s="3"/>
      <c r="H647" s="13"/>
      <c r="I647" s="3"/>
      <c r="N647" s="12"/>
    </row>
    <row r="648" spans="1:14" x14ac:dyDescent="0.3">
      <c r="A648" s="12"/>
      <c r="B648" s="1"/>
      <c r="C648" s="1"/>
      <c r="G648" s="3"/>
      <c r="H648" s="13"/>
      <c r="I648" s="3"/>
      <c r="N648" s="12"/>
    </row>
    <row r="649" spans="1:14" x14ac:dyDescent="0.3">
      <c r="A649" s="12"/>
      <c r="B649" s="1"/>
      <c r="C649" s="1"/>
      <c r="G649" s="3"/>
      <c r="H649" s="13"/>
      <c r="I649" s="3"/>
      <c r="N649" s="12"/>
    </row>
    <row r="650" spans="1:14" x14ac:dyDescent="0.3">
      <c r="A650" s="12"/>
      <c r="B650" s="1"/>
      <c r="C650" s="1"/>
      <c r="G650" s="3"/>
      <c r="H650" s="13"/>
      <c r="I650" s="3"/>
      <c r="N650" s="12"/>
    </row>
    <row r="651" spans="1:14" x14ac:dyDescent="0.3">
      <c r="A651" s="12"/>
      <c r="B651" s="1"/>
      <c r="C651" s="1"/>
      <c r="G651" s="3"/>
      <c r="H651" s="13"/>
      <c r="I651" s="3"/>
      <c r="N651" s="12"/>
    </row>
    <row r="652" spans="1:14" x14ac:dyDescent="0.3">
      <c r="A652" s="12"/>
      <c r="B652" s="1"/>
      <c r="C652" s="1"/>
      <c r="G652" s="3"/>
      <c r="H652" s="13"/>
      <c r="I652" s="3"/>
      <c r="N652" s="12"/>
    </row>
    <row r="653" spans="1:14" x14ac:dyDescent="0.3">
      <c r="A653" s="12"/>
      <c r="B653" s="1"/>
      <c r="C653" s="1"/>
      <c r="G653" s="3"/>
      <c r="H653" s="13"/>
      <c r="I653" s="3"/>
      <c r="N653" s="12"/>
    </row>
    <row r="654" spans="1:14" x14ac:dyDescent="0.3">
      <c r="A654" s="12"/>
      <c r="B654" s="1"/>
      <c r="C654" s="1"/>
      <c r="G654" s="3"/>
      <c r="H654" s="13"/>
      <c r="I654" s="3"/>
      <c r="N654" s="12"/>
    </row>
    <row r="655" spans="1:14" x14ac:dyDescent="0.3">
      <c r="A655" s="12"/>
      <c r="B655" s="1"/>
      <c r="C655" s="1"/>
      <c r="G655" s="3"/>
      <c r="H655" s="13"/>
      <c r="I655" s="3"/>
      <c r="N655" s="12"/>
    </row>
    <row r="656" spans="1:14" x14ac:dyDescent="0.3">
      <c r="A656" s="12"/>
      <c r="B656" s="1"/>
      <c r="C656" s="1"/>
      <c r="G656" s="3"/>
      <c r="H656" s="13"/>
      <c r="I656" s="3"/>
      <c r="N656" s="12"/>
    </row>
    <row r="657" spans="1:14" x14ac:dyDescent="0.3">
      <c r="A657" s="12"/>
      <c r="B657" s="1"/>
      <c r="C657" s="1"/>
      <c r="G657" s="3"/>
      <c r="H657" s="13"/>
      <c r="I657" s="3"/>
      <c r="N657" s="12"/>
    </row>
    <row r="658" spans="1:14" x14ac:dyDescent="0.3">
      <c r="A658" s="12"/>
      <c r="B658" s="1"/>
      <c r="C658" s="1"/>
      <c r="G658" s="3"/>
      <c r="H658" s="13"/>
      <c r="I658" s="3"/>
      <c r="N658" s="12"/>
    </row>
    <row r="659" spans="1:14" x14ac:dyDescent="0.3">
      <c r="A659" s="12"/>
      <c r="B659" s="1"/>
      <c r="C659" s="1"/>
      <c r="G659" s="3"/>
      <c r="H659" s="13"/>
      <c r="I659" s="3"/>
      <c r="N659" s="12"/>
    </row>
    <row r="660" spans="1:14" x14ac:dyDescent="0.3">
      <c r="A660" s="12"/>
      <c r="B660" s="1"/>
      <c r="C660" s="1"/>
      <c r="G660" s="3"/>
      <c r="H660" s="13"/>
      <c r="I660" s="3"/>
      <c r="N660" s="12"/>
    </row>
    <row r="661" spans="1:14" x14ac:dyDescent="0.3">
      <c r="A661" s="12"/>
      <c r="B661" s="1"/>
      <c r="C661" s="1"/>
      <c r="G661" s="3"/>
      <c r="H661" s="13"/>
      <c r="I661" s="3"/>
      <c r="N661" s="12"/>
    </row>
    <row r="662" spans="1:14" x14ac:dyDescent="0.3">
      <c r="A662" s="12"/>
      <c r="B662" s="1"/>
      <c r="C662" s="1"/>
      <c r="G662" s="3"/>
      <c r="H662" s="13"/>
      <c r="I662" s="3"/>
      <c r="N662" s="12"/>
    </row>
    <row r="663" spans="1:14" x14ac:dyDescent="0.3">
      <c r="A663" s="12"/>
      <c r="B663" s="1"/>
      <c r="C663" s="1"/>
      <c r="G663" s="3"/>
      <c r="H663" s="13"/>
      <c r="I663" s="3"/>
      <c r="N663" s="12"/>
    </row>
    <row r="664" spans="1:14" x14ac:dyDescent="0.3">
      <c r="A664" s="12"/>
      <c r="B664" s="1"/>
      <c r="C664" s="1"/>
      <c r="G664" s="3"/>
      <c r="H664" s="13"/>
      <c r="I664" s="3"/>
      <c r="N664" s="12"/>
    </row>
    <row r="665" spans="1:14" x14ac:dyDescent="0.3">
      <c r="A665" s="12"/>
      <c r="B665" s="1"/>
      <c r="C665" s="1"/>
      <c r="G665" s="3"/>
      <c r="H665" s="13"/>
      <c r="I665" s="3"/>
      <c r="N665" s="12"/>
    </row>
    <row r="666" spans="1:14" x14ac:dyDescent="0.3">
      <c r="A666" s="12"/>
      <c r="B666" s="1"/>
      <c r="C666" s="1"/>
      <c r="G666" s="3"/>
      <c r="H666" s="13"/>
      <c r="I666" s="3"/>
      <c r="N666" s="12"/>
    </row>
    <row r="667" spans="1:14" x14ac:dyDescent="0.3">
      <c r="A667" s="12"/>
      <c r="B667" s="1"/>
      <c r="C667" s="1"/>
      <c r="G667" s="3"/>
      <c r="H667" s="13"/>
      <c r="I667" s="3"/>
      <c r="N667" s="12"/>
    </row>
    <row r="668" spans="1:14" x14ac:dyDescent="0.3">
      <c r="A668" s="12"/>
      <c r="B668" s="1"/>
      <c r="C668" s="1"/>
      <c r="G668" s="3"/>
      <c r="H668" s="13"/>
      <c r="I668" s="3"/>
      <c r="N668" s="12"/>
    </row>
    <row r="669" spans="1:14" x14ac:dyDescent="0.3">
      <c r="A669" s="12"/>
      <c r="B669" s="1"/>
      <c r="C669" s="1"/>
      <c r="G669" s="3"/>
      <c r="H669" s="13"/>
      <c r="I669" s="3"/>
      <c r="N669" s="12"/>
    </row>
    <row r="670" spans="1:14" x14ac:dyDescent="0.3">
      <c r="A670" s="12"/>
      <c r="B670" s="1"/>
      <c r="C670" s="1"/>
      <c r="G670" s="3"/>
      <c r="H670" s="13"/>
      <c r="I670" s="3"/>
      <c r="N670" s="12"/>
    </row>
    <row r="671" spans="1:14" x14ac:dyDescent="0.3">
      <c r="A671" s="12"/>
      <c r="B671" s="1"/>
      <c r="C671" s="1"/>
      <c r="G671" s="3"/>
      <c r="H671" s="13"/>
      <c r="I671" s="3"/>
      <c r="N671" s="12"/>
    </row>
    <row r="672" spans="1:14" x14ac:dyDescent="0.3">
      <c r="A672" s="12"/>
      <c r="B672" s="1"/>
      <c r="C672" s="1"/>
      <c r="G672" s="3"/>
      <c r="H672" s="13"/>
      <c r="I672" s="3"/>
      <c r="N672" s="12"/>
    </row>
    <row r="673" spans="1:14" x14ac:dyDescent="0.3">
      <c r="A673" s="12"/>
      <c r="B673" s="1"/>
      <c r="C673" s="1"/>
      <c r="G673" s="3"/>
      <c r="H673" s="13"/>
      <c r="I673" s="3"/>
      <c r="N673" s="12"/>
    </row>
    <row r="674" spans="1:14" x14ac:dyDescent="0.3">
      <c r="A674" s="12"/>
      <c r="B674" s="1"/>
      <c r="C674" s="1"/>
      <c r="G674" s="3"/>
      <c r="H674" s="13"/>
      <c r="I674" s="3"/>
      <c r="N674" s="12"/>
    </row>
    <row r="675" spans="1:14" x14ac:dyDescent="0.3">
      <c r="A675" s="12"/>
      <c r="B675" s="1"/>
      <c r="C675" s="1"/>
      <c r="G675" s="3"/>
      <c r="H675" s="13"/>
      <c r="I675" s="3"/>
      <c r="N675" s="12"/>
    </row>
    <row r="676" spans="1:14" x14ac:dyDescent="0.3">
      <c r="A676" s="12"/>
      <c r="B676" s="1"/>
      <c r="C676" s="1"/>
      <c r="G676" s="3"/>
      <c r="H676" s="13"/>
      <c r="I676" s="3"/>
      <c r="N676" s="12"/>
    </row>
    <row r="677" spans="1:14" x14ac:dyDescent="0.3">
      <c r="A677" s="12"/>
      <c r="B677" s="1"/>
      <c r="C677" s="1"/>
      <c r="G677" s="3"/>
      <c r="H677" s="13"/>
      <c r="I677" s="3"/>
      <c r="N677" s="12"/>
    </row>
    <row r="678" spans="1:14" x14ac:dyDescent="0.3">
      <c r="A678" s="12"/>
      <c r="B678" s="1"/>
      <c r="C678" s="1"/>
      <c r="G678" s="3"/>
      <c r="H678" s="13"/>
      <c r="I678" s="3"/>
      <c r="N678" s="12"/>
    </row>
    <row r="679" spans="1:14" x14ac:dyDescent="0.3">
      <c r="A679" s="12"/>
      <c r="B679" s="1"/>
      <c r="C679" s="1"/>
      <c r="G679" s="3"/>
      <c r="H679" s="13"/>
      <c r="I679" s="3"/>
      <c r="N679" s="12"/>
    </row>
    <row r="680" spans="1:14" x14ac:dyDescent="0.3">
      <c r="A680" s="12"/>
      <c r="B680" s="1"/>
      <c r="C680" s="1"/>
      <c r="G680" s="3"/>
      <c r="H680" s="13"/>
      <c r="I680" s="3"/>
      <c r="N680" s="12"/>
    </row>
    <row r="681" spans="1:14" x14ac:dyDescent="0.3">
      <c r="A681" s="12"/>
      <c r="B681" s="1"/>
      <c r="C681" s="1"/>
      <c r="G681" s="3"/>
      <c r="H681" s="13"/>
      <c r="I681" s="3"/>
      <c r="N681" s="12"/>
    </row>
    <row r="682" spans="1:14" x14ac:dyDescent="0.3">
      <c r="A682" s="12"/>
      <c r="B682" s="1"/>
      <c r="C682" s="1"/>
      <c r="G682" s="3"/>
      <c r="H682" s="13"/>
      <c r="I682" s="3"/>
      <c r="N682" s="12"/>
    </row>
    <row r="683" spans="1:14" x14ac:dyDescent="0.3">
      <c r="A683" s="12"/>
      <c r="B683" s="1"/>
      <c r="C683" s="1"/>
      <c r="G683" s="3"/>
      <c r="H683" s="13"/>
      <c r="I683" s="3"/>
      <c r="N683" s="12"/>
    </row>
    <row r="684" spans="1:14" x14ac:dyDescent="0.3">
      <c r="A684" s="12"/>
      <c r="B684" s="1"/>
      <c r="C684" s="1"/>
      <c r="G684" s="3"/>
      <c r="H684" s="13"/>
      <c r="I684" s="3"/>
      <c r="N684" s="12"/>
    </row>
    <row r="685" spans="1:14" x14ac:dyDescent="0.3">
      <c r="A685" s="12"/>
      <c r="B685" s="1"/>
      <c r="C685" s="1"/>
      <c r="G685" s="3"/>
      <c r="H685" s="13"/>
      <c r="I685" s="3"/>
      <c r="N685" s="12"/>
    </row>
    <row r="686" spans="1:14" x14ac:dyDescent="0.3">
      <c r="A686" s="12"/>
      <c r="B686" s="1"/>
      <c r="C686" s="1"/>
      <c r="G686" s="3"/>
      <c r="H686" s="13"/>
      <c r="I686" s="3"/>
      <c r="N686" s="12"/>
    </row>
    <row r="687" spans="1:14" x14ac:dyDescent="0.3">
      <c r="A687" s="12"/>
      <c r="B687" s="1"/>
      <c r="C687" s="1"/>
      <c r="G687" s="3"/>
      <c r="H687" s="13"/>
      <c r="I687" s="3"/>
      <c r="N687" s="12"/>
    </row>
    <row r="688" spans="1:14" x14ac:dyDescent="0.3">
      <c r="A688" s="12"/>
      <c r="B688" s="1"/>
      <c r="C688" s="1"/>
      <c r="G688" s="3"/>
      <c r="H688" s="13"/>
      <c r="I688" s="3"/>
      <c r="N688" s="12"/>
    </row>
    <row r="689" spans="1:14" x14ac:dyDescent="0.3">
      <c r="A689" s="12"/>
      <c r="B689" s="1"/>
      <c r="C689" s="1"/>
      <c r="G689" s="3"/>
      <c r="H689" s="13"/>
      <c r="I689" s="3"/>
      <c r="N689" s="12"/>
    </row>
    <row r="690" spans="1:14" x14ac:dyDescent="0.3">
      <c r="A690" s="12"/>
      <c r="B690" s="1"/>
      <c r="C690" s="1"/>
      <c r="G690" s="3"/>
      <c r="H690" s="13"/>
      <c r="I690" s="3"/>
      <c r="N690" s="12"/>
    </row>
    <row r="691" spans="1:14" x14ac:dyDescent="0.3">
      <c r="A691" s="12"/>
      <c r="B691" s="1"/>
      <c r="C691" s="1"/>
      <c r="G691" s="3"/>
      <c r="H691" s="13"/>
      <c r="I691" s="3"/>
      <c r="N691" s="12"/>
    </row>
    <row r="692" spans="1:14" x14ac:dyDescent="0.3">
      <c r="A692" s="12"/>
      <c r="B692" s="1"/>
      <c r="C692" s="1"/>
      <c r="G692" s="3"/>
      <c r="H692" s="13"/>
      <c r="I692" s="3"/>
      <c r="N692" s="12"/>
    </row>
    <row r="693" spans="1:14" x14ac:dyDescent="0.3">
      <c r="A693" s="12"/>
      <c r="B693" s="1"/>
      <c r="C693" s="1"/>
      <c r="G693" s="3"/>
      <c r="H693" s="13"/>
      <c r="I693" s="3"/>
      <c r="N693" s="12"/>
    </row>
    <row r="694" spans="1:14" x14ac:dyDescent="0.3">
      <c r="A694" s="12"/>
      <c r="B694" s="1"/>
      <c r="C694" s="1"/>
      <c r="G694" s="3"/>
      <c r="H694" s="13"/>
      <c r="I694" s="3"/>
      <c r="N694" s="12"/>
    </row>
    <row r="695" spans="1:14" x14ac:dyDescent="0.3">
      <c r="A695" s="12"/>
      <c r="B695" s="1"/>
      <c r="C695" s="1"/>
      <c r="G695" s="3"/>
      <c r="H695" s="13"/>
      <c r="I695" s="3"/>
      <c r="N695" s="12"/>
    </row>
    <row r="696" spans="1:14" x14ac:dyDescent="0.3">
      <c r="A696" s="12"/>
      <c r="B696" s="1"/>
      <c r="C696" s="1"/>
      <c r="G696" s="3"/>
      <c r="H696" s="13"/>
      <c r="I696" s="3"/>
      <c r="N696" s="12"/>
    </row>
    <row r="697" spans="1:14" x14ac:dyDescent="0.3">
      <c r="A697" s="12"/>
      <c r="B697" s="1"/>
      <c r="C697" s="1"/>
      <c r="G697" s="3"/>
      <c r="H697" s="13"/>
      <c r="I697" s="3"/>
      <c r="N697" s="12"/>
    </row>
    <row r="698" spans="1:14" x14ac:dyDescent="0.3">
      <c r="A698" s="12"/>
      <c r="B698" s="1"/>
      <c r="C698" s="1"/>
      <c r="G698" s="3"/>
      <c r="H698" s="13"/>
      <c r="I698" s="3"/>
      <c r="N698" s="12"/>
    </row>
    <row r="699" spans="1:14" x14ac:dyDescent="0.3">
      <c r="A699" s="12"/>
      <c r="B699" s="1"/>
      <c r="C699" s="1"/>
      <c r="G699" s="3"/>
      <c r="H699" s="13"/>
      <c r="I699" s="3"/>
      <c r="N699" s="12"/>
    </row>
    <row r="700" spans="1:14" x14ac:dyDescent="0.3">
      <c r="A700" s="12"/>
      <c r="B700" s="1"/>
      <c r="C700" s="1"/>
      <c r="G700" s="3"/>
      <c r="H700" s="13"/>
      <c r="I700" s="3"/>
      <c r="N700" s="12"/>
    </row>
    <row r="701" spans="1:14" x14ac:dyDescent="0.3">
      <c r="A701" s="12"/>
      <c r="B701" s="1"/>
      <c r="C701" s="1"/>
      <c r="G701" s="3"/>
      <c r="H701" s="13"/>
      <c r="I701" s="3"/>
      <c r="N701" s="12"/>
    </row>
    <row r="702" spans="1:14" x14ac:dyDescent="0.3">
      <c r="A702" s="12"/>
      <c r="B702" s="1"/>
      <c r="C702" s="1"/>
      <c r="G702" s="3"/>
      <c r="H702" s="13"/>
      <c r="I702" s="3"/>
      <c r="N702" s="12"/>
    </row>
    <row r="703" spans="1:14" x14ac:dyDescent="0.3">
      <c r="A703" s="12"/>
      <c r="B703" s="1"/>
      <c r="C703" s="1"/>
      <c r="G703" s="3"/>
      <c r="H703" s="13"/>
      <c r="I703" s="3"/>
      <c r="N703" s="12"/>
    </row>
    <row r="704" spans="1:14" x14ac:dyDescent="0.3">
      <c r="A704" s="12"/>
      <c r="B704" s="1"/>
      <c r="C704" s="1"/>
      <c r="G704" s="3"/>
      <c r="H704" s="13"/>
      <c r="I704" s="3"/>
      <c r="N704" s="12"/>
    </row>
    <row r="705" spans="1:14" x14ac:dyDescent="0.3">
      <c r="A705" s="12"/>
      <c r="B705" s="1"/>
      <c r="C705" s="1"/>
      <c r="G705" s="3"/>
      <c r="H705" s="13"/>
      <c r="I705" s="3"/>
      <c r="N705" s="12"/>
    </row>
    <row r="706" spans="1:14" x14ac:dyDescent="0.3">
      <c r="A706" s="12"/>
      <c r="B706" s="1"/>
      <c r="C706" s="1"/>
      <c r="G706" s="3"/>
      <c r="H706" s="13"/>
      <c r="I706" s="3"/>
      <c r="N706" s="12"/>
    </row>
    <row r="707" spans="1:14" x14ac:dyDescent="0.3">
      <c r="A707" s="12"/>
      <c r="B707" s="1"/>
      <c r="C707" s="1"/>
      <c r="G707" s="3"/>
      <c r="H707" s="13"/>
      <c r="I707" s="3"/>
      <c r="N707" s="12"/>
    </row>
    <row r="708" spans="1:14" x14ac:dyDescent="0.3">
      <c r="A708" s="12"/>
      <c r="B708" s="1"/>
      <c r="C708" s="1"/>
      <c r="G708" s="3"/>
      <c r="H708" s="13"/>
      <c r="I708" s="3"/>
      <c r="N708" s="12"/>
    </row>
    <row r="709" spans="1:14" x14ac:dyDescent="0.3">
      <c r="A709" s="12"/>
      <c r="B709" s="1"/>
      <c r="C709" s="1"/>
      <c r="G709" s="3"/>
      <c r="H709" s="13"/>
      <c r="I709" s="3"/>
      <c r="N709" s="12"/>
    </row>
    <row r="710" spans="1:14" x14ac:dyDescent="0.3">
      <c r="A710" s="12"/>
      <c r="B710" s="1"/>
      <c r="C710" s="1"/>
      <c r="G710" s="3"/>
      <c r="H710" s="13"/>
      <c r="I710" s="3"/>
      <c r="N710" s="12"/>
    </row>
    <row r="711" spans="1:14" x14ac:dyDescent="0.3">
      <c r="A711" s="12"/>
      <c r="B711" s="1"/>
      <c r="C711" s="1"/>
      <c r="G711" s="3"/>
      <c r="H711" s="13"/>
      <c r="I711" s="3"/>
      <c r="N711" s="12"/>
    </row>
    <row r="712" spans="1:14" x14ac:dyDescent="0.3">
      <c r="A712" s="12"/>
      <c r="B712" s="1"/>
      <c r="C712" s="1"/>
      <c r="G712" s="3"/>
      <c r="H712" s="13"/>
      <c r="I712" s="3"/>
      <c r="N712" s="12"/>
    </row>
    <row r="713" spans="1:14" x14ac:dyDescent="0.3">
      <c r="A713" s="12"/>
      <c r="B713" s="1"/>
      <c r="C713" s="1"/>
      <c r="G713" s="3"/>
      <c r="H713" s="13"/>
      <c r="I713" s="3"/>
      <c r="N713" s="12"/>
    </row>
    <row r="714" spans="1:14" x14ac:dyDescent="0.3">
      <c r="A714" s="12"/>
      <c r="B714" s="1"/>
      <c r="C714" s="1"/>
      <c r="G714" s="3"/>
      <c r="H714" s="13"/>
      <c r="I714" s="3"/>
      <c r="N714" s="12"/>
    </row>
    <row r="715" spans="1:14" x14ac:dyDescent="0.3">
      <c r="A715" s="12"/>
      <c r="B715" s="1"/>
      <c r="C715" s="1"/>
      <c r="G715" s="3"/>
      <c r="H715" s="13"/>
      <c r="I715" s="3"/>
      <c r="N715" s="12"/>
    </row>
    <row r="716" spans="1:14" x14ac:dyDescent="0.3">
      <c r="A716" s="12"/>
      <c r="B716" s="1"/>
      <c r="C716" s="1"/>
      <c r="G716" s="3"/>
      <c r="H716" s="13"/>
      <c r="I716" s="3"/>
      <c r="N716" s="12"/>
    </row>
    <row r="717" spans="1:14" x14ac:dyDescent="0.3">
      <c r="A717" s="12"/>
      <c r="B717" s="1"/>
      <c r="C717" s="1"/>
      <c r="G717" s="3"/>
      <c r="H717" s="13"/>
      <c r="I717" s="3"/>
      <c r="N717" s="12"/>
    </row>
    <row r="718" spans="1:14" x14ac:dyDescent="0.3">
      <c r="A718" s="12"/>
      <c r="B718" s="1"/>
      <c r="C718" s="1"/>
      <c r="G718" s="3"/>
      <c r="H718" s="13"/>
      <c r="I718" s="3"/>
      <c r="N718" s="12"/>
    </row>
    <row r="719" spans="1:14" x14ac:dyDescent="0.3">
      <c r="A719" s="12"/>
      <c r="B719" s="1"/>
      <c r="C719" s="1"/>
      <c r="G719" s="3"/>
      <c r="H719" s="13"/>
      <c r="I719" s="3"/>
      <c r="N719" s="12"/>
    </row>
    <row r="720" spans="1:14" x14ac:dyDescent="0.3">
      <c r="A720" s="12"/>
      <c r="B720" s="1"/>
      <c r="C720" s="1"/>
      <c r="G720" s="3"/>
      <c r="H720" s="13"/>
      <c r="I720" s="3"/>
      <c r="N720" s="12"/>
    </row>
    <row r="721" spans="1:14" x14ac:dyDescent="0.3">
      <c r="A721" s="12"/>
      <c r="B721" s="1"/>
      <c r="C721" s="1"/>
      <c r="G721" s="3"/>
      <c r="H721" s="13"/>
      <c r="I721" s="3"/>
      <c r="N721" s="12"/>
    </row>
    <row r="722" spans="1:14" x14ac:dyDescent="0.3">
      <c r="A722" s="12"/>
      <c r="B722" s="1"/>
      <c r="C722" s="1"/>
      <c r="G722" s="3"/>
      <c r="H722" s="13"/>
      <c r="I722" s="3"/>
      <c r="N722" s="12"/>
    </row>
    <row r="723" spans="1:14" x14ac:dyDescent="0.3">
      <c r="A723" s="12"/>
      <c r="B723" s="1"/>
      <c r="C723" s="1"/>
      <c r="G723" s="3"/>
      <c r="H723" s="13"/>
      <c r="I723" s="3"/>
      <c r="N723" s="12"/>
    </row>
    <row r="724" spans="1:14" x14ac:dyDescent="0.3">
      <c r="A724" s="12"/>
      <c r="B724" s="1"/>
      <c r="C724" s="1"/>
      <c r="G724" s="3"/>
      <c r="H724" s="13"/>
      <c r="I724" s="3"/>
      <c r="N724" s="12"/>
    </row>
    <row r="725" spans="1:14" x14ac:dyDescent="0.3">
      <c r="A725" s="12"/>
      <c r="B725" s="1"/>
      <c r="C725" s="1"/>
      <c r="G725" s="3"/>
      <c r="H725" s="13"/>
      <c r="I725" s="3"/>
      <c r="N725" s="12"/>
    </row>
    <row r="726" spans="1:14" x14ac:dyDescent="0.3">
      <c r="A726" s="12"/>
      <c r="B726" s="1"/>
      <c r="C726" s="1"/>
      <c r="G726" s="3"/>
      <c r="H726" s="13"/>
      <c r="I726" s="3"/>
      <c r="N726" s="12"/>
    </row>
    <row r="727" spans="1:14" x14ac:dyDescent="0.3">
      <c r="A727" s="12"/>
      <c r="B727" s="1"/>
      <c r="C727" s="1"/>
      <c r="G727" s="3"/>
      <c r="H727" s="13"/>
      <c r="I727" s="3"/>
      <c r="N727" s="12"/>
    </row>
    <row r="728" spans="1:14" x14ac:dyDescent="0.3">
      <c r="A728" s="12"/>
      <c r="B728" s="1"/>
      <c r="C728" s="1"/>
      <c r="G728" s="3"/>
      <c r="H728" s="13"/>
      <c r="I728" s="3"/>
      <c r="N728" s="12"/>
    </row>
    <row r="729" spans="1:14" x14ac:dyDescent="0.3">
      <c r="A729" s="12"/>
      <c r="B729" s="1"/>
      <c r="C729" s="1"/>
      <c r="G729" s="3"/>
      <c r="H729" s="13"/>
      <c r="I729" s="3"/>
      <c r="N729" s="12"/>
    </row>
    <row r="730" spans="1:14" x14ac:dyDescent="0.3">
      <c r="A730" s="12"/>
      <c r="B730" s="1"/>
      <c r="C730" s="1"/>
      <c r="G730" s="3"/>
      <c r="H730" s="13"/>
      <c r="I730" s="3"/>
      <c r="N730" s="12"/>
    </row>
    <row r="731" spans="1:14" x14ac:dyDescent="0.3">
      <c r="A731" s="12"/>
      <c r="B731" s="1"/>
      <c r="C731" s="1"/>
      <c r="G731" s="3"/>
      <c r="H731" s="13"/>
      <c r="I731" s="3"/>
      <c r="N731" s="12"/>
    </row>
    <row r="732" spans="1:14" x14ac:dyDescent="0.3">
      <c r="A732" s="12"/>
      <c r="B732" s="1"/>
      <c r="C732" s="1"/>
      <c r="G732" s="3"/>
      <c r="H732" s="13"/>
      <c r="I732" s="3"/>
      <c r="N732" s="12"/>
    </row>
    <row r="733" spans="1:14" x14ac:dyDescent="0.3">
      <c r="A733" s="12"/>
      <c r="B733" s="1"/>
      <c r="C733" s="1"/>
      <c r="G733" s="3"/>
      <c r="H733" s="13"/>
      <c r="I733" s="3"/>
      <c r="N733" s="12"/>
    </row>
    <row r="734" spans="1:14" x14ac:dyDescent="0.3">
      <c r="A734" s="12"/>
      <c r="B734" s="1"/>
      <c r="C734" s="1"/>
      <c r="G734" s="3"/>
      <c r="H734" s="13"/>
      <c r="I734" s="3"/>
      <c r="N734" s="12"/>
    </row>
    <row r="735" spans="1:14" x14ac:dyDescent="0.3">
      <c r="A735" s="12"/>
      <c r="B735" s="1"/>
      <c r="C735" s="1"/>
      <c r="G735" s="3"/>
      <c r="H735" s="13"/>
      <c r="I735" s="3"/>
      <c r="N735" s="12"/>
    </row>
    <row r="736" spans="1:14" x14ac:dyDescent="0.3">
      <c r="A736" s="12"/>
      <c r="B736" s="1"/>
      <c r="C736" s="1"/>
      <c r="G736" s="3"/>
      <c r="H736" s="13"/>
      <c r="I736" s="3"/>
      <c r="N736" s="12"/>
    </row>
    <row r="737" spans="1:14" x14ac:dyDescent="0.3">
      <c r="A737" s="12"/>
      <c r="B737" s="1"/>
      <c r="C737" s="1"/>
      <c r="G737" s="3"/>
      <c r="H737" s="13"/>
      <c r="I737" s="3"/>
      <c r="N737" s="12"/>
    </row>
    <row r="738" spans="1:14" x14ac:dyDescent="0.3">
      <c r="A738" s="12"/>
      <c r="B738" s="1"/>
      <c r="C738" s="1"/>
      <c r="G738" s="3"/>
      <c r="H738" s="13"/>
      <c r="I738" s="3"/>
      <c r="N738" s="12"/>
    </row>
    <row r="739" spans="1:14" x14ac:dyDescent="0.3">
      <c r="A739" s="12"/>
      <c r="B739" s="1"/>
      <c r="C739" s="1"/>
      <c r="G739" s="3"/>
      <c r="H739" s="13"/>
      <c r="I739" s="3"/>
      <c r="N739" s="12"/>
    </row>
    <row r="740" spans="1:14" x14ac:dyDescent="0.3">
      <c r="A740" s="12"/>
      <c r="B740" s="1"/>
      <c r="C740" s="1"/>
      <c r="G740" s="3"/>
      <c r="H740" s="13"/>
      <c r="I740" s="3"/>
      <c r="N740" s="12"/>
    </row>
    <row r="741" spans="1:14" x14ac:dyDescent="0.3">
      <c r="A741" s="12"/>
      <c r="B741" s="1"/>
      <c r="C741" s="1"/>
      <c r="G741" s="3"/>
      <c r="H741" s="13"/>
      <c r="I741" s="3"/>
      <c r="N741" s="12"/>
    </row>
    <row r="742" spans="1:14" x14ac:dyDescent="0.3">
      <c r="A742" s="12"/>
      <c r="B742" s="1"/>
      <c r="C742" s="1"/>
      <c r="G742" s="3"/>
      <c r="H742" s="13"/>
      <c r="I742" s="3"/>
      <c r="N742" s="12"/>
    </row>
    <row r="743" spans="1:14" x14ac:dyDescent="0.3">
      <c r="A743" s="12"/>
      <c r="B743" s="1"/>
      <c r="C743" s="1"/>
      <c r="G743" s="3"/>
      <c r="H743" s="13"/>
      <c r="I743" s="3"/>
      <c r="N743" s="12"/>
    </row>
    <row r="744" spans="1:14" x14ac:dyDescent="0.3">
      <c r="A744" s="12"/>
      <c r="B744" s="1"/>
      <c r="C744" s="1"/>
      <c r="G744" s="3"/>
      <c r="H744" s="13"/>
      <c r="I744" s="3"/>
      <c r="N744" s="12"/>
    </row>
    <row r="745" spans="1:14" x14ac:dyDescent="0.3">
      <c r="A745" s="12"/>
      <c r="B745" s="1"/>
      <c r="C745" s="1"/>
      <c r="G745" s="3"/>
      <c r="H745" s="13"/>
      <c r="I745" s="3"/>
      <c r="N745" s="12"/>
    </row>
    <row r="746" spans="1:14" x14ac:dyDescent="0.3">
      <c r="A746" s="12"/>
      <c r="B746" s="1"/>
      <c r="C746" s="1"/>
      <c r="G746" s="3"/>
      <c r="H746" s="13"/>
      <c r="I746" s="3"/>
      <c r="N746" s="12"/>
    </row>
    <row r="747" spans="1:14" x14ac:dyDescent="0.3">
      <c r="A747" s="12"/>
      <c r="B747" s="1"/>
      <c r="C747" s="1"/>
      <c r="G747" s="3"/>
      <c r="H747" s="13"/>
      <c r="I747" s="3"/>
      <c r="N747" s="12"/>
    </row>
    <row r="748" spans="1:14" x14ac:dyDescent="0.3">
      <c r="A748" s="12"/>
      <c r="B748" s="1"/>
      <c r="C748" s="1"/>
      <c r="G748" s="3"/>
      <c r="H748" s="13"/>
      <c r="I748" s="3"/>
      <c r="N748" s="12"/>
    </row>
    <row r="749" spans="1:14" x14ac:dyDescent="0.3">
      <c r="A749" s="12"/>
      <c r="B749" s="1"/>
      <c r="C749" s="1"/>
      <c r="G749" s="3"/>
      <c r="H749" s="13"/>
      <c r="I749" s="3"/>
      <c r="N749" s="12"/>
    </row>
    <row r="750" spans="1:14" x14ac:dyDescent="0.3">
      <c r="A750" s="12"/>
      <c r="B750" s="1"/>
      <c r="C750" s="1"/>
      <c r="G750" s="3"/>
      <c r="H750" s="13"/>
      <c r="I750" s="3"/>
      <c r="N750" s="12"/>
    </row>
    <row r="751" spans="1:14" x14ac:dyDescent="0.3">
      <c r="A751" s="12"/>
      <c r="B751" s="1"/>
      <c r="C751" s="1"/>
      <c r="G751" s="3"/>
      <c r="H751" s="13"/>
      <c r="I751" s="3"/>
      <c r="N751" s="12"/>
    </row>
    <row r="752" spans="1:14" x14ac:dyDescent="0.3">
      <c r="A752" s="12"/>
      <c r="B752" s="1"/>
      <c r="C752" s="1"/>
      <c r="G752" s="3"/>
      <c r="H752" s="13"/>
      <c r="I752" s="3"/>
      <c r="N752" s="12"/>
    </row>
    <row r="753" spans="1:14" x14ac:dyDescent="0.3">
      <c r="A753" s="12"/>
      <c r="B753" s="1"/>
      <c r="C753" s="1"/>
      <c r="G753" s="3"/>
      <c r="H753" s="13"/>
      <c r="I753" s="3"/>
      <c r="N753" s="12"/>
    </row>
    <row r="754" spans="1:14" x14ac:dyDescent="0.3">
      <c r="A754" s="12"/>
      <c r="B754" s="1"/>
      <c r="C754" s="1"/>
      <c r="G754" s="3"/>
      <c r="H754" s="13"/>
      <c r="I754" s="3"/>
      <c r="N754" s="12"/>
    </row>
    <row r="755" spans="1:14" x14ac:dyDescent="0.3">
      <c r="A755" s="12"/>
      <c r="B755" s="1"/>
      <c r="C755" s="1"/>
      <c r="G755" s="3"/>
      <c r="H755" s="13"/>
      <c r="I755" s="3"/>
      <c r="N755" s="12"/>
    </row>
    <row r="756" spans="1:14" x14ac:dyDescent="0.3">
      <c r="A756" s="12"/>
      <c r="B756" s="1"/>
      <c r="C756" s="1"/>
      <c r="G756" s="3"/>
      <c r="H756" s="13"/>
      <c r="I756" s="3"/>
      <c r="N756" s="12"/>
    </row>
    <row r="757" spans="1:14" x14ac:dyDescent="0.3">
      <c r="A757" s="12"/>
      <c r="B757" s="1"/>
      <c r="C757" s="1"/>
      <c r="G757" s="3"/>
      <c r="H757" s="13"/>
      <c r="I757" s="3"/>
      <c r="N757" s="12"/>
    </row>
    <row r="758" spans="1:14" x14ac:dyDescent="0.3">
      <c r="A758" s="12"/>
      <c r="B758" s="1"/>
      <c r="C758" s="1"/>
      <c r="G758" s="3"/>
      <c r="H758" s="13"/>
      <c r="I758" s="3"/>
      <c r="N758" s="12"/>
    </row>
    <row r="759" spans="1:14" x14ac:dyDescent="0.3">
      <c r="A759" s="12"/>
      <c r="B759" s="1"/>
      <c r="C759" s="1"/>
      <c r="G759" s="3"/>
      <c r="H759" s="13"/>
      <c r="I759" s="3"/>
      <c r="N759" s="12"/>
    </row>
    <row r="760" spans="1:14" x14ac:dyDescent="0.3">
      <c r="A760" s="12"/>
      <c r="B760" s="1"/>
      <c r="C760" s="1"/>
      <c r="G760" s="3"/>
      <c r="H760" s="13"/>
      <c r="I760" s="3"/>
      <c r="N760" s="12"/>
    </row>
    <row r="761" spans="1:14" x14ac:dyDescent="0.3">
      <c r="A761" s="12"/>
      <c r="B761" s="1"/>
      <c r="C761" s="1"/>
      <c r="G761" s="3"/>
      <c r="H761" s="13"/>
      <c r="I761" s="3"/>
      <c r="N761" s="12"/>
    </row>
    <row r="762" spans="1:14" x14ac:dyDescent="0.3">
      <c r="A762" s="12"/>
      <c r="B762" s="1"/>
      <c r="C762" s="1"/>
      <c r="G762" s="3"/>
      <c r="H762" s="13"/>
      <c r="I762" s="3"/>
      <c r="N762" s="12"/>
    </row>
    <row r="763" spans="1:14" x14ac:dyDescent="0.3">
      <c r="A763" s="12"/>
      <c r="B763" s="1"/>
      <c r="C763" s="1"/>
      <c r="G763" s="3"/>
      <c r="H763" s="13"/>
      <c r="I763" s="3"/>
      <c r="N763" s="12"/>
    </row>
    <row r="764" spans="1:14" x14ac:dyDescent="0.3">
      <c r="A764" s="12"/>
      <c r="B764" s="1"/>
      <c r="C764" s="1"/>
      <c r="G764" s="3"/>
      <c r="H764" s="13"/>
      <c r="I764" s="3"/>
      <c r="N764" s="12"/>
    </row>
    <row r="765" spans="1:14" x14ac:dyDescent="0.3">
      <c r="A765" s="12"/>
      <c r="B765" s="1"/>
      <c r="C765" s="1"/>
      <c r="G765" s="3"/>
      <c r="H765" s="13"/>
      <c r="I765" s="3"/>
      <c r="N765" s="12"/>
    </row>
    <row r="766" spans="1:14" x14ac:dyDescent="0.3">
      <c r="A766" s="12"/>
      <c r="B766" s="1"/>
      <c r="C766" s="1"/>
      <c r="G766" s="3"/>
      <c r="H766" s="13"/>
      <c r="I766" s="3"/>
      <c r="N766" s="12"/>
    </row>
    <row r="767" spans="1:14" x14ac:dyDescent="0.3">
      <c r="A767" s="12"/>
      <c r="B767" s="1"/>
      <c r="C767" s="1"/>
      <c r="G767" s="3"/>
      <c r="H767" s="13"/>
      <c r="I767" s="3"/>
      <c r="N767" s="12"/>
    </row>
    <row r="768" spans="1:14" x14ac:dyDescent="0.3">
      <c r="A768" s="12"/>
      <c r="B768" s="1"/>
      <c r="C768" s="1"/>
      <c r="G768" s="3"/>
      <c r="H768" s="13"/>
      <c r="I768" s="3"/>
      <c r="N768" s="12"/>
    </row>
    <row r="769" spans="1:14" x14ac:dyDescent="0.3">
      <c r="A769" s="12"/>
      <c r="B769" s="1"/>
      <c r="C769" s="1"/>
      <c r="G769" s="3"/>
      <c r="H769" s="13"/>
      <c r="I769" s="3"/>
      <c r="N769" s="12"/>
    </row>
    <row r="770" spans="1:14" x14ac:dyDescent="0.3">
      <c r="A770" s="12"/>
      <c r="B770" s="1"/>
      <c r="C770" s="1"/>
      <c r="G770" s="3"/>
      <c r="H770" s="13"/>
      <c r="I770" s="3"/>
      <c r="N770" s="12"/>
    </row>
    <row r="771" spans="1:14" x14ac:dyDescent="0.3">
      <c r="A771" s="12"/>
      <c r="B771" s="1"/>
      <c r="C771" s="1"/>
      <c r="G771" s="3"/>
      <c r="H771" s="13"/>
      <c r="I771" s="3"/>
      <c r="N771" s="12"/>
    </row>
    <row r="772" spans="1:14" x14ac:dyDescent="0.3">
      <c r="A772" s="12"/>
      <c r="B772" s="1"/>
      <c r="C772" s="1"/>
      <c r="G772" s="3"/>
      <c r="H772" s="13"/>
      <c r="I772" s="3"/>
      <c r="N772" s="12"/>
    </row>
    <row r="773" spans="1:14" x14ac:dyDescent="0.3">
      <c r="A773" s="12"/>
      <c r="B773" s="1"/>
      <c r="C773" s="1"/>
      <c r="G773" s="3"/>
      <c r="H773" s="13"/>
      <c r="I773" s="3"/>
      <c r="N773" s="12"/>
    </row>
    <row r="774" spans="1:14" x14ac:dyDescent="0.3">
      <c r="A774" s="12"/>
      <c r="B774" s="1"/>
      <c r="C774" s="1"/>
      <c r="G774" s="3"/>
      <c r="H774" s="13"/>
      <c r="I774" s="3"/>
      <c r="N774" s="12"/>
    </row>
    <row r="775" spans="1:14" x14ac:dyDescent="0.3">
      <c r="A775" s="12"/>
      <c r="B775" s="1"/>
      <c r="C775" s="1"/>
      <c r="G775" s="3"/>
      <c r="H775" s="13"/>
      <c r="I775" s="3"/>
      <c r="N775" s="12"/>
    </row>
    <row r="776" spans="1:14" x14ac:dyDescent="0.3">
      <c r="A776" s="12"/>
      <c r="B776" s="1"/>
      <c r="C776" s="1"/>
      <c r="G776" s="3"/>
      <c r="H776" s="13"/>
      <c r="I776" s="3"/>
      <c r="N776" s="12"/>
    </row>
    <row r="777" spans="1:14" x14ac:dyDescent="0.3">
      <c r="A777" s="12"/>
      <c r="B777" s="1"/>
      <c r="C777" s="1"/>
      <c r="G777" s="3"/>
      <c r="H777" s="13"/>
      <c r="I777" s="3"/>
      <c r="N777" s="12"/>
    </row>
    <row r="778" spans="1:14" x14ac:dyDescent="0.3">
      <c r="A778" s="12"/>
      <c r="B778" s="1"/>
      <c r="C778" s="1"/>
      <c r="G778" s="3"/>
      <c r="H778" s="13"/>
      <c r="I778" s="3"/>
      <c r="N778" s="12"/>
    </row>
    <row r="779" spans="1:14" x14ac:dyDescent="0.3">
      <c r="A779" s="12"/>
      <c r="B779" s="1"/>
      <c r="C779" s="1"/>
      <c r="G779" s="3"/>
      <c r="H779" s="13"/>
      <c r="I779" s="3"/>
      <c r="N779" s="12"/>
    </row>
    <row r="780" spans="1:14" x14ac:dyDescent="0.3">
      <c r="A780" s="12"/>
      <c r="B780" s="1"/>
      <c r="C780" s="1"/>
      <c r="G780" s="3"/>
      <c r="H780" s="13"/>
      <c r="I780" s="3"/>
      <c r="N780" s="12"/>
    </row>
    <row r="781" spans="1:14" x14ac:dyDescent="0.3">
      <c r="A781" s="12"/>
      <c r="B781" s="1"/>
      <c r="C781" s="1"/>
      <c r="G781" s="3"/>
      <c r="H781" s="13"/>
      <c r="I781" s="3"/>
      <c r="N781" s="12"/>
    </row>
    <row r="782" spans="1:14" x14ac:dyDescent="0.3">
      <c r="A782" s="12"/>
      <c r="B782" s="1"/>
      <c r="C782" s="1"/>
      <c r="G782" s="3"/>
      <c r="H782" s="13"/>
      <c r="I782" s="3"/>
      <c r="N782" s="12"/>
    </row>
    <row r="783" spans="1:14" x14ac:dyDescent="0.3">
      <c r="A783" s="12"/>
      <c r="B783" s="1"/>
      <c r="C783" s="1"/>
      <c r="G783" s="3"/>
      <c r="H783" s="13"/>
      <c r="I783" s="3"/>
      <c r="N783" s="12"/>
    </row>
    <row r="784" spans="1:14" x14ac:dyDescent="0.3">
      <c r="A784" s="12"/>
      <c r="B784" s="1"/>
      <c r="C784" s="1"/>
      <c r="G784" s="3"/>
      <c r="H784" s="13"/>
      <c r="I784" s="3"/>
      <c r="N784" s="12"/>
    </row>
    <row r="785" spans="1:14" x14ac:dyDescent="0.3">
      <c r="A785" s="12"/>
      <c r="B785" s="1"/>
      <c r="C785" s="1"/>
      <c r="G785" s="3"/>
      <c r="H785" s="13"/>
      <c r="I785" s="3"/>
      <c r="N785" s="12"/>
    </row>
    <row r="786" spans="1:14" x14ac:dyDescent="0.3">
      <c r="A786" s="12"/>
      <c r="B786" s="1"/>
      <c r="C786" s="1"/>
      <c r="G786" s="3"/>
      <c r="H786" s="13"/>
      <c r="I786" s="3"/>
      <c r="N786" s="12"/>
    </row>
    <row r="787" spans="1:14" x14ac:dyDescent="0.3">
      <c r="A787" s="12"/>
      <c r="B787" s="1"/>
      <c r="C787" s="1"/>
      <c r="G787" s="3"/>
      <c r="H787" s="13"/>
      <c r="I787" s="3"/>
      <c r="N787" s="12"/>
    </row>
    <row r="788" spans="1:14" x14ac:dyDescent="0.3">
      <c r="A788" s="12"/>
      <c r="B788" s="1"/>
      <c r="C788" s="1"/>
      <c r="G788" s="3"/>
      <c r="H788" s="13"/>
      <c r="I788" s="3"/>
      <c r="N788" s="12"/>
    </row>
    <row r="789" spans="1:14" x14ac:dyDescent="0.3">
      <c r="A789" s="12"/>
      <c r="B789" s="1"/>
      <c r="C789" s="1"/>
      <c r="G789" s="3"/>
      <c r="H789" s="13"/>
      <c r="I789" s="3"/>
      <c r="N789" s="12"/>
    </row>
    <row r="790" spans="1:14" x14ac:dyDescent="0.3">
      <c r="A790" s="12"/>
      <c r="B790" s="1"/>
      <c r="C790" s="1"/>
      <c r="G790" s="3"/>
      <c r="H790" s="13"/>
      <c r="I790" s="3"/>
      <c r="N790" s="12"/>
    </row>
    <row r="791" spans="1:14" x14ac:dyDescent="0.3">
      <c r="A791" s="12"/>
      <c r="B791" s="1"/>
      <c r="C791" s="1"/>
      <c r="G791" s="3"/>
      <c r="H791" s="13"/>
      <c r="I791" s="3"/>
      <c r="N791" s="12"/>
    </row>
    <row r="792" spans="1:14" x14ac:dyDescent="0.3">
      <c r="A792" s="12"/>
      <c r="B792" s="1"/>
      <c r="C792" s="1"/>
      <c r="G792" s="3"/>
      <c r="H792" s="13"/>
      <c r="I792" s="3"/>
      <c r="N792" s="12"/>
    </row>
    <row r="793" spans="1:14" x14ac:dyDescent="0.3">
      <c r="A793" s="12"/>
      <c r="B793" s="1"/>
      <c r="C793" s="1"/>
      <c r="G793" s="3"/>
      <c r="H793" s="13"/>
      <c r="I793" s="3"/>
      <c r="N793" s="12"/>
    </row>
    <row r="794" spans="1:14" x14ac:dyDescent="0.3">
      <c r="A794" s="12"/>
      <c r="B794" s="1"/>
      <c r="C794" s="1"/>
      <c r="G794" s="3"/>
      <c r="H794" s="13"/>
      <c r="I794" s="3"/>
      <c r="N794" s="12"/>
    </row>
    <row r="795" spans="1:14" x14ac:dyDescent="0.3">
      <c r="A795" s="12"/>
      <c r="B795" s="1"/>
      <c r="C795" s="1"/>
      <c r="G795" s="3"/>
      <c r="H795" s="13"/>
      <c r="I795" s="3"/>
      <c r="N795" s="12"/>
    </row>
    <row r="796" spans="1:14" x14ac:dyDescent="0.3">
      <c r="A796" s="12"/>
      <c r="B796" s="1"/>
      <c r="C796" s="1"/>
      <c r="G796" s="3"/>
      <c r="H796" s="13"/>
      <c r="I796" s="3"/>
      <c r="N796" s="12"/>
    </row>
    <row r="797" spans="1:14" x14ac:dyDescent="0.3">
      <c r="A797" s="12"/>
      <c r="B797" s="1"/>
      <c r="C797" s="1"/>
      <c r="G797" s="3"/>
      <c r="H797" s="13"/>
      <c r="I797" s="3"/>
      <c r="N797" s="12"/>
    </row>
    <row r="798" spans="1:14" x14ac:dyDescent="0.3">
      <c r="A798" s="12"/>
      <c r="B798" s="1"/>
      <c r="C798" s="1"/>
      <c r="G798" s="3"/>
      <c r="H798" s="13"/>
      <c r="I798" s="3"/>
      <c r="N798" s="12"/>
    </row>
    <row r="799" spans="1:14" x14ac:dyDescent="0.3">
      <c r="A799" s="12"/>
      <c r="B799" s="1"/>
      <c r="C799" s="1"/>
      <c r="G799" s="3"/>
      <c r="H799" s="13"/>
      <c r="I799" s="3"/>
      <c r="N799" s="12"/>
    </row>
    <row r="800" spans="1:14" x14ac:dyDescent="0.3">
      <c r="A800" s="12"/>
      <c r="B800" s="1"/>
      <c r="C800" s="1"/>
      <c r="G800" s="3"/>
      <c r="H800" s="13"/>
      <c r="I800" s="3"/>
      <c r="N800" s="12"/>
    </row>
    <row r="801" spans="1:14" x14ac:dyDescent="0.3">
      <c r="A801" s="12"/>
      <c r="B801" s="1"/>
      <c r="C801" s="1"/>
      <c r="G801" s="3"/>
      <c r="H801" s="13"/>
      <c r="I801" s="3"/>
      <c r="N801" s="12"/>
    </row>
    <row r="802" spans="1:14" x14ac:dyDescent="0.3">
      <c r="A802" s="12"/>
      <c r="B802" s="1"/>
      <c r="C802" s="1"/>
      <c r="G802" s="3"/>
      <c r="H802" s="13"/>
      <c r="I802" s="3"/>
      <c r="N802" s="12"/>
    </row>
    <row r="803" spans="1:14" x14ac:dyDescent="0.3">
      <c r="A803" s="12"/>
      <c r="B803" s="1"/>
      <c r="C803" s="1"/>
      <c r="G803" s="3"/>
      <c r="H803" s="13"/>
      <c r="I803" s="3"/>
      <c r="N803" s="12"/>
    </row>
    <row r="804" spans="1:14" x14ac:dyDescent="0.3">
      <c r="A804" s="12"/>
      <c r="B804" s="1"/>
      <c r="C804" s="1"/>
      <c r="G804" s="3"/>
      <c r="H804" s="13"/>
      <c r="I804" s="3"/>
      <c r="N804" s="12"/>
    </row>
    <row r="805" spans="1:14" x14ac:dyDescent="0.3">
      <c r="A805" s="12"/>
      <c r="B805" s="1"/>
      <c r="C805" s="1"/>
      <c r="G805" s="3"/>
      <c r="H805" s="13"/>
      <c r="I805" s="3"/>
      <c r="N805" s="12"/>
    </row>
    <row r="806" spans="1:14" x14ac:dyDescent="0.3">
      <c r="A806" s="12"/>
      <c r="B806" s="1"/>
      <c r="C806" s="1"/>
      <c r="G806" s="3"/>
      <c r="H806" s="13"/>
      <c r="I806" s="3"/>
      <c r="N806" s="12"/>
    </row>
    <row r="807" spans="1:14" x14ac:dyDescent="0.3">
      <c r="A807" s="12"/>
      <c r="B807" s="1"/>
      <c r="C807" s="1"/>
      <c r="G807" s="3"/>
      <c r="H807" s="13"/>
      <c r="I807" s="3"/>
      <c r="N807" s="12"/>
    </row>
    <row r="808" spans="1:14" x14ac:dyDescent="0.3">
      <c r="A808" s="12"/>
      <c r="B808" s="1"/>
      <c r="C808" s="1"/>
      <c r="G808" s="3"/>
      <c r="H808" s="13"/>
      <c r="I808" s="3"/>
      <c r="N808" s="12"/>
    </row>
    <row r="809" spans="1:14" x14ac:dyDescent="0.3">
      <c r="A809" s="12"/>
      <c r="B809" s="1"/>
      <c r="C809" s="1"/>
      <c r="G809" s="3"/>
      <c r="H809" s="13"/>
      <c r="I809" s="3"/>
      <c r="N809" s="12"/>
    </row>
    <row r="810" spans="1:14" x14ac:dyDescent="0.3">
      <c r="A810" s="12"/>
      <c r="B810" s="1"/>
      <c r="C810" s="1"/>
      <c r="G810" s="3"/>
      <c r="H810" s="13"/>
      <c r="I810" s="3"/>
      <c r="N810" s="12"/>
    </row>
    <row r="811" spans="1:14" x14ac:dyDescent="0.3">
      <c r="A811" s="12"/>
      <c r="B811" s="1"/>
      <c r="C811" s="1"/>
      <c r="G811" s="3"/>
      <c r="H811" s="13"/>
      <c r="I811" s="3"/>
      <c r="N811" s="12"/>
    </row>
    <row r="812" spans="1:14" x14ac:dyDescent="0.3">
      <c r="A812" s="12"/>
      <c r="B812" s="1"/>
      <c r="C812" s="1"/>
      <c r="G812" s="3"/>
      <c r="H812" s="13"/>
      <c r="I812" s="3"/>
      <c r="N812" s="12"/>
    </row>
    <row r="813" spans="1:14" x14ac:dyDescent="0.3">
      <c r="A813" s="12"/>
      <c r="B813" s="1"/>
      <c r="C813" s="1"/>
      <c r="G813" s="3"/>
      <c r="H813" s="13"/>
      <c r="I813" s="3"/>
      <c r="N813" s="12"/>
    </row>
    <row r="814" spans="1:14" x14ac:dyDescent="0.3">
      <c r="A814" s="12"/>
      <c r="B814" s="1"/>
      <c r="C814" s="1"/>
      <c r="G814" s="3"/>
      <c r="H814" s="13"/>
      <c r="I814" s="3"/>
      <c r="N814" s="12"/>
    </row>
    <row r="815" spans="1:14" x14ac:dyDescent="0.3">
      <c r="A815" s="12"/>
      <c r="B815" s="1"/>
      <c r="C815" s="1"/>
      <c r="G815" s="3"/>
      <c r="H815" s="13"/>
      <c r="I815" s="3"/>
      <c r="N815" s="12"/>
    </row>
    <row r="816" spans="1:14" x14ac:dyDescent="0.3">
      <c r="A816" s="12"/>
      <c r="B816" s="1"/>
      <c r="C816" s="1"/>
      <c r="G816" s="3"/>
      <c r="H816" s="13"/>
      <c r="I816" s="3"/>
      <c r="N816" s="12"/>
    </row>
    <row r="817" spans="1:14" x14ac:dyDescent="0.3">
      <c r="A817" s="12"/>
      <c r="B817" s="1"/>
      <c r="C817" s="1"/>
      <c r="G817" s="3"/>
      <c r="H817" s="13"/>
      <c r="I817" s="3"/>
      <c r="N817" s="12"/>
    </row>
    <row r="818" spans="1:14" x14ac:dyDescent="0.3">
      <c r="A818" s="12"/>
      <c r="B818" s="1"/>
      <c r="C818" s="1"/>
      <c r="G818" s="3"/>
      <c r="H818" s="13"/>
      <c r="I818" s="3"/>
      <c r="N818" s="12"/>
    </row>
    <row r="819" spans="1:14" x14ac:dyDescent="0.3">
      <c r="A819" s="12"/>
      <c r="B819" s="1"/>
      <c r="C819" s="1"/>
      <c r="G819" s="3"/>
      <c r="H819" s="13"/>
      <c r="I819" s="3"/>
      <c r="N819" s="12"/>
    </row>
    <row r="820" spans="1:14" x14ac:dyDescent="0.3">
      <c r="A820" s="12"/>
      <c r="B820" s="1"/>
      <c r="C820" s="1"/>
      <c r="G820" s="3"/>
      <c r="H820" s="13"/>
      <c r="I820" s="3"/>
      <c r="N820" s="12"/>
    </row>
    <row r="821" spans="1:14" x14ac:dyDescent="0.3">
      <c r="A821" s="12"/>
      <c r="B821" s="1"/>
      <c r="C821" s="1"/>
      <c r="G821" s="3"/>
      <c r="H821" s="13"/>
      <c r="I821" s="3"/>
      <c r="N821" s="12"/>
    </row>
    <row r="822" spans="1:14" x14ac:dyDescent="0.3">
      <c r="A822" s="12"/>
      <c r="B822" s="1"/>
      <c r="C822" s="1"/>
      <c r="G822" s="3"/>
      <c r="H822" s="13"/>
      <c r="I822" s="3"/>
      <c r="N822" s="12"/>
    </row>
    <row r="823" spans="1:14" x14ac:dyDescent="0.3">
      <c r="A823" s="12"/>
      <c r="B823" s="1"/>
      <c r="C823" s="1"/>
      <c r="G823" s="3"/>
      <c r="H823" s="13"/>
      <c r="I823" s="3"/>
      <c r="N823" s="12"/>
    </row>
    <row r="824" spans="1:14" x14ac:dyDescent="0.3">
      <c r="A824" s="12"/>
      <c r="B824" s="1"/>
      <c r="C824" s="1"/>
      <c r="G824" s="3"/>
      <c r="H824" s="13"/>
      <c r="I824" s="3"/>
      <c r="N824" s="12"/>
    </row>
    <row r="825" spans="1:14" x14ac:dyDescent="0.3">
      <c r="A825" s="12"/>
      <c r="B825" s="1"/>
      <c r="C825" s="1"/>
      <c r="G825" s="3"/>
      <c r="H825" s="13"/>
      <c r="I825" s="3"/>
      <c r="N825" s="12"/>
    </row>
    <row r="826" spans="1:14" x14ac:dyDescent="0.3">
      <c r="A826" s="12"/>
      <c r="B826" s="1"/>
      <c r="C826" s="1"/>
      <c r="G826" s="3"/>
      <c r="H826" s="13"/>
      <c r="I826" s="3"/>
      <c r="N826" s="12"/>
    </row>
    <row r="827" spans="1:14" x14ac:dyDescent="0.3">
      <c r="A827" s="12"/>
      <c r="B827" s="1"/>
      <c r="C827" s="1"/>
      <c r="G827" s="3"/>
      <c r="H827" s="13"/>
      <c r="I827" s="3"/>
      <c r="N827" s="12"/>
    </row>
    <row r="828" spans="1:14" x14ac:dyDescent="0.3">
      <c r="A828" s="12"/>
      <c r="B828" s="1"/>
      <c r="C828" s="1"/>
      <c r="G828" s="3"/>
      <c r="H828" s="13"/>
      <c r="I828" s="3"/>
      <c r="N828" s="12"/>
    </row>
    <row r="829" spans="1:14" x14ac:dyDescent="0.3">
      <c r="A829" s="12"/>
      <c r="B829" s="1"/>
      <c r="C829" s="1"/>
      <c r="G829" s="3"/>
      <c r="H829" s="13"/>
      <c r="I829" s="3"/>
      <c r="N829" s="12"/>
    </row>
    <row r="830" spans="1:14" x14ac:dyDescent="0.3">
      <c r="A830" s="12"/>
      <c r="B830" s="1"/>
      <c r="C830" s="1"/>
      <c r="G830" s="3"/>
      <c r="H830" s="13"/>
      <c r="I830" s="3"/>
      <c r="N830" s="12"/>
    </row>
    <row r="831" spans="1:14" x14ac:dyDescent="0.3">
      <c r="A831" s="12"/>
      <c r="B831" s="1"/>
      <c r="C831" s="1"/>
      <c r="G831" s="3"/>
      <c r="H831" s="13"/>
      <c r="I831" s="3"/>
      <c r="N831" s="12"/>
    </row>
    <row r="832" spans="1:14" x14ac:dyDescent="0.3">
      <c r="A832" s="12"/>
      <c r="B832" s="1"/>
      <c r="C832" s="1"/>
      <c r="G832" s="3"/>
      <c r="H832" s="13"/>
      <c r="I832" s="3"/>
      <c r="N832" s="12"/>
    </row>
    <row r="833" spans="1:14" x14ac:dyDescent="0.3">
      <c r="A833" s="12"/>
      <c r="B833" s="1"/>
      <c r="C833" s="1"/>
      <c r="G833" s="3"/>
      <c r="H833" s="13"/>
      <c r="I833" s="3"/>
      <c r="N833" s="12"/>
    </row>
    <row r="834" spans="1:14" x14ac:dyDescent="0.3">
      <c r="A834" s="12"/>
      <c r="B834" s="1"/>
      <c r="C834" s="1"/>
      <c r="G834" s="3"/>
      <c r="H834" s="13"/>
      <c r="I834" s="3"/>
      <c r="N834" s="12"/>
    </row>
    <row r="835" spans="1:14" x14ac:dyDescent="0.3">
      <c r="A835" s="12"/>
      <c r="B835" s="1"/>
      <c r="C835" s="1"/>
      <c r="G835" s="3"/>
      <c r="H835" s="13"/>
      <c r="I835" s="3"/>
      <c r="N835" s="12"/>
    </row>
    <row r="836" spans="1:14" x14ac:dyDescent="0.3">
      <c r="A836" s="12"/>
      <c r="B836" s="1"/>
      <c r="C836" s="1"/>
      <c r="G836" s="3"/>
      <c r="H836" s="13"/>
      <c r="I836" s="3"/>
      <c r="N836" s="12"/>
    </row>
    <row r="837" spans="1:14" x14ac:dyDescent="0.3">
      <c r="A837" s="12"/>
      <c r="B837" s="1"/>
      <c r="C837" s="1"/>
      <c r="G837" s="3"/>
      <c r="H837" s="13"/>
      <c r="I837" s="3"/>
      <c r="N837" s="12"/>
    </row>
    <row r="838" spans="1:14" x14ac:dyDescent="0.3">
      <c r="A838" s="12"/>
      <c r="B838" s="1"/>
      <c r="C838" s="1"/>
      <c r="G838" s="3"/>
      <c r="H838" s="13"/>
      <c r="I838" s="3"/>
      <c r="N838" s="12"/>
    </row>
    <row r="839" spans="1:14" x14ac:dyDescent="0.3">
      <c r="A839" s="12"/>
      <c r="B839" s="1"/>
      <c r="C839" s="1"/>
      <c r="G839" s="3"/>
      <c r="H839" s="13"/>
      <c r="I839" s="3"/>
      <c r="N839" s="12"/>
    </row>
    <row r="840" spans="1:14" x14ac:dyDescent="0.3">
      <c r="A840" s="12"/>
      <c r="B840" s="1"/>
      <c r="C840" s="1"/>
      <c r="G840" s="3"/>
      <c r="H840" s="13"/>
      <c r="I840" s="3"/>
      <c r="N840" s="12"/>
    </row>
    <row r="841" spans="1:14" x14ac:dyDescent="0.3">
      <c r="A841" s="12"/>
      <c r="B841" s="1"/>
      <c r="C841" s="1"/>
      <c r="G841" s="3"/>
      <c r="H841" s="13"/>
      <c r="I841" s="3"/>
      <c r="N841" s="12"/>
    </row>
    <row r="842" spans="1:14" x14ac:dyDescent="0.3">
      <c r="A842" s="12"/>
      <c r="B842" s="1"/>
      <c r="C842" s="1"/>
      <c r="G842" s="3"/>
      <c r="H842" s="13"/>
      <c r="I842" s="3"/>
      <c r="N842" s="12"/>
    </row>
    <row r="843" spans="1:14" x14ac:dyDescent="0.3">
      <c r="A843" s="12"/>
      <c r="B843" s="1"/>
      <c r="C843" s="1"/>
      <c r="G843" s="3"/>
      <c r="H843" s="13"/>
      <c r="I843" s="3"/>
      <c r="N843" s="12"/>
    </row>
    <row r="844" spans="1:14" x14ac:dyDescent="0.3">
      <c r="A844" s="12"/>
      <c r="B844" s="1"/>
      <c r="C844" s="1"/>
      <c r="G844" s="3"/>
      <c r="H844" s="13"/>
      <c r="I844" s="3"/>
      <c r="N844" s="12"/>
    </row>
    <row r="845" spans="1:14" x14ac:dyDescent="0.3">
      <c r="A845" s="12"/>
      <c r="B845" s="1"/>
      <c r="C845" s="1"/>
      <c r="G845" s="3"/>
      <c r="H845" s="13"/>
      <c r="I845" s="3"/>
      <c r="N845" s="12"/>
    </row>
    <row r="846" spans="1:14" x14ac:dyDescent="0.3">
      <c r="A846" s="12"/>
      <c r="B846" s="1"/>
      <c r="C846" s="1"/>
      <c r="G846" s="3"/>
      <c r="H846" s="13"/>
      <c r="I846" s="3"/>
      <c r="N846" s="12"/>
    </row>
    <row r="847" spans="1:14" x14ac:dyDescent="0.3">
      <c r="A847" s="12"/>
      <c r="B847" s="1"/>
      <c r="C847" s="1"/>
      <c r="G847" s="3"/>
      <c r="H847" s="13"/>
      <c r="I847" s="3"/>
      <c r="N847" s="12"/>
    </row>
    <row r="848" spans="1:14" x14ac:dyDescent="0.3">
      <c r="A848" s="12"/>
      <c r="B848" s="1"/>
      <c r="C848" s="1"/>
      <c r="G848" s="3"/>
      <c r="H848" s="13"/>
      <c r="I848" s="3"/>
      <c r="N848" s="12"/>
    </row>
    <row r="849" spans="1:14" x14ac:dyDescent="0.3">
      <c r="A849" s="12"/>
      <c r="B849" s="1"/>
      <c r="C849" s="1"/>
      <c r="G849" s="3"/>
      <c r="H849" s="13"/>
      <c r="I849" s="3"/>
      <c r="N849" s="12"/>
    </row>
    <row r="850" spans="1:14" x14ac:dyDescent="0.3">
      <c r="A850" s="12"/>
      <c r="B850" s="1"/>
      <c r="C850" s="1"/>
      <c r="G850" s="3"/>
      <c r="H850" s="13"/>
      <c r="I850" s="3"/>
      <c r="N850" s="12"/>
    </row>
    <row r="851" spans="1:14" x14ac:dyDescent="0.3">
      <c r="A851" s="12"/>
      <c r="B851" s="1"/>
      <c r="C851" s="1"/>
      <c r="G851" s="3"/>
      <c r="H851" s="13"/>
      <c r="I851" s="3"/>
      <c r="N851" s="12"/>
    </row>
    <row r="852" spans="1:14" x14ac:dyDescent="0.3">
      <c r="A852" s="12"/>
      <c r="B852" s="1"/>
      <c r="C852" s="1"/>
      <c r="G852" s="3"/>
      <c r="H852" s="13"/>
      <c r="I852" s="3"/>
      <c r="N852" s="12"/>
    </row>
    <row r="853" spans="1:14" x14ac:dyDescent="0.3">
      <c r="A853" s="12"/>
      <c r="B853" s="1"/>
      <c r="C853" s="1"/>
      <c r="G853" s="3"/>
      <c r="H853" s="13"/>
      <c r="I853" s="3"/>
      <c r="N853" s="12"/>
    </row>
    <row r="854" spans="1:14" x14ac:dyDescent="0.3">
      <c r="A854" s="12"/>
      <c r="B854" s="1"/>
      <c r="C854" s="1"/>
      <c r="G854" s="3"/>
      <c r="H854" s="13"/>
      <c r="I854" s="3"/>
      <c r="N854" s="12"/>
    </row>
    <row r="855" spans="1:14" x14ac:dyDescent="0.3">
      <c r="A855" s="12"/>
      <c r="B855" s="1"/>
      <c r="C855" s="1"/>
      <c r="G855" s="3"/>
      <c r="H855" s="13"/>
      <c r="I855" s="3"/>
      <c r="N855" s="12"/>
    </row>
    <row r="856" spans="1:14" x14ac:dyDescent="0.3">
      <c r="A856" s="12"/>
      <c r="B856" s="1"/>
      <c r="C856" s="1"/>
      <c r="G856" s="3"/>
      <c r="H856" s="13"/>
      <c r="I856" s="3"/>
      <c r="N856" s="12"/>
    </row>
    <row r="857" spans="1:14" x14ac:dyDescent="0.3">
      <c r="A857" s="12"/>
      <c r="B857" s="1"/>
      <c r="C857" s="1"/>
      <c r="G857" s="3"/>
      <c r="H857" s="13"/>
      <c r="I857" s="3"/>
      <c r="N857" s="12"/>
    </row>
    <row r="858" spans="1:14" x14ac:dyDescent="0.3">
      <c r="A858" s="12"/>
      <c r="B858" s="1"/>
      <c r="C858" s="1"/>
      <c r="G858" s="3"/>
      <c r="H858" s="13"/>
      <c r="I858" s="3"/>
      <c r="N858" s="12"/>
    </row>
    <row r="859" spans="1:14" x14ac:dyDescent="0.3">
      <c r="A859" s="12"/>
      <c r="B859" s="1"/>
      <c r="C859" s="1"/>
      <c r="G859" s="3"/>
      <c r="H859" s="13"/>
      <c r="I859" s="3"/>
      <c r="N859" s="12"/>
    </row>
    <row r="860" spans="1:14" x14ac:dyDescent="0.3">
      <c r="A860" s="12"/>
      <c r="B860" s="1"/>
      <c r="C860" s="1"/>
      <c r="G860" s="3"/>
      <c r="H860" s="13"/>
      <c r="I860" s="3"/>
      <c r="N860" s="12"/>
    </row>
    <row r="861" spans="1:14" x14ac:dyDescent="0.3">
      <c r="A861" s="12"/>
      <c r="B861" s="1"/>
      <c r="C861" s="1"/>
      <c r="G861" s="3"/>
      <c r="H861" s="13"/>
      <c r="I861" s="3"/>
      <c r="N861" s="12"/>
    </row>
    <row r="862" spans="1:14" x14ac:dyDescent="0.3">
      <c r="A862" s="12"/>
      <c r="B862" s="1"/>
      <c r="C862" s="1"/>
      <c r="G862" s="3"/>
      <c r="H862" s="13"/>
      <c r="I862" s="3"/>
      <c r="N862" s="12"/>
    </row>
    <row r="863" spans="1:14" x14ac:dyDescent="0.3">
      <c r="A863" s="12"/>
      <c r="B863" s="1"/>
      <c r="C863" s="1"/>
      <c r="G863" s="3"/>
      <c r="H863" s="13"/>
      <c r="I863" s="3"/>
      <c r="N863" s="12"/>
    </row>
    <row r="864" spans="1:14" x14ac:dyDescent="0.3">
      <c r="A864" s="12"/>
      <c r="B864" s="1"/>
      <c r="C864" s="1"/>
      <c r="G864" s="3"/>
      <c r="H864" s="13"/>
      <c r="I864" s="3"/>
      <c r="N864" s="12"/>
    </row>
    <row r="865" spans="1:14" x14ac:dyDescent="0.3">
      <c r="A865" s="12"/>
      <c r="B865" s="1"/>
      <c r="C865" s="1"/>
      <c r="G865" s="3"/>
      <c r="H865" s="13"/>
      <c r="I865" s="3"/>
      <c r="N865" s="12"/>
    </row>
    <row r="866" spans="1:14" x14ac:dyDescent="0.3">
      <c r="A866" s="12"/>
      <c r="B866" s="1"/>
      <c r="C866" s="1"/>
      <c r="G866" s="3"/>
      <c r="H866" s="13"/>
      <c r="I866" s="3"/>
      <c r="N866" s="12"/>
    </row>
    <row r="867" spans="1:14" x14ac:dyDescent="0.3">
      <c r="A867" s="12"/>
      <c r="B867" s="1"/>
      <c r="C867" s="1"/>
      <c r="G867" s="3"/>
      <c r="H867" s="13"/>
      <c r="I867" s="3"/>
      <c r="N867" s="12"/>
    </row>
    <row r="868" spans="1:14" x14ac:dyDescent="0.3">
      <c r="A868" s="12"/>
      <c r="B868" s="1"/>
      <c r="C868" s="1"/>
      <c r="G868" s="3"/>
      <c r="H868" s="13"/>
      <c r="I868" s="3"/>
      <c r="N868" s="12"/>
    </row>
    <row r="869" spans="1:14" x14ac:dyDescent="0.3">
      <c r="A869" s="12"/>
      <c r="B869" s="1"/>
      <c r="C869" s="1"/>
      <c r="G869" s="3"/>
      <c r="H869" s="13"/>
      <c r="I869" s="3"/>
      <c r="N869" s="12"/>
    </row>
    <row r="870" spans="1:14" x14ac:dyDescent="0.3">
      <c r="A870" s="12"/>
      <c r="B870" s="1"/>
      <c r="C870" s="1"/>
      <c r="G870" s="3"/>
      <c r="H870" s="13"/>
      <c r="I870" s="3"/>
      <c r="N870" s="12"/>
    </row>
    <row r="871" spans="1:14" x14ac:dyDescent="0.3">
      <c r="A871" s="12"/>
      <c r="B871" s="1"/>
      <c r="C871" s="1"/>
      <c r="G871" s="3"/>
      <c r="H871" s="13"/>
      <c r="I871" s="3"/>
      <c r="N871" s="12"/>
    </row>
    <row r="872" spans="1:14" x14ac:dyDescent="0.3">
      <c r="A872" s="12"/>
      <c r="B872" s="1"/>
      <c r="C872" s="1"/>
      <c r="G872" s="3"/>
      <c r="H872" s="13"/>
      <c r="I872" s="3"/>
      <c r="N872" s="12"/>
    </row>
    <row r="873" spans="1:14" x14ac:dyDescent="0.3">
      <c r="A873" s="12"/>
      <c r="B873" s="1"/>
      <c r="C873" s="1"/>
      <c r="G873" s="3"/>
      <c r="H873" s="13"/>
      <c r="I873" s="3"/>
      <c r="N873" s="12"/>
    </row>
    <row r="874" spans="1:14" x14ac:dyDescent="0.3">
      <c r="A874" s="12"/>
      <c r="B874" s="1"/>
      <c r="C874" s="1"/>
      <c r="G874" s="3"/>
      <c r="H874" s="13"/>
      <c r="I874" s="3"/>
      <c r="N874" s="12"/>
    </row>
    <row r="875" spans="1:14" x14ac:dyDescent="0.3">
      <c r="A875" s="12"/>
      <c r="B875" s="1"/>
      <c r="C875" s="1"/>
      <c r="G875" s="3"/>
      <c r="H875" s="13"/>
      <c r="I875" s="3"/>
      <c r="N875" s="12"/>
    </row>
    <row r="876" spans="1:14" x14ac:dyDescent="0.3">
      <c r="A876" s="12"/>
      <c r="B876" s="1"/>
      <c r="C876" s="1"/>
      <c r="G876" s="3"/>
      <c r="H876" s="13"/>
      <c r="I876" s="3"/>
      <c r="N876" s="12"/>
    </row>
    <row r="877" spans="1:14" x14ac:dyDescent="0.3">
      <c r="A877" s="12"/>
      <c r="B877" s="1"/>
      <c r="C877" s="1"/>
      <c r="G877" s="3"/>
      <c r="H877" s="13"/>
      <c r="I877" s="3"/>
      <c r="N877" s="12"/>
    </row>
    <row r="878" spans="1:14" x14ac:dyDescent="0.3">
      <c r="A878" s="12"/>
      <c r="B878" s="1"/>
      <c r="C878" s="1"/>
      <c r="G878" s="3"/>
      <c r="H878" s="13"/>
      <c r="I878" s="3"/>
      <c r="N878" s="12"/>
    </row>
    <row r="879" spans="1:14" x14ac:dyDescent="0.3">
      <c r="A879" s="12"/>
      <c r="B879" s="1"/>
      <c r="C879" s="1"/>
      <c r="G879" s="3"/>
      <c r="H879" s="13"/>
      <c r="I879" s="3"/>
      <c r="N879" s="12"/>
    </row>
    <row r="880" spans="1:14" x14ac:dyDescent="0.3">
      <c r="A880" s="12"/>
      <c r="B880" s="1"/>
      <c r="C880" s="1"/>
      <c r="G880" s="3"/>
      <c r="H880" s="13"/>
      <c r="I880" s="3"/>
      <c r="N880" s="12"/>
    </row>
    <row r="881" spans="1:14" x14ac:dyDescent="0.3">
      <c r="A881" s="12"/>
      <c r="B881" s="1"/>
      <c r="C881" s="1"/>
      <c r="G881" s="3"/>
      <c r="H881" s="13"/>
      <c r="I881" s="3"/>
      <c r="N881" s="12"/>
    </row>
    <row r="882" spans="1:14" x14ac:dyDescent="0.3">
      <c r="A882" s="12"/>
      <c r="B882" s="1"/>
      <c r="C882" s="1"/>
      <c r="G882" s="3"/>
      <c r="H882" s="13"/>
      <c r="I882" s="3"/>
      <c r="N882" s="12"/>
    </row>
    <row r="883" spans="1:14" x14ac:dyDescent="0.3">
      <c r="A883" s="12"/>
      <c r="B883" s="1"/>
      <c r="C883" s="1"/>
      <c r="G883" s="3"/>
      <c r="H883" s="13"/>
      <c r="I883" s="3"/>
      <c r="N883" s="12"/>
    </row>
    <row r="884" spans="1:14" x14ac:dyDescent="0.3">
      <c r="A884" s="12"/>
      <c r="B884" s="1"/>
      <c r="C884" s="1"/>
      <c r="G884" s="3"/>
      <c r="H884" s="13"/>
      <c r="I884" s="3"/>
      <c r="N884" s="12"/>
    </row>
    <row r="885" spans="1:14" x14ac:dyDescent="0.3">
      <c r="A885" s="12"/>
      <c r="B885" s="1"/>
      <c r="C885" s="1"/>
      <c r="G885" s="3"/>
      <c r="H885" s="13"/>
      <c r="I885" s="3"/>
      <c r="N885" s="12"/>
    </row>
    <row r="886" spans="1:14" x14ac:dyDescent="0.3">
      <c r="A886" s="12"/>
      <c r="B886" s="1"/>
      <c r="C886" s="1"/>
      <c r="G886" s="3"/>
      <c r="H886" s="13"/>
      <c r="I886" s="3"/>
      <c r="N886" s="12"/>
    </row>
    <row r="887" spans="1:14" x14ac:dyDescent="0.3">
      <c r="A887" s="12"/>
      <c r="B887" s="1"/>
      <c r="C887" s="1"/>
      <c r="G887" s="3"/>
      <c r="H887" s="13"/>
      <c r="I887" s="3"/>
      <c r="N887" s="12"/>
    </row>
    <row r="888" spans="1:14" x14ac:dyDescent="0.3">
      <c r="A888" s="12"/>
      <c r="B888" s="1"/>
      <c r="C888" s="1"/>
      <c r="G888" s="3"/>
      <c r="H888" s="13"/>
      <c r="I888" s="3"/>
      <c r="N888" s="12"/>
    </row>
    <row r="889" spans="1:14" x14ac:dyDescent="0.3">
      <c r="A889" s="12"/>
      <c r="B889" s="1"/>
      <c r="C889" s="1"/>
      <c r="G889" s="3"/>
      <c r="H889" s="13"/>
      <c r="I889" s="3"/>
      <c r="N889" s="12"/>
    </row>
    <row r="890" spans="1:14" x14ac:dyDescent="0.3">
      <c r="A890" s="12"/>
      <c r="B890" s="1"/>
      <c r="C890" s="1"/>
      <c r="G890" s="3"/>
      <c r="H890" s="13"/>
      <c r="I890" s="3"/>
      <c r="N890" s="12"/>
    </row>
    <row r="891" spans="1:14" x14ac:dyDescent="0.3">
      <c r="A891" s="12"/>
      <c r="B891" s="1"/>
      <c r="C891" s="1"/>
      <c r="G891" s="3"/>
      <c r="H891" s="13"/>
      <c r="I891" s="3"/>
      <c r="N891" s="12"/>
    </row>
    <row r="892" spans="1:14" x14ac:dyDescent="0.3">
      <c r="A892" s="12"/>
      <c r="B892" s="1"/>
      <c r="C892" s="1"/>
      <c r="G892" s="3"/>
      <c r="H892" s="13"/>
      <c r="I892" s="3"/>
      <c r="N892" s="12"/>
    </row>
    <row r="893" spans="1:14" x14ac:dyDescent="0.3">
      <c r="A893" s="12"/>
      <c r="B893" s="1"/>
      <c r="C893" s="1"/>
      <c r="G893" s="3"/>
      <c r="H893" s="13"/>
      <c r="I893" s="3"/>
      <c r="N893" s="12"/>
    </row>
    <row r="894" spans="1:14" x14ac:dyDescent="0.3">
      <c r="A894" s="12"/>
      <c r="B894" s="1"/>
      <c r="C894" s="1"/>
      <c r="G894" s="3"/>
      <c r="H894" s="13"/>
      <c r="I894" s="3"/>
      <c r="N894" s="12"/>
    </row>
    <row r="895" spans="1:14" x14ac:dyDescent="0.3">
      <c r="A895" s="12"/>
      <c r="B895" s="1"/>
      <c r="C895" s="1"/>
      <c r="G895" s="3"/>
      <c r="H895" s="13"/>
      <c r="I895" s="3"/>
      <c r="N895" s="12"/>
    </row>
    <row r="896" spans="1:14" x14ac:dyDescent="0.3">
      <c r="A896" s="12"/>
      <c r="B896" s="1"/>
      <c r="C896" s="1"/>
      <c r="G896" s="3"/>
      <c r="H896" s="13"/>
      <c r="I896" s="3"/>
      <c r="N896" s="12"/>
    </row>
    <row r="897" spans="1:14" x14ac:dyDescent="0.3">
      <c r="A897" s="12"/>
      <c r="B897" s="1"/>
      <c r="C897" s="1"/>
      <c r="G897" s="3"/>
      <c r="H897" s="13"/>
      <c r="I897" s="3"/>
      <c r="N897" s="12"/>
    </row>
    <row r="898" spans="1:14" x14ac:dyDescent="0.3">
      <c r="A898" s="12"/>
      <c r="B898" s="1"/>
      <c r="C898" s="1"/>
      <c r="G898" s="3"/>
      <c r="H898" s="13"/>
      <c r="I898" s="3"/>
      <c r="N898" s="12"/>
    </row>
    <row r="899" spans="1:14" x14ac:dyDescent="0.3">
      <c r="A899" s="12"/>
      <c r="B899" s="1"/>
      <c r="C899" s="1"/>
      <c r="G899" s="3"/>
      <c r="H899" s="13"/>
      <c r="I899" s="3"/>
      <c r="N899" s="12"/>
    </row>
    <row r="900" spans="1:14" x14ac:dyDescent="0.3">
      <c r="A900" s="12"/>
      <c r="B900" s="1"/>
      <c r="C900" s="1"/>
      <c r="G900" s="3"/>
      <c r="H900" s="13"/>
      <c r="I900" s="3"/>
      <c r="N900" s="12"/>
    </row>
    <row r="901" spans="1:14" x14ac:dyDescent="0.3">
      <c r="A901" s="12"/>
      <c r="B901" s="1"/>
      <c r="C901" s="1"/>
      <c r="G901" s="3"/>
      <c r="H901" s="13"/>
      <c r="I901" s="3"/>
      <c r="N901" s="12"/>
    </row>
    <row r="902" spans="1:14" x14ac:dyDescent="0.3">
      <c r="A902" s="12"/>
      <c r="B902" s="1"/>
      <c r="C902" s="1"/>
      <c r="G902" s="3"/>
      <c r="H902" s="13"/>
      <c r="I902" s="3"/>
      <c r="N902" s="12"/>
    </row>
    <row r="903" spans="1:14" x14ac:dyDescent="0.3">
      <c r="A903" s="12"/>
      <c r="B903" s="1"/>
      <c r="C903" s="1"/>
      <c r="G903" s="3"/>
      <c r="H903" s="13"/>
      <c r="I903" s="3"/>
      <c r="N903" s="12"/>
    </row>
    <row r="904" spans="1:14" x14ac:dyDescent="0.3">
      <c r="A904" s="12"/>
      <c r="B904" s="1"/>
      <c r="C904" s="1"/>
      <c r="G904" s="3"/>
      <c r="H904" s="13"/>
      <c r="I904" s="3"/>
      <c r="N904" s="12"/>
    </row>
    <row r="905" spans="1:14" x14ac:dyDescent="0.3">
      <c r="A905" s="12"/>
      <c r="B905" s="1"/>
      <c r="C905" s="1"/>
      <c r="G905" s="3"/>
      <c r="H905" s="13"/>
      <c r="I905" s="3"/>
      <c r="N905" s="12"/>
    </row>
    <row r="906" spans="1:14" x14ac:dyDescent="0.3">
      <c r="A906" s="12"/>
      <c r="B906" s="1"/>
      <c r="C906" s="1"/>
      <c r="G906" s="3"/>
      <c r="H906" s="13"/>
      <c r="I906" s="3"/>
      <c r="N906" s="12"/>
    </row>
    <row r="907" spans="1:14" x14ac:dyDescent="0.3">
      <c r="A907" s="12"/>
      <c r="B907" s="1"/>
      <c r="C907" s="1"/>
      <c r="G907" s="3"/>
      <c r="H907" s="13"/>
      <c r="I907" s="3"/>
      <c r="N907" s="12"/>
    </row>
    <row r="908" spans="1:14" x14ac:dyDescent="0.3">
      <c r="A908" s="12"/>
      <c r="B908" s="1"/>
      <c r="C908" s="1"/>
      <c r="G908" s="3"/>
      <c r="H908" s="13"/>
      <c r="I908" s="3"/>
      <c r="N908" s="12"/>
    </row>
    <row r="909" spans="1:14" x14ac:dyDescent="0.3">
      <c r="A909" s="12"/>
      <c r="B909" s="1"/>
      <c r="C909" s="1"/>
      <c r="G909" s="3"/>
      <c r="H909" s="13"/>
      <c r="I909" s="3"/>
      <c r="N909" s="12"/>
    </row>
    <row r="910" spans="1:14" x14ac:dyDescent="0.3">
      <c r="A910" s="12"/>
      <c r="B910" s="1"/>
      <c r="C910" s="1"/>
      <c r="G910" s="3"/>
      <c r="H910" s="13"/>
      <c r="I910" s="3"/>
      <c r="N910" s="12"/>
    </row>
    <row r="911" spans="1:14" x14ac:dyDescent="0.3">
      <c r="A911" s="12"/>
      <c r="B911" s="1"/>
      <c r="C911" s="1"/>
      <c r="G911" s="3"/>
      <c r="H911" s="13"/>
      <c r="I911" s="3"/>
      <c r="N911" s="12"/>
    </row>
    <row r="912" spans="1:14" x14ac:dyDescent="0.3">
      <c r="A912" s="12"/>
      <c r="B912" s="1"/>
      <c r="C912" s="1"/>
      <c r="G912" s="3"/>
      <c r="H912" s="13"/>
      <c r="I912" s="3"/>
      <c r="N912" s="12"/>
    </row>
    <row r="913" spans="1:14" x14ac:dyDescent="0.3">
      <c r="A913" s="12"/>
      <c r="B913" s="1"/>
      <c r="C913" s="1"/>
      <c r="G913" s="3"/>
      <c r="H913" s="13"/>
      <c r="I913" s="3"/>
      <c r="N913" s="12"/>
    </row>
    <row r="914" spans="1:14" x14ac:dyDescent="0.3">
      <c r="A914" s="12"/>
      <c r="B914" s="1"/>
      <c r="C914" s="1"/>
      <c r="G914" s="3"/>
      <c r="H914" s="13"/>
      <c r="I914" s="3"/>
      <c r="N914" s="12"/>
    </row>
    <row r="915" spans="1:14" x14ac:dyDescent="0.3">
      <c r="A915" s="12"/>
      <c r="B915" s="1"/>
      <c r="C915" s="1"/>
      <c r="G915" s="3"/>
      <c r="H915" s="13"/>
      <c r="I915" s="3"/>
      <c r="N915" s="12"/>
    </row>
    <row r="916" spans="1:14" x14ac:dyDescent="0.3">
      <c r="A916" s="12"/>
      <c r="B916" s="1"/>
      <c r="C916" s="1"/>
      <c r="G916" s="3"/>
      <c r="H916" s="13"/>
      <c r="I916" s="3"/>
      <c r="N916" s="12"/>
    </row>
    <row r="917" spans="1:14" x14ac:dyDescent="0.3">
      <c r="A917" s="12"/>
      <c r="B917" s="1"/>
      <c r="C917" s="1"/>
      <c r="G917" s="3"/>
      <c r="H917" s="13"/>
      <c r="I917" s="3"/>
      <c r="N917" s="12"/>
    </row>
    <row r="918" spans="1:14" x14ac:dyDescent="0.3">
      <c r="A918" s="12"/>
      <c r="B918" s="1"/>
      <c r="C918" s="1"/>
      <c r="G918" s="3"/>
      <c r="H918" s="13"/>
      <c r="I918" s="3"/>
      <c r="N918" s="12"/>
    </row>
    <row r="919" spans="1:14" x14ac:dyDescent="0.3">
      <c r="A919" s="12"/>
      <c r="B919" s="1"/>
      <c r="C919" s="1"/>
      <c r="G919" s="3"/>
      <c r="H919" s="13"/>
      <c r="I919" s="3"/>
      <c r="N919" s="12"/>
    </row>
    <row r="920" spans="1:14" x14ac:dyDescent="0.3">
      <c r="A920" s="12"/>
      <c r="B920" s="1"/>
      <c r="C920" s="1"/>
      <c r="G920" s="3"/>
      <c r="H920" s="13"/>
      <c r="I920" s="3"/>
      <c r="N920" s="12"/>
    </row>
    <row r="921" spans="1:14" x14ac:dyDescent="0.3">
      <c r="A921" s="12"/>
      <c r="B921" s="1"/>
      <c r="C921" s="1"/>
      <c r="G921" s="3"/>
      <c r="H921" s="13"/>
      <c r="I921" s="3"/>
      <c r="N921" s="12"/>
    </row>
    <row r="922" spans="1:14" x14ac:dyDescent="0.3">
      <c r="A922" s="12"/>
      <c r="B922" s="1"/>
      <c r="C922" s="1"/>
      <c r="G922" s="3"/>
      <c r="H922" s="13"/>
      <c r="I922" s="3"/>
      <c r="N922" s="12"/>
    </row>
    <row r="923" spans="1:14" x14ac:dyDescent="0.3">
      <c r="A923" s="12"/>
      <c r="B923" s="1"/>
      <c r="C923" s="1"/>
      <c r="G923" s="3"/>
      <c r="H923" s="13"/>
      <c r="I923" s="3"/>
      <c r="N923" s="12"/>
    </row>
    <row r="924" spans="1:14" x14ac:dyDescent="0.3">
      <c r="A924" s="12"/>
      <c r="B924" s="1"/>
      <c r="C924" s="1"/>
      <c r="G924" s="3"/>
      <c r="H924" s="13"/>
      <c r="I924" s="3"/>
      <c r="N924" s="12"/>
    </row>
    <row r="925" spans="1:14" x14ac:dyDescent="0.3">
      <c r="A925" s="12"/>
      <c r="B925" s="1"/>
      <c r="C925" s="1"/>
      <c r="G925" s="3"/>
      <c r="H925" s="13"/>
      <c r="I925" s="3"/>
      <c r="N925" s="12"/>
    </row>
    <row r="926" spans="1:14" x14ac:dyDescent="0.3">
      <c r="A926" s="12"/>
      <c r="B926" s="1"/>
      <c r="C926" s="1"/>
      <c r="G926" s="3"/>
      <c r="H926" s="13"/>
      <c r="I926" s="3"/>
      <c r="N926" s="12"/>
    </row>
    <row r="927" spans="1:14" x14ac:dyDescent="0.3">
      <c r="A927" s="12"/>
      <c r="B927" s="1"/>
      <c r="C927" s="1"/>
      <c r="G927" s="3"/>
      <c r="H927" s="13"/>
      <c r="I927" s="3"/>
      <c r="N927" s="12"/>
    </row>
    <row r="928" spans="1:14" x14ac:dyDescent="0.3">
      <c r="A928" s="12"/>
      <c r="B928" s="1"/>
      <c r="C928" s="1"/>
      <c r="G928" s="3"/>
      <c r="H928" s="13"/>
      <c r="I928" s="3"/>
      <c r="N928" s="12"/>
    </row>
    <row r="929" spans="1:14" x14ac:dyDescent="0.3">
      <c r="A929" s="12"/>
      <c r="B929" s="1"/>
      <c r="C929" s="1"/>
      <c r="G929" s="3"/>
      <c r="H929" s="13"/>
      <c r="I929" s="3"/>
      <c r="N929" s="12"/>
    </row>
    <row r="930" spans="1:14" x14ac:dyDescent="0.3">
      <c r="A930" s="12"/>
      <c r="B930" s="1"/>
      <c r="C930" s="1"/>
      <c r="G930" s="3"/>
      <c r="H930" s="13"/>
      <c r="I930" s="3"/>
      <c r="N930" s="12"/>
    </row>
    <row r="931" spans="1:14" x14ac:dyDescent="0.3">
      <c r="A931" s="12"/>
      <c r="B931" s="1"/>
      <c r="C931" s="1"/>
      <c r="G931" s="3"/>
      <c r="H931" s="13"/>
      <c r="I931" s="3"/>
      <c r="N931" s="12"/>
    </row>
    <row r="932" spans="1:14" x14ac:dyDescent="0.3">
      <c r="A932" s="12"/>
      <c r="B932" s="1"/>
      <c r="C932" s="1"/>
      <c r="G932" s="3"/>
      <c r="H932" s="13"/>
      <c r="I932" s="3"/>
      <c r="N932" s="12"/>
    </row>
    <row r="933" spans="1:14" x14ac:dyDescent="0.3">
      <c r="A933" s="12"/>
      <c r="B933" s="1"/>
      <c r="C933" s="1"/>
      <c r="G933" s="3"/>
      <c r="H933" s="13"/>
      <c r="I933" s="3"/>
      <c r="N933" s="12"/>
    </row>
    <row r="934" spans="1:14" x14ac:dyDescent="0.3">
      <c r="A934" s="12"/>
      <c r="B934" s="1"/>
      <c r="C934" s="1"/>
      <c r="G934" s="3"/>
      <c r="H934" s="13"/>
      <c r="I934" s="3"/>
      <c r="N934" s="12"/>
    </row>
    <row r="935" spans="1:14" x14ac:dyDescent="0.3">
      <c r="A935" s="12"/>
      <c r="B935" s="1"/>
      <c r="C935" s="1"/>
      <c r="G935" s="3"/>
      <c r="H935" s="13"/>
      <c r="I935" s="3"/>
      <c r="N935" s="12"/>
    </row>
    <row r="936" spans="1:14" x14ac:dyDescent="0.3">
      <c r="A936" s="12"/>
      <c r="B936" s="1"/>
      <c r="C936" s="1"/>
      <c r="G936" s="3"/>
      <c r="H936" s="13"/>
      <c r="I936" s="3"/>
      <c r="N936" s="12"/>
    </row>
    <row r="937" spans="1:14" x14ac:dyDescent="0.3">
      <c r="A937" s="12"/>
      <c r="B937" s="1"/>
      <c r="C937" s="1"/>
      <c r="G937" s="3"/>
      <c r="H937" s="13"/>
      <c r="I937" s="3"/>
      <c r="N937" s="12"/>
    </row>
    <row r="938" spans="1:14" x14ac:dyDescent="0.3">
      <c r="A938" s="12"/>
      <c r="B938" s="1"/>
      <c r="C938" s="1"/>
      <c r="G938" s="3"/>
      <c r="H938" s="13"/>
      <c r="I938" s="3"/>
      <c r="N938" s="12"/>
    </row>
    <row r="939" spans="1:14" x14ac:dyDescent="0.3">
      <c r="A939" s="12"/>
      <c r="B939" s="1"/>
      <c r="C939" s="1"/>
      <c r="G939" s="3"/>
      <c r="H939" s="13"/>
      <c r="I939" s="3"/>
      <c r="N939" s="12"/>
    </row>
    <row r="940" spans="1:14" x14ac:dyDescent="0.3">
      <c r="A940" s="12"/>
      <c r="B940" s="1"/>
      <c r="C940" s="1"/>
      <c r="G940" s="3"/>
      <c r="H940" s="13"/>
      <c r="I940" s="3"/>
      <c r="N940" s="12"/>
    </row>
    <row r="941" spans="1:14" x14ac:dyDescent="0.3">
      <c r="A941" s="12"/>
      <c r="B941" s="1"/>
      <c r="C941" s="1"/>
      <c r="G941" s="3"/>
      <c r="H941" s="13"/>
      <c r="I941" s="3"/>
      <c r="N941" s="12"/>
    </row>
    <row r="942" spans="1:14" x14ac:dyDescent="0.3">
      <c r="A942" s="12"/>
      <c r="B942" s="1"/>
      <c r="C942" s="1"/>
      <c r="G942" s="3"/>
      <c r="H942" s="13"/>
      <c r="I942" s="3"/>
      <c r="N942" s="12"/>
    </row>
    <row r="943" spans="1:14" x14ac:dyDescent="0.3">
      <c r="A943" s="12"/>
      <c r="B943" s="1"/>
      <c r="C943" s="1"/>
      <c r="G943" s="3"/>
      <c r="H943" s="13"/>
      <c r="I943" s="3"/>
      <c r="N943" s="12"/>
    </row>
    <row r="944" spans="1:14" x14ac:dyDescent="0.3">
      <c r="A944" s="12"/>
      <c r="B944" s="1"/>
      <c r="C944" s="1"/>
      <c r="G944" s="3"/>
      <c r="H944" s="13"/>
      <c r="I944" s="3"/>
      <c r="N944" s="12"/>
    </row>
    <row r="945" spans="1:14" x14ac:dyDescent="0.3">
      <c r="A945" s="12"/>
      <c r="B945" s="1"/>
      <c r="C945" s="1"/>
      <c r="G945" s="3"/>
      <c r="H945" s="13"/>
      <c r="I945" s="3"/>
      <c r="N945" s="12"/>
    </row>
    <row r="946" spans="1:14" x14ac:dyDescent="0.3">
      <c r="A946" s="12"/>
      <c r="B946" s="1"/>
      <c r="C946" s="1"/>
      <c r="G946" s="3"/>
      <c r="H946" s="13"/>
      <c r="I946" s="3"/>
      <c r="N946" s="12"/>
    </row>
    <row r="947" spans="1:14" x14ac:dyDescent="0.3">
      <c r="A947" s="12"/>
      <c r="B947" s="1"/>
      <c r="C947" s="1"/>
      <c r="G947" s="3"/>
      <c r="H947" s="13"/>
      <c r="I947" s="3"/>
      <c r="N947" s="12"/>
    </row>
    <row r="948" spans="1:14" x14ac:dyDescent="0.3">
      <c r="A948" s="12"/>
      <c r="B948" s="1"/>
      <c r="C948" s="1"/>
      <c r="G948" s="3"/>
      <c r="H948" s="13"/>
      <c r="I948" s="3"/>
      <c r="N948" s="12"/>
    </row>
    <row r="949" spans="1:14" x14ac:dyDescent="0.3">
      <c r="A949" s="12"/>
      <c r="B949" s="1"/>
      <c r="C949" s="1"/>
      <c r="G949" s="3"/>
      <c r="H949" s="13"/>
      <c r="I949" s="3"/>
      <c r="N949" s="12"/>
    </row>
    <row r="950" spans="1:14" x14ac:dyDescent="0.3">
      <c r="A950" s="12"/>
      <c r="B950" s="1"/>
      <c r="C950" s="1"/>
      <c r="G950" s="3"/>
      <c r="H950" s="13"/>
      <c r="I950" s="3"/>
      <c r="N950" s="12"/>
    </row>
    <row r="951" spans="1:14" x14ac:dyDescent="0.3">
      <c r="A951" s="12"/>
      <c r="B951" s="1"/>
      <c r="C951" s="1"/>
      <c r="G951" s="3"/>
      <c r="H951" s="13"/>
      <c r="I951" s="3"/>
      <c r="N951" s="12"/>
    </row>
    <row r="952" spans="1:14" x14ac:dyDescent="0.3">
      <c r="A952" s="12"/>
      <c r="B952" s="1"/>
      <c r="C952" s="1"/>
      <c r="G952" s="3"/>
      <c r="H952" s="13"/>
      <c r="I952" s="3"/>
      <c r="N952" s="12"/>
    </row>
    <row r="953" spans="1:14" x14ac:dyDescent="0.3">
      <c r="A953" s="12"/>
      <c r="B953" s="1"/>
      <c r="C953" s="1"/>
      <c r="G953" s="3"/>
      <c r="H953" s="13"/>
      <c r="I953" s="3"/>
      <c r="N953" s="12"/>
    </row>
    <row r="954" spans="1:14" x14ac:dyDescent="0.3">
      <c r="A954" s="12"/>
      <c r="B954" s="1"/>
      <c r="C954" s="1"/>
      <c r="G954" s="3"/>
      <c r="H954" s="13"/>
      <c r="I954" s="3"/>
      <c r="N954" s="12"/>
    </row>
    <row r="955" spans="1:14" x14ac:dyDescent="0.3">
      <c r="A955" s="12"/>
      <c r="B955" s="1"/>
      <c r="C955" s="1"/>
      <c r="G955" s="3"/>
      <c r="H955" s="13"/>
      <c r="I955" s="3"/>
      <c r="N955" s="12"/>
    </row>
    <row r="956" spans="1:14" x14ac:dyDescent="0.3">
      <c r="A956" s="12"/>
      <c r="B956" s="1"/>
      <c r="C956" s="1"/>
      <c r="G956" s="3"/>
      <c r="H956" s="13"/>
      <c r="I956" s="3"/>
      <c r="N956" s="12"/>
    </row>
    <row r="957" spans="1:14" x14ac:dyDescent="0.3">
      <c r="A957" s="12"/>
      <c r="B957" s="1"/>
      <c r="C957" s="1"/>
      <c r="G957" s="3"/>
      <c r="H957" s="13"/>
      <c r="I957" s="3"/>
      <c r="N957" s="12"/>
    </row>
    <row r="958" spans="1:14" x14ac:dyDescent="0.3">
      <c r="A958" s="12"/>
      <c r="B958" s="1"/>
      <c r="C958" s="1"/>
      <c r="G958" s="3"/>
      <c r="H958" s="13"/>
      <c r="I958" s="3"/>
      <c r="N958" s="12"/>
    </row>
    <row r="959" spans="1:14" x14ac:dyDescent="0.3">
      <c r="A959" s="12"/>
      <c r="B959" s="1"/>
      <c r="C959" s="1"/>
      <c r="G959" s="3"/>
      <c r="H959" s="13"/>
      <c r="I959" s="3"/>
      <c r="N959" s="12"/>
    </row>
    <row r="960" spans="1:14" x14ac:dyDescent="0.3">
      <c r="A960" s="12"/>
      <c r="B960" s="1"/>
      <c r="C960" s="1"/>
      <c r="G960" s="3"/>
      <c r="H960" s="13"/>
      <c r="I960" s="3"/>
      <c r="N960" s="12"/>
    </row>
    <row r="961" spans="1:14" x14ac:dyDescent="0.3">
      <c r="A961" s="12"/>
      <c r="B961" s="1"/>
      <c r="C961" s="1"/>
      <c r="G961" s="3"/>
      <c r="H961" s="13"/>
      <c r="I961" s="3"/>
      <c r="N961" s="12"/>
    </row>
    <row r="962" spans="1:14" x14ac:dyDescent="0.3">
      <c r="A962" s="12"/>
      <c r="B962" s="1"/>
      <c r="C962" s="1"/>
      <c r="G962" s="3"/>
      <c r="H962" s="13"/>
      <c r="I962" s="3"/>
      <c r="N962" s="12"/>
    </row>
    <row r="963" spans="1:14" x14ac:dyDescent="0.3">
      <c r="A963" s="12"/>
      <c r="B963" s="1"/>
      <c r="C963" s="1"/>
      <c r="G963" s="3"/>
      <c r="H963" s="13"/>
      <c r="I963" s="3"/>
      <c r="N963" s="12"/>
    </row>
    <row r="964" spans="1:14" x14ac:dyDescent="0.3">
      <c r="A964" s="12"/>
      <c r="B964" s="1"/>
      <c r="C964" s="1"/>
      <c r="G964" s="3"/>
      <c r="H964" s="13"/>
      <c r="I964" s="3"/>
      <c r="N964" s="12"/>
    </row>
    <row r="965" spans="1:14" x14ac:dyDescent="0.3">
      <c r="A965" s="12"/>
      <c r="B965" s="1"/>
      <c r="C965" s="1"/>
      <c r="G965" s="3"/>
      <c r="H965" s="13"/>
      <c r="I965" s="3"/>
      <c r="N965" s="12"/>
    </row>
    <row r="966" spans="1:14" x14ac:dyDescent="0.3">
      <c r="A966" s="12"/>
      <c r="B966" s="1"/>
      <c r="C966" s="1"/>
      <c r="G966" s="3"/>
      <c r="H966" s="13"/>
      <c r="I966" s="3"/>
      <c r="N966" s="12"/>
    </row>
    <row r="967" spans="1:14" x14ac:dyDescent="0.3">
      <c r="A967" s="12"/>
      <c r="B967" s="1"/>
      <c r="C967" s="1"/>
      <c r="G967" s="3"/>
      <c r="H967" s="13"/>
      <c r="I967" s="3"/>
      <c r="N967" s="12"/>
    </row>
    <row r="968" spans="1:14" x14ac:dyDescent="0.3">
      <c r="A968" s="12"/>
      <c r="B968" s="1"/>
      <c r="C968" s="1"/>
      <c r="G968" s="3"/>
      <c r="H968" s="13"/>
      <c r="I968" s="3"/>
      <c r="N968" s="12"/>
    </row>
    <row r="969" spans="1:14" x14ac:dyDescent="0.3">
      <c r="A969" s="12"/>
      <c r="B969" s="1"/>
      <c r="C969" s="1"/>
      <c r="G969" s="3"/>
      <c r="H969" s="13"/>
      <c r="I969" s="3"/>
      <c r="N969" s="12"/>
    </row>
    <row r="970" spans="1:14" x14ac:dyDescent="0.3">
      <c r="A970" s="12"/>
      <c r="B970" s="1"/>
      <c r="C970" s="1"/>
      <c r="G970" s="3"/>
      <c r="H970" s="13"/>
      <c r="I970" s="3"/>
      <c r="N970" s="12"/>
    </row>
    <row r="971" spans="1:14" x14ac:dyDescent="0.3">
      <c r="A971" s="12"/>
      <c r="B971" s="1"/>
      <c r="C971" s="1"/>
      <c r="G971" s="3"/>
      <c r="H971" s="13"/>
      <c r="I971" s="3"/>
      <c r="N971" s="12"/>
    </row>
    <row r="972" spans="1:14" x14ac:dyDescent="0.3">
      <c r="A972" s="12"/>
      <c r="B972" s="1"/>
      <c r="C972" s="1"/>
      <c r="G972" s="3"/>
      <c r="H972" s="13"/>
      <c r="I972" s="3"/>
      <c r="N972" s="12"/>
    </row>
    <row r="973" spans="1:14" x14ac:dyDescent="0.3">
      <c r="A973" s="12"/>
      <c r="B973" s="1"/>
      <c r="C973" s="1"/>
      <c r="G973" s="3"/>
      <c r="H973" s="13"/>
      <c r="I973" s="3"/>
      <c r="N973" s="12"/>
    </row>
    <row r="974" spans="1:14" x14ac:dyDescent="0.3">
      <c r="A974" s="12"/>
      <c r="B974" s="1"/>
      <c r="C974" s="1"/>
      <c r="G974" s="3"/>
      <c r="H974" s="13"/>
      <c r="I974" s="3"/>
      <c r="N974" s="12"/>
    </row>
    <row r="975" spans="1:14" x14ac:dyDescent="0.3">
      <c r="A975" s="12"/>
      <c r="B975" s="1"/>
      <c r="C975" s="1"/>
      <c r="G975" s="3"/>
      <c r="H975" s="13"/>
      <c r="I975" s="3"/>
      <c r="N975" s="12"/>
    </row>
    <row r="976" spans="1:14" x14ac:dyDescent="0.3">
      <c r="A976" s="12"/>
      <c r="B976" s="1"/>
      <c r="C976" s="1"/>
      <c r="G976" s="3"/>
      <c r="H976" s="13"/>
      <c r="I976" s="3"/>
      <c r="N976" s="12"/>
    </row>
    <row r="977" spans="1:14" x14ac:dyDescent="0.3">
      <c r="A977" s="12"/>
      <c r="B977" s="1"/>
      <c r="C977" s="1"/>
      <c r="G977" s="3"/>
      <c r="H977" s="13"/>
      <c r="I977" s="3"/>
      <c r="N977" s="12"/>
    </row>
    <row r="978" spans="1:14" x14ac:dyDescent="0.3">
      <c r="A978" s="12"/>
      <c r="B978" s="1"/>
      <c r="C978" s="1"/>
      <c r="G978" s="3"/>
      <c r="H978" s="13"/>
      <c r="I978" s="3"/>
      <c r="N978" s="12"/>
    </row>
    <row r="979" spans="1:14" x14ac:dyDescent="0.3">
      <c r="A979" s="12"/>
      <c r="B979" s="1"/>
      <c r="C979" s="1"/>
      <c r="G979" s="3"/>
      <c r="H979" s="13"/>
      <c r="I979" s="3"/>
      <c r="N979" s="12"/>
    </row>
    <row r="980" spans="1:14" x14ac:dyDescent="0.3">
      <c r="A980" s="12"/>
      <c r="B980" s="1"/>
      <c r="C980" s="1"/>
      <c r="G980" s="3"/>
      <c r="H980" s="13"/>
      <c r="I980" s="3"/>
      <c r="N980" s="12"/>
    </row>
    <row r="981" spans="1:14" x14ac:dyDescent="0.3">
      <c r="A981" s="12"/>
      <c r="B981" s="1"/>
      <c r="C981" s="1"/>
      <c r="G981" s="3"/>
      <c r="H981" s="13"/>
      <c r="I981" s="3"/>
      <c r="N981" s="12"/>
    </row>
    <row r="982" spans="1:14" x14ac:dyDescent="0.3">
      <c r="A982" s="12"/>
      <c r="B982" s="1"/>
      <c r="C982" s="1"/>
      <c r="G982" s="3"/>
      <c r="H982" s="13"/>
      <c r="I982" s="3"/>
      <c r="N982" s="12"/>
    </row>
    <row r="983" spans="1:14" x14ac:dyDescent="0.3">
      <c r="A983" s="12"/>
      <c r="B983" s="1"/>
      <c r="C983" s="1"/>
      <c r="G983" s="3"/>
      <c r="H983" s="13"/>
      <c r="I983" s="3"/>
      <c r="N983" s="12"/>
    </row>
    <row r="984" spans="1:14" x14ac:dyDescent="0.3">
      <c r="A984" s="12"/>
      <c r="B984" s="1"/>
      <c r="C984" s="1"/>
      <c r="G984" s="3"/>
      <c r="H984" s="13"/>
      <c r="I984" s="3"/>
      <c r="N984" s="12"/>
    </row>
    <row r="985" spans="1:14" x14ac:dyDescent="0.3">
      <c r="A985" s="12"/>
      <c r="B985" s="1"/>
      <c r="C985" s="1"/>
      <c r="G985" s="3"/>
      <c r="H985" s="13"/>
      <c r="I985" s="3"/>
      <c r="N985" s="12"/>
    </row>
    <row r="986" spans="1:14" x14ac:dyDescent="0.3">
      <c r="A986" s="12"/>
      <c r="B986" s="1"/>
      <c r="C986" s="1"/>
      <c r="G986" s="3"/>
      <c r="H986" s="13"/>
      <c r="I986" s="3"/>
      <c r="N986" s="12"/>
    </row>
    <row r="987" spans="1:14" x14ac:dyDescent="0.3">
      <c r="A987" s="12"/>
      <c r="B987" s="1"/>
      <c r="C987" s="1"/>
      <c r="G987" s="3"/>
      <c r="H987" s="13"/>
      <c r="I987" s="3"/>
      <c r="N987" s="12"/>
    </row>
    <row r="988" spans="1:14" x14ac:dyDescent="0.3">
      <c r="A988" s="12"/>
      <c r="B988" s="1"/>
      <c r="C988" s="1"/>
      <c r="G988" s="3"/>
      <c r="H988" s="13"/>
      <c r="I988" s="3"/>
      <c r="N988" s="12"/>
    </row>
    <row r="989" spans="1:14" x14ac:dyDescent="0.3">
      <c r="A989" s="12"/>
      <c r="B989" s="1"/>
      <c r="C989" s="1"/>
      <c r="G989" s="3"/>
      <c r="H989" s="13"/>
      <c r="I989" s="3"/>
      <c r="N989" s="12"/>
    </row>
    <row r="990" spans="1:14" x14ac:dyDescent="0.3">
      <c r="A990" s="12"/>
      <c r="B990" s="1"/>
      <c r="C990" s="1"/>
      <c r="G990" s="3"/>
      <c r="H990" s="13"/>
      <c r="I990" s="3"/>
      <c r="N990" s="12"/>
    </row>
    <row r="991" spans="1:14" x14ac:dyDescent="0.3">
      <c r="A991" s="12"/>
      <c r="B991" s="1"/>
      <c r="C991" s="1"/>
      <c r="G991" s="3"/>
      <c r="H991" s="13"/>
      <c r="I991" s="3"/>
      <c r="N991" s="12"/>
    </row>
    <row r="992" spans="1:14" x14ac:dyDescent="0.3">
      <c r="A992" s="12"/>
      <c r="B992" s="1"/>
      <c r="C992" s="1"/>
      <c r="G992" s="3"/>
      <c r="H992" s="13"/>
      <c r="I992" s="3"/>
      <c r="N992" s="12"/>
    </row>
    <row r="993" spans="1:14" x14ac:dyDescent="0.3">
      <c r="A993" s="12"/>
      <c r="B993" s="1"/>
      <c r="C993" s="1"/>
      <c r="G993" s="3"/>
      <c r="H993" s="13"/>
      <c r="I993" s="3"/>
      <c r="N993" s="12"/>
    </row>
    <row r="994" spans="1:14" x14ac:dyDescent="0.3">
      <c r="A994" s="12"/>
      <c r="B994" s="1"/>
      <c r="C994" s="1"/>
      <c r="G994" s="3"/>
      <c r="H994" s="13"/>
      <c r="I994" s="3"/>
      <c r="N994" s="12"/>
    </row>
    <row r="995" spans="1:14" x14ac:dyDescent="0.3">
      <c r="A995" s="12"/>
      <c r="B995" s="1"/>
      <c r="C995" s="1"/>
      <c r="G995" s="3"/>
      <c r="H995" s="13"/>
      <c r="I995" s="3"/>
      <c r="N995" s="12"/>
    </row>
    <row r="996" spans="1:14" x14ac:dyDescent="0.3">
      <c r="A996" s="12"/>
      <c r="B996" s="1"/>
      <c r="C996" s="1"/>
      <c r="G996" s="3"/>
      <c r="H996" s="13"/>
      <c r="I996" s="3"/>
      <c r="N996" s="12"/>
    </row>
    <row r="997" spans="1:14" x14ac:dyDescent="0.3">
      <c r="A997" s="12"/>
      <c r="B997" s="1"/>
      <c r="C997" s="1"/>
      <c r="G997" s="3"/>
      <c r="H997" s="13"/>
      <c r="I997" s="3"/>
      <c r="N997" s="12"/>
    </row>
    <row r="998" spans="1:14" x14ac:dyDescent="0.3">
      <c r="A998" s="12"/>
      <c r="B998" s="1"/>
      <c r="C998" s="1"/>
      <c r="G998" s="3"/>
      <c r="H998" s="13"/>
      <c r="I998" s="3"/>
      <c r="N998" s="12"/>
    </row>
    <row r="999" spans="1:14" x14ac:dyDescent="0.3">
      <c r="A999" s="12"/>
      <c r="B999" s="1"/>
      <c r="C999" s="1"/>
      <c r="G999" s="3"/>
      <c r="H999" s="13"/>
      <c r="I999" s="3"/>
      <c r="N999" s="12"/>
    </row>
    <row r="1000" spans="1:14" x14ac:dyDescent="0.3">
      <c r="A1000" s="12"/>
      <c r="B1000" s="1"/>
      <c r="C1000" s="1"/>
      <c r="G1000" s="3"/>
      <c r="H1000" s="13"/>
      <c r="I1000" s="3"/>
      <c r="N1000" s="12"/>
    </row>
    <row r="1001" spans="1:14" x14ac:dyDescent="0.3">
      <c r="A1001" s="12"/>
      <c r="B1001" s="1"/>
      <c r="C1001" s="1"/>
      <c r="G1001" s="3"/>
      <c r="H1001" s="13"/>
      <c r="I1001" s="3"/>
      <c r="N1001" s="12"/>
    </row>
    <row r="1002" spans="1:14" x14ac:dyDescent="0.3">
      <c r="A1002" s="12"/>
      <c r="B1002" s="1"/>
      <c r="C1002" s="1"/>
      <c r="G1002" s="3"/>
      <c r="H1002" s="13"/>
      <c r="I1002" s="3"/>
      <c r="N1002" s="12"/>
    </row>
    <row r="1003" spans="1:14" x14ac:dyDescent="0.3">
      <c r="A1003" s="12"/>
      <c r="B1003" s="1"/>
      <c r="C1003" s="1"/>
      <c r="G1003" s="3"/>
      <c r="H1003" s="13"/>
      <c r="I1003" s="3"/>
      <c r="N1003" s="12"/>
    </row>
    <row r="1004" spans="1:14" x14ac:dyDescent="0.3">
      <c r="A1004" s="12"/>
      <c r="B1004" s="1"/>
      <c r="C1004" s="1"/>
      <c r="G1004" s="3"/>
      <c r="H1004" s="13"/>
      <c r="I1004" s="3"/>
      <c r="N1004" s="12"/>
    </row>
    <row r="1005" spans="1:14" x14ac:dyDescent="0.3">
      <c r="A1005" s="12"/>
      <c r="B1005" s="1"/>
      <c r="C1005" s="1"/>
      <c r="G1005" s="3"/>
      <c r="H1005" s="13"/>
      <c r="I1005" s="3"/>
      <c r="N1005" s="12"/>
    </row>
    <row r="1006" spans="1:14" x14ac:dyDescent="0.3">
      <c r="A1006" s="12"/>
      <c r="B1006" s="1"/>
      <c r="C1006" s="1"/>
      <c r="G1006" s="3"/>
      <c r="H1006" s="13"/>
      <c r="I1006" s="3"/>
      <c r="N1006" s="12"/>
    </row>
    <row r="1007" spans="1:14" x14ac:dyDescent="0.3">
      <c r="A1007" s="12"/>
      <c r="B1007" s="1"/>
      <c r="C1007" s="1"/>
      <c r="G1007" s="3"/>
      <c r="H1007" s="13"/>
      <c r="I1007" s="3"/>
      <c r="N1007" s="12"/>
    </row>
    <row r="1008" spans="1:14" x14ac:dyDescent="0.3">
      <c r="A1008" s="12"/>
      <c r="B1008" s="1"/>
      <c r="C1008" s="1"/>
      <c r="G1008" s="3"/>
      <c r="H1008" s="13"/>
      <c r="I1008" s="3"/>
      <c r="N1008" s="12"/>
    </row>
    <row r="1009" spans="1:14" x14ac:dyDescent="0.3">
      <c r="A1009" s="12"/>
      <c r="B1009" s="1"/>
      <c r="C1009" s="1"/>
      <c r="G1009" s="3"/>
      <c r="H1009" s="13"/>
      <c r="I1009" s="3"/>
      <c r="N1009" s="12"/>
    </row>
    <row r="1010" spans="1:14" x14ac:dyDescent="0.3">
      <c r="A1010" s="12"/>
      <c r="B1010" s="1"/>
      <c r="C1010" s="1"/>
      <c r="G1010" s="3"/>
      <c r="H1010" s="13"/>
      <c r="I1010" s="3"/>
      <c r="N1010" s="12"/>
    </row>
    <row r="1011" spans="1:14" x14ac:dyDescent="0.3">
      <c r="A1011" s="12"/>
      <c r="B1011" s="1"/>
      <c r="C1011" s="1"/>
      <c r="G1011" s="3"/>
      <c r="H1011" s="13"/>
      <c r="I1011" s="3"/>
      <c r="N1011" s="12"/>
    </row>
    <row r="1012" spans="1:14" x14ac:dyDescent="0.3">
      <c r="A1012" s="12"/>
      <c r="B1012" s="1"/>
      <c r="C1012" s="1"/>
      <c r="G1012" s="3"/>
      <c r="H1012" s="13"/>
      <c r="I1012" s="3"/>
      <c r="N1012" s="12"/>
    </row>
    <row r="1013" spans="1:14" x14ac:dyDescent="0.3">
      <c r="A1013" s="12"/>
      <c r="B1013" s="1"/>
      <c r="C1013" s="1"/>
      <c r="G1013" s="3"/>
      <c r="H1013" s="13"/>
      <c r="I1013" s="3"/>
      <c r="N1013" s="12"/>
    </row>
    <row r="1014" spans="1:14" x14ac:dyDescent="0.3">
      <c r="A1014" s="12"/>
      <c r="B1014" s="1"/>
      <c r="C1014" s="1"/>
      <c r="G1014" s="3"/>
      <c r="H1014" s="13"/>
      <c r="I1014" s="3"/>
      <c r="N1014" s="12"/>
    </row>
    <row r="1015" spans="1:14" x14ac:dyDescent="0.3">
      <c r="A1015" s="12"/>
      <c r="B1015" s="1"/>
      <c r="C1015" s="1"/>
      <c r="G1015" s="3"/>
      <c r="H1015" s="13"/>
      <c r="I1015" s="3"/>
      <c r="N1015" s="12"/>
    </row>
    <row r="1016" spans="1:14" x14ac:dyDescent="0.3">
      <c r="A1016" s="12"/>
      <c r="B1016" s="1"/>
      <c r="C1016" s="1"/>
      <c r="G1016" s="3"/>
      <c r="H1016" s="13"/>
      <c r="I1016" s="3"/>
      <c r="N1016" s="12"/>
    </row>
    <row r="1017" spans="1:14" x14ac:dyDescent="0.3">
      <c r="A1017" s="12"/>
      <c r="B1017" s="1"/>
      <c r="C1017" s="1"/>
      <c r="G1017" s="3"/>
      <c r="H1017" s="13"/>
      <c r="I1017" s="3"/>
      <c r="N1017" s="12"/>
    </row>
    <row r="1018" spans="1:14" x14ac:dyDescent="0.3">
      <c r="A1018" s="12"/>
      <c r="B1018" s="1"/>
      <c r="C1018" s="1"/>
      <c r="G1018" s="3"/>
      <c r="H1018" s="13"/>
      <c r="I1018" s="3"/>
      <c r="N1018" s="12"/>
    </row>
    <row r="1019" spans="1:14" x14ac:dyDescent="0.3">
      <c r="A1019" s="12"/>
      <c r="B1019" s="1"/>
      <c r="C1019" s="1"/>
      <c r="G1019" s="3"/>
      <c r="H1019" s="13"/>
      <c r="I1019" s="3"/>
      <c r="N1019" s="12"/>
    </row>
    <row r="1020" spans="1:14" x14ac:dyDescent="0.3">
      <c r="A1020" s="12"/>
      <c r="B1020" s="1"/>
      <c r="C1020" s="1"/>
      <c r="G1020" s="3"/>
      <c r="H1020" s="13"/>
      <c r="I1020" s="3"/>
      <c r="N1020" s="12"/>
    </row>
    <row r="1021" spans="1:14" x14ac:dyDescent="0.3">
      <c r="A1021" s="12"/>
      <c r="B1021" s="1"/>
      <c r="C1021" s="1"/>
      <c r="G1021" s="3"/>
      <c r="H1021" s="13"/>
      <c r="I1021" s="3"/>
      <c r="N1021" s="12"/>
    </row>
    <row r="1022" spans="1:14" x14ac:dyDescent="0.3">
      <c r="A1022" s="12"/>
      <c r="B1022" s="1"/>
      <c r="C1022" s="1"/>
      <c r="G1022" s="3"/>
      <c r="H1022" s="13"/>
      <c r="I1022" s="3"/>
      <c r="N1022" s="12"/>
    </row>
    <row r="1023" spans="1:14" x14ac:dyDescent="0.3">
      <c r="A1023" s="12"/>
      <c r="B1023" s="1"/>
      <c r="C1023" s="1"/>
      <c r="G1023" s="3"/>
      <c r="H1023" s="13"/>
      <c r="I1023" s="3"/>
      <c r="N1023" s="12"/>
    </row>
    <row r="1024" spans="1:14" x14ac:dyDescent="0.3">
      <c r="A1024" s="12"/>
      <c r="B1024" s="1"/>
      <c r="C1024" s="1"/>
      <c r="G1024" s="3"/>
      <c r="H1024" s="13"/>
      <c r="I1024" s="3"/>
      <c r="N1024" s="12"/>
    </row>
    <row r="1025" spans="1:14" x14ac:dyDescent="0.3">
      <c r="A1025" s="12"/>
      <c r="B1025" s="1"/>
      <c r="C1025" s="1"/>
      <c r="G1025" s="3"/>
      <c r="H1025" s="13"/>
      <c r="I1025" s="3"/>
      <c r="N1025" s="12"/>
    </row>
    <row r="1026" spans="1:14" x14ac:dyDescent="0.3">
      <c r="A1026" s="12"/>
      <c r="B1026" s="1"/>
      <c r="C1026" s="1"/>
      <c r="G1026" s="3"/>
      <c r="H1026" s="13"/>
      <c r="I1026" s="3"/>
      <c r="N1026" s="12"/>
    </row>
    <row r="1027" spans="1:14" x14ac:dyDescent="0.3">
      <c r="A1027" s="12"/>
      <c r="B1027" s="1"/>
      <c r="C1027" s="1"/>
      <c r="G1027" s="3"/>
      <c r="H1027" s="13"/>
      <c r="I1027" s="3"/>
      <c r="N1027" s="12"/>
    </row>
    <row r="1028" spans="1:14" x14ac:dyDescent="0.3">
      <c r="A1028" s="12"/>
      <c r="B1028" s="1"/>
      <c r="C1028" s="1"/>
      <c r="G1028" s="3"/>
      <c r="H1028" s="13"/>
      <c r="I1028" s="3"/>
      <c r="N1028" s="12"/>
    </row>
    <row r="1029" spans="1:14" x14ac:dyDescent="0.3">
      <c r="A1029" s="12"/>
      <c r="B1029" s="1"/>
      <c r="C1029" s="1"/>
      <c r="G1029" s="3"/>
      <c r="H1029" s="13"/>
      <c r="I1029" s="3"/>
      <c r="N1029" s="12"/>
    </row>
    <row r="1030" spans="1:14" x14ac:dyDescent="0.3">
      <c r="A1030" s="12"/>
      <c r="B1030" s="1"/>
      <c r="C1030" s="1"/>
      <c r="G1030" s="3"/>
      <c r="H1030" s="13"/>
      <c r="I1030" s="3"/>
      <c r="N1030" s="12"/>
    </row>
    <row r="1031" spans="1:14" x14ac:dyDescent="0.3">
      <c r="A1031" s="12"/>
      <c r="B1031" s="1"/>
      <c r="C1031" s="1"/>
      <c r="G1031" s="3"/>
      <c r="H1031" s="13"/>
      <c r="I1031" s="3"/>
      <c r="N1031" s="12"/>
    </row>
    <row r="1032" spans="1:14" x14ac:dyDescent="0.3">
      <c r="A1032" s="12"/>
      <c r="B1032" s="1"/>
      <c r="C1032" s="1"/>
      <c r="G1032" s="3"/>
      <c r="H1032" s="13"/>
      <c r="I1032" s="3"/>
      <c r="N1032" s="12"/>
    </row>
    <row r="1033" spans="1:14" x14ac:dyDescent="0.3">
      <c r="A1033" s="12"/>
      <c r="B1033" s="1"/>
      <c r="C1033" s="1"/>
      <c r="G1033" s="3"/>
      <c r="H1033" s="13"/>
      <c r="I1033" s="3"/>
      <c r="N1033" s="12"/>
    </row>
    <row r="1034" spans="1:14" x14ac:dyDescent="0.3">
      <c r="A1034" s="12"/>
      <c r="B1034" s="1"/>
      <c r="C1034" s="1"/>
      <c r="G1034" s="3"/>
      <c r="H1034" s="13"/>
      <c r="I1034" s="3"/>
      <c r="N1034" s="12"/>
    </row>
    <row r="1035" spans="1:14" x14ac:dyDescent="0.3">
      <c r="A1035" s="12"/>
      <c r="B1035" s="1"/>
      <c r="C1035" s="1"/>
      <c r="G1035" s="3"/>
      <c r="H1035" s="13"/>
      <c r="I1035" s="3"/>
      <c r="N1035" s="12"/>
    </row>
    <row r="1036" spans="1:14" x14ac:dyDescent="0.3">
      <c r="A1036" s="12"/>
      <c r="B1036" s="1"/>
      <c r="C1036" s="1"/>
      <c r="G1036" s="3"/>
      <c r="H1036" s="13"/>
      <c r="I1036" s="3"/>
      <c r="N1036" s="12"/>
    </row>
    <row r="1037" spans="1:14" x14ac:dyDescent="0.3">
      <c r="A1037" s="12"/>
      <c r="B1037" s="1"/>
      <c r="C1037" s="1"/>
      <c r="G1037" s="3"/>
      <c r="H1037" s="13"/>
      <c r="I1037" s="3"/>
      <c r="N1037" s="12"/>
    </row>
    <row r="1038" spans="1:14" x14ac:dyDescent="0.3">
      <c r="A1038" s="12"/>
      <c r="B1038" s="1"/>
      <c r="C1038" s="1"/>
      <c r="G1038" s="3"/>
      <c r="H1038" s="13"/>
      <c r="I1038" s="3"/>
      <c r="N1038" s="12"/>
    </row>
    <row r="1039" spans="1:14" x14ac:dyDescent="0.3">
      <c r="A1039" s="12"/>
      <c r="B1039" s="1"/>
      <c r="C1039" s="1"/>
      <c r="G1039" s="3"/>
      <c r="H1039" s="13"/>
      <c r="I1039" s="3"/>
      <c r="N1039" s="12"/>
    </row>
    <row r="1040" spans="1:14" x14ac:dyDescent="0.3">
      <c r="A1040" s="12"/>
      <c r="B1040" s="1"/>
      <c r="C1040" s="1"/>
      <c r="G1040" s="3"/>
      <c r="H1040" s="13"/>
      <c r="I1040" s="3"/>
      <c r="N1040" s="12"/>
    </row>
    <row r="1041" spans="1:14" x14ac:dyDescent="0.3">
      <c r="A1041" s="12"/>
      <c r="B1041" s="1"/>
      <c r="C1041" s="1"/>
      <c r="G1041" s="3"/>
      <c r="H1041" s="13"/>
      <c r="I1041" s="3"/>
      <c r="N1041" s="12"/>
    </row>
    <row r="1042" spans="1:14" x14ac:dyDescent="0.3">
      <c r="A1042" s="12"/>
      <c r="B1042" s="1"/>
      <c r="C1042" s="1"/>
      <c r="G1042" s="3"/>
      <c r="H1042" s="13"/>
      <c r="I1042" s="3"/>
      <c r="N1042" s="12"/>
    </row>
    <row r="1043" spans="1:14" x14ac:dyDescent="0.3">
      <c r="A1043" s="12"/>
      <c r="B1043" s="1"/>
      <c r="C1043" s="1"/>
      <c r="G1043" s="3"/>
      <c r="H1043" s="13"/>
      <c r="I1043" s="3"/>
      <c r="N1043" s="12"/>
    </row>
    <row r="1044" spans="1:14" x14ac:dyDescent="0.3">
      <c r="A1044" s="12"/>
      <c r="B1044" s="1"/>
      <c r="C1044" s="1"/>
      <c r="G1044" s="3"/>
      <c r="H1044" s="13"/>
      <c r="I1044" s="3"/>
      <c r="N1044" s="12"/>
    </row>
    <row r="1045" spans="1:14" x14ac:dyDescent="0.3">
      <c r="A1045" s="12"/>
      <c r="B1045" s="1"/>
      <c r="C1045" s="1"/>
      <c r="G1045" s="3"/>
      <c r="H1045" s="13"/>
      <c r="I1045" s="3"/>
      <c r="N1045" s="12"/>
    </row>
    <row r="1046" spans="1:14" x14ac:dyDescent="0.3">
      <c r="A1046" s="12"/>
      <c r="B1046" s="1"/>
      <c r="C1046" s="1"/>
      <c r="G1046" s="3"/>
      <c r="H1046" s="13"/>
      <c r="I1046" s="3"/>
      <c r="N1046" s="12"/>
    </row>
    <row r="1047" spans="1:14" x14ac:dyDescent="0.3">
      <c r="A1047" s="12"/>
      <c r="B1047" s="1"/>
      <c r="C1047" s="1"/>
      <c r="G1047" s="3"/>
      <c r="H1047" s="13"/>
      <c r="I1047" s="3"/>
      <c r="N1047" s="12"/>
    </row>
    <row r="1048" spans="1:14" x14ac:dyDescent="0.3">
      <c r="A1048" s="12"/>
      <c r="B1048" s="1"/>
      <c r="C1048" s="1"/>
      <c r="G1048" s="3"/>
      <c r="H1048" s="13"/>
      <c r="I1048" s="3"/>
      <c r="N1048" s="12"/>
    </row>
    <row r="1049" spans="1:14" x14ac:dyDescent="0.3">
      <c r="A1049" s="12"/>
      <c r="B1049" s="1"/>
      <c r="C1049" s="1"/>
      <c r="G1049" s="3"/>
      <c r="H1049" s="13"/>
      <c r="I1049" s="3"/>
      <c r="N1049" s="12"/>
    </row>
    <row r="1050" spans="1:14" x14ac:dyDescent="0.3">
      <c r="A1050" s="12"/>
      <c r="B1050" s="1"/>
      <c r="C1050" s="1"/>
      <c r="G1050" s="3"/>
      <c r="H1050" s="13"/>
      <c r="I1050" s="3"/>
      <c r="N1050" s="12"/>
    </row>
    <row r="1051" spans="1:14" x14ac:dyDescent="0.3">
      <c r="A1051" s="12"/>
      <c r="B1051" s="1"/>
      <c r="C1051" s="1"/>
      <c r="G1051" s="3"/>
      <c r="H1051" s="13"/>
      <c r="I1051" s="3"/>
      <c r="N1051" s="12"/>
    </row>
    <row r="1052" spans="1:14" x14ac:dyDescent="0.3">
      <c r="A1052" s="12"/>
      <c r="B1052" s="1"/>
      <c r="C1052" s="1"/>
      <c r="G1052" s="3"/>
      <c r="H1052" s="13"/>
      <c r="I1052" s="3"/>
      <c r="N1052" s="12"/>
    </row>
    <row r="1053" spans="1:14" x14ac:dyDescent="0.3">
      <c r="A1053" s="12"/>
      <c r="B1053" s="1"/>
      <c r="C1053" s="1"/>
      <c r="G1053" s="3"/>
      <c r="H1053" s="13"/>
      <c r="I1053" s="3"/>
      <c r="N1053" s="12"/>
    </row>
    <row r="1054" spans="1:14" x14ac:dyDescent="0.3">
      <c r="A1054" s="12"/>
      <c r="B1054" s="1"/>
      <c r="C1054" s="1"/>
      <c r="G1054" s="3"/>
      <c r="H1054" s="13"/>
      <c r="I1054" s="3"/>
      <c r="N1054" s="12"/>
    </row>
    <row r="1055" spans="1:14" x14ac:dyDescent="0.3">
      <c r="A1055" s="12"/>
      <c r="B1055" s="1"/>
      <c r="C1055" s="1"/>
      <c r="G1055" s="3"/>
      <c r="H1055" s="13"/>
      <c r="I1055" s="3"/>
      <c r="N1055" s="12"/>
    </row>
    <row r="1056" spans="1:14" x14ac:dyDescent="0.3">
      <c r="A1056" s="12"/>
      <c r="B1056" s="1"/>
      <c r="C1056" s="1"/>
      <c r="G1056" s="3"/>
      <c r="H1056" s="13"/>
      <c r="I1056" s="3"/>
      <c r="N1056" s="12"/>
    </row>
    <row r="1057" spans="1:14" x14ac:dyDescent="0.3">
      <c r="A1057" s="12"/>
      <c r="B1057" s="1"/>
      <c r="C1057" s="1"/>
      <c r="G1057" s="3"/>
      <c r="H1057" s="13"/>
      <c r="I1057" s="3"/>
      <c r="N1057" s="12"/>
    </row>
    <row r="1058" spans="1:14" x14ac:dyDescent="0.3">
      <c r="A1058" s="12"/>
      <c r="B1058" s="1"/>
      <c r="C1058" s="1"/>
      <c r="G1058" s="3"/>
      <c r="H1058" s="13"/>
      <c r="I1058" s="3"/>
      <c r="N1058" s="12"/>
    </row>
    <row r="1059" spans="1:14" x14ac:dyDescent="0.3">
      <c r="A1059" s="12"/>
      <c r="B1059" s="1"/>
      <c r="C1059" s="1"/>
      <c r="G1059" s="3"/>
      <c r="H1059" s="13"/>
      <c r="I1059" s="3"/>
      <c r="N1059" s="12"/>
    </row>
    <row r="1060" spans="1:14" x14ac:dyDescent="0.3">
      <c r="A1060" s="12"/>
      <c r="B1060" s="1"/>
      <c r="C1060" s="1"/>
      <c r="G1060" s="3"/>
      <c r="H1060" s="13"/>
      <c r="I1060" s="3"/>
      <c r="N1060" s="12"/>
    </row>
    <row r="1061" spans="1:14" x14ac:dyDescent="0.3">
      <c r="A1061" s="12"/>
      <c r="B1061" s="1"/>
      <c r="C1061" s="1"/>
      <c r="G1061" s="3"/>
      <c r="H1061" s="13"/>
      <c r="I1061" s="3"/>
      <c r="N1061" s="12"/>
    </row>
    <row r="1062" spans="1:14" x14ac:dyDescent="0.3">
      <c r="A1062" s="12"/>
      <c r="B1062" s="1"/>
      <c r="C1062" s="1"/>
      <c r="G1062" s="3"/>
      <c r="H1062" s="13"/>
      <c r="I1062" s="3"/>
      <c r="N1062" s="12"/>
    </row>
    <row r="1063" spans="1:14" x14ac:dyDescent="0.3">
      <c r="A1063" s="12"/>
      <c r="B1063" s="1"/>
      <c r="C1063" s="1"/>
      <c r="G1063" s="3"/>
      <c r="H1063" s="13"/>
      <c r="I1063" s="3"/>
      <c r="N1063" s="12"/>
    </row>
    <row r="1064" spans="1:14" x14ac:dyDescent="0.3">
      <c r="A1064" s="12"/>
      <c r="B1064" s="1"/>
      <c r="C1064" s="1"/>
      <c r="G1064" s="3"/>
      <c r="H1064" s="13"/>
      <c r="I1064" s="3"/>
      <c r="N1064" s="12"/>
    </row>
    <row r="1065" spans="1:14" x14ac:dyDescent="0.3">
      <c r="A1065" s="12"/>
      <c r="B1065" s="1"/>
      <c r="C1065" s="1"/>
      <c r="G1065" s="3"/>
      <c r="H1065" s="13"/>
      <c r="I1065" s="3"/>
      <c r="N1065" s="12"/>
    </row>
    <row r="1066" spans="1:14" x14ac:dyDescent="0.3">
      <c r="A1066" s="12"/>
      <c r="B1066" s="1"/>
      <c r="C1066" s="1"/>
      <c r="G1066" s="3"/>
      <c r="H1066" s="13"/>
      <c r="I1066" s="3"/>
      <c r="N1066" s="12"/>
    </row>
    <row r="1067" spans="1:14" x14ac:dyDescent="0.3">
      <c r="A1067" s="12"/>
      <c r="B1067" s="1"/>
      <c r="C1067" s="1"/>
      <c r="G1067" s="3"/>
      <c r="H1067" s="13"/>
      <c r="I1067" s="3"/>
      <c r="N1067" s="12"/>
    </row>
    <row r="1068" spans="1:14" x14ac:dyDescent="0.3">
      <c r="A1068" s="12"/>
      <c r="B1068" s="1"/>
      <c r="C1068" s="1"/>
      <c r="G1068" s="3"/>
      <c r="H1068" s="13"/>
      <c r="I1068" s="3"/>
      <c r="N1068" s="12"/>
    </row>
    <row r="1069" spans="1:14" x14ac:dyDescent="0.3">
      <c r="A1069" s="12"/>
      <c r="B1069" s="1"/>
      <c r="C1069" s="1"/>
      <c r="G1069" s="3"/>
      <c r="H1069" s="13"/>
      <c r="I1069" s="3"/>
      <c r="N1069" s="12"/>
    </row>
    <row r="1070" spans="1:14" x14ac:dyDescent="0.3">
      <c r="A1070" s="12"/>
      <c r="B1070" s="1"/>
      <c r="C1070" s="1"/>
      <c r="G1070" s="3"/>
      <c r="H1070" s="13"/>
      <c r="I1070" s="3"/>
      <c r="N1070" s="12"/>
    </row>
    <row r="1071" spans="1:14" x14ac:dyDescent="0.3">
      <c r="A1071" s="12"/>
      <c r="B1071" s="1"/>
      <c r="C1071" s="1"/>
      <c r="G1071" s="3"/>
      <c r="H1071" s="13"/>
      <c r="I1071" s="3"/>
      <c r="N1071" s="12"/>
    </row>
    <row r="1072" spans="1:14" x14ac:dyDescent="0.3">
      <c r="A1072" s="12"/>
      <c r="B1072" s="1"/>
      <c r="C1072" s="1"/>
      <c r="G1072" s="3"/>
      <c r="H1072" s="13"/>
      <c r="I1072" s="3"/>
      <c r="N1072" s="12"/>
    </row>
    <row r="1073" spans="1:14" x14ac:dyDescent="0.3">
      <c r="A1073" s="12"/>
      <c r="B1073" s="1"/>
      <c r="C1073" s="1"/>
      <c r="G1073" s="3"/>
      <c r="H1073" s="13"/>
      <c r="I1073" s="3"/>
      <c r="N1073" s="12"/>
    </row>
    <row r="1074" spans="1:14" x14ac:dyDescent="0.3">
      <c r="A1074" s="12"/>
      <c r="B1074" s="1"/>
      <c r="C1074" s="1"/>
      <c r="G1074" s="3"/>
      <c r="H1074" s="13"/>
      <c r="I1074" s="3"/>
      <c r="N1074" s="12"/>
    </row>
    <row r="1075" spans="1:14" x14ac:dyDescent="0.3">
      <c r="A1075" s="12"/>
      <c r="B1075" s="1"/>
      <c r="C1075" s="1"/>
      <c r="G1075" s="3"/>
      <c r="H1075" s="13"/>
      <c r="I1075" s="3"/>
      <c r="N1075" s="12"/>
    </row>
    <row r="1076" spans="1:14" x14ac:dyDescent="0.3">
      <c r="A1076" s="12"/>
      <c r="B1076" s="1"/>
      <c r="C1076" s="1"/>
      <c r="G1076" s="3"/>
      <c r="H1076" s="13"/>
      <c r="I1076" s="3"/>
      <c r="N1076" s="12"/>
    </row>
    <row r="1077" spans="1:14" x14ac:dyDescent="0.3">
      <c r="A1077" s="12"/>
      <c r="B1077" s="1"/>
      <c r="C1077" s="1"/>
      <c r="G1077" s="3"/>
      <c r="H1077" s="13"/>
      <c r="I1077" s="3"/>
      <c r="N1077" s="12"/>
    </row>
    <row r="1078" spans="1:14" x14ac:dyDescent="0.3">
      <c r="A1078" s="12"/>
      <c r="B1078" s="1"/>
      <c r="C1078" s="1"/>
      <c r="G1078" s="3"/>
      <c r="H1078" s="13"/>
      <c r="I1078" s="3"/>
      <c r="N1078" s="12"/>
    </row>
    <row r="1079" spans="1:14" x14ac:dyDescent="0.3">
      <c r="A1079" s="12"/>
      <c r="B1079" s="1"/>
      <c r="C1079" s="1"/>
      <c r="G1079" s="3"/>
      <c r="H1079" s="13"/>
      <c r="I1079" s="3"/>
      <c r="N1079" s="12"/>
    </row>
    <row r="1080" spans="1:14" x14ac:dyDescent="0.3">
      <c r="A1080" s="12"/>
      <c r="B1080" s="1"/>
      <c r="C1080" s="1"/>
      <c r="G1080" s="3"/>
      <c r="H1080" s="13"/>
      <c r="I1080" s="3"/>
      <c r="N1080" s="12"/>
    </row>
    <row r="1081" spans="1:14" x14ac:dyDescent="0.3">
      <c r="A1081" s="12"/>
      <c r="B1081" s="1"/>
      <c r="C1081" s="1"/>
      <c r="G1081" s="3"/>
      <c r="H1081" s="13"/>
      <c r="I1081" s="3"/>
      <c r="N1081" s="12"/>
    </row>
    <row r="1082" spans="1:14" x14ac:dyDescent="0.3">
      <c r="A1082" s="12"/>
      <c r="B1082" s="1"/>
      <c r="C1082" s="1"/>
      <c r="G1082" s="3"/>
      <c r="H1082" s="13"/>
      <c r="I1082" s="3"/>
      <c r="N1082" s="12"/>
    </row>
    <row r="1083" spans="1:14" x14ac:dyDescent="0.3">
      <c r="A1083" s="12"/>
      <c r="B1083" s="1"/>
      <c r="C1083" s="1"/>
      <c r="G1083" s="3"/>
      <c r="H1083" s="13"/>
      <c r="I1083" s="3"/>
      <c r="N1083" s="12"/>
    </row>
    <row r="1084" spans="1:14" x14ac:dyDescent="0.3">
      <c r="A1084" s="12"/>
      <c r="B1084" s="1"/>
      <c r="C1084" s="1"/>
      <c r="G1084" s="3"/>
      <c r="H1084" s="13"/>
      <c r="I1084" s="3"/>
      <c r="N1084" s="12"/>
    </row>
    <row r="1085" spans="1:14" x14ac:dyDescent="0.3">
      <c r="A1085" s="12"/>
      <c r="B1085" s="1"/>
      <c r="C1085" s="1"/>
      <c r="G1085" s="3"/>
      <c r="H1085" s="13"/>
      <c r="I1085" s="3"/>
      <c r="N1085" s="12"/>
    </row>
    <row r="1086" spans="1:14" x14ac:dyDescent="0.3">
      <c r="A1086" s="12"/>
      <c r="B1086" s="1"/>
      <c r="C1086" s="1"/>
      <c r="G1086" s="3"/>
      <c r="H1086" s="13"/>
      <c r="I1086" s="3"/>
      <c r="N1086" s="12"/>
    </row>
    <row r="1087" spans="1:14" x14ac:dyDescent="0.3">
      <c r="A1087" s="12"/>
      <c r="B1087" s="1"/>
      <c r="C1087" s="1"/>
      <c r="G1087" s="3"/>
      <c r="H1087" s="13"/>
      <c r="I1087" s="3"/>
      <c r="N1087" s="12"/>
    </row>
    <row r="1088" spans="1:14" x14ac:dyDescent="0.3">
      <c r="A1088" s="12"/>
      <c r="B1088" s="1"/>
      <c r="C1088" s="1"/>
      <c r="G1088" s="3"/>
      <c r="H1088" s="13"/>
      <c r="I1088" s="3"/>
      <c r="N1088" s="12"/>
    </row>
    <row r="1089" spans="1:14" x14ac:dyDescent="0.3">
      <c r="A1089" s="12"/>
      <c r="B1089" s="1"/>
      <c r="C1089" s="1"/>
      <c r="G1089" s="3"/>
      <c r="H1089" s="13"/>
      <c r="I1089" s="3"/>
      <c r="N1089" s="12"/>
    </row>
    <row r="1090" spans="1:14" x14ac:dyDescent="0.3">
      <c r="A1090" s="12"/>
      <c r="B1090" s="1"/>
      <c r="C1090" s="1"/>
      <c r="G1090" s="3"/>
      <c r="H1090" s="13"/>
      <c r="I1090" s="3"/>
      <c r="N1090" s="12"/>
    </row>
    <row r="1091" spans="1:14" x14ac:dyDescent="0.3">
      <c r="A1091" s="12"/>
      <c r="B1091" s="1"/>
      <c r="C1091" s="1"/>
      <c r="G1091" s="3"/>
      <c r="H1091" s="13"/>
      <c r="I1091" s="3"/>
      <c r="N1091" s="12"/>
    </row>
    <row r="1092" spans="1:14" x14ac:dyDescent="0.3">
      <c r="A1092" s="12"/>
      <c r="B1092" s="1"/>
      <c r="C1092" s="1"/>
      <c r="G1092" s="3"/>
      <c r="H1092" s="13"/>
      <c r="I1092" s="3"/>
      <c r="N1092" s="12"/>
    </row>
    <row r="1093" spans="1:14" x14ac:dyDescent="0.3">
      <c r="A1093" s="12"/>
      <c r="B1093" s="1"/>
      <c r="C1093" s="1"/>
      <c r="G1093" s="3"/>
      <c r="H1093" s="13"/>
      <c r="I1093" s="3"/>
      <c r="N1093" s="12"/>
    </row>
    <row r="1094" spans="1:14" x14ac:dyDescent="0.3">
      <c r="A1094" s="12"/>
      <c r="B1094" s="1"/>
      <c r="C1094" s="1"/>
      <c r="G1094" s="3"/>
      <c r="H1094" s="13"/>
      <c r="I1094" s="3"/>
      <c r="N1094" s="12"/>
    </row>
    <row r="1095" spans="1:14" x14ac:dyDescent="0.3">
      <c r="A1095" s="12"/>
      <c r="B1095" s="1"/>
      <c r="C1095" s="1"/>
      <c r="G1095" s="3"/>
      <c r="H1095" s="13"/>
      <c r="I1095" s="3"/>
      <c r="N1095" s="12"/>
    </row>
    <row r="1096" spans="1:14" x14ac:dyDescent="0.3">
      <c r="A1096" s="12"/>
      <c r="B1096" s="1"/>
      <c r="C1096" s="1"/>
      <c r="G1096" s="3"/>
      <c r="H1096" s="13"/>
      <c r="I1096" s="3"/>
      <c r="N1096" s="12"/>
    </row>
    <row r="1097" spans="1:14" x14ac:dyDescent="0.3">
      <c r="A1097" s="12"/>
      <c r="B1097" s="1"/>
      <c r="C1097" s="1"/>
      <c r="G1097" s="3"/>
      <c r="H1097" s="13"/>
      <c r="I1097" s="3"/>
      <c r="N1097" s="12"/>
    </row>
    <row r="1098" spans="1:14" x14ac:dyDescent="0.3">
      <c r="A1098" s="12"/>
      <c r="B1098" s="1"/>
      <c r="C1098" s="1"/>
      <c r="G1098" s="3"/>
      <c r="H1098" s="13"/>
      <c r="I1098" s="3"/>
      <c r="N1098" s="12"/>
    </row>
    <row r="1099" spans="1:14" x14ac:dyDescent="0.3">
      <c r="A1099" s="12"/>
      <c r="B1099" s="1"/>
      <c r="C1099" s="1"/>
      <c r="G1099" s="3"/>
      <c r="H1099" s="13"/>
      <c r="I1099" s="3"/>
      <c r="N1099" s="12"/>
    </row>
    <row r="1100" spans="1:14" x14ac:dyDescent="0.3">
      <c r="A1100" s="12"/>
      <c r="B1100" s="1"/>
      <c r="C1100" s="1"/>
      <c r="G1100" s="3"/>
      <c r="H1100" s="13"/>
      <c r="I1100" s="3"/>
      <c r="N1100" s="12"/>
    </row>
    <row r="1101" spans="1:14" x14ac:dyDescent="0.3">
      <c r="A1101" s="12"/>
      <c r="B1101" s="1"/>
      <c r="C1101" s="1"/>
      <c r="G1101" s="3"/>
      <c r="H1101" s="13"/>
      <c r="I1101" s="3"/>
      <c r="N1101" s="12"/>
    </row>
    <row r="1102" spans="1:14" x14ac:dyDescent="0.3">
      <c r="A1102" s="12"/>
      <c r="B1102" s="1"/>
      <c r="C1102" s="1"/>
      <c r="G1102" s="3"/>
      <c r="H1102" s="13"/>
      <c r="I1102" s="3"/>
      <c r="N1102" s="12"/>
    </row>
    <row r="1103" spans="1:14" x14ac:dyDescent="0.3">
      <c r="A1103" s="12"/>
      <c r="B1103" s="1"/>
      <c r="C1103" s="1"/>
      <c r="G1103" s="3"/>
      <c r="H1103" s="13"/>
      <c r="I1103" s="3"/>
      <c r="N1103" s="12"/>
    </row>
    <row r="1104" spans="1:14" x14ac:dyDescent="0.3">
      <c r="A1104" s="12"/>
      <c r="B1104" s="1"/>
      <c r="C1104" s="1"/>
      <c r="G1104" s="3"/>
      <c r="H1104" s="13"/>
      <c r="I1104" s="3"/>
      <c r="N1104" s="12"/>
    </row>
    <row r="1105" spans="1:14" x14ac:dyDescent="0.3">
      <c r="A1105" s="12"/>
      <c r="B1105" s="1"/>
      <c r="C1105" s="1"/>
      <c r="G1105" s="3"/>
      <c r="H1105" s="13"/>
      <c r="I1105" s="3"/>
      <c r="N1105" s="12"/>
    </row>
    <row r="1106" spans="1:14" x14ac:dyDescent="0.3">
      <c r="A1106" s="12"/>
      <c r="B1106" s="1"/>
      <c r="C1106" s="1"/>
      <c r="G1106" s="3"/>
      <c r="H1106" s="13"/>
      <c r="I1106" s="3"/>
      <c r="N1106" s="12"/>
    </row>
    <row r="1107" spans="1:14" x14ac:dyDescent="0.3">
      <c r="A1107" s="12"/>
      <c r="B1107" s="1"/>
      <c r="C1107" s="1"/>
      <c r="G1107" s="3"/>
      <c r="H1107" s="13"/>
      <c r="I1107" s="3"/>
      <c r="N1107" s="12"/>
    </row>
    <row r="1108" spans="1:14" x14ac:dyDescent="0.3">
      <c r="A1108" s="12"/>
      <c r="B1108" s="1"/>
      <c r="C1108" s="1"/>
      <c r="G1108" s="3"/>
      <c r="H1108" s="13"/>
      <c r="I1108" s="3"/>
      <c r="N1108" s="12"/>
    </row>
    <row r="1109" spans="1:14" x14ac:dyDescent="0.3">
      <c r="A1109" s="12"/>
      <c r="B1109" s="1"/>
      <c r="C1109" s="1"/>
      <c r="G1109" s="3"/>
      <c r="H1109" s="13"/>
      <c r="I1109" s="3"/>
      <c r="N1109" s="12"/>
    </row>
    <row r="1110" spans="1:14" x14ac:dyDescent="0.3">
      <c r="A1110" s="12"/>
      <c r="B1110" s="1"/>
      <c r="C1110" s="1"/>
      <c r="G1110" s="3"/>
      <c r="H1110" s="13"/>
      <c r="I1110" s="3"/>
      <c r="N1110" s="12"/>
    </row>
    <row r="1111" spans="1:14" x14ac:dyDescent="0.3">
      <c r="A1111" s="12"/>
      <c r="B1111" s="1"/>
      <c r="C1111" s="1"/>
      <c r="G1111" s="3"/>
      <c r="H1111" s="13"/>
      <c r="I1111" s="3"/>
      <c r="N1111" s="12"/>
    </row>
    <row r="1112" spans="1:14" x14ac:dyDescent="0.3">
      <c r="A1112" s="12"/>
      <c r="B1112" s="1"/>
      <c r="C1112" s="1"/>
      <c r="G1112" s="3"/>
      <c r="H1112" s="13"/>
      <c r="I1112" s="3"/>
      <c r="N1112" s="12"/>
    </row>
    <row r="1113" spans="1:14" x14ac:dyDescent="0.3">
      <c r="A1113" s="12"/>
      <c r="B1113" s="1"/>
      <c r="C1113" s="1"/>
      <c r="G1113" s="3"/>
      <c r="H1113" s="13"/>
      <c r="I1113" s="3"/>
      <c r="N1113" s="12"/>
    </row>
    <row r="1114" spans="1:14" x14ac:dyDescent="0.3">
      <c r="A1114" s="12"/>
      <c r="B1114" s="1"/>
      <c r="C1114" s="1"/>
      <c r="G1114" s="3"/>
      <c r="H1114" s="13"/>
      <c r="I1114" s="3"/>
      <c r="N1114" s="12"/>
    </row>
    <row r="1115" spans="1:14" x14ac:dyDescent="0.3">
      <c r="A1115" s="12"/>
      <c r="B1115" s="1"/>
      <c r="C1115" s="1"/>
      <c r="G1115" s="3"/>
      <c r="H1115" s="13"/>
      <c r="I1115" s="3"/>
      <c r="N1115" s="12"/>
    </row>
    <row r="1116" spans="1:14" x14ac:dyDescent="0.3">
      <c r="A1116" s="12"/>
      <c r="B1116" s="1"/>
      <c r="C1116" s="1"/>
      <c r="G1116" s="3"/>
      <c r="H1116" s="13"/>
      <c r="I1116" s="3"/>
      <c r="N1116" s="12"/>
    </row>
    <row r="1117" spans="1:14" x14ac:dyDescent="0.3">
      <c r="A1117" s="12"/>
      <c r="B1117" s="1"/>
      <c r="C1117" s="1"/>
      <c r="G1117" s="3"/>
      <c r="H1117" s="13"/>
      <c r="I1117" s="3"/>
      <c r="N1117" s="12"/>
    </row>
    <row r="1118" spans="1:14" x14ac:dyDescent="0.3">
      <c r="A1118" s="12"/>
      <c r="B1118" s="1"/>
      <c r="C1118" s="1"/>
      <c r="G1118" s="3"/>
      <c r="H1118" s="13"/>
      <c r="I1118" s="3"/>
      <c r="N1118" s="12"/>
    </row>
    <row r="1119" spans="1:14" x14ac:dyDescent="0.3">
      <c r="A1119" s="12"/>
      <c r="B1119" s="1"/>
      <c r="C1119" s="1"/>
      <c r="G1119" s="3"/>
      <c r="H1119" s="13"/>
      <c r="I1119" s="3"/>
      <c r="N1119" s="12"/>
    </row>
    <row r="1120" spans="1:14" x14ac:dyDescent="0.3">
      <c r="A1120" s="12"/>
      <c r="B1120" s="1"/>
      <c r="C1120" s="1"/>
      <c r="G1120" s="3"/>
      <c r="H1120" s="13"/>
      <c r="I1120" s="3"/>
      <c r="N1120" s="12"/>
    </row>
    <row r="1121" spans="1:14" x14ac:dyDescent="0.3">
      <c r="A1121" s="12"/>
      <c r="B1121" s="1"/>
      <c r="C1121" s="1"/>
      <c r="G1121" s="3"/>
      <c r="H1121" s="13"/>
      <c r="I1121" s="3"/>
      <c r="N1121" s="12"/>
    </row>
    <row r="1122" spans="1:14" x14ac:dyDescent="0.3">
      <c r="A1122" s="12"/>
      <c r="B1122" s="1"/>
      <c r="C1122" s="1"/>
      <c r="G1122" s="3"/>
      <c r="H1122" s="13"/>
      <c r="I1122" s="3"/>
      <c r="N1122" s="12"/>
    </row>
    <row r="1123" spans="1:14" x14ac:dyDescent="0.3">
      <c r="A1123" s="12"/>
      <c r="B1123" s="1"/>
      <c r="C1123" s="1"/>
      <c r="G1123" s="3"/>
      <c r="H1123" s="13"/>
      <c r="I1123" s="3"/>
      <c r="N1123" s="12"/>
    </row>
    <row r="1124" spans="1:14" x14ac:dyDescent="0.3">
      <c r="A1124" s="12"/>
      <c r="B1124" s="1"/>
      <c r="C1124" s="1"/>
      <c r="G1124" s="3"/>
      <c r="H1124" s="13"/>
      <c r="I1124" s="3"/>
      <c r="N1124" s="12"/>
    </row>
    <row r="1125" spans="1:14" x14ac:dyDescent="0.3">
      <c r="A1125" s="12"/>
      <c r="B1125" s="1"/>
      <c r="C1125" s="1"/>
      <c r="G1125" s="3"/>
      <c r="H1125" s="13"/>
      <c r="I1125" s="3"/>
      <c r="N1125" s="12"/>
    </row>
    <row r="1126" spans="1:14" x14ac:dyDescent="0.3">
      <c r="A1126" s="12"/>
      <c r="B1126" s="1"/>
      <c r="C1126" s="1"/>
      <c r="G1126" s="3"/>
      <c r="H1126" s="13"/>
      <c r="I1126" s="3"/>
      <c r="N1126" s="12"/>
    </row>
    <row r="1127" spans="1:14" x14ac:dyDescent="0.3">
      <c r="A1127" s="12"/>
      <c r="B1127" s="1"/>
      <c r="C1127" s="1"/>
      <c r="G1127" s="3"/>
      <c r="H1127" s="13"/>
      <c r="I1127" s="3"/>
      <c r="N1127" s="12"/>
    </row>
    <row r="1128" spans="1:14" x14ac:dyDescent="0.3">
      <c r="A1128" s="12"/>
      <c r="B1128" s="1"/>
      <c r="C1128" s="1"/>
      <c r="G1128" s="3"/>
      <c r="H1128" s="13"/>
      <c r="I1128" s="3"/>
      <c r="N1128" s="12"/>
    </row>
    <row r="1129" spans="1:14" x14ac:dyDescent="0.3">
      <c r="A1129" s="12"/>
      <c r="B1129" s="1"/>
      <c r="C1129" s="1"/>
      <c r="G1129" s="3"/>
      <c r="H1129" s="13"/>
      <c r="I1129" s="3"/>
      <c r="N1129" s="12"/>
    </row>
    <row r="1130" spans="1:14" x14ac:dyDescent="0.3">
      <c r="A1130" s="12"/>
      <c r="B1130" s="1"/>
      <c r="C1130" s="1"/>
      <c r="G1130" s="3"/>
      <c r="H1130" s="13"/>
      <c r="I1130" s="3"/>
      <c r="N1130" s="12"/>
    </row>
    <row r="1131" spans="1:14" x14ac:dyDescent="0.3">
      <c r="A1131" s="12"/>
      <c r="B1131" s="1"/>
      <c r="C1131" s="1"/>
      <c r="G1131" s="3"/>
      <c r="H1131" s="13"/>
      <c r="I1131" s="3"/>
      <c r="N1131" s="12"/>
    </row>
    <row r="1132" spans="1:14" x14ac:dyDescent="0.3">
      <c r="A1132" s="12"/>
      <c r="B1132" s="1"/>
      <c r="C1132" s="1"/>
      <c r="G1132" s="3"/>
      <c r="H1132" s="13"/>
      <c r="I1132" s="3"/>
      <c r="N1132" s="12"/>
    </row>
    <row r="1133" spans="1:14" x14ac:dyDescent="0.3">
      <c r="A1133" s="12"/>
      <c r="B1133" s="1"/>
      <c r="C1133" s="1"/>
      <c r="G1133" s="3"/>
      <c r="H1133" s="13"/>
      <c r="I1133" s="3"/>
      <c r="N1133" s="12"/>
    </row>
    <row r="1134" spans="1:14" x14ac:dyDescent="0.3">
      <c r="A1134" s="12"/>
      <c r="B1134" s="1"/>
      <c r="C1134" s="1"/>
      <c r="G1134" s="3"/>
      <c r="H1134" s="13"/>
      <c r="I1134" s="3"/>
      <c r="N1134" s="12"/>
    </row>
    <row r="1135" spans="1:14" x14ac:dyDescent="0.3">
      <c r="A1135" s="12"/>
      <c r="B1135" s="1"/>
      <c r="C1135" s="1"/>
      <c r="G1135" s="3"/>
      <c r="H1135" s="13"/>
      <c r="I1135" s="3"/>
      <c r="N1135" s="12"/>
    </row>
    <row r="1136" spans="1:14" x14ac:dyDescent="0.3">
      <c r="A1136" s="12"/>
      <c r="B1136" s="1"/>
      <c r="C1136" s="1"/>
      <c r="G1136" s="3"/>
      <c r="H1136" s="13"/>
      <c r="I1136" s="3"/>
      <c r="N1136" s="12"/>
    </row>
    <row r="1137" spans="1:14" x14ac:dyDescent="0.3">
      <c r="A1137" s="12"/>
      <c r="B1137" s="1"/>
      <c r="C1137" s="1"/>
      <c r="G1137" s="3"/>
      <c r="H1137" s="13"/>
      <c r="I1137" s="3"/>
      <c r="N1137" s="12"/>
    </row>
    <row r="1138" spans="1:14" x14ac:dyDescent="0.3">
      <c r="A1138" s="12"/>
      <c r="B1138" s="1"/>
      <c r="C1138" s="1"/>
      <c r="G1138" s="3"/>
      <c r="H1138" s="13"/>
      <c r="I1138" s="3"/>
      <c r="N1138" s="12"/>
    </row>
    <row r="1139" spans="1:14" x14ac:dyDescent="0.3">
      <c r="A1139" s="12"/>
      <c r="B1139" s="1"/>
      <c r="C1139" s="1"/>
      <c r="G1139" s="3"/>
      <c r="H1139" s="13"/>
      <c r="I1139" s="3"/>
      <c r="N1139" s="12"/>
    </row>
    <row r="1140" spans="1:14" x14ac:dyDescent="0.3">
      <c r="A1140" s="12"/>
      <c r="B1140" s="1"/>
      <c r="C1140" s="1"/>
      <c r="G1140" s="3"/>
      <c r="H1140" s="13"/>
      <c r="I1140" s="3"/>
      <c r="N1140" s="12"/>
    </row>
    <row r="1141" spans="1:14" x14ac:dyDescent="0.3">
      <c r="A1141" s="12"/>
      <c r="B1141" s="1"/>
      <c r="C1141" s="1"/>
      <c r="G1141" s="3"/>
      <c r="H1141" s="13"/>
      <c r="I1141" s="3"/>
      <c r="N1141" s="12"/>
    </row>
    <row r="1142" spans="1:14" x14ac:dyDescent="0.3">
      <c r="A1142" s="12"/>
      <c r="B1142" s="1"/>
      <c r="C1142" s="1"/>
      <c r="G1142" s="3"/>
      <c r="H1142" s="13"/>
      <c r="I1142" s="3"/>
      <c r="N1142" s="12"/>
    </row>
    <row r="1143" spans="1:14" x14ac:dyDescent="0.3">
      <c r="A1143" s="12"/>
      <c r="B1143" s="1"/>
      <c r="C1143" s="1"/>
      <c r="G1143" s="3"/>
      <c r="H1143" s="13"/>
      <c r="I1143" s="3"/>
      <c r="N1143" s="12"/>
    </row>
    <row r="1144" spans="1:14" x14ac:dyDescent="0.3">
      <c r="A1144" s="12"/>
      <c r="B1144" s="1"/>
      <c r="C1144" s="1"/>
      <c r="G1144" s="3"/>
      <c r="H1144" s="13"/>
      <c r="I1144" s="3"/>
      <c r="N1144" s="12"/>
    </row>
    <row r="1145" spans="1:14" x14ac:dyDescent="0.3">
      <c r="A1145" s="12"/>
      <c r="B1145" s="1"/>
      <c r="C1145" s="1"/>
      <c r="G1145" s="3"/>
      <c r="H1145" s="13"/>
      <c r="I1145" s="3"/>
      <c r="N1145" s="12"/>
    </row>
    <row r="1146" spans="1:14" x14ac:dyDescent="0.3">
      <c r="A1146" s="12"/>
      <c r="B1146" s="1"/>
      <c r="C1146" s="1"/>
      <c r="G1146" s="3"/>
      <c r="H1146" s="13"/>
      <c r="I1146" s="3"/>
      <c r="N1146" s="12"/>
    </row>
    <row r="1147" spans="1:14" x14ac:dyDescent="0.3">
      <c r="A1147" s="12"/>
      <c r="B1147" s="1"/>
      <c r="C1147" s="1"/>
      <c r="G1147" s="3"/>
      <c r="H1147" s="13"/>
      <c r="I1147" s="3"/>
      <c r="N1147" s="12"/>
    </row>
    <row r="1148" spans="1:14" x14ac:dyDescent="0.3">
      <c r="A1148" s="12"/>
      <c r="B1148" s="1"/>
      <c r="C1148" s="1"/>
      <c r="G1148" s="3"/>
      <c r="H1148" s="13"/>
      <c r="I1148" s="3"/>
      <c r="N1148" s="12"/>
    </row>
    <row r="1149" spans="1:14" x14ac:dyDescent="0.3">
      <c r="A1149" s="12"/>
      <c r="B1149" s="1"/>
      <c r="C1149" s="1"/>
      <c r="G1149" s="3"/>
      <c r="H1149" s="13"/>
      <c r="I1149" s="3"/>
      <c r="N1149" s="12"/>
    </row>
    <row r="1150" spans="1:14" x14ac:dyDescent="0.3">
      <c r="A1150" s="12"/>
      <c r="B1150" s="1"/>
      <c r="C1150" s="1"/>
      <c r="G1150" s="3"/>
      <c r="H1150" s="13"/>
      <c r="I1150" s="3"/>
      <c r="N1150" s="12"/>
    </row>
    <row r="1151" spans="1:14" x14ac:dyDescent="0.3">
      <c r="A1151" s="12"/>
      <c r="B1151" s="1"/>
      <c r="C1151" s="1"/>
      <c r="G1151" s="3"/>
      <c r="H1151" s="13"/>
      <c r="I1151" s="3"/>
      <c r="N1151" s="12"/>
    </row>
    <row r="1152" spans="1:14" x14ac:dyDescent="0.3">
      <c r="A1152" s="12"/>
      <c r="B1152" s="1"/>
      <c r="C1152" s="1"/>
      <c r="G1152" s="3"/>
      <c r="H1152" s="13"/>
      <c r="I1152" s="3"/>
      <c r="N1152" s="12"/>
    </row>
    <row r="1153" spans="1:14" x14ac:dyDescent="0.3">
      <c r="A1153" s="12"/>
      <c r="B1153" s="1"/>
      <c r="C1153" s="1"/>
      <c r="G1153" s="3"/>
      <c r="H1153" s="13"/>
      <c r="I1153" s="3"/>
      <c r="N1153" s="12"/>
    </row>
    <row r="1154" spans="1:14" x14ac:dyDescent="0.3">
      <c r="A1154" s="12"/>
      <c r="B1154" s="1"/>
      <c r="C1154" s="1"/>
      <c r="G1154" s="3"/>
      <c r="H1154" s="13"/>
      <c r="I1154" s="3"/>
      <c r="N1154" s="12"/>
    </row>
    <row r="1155" spans="1:14" x14ac:dyDescent="0.3">
      <c r="A1155" s="12"/>
      <c r="B1155" s="1"/>
      <c r="C1155" s="1"/>
      <c r="G1155" s="3"/>
      <c r="H1155" s="13"/>
      <c r="I1155" s="3"/>
      <c r="N1155" s="12"/>
    </row>
    <row r="1156" spans="1:14" x14ac:dyDescent="0.3">
      <c r="A1156" s="12"/>
      <c r="B1156" s="1"/>
      <c r="C1156" s="1"/>
      <c r="G1156" s="3"/>
      <c r="H1156" s="13"/>
      <c r="I1156" s="3"/>
      <c r="N1156" s="12"/>
    </row>
    <row r="1157" spans="1:14" x14ac:dyDescent="0.3">
      <c r="A1157" s="12"/>
      <c r="B1157" s="1"/>
      <c r="C1157" s="1"/>
      <c r="G1157" s="3"/>
      <c r="H1157" s="13"/>
      <c r="I1157" s="3"/>
      <c r="N1157" s="12"/>
    </row>
    <row r="1158" spans="1:14" x14ac:dyDescent="0.3">
      <c r="A1158" s="12"/>
      <c r="B1158" s="1"/>
      <c r="C1158" s="1"/>
      <c r="G1158" s="3"/>
      <c r="H1158" s="13"/>
      <c r="I1158" s="3"/>
      <c r="N1158" s="12"/>
    </row>
    <row r="1159" spans="1:14" x14ac:dyDescent="0.3">
      <c r="A1159" s="12"/>
      <c r="B1159" s="1"/>
      <c r="C1159" s="1"/>
      <c r="G1159" s="3"/>
      <c r="H1159" s="13"/>
      <c r="I1159" s="3"/>
      <c r="N1159" s="12"/>
    </row>
    <row r="1160" spans="1:14" x14ac:dyDescent="0.3">
      <c r="A1160" s="12"/>
      <c r="B1160" s="1"/>
      <c r="C1160" s="1"/>
      <c r="G1160" s="3"/>
      <c r="H1160" s="13"/>
      <c r="I1160" s="3"/>
      <c r="N1160" s="12"/>
    </row>
    <row r="1161" spans="1:14" x14ac:dyDescent="0.3">
      <c r="A1161" s="12"/>
      <c r="B1161" s="1"/>
      <c r="C1161" s="1"/>
      <c r="G1161" s="3"/>
      <c r="H1161" s="13"/>
      <c r="I1161" s="3"/>
      <c r="N1161" s="12"/>
    </row>
    <row r="1162" spans="1:14" x14ac:dyDescent="0.3">
      <c r="A1162" s="12"/>
      <c r="B1162" s="1"/>
      <c r="C1162" s="1"/>
      <c r="G1162" s="3"/>
      <c r="H1162" s="13"/>
      <c r="I1162" s="3"/>
      <c r="N1162" s="12"/>
    </row>
    <row r="1163" spans="1:14" x14ac:dyDescent="0.3">
      <c r="A1163" s="12"/>
      <c r="B1163" s="1"/>
      <c r="C1163" s="1"/>
      <c r="G1163" s="3"/>
      <c r="H1163" s="13"/>
      <c r="I1163" s="3"/>
      <c r="N1163" s="12"/>
    </row>
    <row r="1164" spans="1:14" x14ac:dyDescent="0.3">
      <c r="A1164" s="12"/>
      <c r="B1164" s="1"/>
      <c r="C1164" s="1"/>
      <c r="G1164" s="3"/>
      <c r="H1164" s="13"/>
      <c r="I1164" s="3"/>
      <c r="N1164" s="12"/>
    </row>
    <row r="1165" spans="1:14" x14ac:dyDescent="0.3">
      <c r="A1165" s="12"/>
      <c r="B1165" s="1"/>
      <c r="C1165" s="1"/>
      <c r="G1165" s="3"/>
      <c r="H1165" s="13"/>
      <c r="I1165" s="3"/>
      <c r="N1165" s="12"/>
    </row>
    <row r="1166" spans="1:14" x14ac:dyDescent="0.3">
      <c r="A1166" s="12"/>
      <c r="B1166" s="1"/>
      <c r="C1166" s="1"/>
      <c r="G1166" s="3"/>
      <c r="H1166" s="13"/>
      <c r="I1166" s="3"/>
      <c r="N1166" s="12"/>
    </row>
    <row r="1167" spans="1:14" x14ac:dyDescent="0.3">
      <c r="A1167" s="12"/>
      <c r="B1167" s="1"/>
      <c r="C1167" s="1"/>
      <c r="G1167" s="3"/>
      <c r="H1167" s="13"/>
      <c r="I1167" s="3"/>
      <c r="N1167" s="12"/>
    </row>
    <row r="1168" spans="1:14" x14ac:dyDescent="0.3">
      <c r="A1168" s="12"/>
      <c r="B1168" s="1"/>
      <c r="C1168" s="1"/>
      <c r="G1168" s="3"/>
      <c r="H1168" s="13"/>
      <c r="I1168" s="3"/>
      <c r="N1168" s="12"/>
    </row>
    <row r="1169" spans="1:14" x14ac:dyDescent="0.3">
      <c r="A1169" s="12"/>
      <c r="B1169" s="1"/>
      <c r="C1169" s="1"/>
      <c r="G1169" s="3"/>
      <c r="H1169" s="13"/>
      <c r="I1169" s="3"/>
      <c r="N1169" s="12"/>
    </row>
    <row r="1170" spans="1:14" x14ac:dyDescent="0.3">
      <c r="A1170" s="12"/>
      <c r="B1170" s="1"/>
      <c r="C1170" s="1"/>
      <c r="G1170" s="3"/>
      <c r="H1170" s="13"/>
      <c r="I1170" s="3"/>
      <c r="N1170" s="12"/>
    </row>
    <row r="1171" spans="1:14" x14ac:dyDescent="0.3">
      <c r="A1171" s="12"/>
      <c r="B1171" s="1"/>
      <c r="C1171" s="1"/>
      <c r="G1171" s="3"/>
      <c r="H1171" s="13"/>
      <c r="I1171" s="3"/>
      <c r="N1171" s="12"/>
    </row>
    <row r="1172" spans="1:14" x14ac:dyDescent="0.3">
      <c r="A1172" s="12"/>
      <c r="B1172" s="1"/>
      <c r="C1172" s="1"/>
      <c r="G1172" s="3"/>
      <c r="H1172" s="13"/>
      <c r="I1172" s="3"/>
      <c r="N1172" s="12"/>
    </row>
    <row r="1173" spans="1:14" x14ac:dyDescent="0.3">
      <c r="A1173" s="12"/>
      <c r="B1173" s="1"/>
      <c r="C1173" s="1"/>
      <c r="G1173" s="3"/>
      <c r="H1173" s="13"/>
      <c r="I1173" s="3"/>
      <c r="N1173" s="12"/>
    </row>
    <row r="1174" spans="1:14" x14ac:dyDescent="0.3">
      <c r="A1174" s="12"/>
      <c r="B1174" s="1"/>
      <c r="C1174" s="1"/>
      <c r="G1174" s="3"/>
      <c r="H1174" s="13"/>
      <c r="I1174" s="3"/>
      <c r="N1174" s="12"/>
    </row>
    <row r="1175" spans="1:14" x14ac:dyDescent="0.3">
      <c r="A1175" s="12"/>
      <c r="B1175" s="1"/>
      <c r="C1175" s="1"/>
      <c r="G1175" s="3"/>
      <c r="H1175" s="13"/>
      <c r="I1175" s="3"/>
      <c r="N1175" s="12"/>
    </row>
    <row r="1176" spans="1:14" x14ac:dyDescent="0.3">
      <c r="A1176" s="12"/>
      <c r="B1176" s="1"/>
      <c r="C1176" s="1"/>
      <c r="G1176" s="3"/>
      <c r="H1176" s="13"/>
      <c r="I1176" s="3"/>
      <c r="N1176" s="12"/>
    </row>
    <row r="1177" spans="1:14" x14ac:dyDescent="0.3">
      <c r="A1177" s="12"/>
      <c r="B1177" s="1"/>
      <c r="C1177" s="1"/>
      <c r="G1177" s="3"/>
      <c r="H1177" s="13"/>
      <c r="I1177" s="3"/>
      <c r="N1177" s="12"/>
    </row>
    <row r="1178" spans="1:14" x14ac:dyDescent="0.3">
      <c r="A1178" s="12"/>
      <c r="B1178" s="1"/>
      <c r="C1178" s="1"/>
      <c r="G1178" s="3"/>
      <c r="H1178" s="13"/>
      <c r="I1178" s="3"/>
      <c r="N1178" s="12"/>
    </row>
    <row r="1179" spans="1:14" x14ac:dyDescent="0.3">
      <c r="A1179" s="12"/>
      <c r="B1179" s="1"/>
      <c r="C1179" s="1"/>
      <c r="G1179" s="3"/>
      <c r="H1179" s="13"/>
      <c r="I1179" s="3"/>
      <c r="N1179" s="12"/>
    </row>
    <row r="1180" spans="1:14" x14ac:dyDescent="0.3">
      <c r="A1180" s="12"/>
      <c r="B1180" s="1"/>
      <c r="C1180" s="1"/>
      <c r="G1180" s="3"/>
      <c r="H1180" s="13"/>
      <c r="I1180" s="3"/>
      <c r="N1180" s="12"/>
    </row>
    <row r="1181" spans="1:14" x14ac:dyDescent="0.3">
      <c r="A1181" s="12"/>
      <c r="B1181" s="1"/>
      <c r="C1181" s="1"/>
      <c r="G1181" s="3"/>
      <c r="H1181" s="13"/>
      <c r="I1181" s="3"/>
      <c r="N1181" s="12"/>
    </row>
    <row r="1182" spans="1:14" x14ac:dyDescent="0.3">
      <c r="A1182" s="12"/>
      <c r="B1182" s="1"/>
      <c r="C1182" s="1"/>
      <c r="G1182" s="3"/>
      <c r="H1182" s="13"/>
      <c r="I1182" s="3"/>
      <c r="N1182" s="12"/>
    </row>
    <row r="1183" spans="1:14" x14ac:dyDescent="0.3">
      <c r="A1183" s="12"/>
      <c r="B1183" s="1"/>
      <c r="C1183" s="1"/>
      <c r="G1183" s="3"/>
      <c r="H1183" s="13"/>
      <c r="I1183" s="3"/>
      <c r="N1183" s="12"/>
    </row>
    <row r="1184" spans="1:14" x14ac:dyDescent="0.3">
      <c r="A1184" s="12"/>
      <c r="B1184" s="1"/>
      <c r="C1184" s="1"/>
      <c r="G1184" s="3"/>
      <c r="H1184" s="13"/>
      <c r="I1184" s="3"/>
      <c r="N1184" s="12"/>
    </row>
    <row r="1185" spans="1:14" x14ac:dyDescent="0.3">
      <c r="A1185" s="12"/>
      <c r="B1185" s="1"/>
      <c r="C1185" s="1"/>
      <c r="G1185" s="3"/>
      <c r="H1185" s="13"/>
      <c r="I1185" s="3"/>
      <c r="N1185" s="12"/>
    </row>
    <row r="1186" spans="1:14" x14ac:dyDescent="0.3">
      <c r="A1186" s="12"/>
      <c r="B1186" s="1"/>
      <c r="C1186" s="1"/>
      <c r="G1186" s="3"/>
      <c r="H1186" s="13"/>
      <c r="I1186" s="3"/>
      <c r="N1186" s="12"/>
    </row>
    <row r="1187" spans="1:14" x14ac:dyDescent="0.3">
      <c r="A1187" s="12"/>
      <c r="B1187" s="1"/>
      <c r="C1187" s="1"/>
      <c r="G1187" s="3"/>
      <c r="H1187" s="13"/>
      <c r="I1187" s="3"/>
      <c r="N1187" s="12"/>
    </row>
    <row r="1188" spans="1:14" x14ac:dyDescent="0.3">
      <c r="A1188" s="12"/>
      <c r="B1188" s="1"/>
      <c r="C1188" s="1"/>
      <c r="G1188" s="3"/>
      <c r="H1188" s="13"/>
      <c r="I1188" s="3"/>
      <c r="N1188" s="12"/>
    </row>
    <row r="1189" spans="1:14" x14ac:dyDescent="0.3">
      <c r="A1189" s="12"/>
      <c r="B1189" s="1"/>
      <c r="C1189" s="1"/>
      <c r="G1189" s="3"/>
      <c r="H1189" s="13"/>
      <c r="I1189" s="3"/>
      <c r="N1189" s="12"/>
    </row>
    <row r="1190" spans="1:14" x14ac:dyDescent="0.3">
      <c r="A1190" s="12"/>
      <c r="B1190" s="1"/>
      <c r="C1190" s="1"/>
      <c r="G1190" s="3"/>
      <c r="H1190" s="13"/>
      <c r="I1190" s="3"/>
      <c r="N1190" s="12"/>
    </row>
    <row r="1191" spans="1:14" x14ac:dyDescent="0.3">
      <c r="A1191" s="12"/>
      <c r="B1191" s="1"/>
      <c r="C1191" s="1"/>
      <c r="G1191" s="3"/>
      <c r="H1191" s="13"/>
      <c r="I1191" s="3"/>
      <c r="N1191" s="12"/>
    </row>
    <row r="1192" spans="1:14" x14ac:dyDescent="0.3">
      <c r="A1192" s="12"/>
      <c r="B1192" s="1"/>
      <c r="C1192" s="1"/>
      <c r="G1192" s="3"/>
      <c r="H1192" s="13"/>
      <c r="I1192" s="3"/>
      <c r="N1192" s="12"/>
    </row>
    <row r="1193" spans="1:14" x14ac:dyDescent="0.3">
      <c r="A1193" s="12"/>
      <c r="B1193" s="1"/>
      <c r="C1193" s="1"/>
      <c r="G1193" s="3"/>
      <c r="H1193" s="13"/>
      <c r="I1193" s="3"/>
      <c r="N1193" s="12"/>
    </row>
    <row r="1194" spans="1:14" x14ac:dyDescent="0.3">
      <c r="A1194" s="12"/>
      <c r="B1194" s="1"/>
      <c r="C1194" s="1"/>
      <c r="G1194" s="3"/>
      <c r="H1194" s="13"/>
      <c r="I1194" s="3"/>
      <c r="N1194" s="12"/>
    </row>
    <row r="1195" spans="1:14" x14ac:dyDescent="0.3">
      <c r="A1195" s="12"/>
      <c r="B1195" s="1"/>
      <c r="C1195" s="1"/>
      <c r="G1195" s="3"/>
      <c r="H1195" s="13"/>
      <c r="I1195" s="3"/>
      <c r="N1195" s="12"/>
    </row>
    <row r="1196" spans="1:14" x14ac:dyDescent="0.3">
      <c r="A1196" s="12"/>
      <c r="B1196" s="1"/>
      <c r="C1196" s="1"/>
      <c r="G1196" s="3"/>
      <c r="H1196" s="13"/>
      <c r="I1196" s="3"/>
      <c r="N1196" s="12"/>
    </row>
    <row r="1197" spans="1:14" x14ac:dyDescent="0.3">
      <c r="A1197" s="12"/>
      <c r="B1197" s="1"/>
      <c r="C1197" s="1"/>
      <c r="G1197" s="3"/>
      <c r="H1197" s="13"/>
      <c r="I1197" s="3"/>
      <c r="N1197" s="12"/>
    </row>
    <row r="1198" spans="1:14" x14ac:dyDescent="0.3">
      <c r="A1198" s="12"/>
      <c r="B1198" s="1"/>
      <c r="C1198" s="1"/>
      <c r="G1198" s="3"/>
      <c r="H1198" s="13"/>
      <c r="I1198" s="3"/>
      <c r="N1198" s="12"/>
    </row>
    <row r="1199" spans="1:14" x14ac:dyDescent="0.3">
      <c r="A1199" s="12"/>
      <c r="B1199" s="1"/>
      <c r="C1199" s="1"/>
      <c r="G1199" s="3"/>
      <c r="H1199" s="13"/>
      <c r="I1199" s="3"/>
      <c r="N1199" s="12"/>
    </row>
    <row r="1200" spans="1:14" x14ac:dyDescent="0.3">
      <c r="A1200" s="12"/>
      <c r="B1200" s="1"/>
      <c r="C1200" s="1"/>
      <c r="G1200" s="3"/>
      <c r="H1200" s="13"/>
      <c r="I1200" s="3"/>
      <c r="N1200" s="12"/>
    </row>
    <row r="1201" spans="1:14" x14ac:dyDescent="0.3">
      <c r="A1201" s="12"/>
      <c r="B1201" s="1"/>
      <c r="C1201" s="1"/>
      <c r="G1201" s="3"/>
      <c r="H1201" s="13"/>
      <c r="I1201" s="3"/>
      <c r="N1201" s="12"/>
    </row>
    <row r="1202" spans="1:14" x14ac:dyDescent="0.3">
      <c r="A1202" s="12"/>
      <c r="B1202" s="1"/>
      <c r="C1202" s="1"/>
      <c r="G1202" s="3"/>
      <c r="H1202" s="13"/>
      <c r="I1202" s="3"/>
      <c r="N1202" s="12"/>
    </row>
    <row r="1203" spans="1:14" x14ac:dyDescent="0.3">
      <c r="A1203" s="12"/>
      <c r="B1203" s="1"/>
      <c r="C1203" s="1"/>
      <c r="G1203" s="3"/>
      <c r="H1203" s="13"/>
      <c r="I1203" s="3"/>
      <c r="N1203" s="12"/>
    </row>
    <row r="1204" spans="1:14" x14ac:dyDescent="0.3">
      <c r="A1204" s="12"/>
      <c r="B1204" s="1"/>
      <c r="C1204" s="1"/>
      <c r="G1204" s="3"/>
      <c r="H1204" s="13"/>
      <c r="I1204" s="3"/>
      <c r="N1204" s="12"/>
    </row>
    <row r="1205" spans="1:14" x14ac:dyDescent="0.3">
      <c r="A1205" s="12"/>
      <c r="B1205" s="1"/>
      <c r="C1205" s="1"/>
      <c r="G1205" s="3"/>
      <c r="H1205" s="13"/>
      <c r="I1205" s="3"/>
      <c r="N1205" s="12"/>
    </row>
    <row r="1206" spans="1:14" x14ac:dyDescent="0.3">
      <c r="A1206" s="12"/>
      <c r="B1206" s="1"/>
      <c r="C1206" s="1"/>
      <c r="G1206" s="3"/>
      <c r="H1206" s="13"/>
      <c r="I1206" s="3"/>
      <c r="N1206" s="12"/>
    </row>
    <row r="1207" spans="1:14" x14ac:dyDescent="0.3">
      <c r="A1207" s="12"/>
      <c r="B1207" s="1"/>
      <c r="C1207" s="1"/>
      <c r="G1207" s="3"/>
      <c r="H1207" s="13"/>
      <c r="I1207" s="3"/>
      <c r="N1207" s="12"/>
    </row>
    <row r="1208" spans="1:14" x14ac:dyDescent="0.3">
      <c r="A1208" s="12"/>
      <c r="B1208" s="1"/>
      <c r="C1208" s="1"/>
      <c r="G1208" s="3"/>
      <c r="H1208" s="13"/>
      <c r="I1208" s="3"/>
      <c r="N1208" s="12"/>
    </row>
    <row r="1209" spans="1:14" x14ac:dyDescent="0.3">
      <c r="A1209" s="12"/>
      <c r="B1209" s="1"/>
      <c r="C1209" s="1"/>
      <c r="G1209" s="3"/>
      <c r="H1209" s="13"/>
      <c r="I1209" s="3"/>
      <c r="N1209" s="12"/>
    </row>
    <row r="1210" spans="1:14" x14ac:dyDescent="0.3">
      <c r="A1210" s="12"/>
      <c r="B1210" s="1"/>
      <c r="C1210" s="1"/>
      <c r="G1210" s="3"/>
      <c r="H1210" s="13"/>
      <c r="I1210" s="3"/>
      <c r="N1210" s="12"/>
    </row>
    <row r="1211" spans="1:14" x14ac:dyDescent="0.3">
      <c r="A1211" s="12"/>
      <c r="B1211" s="1"/>
      <c r="C1211" s="1"/>
      <c r="G1211" s="3"/>
      <c r="H1211" s="13"/>
      <c r="I1211" s="3"/>
      <c r="N1211" s="12"/>
    </row>
    <row r="1212" spans="1:14" x14ac:dyDescent="0.3">
      <c r="A1212" s="12"/>
      <c r="B1212" s="1"/>
      <c r="C1212" s="1"/>
      <c r="G1212" s="3"/>
      <c r="H1212" s="13"/>
      <c r="I1212" s="3"/>
      <c r="N1212" s="12"/>
    </row>
    <row r="1213" spans="1:14" x14ac:dyDescent="0.3">
      <c r="A1213" s="12"/>
      <c r="B1213" s="1"/>
      <c r="C1213" s="1"/>
      <c r="G1213" s="3"/>
      <c r="H1213" s="13"/>
      <c r="I1213" s="3"/>
      <c r="N1213" s="12"/>
    </row>
    <row r="1214" spans="1:14" x14ac:dyDescent="0.3">
      <c r="A1214" s="12"/>
      <c r="B1214" s="1"/>
      <c r="C1214" s="1"/>
      <c r="G1214" s="3"/>
      <c r="H1214" s="13"/>
      <c r="I1214" s="3"/>
      <c r="N1214" s="12"/>
    </row>
    <row r="1215" spans="1:14" x14ac:dyDescent="0.3">
      <c r="A1215" s="12"/>
      <c r="B1215" s="1"/>
      <c r="C1215" s="1"/>
      <c r="G1215" s="3"/>
      <c r="H1215" s="13"/>
      <c r="I1215" s="3"/>
      <c r="N1215" s="12"/>
    </row>
    <row r="1216" spans="1:14" x14ac:dyDescent="0.3">
      <c r="A1216" s="12"/>
      <c r="B1216" s="1"/>
      <c r="C1216" s="1"/>
      <c r="G1216" s="3"/>
      <c r="H1216" s="13"/>
      <c r="I1216" s="3"/>
      <c r="N1216" s="12"/>
    </row>
    <row r="1217" spans="1:14" x14ac:dyDescent="0.3">
      <c r="A1217" s="12"/>
      <c r="B1217" s="1"/>
      <c r="C1217" s="1"/>
      <c r="G1217" s="3"/>
      <c r="H1217" s="13"/>
      <c r="I1217" s="3"/>
      <c r="N1217" s="12"/>
    </row>
    <row r="1218" spans="1:14" x14ac:dyDescent="0.3">
      <c r="A1218" s="12"/>
      <c r="B1218" s="1"/>
      <c r="C1218" s="1"/>
      <c r="G1218" s="3"/>
      <c r="H1218" s="13"/>
      <c r="I1218" s="3"/>
      <c r="N1218" s="12"/>
    </row>
    <row r="1219" spans="1:14" x14ac:dyDescent="0.3">
      <c r="A1219" s="12"/>
      <c r="B1219" s="1"/>
      <c r="C1219" s="1"/>
      <c r="G1219" s="3"/>
      <c r="H1219" s="13"/>
      <c r="I1219" s="3"/>
      <c r="N1219" s="12"/>
    </row>
    <row r="1220" spans="1:14" x14ac:dyDescent="0.3">
      <c r="A1220" s="12"/>
      <c r="B1220" s="1"/>
      <c r="C1220" s="1"/>
      <c r="G1220" s="3"/>
      <c r="H1220" s="13"/>
      <c r="I1220" s="3"/>
      <c r="N1220" s="12"/>
    </row>
    <row r="1221" spans="1:14" x14ac:dyDescent="0.3">
      <c r="A1221" s="12"/>
      <c r="B1221" s="1"/>
      <c r="C1221" s="1"/>
      <c r="G1221" s="3"/>
      <c r="H1221" s="13"/>
      <c r="I1221" s="3"/>
      <c r="N1221" s="12"/>
    </row>
    <row r="1222" spans="1:14" x14ac:dyDescent="0.3">
      <c r="A1222" s="12"/>
      <c r="B1222" s="1"/>
      <c r="C1222" s="1"/>
      <c r="G1222" s="3"/>
      <c r="H1222" s="13"/>
      <c r="I1222" s="3"/>
      <c r="N1222" s="12"/>
    </row>
    <row r="1223" spans="1:14" x14ac:dyDescent="0.3">
      <c r="A1223" s="12"/>
      <c r="B1223" s="1"/>
      <c r="C1223" s="1"/>
      <c r="G1223" s="3"/>
      <c r="H1223" s="13"/>
      <c r="I1223" s="3"/>
      <c r="N1223" s="12"/>
    </row>
    <row r="1224" spans="1:14" x14ac:dyDescent="0.3">
      <c r="A1224" s="12"/>
      <c r="B1224" s="1"/>
      <c r="C1224" s="1"/>
      <c r="G1224" s="3"/>
      <c r="H1224" s="13"/>
      <c r="I1224" s="3"/>
      <c r="N1224" s="12"/>
    </row>
    <row r="1225" spans="1:14" x14ac:dyDescent="0.3">
      <c r="A1225" s="12"/>
      <c r="B1225" s="1"/>
      <c r="C1225" s="1"/>
      <c r="G1225" s="3"/>
      <c r="H1225" s="13"/>
      <c r="I1225" s="3"/>
      <c r="N1225" s="12"/>
    </row>
    <row r="1226" spans="1:14" x14ac:dyDescent="0.3">
      <c r="A1226" s="12"/>
      <c r="B1226" s="1"/>
      <c r="C1226" s="1"/>
      <c r="G1226" s="3"/>
      <c r="H1226" s="13"/>
      <c r="I1226" s="3"/>
      <c r="N1226" s="12"/>
    </row>
    <row r="1227" spans="1:14" x14ac:dyDescent="0.3">
      <c r="A1227" s="12"/>
      <c r="B1227" s="1"/>
      <c r="C1227" s="1"/>
      <c r="G1227" s="3"/>
      <c r="H1227" s="13"/>
      <c r="I1227" s="3"/>
      <c r="N1227" s="12"/>
    </row>
    <row r="1228" spans="1:14" x14ac:dyDescent="0.3">
      <c r="A1228" s="12"/>
      <c r="B1228" s="1"/>
      <c r="C1228" s="1"/>
      <c r="G1228" s="3"/>
      <c r="H1228" s="13"/>
      <c r="I1228" s="3"/>
      <c r="N1228" s="12"/>
    </row>
    <row r="1229" spans="1:14" x14ac:dyDescent="0.3">
      <c r="A1229" s="12"/>
      <c r="B1229" s="1"/>
      <c r="C1229" s="1"/>
      <c r="G1229" s="3"/>
      <c r="H1229" s="13"/>
      <c r="I1229" s="3"/>
      <c r="N1229" s="12"/>
    </row>
    <row r="1230" spans="1:14" x14ac:dyDescent="0.3">
      <c r="A1230" s="12"/>
      <c r="B1230" s="1"/>
      <c r="C1230" s="1"/>
      <c r="G1230" s="3"/>
      <c r="H1230" s="13"/>
      <c r="I1230" s="3"/>
      <c r="N1230" s="12"/>
    </row>
    <row r="1231" spans="1:14" x14ac:dyDescent="0.3">
      <c r="A1231" s="12"/>
      <c r="B1231" s="1"/>
      <c r="C1231" s="1"/>
      <c r="G1231" s="3"/>
      <c r="H1231" s="13"/>
      <c r="I1231" s="3"/>
      <c r="N1231" s="12"/>
    </row>
    <row r="1232" spans="1:14" x14ac:dyDescent="0.3">
      <c r="A1232" s="12"/>
      <c r="B1232" s="1"/>
      <c r="C1232" s="1"/>
      <c r="G1232" s="3"/>
      <c r="H1232" s="13"/>
      <c r="I1232" s="3"/>
      <c r="N1232" s="12"/>
    </row>
    <row r="1233" spans="1:14" x14ac:dyDescent="0.3">
      <c r="A1233" s="12"/>
      <c r="B1233" s="1"/>
      <c r="C1233" s="1"/>
      <c r="G1233" s="3"/>
      <c r="H1233" s="13"/>
      <c r="I1233" s="3"/>
      <c r="N1233" s="12"/>
    </row>
    <row r="1234" spans="1:14" x14ac:dyDescent="0.3">
      <c r="A1234" s="12"/>
      <c r="B1234" s="1"/>
      <c r="C1234" s="1"/>
      <c r="G1234" s="3"/>
      <c r="H1234" s="13"/>
      <c r="I1234" s="3"/>
      <c r="N1234" s="12"/>
    </row>
    <row r="1235" spans="1:14" x14ac:dyDescent="0.3">
      <c r="A1235" s="12"/>
      <c r="B1235" s="1"/>
      <c r="C1235" s="1"/>
      <c r="G1235" s="3"/>
      <c r="H1235" s="13"/>
      <c r="I1235" s="3"/>
      <c r="N1235" s="12"/>
    </row>
    <row r="1236" spans="1:14" x14ac:dyDescent="0.3">
      <c r="A1236" s="12"/>
      <c r="B1236" s="1"/>
      <c r="C1236" s="1"/>
      <c r="G1236" s="3"/>
      <c r="H1236" s="13"/>
      <c r="I1236" s="3"/>
      <c r="N1236" s="12"/>
    </row>
    <row r="1237" spans="1:14" x14ac:dyDescent="0.3">
      <c r="A1237" s="12"/>
      <c r="B1237" s="1"/>
      <c r="C1237" s="1"/>
      <c r="G1237" s="3"/>
      <c r="H1237" s="13"/>
      <c r="I1237" s="3"/>
      <c r="N1237" s="12"/>
    </row>
    <row r="1238" spans="1:14" x14ac:dyDescent="0.3">
      <c r="A1238" s="12"/>
      <c r="B1238" s="1"/>
      <c r="C1238" s="1"/>
      <c r="G1238" s="3"/>
      <c r="H1238" s="13"/>
      <c r="I1238" s="3"/>
      <c r="N1238" s="12"/>
    </row>
    <row r="1239" spans="1:14" x14ac:dyDescent="0.3">
      <c r="A1239" s="12"/>
      <c r="B1239" s="1"/>
      <c r="C1239" s="1"/>
      <c r="G1239" s="3"/>
      <c r="H1239" s="13"/>
      <c r="I1239" s="3"/>
      <c r="N1239" s="12"/>
    </row>
    <row r="1240" spans="1:14" x14ac:dyDescent="0.3">
      <c r="A1240" s="12"/>
      <c r="B1240" s="1"/>
      <c r="C1240" s="1"/>
      <c r="G1240" s="3"/>
      <c r="H1240" s="13"/>
      <c r="I1240" s="3"/>
      <c r="N1240" s="12"/>
    </row>
    <row r="1241" spans="1:14" x14ac:dyDescent="0.3">
      <c r="A1241" s="12"/>
      <c r="B1241" s="1"/>
      <c r="C1241" s="1"/>
      <c r="G1241" s="3"/>
      <c r="H1241" s="13"/>
      <c r="I1241" s="3"/>
      <c r="N1241" s="12"/>
    </row>
    <row r="1242" spans="1:14" x14ac:dyDescent="0.3">
      <c r="A1242" s="12"/>
      <c r="B1242" s="1"/>
      <c r="C1242" s="1"/>
      <c r="G1242" s="3"/>
      <c r="H1242" s="13"/>
      <c r="I1242" s="3"/>
      <c r="N1242" s="12"/>
    </row>
    <row r="1243" spans="1:14" x14ac:dyDescent="0.3">
      <c r="A1243" s="12"/>
      <c r="B1243" s="1"/>
      <c r="C1243" s="1"/>
      <c r="G1243" s="3"/>
      <c r="H1243" s="13"/>
      <c r="I1243" s="3"/>
      <c r="N1243" s="12"/>
    </row>
    <row r="1244" spans="1:14" x14ac:dyDescent="0.3">
      <c r="A1244" s="12"/>
      <c r="B1244" s="1"/>
      <c r="C1244" s="1"/>
      <c r="G1244" s="3"/>
      <c r="H1244" s="13"/>
      <c r="I1244" s="3"/>
      <c r="N1244" s="12"/>
    </row>
    <row r="1245" spans="1:14" x14ac:dyDescent="0.3">
      <c r="A1245" s="12"/>
      <c r="B1245" s="1"/>
      <c r="C1245" s="1"/>
      <c r="G1245" s="3"/>
      <c r="H1245" s="13"/>
      <c r="I1245" s="3"/>
      <c r="N1245" s="12"/>
    </row>
    <row r="1246" spans="1:14" x14ac:dyDescent="0.3">
      <c r="A1246" s="12"/>
      <c r="B1246" s="1"/>
      <c r="C1246" s="1"/>
      <c r="G1246" s="3"/>
      <c r="H1246" s="13"/>
      <c r="I1246" s="3"/>
      <c r="N1246" s="12"/>
    </row>
    <row r="1247" spans="1:14" x14ac:dyDescent="0.3">
      <c r="A1247" s="12"/>
      <c r="B1247" s="1"/>
      <c r="C1247" s="1"/>
      <c r="G1247" s="3"/>
      <c r="H1247" s="13"/>
      <c r="I1247" s="3"/>
      <c r="N1247" s="12"/>
    </row>
    <row r="1248" spans="1:14" x14ac:dyDescent="0.3">
      <c r="A1248" s="12"/>
      <c r="B1248" s="1"/>
      <c r="C1248" s="1"/>
      <c r="G1248" s="3"/>
      <c r="H1248" s="13"/>
      <c r="I1248" s="3"/>
      <c r="N1248" s="12"/>
    </row>
    <row r="1249" spans="1:14" x14ac:dyDescent="0.3">
      <c r="A1249" s="12"/>
      <c r="B1249" s="1"/>
      <c r="C1249" s="1"/>
      <c r="G1249" s="3"/>
      <c r="H1249" s="13"/>
      <c r="I1249" s="3"/>
      <c r="N1249" s="12"/>
    </row>
    <row r="1250" spans="1:14" x14ac:dyDescent="0.3">
      <c r="A1250" s="12"/>
      <c r="B1250" s="1"/>
      <c r="C1250" s="1"/>
      <c r="G1250" s="3"/>
      <c r="H1250" s="13"/>
      <c r="I1250" s="3"/>
      <c r="N1250" s="12"/>
    </row>
    <row r="1251" spans="1:14" x14ac:dyDescent="0.3">
      <c r="A1251" s="12"/>
      <c r="B1251" s="1"/>
      <c r="C1251" s="1"/>
      <c r="G1251" s="3"/>
      <c r="H1251" s="13"/>
      <c r="I1251" s="3"/>
      <c r="N1251" s="12"/>
    </row>
    <row r="1252" spans="1:14" x14ac:dyDescent="0.3">
      <c r="A1252" s="12"/>
      <c r="B1252" s="1"/>
      <c r="C1252" s="1"/>
      <c r="G1252" s="3"/>
      <c r="H1252" s="13"/>
      <c r="I1252" s="3"/>
      <c r="N1252" s="12"/>
    </row>
    <row r="1253" spans="1:14" x14ac:dyDescent="0.3">
      <c r="A1253" s="12"/>
      <c r="B1253" s="1"/>
      <c r="C1253" s="1"/>
      <c r="G1253" s="3"/>
      <c r="H1253" s="13"/>
      <c r="I1253" s="3"/>
      <c r="N1253" s="12"/>
    </row>
    <row r="1254" spans="1:14" x14ac:dyDescent="0.3">
      <c r="A1254" s="12"/>
      <c r="B1254" s="1"/>
      <c r="C1254" s="1"/>
      <c r="G1254" s="3"/>
      <c r="H1254" s="13"/>
      <c r="I1254" s="3"/>
      <c r="N1254" s="12"/>
    </row>
    <row r="1255" spans="1:14" x14ac:dyDescent="0.3">
      <c r="A1255" s="12"/>
      <c r="B1255" s="1"/>
      <c r="C1255" s="1"/>
      <c r="G1255" s="3"/>
      <c r="H1255" s="13"/>
      <c r="I1255" s="3"/>
      <c r="N1255" s="12"/>
    </row>
    <row r="1256" spans="1:14" x14ac:dyDescent="0.3">
      <c r="A1256" s="12"/>
      <c r="B1256" s="1"/>
      <c r="C1256" s="1"/>
      <c r="G1256" s="3"/>
      <c r="H1256" s="13"/>
      <c r="I1256" s="3"/>
      <c r="N1256" s="12"/>
    </row>
    <row r="1257" spans="1:14" x14ac:dyDescent="0.3">
      <c r="A1257" s="12"/>
      <c r="B1257" s="1"/>
      <c r="C1257" s="1"/>
      <c r="G1257" s="3"/>
      <c r="H1257" s="13"/>
      <c r="I1257" s="3"/>
      <c r="N1257" s="12"/>
    </row>
    <row r="1258" spans="1:14" x14ac:dyDescent="0.3">
      <c r="A1258" s="12"/>
      <c r="B1258" s="1"/>
      <c r="C1258" s="1"/>
      <c r="G1258" s="3"/>
      <c r="H1258" s="13"/>
      <c r="I1258" s="3"/>
      <c r="N1258" s="12"/>
    </row>
    <row r="1259" spans="1:14" x14ac:dyDescent="0.3">
      <c r="A1259" s="12"/>
      <c r="B1259" s="1"/>
      <c r="C1259" s="1"/>
      <c r="G1259" s="3"/>
      <c r="H1259" s="13"/>
      <c r="I1259" s="3"/>
      <c r="N1259" s="12"/>
    </row>
    <row r="1260" spans="1:14" x14ac:dyDescent="0.3">
      <c r="A1260" s="12"/>
      <c r="B1260" s="1"/>
      <c r="C1260" s="1"/>
      <c r="G1260" s="3"/>
      <c r="H1260" s="13"/>
      <c r="I1260" s="3"/>
      <c r="N1260" s="12"/>
    </row>
    <row r="1261" spans="1:14" x14ac:dyDescent="0.3">
      <c r="A1261" s="12"/>
      <c r="B1261" s="1"/>
      <c r="C1261" s="1"/>
      <c r="G1261" s="3"/>
      <c r="H1261" s="13"/>
      <c r="I1261" s="3"/>
      <c r="N1261" s="12"/>
    </row>
    <row r="1262" spans="1:14" x14ac:dyDescent="0.3">
      <c r="A1262" s="12"/>
      <c r="B1262" s="1"/>
      <c r="C1262" s="1"/>
      <c r="G1262" s="3"/>
      <c r="H1262" s="13"/>
      <c r="I1262" s="3"/>
      <c r="N1262" s="12"/>
    </row>
    <row r="1263" spans="1:14" x14ac:dyDescent="0.3">
      <c r="A1263" s="12"/>
      <c r="B1263" s="1"/>
      <c r="C1263" s="1"/>
      <c r="G1263" s="3"/>
      <c r="H1263" s="13"/>
      <c r="I1263" s="3"/>
      <c r="N1263" s="12"/>
    </row>
    <row r="1264" spans="1:14" x14ac:dyDescent="0.3">
      <c r="A1264" s="12"/>
      <c r="B1264" s="1"/>
      <c r="C1264" s="1"/>
      <c r="G1264" s="3"/>
      <c r="H1264" s="13"/>
      <c r="I1264" s="3"/>
      <c r="N1264" s="12"/>
    </row>
    <row r="1265" spans="1:14" x14ac:dyDescent="0.3">
      <c r="A1265" s="12"/>
      <c r="B1265" s="1"/>
      <c r="C1265" s="1"/>
      <c r="G1265" s="3"/>
      <c r="H1265" s="13"/>
      <c r="I1265" s="3"/>
      <c r="N1265" s="12"/>
    </row>
    <row r="1266" spans="1:14" x14ac:dyDescent="0.3">
      <c r="A1266" s="12"/>
      <c r="B1266" s="1"/>
      <c r="C1266" s="1"/>
      <c r="G1266" s="3"/>
      <c r="H1266" s="13"/>
      <c r="I1266" s="3"/>
      <c r="N1266" s="12"/>
    </row>
    <row r="1267" spans="1:14" x14ac:dyDescent="0.3">
      <c r="A1267" s="12"/>
      <c r="B1267" s="1"/>
      <c r="C1267" s="1"/>
      <c r="G1267" s="3"/>
      <c r="H1267" s="13"/>
      <c r="I1267" s="3"/>
      <c r="N1267" s="12"/>
    </row>
    <row r="1268" spans="1:14" x14ac:dyDescent="0.3">
      <c r="A1268" s="12"/>
      <c r="B1268" s="1"/>
      <c r="C1268" s="1"/>
      <c r="G1268" s="3"/>
      <c r="H1268" s="13"/>
      <c r="I1268" s="3"/>
      <c r="N1268" s="12"/>
    </row>
    <row r="1269" spans="1:14" x14ac:dyDescent="0.3">
      <c r="A1269" s="12"/>
      <c r="B1269" s="1"/>
      <c r="C1269" s="1"/>
      <c r="G1269" s="3"/>
      <c r="H1269" s="13"/>
      <c r="I1269" s="3"/>
      <c r="N1269" s="12"/>
    </row>
    <row r="1270" spans="1:14" x14ac:dyDescent="0.3">
      <c r="A1270" s="12"/>
      <c r="B1270" s="1"/>
      <c r="C1270" s="1"/>
      <c r="G1270" s="3"/>
      <c r="H1270" s="13"/>
      <c r="I1270" s="3"/>
      <c r="N1270" s="12"/>
    </row>
    <row r="1271" spans="1:14" x14ac:dyDescent="0.3">
      <c r="A1271" s="12"/>
      <c r="B1271" s="1"/>
      <c r="C1271" s="1"/>
      <c r="G1271" s="3"/>
      <c r="H1271" s="13"/>
      <c r="I1271" s="3"/>
      <c r="N1271" s="12"/>
    </row>
    <row r="1272" spans="1:14" x14ac:dyDescent="0.3">
      <c r="A1272" s="12"/>
      <c r="B1272" s="1"/>
      <c r="C1272" s="1"/>
      <c r="G1272" s="3"/>
      <c r="H1272" s="13"/>
      <c r="I1272" s="3"/>
      <c r="N1272" s="12"/>
    </row>
    <row r="1273" spans="1:14" x14ac:dyDescent="0.3">
      <c r="A1273" s="12"/>
      <c r="B1273" s="1"/>
      <c r="C1273" s="1"/>
      <c r="G1273" s="3"/>
      <c r="H1273" s="13"/>
      <c r="I1273" s="3"/>
      <c r="N1273" s="12"/>
    </row>
    <row r="1274" spans="1:14" x14ac:dyDescent="0.3">
      <c r="A1274" s="12"/>
      <c r="B1274" s="1"/>
      <c r="C1274" s="1"/>
      <c r="G1274" s="3"/>
      <c r="H1274" s="13"/>
      <c r="I1274" s="3"/>
      <c r="N1274" s="12"/>
    </row>
    <row r="1275" spans="1:14" x14ac:dyDescent="0.3">
      <c r="A1275" s="12"/>
      <c r="B1275" s="1"/>
      <c r="C1275" s="1"/>
      <c r="G1275" s="3"/>
      <c r="H1275" s="13"/>
      <c r="I1275" s="3"/>
      <c r="N1275" s="12"/>
    </row>
    <row r="1276" spans="1:14" x14ac:dyDescent="0.3">
      <c r="A1276" s="12"/>
      <c r="B1276" s="1"/>
      <c r="C1276" s="1"/>
      <c r="G1276" s="3"/>
      <c r="H1276" s="13"/>
      <c r="I1276" s="3"/>
      <c r="N1276" s="12"/>
    </row>
    <row r="1277" spans="1:14" x14ac:dyDescent="0.3">
      <c r="A1277" s="12"/>
      <c r="B1277" s="1"/>
      <c r="C1277" s="1"/>
      <c r="G1277" s="3"/>
      <c r="H1277" s="13"/>
      <c r="I1277" s="3"/>
      <c r="N1277" s="12"/>
    </row>
    <row r="1278" spans="1:14" x14ac:dyDescent="0.3">
      <c r="A1278" s="12"/>
      <c r="B1278" s="1"/>
      <c r="C1278" s="1"/>
      <c r="G1278" s="3"/>
      <c r="H1278" s="13"/>
      <c r="I1278" s="3"/>
      <c r="N1278" s="12"/>
    </row>
    <row r="1279" spans="1:14" x14ac:dyDescent="0.3">
      <c r="A1279" s="12"/>
      <c r="B1279" s="1"/>
      <c r="C1279" s="1"/>
      <c r="G1279" s="3"/>
      <c r="H1279" s="13"/>
      <c r="I1279" s="3"/>
      <c r="N1279" s="12"/>
    </row>
    <row r="1280" spans="1:14" x14ac:dyDescent="0.3">
      <c r="A1280" s="12"/>
      <c r="B1280" s="1"/>
      <c r="C1280" s="1"/>
      <c r="G1280" s="3"/>
      <c r="H1280" s="13"/>
      <c r="I1280" s="3"/>
      <c r="N1280" s="12"/>
    </row>
    <row r="1281" spans="1:14" x14ac:dyDescent="0.3">
      <c r="A1281" s="12"/>
      <c r="B1281" s="1"/>
      <c r="C1281" s="1"/>
      <c r="G1281" s="3"/>
      <c r="H1281" s="13"/>
      <c r="I1281" s="3"/>
      <c r="N1281" s="12"/>
    </row>
    <row r="1282" spans="1:14" x14ac:dyDescent="0.3">
      <c r="A1282" s="12"/>
      <c r="B1282" s="1"/>
      <c r="C1282" s="1"/>
      <c r="G1282" s="3"/>
      <c r="H1282" s="13"/>
      <c r="I1282" s="3"/>
      <c r="N1282" s="12"/>
    </row>
    <row r="1283" spans="1:14" x14ac:dyDescent="0.3">
      <c r="A1283" s="12"/>
      <c r="B1283" s="1"/>
      <c r="C1283" s="1"/>
      <c r="G1283" s="3"/>
      <c r="H1283" s="13"/>
      <c r="I1283" s="3"/>
      <c r="N1283" s="12"/>
    </row>
    <row r="1284" spans="1:14" x14ac:dyDescent="0.3">
      <c r="A1284" s="12"/>
      <c r="B1284" s="1"/>
      <c r="C1284" s="1"/>
      <c r="G1284" s="3"/>
      <c r="H1284" s="13"/>
      <c r="I1284" s="3"/>
      <c r="N1284" s="12"/>
    </row>
    <row r="1285" spans="1:14" x14ac:dyDescent="0.3">
      <c r="A1285" s="12"/>
      <c r="B1285" s="1"/>
      <c r="C1285" s="1"/>
      <c r="G1285" s="3"/>
      <c r="H1285" s="13"/>
      <c r="I1285" s="3"/>
      <c r="N1285" s="12"/>
    </row>
    <row r="1286" spans="1:14" x14ac:dyDescent="0.3">
      <c r="A1286" s="12"/>
      <c r="B1286" s="1"/>
      <c r="C1286" s="1"/>
      <c r="G1286" s="3"/>
      <c r="H1286" s="13"/>
      <c r="I1286" s="3"/>
      <c r="N1286" s="12"/>
    </row>
    <row r="1287" spans="1:14" x14ac:dyDescent="0.3">
      <c r="A1287" s="12"/>
      <c r="B1287" s="1"/>
      <c r="C1287" s="1"/>
      <c r="G1287" s="3"/>
      <c r="H1287" s="13"/>
      <c r="I1287" s="3"/>
      <c r="N1287" s="12"/>
    </row>
    <row r="1288" spans="1:14" x14ac:dyDescent="0.3">
      <c r="A1288" s="12"/>
      <c r="B1288" s="1"/>
      <c r="C1288" s="1"/>
      <c r="G1288" s="3"/>
      <c r="H1288" s="13"/>
      <c r="I1288" s="3"/>
      <c r="N1288" s="12"/>
    </row>
    <row r="1289" spans="1:14" x14ac:dyDescent="0.3">
      <c r="A1289" s="12"/>
      <c r="B1289" s="1"/>
      <c r="C1289" s="1"/>
      <c r="G1289" s="3"/>
      <c r="H1289" s="13"/>
      <c r="I1289" s="3"/>
      <c r="N1289" s="12"/>
    </row>
    <row r="1290" spans="1:14" x14ac:dyDescent="0.3">
      <c r="A1290" s="12"/>
      <c r="B1290" s="1"/>
      <c r="C1290" s="1"/>
      <c r="G1290" s="3"/>
      <c r="H1290" s="13"/>
      <c r="I1290" s="3"/>
      <c r="N1290" s="12"/>
    </row>
    <row r="1291" spans="1:14" x14ac:dyDescent="0.3">
      <c r="A1291" s="12"/>
      <c r="B1291" s="1"/>
      <c r="C1291" s="1"/>
      <c r="G1291" s="3"/>
      <c r="H1291" s="13"/>
      <c r="I1291" s="3"/>
      <c r="N1291" s="12"/>
    </row>
    <row r="1292" spans="1:14" x14ac:dyDescent="0.3">
      <c r="A1292" s="12"/>
      <c r="B1292" s="1"/>
      <c r="C1292" s="1"/>
      <c r="G1292" s="3"/>
      <c r="H1292" s="13"/>
      <c r="I1292" s="3"/>
      <c r="N1292" s="12"/>
    </row>
    <row r="1293" spans="1:14" x14ac:dyDescent="0.3">
      <c r="A1293" s="12"/>
      <c r="B1293" s="1"/>
      <c r="C1293" s="1"/>
      <c r="G1293" s="3"/>
      <c r="H1293" s="13"/>
      <c r="I1293" s="3"/>
      <c r="N1293" s="12"/>
    </row>
    <row r="1294" spans="1:14" x14ac:dyDescent="0.3">
      <c r="A1294" s="12"/>
      <c r="B1294" s="1"/>
      <c r="C1294" s="1"/>
      <c r="G1294" s="3"/>
      <c r="H1294" s="13"/>
      <c r="I1294" s="3"/>
      <c r="N1294" s="12"/>
    </row>
    <row r="1295" spans="1:14" x14ac:dyDescent="0.3">
      <c r="A1295" s="12"/>
      <c r="B1295" s="1"/>
      <c r="C1295" s="1"/>
      <c r="G1295" s="3"/>
      <c r="H1295" s="13"/>
      <c r="I1295" s="3"/>
      <c r="N1295" s="12"/>
    </row>
    <row r="1296" spans="1:14" x14ac:dyDescent="0.3">
      <c r="A1296" s="12"/>
      <c r="B1296" s="1"/>
      <c r="C1296" s="1"/>
      <c r="G1296" s="3"/>
      <c r="H1296" s="13"/>
      <c r="I1296" s="3"/>
      <c r="N1296" s="12"/>
    </row>
    <row r="1297" spans="1:14" x14ac:dyDescent="0.3">
      <c r="A1297" s="12"/>
      <c r="B1297" s="1"/>
      <c r="C1297" s="1"/>
      <c r="G1297" s="3"/>
      <c r="H1297" s="13"/>
      <c r="I1297" s="3"/>
      <c r="N1297" s="12"/>
    </row>
    <row r="1298" spans="1:14" x14ac:dyDescent="0.3">
      <c r="A1298" s="12"/>
      <c r="B1298" s="1"/>
      <c r="C1298" s="1"/>
      <c r="G1298" s="3"/>
      <c r="H1298" s="13"/>
      <c r="I1298" s="3"/>
      <c r="N1298" s="12"/>
    </row>
    <row r="1299" spans="1:14" x14ac:dyDescent="0.3">
      <c r="A1299" s="12"/>
      <c r="B1299" s="1"/>
      <c r="C1299" s="1"/>
      <c r="G1299" s="3"/>
      <c r="H1299" s="13"/>
      <c r="I1299" s="3"/>
      <c r="N1299" s="12"/>
    </row>
    <row r="1300" spans="1:14" x14ac:dyDescent="0.3">
      <c r="A1300" s="12"/>
      <c r="B1300" s="1"/>
      <c r="C1300" s="1"/>
      <c r="G1300" s="3"/>
      <c r="H1300" s="13"/>
      <c r="I1300" s="3"/>
      <c r="N1300" s="12"/>
    </row>
    <row r="1301" spans="1:14" x14ac:dyDescent="0.3">
      <c r="A1301" s="12"/>
      <c r="B1301" s="1"/>
      <c r="C1301" s="1"/>
      <c r="G1301" s="3"/>
      <c r="H1301" s="13"/>
      <c r="I1301" s="3"/>
      <c r="N1301" s="12"/>
    </row>
    <row r="1302" spans="1:14" x14ac:dyDescent="0.3">
      <c r="A1302" s="12"/>
      <c r="B1302" s="1"/>
      <c r="C1302" s="1"/>
      <c r="G1302" s="3"/>
      <c r="H1302" s="13"/>
      <c r="I1302" s="3"/>
      <c r="N1302" s="12"/>
    </row>
    <row r="1303" spans="1:14" x14ac:dyDescent="0.3">
      <c r="A1303" s="12"/>
      <c r="B1303" s="1"/>
      <c r="C1303" s="1"/>
      <c r="G1303" s="3"/>
      <c r="H1303" s="13"/>
      <c r="I1303" s="3"/>
      <c r="N1303" s="12"/>
    </row>
    <row r="1304" spans="1:14" x14ac:dyDescent="0.3">
      <c r="A1304" s="12"/>
      <c r="B1304" s="1"/>
      <c r="C1304" s="1"/>
      <c r="G1304" s="3"/>
      <c r="H1304" s="13"/>
      <c r="I1304" s="3"/>
      <c r="N1304" s="12"/>
    </row>
    <row r="1305" spans="1:14" x14ac:dyDescent="0.3">
      <c r="A1305" s="12"/>
      <c r="B1305" s="1"/>
      <c r="C1305" s="1"/>
      <c r="G1305" s="3"/>
      <c r="H1305" s="13"/>
      <c r="I1305" s="3"/>
      <c r="N1305" s="12"/>
    </row>
    <row r="1306" spans="1:14" x14ac:dyDescent="0.3">
      <c r="A1306" s="12"/>
      <c r="B1306" s="1"/>
      <c r="C1306" s="1"/>
      <c r="G1306" s="3"/>
      <c r="H1306" s="13"/>
      <c r="I1306" s="3"/>
      <c r="N1306" s="12"/>
    </row>
    <row r="1307" spans="1:14" x14ac:dyDescent="0.3">
      <c r="A1307" s="12"/>
      <c r="B1307" s="1"/>
      <c r="C1307" s="1"/>
      <c r="G1307" s="3"/>
      <c r="H1307" s="13"/>
      <c r="I1307" s="3"/>
      <c r="N1307" s="12"/>
    </row>
    <row r="1308" spans="1:14" x14ac:dyDescent="0.3">
      <c r="A1308" s="12"/>
      <c r="B1308" s="1"/>
      <c r="C1308" s="1"/>
      <c r="G1308" s="3"/>
      <c r="H1308" s="13"/>
      <c r="I1308" s="3"/>
      <c r="N1308" s="12"/>
    </row>
    <row r="1309" spans="1:14" x14ac:dyDescent="0.3">
      <c r="A1309" s="12"/>
      <c r="B1309" s="1"/>
      <c r="C1309" s="1"/>
      <c r="G1309" s="3"/>
      <c r="H1309" s="13"/>
      <c r="I1309" s="3"/>
      <c r="N1309" s="12"/>
    </row>
    <row r="1310" spans="1:14" x14ac:dyDescent="0.3">
      <c r="A1310" s="12"/>
      <c r="B1310" s="1"/>
      <c r="C1310" s="1"/>
      <c r="G1310" s="3"/>
      <c r="H1310" s="13"/>
      <c r="I1310" s="3"/>
      <c r="N1310" s="12"/>
    </row>
    <row r="1311" spans="1:14" x14ac:dyDescent="0.3">
      <c r="A1311" s="12"/>
      <c r="B1311" s="1"/>
      <c r="C1311" s="1"/>
      <c r="G1311" s="3"/>
      <c r="H1311" s="13"/>
      <c r="I1311" s="3"/>
      <c r="N1311" s="12"/>
    </row>
    <row r="1312" spans="1:14" x14ac:dyDescent="0.3">
      <c r="A1312" s="12"/>
      <c r="B1312" s="1"/>
      <c r="C1312" s="1"/>
      <c r="G1312" s="3"/>
      <c r="H1312" s="13"/>
      <c r="I1312" s="3"/>
      <c r="N1312" s="12"/>
    </row>
    <row r="1313" spans="1:14" x14ac:dyDescent="0.3">
      <c r="A1313" s="12"/>
      <c r="B1313" s="1"/>
      <c r="C1313" s="1"/>
      <c r="G1313" s="3"/>
      <c r="H1313" s="13"/>
      <c r="I1313" s="3"/>
      <c r="N1313" s="12"/>
    </row>
    <row r="1314" spans="1:14" x14ac:dyDescent="0.3">
      <c r="A1314" s="12"/>
      <c r="B1314" s="1"/>
      <c r="C1314" s="1"/>
      <c r="G1314" s="3"/>
      <c r="H1314" s="13"/>
      <c r="I1314" s="3"/>
      <c r="N1314" s="12"/>
    </row>
    <row r="1315" spans="1:14" x14ac:dyDescent="0.3">
      <c r="A1315" s="12"/>
      <c r="B1315" s="1"/>
      <c r="C1315" s="1"/>
      <c r="G1315" s="3"/>
      <c r="H1315" s="13"/>
      <c r="I1315" s="3"/>
      <c r="N1315" s="12"/>
    </row>
    <row r="1316" spans="1:14" x14ac:dyDescent="0.3">
      <c r="A1316" s="12"/>
      <c r="B1316" s="1"/>
      <c r="C1316" s="1"/>
      <c r="G1316" s="3"/>
      <c r="H1316" s="13"/>
      <c r="I1316" s="3"/>
      <c r="N1316" s="12"/>
    </row>
    <row r="1317" spans="1:14" x14ac:dyDescent="0.3">
      <c r="A1317" s="12"/>
      <c r="B1317" s="1"/>
      <c r="C1317" s="1"/>
      <c r="G1317" s="3"/>
      <c r="H1317" s="13"/>
      <c r="I1317" s="3"/>
      <c r="N1317" s="12"/>
    </row>
    <row r="1318" spans="1:14" x14ac:dyDescent="0.3">
      <c r="A1318" s="12"/>
      <c r="B1318" s="1"/>
      <c r="C1318" s="1"/>
      <c r="G1318" s="3"/>
      <c r="H1318" s="13"/>
      <c r="I1318" s="3"/>
      <c r="N1318" s="12"/>
    </row>
    <row r="1319" spans="1:14" x14ac:dyDescent="0.3">
      <c r="A1319" s="12"/>
      <c r="B1319" s="1"/>
      <c r="C1319" s="1"/>
      <c r="G1319" s="3"/>
      <c r="H1319" s="13"/>
      <c r="I1319" s="3"/>
      <c r="N1319" s="12"/>
    </row>
    <row r="1320" spans="1:14" x14ac:dyDescent="0.3">
      <c r="A1320" s="12"/>
      <c r="B1320" s="1"/>
      <c r="C1320" s="1"/>
      <c r="G1320" s="3"/>
      <c r="H1320" s="13"/>
      <c r="I1320" s="3"/>
      <c r="N1320" s="12"/>
    </row>
    <row r="1321" spans="1:14" x14ac:dyDescent="0.3">
      <c r="A1321" s="12"/>
      <c r="B1321" s="1"/>
      <c r="C1321" s="1"/>
      <c r="G1321" s="3"/>
      <c r="H1321" s="13"/>
      <c r="I1321" s="3"/>
      <c r="N1321" s="12"/>
    </row>
    <row r="1322" spans="1:14" x14ac:dyDescent="0.3">
      <c r="A1322" s="12"/>
      <c r="B1322" s="1"/>
      <c r="C1322" s="1"/>
      <c r="G1322" s="3"/>
      <c r="H1322" s="13"/>
      <c r="I1322" s="3"/>
      <c r="N1322" s="12"/>
    </row>
    <row r="1323" spans="1:14" x14ac:dyDescent="0.3">
      <c r="A1323" s="12"/>
      <c r="B1323" s="1"/>
      <c r="C1323" s="1"/>
      <c r="G1323" s="3"/>
      <c r="H1323" s="13"/>
      <c r="I1323" s="3"/>
      <c r="N1323" s="12"/>
    </row>
    <row r="1324" spans="1:14" x14ac:dyDescent="0.3">
      <c r="A1324" s="12"/>
      <c r="B1324" s="1"/>
      <c r="C1324" s="1"/>
      <c r="G1324" s="3"/>
      <c r="H1324" s="13"/>
      <c r="I1324" s="3"/>
      <c r="N1324" s="12"/>
    </row>
    <row r="1325" spans="1:14" x14ac:dyDescent="0.3">
      <c r="A1325" s="12"/>
      <c r="B1325" s="1"/>
      <c r="C1325" s="1"/>
      <c r="G1325" s="3"/>
      <c r="H1325" s="13"/>
      <c r="I1325" s="3"/>
      <c r="N1325" s="12"/>
    </row>
    <row r="1326" spans="1:14" x14ac:dyDescent="0.3">
      <c r="A1326" s="12"/>
      <c r="B1326" s="1"/>
      <c r="C1326" s="1"/>
      <c r="G1326" s="3"/>
      <c r="H1326" s="13"/>
      <c r="I1326" s="3"/>
      <c r="N1326" s="12"/>
    </row>
    <row r="1327" spans="1:14" x14ac:dyDescent="0.3">
      <c r="A1327" s="12"/>
      <c r="B1327" s="1"/>
      <c r="C1327" s="1"/>
      <c r="G1327" s="3"/>
      <c r="H1327" s="13"/>
      <c r="I1327" s="3"/>
      <c r="N1327" s="12"/>
    </row>
    <row r="1328" spans="1:14" x14ac:dyDescent="0.3">
      <c r="A1328" s="12"/>
      <c r="B1328" s="1"/>
      <c r="C1328" s="1"/>
      <c r="G1328" s="3"/>
      <c r="H1328" s="13"/>
      <c r="I1328" s="3"/>
      <c r="N1328" s="12"/>
    </row>
    <row r="1329" spans="1:14" x14ac:dyDescent="0.3">
      <c r="A1329" s="12"/>
      <c r="B1329" s="1"/>
      <c r="C1329" s="1"/>
      <c r="G1329" s="3"/>
      <c r="H1329" s="13"/>
      <c r="I1329" s="3"/>
      <c r="N1329" s="12"/>
    </row>
    <row r="1330" spans="1:14" x14ac:dyDescent="0.3">
      <c r="A1330" s="12"/>
      <c r="B1330" s="1"/>
      <c r="C1330" s="1"/>
      <c r="G1330" s="3"/>
      <c r="H1330" s="13"/>
      <c r="I1330" s="3"/>
      <c r="N1330" s="12"/>
    </row>
    <row r="1331" spans="1:14" x14ac:dyDescent="0.3">
      <c r="A1331" s="12"/>
      <c r="B1331" s="1"/>
      <c r="C1331" s="1"/>
      <c r="G1331" s="3"/>
      <c r="H1331" s="13"/>
      <c r="I1331" s="3"/>
      <c r="N1331" s="12"/>
    </row>
    <row r="1332" spans="1:14" x14ac:dyDescent="0.3">
      <c r="A1332" s="12"/>
      <c r="B1332" s="1"/>
      <c r="C1332" s="1"/>
      <c r="G1332" s="3"/>
      <c r="H1332" s="13"/>
      <c r="I1332" s="3"/>
      <c r="N1332" s="12"/>
    </row>
    <row r="1333" spans="1:14" x14ac:dyDescent="0.3">
      <c r="A1333" s="12"/>
      <c r="B1333" s="1"/>
      <c r="C1333" s="1"/>
      <c r="G1333" s="3"/>
      <c r="H1333" s="13"/>
      <c r="I1333" s="3"/>
      <c r="N1333" s="12"/>
    </row>
    <row r="1334" spans="1:14" x14ac:dyDescent="0.3">
      <c r="A1334" s="12"/>
      <c r="B1334" s="1"/>
      <c r="C1334" s="1"/>
      <c r="G1334" s="3"/>
      <c r="H1334" s="13"/>
      <c r="I1334" s="3"/>
      <c r="N1334" s="12"/>
    </row>
    <row r="1335" spans="1:14" x14ac:dyDescent="0.3">
      <c r="A1335" s="12"/>
      <c r="B1335" s="1"/>
      <c r="C1335" s="1"/>
      <c r="G1335" s="3"/>
      <c r="H1335" s="13"/>
      <c r="I1335" s="3"/>
      <c r="N1335" s="12"/>
    </row>
    <row r="1336" spans="1:14" x14ac:dyDescent="0.3">
      <c r="A1336" s="12"/>
      <c r="B1336" s="1"/>
      <c r="C1336" s="1"/>
      <c r="G1336" s="3"/>
      <c r="H1336" s="13"/>
      <c r="I1336" s="3"/>
      <c r="N1336" s="12"/>
    </row>
    <row r="1337" spans="1:14" x14ac:dyDescent="0.3">
      <c r="A1337" s="12"/>
      <c r="B1337" s="1"/>
      <c r="C1337" s="1"/>
      <c r="G1337" s="3"/>
      <c r="H1337" s="13"/>
      <c r="I1337" s="3"/>
      <c r="N1337" s="12"/>
    </row>
    <row r="1338" spans="1:14" x14ac:dyDescent="0.3">
      <c r="A1338" s="12"/>
      <c r="B1338" s="1"/>
      <c r="C1338" s="1"/>
      <c r="G1338" s="3"/>
      <c r="H1338" s="13"/>
      <c r="I1338" s="3"/>
      <c r="N1338" s="12"/>
    </row>
    <row r="1339" spans="1:14" x14ac:dyDescent="0.3">
      <c r="A1339" s="12"/>
      <c r="B1339" s="1"/>
      <c r="C1339" s="1"/>
      <c r="G1339" s="3"/>
      <c r="H1339" s="13"/>
      <c r="I1339" s="3"/>
      <c r="N1339" s="12"/>
    </row>
    <row r="1340" spans="1:14" x14ac:dyDescent="0.3">
      <c r="A1340" s="12"/>
      <c r="B1340" s="1"/>
      <c r="C1340" s="1"/>
      <c r="G1340" s="3"/>
      <c r="H1340" s="13"/>
      <c r="I1340" s="3"/>
      <c r="N1340" s="12"/>
    </row>
    <row r="1341" spans="1:14" x14ac:dyDescent="0.3">
      <c r="A1341" s="12"/>
      <c r="B1341" s="1"/>
      <c r="C1341" s="1"/>
      <c r="G1341" s="3"/>
      <c r="H1341" s="13"/>
      <c r="I1341" s="3"/>
      <c r="N1341" s="12"/>
    </row>
    <row r="1342" spans="1:14" x14ac:dyDescent="0.3">
      <c r="A1342" s="12"/>
      <c r="B1342" s="1"/>
      <c r="C1342" s="1"/>
      <c r="G1342" s="3"/>
      <c r="H1342" s="13"/>
      <c r="I1342" s="3"/>
      <c r="N1342" s="12"/>
    </row>
    <row r="1343" spans="1:14" x14ac:dyDescent="0.3">
      <c r="A1343" s="12"/>
      <c r="B1343" s="1"/>
      <c r="C1343" s="1"/>
      <c r="G1343" s="3"/>
      <c r="H1343" s="13"/>
      <c r="I1343" s="3"/>
      <c r="N1343" s="12"/>
    </row>
    <row r="1344" spans="1:14" x14ac:dyDescent="0.3">
      <c r="A1344" s="12"/>
      <c r="B1344" s="1"/>
      <c r="C1344" s="1"/>
      <c r="G1344" s="3"/>
      <c r="H1344" s="13"/>
      <c r="I1344" s="3"/>
      <c r="N1344" s="12"/>
    </row>
    <row r="1345" spans="1:14" x14ac:dyDescent="0.3">
      <c r="A1345" s="12"/>
      <c r="B1345" s="1"/>
      <c r="C1345" s="1"/>
      <c r="G1345" s="3"/>
      <c r="H1345" s="13"/>
      <c r="I1345" s="3"/>
      <c r="N1345" s="12"/>
    </row>
    <row r="1346" spans="1:14" x14ac:dyDescent="0.3">
      <c r="A1346" s="12"/>
      <c r="B1346" s="1"/>
      <c r="C1346" s="1"/>
      <c r="G1346" s="3"/>
      <c r="H1346" s="13"/>
      <c r="I1346" s="3"/>
      <c r="N1346" s="12"/>
    </row>
    <row r="1347" spans="1:14" x14ac:dyDescent="0.3">
      <c r="A1347" s="12"/>
      <c r="B1347" s="1"/>
      <c r="C1347" s="1"/>
      <c r="G1347" s="3"/>
      <c r="H1347" s="13"/>
      <c r="I1347" s="3"/>
      <c r="N1347" s="12"/>
    </row>
    <row r="1348" spans="1:14" x14ac:dyDescent="0.3">
      <c r="A1348" s="12"/>
      <c r="B1348" s="1"/>
      <c r="C1348" s="1"/>
      <c r="G1348" s="3"/>
      <c r="H1348" s="13"/>
      <c r="I1348" s="3"/>
      <c r="N1348" s="12"/>
    </row>
    <row r="1349" spans="1:14" x14ac:dyDescent="0.3">
      <c r="A1349" s="12"/>
      <c r="B1349" s="1"/>
      <c r="C1349" s="1"/>
      <c r="G1349" s="3"/>
      <c r="H1349" s="13"/>
      <c r="I1349" s="3"/>
      <c r="N1349" s="12"/>
    </row>
    <row r="1350" spans="1:14" x14ac:dyDescent="0.3">
      <c r="A1350" s="12"/>
      <c r="B1350" s="1"/>
      <c r="C1350" s="1"/>
      <c r="G1350" s="3"/>
      <c r="H1350" s="13"/>
      <c r="I1350" s="3"/>
      <c r="N1350" s="12"/>
    </row>
    <row r="1351" spans="1:14" x14ac:dyDescent="0.3">
      <c r="A1351" s="12"/>
      <c r="B1351" s="1"/>
      <c r="C1351" s="1"/>
      <c r="G1351" s="3"/>
      <c r="H1351" s="13"/>
      <c r="I1351" s="3"/>
      <c r="N1351" s="12"/>
    </row>
    <row r="1352" spans="1:14" x14ac:dyDescent="0.3">
      <c r="A1352" s="12"/>
      <c r="B1352" s="1"/>
      <c r="C1352" s="1"/>
      <c r="G1352" s="3"/>
      <c r="H1352" s="13"/>
      <c r="I1352" s="3"/>
      <c r="N1352" s="12"/>
    </row>
    <row r="1353" spans="1:14" x14ac:dyDescent="0.3">
      <c r="A1353" s="12"/>
      <c r="B1353" s="1"/>
      <c r="C1353" s="1"/>
      <c r="G1353" s="3"/>
      <c r="H1353" s="13"/>
      <c r="I1353" s="3"/>
      <c r="N1353" s="12"/>
    </row>
    <row r="1354" spans="1:14" x14ac:dyDescent="0.3">
      <c r="A1354" s="12"/>
      <c r="B1354" s="1"/>
      <c r="C1354" s="1"/>
      <c r="G1354" s="3"/>
      <c r="H1354" s="13"/>
      <c r="I1354" s="3"/>
      <c r="N1354" s="12"/>
    </row>
    <row r="1355" spans="1:14" x14ac:dyDescent="0.3">
      <c r="A1355" s="12"/>
      <c r="B1355" s="1"/>
      <c r="C1355" s="1"/>
      <c r="G1355" s="3"/>
      <c r="H1355" s="13"/>
      <c r="I1355" s="3"/>
      <c r="N1355" s="12"/>
    </row>
    <row r="1356" spans="1:14" x14ac:dyDescent="0.3">
      <c r="A1356" s="12"/>
      <c r="B1356" s="1"/>
      <c r="C1356" s="1"/>
      <c r="G1356" s="3"/>
      <c r="H1356" s="13"/>
      <c r="I1356" s="3"/>
      <c r="N1356" s="12"/>
    </row>
    <row r="1357" spans="1:14" x14ac:dyDescent="0.3">
      <c r="A1357" s="12"/>
      <c r="B1357" s="1"/>
      <c r="C1357" s="1"/>
      <c r="G1357" s="3"/>
      <c r="H1357" s="13"/>
      <c r="I1357" s="3"/>
      <c r="N1357" s="12"/>
    </row>
    <row r="1358" spans="1:14" x14ac:dyDescent="0.3">
      <c r="A1358" s="12"/>
      <c r="B1358" s="1"/>
      <c r="C1358" s="1"/>
      <c r="G1358" s="3"/>
      <c r="H1358" s="13"/>
      <c r="I1358" s="3"/>
      <c r="N1358" s="12"/>
    </row>
    <row r="1359" spans="1:14" x14ac:dyDescent="0.3">
      <c r="A1359" s="12"/>
      <c r="B1359" s="1"/>
      <c r="C1359" s="1"/>
      <c r="G1359" s="3"/>
      <c r="H1359" s="13"/>
      <c r="I1359" s="3"/>
      <c r="N1359" s="12"/>
    </row>
    <row r="1360" spans="1:14" x14ac:dyDescent="0.3">
      <c r="A1360" s="12"/>
      <c r="B1360" s="1"/>
      <c r="C1360" s="1"/>
      <c r="G1360" s="3"/>
      <c r="H1360" s="13"/>
      <c r="I1360" s="3"/>
      <c r="N1360" s="12"/>
    </row>
    <row r="1361" spans="1:14" x14ac:dyDescent="0.3">
      <c r="A1361" s="12"/>
      <c r="B1361" s="1"/>
      <c r="C1361" s="1"/>
      <c r="G1361" s="3"/>
      <c r="H1361" s="13"/>
      <c r="I1361" s="3"/>
      <c r="N1361" s="12"/>
    </row>
    <row r="1362" spans="1:14" x14ac:dyDescent="0.3">
      <c r="A1362" s="12"/>
      <c r="B1362" s="1"/>
      <c r="C1362" s="1"/>
      <c r="G1362" s="3"/>
      <c r="H1362" s="13"/>
      <c r="I1362" s="3"/>
      <c r="N1362" s="12"/>
    </row>
    <row r="1363" spans="1:14" x14ac:dyDescent="0.3">
      <c r="A1363" s="12"/>
      <c r="B1363" s="1"/>
      <c r="C1363" s="1"/>
      <c r="G1363" s="3"/>
      <c r="H1363" s="13"/>
      <c r="I1363" s="3"/>
      <c r="N1363" s="12"/>
    </row>
    <row r="1364" spans="1:14" x14ac:dyDescent="0.3">
      <c r="A1364" s="12"/>
      <c r="B1364" s="1"/>
      <c r="C1364" s="1"/>
      <c r="G1364" s="3"/>
      <c r="H1364" s="13"/>
      <c r="I1364" s="3"/>
      <c r="N1364" s="12"/>
    </row>
    <row r="1365" spans="1:14" x14ac:dyDescent="0.3">
      <c r="A1365" s="12"/>
      <c r="B1365" s="1"/>
      <c r="C1365" s="1"/>
      <c r="G1365" s="3"/>
      <c r="H1365" s="13"/>
      <c r="I1365" s="3"/>
      <c r="N1365" s="12"/>
    </row>
    <row r="1366" spans="1:14" x14ac:dyDescent="0.3">
      <c r="A1366" s="12"/>
      <c r="B1366" s="1"/>
      <c r="C1366" s="1"/>
      <c r="G1366" s="3"/>
      <c r="H1366" s="13"/>
      <c r="I1366" s="3"/>
      <c r="N1366" s="12"/>
    </row>
    <row r="1367" spans="1:14" x14ac:dyDescent="0.3">
      <c r="A1367" s="12"/>
      <c r="B1367" s="1"/>
      <c r="C1367" s="1"/>
      <c r="G1367" s="3"/>
      <c r="H1367" s="13"/>
      <c r="I1367" s="3"/>
      <c r="N1367" s="12"/>
    </row>
    <row r="1368" spans="1:14" x14ac:dyDescent="0.3">
      <c r="A1368" s="12"/>
      <c r="B1368" s="1"/>
      <c r="C1368" s="1"/>
      <c r="G1368" s="3"/>
      <c r="H1368" s="13"/>
      <c r="I1368" s="3"/>
      <c r="N1368" s="12"/>
    </row>
    <row r="1369" spans="1:14" x14ac:dyDescent="0.3">
      <c r="A1369" s="12"/>
      <c r="B1369" s="1"/>
      <c r="C1369" s="1"/>
      <c r="G1369" s="3"/>
      <c r="H1369" s="13"/>
      <c r="I1369" s="3"/>
      <c r="N1369" s="12"/>
    </row>
    <row r="1370" spans="1:14" x14ac:dyDescent="0.3">
      <c r="A1370" s="12"/>
      <c r="B1370" s="1"/>
      <c r="C1370" s="1"/>
      <c r="G1370" s="3"/>
      <c r="H1370" s="13"/>
      <c r="I1370" s="3"/>
      <c r="N1370" s="12"/>
    </row>
    <row r="1371" spans="1:14" x14ac:dyDescent="0.3">
      <c r="A1371" s="12"/>
      <c r="B1371" s="1"/>
      <c r="C1371" s="1"/>
      <c r="G1371" s="3"/>
      <c r="H1371" s="13"/>
      <c r="I1371" s="3"/>
      <c r="N1371" s="12"/>
    </row>
    <row r="1372" spans="1:14" x14ac:dyDescent="0.3">
      <c r="A1372" s="12"/>
      <c r="B1372" s="1"/>
      <c r="C1372" s="1"/>
      <c r="G1372" s="3"/>
      <c r="H1372" s="13"/>
      <c r="I1372" s="3"/>
      <c r="N1372" s="12"/>
    </row>
    <row r="1373" spans="1:14" x14ac:dyDescent="0.3">
      <c r="A1373" s="12"/>
      <c r="B1373" s="1"/>
      <c r="C1373" s="1"/>
      <c r="G1373" s="3"/>
      <c r="H1373" s="13"/>
      <c r="I1373" s="3"/>
      <c r="N1373" s="12"/>
    </row>
    <row r="1374" spans="1:14" x14ac:dyDescent="0.3">
      <c r="A1374" s="12"/>
      <c r="B1374" s="1"/>
      <c r="C1374" s="1"/>
      <c r="G1374" s="3"/>
      <c r="H1374" s="13"/>
      <c r="I1374" s="3"/>
      <c r="N1374" s="12"/>
    </row>
    <row r="1375" spans="1:14" x14ac:dyDescent="0.3">
      <c r="A1375" s="12"/>
      <c r="B1375" s="1"/>
      <c r="C1375" s="1"/>
      <c r="G1375" s="3"/>
      <c r="H1375" s="13"/>
      <c r="I1375" s="3"/>
      <c r="N1375" s="12"/>
    </row>
    <row r="1376" spans="1:14" x14ac:dyDescent="0.3">
      <c r="A1376" s="12"/>
      <c r="B1376" s="1"/>
      <c r="C1376" s="1"/>
      <c r="G1376" s="3"/>
      <c r="H1376" s="13"/>
      <c r="I1376" s="3"/>
      <c r="N1376" s="12"/>
    </row>
    <row r="1377" spans="1:14" x14ac:dyDescent="0.3">
      <c r="A1377" s="12"/>
      <c r="B1377" s="1"/>
      <c r="C1377" s="1"/>
      <c r="G1377" s="3"/>
      <c r="H1377" s="13"/>
      <c r="I1377" s="3"/>
      <c r="N1377" s="12"/>
    </row>
    <row r="1378" spans="1:14" x14ac:dyDescent="0.3">
      <c r="A1378" s="12"/>
      <c r="B1378" s="1"/>
      <c r="C1378" s="1"/>
      <c r="G1378" s="3"/>
      <c r="H1378" s="13"/>
      <c r="I1378" s="3"/>
      <c r="N1378" s="12"/>
    </row>
    <row r="1379" spans="1:14" x14ac:dyDescent="0.3">
      <c r="A1379" s="12"/>
      <c r="B1379" s="1"/>
      <c r="C1379" s="1"/>
      <c r="G1379" s="3"/>
      <c r="H1379" s="13"/>
      <c r="I1379" s="3"/>
      <c r="N1379" s="12"/>
    </row>
    <row r="1380" spans="1:14" x14ac:dyDescent="0.3">
      <c r="A1380" s="12"/>
      <c r="B1380" s="1"/>
      <c r="C1380" s="1"/>
      <c r="G1380" s="3"/>
      <c r="H1380" s="13"/>
      <c r="I1380" s="3"/>
      <c r="N1380" s="12"/>
    </row>
    <row r="1381" spans="1:14" x14ac:dyDescent="0.3">
      <c r="A1381" s="12"/>
      <c r="B1381" s="1"/>
      <c r="C1381" s="1"/>
      <c r="G1381" s="3"/>
      <c r="H1381" s="13"/>
      <c r="I1381" s="3"/>
      <c r="N1381" s="12"/>
    </row>
    <row r="1382" spans="1:14" x14ac:dyDescent="0.3">
      <c r="A1382" s="12"/>
      <c r="B1382" s="1"/>
      <c r="C1382" s="1"/>
      <c r="G1382" s="3"/>
      <c r="H1382" s="13"/>
      <c r="I1382" s="3"/>
      <c r="N1382" s="12"/>
    </row>
    <row r="1383" spans="1:14" x14ac:dyDescent="0.3">
      <c r="A1383" s="12"/>
      <c r="B1383" s="1"/>
      <c r="C1383" s="1"/>
      <c r="G1383" s="3"/>
      <c r="H1383" s="13"/>
      <c r="I1383" s="3"/>
      <c r="N1383" s="12"/>
    </row>
    <row r="1384" spans="1:14" x14ac:dyDescent="0.3">
      <c r="A1384" s="12"/>
      <c r="B1384" s="1"/>
      <c r="C1384" s="1"/>
      <c r="G1384" s="3"/>
      <c r="H1384" s="13"/>
      <c r="I1384" s="3"/>
      <c r="N1384" s="12"/>
    </row>
    <row r="1385" spans="1:14" x14ac:dyDescent="0.3">
      <c r="A1385" s="12"/>
      <c r="B1385" s="1"/>
      <c r="C1385" s="1"/>
      <c r="G1385" s="3"/>
      <c r="H1385" s="13"/>
      <c r="I1385" s="3"/>
      <c r="N1385" s="12"/>
    </row>
    <row r="1386" spans="1:14" x14ac:dyDescent="0.3">
      <c r="A1386" s="12"/>
      <c r="B1386" s="1"/>
      <c r="C1386" s="1"/>
      <c r="G1386" s="3"/>
      <c r="H1386" s="13"/>
      <c r="I1386" s="3"/>
      <c r="N1386" s="12"/>
    </row>
    <row r="1387" spans="1:14" x14ac:dyDescent="0.3">
      <c r="A1387" s="12"/>
      <c r="B1387" s="1"/>
      <c r="C1387" s="1"/>
      <c r="G1387" s="3"/>
      <c r="H1387" s="13"/>
      <c r="I1387" s="3"/>
      <c r="N1387" s="12"/>
    </row>
    <row r="1388" spans="1:14" x14ac:dyDescent="0.3">
      <c r="A1388" s="12"/>
      <c r="B1388" s="1"/>
      <c r="C1388" s="1"/>
      <c r="G1388" s="3"/>
      <c r="H1388" s="13"/>
      <c r="I1388" s="3"/>
      <c r="N1388" s="12"/>
    </row>
    <row r="1389" spans="1:14" x14ac:dyDescent="0.3">
      <c r="A1389" s="12"/>
      <c r="B1389" s="1"/>
      <c r="C1389" s="1"/>
      <c r="G1389" s="3"/>
      <c r="H1389" s="13"/>
      <c r="I1389" s="3"/>
      <c r="N1389" s="12"/>
    </row>
    <row r="1390" spans="1:14" x14ac:dyDescent="0.3">
      <c r="A1390" s="12"/>
      <c r="B1390" s="1"/>
      <c r="C1390" s="1"/>
      <c r="G1390" s="3"/>
      <c r="H1390" s="13"/>
      <c r="I1390" s="3"/>
      <c r="N1390" s="12"/>
    </row>
    <row r="1391" spans="1:14" x14ac:dyDescent="0.3">
      <c r="A1391" s="12"/>
      <c r="B1391" s="1"/>
      <c r="C1391" s="1"/>
      <c r="G1391" s="3"/>
      <c r="H1391" s="13"/>
      <c r="I1391" s="3"/>
      <c r="N1391" s="12"/>
    </row>
    <row r="1392" spans="1:14" x14ac:dyDescent="0.3">
      <c r="A1392" s="12"/>
      <c r="B1392" s="1"/>
      <c r="C1392" s="1"/>
      <c r="G1392" s="3"/>
      <c r="H1392" s="13"/>
      <c r="I1392" s="3"/>
      <c r="N1392" s="12"/>
    </row>
    <row r="1393" spans="1:14" x14ac:dyDescent="0.3">
      <c r="A1393" s="12"/>
      <c r="B1393" s="1"/>
      <c r="C1393" s="1"/>
      <c r="G1393" s="3"/>
      <c r="H1393" s="13"/>
      <c r="I1393" s="3"/>
      <c r="N1393" s="12"/>
    </row>
    <row r="1394" spans="1:14" x14ac:dyDescent="0.3">
      <c r="A1394" s="12"/>
      <c r="B1394" s="1"/>
      <c r="C1394" s="1"/>
      <c r="G1394" s="3"/>
      <c r="H1394" s="13"/>
      <c r="I1394" s="3"/>
      <c r="N1394" s="12"/>
    </row>
    <row r="1395" spans="1:14" x14ac:dyDescent="0.3">
      <c r="A1395" s="12"/>
      <c r="B1395" s="1"/>
      <c r="C1395" s="1"/>
      <c r="G1395" s="3"/>
      <c r="H1395" s="13"/>
      <c r="I1395" s="3"/>
      <c r="N1395" s="12"/>
    </row>
    <row r="1396" spans="1:14" x14ac:dyDescent="0.3">
      <c r="A1396" s="12"/>
      <c r="B1396" s="1"/>
      <c r="C1396" s="1"/>
      <c r="G1396" s="3"/>
      <c r="H1396" s="13"/>
      <c r="I1396" s="3"/>
      <c r="N1396" s="12"/>
    </row>
    <row r="1397" spans="1:14" x14ac:dyDescent="0.3">
      <c r="A1397" s="12"/>
      <c r="B1397" s="1"/>
      <c r="C1397" s="1"/>
      <c r="G1397" s="3"/>
      <c r="H1397" s="13"/>
      <c r="I1397" s="3"/>
      <c r="N1397" s="12"/>
    </row>
    <row r="1398" spans="1:14" x14ac:dyDescent="0.3">
      <c r="A1398" s="12"/>
      <c r="B1398" s="1"/>
      <c r="C1398" s="1"/>
      <c r="G1398" s="3"/>
      <c r="H1398" s="13"/>
      <c r="I1398" s="3"/>
      <c r="N1398" s="12"/>
    </row>
    <row r="1399" spans="1:14" x14ac:dyDescent="0.3">
      <c r="A1399" s="12"/>
      <c r="B1399" s="1"/>
      <c r="C1399" s="1"/>
      <c r="G1399" s="3"/>
      <c r="H1399" s="13"/>
      <c r="I1399" s="3"/>
      <c r="N1399" s="12"/>
    </row>
    <row r="1400" spans="1:14" x14ac:dyDescent="0.3">
      <c r="A1400" s="12"/>
      <c r="B1400" s="1"/>
      <c r="C1400" s="1"/>
      <c r="G1400" s="3"/>
      <c r="H1400" s="13"/>
      <c r="I1400" s="3"/>
      <c r="N1400" s="12"/>
    </row>
    <row r="1401" spans="1:14" x14ac:dyDescent="0.3">
      <c r="A1401" s="12"/>
      <c r="B1401" s="1"/>
      <c r="C1401" s="1"/>
      <c r="G1401" s="3"/>
      <c r="H1401" s="13"/>
      <c r="I1401" s="3"/>
      <c r="N1401" s="12"/>
    </row>
    <row r="1402" spans="1:14" x14ac:dyDescent="0.3">
      <c r="A1402" s="12"/>
      <c r="B1402" s="1"/>
      <c r="C1402" s="1"/>
      <c r="G1402" s="3"/>
      <c r="H1402" s="13"/>
      <c r="I1402" s="3"/>
      <c r="N1402" s="12"/>
    </row>
    <row r="1403" spans="1:14" x14ac:dyDescent="0.3">
      <c r="A1403" s="12"/>
      <c r="B1403" s="1"/>
      <c r="C1403" s="1"/>
      <c r="G1403" s="3"/>
      <c r="H1403" s="13"/>
      <c r="I1403" s="3"/>
      <c r="N1403" s="12"/>
    </row>
    <row r="1404" spans="1:14" x14ac:dyDescent="0.3">
      <c r="A1404" s="12"/>
      <c r="B1404" s="1"/>
      <c r="C1404" s="1"/>
      <c r="G1404" s="3"/>
      <c r="H1404" s="13"/>
      <c r="I1404" s="3"/>
      <c r="N1404" s="12"/>
    </row>
    <row r="1405" spans="1:14" x14ac:dyDescent="0.3">
      <c r="A1405" s="12"/>
      <c r="B1405" s="1"/>
      <c r="C1405" s="1"/>
      <c r="G1405" s="3"/>
      <c r="H1405" s="13"/>
      <c r="I1405" s="3"/>
      <c r="N1405" s="12"/>
    </row>
    <row r="1406" spans="1:14" x14ac:dyDescent="0.3">
      <c r="A1406" s="12"/>
      <c r="B1406" s="1"/>
      <c r="C1406" s="1"/>
      <c r="G1406" s="3"/>
      <c r="H1406" s="13"/>
      <c r="I1406" s="3"/>
      <c r="N1406" s="12"/>
    </row>
    <row r="1407" spans="1:14" x14ac:dyDescent="0.3">
      <c r="A1407" s="12"/>
      <c r="B1407" s="1"/>
      <c r="C1407" s="1"/>
      <c r="G1407" s="3"/>
      <c r="H1407" s="13"/>
      <c r="I1407" s="3"/>
      <c r="N1407" s="12"/>
    </row>
    <row r="1408" spans="1:14" x14ac:dyDescent="0.3">
      <c r="A1408" s="12"/>
      <c r="B1408" s="1"/>
      <c r="C1408" s="1"/>
      <c r="G1408" s="3"/>
      <c r="H1408" s="13"/>
      <c r="I1408" s="3"/>
      <c r="N1408" s="12"/>
    </row>
    <row r="1409" spans="1:14" x14ac:dyDescent="0.3">
      <c r="A1409" s="12"/>
      <c r="B1409" s="1"/>
      <c r="C1409" s="1"/>
      <c r="G1409" s="3"/>
      <c r="H1409" s="13"/>
      <c r="I1409" s="3"/>
      <c r="N1409" s="12"/>
    </row>
    <row r="1410" spans="1:14" x14ac:dyDescent="0.3">
      <c r="A1410" s="12"/>
      <c r="B1410" s="1"/>
      <c r="C1410" s="1"/>
      <c r="G1410" s="3"/>
      <c r="H1410" s="13"/>
      <c r="I1410" s="3"/>
      <c r="N1410" s="12"/>
    </row>
    <row r="1411" spans="1:14" x14ac:dyDescent="0.3">
      <c r="A1411" s="12"/>
      <c r="B1411" s="1"/>
      <c r="C1411" s="1"/>
      <c r="G1411" s="3"/>
      <c r="H1411" s="13"/>
      <c r="I1411" s="3"/>
      <c r="N1411" s="12"/>
    </row>
    <row r="1412" spans="1:14" x14ac:dyDescent="0.3">
      <c r="A1412" s="12"/>
      <c r="B1412" s="1"/>
      <c r="C1412" s="1"/>
      <c r="G1412" s="3"/>
      <c r="H1412" s="13"/>
      <c r="I1412" s="3"/>
      <c r="N1412" s="12"/>
    </row>
    <row r="1413" spans="1:14" x14ac:dyDescent="0.3">
      <c r="A1413" s="12"/>
      <c r="B1413" s="1"/>
      <c r="C1413" s="1"/>
      <c r="G1413" s="3"/>
      <c r="H1413" s="13"/>
      <c r="I1413" s="3"/>
      <c r="N1413" s="12"/>
    </row>
    <row r="1414" spans="1:14" x14ac:dyDescent="0.3">
      <c r="A1414" s="12"/>
      <c r="B1414" s="1"/>
      <c r="C1414" s="1"/>
      <c r="G1414" s="3"/>
      <c r="H1414" s="13"/>
      <c r="I1414" s="3"/>
      <c r="N1414" s="12"/>
    </row>
    <row r="1415" spans="1:14" x14ac:dyDescent="0.3">
      <c r="A1415" s="12"/>
      <c r="B1415" s="1"/>
      <c r="C1415" s="1"/>
      <c r="G1415" s="3"/>
      <c r="H1415" s="13"/>
      <c r="I1415" s="3"/>
      <c r="N1415" s="12"/>
    </row>
    <row r="1416" spans="1:14" x14ac:dyDescent="0.3">
      <c r="A1416" s="12"/>
      <c r="B1416" s="1"/>
      <c r="C1416" s="1"/>
      <c r="G1416" s="3"/>
      <c r="H1416" s="13"/>
      <c r="I1416" s="3"/>
      <c r="N1416" s="12"/>
    </row>
    <row r="1417" spans="1:14" x14ac:dyDescent="0.3">
      <c r="A1417" s="12"/>
      <c r="B1417" s="1"/>
      <c r="C1417" s="1"/>
      <c r="G1417" s="3"/>
      <c r="H1417" s="13"/>
      <c r="I1417" s="3"/>
      <c r="N1417" s="12"/>
    </row>
    <row r="1418" spans="1:14" x14ac:dyDescent="0.3">
      <c r="A1418" s="12"/>
      <c r="B1418" s="1"/>
      <c r="C1418" s="1"/>
      <c r="G1418" s="3"/>
      <c r="H1418" s="13"/>
      <c r="I1418" s="3"/>
      <c r="N1418" s="12"/>
    </row>
    <row r="1419" spans="1:14" x14ac:dyDescent="0.3">
      <c r="A1419" s="12"/>
      <c r="B1419" s="1"/>
      <c r="C1419" s="1"/>
      <c r="G1419" s="3"/>
      <c r="H1419" s="13"/>
      <c r="I1419" s="3"/>
      <c r="N1419" s="12"/>
    </row>
    <row r="1420" spans="1:14" x14ac:dyDescent="0.3">
      <c r="A1420" s="12"/>
      <c r="B1420" s="1"/>
      <c r="C1420" s="1"/>
      <c r="G1420" s="3"/>
      <c r="H1420" s="13"/>
      <c r="I1420" s="3"/>
      <c r="N1420" s="12"/>
    </row>
    <row r="1421" spans="1:14" x14ac:dyDescent="0.3">
      <c r="A1421" s="12"/>
      <c r="B1421" s="1"/>
      <c r="C1421" s="1"/>
      <c r="G1421" s="3"/>
      <c r="H1421" s="13"/>
      <c r="I1421" s="3"/>
      <c r="N1421" s="12"/>
    </row>
    <row r="1422" spans="1:14" x14ac:dyDescent="0.3">
      <c r="A1422" s="12"/>
      <c r="B1422" s="1"/>
      <c r="C1422" s="1"/>
      <c r="G1422" s="3"/>
      <c r="H1422" s="13"/>
      <c r="I1422" s="3"/>
      <c r="N1422" s="12"/>
    </row>
    <row r="1423" spans="1:14" x14ac:dyDescent="0.3">
      <c r="A1423" s="12"/>
      <c r="B1423" s="1"/>
      <c r="C1423" s="1"/>
      <c r="G1423" s="3"/>
      <c r="H1423" s="13"/>
      <c r="I1423" s="3"/>
      <c r="N1423" s="12"/>
    </row>
    <row r="1424" spans="1:14" x14ac:dyDescent="0.3">
      <c r="A1424" s="12"/>
      <c r="B1424" s="1"/>
      <c r="C1424" s="1"/>
      <c r="G1424" s="3"/>
      <c r="H1424" s="13"/>
      <c r="I1424" s="3"/>
      <c r="N1424" s="12"/>
    </row>
    <row r="1425" spans="1:14" x14ac:dyDescent="0.3">
      <c r="A1425" s="12"/>
      <c r="B1425" s="1"/>
      <c r="C1425" s="1"/>
      <c r="G1425" s="3"/>
      <c r="H1425" s="13"/>
      <c r="I1425" s="3"/>
      <c r="N1425" s="12"/>
    </row>
    <row r="1426" spans="1:14" x14ac:dyDescent="0.3">
      <c r="A1426" s="12"/>
      <c r="B1426" s="1"/>
      <c r="C1426" s="1"/>
      <c r="G1426" s="3"/>
      <c r="H1426" s="13"/>
      <c r="I1426" s="3"/>
      <c r="N1426" s="12"/>
    </row>
    <row r="1427" spans="1:14" x14ac:dyDescent="0.3">
      <c r="A1427" s="12"/>
      <c r="B1427" s="1"/>
      <c r="C1427" s="1"/>
      <c r="G1427" s="3"/>
      <c r="H1427" s="13"/>
      <c r="I1427" s="3"/>
      <c r="N1427" s="12"/>
    </row>
    <row r="1428" spans="1:14" x14ac:dyDescent="0.3">
      <c r="A1428" s="12"/>
      <c r="B1428" s="1"/>
      <c r="C1428" s="1"/>
      <c r="G1428" s="3"/>
      <c r="H1428" s="13"/>
      <c r="I1428" s="3"/>
      <c r="N1428" s="12"/>
    </row>
    <row r="1429" spans="1:14" x14ac:dyDescent="0.3">
      <c r="A1429" s="12"/>
      <c r="B1429" s="1"/>
      <c r="C1429" s="1"/>
      <c r="G1429" s="3"/>
      <c r="H1429" s="13"/>
      <c r="I1429" s="3"/>
      <c r="N1429" s="12"/>
    </row>
    <row r="1430" spans="1:14" x14ac:dyDescent="0.3">
      <c r="A1430" s="12"/>
      <c r="B1430" s="1"/>
      <c r="C1430" s="1"/>
      <c r="G1430" s="3"/>
      <c r="H1430" s="13"/>
      <c r="I1430" s="3"/>
      <c r="N1430" s="12"/>
    </row>
    <row r="1431" spans="1:14" x14ac:dyDescent="0.3">
      <c r="A1431" s="12"/>
      <c r="B1431" s="1"/>
      <c r="C1431" s="1"/>
      <c r="G1431" s="3"/>
      <c r="H1431" s="13"/>
      <c r="I1431" s="3"/>
      <c r="N1431" s="12"/>
    </row>
    <row r="1432" spans="1:14" x14ac:dyDescent="0.3">
      <c r="A1432" s="12"/>
      <c r="B1432" s="1"/>
      <c r="C1432" s="1"/>
      <c r="G1432" s="3"/>
      <c r="H1432" s="13"/>
      <c r="I1432" s="3"/>
      <c r="N1432" s="12"/>
    </row>
    <row r="1433" spans="1:14" x14ac:dyDescent="0.3">
      <c r="A1433" s="12"/>
      <c r="B1433" s="1"/>
      <c r="C1433" s="1"/>
      <c r="G1433" s="3"/>
      <c r="H1433" s="13"/>
      <c r="I1433" s="3"/>
      <c r="N1433" s="12"/>
    </row>
    <row r="1434" spans="1:14" x14ac:dyDescent="0.3">
      <c r="A1434" s="12"/>
      <c r="B1434" s="1"/>
      <c r="C1434" s="1"/>
      <c r="G1434" s="3"/>
      <c r="H1434" s="13"/>
      <c r="I1434" s="3"/>
      <c r="N1434" s="12"/>
    </row>
    <row r="1435" spans="1:14" x14ac:dyDescent="0.3">
      <c r="A1435" s="12"/>
      <c r="B1435" s="1"/>
      <c r="C1435" s="1"/>
      <c r="G1435" s="3"/>
      <c r="H1435" s="13"/>
      <c r="I1435" s="3"/>
      <c r="N1435" s="12"/>
    </row>
    <row r="1436" spans="1:14" x14ac:dyDescent="0.3">
      <c r="A1436" s="12"/>
      <c r="B1436" s="1"/>
      <c r="C1436" s="1"/>
      <c r="G1436" s="3"/>
      <c r="H1436" s="13"/>
      <c r="I1436" s="3"/>
      <c r="N1436" s="12"/>
    </row>
    <row r="1437" spans="1:14" x14ac:dyDescent="0.3">
      <c r="A1437" s="12"/>
      <c r="B1437" s="1"/>
      <c r="C1437" s="1"/>
      <c r="G1437" s="3"/>
      <c r="H1437" s="13"/>
      <c r="I1437" s="3"/>
      <c r="N1437" s="12"/>
    </row>
    <row r="1438" spans="1:14" x14ac:dyDescent="0.3">
      <c r="A1438" s="12"/>
      <c r="B1438" s="1"/>
      <c r="C1438" s="1"/>
      <c r="G1438" s="3"/>
      <c r="H1438" s="13"/>
      <c r="I1438" s="3"/>
      <c r="N1438" s="12"/>
    </row>
    <row r="1439" spans="1:14" x14ac:dyDescent="0.3">
      <c r="A1439" s="12"/>
      <c r="B1439" s="1"/>
      <c r="C1439" s="1"/>
      <c r="G1439" s="3"/>
      <c r="H1439" s="13"/>
      <c r="I1439" s="3"/>
      <c r="N1439" s="12"/>
    </row>
    <row r="1440" spans="1:14" x14ac:dyDescent="0.3">
      <c r="A1440" s="12"/>
      <c r="B1440" s="1"/>
      <c r="C1440" s="1"/>
      <c r="G1440" s="3"/>
      <c r="H1440" s="13"/>
      <c r="I1440" s="3"/>
      <c r="N1440" s="12"/>
    </row>
    <row r="1441" spans="1:14" x14ac:dyDescent="0.3">
      <c r="A1441" s="12"/>
      <c r="B1441" s="1"/>
      <c r="C1441" s="1"/>
      <c r="G1441" s="3"/>
      <c r="H1441" s="13"/>
      <c r="I1441" s="3"/>
      <c r="N1441" s="12"/>
    </row>
    <row r="1442" spans="1:14" x14ac:dyDescent="0.3">
      <c r="A1442" s="12"/>
      <c r="B1442" s="1"/>
      <c r="C1442" s="1"/>
      <c r="G1442" s="3"/>
      <c r="H1442" s="13"/>
      <c r="I1442" s="3"/>
      <c r="N1442" s="12"/>
    </row>
    <row r="1443" spans="1:14" x14ac:dyDescent="0.3">
      <c r="A1443" s="12"/>
      <c r="B1443" s="1"/>
      <c r="C1443" s="1"/>
      <c r="G1443" s="3"/>
      <c r="H1443" s="13"/>
      <c r="I1443" s="3"/>
      <c r="N1443" s="12"/>
    </row>
    <row r="1444" spans="1:14" x14ac:dyDescent="0.3">
      <c r="A1444" s="12"/>
      <c r="B1444" s="1"/>
      <c r="C1444" s="1"/>
      <c r="G1444" s="3"/>
      <c r="H1444" s="13"/>
      <c r="I1444" s="3"/>
      <c r="N1444" s="12"/>
    </row>
    <row r="1445" spans="1:14" x14ac:dyDescent="0.3">
      <c r="A1445" s="12"/>
      <c r="B1445" s="1"/>
      <c r="C1445" s="1"/>
      <c r="G1445" s="3"/>
      <c r="H1445" s="13"/>
      <c r="I1445" s="3"/>
      <c r="N1445" s="12"/>
    </row>
    <row r="1446" spans="1:14" x14ac:dyDescent="0.3">
      <c r="A1446" s="12"/>
      <c r="B1446" s="1"/>
      <c r="C1446" s="1"/>
      <c r="G1446" s="3"/>
      <c r="H1446" s="13"/>
      <c r="I1446" s="3"/>
      <c r="N1446" s="12"/>
    </row>
    <row r="1447" spans="1:14" x14ac:dyDescent="0.3">
      <c r="A1447" s="12"/>
      <c r="B1447" s="1"/>
      <c r="C1447" s="1"/>
      <c r="G1447" s="3"/>
      <c r="H1447" s="13"/>
      <c r="I1447" s="3"/>
      <c r="N1447" s="12"/>
    </row>
    <row r="1448" spans="1:14" x14ac:dyDescent="0.3">
      <c r="A1448" s="12"/>
      <c r="B1448" s="1"/>
      <c r="C1448" s="1"/>
      <c r="G1448" s="3"/>
      <c r="H1448" s="13"/>
      <c r="I1448" s="3"/>
      <c r="N1448" s="12"/>
    </row>
    <row r="1449" spans="1:14" x14ac:dyDescent="0.3">
      <c r="A1449" s="12"/>
      <c r="B1449" s="1"/>
      <c r="C1449" s="1"/>
      <c r="G1449" s="3"/>
      <c r="H1449" s="13"/>
      <c r="I1449" s="3"/>
      <c r="N1449" s="12"/>
    </row>
    <row r="1450" spans="1:14" x14ac:dyDescent="0.3">
      <c r="A1450" s="12"/>
      <c r="B1450" s="1"/>
      <c r="C1450" s="1"/>
      <c r="G1450" s="3"/>
      <c r="H1450" s="13"/>
      <c r="I1450" s="3"/>
      <c r="N1450" s="12"/>
    </row>
    <row r="1451" spans="1:14" x14ac:dyDescent="0.3">
      <c r="A1451" s="12"/>
      <c r="B1451" s="1"/>
      <c r="C1451" s="1"/>
      <c r="G1451" s="3"/>
      <c r="H1451" s="13"/>
      <c r="I1451" s="3"/>
      <c r="N1451" s="12"/>
    </row>
    <row r="1452" spans="1:14" x14ac:dyDescent="0.3">
      <c r="A1452" s="12"/>
      <c r="B1452" s="1"/>
      <c r="C1452" s="1"/>
      <c r="G1452" s="3"/>
      <c r="H1452" s="13"/>
      <c r="I1452" s="3"/>
      <c r="N1452" s="12"/>
    </row>
    <row r="1453" spans="1:14" x14ac:dyDescent="0.3">
      <c r="A1453" s="12"/>
      <c r="B1453" s="1"/>
      <c r="C1453" s="1"/>
      <c r="G1453" s="3"/>
      <c r="H1453" s="13"/>
      <c r="I1453" s="3"/>
      <c r="N1453" s="12"/>
    </row>
    <row r="1454" spans="1:14" x14ac:dyDescent="0.3">
      <c r="A1454" s="12"/>
      <c r="B1454" s="1"/>
      <c r="C1454" s="1"/>
      <c r="G1454" s="3"/>
      <c r="H1454" s="13"/>
      <c r="I1454" s="3"/>
      <c r="N1454" s="12"/>
    </row>
    <row r="1455" spans="1:14" x14ac:dyDescent="0.3">
      <c r="A1455" s="12"/>
      <c r="B1455" s="1"/>
      <c r="C1455" s="1"/>
      <c r="G1455" s="3"/>
      <c r="H1455" s="13"/>
      <c r="I1455" s="3"/>
      <c r="N1455" s="12"/>
    </row>
    <row r="1456" spans="1:14" x14ac:dyDescent="0.3">
      <c r="A1456" s="12"/>
      <c r="B1456" s="1"/>
      <c r="C1456" s="1"/>
      <c r="G1456" s="3"/>
      <c r="H1456" s="13"/>
      <c r="I1456" s="3"/>
      <c r="N1456" s="12"/>
    </row>
    <row r="1457" spans="1:14" x14ac:dyDescent="0.3">
      <c r="A1457" s="12"/>
      <c r="B1457" s="1"/>
      <c r="C1457" s="1"/>
      <c r="G1457" s="3"/>
      <c r="H1457" s="13"/>
      <c r="I1457" s="3"/>
      <c r="N1457" s="12"/>
    </row>
    <row r="1458" spans="1:14" x14ac:dyDescent="0.3">
      <c r="A1458" s="12"/>
      <c r="B1458" s="1"/>
      <c r="C1458" s="1"/>
      <c r="G1458" s="3"/>
      <c r="H1458" s="13"/>
      <c r="I1458" s="3"/>
      <c r="N1458" s="12"/>
    </row>
    <row r="1459" spans="1:14" x14ac:dyDescent="0.3">
      <c r="A1459" s="12"/>
      <c r="B1459" s="1"/>
      <c r="C1459" s="1"/>
      <c r="G1459" s="3"/>
      <c r="H1459" s="13"/>
      <c r="I1459" s="3"/>
      <c r="N1459" s="12"/>
    </row>
    <row r="1460" spans="1:14" x14ac:dyDescent="0.3">
      <c r="A1460" s="12"/>
      <c r="B1460" s="1"/>
      <c r="C1460" s="1"/>
      <c r="G1460" s="3"/>
      <c r="H1460" s="13"/>
      <c r="I1460" s="3"/>
      <c r="N1460" s="12"/>
    </row>
    <row r="1461" spans="1:14" x14ac:dyDescent="0.3">
      <c r="A1461" s="12"/>
      <c r="B1461" s="1"/>
      <c r="C1461" s="1"/>
      <c r="G1461" s="3"/>
      <c r="H1461" s="13"/>
      <c r="I1461" s="3"/>
      <c r="N1461" s="12"/>
    </row>
    <row r="1462" spans="1:14" x14ac:dyDescent="0.3">
      <c r="A1462" s="12"/>
      <c r="B1462" s="1"/>
      <c r="C1462" s="1"/>
      <c r="G1462" s="3"/>
      <c r="H1462" s="13"/>
      <c r="I1462" s="3"/>
      <c r="N1462" s="12"/>
    </row>
    <row r="1463" spans="1:14" x14ac:dyDescent="0.3">
      <c r="A1463" s="12"/>
      <c r="B1463" s="1"/>
      <c r="C1463" s="1"/>
      <c r="G1463" s="3"/>
      <c r="H1463" s="13"/>
      <c r="I1463" s="3"/>
      <c r="N1463" s="12"/>
    </row>
    <row r="1464" spans="1:14" x14ac:dyDescent="0.3">
      <c r="A1464" s="12"/>
      <c r="B1464" s="1"/>
      <c r="C1464" s="1"/>
      <c r="G1464" s="3"/>
      <c r="H1464" s="13"/>
      <c r="I1464" s="3"/>
      <c r="N1464" s="12"/>
    </row>
    <row r="1465" spans="1:14" x14ac:dyDescent="0.3">
      <c r="A1465" s="12"/>
      <c r="B1465" s="1"/>
      <c r="C1465" s="1"/>
      <c r="G1465" s="3"/>
      <c r="H1465" s="13"/>
      <c r="I1465" s="3"/>
      <c r="N1465" s="12"/>
    </row>
    <row r="1466" spans="1:14" x14ac:dyDescent="0.3">
      <c r="A1466" s="12"/>
      <c r="B1466" s="1"/>
      <c r="C1466" s="1"/>
      <c r="G1466" s="3"/>
      <c r="H1466" s="13"/>
      <c r="I1466" s="3"/>
      <c r="N1466" s="12"/>
    </row>
    <row r="1467" spans="1:14" x14ac:dyDescent="0.3">
      <c r="A1467" s="12"/>
      <c r="B1467" s="1"/>
      <c r="C1467" s="1"/>
      <c r="G1467" s="3"/>
      <c r="H1467" s="13"/>
      <c r="I1467" s="3"/>
      <c r="N1467" s="12"/>
    </row>
    <row r="1468" spans="1:14" x14ac:dyDescent="0.3">
      <c r="A1468" s="12"/>
      <c r="B1468" s="1"/>
      <c r="C1468" s="1"/>
      <c r="G1468" s="3"/>
      <c r="H1468" s="13"/>
      <c r="I1468" s="3"/>
      <c r="N1468" s="12"/>
    </row>
    <row r="1469" spans="1:14" x14ac:dyDescent="0.3">
      <c r="A1469" s="12"/>
      <c r="B1469" s="1"/>
      <c r="C1469" s="1"/>
      <c r="G1469" s="3"/>
      <c r="H1469" s="13"/>
      <c r="I1469" s="3"/>
      <c r="N1469" s="12"/>
    </row>
    <row r="1470" spans="1:14" x14ac:dyDescent="0.3">
      <c r="A1470" s="12"/>
      <c r="B1470" s="1"/>
      <c r="C1470" s="1"/>
      <c r="G1470" s="3"/>
      <c r="H1470" s="13"/>
      <c r="I1470" s="3"/>
      <c r="N1470" s="12"/>
    </row>
    <row r="1471" spans="1:14" x14ac:dyDescent="0.3">
      <c r="A1471" s="12"/>
      <c r="B1471" s="1"/>
      <c r="C1471" s="1"/>
      <c r="G1471" s="3"/>
      <c r="H1471" s="13"/>
      <c r="I1471" s="3"/>
      <c r="N1471" s="12"/>
    </row>
    <row r="1472" spans="1:14" x14ac:dyDescent="0.3">
      <c r="A1472" s="12"/>
      <c r="B1472" s="1"/>
      <c r="C1472" s="1"/>
      <c r="G1472" s="3"/>
      <c r="H1472" s="13"/>
      <c r="I1472" s="3"/>
      <c r="N1472" s="12"/>
    </row>
    <row r="1473" spans="1:14" x14ac:dyDescent="0.3">
      <c r="A1473" s="12"/>
      <c r="B1473" s="1"/>
      <c r="C1473" s="1"/>
      <c r="G1473" s="3"/>
      <c r="H1473" s="13"/>
      <c r="I1473" s="3"/>
      <c r="N1473" s="12"/>
    </row>
    <row r="1474" spans="1:14" x14ac:dyDescent="0.3">
      <c r="A1474" s="12"/>
      <c r="B1474" s="1"/>
      <c r="C1474" s="1"/>
      <c r="G1474" s="3"/>
      <c r="H1474" s="13"/>
      <c r="I1474" s="3"/>
      <c r="N1474" s="12"/>
    </row>
    <row r="1475" spans="1:14" x14ac:dyDescent="0.3">
      <c r="A1475" s="12"/>
      <c r="B1475" s="1"/>
      <c r="C1475" s="1"/>
      <c r="G1475" s="3"/>
      <c r="H1475" s="13"/>
      <c r="I1475" s="3"/>
      <c r="N1475" s="12"/>
    </row>
    <row r="1476" spans="1:14" x14ac:dyDescent="0.3">
      <c r="A1476" s="12"/>
      <c r="B1476" s="1"/>
      <c r="C1476" s="1"/>
      <c r="G1476" s="3"/>
      <c r="H1476" s="13"/>
      <c r="I1476" s="3"/>
      <c r="N1476" s="12"/>
    </row>
    <row r="1477" spans="1:14" x14ac:dyDescent="0.3">
      <c r="A1477" s="12"/>
      <c r="B1477" s="1"/>
      <c r="C1477" s="1"/>
      <c r="G1477" s="3"/>
      <c r="H1477" s="13"/>
      <c r="I1477" s="3"/>
      <c r="N1477" s="12"/>
    </row>
    <row r="1478" spans="1:14" x14ac:dyDescent="0.3">
      <c r="A1478" s="12"/>
      <c r="B1478" s="1"/>
      <c r="C1478" s="1"/>
      <c r="G1478" s="3"/>
      <c r="H1478" s="13"/>
      <c r="I1478" s="3"/>
      <c r="N1478" s="12"/>
    </row>
    <row r="1479" spans="1:14" x14ac:dyDescent="0.3">
      <c r="A1479" s="12"/>
      <c r="B1479" s="1"/>
      <c r="C1479" s="1"/>
      <c r="G1479" s="3"/>
      <c r="H1479" s="13"/>
      <c r="I1479" s="3"/>
      <c r="N1479" s="12"/>
    </row>
    <row r="1480" spans="1:14" x14ac:dyDescent="0.3">
      <c r="A1480" s="12"/>
      <c r="B1480" s="1"/>
      <c r="C1480" s="1"/>
      <c r="G1480" s="3"/>
      <c r="H1480" s="13"/>
      <c r="I1480" s="3"/>
      <c r="N1480" s="12"/>
    </row>
    <row r="1481" spans="1:14" x14ac:dyDescent="0.3">
      <c r="A1481" s="12"/>
      <c r="B1481" s="1"/>
      <c r="C1481" s="1"/>
      <c r="G1481" s="3"/>
      <c r="H1481" s="13"/>
      <c r="I1481" s="3"/>
      <c r="N1481" s="12"/>
    </row>
    <row r="1482" spans="1:14" x14ac:dyDescent="0.3">
      <c r="A1482" s="12"/>
      <c r="B1482" s="1"/>
      <c r="C1482" s="1"/>
      <c r="G1482" s="3"/>
      <c r="H1482" s="13"/>
      <c r="I1482" s="3"/>
      <c r="N1482" s="12"/>
    </row>
    <row r="1483" spans="1:14" x14ac:dyDescent="0.3">
      <c r="A1483" s="12"/>
      <c r="B1483" s="1"/>
      <c r="C1483" s="1"/>
      <c r="G1483" s="3"/>
      <c r="H1483" s="13"/>
      <c r="I1483" s="3"/>
      <c r="N1483" s="12"/>
    </row>
    <row r="1484" spans="1:14" x14ac:dyDescent="0.3">
      <c r="A1484" s="12"/>
      <c r="B1484" s="1"/>
      <c r="C1484" s="1"/>
      <c r="G1484" s="3"/>
      <c r="H1484" s="13"/>
      <c r="I1484" s="3"/>
      <c r="N1484" s="12"/>
    </row>
    <row r="1485" spans="1:14" x14ac:dyDescent="0.3">
      <c r="A1485" s="12"/>
      <c r="B1485" s="1"/>
      <c r="C1485" s="1"/>
      <c r="G1485" s="3"/>
      <c r="H1485" s="13"/>
      <c r="I1485" s="3"/>
      <c r="N1485" s="12"/>
    </row>
    <row r="1486" spans="1:14" x14ac:dyDescent="0.3">
      <c r="A1486" s="12"/>
      <c r="B1486" s="1"/>
      <c r="C1486" s="1"/>
      <c r="G1486" s="3"/>
      <c r="H1486" s="13"/>
      <c r="I1486" s="3"/>
      <c r="N1486" s="12"/>
    </row>
    <row r="1487" spans="1:14" x14ac:dyDescent="0.3">
      <c r="A1487" s="12"/>
      <c r="B1487" s="1"/>
      <c r="C1487" s="1"/>
      <c r="G1487" s="3"/>
      <c r="H1487" s="13"/>
      <c r="I1487" s="3"/>
      <c r="N1487" s="12"/>
    </row>
    <row r="1488" spans="1:14" x14ac:dyDescent="0.3">
      <c r="A1488" s="12"/>
      <c r="B1488" s="1"/>
      <c r="C1488" s="1"/>
      <c r="G1488" s="3"/>
      <c r="H1488" s="13"/>
      <c r="I1488" s="3"/>
      <c r="N1488" s="12"/>
    </row>
    <row r="1489" spans="1:14" x14ac:dyDescent="0.3">
      <c r="A1489" s="12"/>
      <c r="B1489" s="1"/>
      <c r="C1489" s="1"/>
      <c r="G1489" s="3"/>
      <c r="H1489" s="13"/>
      <c r="I1489" s="3"/>
      <c r="N1489" s="12"/>
    </row>
    <row r="1490" spans="1:14" x14ac:dyDescent="0.3">
      <c r="A1490" s="12"/>
      <c r="B1490" s="1"/>
      <c r="C1490" s="1"/>
      <c r="G1490" s="3"/>
      <c r="H1490" s="13"/>
      <c r="I1490" s="3"/>
      <c r="N1490" s="12"/>
    </row>
    <row r="1491" spans="1:14" x14ac:dyDescent="0.3">
      <c r="A1491" s="12"/>
      <c r="B1491" s="1"/>
      <c r="C1491" s="1"/>
      <c r="G1491" s="3"/>
      <c r="H1491" s="13"/>
      <c r="I1491" s="3"/>
      <c r="N1491" s="12"/>
    </row>
    <row r="1492" spans="1:14" x14ac:dyDescent="0.3">
      <c r="A1492" s="12"/>
      <c r="B1492" s="1"/>
      <c r="C1492" s="1"/>
      <c r="G1492" s="3"/>
      <c r="H1492" s="13"/>
      <c r="I1492" s="3"/>
      <c r="N1492" s="12"/>
    </row>
    <row r="1493" spans="1:14" x14ac:dyDescent="0.3">
      <c r="A1493" s="12"/>
      <c r="B1493" s="1"/>
      <c r="C1493" s="1"/>
      <c r="G1493" s="3"/>
      <c r="H1493" s="13"/>
      <c r="I1493" s="3"/>
      <c r="N1493" s="12"/>
    </row>
    <row r="1494" spans="1:14" x14ac:dyDescent="0.3">
      <c r="A1494" s="12"/>
      <c r="B1494" s="1"/>
      <c r="C1494" s="1"/>
      <c r="G1494" s="3"/>
      <c r="H1494" s="13"/>
      <c r="I1494" s="3"/>
      <c r="N1494" s="12"/>
    </row>
    <row r="1495" spans="1:14" x14ac:dyDescent="0.3">
      <c r="A1495" s="12"/>
      <c r="B1495" s="1"/>
      <c r="C1495" s="1"/>
      <c r="G1495" s="3"/>
      <c r="H1495" s="13"/>
      <c r="I1495" s="3"/>
      <c r="N1495" s="12"/>
    </row>
    <row r="1496" spans="1:14" x14ac:dyDescent="0.3">
      <c r="A1496" s="12"/>
      <c r="B1496" s="1"/>
      <c r="C1496" s="1"/>
      <c r="G1496" s="3"/>
      <c r="H1496" s="13"/>
      <c r="I1496" s="3"/>
      <c r="N1496" s="12"/>
    </row>
    <row r="1497" spans="1:14" x14ac:dyDescent="0.3">
      <c r="A1497" s="12"/>
      <c r="B1497" s="1"/>
      <c r="C1497" s="1"/>
      <c r="G1497" s="3"/>
      <c r="H1497" s="13"/>
      <c r="I1497" s="3"/>
      <c r="N1497" s="12"/>
    </row>
    <row r="1498" spans="1:14" x14ac:dyDescent="0.3">
      <c r="A1498" s="12"/>
      <c r="B1498" s="1"/>
      <c r="C1498" s="1"/>
      <c r="G1498" s="3"/>
      <c r="H1498" s="13"/>
      <c r="I1498" s="3"/>
      <c r="N1498" s="12"/>
    </row>
    <row r="1499" spans="1:14" x14ac:dyDescent="0.3">
      <c r="A1499" s="12"/>
      <c r="B1499" s="1"/>
      <c r="C1499" s="1"/>
      <c r="G1499" s="3"/>
      <c r="H1499" s="13"/>
      <c r="I1499" s="3"/>
      <c r="N1499" s="12"/>
    </row>
    <row r="1500" spans="1:14" x14ac:dyDescent="0.3">
      <c r="A1500" s="12"/>
      <c r="B1500" s="1"/>
      <c r="C1500" s="1"/>
      <c r="G1500" s="3"/>
      <c r="H1500" s="13"/>
      <c r="I1500" s="3"/>
      <c r="N1500" s="12"/>
    </row>
    <row r="1501" spans="1:14" x14ac:dyDescent="0.3">
      <c r="A1501" s="12"/>
      <c r="B1501" s="1"/>
      <c r="C1501" s="1"/>
      <c r="G1501" s="3"/>
      <c r="H1501" s="13"/>
      <c r="I1501" s="3"/>
      <c r="N1501" s="12"/>
    </row>
    <row r="1502" spans="1:14" x14ac:dyDescent="0.3">
      <c r="A1502" s="12"/>
      <c r="B1502" s="1"/>
      <c r="C1502" s="1"/>
      <c r="G1502" s="3"/>
      <c r="H1502" s="13"/>
      <c r="I1502" s="3"/>
      <c r="N1502" s="12"/>
    </row>
    <row r="1503" spans="1:14" x14ac:dyDescent="0.3">
      <c r="A1503" s="12"/>
      <c r="B1503" s="1"/>
      <c r="C1503" s="1"/>
      <c r="G1503" s="3"/>
      <c r="H1503" s="13"/>
      <c r="I1503" s="3"/>
      <c r="N1503" s="12"/>
    </row>
    <row r="1504" spans="1:14" x14ac:dyDescent="0.3">
      <c r="A1504" s="12"/>
      <c r="B1504" s="1"/>
      <c r="C1504" s="1"/>
      <c r="G1504" s="3"/>
      <c r="H1504" s="13"/>
      <c r="I1504" s="3"/>
      <c r="N1504" s="12"/>
    </row>
    <row r="1505" spans="1:14" x14ac:dyDescent="0.3">
      <c r="A1505" s="12"/>
      <c r="B1505" s="1"/>
      <c r="C1505" s="1"/>
      <c r="G1505" s="3"/>
      <c r="H1505" s="13"/>
      <c r="I1505" s="3"/>
      <c r="N1505" s="12"/>
    </row>
    <row r="1506" spans="1:14" x14ac:dyDescent="0.3">
      <c r="A1506" s="12"/>
      <c r="B1506" s="1"/>
      <c r="C1506" s="1"/>
      <c r="G1506" s="3"/>
      <c r="H1506" s="13"/>
      <c r="I1506" s="3"/>
      <c r="N1506" s="12"/>
    </row>
    <row r="1507" spans="1:14" x14ac:dyDescent="0.3">
      <c r="A1507" s="12"/>
      <c r="B1507" s="1"/>
      <c r="C1507" s="1"/>
      <c r="G1507" s="3"/>
      <c r="H1507" s="13"/>
      <c r="I1507" s="3"/>
      <c r="N1507" s="12"/>
    </row>
    <row r="1508" spans="1:14" x14ac:dyDescent="0.3">
      <c r="A1508" s="12"/>
      <c r="B1508" s="1"/>
      <c r="C1508" s="1"/>
      <c r="G1508" s="3"/>
      <c r="H1508" s="13"/>
      <c r="I1508" s="3"/>
      <c r="N1508" s="12"/>
    </row>
    <row r="1509" spans="1:14" x14ac:dyDescent="0.3">
      <c r="A1509" s="12"/>
      <c r="B1509" s="1"/>
      <c r="C1509" s="1"/>
      <c r="G1509" s="3"/>
      <c r="H1509" s="13"/>
      <c r="I1509" s="3"/>
      <c r="N1509" s="12"/>
    </row>
    <row r="1510" spans="1:14" x14ac:dyDescent="0.3">
      <c r="A1510" s="12"/>
      <c r="B1510" s="1"/>
      <c r="C1510" s="1"/>
      <c r="G1510" s="3"/>
      <c r="H1510" s="13"/>
      <c r="I1510" s="3"/>
      <c r="N1510" s="12"/>
    </row>
    <row r="1511" spans="1:14" x14ac:dyDescent="0.3">
      <c r="A1511" s="12"/>
      <c r="B1511" s="1"/>
      <c r="C1511" s="1"/>
      <c r="G1511" s="3"/>
      <c r="H1511" s="13"/>
      <c r="I1511" s="3"/>
      <c r="N1511" s="12"/>
    </row>
    <row r="1512" spans="1:14" x14ac:dyDescent="0.3">
      <c r="A1512" s="12"/>
      <c r="B1512" s="1"/>
      <c r="C1512" s="1"/>
      <c r="G1512" s="3"/>
      <c r="H1512" s="13"/>
      <c r="I1512" s="3"/>
      <c r="N1512" s="12"/>
    </row>
    <row r="1513" spans="1:14" x14ac:dyDescent="0.3">
      <c r="A1513" s="12"/>
      <c r="B1513" s="1"/>
      <c r="C1513" s="1"/>
      <c r="G1513" s="3"/>
      <c r="H1513" s="13"/>
      <c r="I1513" s="3"/>
      <c r="N1513" s="12"/>
    </row>
    <row r="1514" spans="1:14" x14ac:dyDescent="0.3">
      <c r="A1514" s="12"/>
      <c r="B1514" s="1"/>
      <c r="C1514" s="1"/>
      <c r="G1514" s="3"/>
      <c r="H1514" s="13"/>
      <c r="I1514" s="3"/>
      <c r="N1514" s="12"/>
    </row>
    <row r="1515" spans="1:14" x14ac:dyDescent="0.3">
      <c r="A1515" s="12"/>
      <c r="B1515" s="1"/>
      <c r="C1515" s="1"/>
      <c r="G1515" s="3"/>
      <c r="H1515" s="13"/>
      <c r="I1515" s="3"/>
      <c r="N1515" s="12"/>
    </row>
    <row r="1516" spans="1:14" x14ac:dyDescent="0.3">
      <c r="A1516" s="12"/>
      <c r="B1516" s="1"/>
      <c r="C1516" s="1"/>
      <c r="G1516" s="3"/>
      <c r="H1516" s="13"/>
      <c r="I1516" s="3"/>
      <c r="N1516" s="12"/>
    </row>
    <row r="1517" spans="1:14" x14ac:dyDescent="0.3">
      <c r="A1517" s="12"/>
      <c r="B1517" s="1"/>
      <c r="C1517" s="1"/>
      <c r="G1517" s="3"/>
      <c r="H1517" s="13"/>
      <c r="I1517" s="3"/>
      <c r="N1517" s="12"/>
    </row>
    <row r="1518" spans="1:14" x14ac:dyDescent="0.3">
      <c r="A1518" s="12"/>
      <c r="B1518" s="1"/>
      <c r="C1518" s="1"/>
      <c r="G1518" s="3"/>
      <c r="H1518" s="13"/>
      <c r="I1518" s="3"/>
      <c r="N1518" s="12"/>
    </row>
    <row r="1519" spans="1:14" x14ac:dyDescent="0.3">
      <c r="A1519" s="12"/>
      <c r="B1519" s="1"/>
      <c r="C1519" s="1"/>
      <c r="G1519" s="3"/>
      <c r="H1519" s="13"/>
      <c r="I1519" s="3"/>
      <c r="N1519" s="12"/>
    </row>
    <row r="1520" spans="1:14" x14ac:dyDescent="0.3">
      <c r="A1520" s="12"/>
      <c r="B1520" s="1"/>
      <c r="C1520" s="1"/>
      <c r="G1520" s="3"/>
      <c r="H1520" s="13"/>
      <c r="I1520" s="3"/>
      <c r="N1520" s="12"/>
    </row>
    <row r="1521" spans="1:14" x14ac:dyDescent="0.3">
      <c r="A1521" s="12"/>
      <c r="B1521" s="1"/>
      <c r="C1521" s="1"/>
      <c r="G1521" s="3"/>
      <c r="H1521" s="13"/>
      <c r="I1521" s="3"/>
      <c r="N1521" s="12"/>
    </row>
    <row r="1522" spans="1:14" x14ac:dyDescent="0.3">
      <c r="A1522" s="12"/>
      <c r="B1522" s="1"/>
      <c r="C1522" s="1"/>
      <c r="G1522" s="3"/>
      <c r="H1522" s="13"/>
      <c r="I1522" s="3"/>
      <c r="N1522" s="12"/>
    </row>
    <row r="1523" spans="1:14" x14ac:dyDescent="0.3">
      <c r="A1523" s="12"/>
      <c r="B1523" s="1"/>
      <c r="C1523" s="1"/>
      <c r="G1523" s="3"/>
      <c r="H1523" s="13"/>
      <c r="I1523" s="3"/>
      <c r="N1523" s="12"/>
    </row>
    <row r="1524" spans="1:14" x14ac:dyDescent="0.3">
      <c r="A1524" s="12"/>
      <c r="B1524" s="1"/>
      <c r="C1524" s="1"/>
      <c r="G1524" s="3"/>
      <c r="H1524" s="13"/>
      <c r="I1524" s="3"/>
      <c r="N1524" s="12"/>
    </row>
    <row r="1525" spans="1:14" x14ac:dyDescent="0.3">
      <c r="A1525" s="12"/>
      <c r="B1525" s="1"/>
      <c r="C1525" s="1"/>
      <c r="G1525" s="3"/>
      <c r="H1525" s="13"/>
      <c r="I1525" s="3"/>
      <c r="N1525" s="12"/>
    </row>
    <row r="1526" spans="1:14" x14ac:dyDescent="0.3">
      <c r="A1526" s="12"/>
      <c r="B1526" s="1"/>
      <c r="C1526" s="1"/>
      <c r="G1526" s="3"/>
      <c r="H1526" s="13"/>
      <c r="I1526" s="3"/>
      <c r="N1526" s="12"/>
    </row>
    <row r="1527" spans="1:14" x14ac:dyDescent="0.3">
      <c r="A1527" s="12"/>
      <c r="B1527" s="1"/>
      <c r="C1527" s="1"/>
      <c r="G1527" s="3"/>
      <c r="H1527" s="13"/>
      <c r="I1527" s="3"/>
      <c r="N1527" s="12"/>
    </row>
    <row r="1528" spans="1:14" x14ac:dyDescent="0.3">
      <c r="A1528" s="12"/>
      <c r="B1528" s="1"/>
      <c r="C1528" s="1"/>
      <c r="G1528" s="3"/>
      <c r="H1528" s="13"/>
      <c r="I1528" s="3"/>
      <c r="N1528" s="12"/>
    </row>
    <row r="1529" spans="1:14" x14ac:dyDescent="0.3">
      <c r="A1529" s="12"/>
      <c r="B1529" s="1"/>
      <c r="C1529" s="1"/>
      <c r="G1529" s="3"/>
      <c r="H1529" s="13"/>
      <c r="I1529" s="3"/>
      <c r="N1529" s="12"/>
    </row>
    <row r="1530" spans="1:14" x14ac:dyDescent="0.3">
      <c r="A1530" s="12"/>
      <c r="B1530" s="1"/>
      <c r="C1530" s="1"/>
      <c r="G1530" s="3"/>
      <c r="H1530" s="13"/>
      <c r="I1530" s="3"/>
      <c r="N1530" s="12"/>
    </row>
    <row r="1531" spans="1:14" x14ac:dyDescent="0.3">
      <c r="A1531" s="12"/>
      <c r="B1531" s="1"/>
      <c r="C1531" s="1"/>
      <c r="G1531" s="3"/>
      <c r="H1531" s="13"/>
      <c r="I1531" s="3"/>
      <c r="N1531" s="12"/>
    </row>
    <row r="1532" spans="1:14" x14ac:dyDescent="0.3">
      <c r="A1532" s="12"/>
      <c r="B1532" s="1"/>
      <c r="C1532" s="1"/>
      <c r="G1532" s="3"/>
      <c r="H1532" s="13"/>
      <c r="I1532" s="3"/>
      <c r="N1532" s="12"/>
    </row>
    <row r="1533" spans="1:14" x14ac:dyDescent="0.3">
      <c r="A1533" s="12"/>
      <c r="B1533" s="1"/>
      <c r="C1533" s="1"/>
      <c r="G1533" s="3"/>
      <c r="H1533" s="13"/>
      <c r="I1533" s="3"/>
      <c r="N1533" s="12"/>
    </row>
    <row r="1534" spans="1:14" x14ac:dyDescent="0.3">
      <c r="A1534" s="12"/>
      <c r="B1534" s="1"/>
      <c r="C1534" s="1"/>
      <c r="G1534" s="3"/>
      <c r="H1534" s="13"/>
      <c r="I1534" s="3"/>
      <c r="N1534" s="12"/>
    </row>
    <row r="1535" spans="1:14" x14ac:dyDescent="0.3">
      <c r="A1535" s="12"/>
      <c r="B1535" s="1"/>
      <c r="C1535" s="1"/>
      <c r="G1535" s="3"/>
      <c r="H1535" s="13"/>
      <c r="I1535" s="3"/>
      <c r="N1535" s="12"/>
    </row>
    <row r="1536" spans="1:14" x14ac:dyDescent="0.3">
      <c r="A1536" s="12"/>
      <c r="B1536" s="1"/>
      <c r="C1536" s="1"/>
      <c r="G1536" s="3"/>
      <c r="H1536" s="13"/>
      <c r="I1536" s="3"/>
      <c r="N1536" s="12"/>
    </row>
    <row r="1537" spans="1:14" x14ac:dyDescent="0.3">
      <c r="A1537" s="12"/>
      <c r="B1537" s="1"/>
      <c r="C1537" s="1"/>
      <c r="G1537" s="3"/>
      <c r="H1537" s="13"/>
      <c r="I1537" s="3"/>
      <c r="N1537" s="12"/>
    </row>
    <row r="1538" spans="1:14" x14ac:dyDescent="0.3">
      <c r="A1538" s="12"/>
      <c r="B1538" s="1"/>
      <c r="C1538" s="1"/>
      <c r="G1538" s="3"/>
      <c r="H1538" s="13"/>
      <c r="I1538" s="3"/>
      <c r="N1538" s="12"/>
    </row>
    <row r="1539" spans="1:14" x14ac:dyDescent="0.3">
      <c r="A1539" s="12"/>
      <c r="B1539" s="1"/>
      <c r="C1539" s="1"/>
      <c r="G1539" s="3"/>
      <c r="H1539" s="13"/>
      <c r="I1539" s="3"/>
      <c r="N1539" s="12"/>
    </row>
    <row r="1540" spans="1:14" x14ac:dyDescent="0.3">
      <c r="A1540" s="12"/>
      <c r="B1540" s="1"/>
      <c r="C1540" s="1"/>
      <c r="G1540" s="3"/>
      <c r="H1540" s="13"/>
      <c r="I1540" s="3"/>
      <c r="N1540" s="12"/>
    </row>
    <row r="1541" spans="1:14" x14ac:dyDescent="0.3">
      <c r="A1541" s="12"/>
      <c r="B1541" s="1"/>
      <c r="C1541" s="1"/>
      <c r="G1541" s="3"/>
      <c r="H1541" s="13"/>
      <c r="I1541" s="3"/>
      <c r="N1541" s="12"/>
    </row>
    <row r="1542" spans="1:14" x14ac:dyDescent="0.3">
      <c r="A1542" s="12"/>
      <c r="B1542" s="1"/>
      <c r="C1542" s="1"/>
      <c r="G1542" s="3"/>
      <c r="H1542" s="13"/>
      <c r="I1542" s="3"/>
      <c r="N1542" s="12"/>
    </row>
    <row r="1543" spans="1:14" x14ac:dyDescent="0.3">
      <c r="A1543" s="12"/>
      <c r="B1543" s="1"/>
      <c r="C1543" s="1"/>
      <c r="G1543" s="3"/>
      <c r="H1543" s="13"/>
      <c r="I1543" s="3"/>
      <c r="N1543" s="12"/>
    </row>
    <row r="1544" spans="1:14" x14ac:dyDescent="0.3">
      <c r="A1544" s="12"/>
      <c r="B1544" s="1"/>
      <c r="C1544" s="1"/>
      <c r="G1544" s="3"/>
      <c r="H1544" s="13"/>
      <c r="I1544" s="3"/>
      <c r="N1544" s="12"/>
    </row>
    <row r="1545" spans="1:14" x14ac:dyDescent="0.3">
      <c r="A1545" s="12"/>
      <c r="B1545" s="1"/>
      <c r="C1545" s="1"/>
      <c r="G1545" s="3"/>
      <c r="H1545" s="13"/>
      <c r="I1545" s="3"/>
      <c r="N1545" s="12"/>
    </row>
    <row r="1546" spans="1:14" x14ac:dyDescent="0.3">
      <c r="A1546" s="12"/>
      <c r="B1546" s="1"/>
      <c r="C1546" s="1"/>
      <c r="G1546" s="3"/>
      <c r="H1546" s="13"/>
      <c r="I1546" s="3"/>
      <c r="N1546" s="12"/>
    </row>
    <row r="1547" spans="1:14" x14ac:dyDescent="0.3">
      <c r="A1547" s="12"/>
      <c r="B1547" s="1"/>
      <c r="C1547" s="1"/>
      <c r="G1547" s="3"/>
      <c r="H1547" s="13"/>
      <c r="I1547" s="3"/>
      <c r="N1547" s="12"/>
    </row>
    <row r="1548" spans="1:14" x14ac:dyDescent="0.3">
      <c r="A1548" s="12"/>
      <c r="B1548" s="1"/>
      <c r="C1548" s="1"/>
      <c r="G1548" s="3"/>
      <c r="H1548" s="13"/>
      <c r="I1548" s="3"/>
      <c r="N1548" s="12"/>
    </row>
    <row r="1549" spans="1:14" x14ac:dyDescent="0.3">
      <c r="A1549" s="12"/>
      <c r="B1549" s="1"/>
      <c r="C1549" s="1"/>
      <c r="G1549" s="3"/>
      <c r="H1549" s="13"/>
      <c r="I1549" s="3"/>
      <c r="N1549" s="12"/>
    </row>
    <row r="1550" spans="1:14" x14ac:dyDescent="0.3">
      <c r="A1550" s="12"/>
      <c r="B1550" s="1"/>
      <c r="C1550" s="1"/>
      <c r="G1550" s="3"/>
      <c r="H1550" s="13"/>
      <c r="I1550" s="3"/>
      <c r="N1550" s="12"/>
    </row>
    <row r="1551" spans="1:14" x14ac:dyDescent="0.3">
      <c r="A1551" s="12"/>
      <c r="B1551" s="1"/>
      <c r="C1551" s="1"/>
      <c r="G1551" s="3"/>
      <c r="H1551" s="13"/>
      <c r="I1551" s="3"/>
      <c r="N1551" s="12"/>
    </row>
    <row r="1552" spans="1:14" x14ac:dyDescent="0.3">
      <c r="A1552" s="12"/>
      <c r="B1552" s="1"/>
      <c r="C1552" s="1"/>
      <c r="G1552" s="3"/>
      <c r="H1552" s="13"/>
      <c r="I1552" s="3"/>
      <c r="N1552" s="12"/>
    </row>
    <row r="1553" spans="1:14" x14ac:dyDescent="0.3">
      <c r="A1553" s="12"/>
      <c r="B1553" s="1"/>
      <c r="C1553" s="1"/>
      <c r="G1553" s="3"/>
      <c r="H1553" s="13"/>
      <c r="I1553" s="3"/>
      <c r="N1553" s="12"/>
    </row>
    <row r="1554" spans="1:14" x14ac:dyDescent="0.3">
      <c r="A1554" s="12"/>
      <c r="B1554" s="1"/>
      <c r="C1554" s="1"/>
      <c r="G1554" s="3"/>
      <c r="H1554" s="13"/>
      <c r="I1554" s="3"/>
      <c r="N1554" s="12"/>
    </row>
    <row r="1555" spans="1:14" x14ac:dyDescent="0.3">
      <c r="A1555" s="12"/>
      <c r="B1555" s="1"/>
      <c r="C1555" s="1"/>
      <c r="G1555" s="3"/>
      <c r="H1555" s="13"/>
      <c r="I1555" s="3"/>
      <c r="N1555" s="12"/>
    </row>
    <row r="1556" spans="1:14" x14ac:dyDescent="0.3">
      <c r="A1556" s="12"/>
      <c r="B1556" s="1"/>
      <c r="C1556" s="1"/>
      <c r="G1556" s="3"/>
      <c r="H1556" s="13"/>
      <c r="I1556" s="3"/>
      <c r="N1556" s="12"/>
    </row>
    <row r="1557" spans="1:14" x14ac:dyDescent="0.3">
      <c r="A1557" s="12"/>
      <c r="B1557" s="1"/>
      <c r="C1557" s="1"/>
      <c r="G1557" s="3"/>
      <c r="H1557" s="13"/>
      <c r="I1557" s="3"/>
      <c r="N1557" s="12"/>
    </row>
    <row r="1558" spans="1:14" x14ac:dyDescent="0.3">
      <c r="A1558" s="12"/>
      <c r="B1558" s="1"/>
      <c r="C1558" s="1"/>
      <c r="G1558" s="3"/>
      <c r="H1558" s="13"/>
      <c r="I1558" s="3"/>
      <c r="N1558" s="12"/>
    </row>
    <row r="1559" spans="1:14" x14ac:dyDescent="0.3">
      <c r="A1559" s="12"/>
      <c r="B1559" s="1"/>
      <c r="C1559" s="1"/>
      <c r="G1559" s="3"/>
      <c r="H1559" s="13"/>
      <c r="I1559" s="3"/>
      <c r="N1559" s="12"/>
    </row>
    <row r="1560" spans="1:14" x14ac:dyDescent="0.3">
      <c r="A1560" s="12"/>
      <c r="B1560" s="1"/>
      <c r="C1560" s="1"/>
      <c r="G1560" s="3"/>
      <c r="H1560" s="13"/>
      <c r="I1560" s="3"/>
      <c r="N1560" s="12"/>
    </row>
    <row r="1561" spans="1:14" x14ac:dyDescent="0.3">
      <c r="A1561" s="12"/>
      <c r="B1561" s="1"/>
      <c r="C1561" s="1"/>
      <c r="G1561" s="3"/>
      <c r="H1561" s="13"/>
      <c r="I1561" s="3"/>
      <c r="N1561" s="12"/>
    </row>
    <row r="1562" spans="1:14" x14ac:dyDescent="0.3">
      <c r="A1562" s="12"/>
      <c r="B1562" s="1"/>
      <c r="C1562" s="1"/>
      <c r="G1562" s="3"/>
      <c r="H1562" s="13"/>
      <c r="I1562" s="3"/>
      <c r="N1562" s="12"/>
    </row>
    <row r="1563" spans="1:14" x14ac:dyDescent="0.3">
      <c r="A1563" s="12"/>
      <c r="B1563" s="1"/>
      <c r="C1563" s="1"/>
      <c r="G1563" s="3"/>
      <c r="H1563" s="13"/>
      <c r="I1563" s="3"/>
      <c r="N1563" s="12"/>
    </row>
    <row r="1564" spans="1:14" x14ac:dyDescent="0.3">
      <c r="A1564" s="12"/>
      <c r="B1564" s="1"/>
      <c r="C1564" s="1"/>
      <c r="G1564" s="3"/>
      <c r="H1564" s="13"/>
      <c r="I1564" s="3"/>
      <c r="N1564" s="12"/>
    </row>
    <row r="1565" spans="1:14" x14ac:dyDescent="0.3">
      <c r="A1565" s="12"/>
      <c r="B1565" s="1"/>
      <c r="C1565" s="1"/>
      <c r="G1565" s="3"/>
      <c r="H1565" s="13"/>
      <c r="I1565" s="3"/>
      <c r="N1565" s="12"/>
    </row>
    <row r="1566" spans="1:14" x14ac:dyDescent="0.3">
      <c r="A1566" s="12"/>
      <c r="B1566" s="1"/>
      <c r="C1566" s="1"/>
      <c r="G1566" s="3"/>
      <c r="H1566" s="13"/>
      <c r="I1566" s="3"/>
      <c r="N1566" s="12"/>
    </row>
    <row r="1567" spans="1:14" x14ac:dyDescent="0.3">
      <c r="A1567" s="12"/>
      <c r="B1567" s="1"/>
      <c r="C1567" s="1"/>
      <c r="G1567" s="3"/>
      <c r="H1567" s="13"/>
      <c r="I1567" s="3"/>
      <c r="N1567" s="12"/>
    </row>
    <row r="1568" spans="1:14" x14ac:dyDescent="0.3">
      <c r="A1568" s="12"/>
      <c r="B1568" s="1"/>
      <c r="C1568" s="1"/>
      <c r="G1568" s="3"/>
      <c r="H1568" s="13"/>
      <c r="I1568" s="3"/>
      <c r="N1568" s="12"/>
    </row>
    <row r="1569" spans="1:14" x14ac:dyDescent="0.3">
      <c r="A1569" s="12"/>
      <c r="B1569" s="1"/>
      <c r="C1569" s="1"/>
      <c r="G1569" s="3"/>
      <c r="H1569" s="13"/>
      <c r="I1569" s="3"/>
      <c r="N1569" s="12"/>
    </row>
    <row r="1570" spans="1:14" x14ac:dyDescent="0.3">
      <c r="A1570" s="12"/>
      <c r="B1570" s="1"/>
      <c r="C1570" s="1"/>
      <c r="G1570" s="3"/>
      <c r="H1570" s="13"/>
      <c r="I1570" s="3"/>
      <c r="N1570" s="12"/>
    </row>
    <row r="1571" spans="1:14" x14ac:dyDescent="0.3">
      <c r="A1571" s="12"/>
      <c r="B1571" s="1"/>
      <c r="C1571" s="1"/>
      <c r="G1571" s="3"/>
      <c r="H1571" s="13"/>
      <c r="I1571" s="3"/>
      <c r="N1571" s="12"/>
    </row>
    <row r="1572" spans="1:14" x14ac:dyDescent="0.3">
      <c r="A1572" s="12"/>
      <c r="B1572" s="1"/>
      <c r="C1572" s="1"/>
      <c r="G1572" s="3"/>
      <c r="H1572" s="13"/>
      <c r="I1572" s="3"/>
      <c r="N1572" s="12"/>
    </row>
    <row r="1573" spans="1:14" x14ac:dyDescent="0.3">
      <c r="A1573" s="12"/>
      <c r="B1573" s="1"/>
      <c r="C1573" s="1"/>
      <c r="G1573" s="3"/>
      <c r="H1573" s="13"/>
      <c r="I1573" s="3"/>
      <c r="N1573" s="12"/>
    </row>
    <row r="1574" spans="1:14" x14ac:dyDescent="0.3">
      <c r="A1574" s="12"/>
      <c r="B1574" s="1"/>
      <c r="C1574" s="1"/>
      <c r="G1574" s="3"/>
      <c r="H1574" s="13"/>
      <c r="I1574" s="3"/>
      <c r="N1574" s="12"/>
    </row>
    <row r="1575" spans="1:14" x14ac:dyDescent="0.3">
      <c r="A1575" s="12"/>
      <c r="B1575" s="1"/>
      <c r="C1575" s="1"/>
      <c r="G1575" s="3"/>
      <c r="H1575" s="13"/>
      <c r="I1575" s="3"/>
      <c r="N1575" s="12"/>
    </row>
    <row r="1576" spans="1:14" x14ac:dyDescent="0.3">
      <c r="A1576" s="12"/>
      <c r="B1576" s="1"/>
      <c r="C1576" s="1"/>
      <c r="G1576" s="3"/>
      <c r="H1576" s="13"/>
      <c r="I1576" s="3"/>
      <c r="N1576" s="12"/>
    </row>
    <row r="1577" spans="1:14" x14ac:dyDescent="0.3">
      <c r="A1577" s="12"/>
      <c r="B1577" s="1"/>
      <c r="C1577" s="1"/>
      <c r="G1577" s="3"/>
      <c r="H1577" s="13"/>
      <c r="I1577" s="3"/>
      <c r="N1577" s="12"/>
    </row>
    <row r="1578" spans="1:14" x14ac:dyDescent="0.3">
      <c r="A1578" s="12"/>
      <c r="B1578" s="1"/>
      <c r="C1578" s="1"/>
      <c r="G1578" s="3"/>
      <c r="H1578" s="13"/>
      <c r="I1578" s="3"/>
      <c r="N1578" s="12"/>
    </row>
    <row r="1579" spans="1:14" x14ac:dyDescent="0.3">
      <c r="A1579" s="12"/>
      <c r="B1579" s="1"/>
      <c r="C1579" s="1"/>
      <c r="G1579" s="3"/>
      <c r="H1579" s="13"/>
      <c r="I1579" s="3"/>
      <c r="N1579" s="12"/>
    </row>
    <row r="1580" spans="1:14" x14ac:dyDescent="0.3">
      <c r="A1580" s="12"/>
      <c r="B1580" s="1"/>
      <c r="C1580" s="1"/>
      <c r="G1580" s="3"/>
      <c r="H1580" s="13"/>
      <c r="I1580" s="3"/>
      <c r="N1580" s="12"/>
    </row>
    <row r="1581" spans="1:14" x14ac:dyDescent="0.3">
      <c r="A1581" s="12"/>
      <c r="B1581" s="1"/>
      <c r="C1581" s="1"/>
      <c r="G1581" s="3"/>
      <c r="H1581" s="13"/>
      <c r="I1581" s="3"/>
      <c r="N1581" s="12"/>
    </row>
    <row r="1582" spans="1:14" x14ac:dyDescent="0.3">
      <c r="A1582" s="12"/>
      <c r="B1582" s="1"/>
      <c r="C1582" s="1"/>
      <c r="G1582" s="3"/>
      <c r="H1582" s="13"/>
      <c r="I1582" s="3"/>
      <c r="N1582" s="12"/>
    </row>
    <row r="1583" spans="1:14" x14ac:dyDescent="0.3">
      <c r="A1583" s="12"/>
      <c r="B1583" s="1"/>
      <c r="C1583" s="1"/>
      <c r="G1583" s="3"/>
      <c r="H1583" s="13"/>
      <c r="I1583" s="3"/>
      <c r="N1583" s="12"/>
    </row>
    <row r="1584" spans="1:14" x14ac:dyDescent="0.3">
      <c r="A1584" s="12"/>
      <c r="B1584" s="1"/>
      <c r="C1584" s="1"/>
      <c r="G1584" s="3"/>
      <c r="H1584" s="13"/>
      <c r="I1584" s="3"/>
      <c r="N1584" s="12"/>
    </row>
    <row r="1585" spans="1:14" x14ac:dyDescent="0.3">
      <c r="A1585" s="12"/>
      <c r="B1585" s="1"/>
      <c r="C1585" s="1"/>
      <c r="G1585" s="3"/>
      <c r="H1585" s="13"/>
      <c r="I1585" s="3"/>
      <c r="N1585" s="12"/>
    </row>
    <row r="1586" spans="1:14" x14ac:dyDescent="0.3">
      <c r="A1586" s="12"/>
      <c r="B1586" s="1"/>
      <c r="C1586" s="1"/>
      <c r="G1586" s="3"/>
      <c r="H1586" s="13"/>
      <c r="I1586" s="3"/>
      <c r="N1586" s="12"/>
    </row>
    <row r="1587" spans="1:14" x14ac:dyDescent="0.3">
      <c r="A1587" s="12"/>
      <c r="B1587" s="1"/>
      <c r="C1587" s="1"/>
      <c r="G1587" s="3"/>
      <c r="H1587" s="13"/>
      <c r="I1587" s="3"/>
      <c r="N1587" s="12"/>
    </row>
    <row r="1588" spans="1:14" x14ac:dyDescent="0.3">
      <c r="A1588" s="12"/>
      <c r="B1588" s="1"/>
      <c r="C1588" s="1"/>
      <c r="G1588" s="3"/>
      <c r="H1588" s="13"/>
      <c r="I1588" s="3"/>
      <c r="N1588" s="12"/>
    </row>
    <row r="1589" spans="1:14" x14ac:dyDescent="0.3">
      <c r="A1589" s="12"/>
      <c r="B1589" s="1"/>
      <c r="C1589" s="1"/>
      <c r="G1589" s="3"/>
      <c r="H1589" s="13"/>
      <c r="I1589" s="3"/>
      <c r="N1589" s="12"/>
    </row>
    <row r="1590" spans="1:14" x14ac:dyDescent="0.3">
      <c r="A1590" s="12"/>
      <c r="B1590" s="1"/>
      <c r="C1590" s="1"/>
      <c r="G1590" s="3"/>
      <c r="H1590" s="13"/>
      <c r="I1590" s="3"/>
      <c r="N1590" s="12"/>
    </row>
    <row r="1591" spans="1:14" x14ac:dyDescent="0.3">
      <c r="A1591" s="12"/>
      <c r="B1591" s="1"/>
      <c r="C1591" s="1"/>
      <c r="G1591" s="3"/>
      <c r="H1591" s="13"/>
      <c r="I1591" s="3"/>
      <c r="N1591" s="12"/>
    </row>
    <row r="1592" spans="1:14" x14ac:dyDescent="0.3">
      <c r="A1592" s="12"/>
      <c r="B1592" s="1"/>
      <c r="C1592" s="1"/>
      <c r="G1592" s="3"/>
      <c r="H1592" s="13"/>
      <c r="I1592" s="3"/>
      <c r="N1592" s="12"/>
    </row>
    <row r="1593" spans="1:14" x14ac:dyDescent="0.3">
      <c r="A1593" s="12"/>
      <c r="B1593" s="1"/>
      <c r="C1593" s="1"/>
      <c r="G1593" s="3"/>
      <c r="H1593" s="13"/>
      <c r="I1593" s="3"/>
      <c r="N1593" s="12"/>
    </row>
    <row r="1594" spans="1:14" x14ac:dyDescent="0.3">
      <c r="A1594" s="12"/>
      <c r="B1594" s="1"/>
      <c r="C1594" s="1"/>
      <c r="G1594" s="3"/>
      <c r="H1594" s="13"/>
      <c r="I1594" s="3"/>
      <c r="N1594" s="12"/>
    </row>
    <row r="1595" spans="1:14" x14ac:dyDescent="0.3">
      <c r="A1595" s="12"/>
      <c r="B1595" s="1"/>
      <c r="C1595" s="1"/>
      <c r="G1595" s="3"/>
      <c r="H1595" s="13"/>
      <c r="I1595" s="3"/>
      <c r="N1595" s="12"/>
    </row>
    <row r="1596" spans="1:14" x14ac:dyDescent="0.3">
      <c r="A1596" s="12"/>
      <c r="B1596" s="1"/>
      <c r="C1596" s="1"/>
      <c r="G1596" s="3"/>
      <c r="H1596" s="13"/>
      <c r="I1596" s="3"/>
      <c r="N1596" s="12"/>
    </row>
    <row r="1597" spans="1:14" x14ac:dyDescent="0.3">
      <c r="A1597" s="12"/>
      <c r="B1597" s="1"/>
      <c r="C1597" s="1"/>
      <c r="G1597" s="3"/>
      <c r="H1597" s="13"/>
      <c r="I1597" s="3"/>
      <c r="N1597" s="12"/>
    </row>
    <row r="1598" spans="1:14" x14ac:dyDescent="0.3">
      <c r="A1598" s="12"/>
      <c r="B1598" s="1"/>
      <c r="C1598" s="1"/>
      <c r="G1598" s="3"/>
      <c r="H1598" s="13"/>
      <c r="I1598" s="3"/>
      <c r="N1598" s="12"/>
    </row>
    <row r="1599" spans="1:14" x14ac:dyDescent="0.3">
      <c r="A1599" s="12"/>
      <c r="B1599" s="1"/>
      <c r="C1599" s="1"/>
      <c r="G1599" s="3"/>
      <c r="H1599" s="13"/>
      <c r="I1599" s="3"/>
      <c r="N1599" s="12"/>
    </row>
    <row r="1600" spans="1:14" x14ac:dyDescent="0.3">
      <c r="A1600" s="12"/>
      <c r="B1600" s="1"/>
      <c r="C1600" s="1"/>
      <c r="G1600" s="3"/>
      <c r="H1600" s="13"/>
      <c r="I1600" s="3"/>
      <c r="N1600" s="12"/>
    </row>
    <row r="1601" spans="1:14" x14ac:dyDescent="0.3">
      <c r="A1601" s="12"/>
      <c r="B1601" s="1"/>
      <c r="C1601" s="1"/>
      <c r="G1601" s="3"/>
      <c r="H1601" s="13"/>
      <c r="I1601" s="3"/>
      <c r="N1601" s="12"/>
    </row>
    <row r="1602" spans="1:14" x14ac:dyDescent="0.3">
      <c r="A1602" s="12"/>
      <c r="B1602" s="1"/>
      <c r="C1602" s="1"/>
      <c r="G1602" s="3"/>
      <c r="H1602" s="13"/>
      <c r="I1602" s="3"/>
      <c r="N1602" s="12"/>
    </row>
    <row r="1603" spans="1:14" x14ac:dyDescent="0.3">
      <c r="A1603" s="12"/>
      <c r="B1603" s="1"/>
      <c r="C1603" s="1"/>
      <c r="G1603" s="3"/>
      <c r="H1603" s="13"/>
      <c r="I1603" s="3"/>
      <c r="N1603" s="12"/>
    </row>
    <row r="1604" spans="1:14" x14ac:dyDescent="0.3">
      <c r="A1604" s="12"/>
      <c r="B1604" s="1"/>
      <c r="C1604" s="1"/>
      <c r="G1604" s="3"/>
      <c r="H1604" s="13"/>
      <c r="I1604" s="3"/>
      <c r="N1604" s="12"/>
    </row>
    <row r="1605" spans="1:14" x14ac:dyDescent="0.3">
      <c r="A1605" s="12"/>
      <c r="B1605" s="1"/>
      <c r="C1605" s="1"/>
      <c r="G1605" s="3"/>
      <c r="H1605" s="13"/>
      <c r="I1605" s="3"/>
      <c r="N1605" s="12"/>
    </row>
    <row r="1606" spans="1:14" x14ac:dyDescent="0.3">
      <c r="A1606" s="12"/>
      <c r="B1606" s="1"/>
      <c r="C1606" s="1"/>
      <c r="G1606" s="3"/>
      <c r="H1606" s="13"/>
      <c r="I1606" s="3"/>
      <c r="N1606" s="12"/>
    </row>
    <row r="1607" spans="1:14" x14ac:dyDescent="0.3">
      <c r="A1607" s="12"/>
      <c r="B1607" s="1"/>
      <c r="C1607" s="1"/>
      <c r="G1607" s="3"/>
      <c r="H1607" s="13"/>
      <c r="I1607" s="3"/>
      <c r="N1607" s="12"/>
    </row>
    <row r="1608" spans="1:14" x14ac:dyDescent="0.3">
      <c r="A1608" s="12"/>
      <c r="B1608" s="1"/>
      <c r="C1608" s="1"/>
      <c r="G1608" s="3"/>
      <c r="H1608" s="13"/>
      <c r="I1608" s="3"/>
      <c r="N1608" s="12"/>
    </row>
    <row r="1609" spans="1:14" x14ac:dyDescent="0.3">
      <c r="A1609" s="12"/>
      <c r="B1609" s="1"/>
      <c r="C1609" s="1"/>
      <c r="G1609" s="3"/>
      <c r="H1609" s="13"/>
      <c r="I1609" s="3"/>
      <c r="N1609" s="12"/>
    </row>
    <row r="1610" spans="1:14" x14ac:dyDescent="0.3">
      <c r="A1610" s="12"/>
      <c r="B1610" s="1"/>
      <c r="C1610" s="1"/>
      <c r="G1610" s="3"/>
      <c r="H1610" s="13"/>
      <c r="I1610" s="3"/>
      <c r="N1610" s="12"/>
    </row>
    <row r="1611" spans="1:14" x14ac:dyDescent="0.3">
      <c r="A1611" s="12"/>
      <c r="B1611" s="1"/>
      <c r="C1611" s="1"/>
      <c r="G1611" s="3"/>
      <c r="H1611" s="13"/>
      <c r="I1611" s="3"/>
      <c r="N1611" s="12"/>
    </row>
    <row r="1612" spans="1:14" x14ac:dyDescent="0.3">
      <c r="A1612" s="12"/>
      <c r="B1612" s="1"/>
      <c r="C1612" s="1"/>
      <c r="G1612" s="3"/>
      <c r="H1612" s="13"/>
      <c r="I1612" s="3"/>
      <c r="N1612" s="12"/>
    </row>
    <row r="1613" spans="1:14" x14ac:dyDescent="0.3">
      <c r="A1613" s="12"/>
      <c r="B1613" s="1"/>
      <c r="C1613" s="1"/>
      <c r="G1613" s="3"/>
      <c r="H1613" s="13"/>
      <c r="I1613" s="3"/>
      <c r="N1613" s="12"/>
    </row>
    <row r="1614" spans="1:14" x14ac:dyDescent="0.3">
      <c r="A1614" s="12"/>
      <c r="B1614" s="1"/>
      <c r="C1614" s="1"/>
      <c r="G1614" s="3"/>
      <c r="H1614" s="13"/>
      <c r="I1614" s="3"/>
      <c r="N1614" s="12"/>
    </row>
    <row r="1615" spans="1:14" x14ac:dyDescent="0.3">
      <c r="A1615" s="12"/>
      <c r="B1615" s="1"/>
      <c r="C1615" s="1"/>
      <c r="G1615" s="3"/>
      <c r="H1615" s="13"/>
      <c r="I1615" s="3"/>
      <c r="N1615" s="12"/>
    </row>
    <row r="1616" spans="1:14" x14ac:dyDescent="0.3">
      <c r="A1616" s="12"/>
      <c r="B1616" s="1"/>
      <c r="C1616" s="1"/>
      <c r="G1616" s="3"/>
      <c r="H1616" s="13"/>
      <c r="I1616" s="3"/>
      <c r="N1616" s="12"/>
    </row>
    <row r="1617" spans="1:14" x14ac:dyDescent="0.3">
      <c r="A1617" s="12"/>
      <c r="B1617" s="1"/>
      <c r="C1617" s="1"/>
      <c r="G1617" s="3"/>
      <c r="H1617" s="13"/>
      <c r="I1617" s="3"/>
      <c r="N1617" s="12"/>
    </row>
    <row r="1618" spans="1:14" x14ac:dyDescent="0.3">
      <c r="A1618" s="12"/>
      <c r="B1618" s="1"/>
      <c r="C1618" s="1"/>
      <c r="G1618" s="3"/>
      <c r="H1618" s="13"/>
      <c r="I1618" s="3"/>
      <c r="N1618" s="12"/>
    </row>
    <row r="1619" spans="1:14" x14ac:dyDescent="0.3">
      <c r="A1619" s="12"/>
      <c r="B1619" s="1"/>
      <c r="C1619" s="1"/>
      <c r="G1619" s="3"/>
      <c r="H1619" s="13"/>
      <c r="I1619" s="3"/>
      <c r="N1619" s="12"/>
    </row>
    <row r="1620" spans="1:14" x14ac:dyDescent="0.3">
      <c r="A1620" s="12"/>
      <c r="B1620" s="1"/>
      <c r="C1620" s="1"/>
      <c r="G1620" s="3"/>
      <c r="H1620" s="13"/>
      <c r="I1620" s="3"/>
      <c r="N1620" s="12"/>
    </row>
    <row r="1621" spans="1:14" x14ac:dyDescent="0.3">
      <c r="A1621" s="12"/>
      <c r="B1621" s="1"/>
      <c r="C1621" s="1"/>
      <c r="G1621" s="3"/>
      <c r="H1621" s="13"/>
      <c r="I1621" s="3"/>
      <c r="N1621" s="12"/>
    </row>
    <row r="1622" spans="1:14" x14ac:dyDescent="0.3">
      <c r="A1622" s="12"/>
      <c r="B1622" s="1"/>
      <c r="C1622" s="1"/>
      <c r="G1622" s="3"/>
      <c r="H1622" s="13"/>
      <c r="I1622" s="3"/>
      <c r="N1622" s="12"/>
    </row>
    <row r="1623" spans="1:14" x14ac:dyDescent="0.3">
      <c r="A1623" s="12"/>
      <c r="B1623" s="1"/>
      <c r="C1623" s="1"/>
      <c r="G1623" s="3"/>
      <c r="H1623" s="13"/>
      <c r="I1623" s="3"/>
      <c r="N1623" s="12"/>
    </row>
    <row r="1624" spans="1:14" x14ac:dyDescent="0.3">
      <c r="A1624" s="12"/>
      <c r="B1624" s="1"/>
      <c r="C1624" s="1"/>
      <c r="G1624" s="3"/>
      <c r="H1624" s="13"/>
      <c r="I1624" s="3"/>
      <c r="N1624" s="12"/>
    </row>
    <row r="1625" spans="1:14" x14ac:dyDescent="0.3">
      <c r="A1625" s="12"/>
      <c r="B1625" s="1"/>
      <c r="C1625" s="1"/>
      <c r="G1625" s="3"/>
      <c r="H1625" s="13"/>
      <c r="I1625" s="3"/>
      <c r="N1625" s="12"/>
    </row>
    <row r="1626" spans="1:14" x14ac:dyDescent="0.3">
      <c r="A1626" s="12"/>
      <c r="B1626" s="1"/>
      <c r="C1626" s="1"/>
      <c r="G1626" s="3"/>
      <c r="H1626" s="13"/>
      <c r="I1626" s="3"/>
      <c r="N1626" s="12"/>
    </row>
    <row r="1627" spans="1:14" x14ac:dyDescent="0.3">
      <c r="A1627" s="12"/>
      <c r="B1627" s="1"/>
      <c r="C1627" s="1"/>
      <c r="G1627" s="3"/>
      <c r="H1627" s="13"/>
      <c r="I1627" s="3"/>
      <c r="N1627" s="12"/>
    </row>
    <row r="1628" spans="1:14" x14ac:dyDescent="0.3">
      <c r="A1628" s="12"/>
      <c r="B1628" s="1"/>
      <c r="C1628" s="1"/>
      <c r="G1628" s="3"/>
      <c r="H1628" s="13"/>
      <c r="I1628" s="3"/>
      <c r="N1628" s="12"/>
    </row>
    <row r="1629" spans="1:14" x14ac:dyDescent="0.3">
      <c r="A1629" s="12"/>
      <c r="B1629" s="1"/>
      <c r="C1629" s="1"/>
      <c r="G1629" s="3"/>
      <c r="H1629" s="13"/>
      <c r="I1629" s="3"/>
      <c r="N1629" s="12"/>
    </row>
    <row r="1630" spans="1:14" x14ac:dyDescent="0.3">
      <c r="A1630" s="12"/>
      <c r="B1630" s="1"/>
      <c r="C1630" s="1"/>
      <c r="G1630" s="3"/>
      <c r="H1630" s="13"/>
      <c r="I1630" s="3"/>
      <c r="N1630" s="12"/>
    </row>
    <row r="1631" spans="1:14" x14ac:dyDescent="0.3">
      <c r="A1631" s="12"/>
      <c r="B1631" s="1"/>
      <c r="C1631" s="1"/>
      <c r="G1631" s="3"/>
      <c r="H1631" s="13"/>
      <c r="I1631" s="3"/>
      <c r="N1631" s="12"/>
    </row>
    <row r="1632" spans="1:14" x14ac:dyDescent="0.3">
      <c r="A1632" s="12"/>
      <c r="B1632" s="1"/>
      <c r="C1632" s="1"/>
      <c r="G1632" s="3"/>
      <c r="H1632" s="13"/>
      <c r="I1632" s="3"/>
      <c r="N1632" s="12"/>
    </row>
    <row r="1633" spans="1:14" x14ac:dyDescent="0.3">
      <c r="A1633" s="12"/>
      <c r="B1633" s="1"/>
      <c r="C1633" s="1"/>
      <c r="G1633" s="3"/>
      <c r="H1633" s="13"/>
      <c r="I1633" s="3"/>
      <c r="N1633" s="12"/>
    </row>
    <row r="1634" spans="1:14" x14ac:dyDescent="0.3">
      <c r="A1634" s="12"/>
      <c r="B1634" s="1"/>
      <c r="C1634" s="1"/>
      <c r="G1634" s="3"/>
      <c r="H1634" s="13"/>
      <c r="I1634" s="3"/>
      <c r="N1634" s="12"/>
    </row>
    <row r="1635" spans="1:14" x14ac:dyDescent="0.3">
      <c r="A1635" s="12"/>
      <c r="B1635" s="1"/>
      <c r="C1635" s="1"/>
      <c r="G1635" s="3"/>
      <c r="H1635" s="13"/>
      <c r="I1635" s="3"/>
      <c r="N1635" s="12"/>
    </row>
    <row r="1636" spans="1:14" x14ac:dyDescent="0.3">
      <c r="A1636" s="12"/>
      <c r="B1636" s="1"/>
      <c r="C1636" s="1"/>
      <c r="G1636" s="3"/>
      <c r="H1636" s="13"/>
      <c r="I1636" s="3"/>
      <c r="N1636" s="12"/>
    </row>
    <row r="1637" spans="1:14" x14ac:dyDescent="0.3">
      <c r="A1637" s="12"/>
      <c r="B1637" s="1"/>
      <c r="C1637" s="1"/>
      <c r="G1637" s="3"/>
      <c r="H1637" s="13"/>
      <c r="I1637" s="3"/>
      <c r="N1637" s="12"/>
    </row>
    <row r="1638" spans="1:14" x14ac:dyDescent="0.3">
      <c r="A1638" s="12"/>
      <c r="B1638" s="1"/>
      <c r="C1638" s="1"/>
      <c r="G1638" s="3"/>
      <c r="H1638" s="13"/>
      <c r="I1638" s="3"/>
      <c r="N1638" s="12"/>
    </row>
    <row r="1639" spans="1:14" x14ac:dyDescent="0.3">
      <c r="A1639" s="12"/>
      <c r="B1639" s="1"/>
      <c r="C1639" s="1"/>
      <c r="G1639" s="3"/>
      <c r="H1639" s="13"/>
      <c r="I1639" s="3"/>
      <c r="N1639" s="12"/>
    </row>
    <row r="1640" spans="1:14" x14ac:dyDescent="0.3">
      <c r="A1640" s="12"/>
      <c r="B1640" s="1"/>
      <c r="C1640" s="1"/>
      <c r="G1640" s="3"/>
      <c r="H1640" s="13"/>
      <c r="I1640" s="3"/>
      <c r="N1640" s="12"/>
    </row>
    <row r="1641" spans="1:14" x14ac:dyDescent="0.3">
      <c r="A1641" s="12"/>
      <c r="B1641" s="1"/>
      <c r="C1641" s="1"/>
      <c r="G1641" s="3"/>
      <c r="H1641" s="13"/>
      <c r="I1641" s="3"/>
      <c r="N1641" s="12"/>
    </row>
    <row r="1642" spans="1:14" x14ac:dyDescent="0.3">
      <c r="A1642" s="12"/>
      <c r="B1642" s="1"/>
      <c r="C1642" s="1"/>
      <c r="G1642" s="3"/>
      <c r="H1642" s="13"/>
      <c r="I1642" s="3"/>
      <c r="N1642" s="12"/>
    </row>
    <row r="1643" spans="1:14" x14ac:dyDescent="0.3">
      <c r="A1643" s="12"/>
      <c r="B1643" s="1"/>
      <c r="C1643" s="1"/>
      <c r="G1643" s="3"/>
      <c r="H1643" s="13"/>
      <c r="I1643" s="3"/>
      <c r="N1643" s="12"/>
    </row>
    <row r="1644" spans="1:14" x14ac:dyDescent="0.3">
      <c r="A1644" s="12"/>
      <c r="B1644" s="1"/>
      <c r="C1644" s="1"/>
      <c r="G1644" s="3"/>
      <c r="H1644" s="13"/>
      <c r="I1644" s="3"/>
      <c r="N1644" s="12"/>
    </row>
    <row r="1645" spans="1:14" x14ac:dyDescent="0.3">
      <c r="A1645" s="12"/>
      <c r="B1645" s="1"/>
      <c r="C1645" s="1"/>
      <c r="G1645" s="3"/>
      <c r="H1645" s="13"/>
      <c r="I1645" s="3"/>
      <c r="N1645" s="12"/>
    </row>
    <row r="1646" spans="1:14" x14ac:dyDescent="0.3">
      <c r="A1646" s="12"/>
      <c r="B1646" s="1"/>
      <c r="C1646" s="1"/>
      <c r="G1646" s="3"/>
      <c r="H1646" s="13"/>
      <c r="I1646" s="3"/>
      <c r="N1646" s="12"/>
    </row>
    <row r="1647" spans="1:14" x14ac:dyDescent="0.3">
      <c r="A1647" s="12"/>
      <c r="B1647" s="1"/>
      <c r="C1647" s="1"/>
      <c r="G1647" s="3"/>
      <c r="H1647" s="13"/>
      <c r="I1647" s="3"/>
      <c r="N1647" s="12"/>
    </row>
    <row r="1648" spans="1:14" x14ac:dyDescent="0.3">
      <c r="A1648" s="12"/>
      <c r="B1648" s="1"/>
      <c r="C1648" s="1"/>
      <c r="G1648" s="3"/>
      <c r="H1648" s="13"/>
      <c r="I1648" s="3"/>
      <c r="N1648" s="12"/>
    </row>
    <row r="1649" spans="1:14" x14ac:dyDescent="0.3">
      <c r="A1649" s="12"/>
      <c r="B1649" s="1"/>
      <c r="C1649" s="1"/>
      <c r="G1649" s="3"/>
      <c r="H1649" s="13"/>
      <c r="I1649" s="3"/>
      <c r="N1649" s="12"/>
    </row>
    <row r="1650" spans="1:14" x14ac:dyDescent="0.3">
      <c r="A1650" s="12"/>
      <c r="B1650" s="1"/>
      <c r="C1650" s="1"/>
      <c r="G1650" s="3"/>
      <c r="H1650" s="13"/>
      <c r="I1650" s="3"/>
      <c r="N1650" s="12"/>
    </row>
    <row r="1651" spans="1:14" x14ac:dyDescent="0.3">
      <c r="A1651" s="12"/>
      <c r="B1651" s="1"/>
      <c r="C1651" s="1"/>
      <c r="G1651" s="3"/>
      <c r="H1651" s="13"/>
      <c r="I1651" s="3"/>
      <c r="N1651" s="12"/>
    </row>
    <row r="1652" spans="1:14" x14ac:dyDescent="0.3">
      <c r="A1652" s="12"/>
      <c r="B1652" s="1"/>
      <c r="C1652" s="1"/>
      <c r="G1652" s="3"/>
      <c r="H1652" s="13"/>
      <c r="I1652" s="3"/>
      <c r="N1652" s="12"/>
    </row>
    <row r="1653" spans="1:14" x14ac:dyDescent="0.3">
      <c r="A1653" s="12"/>
      <c r="B1653" s="1"/>
      <c r="C1653" s="1"/>
      <c r="G1653" s="3"/>
      <c r="H1653" s="13"/>
      <c r="I1653" s="3"/>
      <c r="N1653" s="12"/>
    </row>
    <row r="1654" spans="1:14" x14ac:dyDescent="0.3">
      <c r="A1654" s="12"/>
      <c r="B1654" s="1"/>
      <c r="C1654" s="1"/>
      <c r="G1654" s="3"/>
      <c r="H1654" s="13"/>
      <c r="I1654" s="3"/>
      <c r="N1654" s="12"/>
    </row>
    <row r="1655" spans="1:14" x14ac:dyDescent="0.3">
      <c r="A1655" s="12"/>
      <c r="B1655" s="1"/>
      <c r="C1655" s="1"/>
      <c r="G1655" s="3"/>
      <c r="H1655" s="13"/>
      <c r="I1655" s="3"/>
      <c r="N1655" s="12"/>
    </row>
    <row r="1656" spans="1:14" x14ac:dyDescent="0.3">
      <c r="A1656" s="12"/>
      <c r="B1656" s="1"/>
      <c r="C1656" s="1"/>
      <c r="G1656" s="3"/>
      <c r="H1656" s="13"/>
      <c r="I1656" s="3"/>
      <c r="N1656" s="12"/>
    </row>
    <row r="1657" spans="1:14" x14ac:dyDescent="0.3">
      <c r="A1657" s="12"/>
      <c r="B1657" s="1"/>
      <c r="C1657" s="1"/>
      <c r="G1657" s="3"/>
      <c r="H1657" s="13"/>
      <c r="I1657" s="3"/>
      <c r="N1657" s="12"/>
    </row>
    <row r="1658" spans="1:14" x14ac:dyDescent="0.3">
      <c r="A1658" s="12"/>
      <c r="B1658" s="1"/>
      <c r="C1658" s="1"/>
      <c r="G1658" s="3"/>
      <c r="H1658" s="13"/>
      <c r="I1658" s="3"/>
      <c r="N1658" s="12"/>
    </row>
    <row r="1659" spans="1:14" x14ac:dyDescent="0.3">
      <c r="A1659" s="12"/>
      <c r="B1659" s="1"/>
      <c r="C1659" s="1"/>
      <c r="G1659" s="3"/>
      <c r="H1659" s="13"/>
      <c r="I1659" s="3"/>
      <c r="N1659" s="12"/>
    </row>
    <row r="1660" spans="1:14" x14ac:dyDescent="0.3">
      <c r="A1660" s="12"/>
      <c r="B1660" s="1"/>
      <c r="C1660" s="1"/>
      <c r="G1660" s="3"/>
      <c r="H1660" s="13"/>
      <c r="I1660" s="3"/>
      <c r="N1660" s="12"/>
    </row>
    <row r="1661" spans="1:14" x14ac:dyDescent="0.3">
      <c r="A1661" s="12"/>
      <c r="B1661" s="1"/>
      <c r="C1661" s="1"/>
      <c r="G1661" s="3"/>
      <c r="H1661" s="13"/>
      <c r="I1661" s="3"/>
      <c r="N1661" s="12"/>
    </row>
    <row r="1662" spans="1:14" x14ac:dyDescent="0.3">
      <c r="A1662" s="12"/>
      <c r="B1662" s="1"/>
      <c r="C1662" s="1"/>
      <c r="G1662" s="3"/>
      <c r="H1662" s="13"/>
      <c r="I1662" s="3"/>
      <c r="N1662" s="12"/>
    </row>
    <row r="1663" spans="1:14" x14ac:dyDescent="0.3">
      <c r="A1663" s="12"/>
      <c r="B1663" s="1"/>
      <c r="C1663" s="1"/>
      <c r="G1663" s="3"/>
      <c r="H1663" s="13"/>
      <c r="I1663" s="3"/>
      <c r="N1663" s="12"/>
    </row>
    <row r="1664" spans="1:14" x14ac:dyDescent="0.3">
      <c r="A1664" s="12"/>
      <c r="B1664" s="1"/>
      <c r="C1664" s="1"/>
      <c r="G1664" s="3"/>
      <c r="H1664" s="13"/>
      <c r="I1664" s="3"/>
      <c r="N1664" s="12"/>
    </row>
    <row r="1665" spans="1:14" x14ac:dyDescent="0.3">
      <c r="A1665" s="12"/>
      <c r="B1665" s="1"/>
      <c r="C1665" s="1"/>
      <c r="G1665" s="3"/>
      <c r="H1665" s="13"/>
      <c r="I1665" s="3"/>
      <c r="N1665" s="12"/>
    </row>
    <row r="1666" spans="1:14" x14ac:dyDescent="0.3">
      <c r="A1666" s="12"/>
      <c r="B1666" s="1"/>
      <c r="C1666" s="1"/>
      <c r="G1666" s="3"/>
      <c r="H1666" s="13"/>
      <c r="I1666" s="3"/>
      <c r="N1666" s="12"/>
    </row>
    <row r="1667" spans="1:14" x14ac:dyDescent="0.3">
      <c r="A1667" s="12"/>
      <c r="B1667" s="1"/>
      <c r="C1667" s="1"/>
      <c r="G1667" s="3"/>
      <c r="H1667" s="13"/>
      <c r="I1667" s="3"/>
      <c r="N1667" s="12"/>
    </row>
    <row r="1668" spans="1:14" x14ac:dyDescent="0.3">
      <c r="A1668" s="12"/>
      <c r="B1668" s="1"/>
      <c r="C1668" s="1"/>
      <c r="G1668" s="3"/>
      <c r="H1668" s="13"/>
      <c r="I1668" s="3"/>
      <c r="N1668" s="12"/>
    </row>
    <row r="1669" spans="1:14" x14ac:dyDescent="0.3">
      <c r="A1669" s="12"/>
      <c r="B1669" s="1"/>
      <c r="C1669" s="1"/>
      <c r="G1669" s="3"/>
      <c r="H1669" s="13"/>
      <c r="I1669" s="3"/>
      <c r="N1669" s="12"/>
    </row>
    <row r="1670" spans="1:14" x14ac:dyDescent="0.3">
      <c r="A1670" s="12"/>
      <c r="B1670" s="1"/>
      <c r="C1670" s="1"/>
      <c r="G1670" s="3"/>
      <c r="H1670" s="13"/>
      <c r="I1670" s="3"/>
      <c r="N1670" s="12"/>
    </row>
    <row r="1671" spans="1:14" x14ac:dyDescent="0.3">
      <c r="A1671" s="12"/>
      <c r="B1671" s="1"/>
      <c r="C1671" s="1"/>
      <c r="G1671" s="3"/>
      <c r="H1671" s="13"/>
      <c r="I1671" s="3"/>
      <c r="N1671" s="12"/>
    </row>
    <row r="1672" spans="1:14" x14ac:dyDescent="0.3">
      <c r="A1672" s="12"/>
      <c r="B1672" s="1"/>
      <c r="C1672" s="1"/>
      <c r="G1672" s="3"/>
      <c r="H1672" s="13"/>
      <c r="I1672" s="3"/>
      <c r="N1672" s="12"/>
    </row>
    <row r="1673" spans="1:14" x14ac:dyDescent="0.3">
      <c r="A1673" s="12"/>
      <c r="B1673" s="1"/>
      <c r="C1673" s="1"/>
      <c r="G1673" s="3"/>
      <c r="H1673" s="13"/>
      <c r="I1673" s="3"/>
      <c r="N1673" s="12"/>
    </row>
    <row r="1674" spans="1:14" x14ac:dyDescent="0.3">
      <c r="A1674" s="12"/>
      <c r="B1674" s="1"/>
      <c r="C1674" s="1"/>
      <c r="G1674" s="3"/>
      <c r="H1674" s="13"/>
      <c r="I1674" s="3"/>
      <c r="N1674" s="12"/>
    </row>
    <row r="1675" spans="1:14" x14ac:dyDescent="0.3">
      <c r="A1675" s="12"/>
      <c r="B1675" s="1"/>
      <c r="C1675" s="1"/>
      <c r="G1675" s="3"/>
      <c r="H1675" s="13"/>
      <c r="I1675" s="3"/>
      <c r="N1675" s="12"/>
    </row>
    <row r="1676" spans="1:14" x14ac:dyDescent="0.3">
      <c r="A1676" s="12"/>
      <c r="B1676" s="1"/>
      <c r="C1676" s="1"/>
      <c r="G1676" s="3"/>
      <c r="H1676" s="13"/>
      <c r="I1676" s="3"/>
      <c r="N1676" s="12"/>
    </row>
    <row r="1677" spans="1:14" x14ac:dyDescent="0.3">
      <c r="A1677" s="12"/>
      <c r="B1677" s="1"/>
      <c r="C1677" s="1"/>
      <c r="G1677" s="3"/>
      <c r="H1677" s="13"/>
      <c r="I1677" s="3"/>
      <c r="N1677" s="12"/>
    </row>
    <row r="1678" spans="1:14" x14ac:dyDescent="0.3">
      <c r="A1678" s="12"/>
      <c r="B1678" s="1"/>
      <c r="C1678" s="1"/>
      <c r="G1678" s="3"/>
      <c r="H1678" s="13"/>
      <c r="I1678" s="3"/>
      <c r="N1678" s="12"/>
    </row>
    <row r="1679" spans="1:14" x14ac:dyDescent="0.3">
      <c r="A1679" s="12"/>
      <c r="B1679" s="1"/>
      <c r="C1679" s="1"/>
      <c r="G1679" s="3"/>
      <c r="H1679" s="13"/>
      <c r="I1679" s="3"/>
      <c r="N1679" s="12"/>
    </row>
    <row r="1680" spans="1:14" x14ac:dyDescent="0.3">
      <c r="A1680" s="12"/>
      <c r="B1680" s="1"/>
      <c r="C1680" s="1"/>
      <c r="G1680" s="3"/>
      <c r="H1680" s="13"/>
      <c r="I1680" s="3"/>
      <c r="N1680" s="12"/>
    </row>
    <row r="1681" spans="1:14" x14ac:dyDescent="0.3">
      <c r="A1681" s="12"/>
      <c r="B1681" s="1"/>
      <c r="C1681" s="1"/>
      <c r="G1681" s="3"/>
      <c r="H1681" s="13"/>
      <c r="I1681" s="3"/>
      <c r="N1681" s="12"/>
    </row>
    <row r="1682" spans="1:14" x14ac:dyDescent="0.3">
      <c r="A1682" s="12"/>
      <c r="B1682" s="1"/>
      <c r="C1682" s="1"/>
      <c r="G1682" s="3"/>
      <c r="H1682" s="13"/>
      <c r="I1682" s="3"/>
      <c r="N1682" s="12"/>
    </row>
    <row r="1683" spans="1:14" x14ac:dyDescent="0.3">
      <c r="A1683" s="12"/>
      <c r="B1683" s="1"/>
      <c r="C1683" s="1"/>
      <c r="G1683" s="3"/>
      <c r="H1683" s="13"/>
      <c r="I1683" s="3"/>
      <c r="N1683" s="12"/>
    </row>
    <row r="1684" spans="1:14" x14ac:dyDescent="0.3">
      <c r="A1684" s="12"/>
      <c r="B1684" s="1"/>
      <c r="C1684" s="1"/>
      <c r="G1684" s="3"/>
      <c r="H1684" s="13"/>
      <c r="I1684" s="3"/>
      <c r="N1684" s="12"/>
    </row>
    <row r="1685" spans="1:14" x14ac:dyDescent="0.3">
      <c r="A1685" s="12"/>
      <c r="B1685" s="1"/>
      <c r="C1685" s="1"/>
      <c r="G1685" s="3"/>
      <c r="H1685" s="13"/>
      <c r="I1685" s="3"/>
      <c r="N1685" s="12"/>
    </row>
    <row r="1686" spans="1:14" x14ac:dyDescent="0.3">
      <c r="A1686" s="12"/>
      <c r="B1686" s="1"/>
      <c r="C1686" s="1"/>
      <c r="G1686" s="3"/>
      <c r="H1686" s="13"/>
      <c r="I1686" s="3"/>
      <c r="N1686" s="12"/>
    </row>
    <row r="1687" spans="1:14" x14ac:dyDescent="0.3">
      <c r="A1687" s="12"/>
      <c r="B1687" s="1"/>
      <c r="C1687" s="1"/>
      <c r="G1687" s="3"/>
      <c r="H1687" s="13"/>
      <c r="I1687" s="3"/>
      <c r="N1687" s="12"/>
    </row>
    <row r="1688" spans="1:14" x14ac:dyDescent="0.3">
      <c r="A1688" s="12"/>
      <c r="B1688" s="1"/>
      <c r="C1688" s="1"/>
      <c r="G1688" s="3"/>
      <c r="H1688" s="13"/>
      <c r="I1688" s="3"/>
      <c r="N1688" s="12"/>
    </row>
    <row r="1689" spans="1:14" x14ac:dyDescent="0.3">
      <c r="A1689" s="12"/>
      <c r="B1689" s="1"/>
      <c r="C1689" s="1"/>
      <c r="G1689" s="3"/>
      <c r="H1689" s="13"/>
      <c r="I1689" s="3"/>
      <c r="N1689" s="12"/>
    </row>
    <row r="1690" spans="1:14" x14ac:dyDescent="0.3">
      <c r="A1690" s="12"/>
      <c r="B1690" s="1"/>
      <c r="C1690" s="1"/>
      <c r="G1690" s="3"/>
      <c r="H1690" s="13"/>
      <c r="I1690" s="3"/>
      <c r="N1690" s="12"/>
    </row>
    <row r="1691" spans="1:14" x14ac:dyDescent="0.3">
      <c r="A1691" s="12"/>
      <c r="B1691" s="1"/>
      <c r="C1691" s="1"/>
      <c r="G1691" s="3"/>
      <c r="H1691" s="13"/>
      <c r="I1691" s="3"/>
      <c r="N1691" s="12"/>
    </row>
    <row r="1692" spans="1:14" x14ac:dyDescent="0.3">
      <c r="A1692" s="12"/>
      <c r="B1692" s="1"/>
      <c r="C1692" s="1"/>
      <c r="G1692" s="3"/>
      <c r="H1692" s="13"/>
      <c r="I1692" s="3"/>
      <c r="N1692" s="12"/>
    </row>
    <row r="1693" spans="1:14" x14ac:dyDescent="0.3">
      <c r="A1693" s="12"/>
      <c r="B1693" s="1"/>
      <c r="C1693" s="1"/>
      <c r="G1693" s="3"/>
      <c r="H1693" s="13"/>
      <c r="I1693" s="3"/>
      <c r="N1693" s="12"/>
    </row>
    <row r="1694" spans="1:14" x14ac:dyDescent="0.3">
      <c r="A1694" s="12"/>
      <c r="B1694" s="1"/>
      <c r="C1694" s="1"/>
      <c r="G1694" s="3"/>
      <c r="H1694" s="13"/>
      <c r="I1694" s="3"/>
      <c r="N1694" s="12"/>
    </row>
    <row r="1695" spans="1:14" x14ac:dyDescent="0.3">
      <c r="A1695" s="12"/>
      <c r="B1695" s="1"/>
      <c r="C1695" s="1"/>
      <c r="G1695" s="3"/>
      <c r="H1695" s="13"/>
      <c r="I1695" s="3"/>
      <c r="N1695" s="12"/>
    </row>
    <row r="1696" spans="1:14" x14ac:dyDescent="0.3">
      <c r="A1696" s="12"/>
      <c r="B1696" s="1"/>
      <c r="C1696" s="1"/>
      <c r="G1696" s="3"/>
      <c r="H1696" s="13"/>
      <c r="I1696" s="3"/>
      <c r="N1696" s="12"/>
    </row>
    <row r="1697" spans="1:14" x14ac:dyDescent="0.3">
      <c r="A1697" s="12"/>
      <c r="B1697" s="1"/>
      <c r="C1697" s="1"/>
      <c r="G1697" s="3"/>
      <c r="H1697" s="13"/>
      <c r="I1697" s="3"/>
      <c r="N1697" s="12"/>
    </row>
    <row r="1698" spans="1:14" x14ac:dyDescent="0.3">
      <c r="A1698" s="12"/>
      <c r="B1698" s="1"/>
      <c r="C1698" s="1"/>
      <c r="G1698" s="3"/>
      <c r="H1698" s="13"/>
      <c r="I1698" s="3"/>
      <c r="N1698" s="12"/>
    </row>
    <row r="1699" spans="1:14" x14ac:dyDescent="0.3">
      <c r="A1699" s="12"/>
      <c r="B1699" s="1"/>
      <c r="C1699" s="1"/>
      <c r="G1699" s="3"/>
      <c r="H1699" s="13"/>
      <c r="I1699" s="3"/>
      <c r="N1699" s="12"/>
    </row>
    <row r="1700" spans="1:14" x14ac:dyDescent="0.3">
      <c r="A1700" s="12"/>
      <c r="B1700" s="1"/>
      <c r="C1700" s="1"/>
      <c r="G1700" s="3"/>
      <c r="H1700" s="13"/>
      <c r="I1700" s="3"/>
      <c r="N1700" s="12"/>
    </row>
    <row r="1701" spans="1:14" x14ac:dyDescent="0.3">
      <c r="A1701" s="12"/>
      <c r="B1701" s="1"/>
      <c r="C1701" s="1"/>
      <c r="G1701" s="3"/>
      <c r="H1701" s="13"/>
      <c r="I1701" s="3"/>
      <c r="N1701" s="12"/>
    </row>
    <row r="1702" spans="1:14" x14ac:dyDescent="0.3">
      <c r="A1702" s="12"/>
      <c r="B1702" s="1"/>
      <c r="C1702" s="1"/>
      <c r="G1702" s="3"/>
      <c r="H1702" s="13"/>
      <c r="I1702" s="3"/>
      <c r="N1702" s="12"/>
    </row>
    <row r="1703" spans="1:14" x14ac:dyDescent="0.3">
      <c r="A1703" s="12"/>
      <c r="B1703" s="1"/>
      <c r="C1703" s="1"/>
      <c r="G1703" s="3"/>
      <c r="H1703" s="13"/>
      <c r="I1703" s="3"/>
      <c r="N1703" s="12"/>
    </row>
    <row r="1704" spans="1:14" x14ac:dyDescent="0.3">
      <c r="A1704" s="12"/>
      <c r="B1704" s="1"/>
      <c r="C1704" s="1"/>
      <c r="G1704" s="3"/>
      <c r="H1704" s="13"/>
      <c r="I1704" s="3"/>
      <c r="N1704" s="12"/>
    </row>
    <row r="1705" spans="1:14" x14ac:dyDescent="0.3">
      <c r="A1705" s="12"/>
      <c r="B1705" s="1"/>
      <c r="C1705" s="1"/>
      <c r="G1705" s="3"/>
      <c r="H1705" s="13"/>
      <c r="I1705" s="3"/>
      <c r="N1705" s="12"/>
    </row>
    <row r="1706" spans="1:14" x14ac:dyDescent="0.3">
      <c r="A1706" s="12"/>
      <c r="B1706" s="1"/>
      <c r="C1706" s="1"/>
      <c r="G1706" s="3"/>
      <c r="H1706" s="13"/>
      <c r="I1706" s="3"/>
      <c r="N1706" s="12"/>
    </row>
    <row r="1707" spans="1:14" x14ac:dyDescent="0.3">
      <c r="A1707" s="12"/>
      <c r="B1707" s="1"/>
      <c r="C1707" s="1"/>
      <c r="G1707" s="3"/>
      <c r="H1707" s="13"/>
      <c r="I1707" s="3"/>
      <c r="N1707" s="12"/>
    </row>
    <row r="1708" spans="1:14" x14ac:dyDescent="0.3">
      <c r="A1708" s="12"/>
      <c r="B1708" s="1"/>
      <c r="C1708" s="1"/>
      <c r="G1708" s="3"/>
      <c r="H1708" s="13"/>
      <c r="I1708" s="3"/>
      <c r="N1708" s="12"/>
    </row>
    <row r="1709" spans="1:14" x14ac:dyDescent="0.3">
      <c r="A1709" s="12"/>
      <c r="B1709" s="1"/>
      <c r="C1709" s="1"/>
      <c r="G1709" s="3"/>
      <c r="H1709" s="13"/>
      <c r="I1709" s="3"/>
      <c r="N1709" s="12"/>
    </row>
    <row r="1710" spans="1:14" x14ac:dyDescent="0.3">
      <c r="A1710" s="12"/>
      <c r="B1710" s="1"/>
      <c r="C1710" s="1"/>
      <c r="G1710" s="3"/>
      <c r="H1710" s="13"/>
      <c r="I1710" s="3"/>
      <c r="N1710" s="12"/>
    </row>
    <row r="1711" spans="1:14" x14ac:dyDescent="0.3">
      <c r="A1711" s="12"/>
      <c r="B1711" s="1"/>
      <c r="C1711" s="1"/>
      <c r="G1711" s="3"/>
      <c r="H1711" s="13"/>
      <c r="I1711" s="3"/>
      <c r="N1711" s="12"/>
    </row>
    <row r="1712" spans="1:14" x14ac:dyDescent="0.3">
      <c r="A1712" s="12"/>
      <c r="B1712" s="1"/>
      <c r="C1712" s="1"/>
      <c r="G1712" s="3"/>
      <c r="H1712" s="13"/>
      <c r="I1712" s="3"/>
      <c r="N1712" s="12"/>
    </row>
    <row r="1713" spans="1:14" x14ac:dyDescent="0.3">
      <c r="A1713" s="12"/>
      <c r="B1713" s="1"/>
      <c r="C1713" s="1"/>
      <c r="G1713" s="3"/>
      <c r="H1713" s="13"/>
      <c r="I1713" s="3"/>
      <c r="N1713" s="12"/>
    </row>
    <row r="1714" spans="1:14" x14ac:dyDescent="0.3">
      <c r="A1714" s="12"/>
      <c r="B1714" s="1"/>
      <c r="C1714" s="1"/>
      <c r="G1714" s="3"/>
      <c r="H1714" s="13"/>
      <c r="I1714" s="3"/>
      <c r="N1714" s="12"/>
    </row>
    <row r="1715" spans="1:14" x14ac:dyDescent="0.3">
      <c r="A1715" s="12"/>
      <c r="B1715" s="1"/>
      <c r="C1715" s="1"/>
      <c r="G1715" s="3"/>
      <c r="H1715" s="13"/>
      <c r="I1715" s="3"/>
      <c r="N1715" s="12"/>
    </row>
    <row r="1716" spans="1:14" x14ac:dyDescent="0.3">
      <c r="A1716" s="12"/>
      <c r="B1716" s="1"/>
      <c r="C1716" s="1"/>
      <c r="G1716" s="3"/>
      <c r="H1716" s="13"/>
      <c r="I1716" s="3"/>
      <c r="N1716" s="12"/>
    </row>
    <row r="1717" spans="1:14" x14ac:dyDescent="0.3">
      <c r="A1717" s="12"/>
      <c r="B1717" s="1"/>
      <c r="C1717" s="1"/>
      <c r="G1717" s="3"/>
      <c r="H1717" s="13"/>
      <c r="I1717" s="3"/>
      <c r="N1717" s="12"/>
    </row>
    <row r="1718" spans="1:14" x14ac:dyDescent="0.3">
      <c r="A1718" s="12"/>
      <c r="B1718" s="1"/>
      <c r="C1718" s="1"/>
      <c r="G1718" s="3"/>
      <c r="H1718" s="13"/>
      <c r="I1718" s="3"/>
      <c r="N1718" s="12"/>
    </row>
    <row r="1719" spans="1:14" x14ac:dyDescent="0.3">
      <c r="A1719" s="12"/>
      <c r="B1719" s="1"/>
      <c r="C1719" s="1"/>
      <c r="G1719" s="3"/>
      <c r="H1719" s="13"/>
      <c r="I1719" s="3"/>
      <c r="N1719" s="12"/>
    </row>
    <row r="1720" spans="1:14" x14ac:dyDescent="0.3">
      <c r="A1720" s="12"/>
      <c r="B1720" s="1"/>
      <c r="C1720" s="1"/>
      <c r="G1720" s="3"/>
      <c r="H1720" s="13"/>
      <c r="I1720" s="3"/>
      <c r="N1720" s="12"/>
    </row>
    <row r="1721" spans="1:14" x14ac:dyDescent="0.3">
      <c r="A1721" s="12"/>
      <c r="B1721" s="1"/>
      <c r="C1721" s="1"/>
      <c r="G1721" s="3"/>
      <c r="H1721" s="13"/>
      <c r="I1721" s="3"/>
      <c r="N1721" s="12"/>
    </row>
    <row r="1722" spans="1:14" x14ac:dyDescent="0.3">
      <c r="A1722" s="12"/>
      <c r="B1722" s="1"/>
      <c r="C1722" s="1"/>
      <c r="G1722" s="3"/>
      <c r="H1722" s="13"/>
      <c r="I1722" s="3"/>
      <c r="N1722" s="12"/>
    </row>
    <row r="1723" spans="1:14" x14ac:dyDescent="0.3">
      <c r="A1723" s="12"/>
      <c r="B1723" s="1"/>
      <c r="C1723" s="1"/>
      <c r="G1723" s="3"/>
      <c r="H1723" s="13"/>
      <c r="I1723" s="3"/>
      <c r="N1723" s="12"/>
    </row>
    <row r="1724" spans="1:14" x14ac:dyDescent="0.3">
      <c r="A1724" s="12"/>
      <c r="B1724" s="1"/>
      <c r="C1724" s="1"/>
      <c r="G1724" s="3"/>
      <c r="H1724" s="13"/>
      <c r="I1724" s="3"/>
      <c r="N1724" s="12"/>
    </row>
    <row r="1725" spans="1:14" x14ac:dyDescent="0.3">
      <c r="A1725" s="12"/>
      <c r="B1725" s="1"/>
      <c r="C1725" s="1"/>
      <c r="G1725" s="3"/>
      <c r="H1725" s="13"/>
      <c r="I1725" s="3"/>
      <c r="N1725" s="12"/>
    </row>
    <row r="1726" spans="1:14" x14ac:dyDescent="0.3">
      <c r="A1726" s="12"/>
      <c r="B1726" s="1"/>
      <c r="C1726" s="1"/>
      <c r="G1726" s="3"/>
      <c r="H1726" s="13"/>
      <c r="I1726" s="3"/>
      <c r="N1726" s="12"/>
    </row>
    <row r="1727" spans="1:14" x14ac:dyDescent="0.3">
      <c r="A1727" s="12"/>
      <c r="B1727" s="1"/>
      <c r="C1727" s="1"/>
      <c r="G1727" s="3"/>
      <c r="H1727" s="13"/>
      <c r="I1727" s="3"/>
      <c r="N1727" s="12"/>
    </row>
    <row r="1728" spans="1:14" x14ac:dyDescent="0.3">
      <c r="A1728" s="12"/>
      <c r="B1728" s="1"/>
      <c r="C1728" s="1"/>
      <c r="G1728" s="3"/>
      <c r="H1728" s="13"/>
      <c r="I1728" s="3"/>
      <c r="N1728" s="12"/>
    </row>
    <row r="1729" spans="1:14" x14ac:dyDescent="0.3">
      <c r="A1729" s="12"/>
      <c r="B1729" s="1"/>
      <c r="C1729" s="1"/>
      <c r="G1729" s="3"/>
      <c r="H1729" s="13"/>
      <c r="I1729" s="3"/>
      <c r="N1729" s="12"/>
    </row>
    <row r="1730" spans="1:14" x14ac:dyDescent="0.3">
      <c r="A1730" s="12"/>
      <c r="B1730" s="1"/>
      <c r="C1730" s="1"/>
      <c r="G1730" s="3"/>
      <c r="H1730" s="13"/>
      <c r="I1730" s="3"/>
      <c r="N1730" s="12"/>
    </row>
    <row r="1731" spans="1:14" x14ac:dyDescent="0.3">
      <c r="A1731" s="12"/>
      <c r="B1731" s="1"/>
      <c r="C1731" s="1"/>
      <c r="G1731" s="3"/>
      <c r="H1731" s="13"/>
      <c r="I1731" s="3"/>
      <c r="N1731" s="12"/>
    </row>
    <row r="1732" spans="1:14" x14ac:dyDescent="0.3">
      <c r="A1732" s="12"/>
      <c r="B1732" s="1"/>
      <c r="C1732" s="1"/>
      <c r="G1732" s="3"/>
      <c r="H1732" s="13"/>
      <c r="I1732" s="3"/>
      <c r="N1732" s="12"/>
    </row>
    <row r="1733" spans="1:14" x14ac:dyDescent="0.3">
      <c r="A1733" s="12"/>
      <c r="B1733" s="1"/>
      <c r="C1733" s="1"/>
      <c r="G1733" s="3"/>
      <c r="H1733" s="13"/>
      <c r="I1733" s="3"/>
      <c r="N1733" s="12"/>
    </row>
    <row r="1734" spans="1:14" x14ac:dyDescent="0.3">
      <c r="A1734" s="12"/>
      <c r="B1734" s="1"/>
      <c r="C1734" s="1"/>
      <c r="G1734" s="3"/>
      <c r="H1734" s="13"/>
      <c r="I1734" s="3"/>
      <c r="N1734" s="12"/>
    </row>
    <row r="1735" spans="1:14" x14ac:dyDescent="0.3">
      <c r="A1735" s="12"/>
      <c r="B1735" s="1"/>
      <c r="C1735" s="1"/>
      <c r="G1735" s="3"/>
      <c r="H1735" s="13"/>
      <c r="I1735" s="3"/>
      <c r="N1735" s="12"/>
    </row>
    <row r="1736" spans="1:14" x14ac:dyDescent="0.3">
      <c r="A1736" s="12"/>
      <c r="B1736" s="1"/>
      <c r="C1736" s="1"/>
      <c r="G1736" s="3"/>
      <c r="H1736" s="13"/>
      <c r="I1736" s="3"/>
      <c r="N1736" s="12"/>
    </row>
    <row r="1737" spans="1:14" x14ac:dyDescent="0.3">
      <c r="A1737" s="12"/>
      <c r="B1737" s="1"/>
      <c r="C1737" s="1"/>
      <c r="G1737" s="3"/>
      <c r="H1737" s="13"/>
      <c r="I1737" s="3"/>
      <c r="N1737" s="12"/>
    </row>
    <row r="1738" spans="1:14" x14ac:dyDescent="0.3">
      <c r="A1738" s="12"/>
      <c r="B1738" s="1"/>
      <c r="C1738" s="1"/>
      <c r="G1738" s="3"/>
      <c r="H1738" s="13"/>
      <c r="I1738" s="3"/>
      <c r="N1738" s="12"/>
    </row>
    <row r="1739" spans="1:14" x14ac:dyDescent="0.3">
      <c r="A1739" s="12"/>
      <c r="B1739" s="1"/>
      <c r="C1739" s="1"/>
      <c r="G1739" s="3"/>
      <c r="H1739" s="13"/>
      <c r="I1739" s="3"/>
      <c r="N1739" s="12"/>
    </row>
    <row r="1740" spans="1:14" x14ac:dyDescent="0.3">
      <c r="A1740" s="12"/>
      <c r="B1740" s="1"/>
      <c r="C1740" s="1"/>
      <c r="G1740" s="3"/>
      <c r="H1740" s="13"/>
      <c r="I1740" s="3"/>
      <c r="N1740" s="12"/>
    </row>
    <row r="1741" spans="1:14" x14ac:dyDescent="0.3">
      <c r="A1741" s="12"/>
      <c r="B1741" s="1"/>
      <c r="C1741" s="1"/>
      <c r="G1741" s="3"/>
      <c r="H1741" s="13"/>
      <c r="I1741" s="3"/>
      <c r="N1741" s="12"/>
    </row>
    <row r="1742" spans="1:14" x14ac:dyDescent="0.3">
      <c r="A1742" s="12"/>
      <c r="B1742" s="1"/>
      <c r="C1742" s="1"/>
      <c r="G1742" s="3"/>
      <c r="H1742" s="13"/>
      <c r="I1742" s="3"/>
      <c r="N1742" s="12"/>
    </row>
    <row r="1743" spans="1:14" x14ac:dyDescent="0.3">
      <c r="A1743" s="12"/>
      <c r="B1743" s="1"/>
      <c r="C1743" s="1"/>
      <c r="G1743" s="3"/>
      <c r="H1743" s="13"/>
      <c r="I1743" s="3"/>
      <c r="N1743" s="12"/>
    </row>
    <row r="1744" spans="1:14" x14ac:dyDescent="0.3">
      <c r="A1744" s="12"/>
      <c r="B1744" s="1"/>
      <c r="C1744" s="1"/>
      <c r="G1744" s="3"/>
      <c r="H1744" s="13"/>
      <c r="I1744" s="3"/>
      <c r="N1744" s="12"/>
    </row>
    <row r="1745" spans="1:14" x14ac:dyDescent="0.3">
      <c r="A1745" s="12"/>
      <c r="B1745" s="1"/>
      <c r="C1745" s="1"/>
      <c r="G1745" s="3"/>
      <c r="H1745" s="13"/>
      <c r="I1745" s="3"/>
      <c r="N1745" s="12"/>
    </row>
    <row r="1746" spans="1:14" x14ac:dyDescent="0.3">
      <c r="A1746" s="12"/>
      <c r="B1746" s="1"/>
      <c r="C1746" s="1"/>
      <c r="G1746" s="3"/>
      <c r="H1746" s="13"/>
      <c r="I1746" s="3"/>
      <c r="N1746" s="12"/>
    </row>
    <row r="1747" spans="1:14" x14ac:dyDescent="0.3">
      <c r="A1747" s="12"/>
      <c r="B1747" s="1"/>
      <c r="C1747" s="1"/>
      <c r="G1747" s="3"/>
      <c r="H1747" s="13"/>
      <c r="I1747" s="3"/>
      <c r="N1747" s="12"/>
    </row>
    <row r="1748" spans="1:14" x14ac:dyDescent="0.3">
      <c r="A1748" s="12"/>
      <c r="B1748" s="1"/>
      <c r="C1748" s="1"/>
      <c r="G1748" s="3"/>
      <c r="H1748" s="13"/>
      <c r="I1748" s="3"/>
      <c r="N1748" s="12"/>
    </row>
    <row r="1749" spans="1:14" x14ac:dyDescent="0.3">
      <c r="A1749" s="12"/>
      <c r="B1749" s="1"/>
      <c r="C1749" s="1"/>
      <c r="G1749" s="3"/>
      <c r="H1749" s="13"/>
      <c r="I1749" s="3"/>
      <c r="N1749" s="12"/>
    </row>
    <row r="1750" spans="1:14" x14ac:dyDescent="0.3">
      <c r="A1750" s="12"/>
      <c r="B1750" s="1"/>
      <c r="C1750" s="1"/>
      <c r="G1750" s="3"/>
      <c r="H1750" s="13"/>
      <c r="I1750" s="3"/>
      <c r="N1750" s="12"/>
    </row>
    <row r="1751" spans="1:14" x14ac:dyDescent="0.3">
      <c r="A1751" s="12"/>
      <c r="B1751" s="1"/>
      <c r="C1751" s="1"/>
      <c r="G1751" s="3"/>
      <c r="H1751" s="13"/>
      <c r="I1751" s="3"/>
      <c r="N1751" s="12"/>
    </row>
    <row r="1752" spans="1:14" x14ac:dyDescent="0.3">
      <c r="A1752" s="12"/>
      <c r="B1752" s="1"/>
      <c r="C1752" s="1"/>
      <c r="G1752" s="3"/>
      <c r="H1752" s="13"/>
      <c r="I1752" s="3"/>
      <c r="N1752" s="12"/>
    </row>
    <row r="1753" spans="1:14" x14ac:dyDescent="0.3">
      <c r="A1753" s="12"/>
      <c r="B1753" s="1"/>
      <c r="C1753" s="1"/>
      <c r="G1753" s="3"/>
      <c r="H1753" s="13"/>
      <c r="I1753" s="3"/>
      <c r="N1753" s="12"/>
    </row>
    <row r="1754" spans="1:14" x14ac:dyDescent="0.3">
      <c r="A1754" s="12"/>
      <c r="B1754" s="1"/>
      <c r="C1754" s="1"/>
      <c r="G1754" s="3"/>
      <c r="H1754" s="13"/>
      <c r="I1754" s="3"/>
      <c r="N1754" s="12"/>
    </row>
    <row r="1755" spans="1:14" x14ac:dyDescent="0.3">
      <c r="A1755" s="12"/>
      <c r="B1755" s="1"/>
      <c r="C1755" s="1"/>
      <c r="G1755" s="3"/>
      <c r="H1755" s="13"/>
      <c r="I1755" s="3"/>
      <c r="N1755" s="12"/>
    </row>
    <row r="1756" spans="1:14" x14ac:dyDescent="0.3">
      <c r="A1756" s="12"/>
      <c r="B1756" s="1"/>
      <c r="C1756" s="1"/>
      <c r="G1756" s="3"/>
      <c r="H1756" s="13"/>
      <c r="I1756" s="3"/>
      <c r="N1756" s="12"/>
    </row>
    <row r="1757" spans="1:14" x14ac:dyDescent="0.3">
      <c r="A1757" s="12"/>
      <c r="B1757" s="1"/>
      <c r="C1757" s="1"/>
      <c r="G1757" s="3"/>
      <c r="H1757" s="13"/>
      <c r="I1757" s="3"/>
      <c r="N1757" s="12"/>
    </row>
    <row r="1758" spans="1:14" x14ac:dyDescent="0.3">
      <c r="A1758" s="12"/>
      <c r="B1758" s="1"/>
      <c r="C1758" s="1"/>
      <c r="G1758" s="3"/>
      <c r="H1758" s="13"/>
      <c r="I1758" s="3"/>
      <c r="N1758" s="12"/>
    </row>
    <row r="1759" spans="1:14" x14ac:dyDescent="0.3">
      <c r="A1759" s="12"/>
      <c r="B1759" s="1"/>
      <c r="C1759" s="1"/>
      <c r="G1759" s="3"/>
      <c r="H1759" s="13"/>
      <c r="I1759" s="3"/>
      <c r="N1759" s="12"/>
    </row>
    <row r="1760" spans="1:14" x14ac:dyDescent="0.3">
      <c r="A1760" s="12"/>
      <c r="B1760" s="1"/>
      <c r="C1760" s="1"/>
      <c r="G1760" s="3"/>
      <c r="H1760" s="13"/>
      <c r="I1760" s="3"/>
      <c r="N1760" s="12"/>
    </row>
    <row r="1761" spans="1:14" x14ac:dyDescent="0.3">
      <c r="A1761" s="12"/>
      <c r="B1761" s="1"/>
      <c r="C1761" s="1"/>
      <c r="G1761" s="3"/>
      <c r="H1761" s="13"/>
      <c r="I1761" s="3"/>
      <c r="N1761" s="12"/>
    </row>
    <row r="1762" spans="1:14" x14ac:dyDescent="0.3">
      <c r="A1762" s="12"/>
      <c r="B1762" s="1"/>
      <c r="C1762" s="1"/>
      <c r="G1762" s="3"/>
      <c r="H1762" s="13"/>
      <c r="I1762" s="3"/>
      <c r="N1762" s="12"/>
    </row>
    <row r="1763" spans="1:14" x14ac:dyDescent="0.3">
      <c r="A1763" s="12"/>
      <c r="B1763" s="1"/>
      <c r="C1763" s="1"/>
      <c r="G1763" s="3"/>
      <c r="H1763" s="13"/>
      <c r="I1763" s="3"/>
      <c r="N1763" s="12"/>
    </row>
    <row r="1764" spans="1:14" x14ac:dyDescent="0.3">
      <c r="A1764" s="12"/>
      <c r="B1764" s="1"/>
      <c r="C1764" s="1"/>
      <c r="G1764" s="3"/>
      <c r="H1764" s="13"/>
      <c r="I1764" s="3"/>
      <c r="N1764" s="12"/>
    </row>
    <row r="1765" spans="1:14" x14ac:dyDescent="0.3">
      <c r="A1765" s="12"/>
      <c r="B1765" s="1"/>
      <c r="C1765" s="1"/>
      <c r="G1765" s="3"/>
      <c r="H1765" s="13"/>
      <c r="I1765" s="3"/>
      <c r="N1765" s="12"/>
    </row>
    <row r="1766" spans="1:14" x14ac:dyDescent="0.3">
      <c r="A1766" s="12"/>
      <c r="B1766" s="1"/>
      <c r="C1766" s="1"/>
      <c r="G1766" s="3"/>
      <c r="H1766" s="13"/>
      <c r="I1766" s="3"/>
      <c r="N1766" s="12"/>
    </row>
    <row r="1767" spans="1:14" x14ac:dyDescent="0.3">
      <c r="A1767" s="12"/>
      <c r="B1767" s="1"/>
      <c r="C1767" s="1"/>
      <c r="G1767" s="3"/>
      <c r="H1767" s="13"/>
      <c r="I1767" s="3"/>
      <c r="N1767" s="12"/>
    </row>
    <row r="1768" spans="1:14" x14ac:dyDescent="0.3">
      <c r="A1768" s="12"/>
      <c r="B1768" s="1"/>
      <c r="C1768" s="1"/>
      <c r="G1768" s="3"/>
      <c r="H1768" s="13"/>
      <c r="I1768" s="3"/>
      <c r="N1768" s="12"/>
    </row>
    <row r="1769" spans="1:14" x14ac:dyDescent="0.3">
      <c r="A1769" s="12"/>
      <c r="B1769" s="1"/>
      <c r="C1769" s="1"/>
      <c r="G1769" s="3"/>
      <c r="H1769" s="13"/>
      <c r="I1769" s="3"/>
      <c r="N1769" s="12"/>
    </row>
    <row r="1770" spans="1:14" x14ac:dyDescent="0.3">
      <c r="A1770" s="12"/>
      <c r="B1770" s="1"/>
      <c r="C1770" s="1"/>
      <c r="G1770" s="3"/>
      <c r="H1770" s="13"/>
      <c r="I1770" s="3"/>
      <c r="N1770" s="12"/>
    </row>
    <row r="1771" spans="1:14" x14ac:dyDescent="0.3">
      <c r="A1771" s="12"/>
      <c r="B1771" s="1"/>
      <c r="C1771" s="1"/>
      <c r="G1771" s="3"/>
      <c r="H1771" s="13"/>
      <c r="I1771" s="3"/>
      <c r="N1771" s="12"/>
    </row>
    <row r="1772" spans="1:14" x14ac:dyDescent="0.3">
      <c r="A1772" s="12"/>
      <c r="B1772" s="1"/>
      <c r="C1772" s="1"/>
      <c r="G1772" s="3"/>
      <c r="H1772" s="13"/>
      <c r="I1772" s="3"/>
      <c r="N1772" s="12"/>
    </row>
    <row r="1773" spans="1:14" x14ac:dyDescent="0.3">
      <c r="A1773" s="12"/>
      <c r="B1773" s="1"/>
      <c r="C1773" s="1"/>
      <c r="G1773" s="3"/>
      <c r="H1773" s="13"/>
      <c r="I1773" s="3"/>
      <c r="N1773" s="12"/>
    </row>
    <row r="1774" spans="1:14" x14ac:dyDescent="0.3">
      <c r="A1774" s="12"/>
      <c r="B1774" s="1"/>
      <c r="C1774" s="1"/>
      <c r="G1774" s="3"/>
      <c r="H1774" s="13"/>
      <c r="I1774" s="3"/>
      <c r="N1774" s="12"/>
    </row>
    <row r="1775" spans="1:14" x14ac:dyDescent="0.3">
      <c r="A1775" s="12"/>
      <c r="B1775" s="1"/>
      <c r="C1775" s="1"/>
      <c r="G1775" s="3"/>
      <c r="H1775" s="13"/>
      <c r="I1775" s="3"/>
      <c r="N1775" s="12"/>
    </row>
    <row r="1776" spans="1:14" x14ac:dyDescent="0.3">
      <c r="A1776" s="12"/>
      <c r="B1776" s="1"/>
      <c r="C1776" s="1"/>
      <c r="G1776" s="3"/>
      <c r="H1776" s="13"/>
      <c r="I1776" s="3"/>
      <c r="N1776" s="12"/>
    </row>
    <row r="1777" spans="1:14" x14ac:dyDescent="0.3">
      <c r="A1777" s="12"/>
      <c r="B1777" s="1"/>
      <c r="C1777" s="1"/>
      <c r="G1777" s="3"/>
      <c r="H1777" s="13"/>
      <c r="I1777" s="3"/>
      <c r="N1777" s="12"/>
    </row>
    <row r="1778" spans="1:14" x14ac:dyDescent="0.3">
      <c r="A1778" s="12"/>
      <c r="B1778" s="1"/>
      <c r="C1778" s="1"/>
      <c r="G1778" s="3"/>
      <c r="H1778" s="13"/>
      <c r="I1778" s="3"/>
      <c r="N1778" s="12"/>
    </row>
    <row r="1779" spans="1:14" x14ac:dyDescent="0.3">
      <c r="A1779" s="12"/>
      <c r="B1779" s="1"/>
      <c r="C1779" s="1"/>
      <c r="G1779" s="3"/>
      <c r="H1779" s="13"/>
      <c r="I1779" s="3"/>
      <c r="N1779" s="12"/>
    </row>
    <row r="1780" spans="1:14" x14ac:dyDescent="0.3">
      <c r="A1780" s="12"/>
      <c r="B1780" s="1"/>
      <c r="C1780" s="1"/>
      <c r="G1780" s="3"/>
      <c r="H1780" s="13"/>
      <c r="I1780" s="3"/>
      <c r="N1780" s="12"/>
    </row>
    <row r="1781" spans="1:14" x14ac:dyDescent="0.3">
      <c r="A1781" s="12"/>
      <c r="B1781" s="1"/>
      <c r="C1781" s="1"/>
      <c r="G1781" s="3"/>
      <c r="H1781" s="13"/>
      <c r="I1781" s="3"/>
      <c r="N1781" s="12"/>
    </row>
    <row r="1782" spans="1:14" x14ac:dyDescent="0.3">
      <c r="A1782" s="12"/>
      <c r="B1782" s="1"/>
      <c r="C1782" s="1"/>
      <c r="G1782" s="3"/>
      <c r="H1782" s="13"/>
      <c r="I1782" s="3"/>
      <c r="N1782" s="12"/>
    </row>
    <row r="1783" spans="1:14" x14ac:dyDescent="0.3">
      <c r="A1783" s="12"/>
      <c r="B1783" s="1"/>
      <c r="C1783" s="1"/>
      <c r="G1783" s="3"/>
      <c r="H1783" s="13"/>
      <c r="I1783" s="3"/>
      <c r="N1783" s="12"/>
    </row>
    <row r="1784" spans="1:14" x14ac:dyDescent="0.3">
      <c r="A1784" s="12"/>
      <c r="B1784" s="1"/>
      <c r="C1784" s="1"/>
      <c r="G1784" s="3"/>
      <c r="H1784" s="13"/>
      <c r="I1784" s="3"/>
      <c r="N1784" s="12"/>
    </row>
    <row r="1785" spans="1:14" x14ac:dyDescent="0.3">
      <c r="A1785" s="12"/>
      <c r="B1785" s="1"/>
      <c r="C1785" s="1"/>
      <c r="G1785" s="3"/>
      <c r="H1785" s="13"/>
      <c r="I1785" s="3"/>
      <c r="N1785" s="12"/>
    </row>
    <row r="1786" spans="1:14" x14ac:dyDescent="0.3">
      <c r="A1786" s="12"/>
      <c r="B1786" s="1"/>
      <c r="C1786" s="1"/>
      <c r="G1786" s="3"/>
      <c r="H1786" s="13"/>
      <c r="I1786" s="3"/>
      <c r="N1786" s="12"/>
    </row>
    <row r="1787" spans="1:14" x14ac:dyDescent="0.3">
      <c r="A1787" s="12"/>
      <c r="B1787" s="1"/>
      <c r="C1787" s="1"/>
      <c r="G1787" s="3"/>
      <c r="H1787" s="13"/>
      <c r="I1787" s="3"/>
      <c r="N1787" s="12"/>
    </row>
    <row r="1788" spans="1:14" x14ac:dyDescent="0.3">
      <c r="A1788" s="12"/>
      <c r="B1788" s="1"/>
      <c r="C1788" s="1"/>
      <c r="G1788" s="3"/>
      <c r="H1788" s="13"/>
      <c r="I1788" s="3"/>
      <c r="N1788" s="12"/>
    </row>
    <row r="1789" spans="1:14" x14ac:dyDescent="0.3">
      <c r="A1789" s="12"/>
      <c r="B1789" s="1"/>
      <c r="C1789" s="1"/>
      <c r="G1789" s="3"/>
      <c r="H1789" s="13"/>
      <c r="I1789" s="3"/>
      <c r="N1789" s="12"/>
    </row>
    <row r="1790" spans="1:14" x14ac:dyDescent="0.3">
      <c r="A1790" s="12"/>
      <c r="B1790" s="1"/>
      <c r="C1790" s="1"/>
      <c r="G1790" s="3"/>
      <c r="H1790" s="13"/>
      <c r="I1790" s="3"/>
      <c r="N1790" s="12"/>
    </row>
    <row r="1791" spans="1:14" x14ac:dyDescent="0.3">
      <c r="A1791" s="12"/>
      <c r="B1791" s="1"/>
      <c r="C1791" s="1"/>
      <c r="G1791" s="3"/>
      <c r="H1791" s="13"/>
      <c r="I1791" s="3"/>
      <c r="N1791" s="12"/>
    </row>
    <row r="1792" spans="1:14" x14ac:dyDescent="0.3">
      <c r="A1792" s="12"/>
      <c r="B1792" s="1"/>
      <c r="C1792" s="1"/>
      <c r="G1792" s="3"/>
      <c r="H1792" s="13"/>
      <c r="I1792" s="3"/>
      <c r="N1792" s="12"/>
    </row>
    <row r="1793" spans="1:14" x14ac:dyDescent="0.3">
      <c r="A1793" s="12"/>
      <c r="B1793" s="1"/>
      <c r="C1793" s="1"/>
      <c r="G1793" s="3"/>
      <c r="H1793" s="13"/>
      <c r="I1793" s="3"/>
      <c r="N1793" s="12"/>
    </row>
    <row r="1794" spans="1:14" x14ac:dyDescent="0.3">
      <c r="A1794" s="12"/>
      <c r="B1794" s="1"/>
      <c r="C1794" s="1"/>
      <c r="G1794" s="3"/>
      <c r="H1794" s="13"/>
      <c r="I1794" s="3"/>
      <c r="N1794" s="12"/>
    </row>
    <row r="1795" spans="1:14" x14ac:dyDescent="0.3">
      <c r="A1795" s="12"/>
      <c r="B1795" s="1"/>
      <c r="C1795" s="1"/>
      <c r="G1795" s="3"/>
      <c r="H1795" s="13"/>
      <c r="I1795" s="3"/>
      <c r="N1795" s="12"/>
    </row>
    <row r="1796" spans="1:14" x14ac:dyDescent="0.3">
      <c r="A1796" s="12"/>
      <c r="B1796" s="1"/>
      <c r="C1796" s="1"/>
      <c r="G1796" s="3"/>
      <c r="H1796" s="13"/>
      <c r="I1796" s="3"/>
      <c r="N1796" s="12"/>
    </row>
    <row r="1797" spans="1:14" x14ac:dyDescent="0.3">
      <c r="A1797" s="12"/>
      <c r="B1797" s="1"/>
      <c r="C1797" s="1"/>
      <c r="G1797" s="3"/>
      <c r="H1797" s="13"/>
      <c r="I1797" s="3"/>
      <c r="N1797" s="12"/>
    </row>
    <row r="1798" spans="1:14" x14ac:dyDescent="0.3">
      <c r="A1798" s="12"/>
      <c r="B1798" s="1"/>
      <c r="C1798" s="1"/>
      <c r="G1798" s="3"/>
      <c r="H1798" s="13"/>
      <c r="I1798" s="3"/>
      <c r="N1798" s="12"/>
    </row>
    <row r="1799" spans="1:14" x14ac:dyDescent="0.3">
      <c r="A1799" s="12"/>
      <c r="B1799" s="1"/>
      <c r="C1799" s="1"/>
      <c r="G1799" s="3"/>
      <c r="H1799" s="13"/>
      <c r="I1799" s="3"/>
      <c r="N1799" s="12"/>
    </row>
    <row r="1800" spans="1:14" x14ac:dyDescent="0.3">
      <c r="A1800" s="12"/>
      <c r="B1800" s="1"/>
      <c r="C1800" s="1"/>
      <c r="G1800" s="3"/>
      <c r="H1800" s="13"/>
      <c r="I1800" s="3"/>
      <c r="N1800" s="12"/>
    </row>
    <row r="1801" spans="1:14" x14ac:dyDescent="0.3">
      <c r="A1801" s="12"/>
      <c r="B1801" s="1"/>
      <c r="C1801" s="1"/>
      <c r="G1801" s="3"/>
      <c r="H1801" s="13"/>
      <c r="I1801" s="3"/>
      <c r="N1801" s="12"/>
    </row>
    <row r="1802" spans="1:14" x14ac:dyDescent="0.3">
      <c r="A1802" s="12"/>
      <c r="B1802" s="1"/>
      <c r="C1802" s="1"/>
      <c r="G1802" s="3"/>
      <c r="H1802" s="13"/>
      <c r="I1802" s="3"/>
      <c r="N1802" s="12"/>
    </row>
    <row r="1803" spans="1:14" x14ac:dyDescent="0.3">
      <c r="A1803" s="12"/>
      <c r="B1803" s="1"/>
      <c r="C1803" s="1"/>
      <c r="G1803" s="3"/>
      <c r="H1803" s="13"/>
      <c r="I1803" s="3"/>
      <c r="N1803" s="12"/>
    </row>
    <row r="1804" spans="1:14" x14ac:dyDescent="0.3">
      <c r="A1804" s="12"/>
      <c r="B1804" s="1"/>
      <c r="C1804" s="1"/>
      <c r="G1804" s="3"/>
      <c r="H1804" s="13"/>
      <c r="I1804" s="3"/>
      <c r="N1804" s="12"/>
    </row>
    <row r="1805" spans="1:14" x14ac:dyDescent="0.3">
      <c r="A1805" s="12"/>
      <c r="B1805" s="1"/>
      <c r="C1805" s="1"/>
      <c r="G1805" s="3"/>
      <c r="H1805" s="13"/>
      <c r="I1805" s="3"/>
      <c r="N1805" s="12"/>
    </row>
    <row r="1806" spans="1:14" x14ac:dyDescent="0.3">
      <c r="A1806" s="12"/>
      <c r="B1806" s="1"/>
      <c r="C1806" s="1"/>
      <c r="G1806" s="3"/>
      <c r="H1806" s="13"/>
      <c r="I1806" s="3"/>
      <c r="N1806" s="12"/>
    </row>
    <row r="1807" spans="1:14" x14ac:dyDescent="0.3">
      <c r="A1807" s="12"/>
      <c r="B1807" s="1"/>
      <c r="C1807" s="1"/>
      <c r="G1807" s="3"/>
      <c r="H1807" s="13"/>
      <c r="I1807" s="3"/>
    </row>
    <row r="1808" spans="1:14" x14ac:dyDescent="0.3">
      <c r="A1808" s="12"/>
      <c r="B1808" s="1"/>
      <c r="C1808" s="1"/>
      <c r="G1808" s="3"/>
      <c r="H1808" s="13"/>
      <c r="I1808" s="3"/>
    </row>
    <row r="1809" spans="1:9" x14ac:dyDescent="0.3">
      <c r="A1809" s="12"/>
      <c r="B1809" s="1"/>
      <c r="C1809" s="1"/>
      <c r="G1809" s="3"/>
      <c r="H1809" s="13"/>
      <c r="I1809" s="3"/>
    </row>
    <row r="1810" spans="1:9" x14ac:dyDescent="0.3">
      <c r="A1810" s="12"/>
      <c r="B1810" s="1"/>
      <c r="C1810" s="1"/>
      <c r="G1810" s="3"/>
      <c r="H1810" s="13"/>
      <c r="I1810" s="3"/>
    </row>
    <row r="1811" spans="1:9" x14ac:dyDescent="0.3">
      <c r="A1811" s="12"/>
      <c r="B1811" s="1"/>
      <c r="C1811" s="1"/>
      <c r="G1811" s="3"/>
      <c r="H1811" s="13"/>
      <c r="I1811" s="3"/>
    </row>
    <row r="1812" spans="1:9" x14ac:dyDescent="0.3">
      <c r="A1812" s="12"/>
      <c r="B1812" s="1"/>
      <c r="C1812" s="1"/>
      <c r="G1812" s="3"/>
      <c r="H1812" s="13"/>
      <c r="I1812" s="3"/>
    </row>
    <row r="1813" spans="1:9" x14ac:dyDescent="0.3">
      <c r="A1813" s="12"/>
      <c r="B1813" s="1"/>
      <c r="C1813" s="1"/>
      <c r="G1813" s="3"/>
      <c r="H1813" s="13"/>
      <c r="I1813" s="3"/>
    </row>
    <row r="1814" spans="1:9" x14ac:dyDescent="0.3">
      <c r="A1814" s="12"/>
      <c r="B1814" s="1"/>
      <c r="C1814" s="1"/>
      <c r="G1814" s="3"/>
      <c r="H1814" s="13"/>
      <c r="I1814" s="3"/>
    </row>
    <row r="1815" spans="1:9" x14ac:dyDescent="0.3">
      <c r="A1815" s="12"/>
      <c r="B1815" s="1"/>
      <c r="C1815" s="1"/>
      <c r="G1815" s="3"/>
      <c r="H1815" s="13"/>
      <c r="I1815" s="3"/>
    </row>
    <row r="1816" spans="1:9" x14ac:dyDescent="0.3">
      <c r="A1816" s="12"/>
      <c r="B1816" s="1"/>
      <c r="C1816" s="1"/>
      <c r="G1816" s="3"/>
      <c r="H1816" s="13"/>
      <c r="I1816" s="3"/>
    </row>
    <row r="1817" spans="1:9" x14ac:dyDescent="0.3">
      <c r="A1817" s="12"/>
      <c r="B1817" s="1"/>
      <c r="C1817" s="1"/>
      <c r="G1817" s="3"/>
      <c r="H1817" s="13"/>
      <c r="I1817" s="3"/>
    </row>
    <row r="1818" spans="1:9" x14ac:dyDescent="0.3">
      <c r="A1818" s="12"/>
      <c r="B1818" s="1"/>
      <c r="C1818" s="1"/>
      <c r="G1818" s="3"/>
      <c r="H1818" s="13"/>
      <c r="I1818" s="3"/>
    </row>
    <row r="1819" spans="1:9" x14ac:dyDescent="0.3">
      <c r="A1819" s="12"/>
      <c r="B1819" s="1"/>
      <c r="C1819" s="1"/>
      <c r="G1819" s="3"/>
      <c r="H1819" s="13"/>
      <c r="I1819" s="3"/>
    </row>
    <row r="1820" spans="1:9" x14ac:dyDescent="0.3">
      <c r="A1820" s="12"/>
      <c r="B1820" s="1"/>
      <c r="C1820" s="1"/>
      <c r="G1820" s="3"/>
      <c r="H1820" s="13"/>
      <c r="I1820" s="3"/>
    </row>
    <row r="1821" spans="1:9" x14ac:dyDescent="0.3">
      <c r="A1821" s="12"/>
      <c r="B1821" s="1"/>
      <c r="C1821" s="1"/>
      <c r="G1821" s="3"/>
      <c r="H1821" s="13"/>
      <c r="I1821" s="3"/>
    </row>
    <row r="1822" spans="1:9" x14ac:dyDescent="0.3">
      <c r="A1822" s="12"/>
      <c r="B1822" s="1"/>
      <c r="C1822" s="1"/>
      <c r="G1822" s="3"/>
      <c r="H1822" s="13"/>
      <c r="I1822" s="3"/>
    </row>
    <row r="1823" spans="1:9" x14ac:dyDescent="0.3">
      <c r="A1823" s="12"/>
      <c r="B1823" s="1"/>
      <c r="C1823" s="1"/>
      <c r="G1823" s="3"/>
      <c r="H1823" s="13"/>
      <c r="I1823" s="3"/>
    </row>
    <row r="1824" spans="1:9" x14ac:dyDescent="0.3">
      <c r="A1824" s="12"/>
      <c r="B1824" s="1"/>
      <c r="C1824" s="1"/>
      <c r="G1824" s="3"/>
      <c r="H1824" s="13"/>
      <c r="I1824" s="3"/>
    </row>
    <row r="1825" spans="1:9" x14ac:dyDescent="0.3">
      <c r="A1825" s="12"/>
      <c r="B1825" s="1"/>
      <c r="C1825" s="1"/>
      <c r="G1825" s="3"/>
      <c r="H1825" s="13"/>
      <c r="I1825" s="3"/>
    </row>
    <row r="1826" spans="1:9" x14ac:dyDescent="0.3">
      <c r="A1826" s="12"/>
      <c r="B1826" s="1"/>
      <c r="C1826" s="1"/>
      <c r="G1826" s="3"/>
      <c r="H1826" s="13"/>
      <c r="I1826" s="3"/>
    </row>
    <row r="1827" spans="1:9" x14ac:dyDescent="0.3">
      <c r="A1827" s="12"/>
      <c r="B1827" s="1"/>
      <c r="C1827" s="1"/>
      <c r="G1827" s="3"/>
      <c r="H1827" s="13"/>
      <c r="I1827" s="3"/>
    </row>
    <row r="1828" spans="1:9" x14ac:dyDescent="0.3">
      <c r="A1828" s="12"/>
      <c r="B1828" s="1"/>
      <c r="C1828" s="1"/>
      <c r="G1828" s="3"/>
      <c r="H1828" s="13"/>
      <c r="I1828" s="3"/>
    </row>
    <row r="1829" spans="1:9" x14ac:dyDescent="0.3">
      <c r="A1829" s="12"/>
      <c r="B1829" s="1"/>
      <c r="C1829" s="1"/>
      <c r="G1829" s="3"/>
      <c r="H1829" s="13"/>
      <c r="I1829" s="3"/>
    </row>
    <row r="1830" spans="1:9" x14ac:dyDescent="0.3">
      <c r="A1830" s="12"/>
      <c r="B1830" s="1"/>
      <c r="C1830" s="1"/>
      <c r="G1830" s="3"/>
      <c r="H1830" s="13"/>
      <c r="I1830" s="3"/>
    </row>
    <row r="1831" spans="1:9" x14ac:dyDescent="0.3">
      <c r="A1831" s="12"/>
      <c r="B1831" s="1"/>
      <c r="C1831" s="1"/>
      <c r="G1831" s="3"/>
      <c r="H1831" s="13"/>
      <c r="I1831" s="3"/>
    </row>
    <row r="1832" spans="1:9" x14ac:dyDescent="0.3">
      <c r="A1832" s="12"/>
      <c r="B1832" s="1"/>
      <c r="C1832" s="1"/>
      <c r="G1832" s="3"/>
      <c r="H1832" s="13"/>
      <c r="I1832" s="3"/>
    </row>
    <row r="1833" spans="1:9" x14ac:dyDescent="0.3">
      <c r="A1833" s="12"/>
      <c r="B1833" s="1"/>
      <c r="C1833" s="1"/>
      <c r="G1833" s="3"/>
      <c r="H1833" s="13"/>
      <c r="I1833" s="3"/>
    </row>
    <row r="1834" spans="1:9" x14ac:dyDescent="0.3">
      <c r="A1834" s="12"/>
      <c r="B1834" s="1"/>
      <c r="C1834" s="1"/>
      <c r="G1834" s="3"/>
      <c r="H1834" s="13"/>
      <c r="I1834" s="3"/>
    </row>
    <row r="1835" spans="1:9" x14ac:dyDescent="0.3">
      <c r="A1835" s="12"/>
      <c r="B1835" s="1"/>
      <c r="C1835" s="1"/>
      <c r="G1835" s="3"/>
      <c r="H1835" s="13"/>
      <c r="I1835" s="3"/>
    </row>
    <row r="1836" spans="1:9" x14ac:dyDescent="0.3">
      <c r="A1836" s="12"/>
      <c r="B1836" s="1"/>
      <c r="C1836" s="1"/>
      <c r="G1836" s="3"/>
      <c r="H1836" s="13"/>
      <c r="I1836" s="3"/>
    </row>
    <row r="1837" spans="1:9" x14ac:dyDescent="0.3">
      <c r="A1837" s="12"/>
      <c r="B1837" s="1"/>
      <c r="C1837" s="1"/>
      <c r="G1837" s="3"/>
      <c r="H1837" s="13"/>
      <c r="I1837" s="3"/>
    </row>
    <row r="1838" spans="1:9" x14ac:dyDescent="0.3">
      <c r="A1838" s="12"/>
      <c r="B1838" s="1"/>
      <c r="C1838" s="1"/>
      <c r="G1838" s="3"/>
      <c r="H1838" s="13"/>
      <c r="I1838" s="3"/>
    </row>
    <row r="1839" spans="1:9" x14ac:dyDescent="0.3">
      <c r="A1839" s="12"/>
      <c r="B1839" s="1"/>
      <c r="C1839" s="1"/>
      <c r="G1839" s="3"/>
      <c r="H1839" s="13"/>
      <c r="I1839" s="3"/>
    </row>
    <row r="1840" spans="1:9" x14ac:dyDescent="0.3">
      <c r="A1840" s="12"/>
      <c r="B1840" s="1"/>
      <c r="C1840" s="1"/>
      <c r="G1840" s="3"/>
      <c r="H1840" s="13"/>
      <c r="I1840" s="3"/>
    </row>
    <row r="1841" spans="1:9" x14ac:dyDescent="0.3">
      <c r="A1841" s="12"/>
      <c r="B1841" s="1"/>
      <c r="C1841" s="1"/>
      <c r="G1841" s="3"/>
      <c r="H1841" s="13"/>
      <c r="I1841" s="3"/>
    </row>
    <row r="1842" spans="1:9" x14ac:dyDescent="0.3">
      <c r="A1842" s="12"/>
      <c r="B1842" s="1"/>
      <c r="C1842" s="1"/>
      <c r="G1842" s="3"/>
      <c r="H1842" s="13"/>
      <c r="I1842" s="3"/>
    </row>
    <row r="1843" spans="1:9" x14ac:dyDescent="0.3">
      <c r="A1843" s="12"/>
      <c r="B1843" s="1"/>
      <c r="C1843" s="1"/>
      <c r="G1843" s="3"/>
      <c r="H1843" s="13"/>
      <c r="I1843" s="3"/>
    </row>
    <row r="1844" spans="1:9" x14ac:dyDescent="0.3">
      <c r="A1844" s="12"/>
      <c r="B1844" s="1"/>
      <c r="C1844" s="1"/>
      <c r="G1844" s="3"/>
      <c r="H1844" s="13"/>
      <c r="I1844" s="3"/>
    </row>
    <row r="1845" spans="1:9" x14ac:dyDescent="0.3">
      <c r="A1845" s="12"/>
      <c r="B1845" s="1"/>
      <c r="C1845" s="1"/>
      <c r="G1845" s="3"/>
      <c r="H1845" s="13"/>
      <c r="I1845" s="3"/>
    </row>
    <row r="1846" spans="1:9" x14ac:dyDescent="0.3">
      <c r="A1846" s="12"/>
      <c r="B1846" s="1"/>
      <c r="C1846" s="1"/>
      <c r="G1846" s="3"/>
      <c r="H1846" s="13"/>
      <c r="I1846" s="3"/>
    </row>
    <row r="1847" spans="1:9" x14ac:dyDescent="0.3">
      <c r="A1847" s="12"/>
      <c r="B1847" s="1"/>
      <c r="C1847" s="1"/>
      <c r="G1847" s="3"/>
      <c r="H1847" s="13"/>
      <c r="I1847" s="3"/>
    </row>
    <row r="1848" spans="1:9" x14ac:dyDescent="0.3">
      <c r="A1848" s="12"/>
      <c r="B1848" s="1"/>
      <c r="C1848" s="1"/>
      <c r="G1848" s="3"/>
      <c r="H1848" s="13"/>
      <c r="I1848" s="3"/>
    </row>
    <row r="1849" spans="1:9" x14ac:dyDescent="0.3">
      <c r="A1849" s="12"/>
      <c r="B1849" s="1"/>
      <c r="C1849" s="1"/>
      <c r="G1849" s="3"/>
      <c r="H1849" s="13"/>
      <c r="I1849" s="3"/>
    </row>
    <row r="1850" spans="1:9" x14ac:dyDescent="0.3">
      <c r="A1850" s="12"/>
      <c r="B1850" s="1"/>
      <c r="C1850" s="1"/>
      <c r="G1850" s="3"/>
      <c r="H1850" s="13"/>
      <c r="I1850" s="3"/>
    </row>
    <row r="1851" spans="1:9" x14ac:dyDescent="0.3">
      <c r="A1851" s="12"/>
      <c r="B1851" s="1"/>
      <c r="C1851" s="1"/>
      <c r="G1851" s="3"/>
      <c r="H1851" s="13"/>
      <c r="I1851" s="3"/>
    </row>
    <row r="1852" spans="1:9" x14ac:dyDescent="0.3">
      <c r="A1852" s="12"/>
      <c r="B1852" s="1"/>
      <c r="C1852" s="1"/>
      <c r="G1852" s="3"/>
      <c r="H1852" s="13"/>
      <c r="I1852" s="3"/>
    </row>
    <row r="1853" spans="1:9" x14ac:dyDescent="0.3">
      <c r="A1853" s="12"/>
      <c r="B1853" s="1"/>
      <c r="C1853" s="1"/>
      <c r="G1853" s="3"/>
      <c r="H1853" s="13"/>
      <c r="I1853" s="3"/>
    </row>
    <row r="1854" spans="1:9" x14ac:dyDescent="0.3">
      <c r="A1854" s="12"/>
      <c r="B1854" s="1"/>
      <c r="C1854" s="1"/>
      <c r="G1854" s="3"/>
      <c r="H1854" s="13"/>
      <c r="I1854" s="3"/>
    </row>
    <row r="1855" spans="1:9" x14ac:dyDescent="0.3">
      <c r="A1855" s="12"/>
      <c r="B1855" s="1"/>
      <c r="C1855" s="1"/>
      <c r="G1855" s="3"/>
      <c r="H1855" s="13"/>
      <c r="I1855" s="3"/>
    </row>
    <row r="1856" spans="1:9" x14ac:dyDescent="0.3">
      <c r="A1856" s="12"/>
      <c r="B1856" s="1"/>
      <c r="C1856" s="1"/>
      <c r="G1856" s="3"/>
      <c r="H1856" s="13"/>
      <c r="I1856" s="3"/>
    </row>
    <row r="1857" spans="1:9" x14ac:dyDescent="0.3">
      <c r="A1857" s="12"/>
      <c r="B1857" s="1"/>
      <c r="C1857" s="1"/>
      <c r="G1857" s="3"/>
      <c r="H1857" s="13"/>
      <c r="I1857" s="3"/>
    </row>
    <row r="1858" spans="1:9" x14ac:dyDescent="0.3">
      <c r="A1858" s="12"/>
      <c r="B1858" s="1"/>
      <c r="C1858" s="1"/>
      <c r="G1858" s="3"/>
      <c r="H1858" s="13"/>
      <c r="I1858" s="3"/>
    </row>
    <row r="1859" spans="1:9" x14ac:dyDescent="0.3">
      <c r="A1859" s="12"/>
      <c r="B1859" s="1"/>
      <c r="C1859" s="1"/>
      <c r="G1859" s="3"/>
      <c r="H1859" s="13"/>
      <c r="I1859" s="3"/>
    </row>
    <row r="1860" spans="1:9" x14ac:dyDescent="0.3">
      <c r="A1860" s="12"/>
      <c r="B1860" s="1"/>
      <c r="C1860" s="1"/>
      <c r="G1860" s="3"/>
      <c r="H1860" s="13"/>
      <c r="I1860" s="3"/>
    </row>
    <row r="1861" spans="1:9" x14ac:dyDescent="0.3">
      <c r="A1861" s="12"/>
      <c r="B1861" s="1"/>
      <c r="C1861" s="1"/>
      <c r="G1861" s="3"/>
      <c r="H1861" s="13"/>
      <c r="I1861" s="3"/>
    </row>
    <row r="1862" spans="1:9" x14ac:dyDescent="0.3">
      <c r="A1862" s="12"/>
      <c r="B1862" s="1"/>
      <c r="C1862" s="1"/>
      <c r="G1862" s="3"/>
      <c r="H1862" s="13"/>
      <c r="I1862" s="3"/>
    </row>
    <row r="1863" spans="1:9" x14ac:dyDescent="0.3">
      <c r="A1863" s="12"/>
      <c r="B1863" s="1"/>
      <c r="C1863" s="1"/>
      <c r="G1863" s="3"/>
      <c r="H1863" s="13"/>
      <c r="I1863" s="3"/>
    </row>
    <row r="1864" spans="1:9" x14ac:dyDescent="0.3">
      <c r="A1864" s="12"/>
      <c r="B1864" s="1"/>
      <c r="C1864" s="1"/>
      <c r="G1864" s="3"/>
      <c r="H1864" s="13"/>
      <c r="I1864" s="3"/>
    </row>
    <row r="1865" spans="1:9" x14ac:dyDescent="0.3">
      <c r="A1865" s="12"/>
      <c r="B1865" s="1"/>
      <c r="C1865" s="1"/>
      <c r="G1865" s="3"/>
      <c r="H1865" s="13"/>
      <c r="I1865" s="3"/>
    </row>
    <row r="1866" spans="1:9" x14ac:dyDescent="0.3">
      <c r="A1866" s="12"/>
      <c r="B1866" s="1"/>
      <c r="C1866" s="1"/>
      <c r="G1866" s="3"/>
      <c r="H1866" s="13"/>
      <c r="I1866" s="3"/>
    </row>
    <row r="1867" spans="1:9" x14ac:dyDescent="0.3">
      <c r="A1867" s="12"/>
      <c r="B1867" s="1"/>
      <c r="C1867" s="1"/>
      <c r="G1867" s="3"/>
      <c r="H1867" s="13"/>
      <c r="I1867" s="3"/>
    </row>
    <row r="1868" spans="1:9" x14ac:dyDescent="0.3">
      <c r="A1868" s="12"/>
      <c r="B1868" s="1"/>
      <c r="C1868" s="1"/>
      <c r="G1868" s="3"/>
      <c r="H1868" s="13"/>
      <c r="I1868" s="3"/>
    </row>
    <row r="1869" spans="1:9" x14ac:dyDescent="0.3">
      <c r="A1869" s="12"/>
      <c r="B1869" s="1"/>
      <c r="C1869" s="1"/>
      <c r="G1869" s="3"/>
      <c r="H1869" s="13"/>
      <c r="I1869" s="3"/>
    </row>
    <row r="1870" spans="1:9" x14ac:dyDescent="0.3">
      <c r="A1870" s="12"/>
      <c r="B1870" s="1"/>
      <c r="C1870" s="1"/>
      <c r="G1870" s="3"/>
      <c r="H1870" s="13"/>
      <c r="I1870" s="3"/>
    </row>
    <row r="1871" spans="1:9" x14ac:dyDescent="0.3">
      <c r="A1871" s="12"/>
      <c r="B1871" s="1"/>
      <c r="C1871" s="1"/>
      <c r="G1871" s="3"/>
      <c r="H1871" s="13"/>
      <c r="I1871" s="3"/>
    </row>
    <row r="1872" spans="1:9" x14ac:dyDescent="0.3">
      <c r="A1872" s="12"/>
      <c r="B1872" s="1"/>
      <c r="C1872" s="1"/>
      <c r="G1872" s="3"/>
      <c r="H1872" s="13"/>
      <c r="I1872" s="3"/>
    </row>
    <row r="1873" spans="1:9" x14ac:dyDescent="0.3">
      <c r="A1873" s="12"/>
      <c r="B1873" s="1"/>
      <c r="C1873" s="1"/>
      <c r="G1873" s="3"/>
      <c r="H1873" s="13"/>
      <c r="I1873" s="3"/>
    </row>
    <row r="1874" spans="1:9" x14ac:dyDescent="0.3">
      <c r="A1874" s="12"/>
      <c r="B1874" s="1"/>
      <c r="C1874" s="1"/>
      <c r="G1874" s="3"/>
      <c r="H1874" s="13"/>
      <c r="I1874" s="3"/>
    </row>
    <row r="1875" spans="1:9" x14ac:dyDescent="0.3">
      <c r="A1875" s="12"/>
      <c r="B1875" s="1"/>
      <c r="C1875" s="1"/>
      <c r="G1875" s="3"/>
      <c r="H1875" s="13"/>
      <c r="I1875" s="3"/>
    </row>
    <row r="1876" spans="1:9" x14ac:dyDescent="0.3">
      <c r="A1876" s="12"/>
      <c r="B1876" s="1"/>
      <c r="C1876" s="1"/>
      <c r="G1876" s="3"/>
      <c r="H1876" s="13"/>
      <c r="I1876" s="3"/>
    </row>
    <row r="1877" spans="1:9" x14ac:dyDescent="0.3">
      <c r="A1877" s="12"/>
      <c r="B1877" s="1"/>
      <c r="C1877" s="1"/>
      <c r="G1877" s="3"/>
      <c r="H1877" s="13"/>
      <c r="I1877" s="3"/>
    </row>
    <row r="1878" spans="1:9" x14ac:dyDescent="0.3">
      <c r="A1878" s="12"/>
      <c r="B1878" s="1"/>
      <c r="C1878" s="1"/>
      <c r="G1878" s="3"/>
      <c r="H1878" s="13"/>
      <c r="I1878" s="3"/>
    </row>
    <row r="1879" spans="1:9" x14ac:dyDescent="0.3">
      <c r="A1879" s="12"/>
      <c r="B1879" s="1"/>
      <c r="C1879" s="1"/>
      <c r="G1879" s="3"/>
      <c r="H1879" s="13"/>
      <c r="I1879" s="3"/>
    </row>
    <row r="1880" spans="1:9" x14ac:dyDescent="0.3">
      <c r="A1880" s="12"/>
      <c r="B1880" s="1"/>
      <c r="C1880" s="1"/>
      <c r="G1880" s="3"/>
      <c r="H1880" s="13"/>
      <c r="I1880" s="3"/>
    </row>
    <row r="1881" spans="1:9" x14ac:dyDescent="0.3">
      <c r="A1881" s="12"/>
      <c r="B1881" s="1"/>
      <c r="C1881" s="1"/>
      <c r="G1881" s="3"/>
      <c r="H1881" s="13"/>
      <c r="I1881" s="3"/>
    </row>
    <row r="1882" spans="1:9" x14ac:dyDescent="0.3">
      <c r="A1882" s="12"/>
      <c r="B1882" s="1"/>
      <c r="C1882" s="1"/>
      <c r="G1882" s="3"/>
      <c r="H1882" s="13"/>
      <c r="I1882" s="3"/>
    </row>
    <row r="1883" spans="1:9" x14ac:dyDescent="0.3">
      <c r="A1883" s="12"/>
      <c r="B1883" s="1"/>
      <c r="C1883" s="1"/>
      <c r="G1883" s="3"/>
      <c r="H1883" s="13"/>
      <c r="I1883" s="3"/>
    </row>
    <row r="1884" spans="1:9" x14ac:dyDescent="0.3">
      <c r="A1884" s="12"/>
      <c r="B1884" s="1"/>
      <c r="C1884" s="1"/>
      <c r="G1884" s="3"/>
      <c r="H1884" s="13"/>
      <c r="I1884" s="3"/>
    </row>
    <row r="1885" spans="1:9" x14ac:dyDescent="0.3">
      <c r="A1885" s="12"/>
      <c r="B1885" s="1"/>
      <c r="C1885" s="1"/>
      <c r="G1885" s="3"/>
      <c r="H1885" s="13"/>
      <c r="I1885" s="3"/>
    </row>
    <row r="1886" spans="1:9" x14ac:dyDescent="0.3">
      <c r="A1886" s="12"/>
      <c r="B1886" s="1"/>
      <c r="C1886" s="1"/>
      <c r="G1886" s="3"/>
      <c r="H1886" s="13"/>
      <c r="I1886" s="3"/>
    </row>
    <row r="1887" spans="1:9" x14ac:dyDescent="0.3">
      <c r="A1887" s="12"/>
      <c r="B1887" s="1"/>
      <c r="C1887" s="1"/>
      <c r="G1887" s="3"/>
      <c r="H1887" s="13"/>
      <c r="I1887" s="3"/>
    </row>
    <row r="1888" spans="1:9" x14ac:dyDescent="0.3">
      <c r="A1888" s="12"/>
      <c r="B1888" s="1"/>
      <c r="C1888" s="1"/>
      <c r="G1888" s="3"/>
      <c r="H1888" s="13"/>
      <c r="I1888" s="3"/>
    </row>
    <row r="1889" spans="1:9" x14ac:dyDescent="0.3">
      <c r="A1889" s="12"/>
      <c r="B1889" s="1"/>
      <c r="C1889" s="1"/>
      <c r="G1889" s="3"/>
      <c r="H1889" s="13"/>
      <c r="I1889" s="3"/>
    </row>
    <row r="1890" spans="1:9" x14ac:dyDescent="0.3">
      <c r="A1890" s="12"/>
      <c r="B1890" s="1"/>
      <c r="C1890" s="1"/>
      <c r="G1890" s="3"/>
      <c r="H1890" s="13"/>
      <c r="I1890" s="3"/>
    </row>
    <row r="1891" spans="1:9" x14ac:dyDescent="0.3">
      <c r="A1891" s="12"/>
      <c r="B1891" s="1"/>
      <c r="C1891" s="1"/>
      <c r="G1891" s="3"/>
      <c r="H1891" s="13"/>
      <c r="I1891" s="3"/>
    </row>
    <row r="1892" spans="1:9" x14ac:dyDescent="0.3">
      <c r="A1892" s="12"/>
      <c r="B1892" s="1"/>
      <c r="C1892" s="1"/>
      <c r="G1892" s="3"/>
      <c r="H1892" s="13"/>
      <c r="I1892" s="3"/>
    </row>
    <row r="1893" spans="1:9" x14ac:dyDescent="0.3">
      <c r="A1893" s="12"/>
      <c r="B1893" s="1"/>
      <c r="C1893" s="1"/>
      <c r="G1893" s="3"/>
      <c r="H1893" s="13"/>
      <c r="I1893" s="3"/>
    </row>
    <row r="1894" spans="1:9" x14ac:dyDescent="0.3">
      <c r="A1894" s="12"/>
      <c r="B1894" s="1"/>
      <c r="C1894" s="1"/>
      <c r="G1894" s="3"/>
      <c r="H1894" s="13"/>
      <c r="I1894" s="3"/>
    </row>
    <row r="1895" spans="1:9" x14ac:dyDescent="0.3">
      <c r="A1895" s="12"/>
      <c r="B1895" s="1"/>
      <c r="C1895" s="1"/>
      <c r="G1895" s="3"/>
      <c r="H1895" s="13"/>
      <c r="I1895" s="3"/>
    </row>
    <row r="1896" spans="1:9" x14ac:dyDescent="0.3">
      <c r="A1896" s="12"/>
      <c r="B1896" s="1"/>
      <c r="C1896" s="1"/>
      <c r="G1896" s="3"/>
      <c r="H1896" s="13"/>
      <c r="I1896" s="3"/>
    </row>
    <row r="1897" spans="1:9" x14ac:dyDescent="0.3">
      <c r="A1897" s="12"/>
      <c r="B1897" s="1"/>
      <c r="C1897" s="1"/>
      <c r="G1897" s="3"/>
      <c r="H1897" s="13"/>
      <c r="I1897" s="3"/>
    </row>
    <row r="1898" spans="1:9" x14ac:dyDescent="0.3">
      <c r="A1898" s="12"/>
      <c r="B1898" s="1"/>
      <c r="C1898" s="1"/>
      <c r="G1898" s="3"/>
      <c r="H1898" s="13"/>
      <c r="I1898" s="3"/>
    </row>
    <row r="1899" spans="1:9" x14ac:dyDescent="0.3">
      <c r="A1899" s="12"/>
      <c r="B1899" s="1"/>
      <c r="C1899" s="1"/>
      <c r="G1899" s="3"/>
      <c r="H1899" s="13"/>
      <c r="I1899" s="3"/>
    </row>
    <row r="1900" spans="1:9" x14ac:dyDescent="0.3">
      <c r="A1900" s="12"/>
      <c r="B1900" s="1"/>
      <c r="C1900" s="1"/>
      <c r="G1900" s="3"/>
      <c r="H1900" s="13"/>
      <c r="I1900" s="3"/>
    </row>
    <row r="1901" spans="1:9" x14ac:dyDescent="0.3">
      <c r="A1901" s="12"/>
      <c r="B1901" s="1"/>
      <c r="C1901" s="1"/>
      <c r="G1901" s="3"/>
      <c r="H1901" s="13"/>
      <c r="I1901" s="3"/>
    </row>
    <row r="1902" spans="1:9" x14ac:dyDescent="0.3">
      <c r="A1902" s="12"/>
      <c r="B1902" s="1"/>
      <c r="C1902" s="1"/>
      <c r="G1902" s="3"/>
      <c r="H1902" s="13"/>
      <c r="I1902" s="3"/>
    </row>
    <row r="1903" spans="1:9" x14ac:dyDescent="0.3">
      <c r="A1903" s="12"/>
      <c r="B1903" s="1"/>
      <c r="C1903" s="1"/>
      <c r="G1903" s="3"/>
      <c r="H1903" s="13"/>
      <c r="I1903" s="3"/>
    </row>
    <row r="1904" spans="1:9" x14ac:dyDescent="0.3">
      <c r="A1904" s="12"/>
      <c r="B1904" s="1"/>
      <c r="C1904" s="1"/>
      <c r="G1904" s="3"/>
      <c r="H1904" s="13"/>
      <c r="I1904" s="3"/>
    </row>
    <row r="1905" spans="1:9" x14ac:dyDescent="0.3">
      <c r="A1905" s="12"/>
      <c r="B1905" s="1"/>
      <c r="C1905" s="1"/>
      <c r="G1905" s="3"/>
      <c r="H1905" s="13"/>
      <c r="I1905" s="3"/>
    </row>
    <row r="1906" spans="1:9" x14ac:dyDescent="0.3">
      <c r="A1906" s="12"/>
      <c r="B1906" s="1"/>
      <c r="C1906" s="1"/>
      <c r="G1906" s="3"/>
      <c r="H1906" s="13"/>
      <c r="I1906" s="3"/>
    </row>
    <row r="1907" spans="1:9" x14ac:dyDescent="0.3">
      <c r="A1907" s="12"/>
      <c r="B1907" s="1"/>
      <c r="C1907" s="1"/>
      <c r="G1907" s="3"/>
      <c r="H1907" s="13"/>
      <c r="I1907" s="3"/>
    </row>
    <row r="1908" spans="1:9" x14ac:dyDescent="0.3">
      <c r="A1908" s="12"/>
      <c r="B1908" s="1"/>
      <c r="C1908" s="1"/>
      <c r="G1908" s="3"/>
      <c r="H1908" s="13"/>
      <c r="I1908" s="3"/>
    </row>
    <row r="1909" spans="1:9" x14ac:dyDescent="0.3">
      <c r="A1909" s="12"/>
      <c r="B1909" s="1"/>
      <c r="C1909" s="1"/>
      <c r="G1909" s="3"/>
      <c r="H1909" s="13"/>
      <c r="I1909" s="3"/>
    </row>
    <row r="1910" spans="1:9" x14ac:dyDescent="0.3">
      <c r="A1910" s="12"/>
      <c r="B1910" s="1"/>
      <c r="C1910" s="1"/>
      <c r="G1910" s="3"/>
      <c r="H1910" s="13"/>
      <c r="I1910" s="3"/>
    </row>
    <row r="1911" spans="1:9" x14ac:dyDescent="0.3">
      <c r="A1911" s="12"/>
      <c r="B1911" s="1"/>
      <c r="C1911" s="1"/>
      <c r="G1911" s="3"/>
      <c r="H1911" s="13"/>
      <c r="I1911" s="3"/>
    </row>
    <row r="1912" spans="1:9" x14ac:dyDescent="0.3">
      <c r="A1912" s="12"/>
      <c r="B1912" s="1"/>
      <c r="C1912" s="1"/>
      <c r="G1912" s="3"/>
      <c r="H1912" s="13"/>
      <c r="I1912" s="3"/>
    </row>
    <row r="1913" spans="1:9" x14ac:dyDescent="0.3">
      <c r="A1913" s="12"/>
      <c r="B1913" s="1"/>
      <c r="C1913" s="1"/>
      <c r="G1913" s="3"/>
      <c r="H1913" s="13"/>
      <c r="I1913" s="3"/>
    </row>
    <row r="1914" spans="1:9" x14ac:dyDescent="0.3">
      <c r="A1914" s="12"/>
      <c r="B1914" s="1"/>
      <c r="C1914" s="1"/>
      <c r="G1914" s="3"/>
      <c r="H1914" s="13"/>
      <c r="I1914" s="3"/>
    </row>
    <row r="1915" spans="1:9" x14ac:dyDescent="0.3">
      <c r="A1915" s="12"/>
      <c r="B1915" s="1"/>
      <c r="C1915" s="1"/>
      <c r="G1915" s="3"/>
      <c r="H1915" s="13"/>
      <c r="I1915" s="3"/>
    </row>
    <row r="1916" spans="1:9" x14ac:dyDescent="0.3">
      <c r="A1916" s="12"/>
      <c r="B1916" s="1"/>
      <c r="C1916" s="1"/>
      <c r="G1916" s="3"/>
      <c r="H1916" s="13"/>
      <c r="I1916" s="3"/>
    </row>
    <row r="1917" spans="1:9" x14ac:dyDescent="0.3">
      <c r="A1917" s="12"/>
      <c r="B1917" s="1"/>
      <c r="C1917" s="1"/>
      <c r="G1917" s="3"/>
      <c r="H1917" s="13"/>
      <c r="I1917" s="3"/>
    </row>
    <row r="1918" spans="1:9" x14ac:dyDescent="0.3">
      <c r="A1918" s="12"/>
      <c r="B1918" s="1"/>
      <c r="C1918" s="1"/>
      <c r="G1918" s="3"/>
      <c r="H1918" s="13"/>
      <c r="I1918" s="3"/>
    </row>
    <row r="1919" spans="1:9" x14ac:dyDescent="0.3">
      <c r="A1919" s="12"/>
      <c r="B1919" s="1"/>
      <c r="C1919" s="1"/>
      <c r="G1919" s="3"/>
      <c r="H1919" s="13"/>
      <c r="I1919" s="3"/>
    </row>
    <row r="1920" spans="1:9" x14ac:dyDescent="0.3">
      <c r="A1920" s="12"/>
      <c r="B1920" s="1"/>
      <c r="C1920" s="1"/>
      <c r="G1920" s="3"/>
      <c r="H1920" s="13"/>
      <c r="I1920" s="3"/>
    </row>
    <row r="1921" spans="1:9" x14ac:dyDescent="0.3">
      <c r="A1921" s="12"/>
      <c r="B1921" s="1"/>
      <c r="C1921" s="1"/>
      <c r="G1921" s="3"/>
      <c r="H1921" s="13"/>
      <c r="I1921" s="3"/>
    </row>
    <row r="1922" spans="1:9" x14ac:dyDescent="0.3">
      <c r="A1922" s="12"/>
      <c r="B1922" s="1"/>
      <c r="C1922" s="1"/>
      <c r="G1922" s="3"/>
      <c r="H1922" s="13"/>
      <c r="I1922" s="3"/>
    </row>
    <row r="1923" spans="1:9" x14ac:dyDescent="0.3">
      <c r="A1923" s="12"/>
      <c r="B1923" s="1"/>
      <c r="C1923" s="1"/>
      <c r="G1923" s="3"/>
      <c r="H1923" s="13"/>
      <c r="I1923" s="3"/>
    </row>
    <row r="1924" spans="1:9" x14ac:dyDescent="0.3">
      <c r="A1924" s="12"/>
      <c r="B1924" s="1"/>
      <c r="C1924" s="1"/>
      <c r="G1924" s="3"/>
      <c r="H1924" s="13"/>
      <c r="I1924" s="3"/>
    </row>
    <row r="1925" spans="1:9" x14ac:dyDescent="0.3">
      <c r="A1925" s="12"/>
      <c r="B1925" s="1"/>
      <c r="C1925" s="1"/>
      <c r="G1925" s="3"/>
      <c r="H1925" s="13"/>
      <c r="I1925" s="3"/>
    </row>
    <row r="1926" spans="1:9" x14ac:dyDescent="0.3">
      <c r="A1926" s="12"/>
      <c r="B1926" s="1"/>
      <c r="C1926" s="1"/>
      <c r="G1926" s="3"/>
      <c r="H1926" s="13"/>
      <c r="I1926" s="3"/>
    </row>
    <row r="1927" spans="1:9" x14ac:dyDescent="0.3">
      <c r="A1927" s="12"/>
      <c r="B1927" s="1"/>
      <c r="C1927" s="1"/>
      <c r="G1927" s="3"/>
      <c r="H1927" s="13"/>
      <c r="I1927" s="3"/>
    </row>
    <row r="1928" spans="1:9" x14ac:dyDescent="0.3">
      <c r="A1928" s="12"/>
      <c r="B1928" s="1"/>
      <c r="C1928" s="1"/>
      <c r="G1928" s="3"/>
      <c r="H1928" s="13"/>
      <c r="I1928" s="3"/>
    </row>
    <row r="1929" spans="1:9" x14ac:dyDescent="0.3">
      <c r="A1929" s="12"/>
      <c r="B1929" s="1"/>
      <c r="C1929" s="1"/>
      <c r="G1929" s="3"/>
      <c r="H1929" s="13"/>
      <c r="I1929" s="3"/>
    </row>
    <row r="1930" spans="1:9" x14ac:dyDescent="0.3">
      <c r="A1930" s="12"/>
      <c r="B1930" s="1"/>
      <c r="C1930" s="1"/>
      <c r="G1930" s="3"/>
      <c r="H1930" s="13"/>
      <c r="I1930" s="3"/>
    </row>
    <row r="1931" spans="1:9" x14ac:dyDescent="0.3">
      <c r="A1931" s="12"/>
      <c r="B1931" s="1"/>
      <c r="C1931" s="1"/>
      <c r="G1931" s="3"/>
      <c r="H1931" s="13"/>
      <c r="I1931" s="3"/>
    </row>
    <row r="1932" spans="1:9" x14ac:dyDescent="0.3">
      <c r="A1932" s="12"/>
      <c r="B1932" s="1"/>
      <c r="C1932" s="1"/>
      <c r="G1932" s="3"/>
      <c r="H1932" s="13"/>
      <c r="I1932" s="3"/>
    </row>
    <row r="1933" spans="1:9" x14ac:dyDescent="0.3">
      <c r="A1933" s="12"/>
      <c r="B1933" s="1"/>
      <c r="C1933" s="1"/>
      <c r="G1933" s="3"/>
      <c r="H1933" s="13"/>
      <c r="I1933" s="3"/>
    </row>
    <row r="1934" spans="1:9" x14ac:dyDescent="0.3">
      <c r="A1934" s="12"/>
      <c r="B1934" s="1"/>
      <c r="C1934" s="1"/>
      <c r="G1934" s="3"/>
      <c r="H1934" s="13"/>
      <c r="I1934" s="3"/>
    </row>
    <row r="1935" spans="1:9" x14ac:dyDescent="0.3">
      <c r="A1935" s="12"/>
      <c r="B1935" s="1"/>
      <c r="C1935" s="1"/>
      <c r="G1935" s="3"/>
      <c r="H1935" s="13"/>
      <c r="I1935" s="3"/>
    </row>
    <row r="1936" spans="1:9" x14ac:dyDescent="0.3">
      <c r="A1936" s="12"/>
      <c r="B1936" s="1"/>
      <c r="C1936" s="1"/>
      <c r="G1936" s="3"/>
      <c r="H1936" s="13"/>
      <c r="I1936" s="3"/>
    </row>
    <row r="1937" spans="1:9" x14ac:dyDescent="0.3">
      <c r="A1937" s="12"/>
      <c r="B1937" s="1"/>
      <c r="C1937" s="1"/>
      <c r="G1937" s="3"/>
      <c r="H1937" s="13"/>
      <c r="I1937" s="3"/>
    </row>
    <row r="1938" spans="1:9" x14ac:dyDescent="0.3">
      <c r="A1938" s="12"/>
      <c r="B1938" s="1"/>
      <c r="C1938" s="1"/>
      <c r="G1938" s="3"/>
      <c r="H1938" s="13"/>
      <c r="I1938" s="3"/>
    </row>
    <row r="1939" spans="1:9" x14ac:dyDescent="0.3">
      <c r="A1939" s="12"/>
      <c r="B1939" s="1"/>
      <c r="C1939" s="1"/>
      <c r="G1939" s="3"/>
      <c r="H1939" s="13"/>
      <c r="I1939" s="3"/>
    </row>
    <row r="1940" spans="1:9" x14ac:dyDescent="0.3">
      <c r="A1940" s="12"/>
      <c r="B1940" s="1"/>
      <c r="C1940" s="1"/>
      <c r="G1940" s="3"/>
      <c r="H1940" s="13"/>
      <c r="I1940" s="3"/>
    </row>
    <row r="1941" spans="1:9" x14ac:dyDescent="0.3">
      <c r="A1941" s="12"/>
      <c r="B1941" s="1"/>
      <c r="C1941" s="1"/>
      <c r="G1941" s="3"/>
      <c r="H1941" s="13"/>
      <c r="I1941" s="3"/>
    </row>
    <row r="1942" spans="1:9" x14ac:dyDescent="0.3">
      <c r="A1942" s="12"/>
      <c r="B1942" s="1"/>
      <c r="C1942" s="1"/>
      <c r="G1942" s="3"/>
      <c r="H1942" s="13"/>
      <c r="I1942" s="3"/>
    </row>
    <row r="1943" spans="1:9" x14ac:dyDescent="0.3">
      <c r="A1943" s="12"/>
      <c r="B1943" s="1"/>
      <c r="C1943" s="1"/>
      <c r="G1943" s="3"/>
      <c r="H1943" s="13"/>
      <c r="I1943" s="3"/>
    </row>
    <row r="1944" spans="1:9" x14ac:dyDescent="0.3">
      <c r="A1944" s="12"/>
      <c r="B1944" s="1"/>
      <c r="C1944" s="1"/>
      <c r="G1944" s="3"/>
      <c r="H1944" s="13"/>
      <c r="I1944" s="3"/>
    </row>
    <row r="1945" spans="1:9" x14ac:dyDescent="0.3">
      <c r="A1945" s="12"/>
      <c r="B1945" s="1"/>
      <c r="C1945" s="1"/>
      <c r="G1945" s="3"/>
      <c r="H1945" s="13"/>
      <c r="I1945" s="3"/>
    </row>
    <row r="1946" spans="1:9" x14ac:dyDescent="0.3">
      <c r="A1946" s="12"/>
      <c r="B1946" s="1"/>
      <c r="C1946" s="1"/>
      <c r="G1946" s="3"/>
      <c r="H1946" s="13"/>
      <c r="I1946" s="3"/>
    </row>
    <row r="1947" spans="1:9" x14ac:dyDescent="0.3">
      <c r="A1947" s="12"/>
      <c r="B1947" s="1"/>
      <c r="C1947" s="1"/>
      <c r="G1947" s="3"/>
      <c r="H1947" s="13"/>
      <c r="I1947" s="3"/>
    </row>
    <row r="1948" spans="1:9" x14ac:dyDescent="0.3">
      <c r="A1948" s="12"/>
      <c r="B1948" s="1"/>
      <c r="C1948" s="1"/>
      <c r="G1948" s="3"/>
      <c r="H1948" s="13"/>
      <c r="I1948" s="3"/>
    </row>
    <row r="1949" spans="1:9" x14ac:dyDescent="0.3">
      <c r="A1949" s="12"/>
      <c r="B1949" s="1"/>
      <c r="C1949" s="1"/>
      <c r="G1949" s="3"/>
      <c r="H1949" s="13"/>
      <c r="I1949" s="3"/>
    </row>
    <row r="1950" spans="1:9" x14ac:dyDescent="0.3">
      <c r="A1950" s="12"/>
      <c r="B1950" s="1"/>
      <c r="C1950" s="1"/>
      <c r="G1950" s="3"/>
      <c r="H1950" s="13"/>
      <c r="I1950" s="3"/>
    </row>
    <row r="1951" spans="1:9" x14ac:dyDescent="0.3">
      <c r="A1951" s="12"/>
      <c r="B1951" s="1"/>
      <c r="C1951" s="1"/>
      <c r="G1951" s="3"/>
      <c r="H1951" s="13"/>
      <c r="I1951" s="3"/>
    </row>
    <row r="1952" spans="1:9" x14ac:dyDescent="0.3">
      <c r="A1952" s="12"/>
      <c r="B1952" s="1"/>
      <c r="C1952" s="1"/>
      <c r="G1952" s="3"/>
      <c r="H1952" s="13"/>
      <c r="I1952" s="3"/>
    </row>
    <row r="1953" spans="1:9" x14ac:dyDescent="0.3">
      <c r="A1953" s="12"/>
      <c r="B1953" s="1"/>
      <c r="C1953" s="1"/>
      <c r="G1953" s="3"/>
      <c r="H1953" s="13"/>
      <c r="I1953" s="3"/>
    </row>
    <row r="1954" spans="1:9" x14ac:dyDescent="0.3">
      <c r="A1954" s="12"/>
      <c r="B1954" s="1"/>
      <c r="C1954" s="1"/>
      <c r="G1954" s="3"/>
      <c r="H1954" s="13"/>
      <c r="I1954" s="3"/>
    </row>
    <row r="1955" spans="1:9" x14ac:dyDescent="0.3">
      <c r="A1955" s="12"/>
      <c r="B1955" s="1"/>
      <c r="C1955" s="1"/>
      <c r="G1955" s="3"/>
      <c r="H1955" s="13"/>
      <c r="I1955" s="3"/>
    </row>
    <row r="1956" spans="1:9" x14ac:dyDescent="0.3">
      <c r="A1956" s="12"/>
      <c r="B1956" s="1"/>
      <c r="C1956" s="1"/>
      <c r="G1956" s="3"/>
      <c r="H1956" s="13"/>
      <c r="I1956" s="3"/>
    </row>
    <row r="1957" spans="1:9" x14ac:dyDescent="0.3">
      <c r="A1957" s="12"/>
      <c r="B1957" s="1"/>
      <c r="C1957" s="1"/>
      <c r="G1957" s="3"/>
      <c r="H1957" s="13"/>
      <c r="I1957" s="3"/>
    </row>
    <row r="1958" spans="1:9" x14ac:dyDescent="0.3">
      <c r="A1958" s="12"/>
      <c r="B1958" s="1"/>
      <c r="C1958" s="1"/>
      <c r="G1958" s="3"/>
      <c r="H1958" s="13"/>
      <c r="I1958" s="3"/>
    </row>
    <row r="1959" spans="1:9" x14ac:dyDescent="0.3">
      <c r="A1959" s="12"/>
      <c r="B1959" s="1"/>
      <c r="C1959" s="1"/>
      <c r="G1959" s="3"/>
      <c r="H1959" s="13"/>
      <c r="I1959" s="3"/>
    </row>
    <row r="1960" spans="1:9" x14ac:dyDescent="0.3">
      <c r="A1960" s="12"/>
      <c r="B1960" s="1"/>
      <c r="C1960" s="1"/>
      <c r="G1960" s="3"/>
      <c r="H1960" s="13"/>
      <c r="I1960" s="3"/>
    </row>
    <row r="1961" spans="1:9" x14ac:dyDescent="0.3">
      <c r="A1961" s="12"/>
      <c r="B1961" s="1"/>
      <c r="C1961" s="1"/>
      <c r="G1961" s="3"/>
      <c r="H1961" s="13"/>
      <c r="I1961" s="3"/>
    </row>
    <row r="1962" spans="1:9" x14ac:dyDescent="0.3">
      <c r="A1962" s="12"/>
      <c r="B1962" s="1"/>
      <c r="C1962" s="1"/>
      <c r="G1962" s="3"/>
      <c r="H1962" s="13"/>
      <c r="I1962" s="3"/>
    </row>
    <row r="1963" spans="1:9" x14ac:dyDescent="0.3">
      <c r="A1963" s="12"/>
      <c r="B1963" s="1"/>
      <c r="C1963" s="1"/>
      <c r="G1963" s="3"/>
      <c r="H1963" s="13"/>
      <c r="I1963" s="3"/>
    </row>
    <row r="1964" spans="1:9" x14ac:dyDescent="0.3">
      <c r="A1964" s="12"/>
      <c r="B1964" s="1"/>
      <c r="C1964" s="1"/>
      <c r="G1964" s="3"/>
      <c r="H1964" s="13"/>
      <c r="I1964" s="3"/>
    </row>
    <row r="1965" spans="1:9" x14ac:dyDescent="0.3">
      <c r="A1965" s="12"/>
      <c r="B1965" s="1"/>
      <c r="C1965" s="1"/>
      <c r="G1965" s="3"/>
      <c r="H1965" s="13"/>
      <c r="I1965" s="3"/>
    </row>
    <row r="1966" spans="1:9" x14ac:dyDescent="0.3">
      <c r="A1966" s="12"/>
      <c r="B1966" s="1"/>
      <c r="C1966" s="1"/>
      <c r="G1966" s="3"/>
      <c r="H1966" s="13"/>
      <c r="I1966" s="3"/>
    </row>
    <row r="1967" spans="1:9" x14ac:dyDescent="0.3">
      <c r="A1967" s="12"/>
      <c r="B1967" s="1"/>
      <c r="C1967" s="1"/>
      <c r="G1967" s="3"/>
      <c r="H1967" s="13"/>
      <c r="I1967" s="3"/>
    </row>
    <row r="1968" spans="1:9" x14ac:dyDescent="0.3">
      <c r="A1968" s="12"/>
      <c r="B1968" s="1"/>
      <c r="C1968" s="1"/>
      <c r="G1968" s="3"/>
      <c r="H1968" s="13"/>
      <c r="I1968" s="3"/>
    </row>
    <row r="1969" spans="1:9" x14ac:dyDescent="0.3">
      <c r="A1969" s="12"/>
      <c r="B1969" s="1"/>
      <c r="C1969" s="1"/>
      <c r="G1969" s="3"/>
      <c r="H1969" s="13"/>
      <c r="I1969" s="3"/>
    </row>
    <row r="1970" spans="1:9" x14ac:dyDescent="0.3">
      <c r="A1970" s="12"/>
      <c r="B1970" s="1"/>
      <c r="C1970" s="1"/>
      <c r="G1970" s="3"/>
      <c r="H1970" s="13"/>
      <c r="I1970" s="3"/>
    </row>
    <row r="1971" spans="1:9" x14ac:dyDescent="0.3">
      <c r="A1971" s="12"/>
      <c r="B1971" s="1"/>
      <c r="C1971" s="1"/>
      <c r="G1971" s="3"/>
      <c r="H1971" s="13"/>
      <c r="I1971" s="3"/>
    </row>
    <row r="1972" spans="1:9" x14ac:dyDescent="0.3">
      <c r="A1972" s="12"/>
      <c r="B1972" s="1"/>
      <c r="C1972" s="1"/>
      <c r="G1972" s="3"/>
      <c r="H1972" s="13"/>
      <c r="I1972" s="3"/>
    </row>
    <row r="1973" spans="1:9" x14ac:dyDescent="0.3">
      <c r="A1973" s="12"/>
      <c r="B1973" s="1"/>
      <c r="C1973" s="1"/>
      <c r="G1973" s="3"/>
      <c r="H1973" s="13"/>
      <c r="I1973" s="3"/>
    </row>
    <row r="1974" spans="1:9" x14ac:dyDescent="0.3">
      <c r="A1974" s="12"/>
      <c r="B1974" s="1"/>
      <c r="C1974" s="1"/>
      <c r="G1974" s="3"/>
      <c r="H1974" s="13"/>
      <c r="I1974" s="3"/>
    </row>
    <row r="1975" spans="1:9" x14ac:dyDescent="0.3">
      <c r="A1975" s="12"/>
      <c r="B1975" s="1"/>
      <c r="C1975" s="1"/>
      <c r="G1975" s="3"/>
      <c r="H1975" s="13"/>
      <c r="I1975" s="3"/>
    </row>
    <row r="1976" spans="1:9" x14ac:dyDescent="0.3">
      <c r="A1976" s="12"/>
      <c r="B1976" s="1"/>
      <c r="C1976" s="1"/>
      <c r="G1976" s="3"/>
      <c r="H1976" s="13"/>
      <c r="I1976" s="3"/>
    </row>
    <row r="1977" spans="1:9" x14ac:dyDescent="0.3">
      <c r="A1977" s="12"/>
      <c r="B1977" s="1"/>
      <c r="C1977" s="1"/>
      <c r="G1977" s="3"/>
      <c r="H1977" s="13"/>
      <c r="I1977" s="3"/>
    </row>
    <row r="1978" spans="1:9" x14ac:dyDescent="0.3">
      <c r="A1978" s="12"/>
      <c r="B1978" s="1"/>
      <c r="C1978" s="1"/>
      <c r="G1978" s="3"/>
      <c r="H1978" s="13"/>
      <c r="I1978" s="3"/>
    </row>
    <row r="1979" spans="1:9" x14ac:dyDescent="0.3">
      <c r="A1979" s="12"/>
      <c r="B1979" s="1"/>
      <c r="C1979" s="1"/>
      <c r="G1979" s="3"/>
      <c r="H1979" s="13"/>
      <c r="I1979" s="3"/>
    </row>
    <row r="1980" spans="1:9" x14ac:dyDescent="0.3">
      <c r="A1980" s="12"/>
      <c r="B1980" s="1"/>
      <c r="C1980" s="1"/>
      <c r="G1980" s="3"/>
      <c r="H1980" s="13"/>
      <c r="I1980" s="3"/>
    </row>
    <row r="1981" spans="1:9" x14ac:dyDescent="0.3">
      <c r="A1981" s="12"/>
      <c r="B1981" s="1"/>
      <c r="C1981" s="1"/>
      <c r="G1981" s="3"/>
      <c r="H1981" s="13"/>
      <c r="I1981" s="3"/>
    </row>
    <row r="1982" spans="1:9" x14ac:dyDescent="0.3">
      <c r="A1982" s="12"/>
      <c r="B1982" s="1"/>
      <c r="C1982" s="1"/>
      <c r="G1982" s="3"/>
      <c r="H1982" s="13"/>
      <c r="I1982" s="3"/>
    </row>
    <row r="1983" spans="1:9" x14ac:dyDescent="0.3">
      <c r="A1983" s="12"/>
      <c r="B1983" s="1"/>
      <c r="C1983" s="1"/>
      <c r="G1983" s="3"/>
      <c r="H1983" s="13"/>
      <c r="I1983" s="3"/>
    </row>
    <row r="1984" spans="1:9" x14ac:dyDescent="0.3">
      <c r="A1984" s="12"/>
      <c r="B1984" s="1"/>
      <c r="C1984" s="1"/>
      <c r="G1984" s="3"/>
      <c r="H1984" s="13"/>
      <c r="I1984" s="3"/>
    </row>
    <row r="1985" spans="1:9" x14ac:dyDescent="0.3">
      <c r="A1985" s="12"/>
      <c r="B1985" s="1"/>
      <c r="C1985" s="1"/>
      <c r="G1985" s="3"/>
      <c r="H1985" s="13"/>
      <c r="I1985" s="3"/>
    </row>
    <row r="1986" spans="1:9" x14ac:dyDescent="0.3">
      <c r="A1986" s="12"/>
      <c r="B1986" s="1"/>
      <c r="C1986" s="1"/>
      <c r="G1986" s="3"/>
      <c r="H1986" s="13"/>
      <c r="I1986" s="3"/>
    </row>
    <row r="1987" spans="1:9" x14ac:dyDescent="0.3">
      <c r="A1987" s="12"/>
      <c r="B1987" s="1"/>
      <c r="C1987" s="1"/>
      <c r="G1987" s="3"/>
      <c r="H1987" s="13"/>
      <c r="I1987" s="3"/>
    </row>
    <row r="1988" spans="1:9" x14ac:dyDescent="0.3">
      <c r="A1988" s="12"/>
      <c r="B1988" s="1"/>
      <c r="C1988" s="1"/>
      <c r="G1988" s="3"/>
      <c r="H1988" s="13"/>
      <c r="I1988" s="3"/>
    </row>
    <row r="1989" spans="1:9" x14ac:dyDescent="0.3">
      <c r="A1989" s="12"/>
      <c r="B1989" s="1"/>
      <c r="C1989" s="1"/>
      <c r="G1989" s="3"/>
      <c r="H1989" s="13"/>
      <c r="I1989" s="3"/>
    </row>
    <row r="1990" spans="1:9" x14ac:dyDescent="0.3">
      <c r="A1990" s="12"/>
      <c r="B1990" s="1"/>
      <c r="C1990" s="1"/>
      <c r="G1990" s="3"/>
      <c r="H1990" s="13"/>
      <c r="I1990" s="3"/>
    </row>
    <row r="1991" spans="1:9" x14ac:dyDescent="0.3">
      <c r="A1991" s="12"/>
      <c r="B1991" s="1"/>
      <c r="C1991" s="1"/>
      <c r="G1991" s="3"/>
      <c r="H1991" s="13"/>
      <c r="I1991" s="3"/>
    </row>
    <row r="1992" spans="1:9" x14ac:dyDescent="0.3">
      <c r="A1992" s="12"/>
      <c r="B1992" s="1"/>
      <c r="C1992" s="1"/>
      <c r="G1992" s="3"/>
      <c r="H1992" s="13"/>
      <c r="I1992" s="3"/>
    </row>
    <row r="1993" spans="1:9" x14ac:dyDescent="0.3">
      <c r="A1993" s="12"/>
      <c r="B1993" s="1"/>
      <c r="C1993" s="1"/>
      <c r="G1993" s="3"/>
      <c r="H1993" s="13"/>
      <c r="I1993" s="3"/>
    </row>
    <row r="1994" spans="1:9" x14ac:dyDescent="0.3">
      <c r="A1994" s="12"/>
      <c r="B1994" s="1"/>
      <c r="C1994" s="1"/>
      <c r="G1994" s="3"/>
      <c r="H1994" s="13"/>
      <c r="I1994" s="3"/>
    </row>
    <row r="1995" spans="1:9" x14ac:dyDescent="0.3">
      <c r="A1995" s="12"/>
      <c r="B1995" s="1"/>
      <c r="C1995" s="1"/>
      <c r="G1995" s="3"/>
      <c r="H1995" s="13"/>
      <c r="I1995" s="3"/>
    </row>
    <row r="1996" spans="1:9" x14ac:dyDescent="0.3">
      <c r="A1996" s="12"/>
      <c r="B1996" s="1"/>
      <c r="C1996" s="1"/>
      <c r="G1996" s="3"/>
      <c r="H1996" s="13"/>
      <c r="I1996" s="3"/>
    </row>
    <row r="1997" spans="1:9" x14ac:dyDescent="0.3">
      <c r="A1997" s="12"/>
      <c r="B1997" s="1"/>
      <c r="C1997" s="1"/>
      <c r="G1997" s="3"/>
      <c r="H1997" s="13"/>
      <c r="I1997" s="3"/>
    </row>
    <row r="1998" spans="1:9" x14ac:dyDescent="0.3">
      <c r="A1998" s="12"/>
      <c r="B1998" s="1"/>
      <c r="C1998" s="1"/>
      <c r="G1998" s="3"/>
      <c r="H1998" s="13"/>
      <c r="I1998" s="3"/>
    </row>
    <row r="1999" spans="1:9" x14ac:dyDescent="0.3">
      <c r="A1999" s="12"/>
      <c r="B1999" s="1"/>
      <c r="C1999" s="1"/>
      <c r="G1999" s="3"/>
      <c r="H1999" s="13"/>
      <c r="I1999" s="3"/>
    </row>
    <row r="2000" spans="1:9" x14ac:dyDescent="0.3">
      <c r="A2000" s="12"/>
      <c r="B2000" s="1"/>
      <c r="C2000" s="1"/>
      <c r="G2000" s="3"/>
      <c r="H2000" s="13"/>
      <c r="I2000" s="3"/>
    </row>
    <row r="2001" spans="1:9" x14ac:dyDescent="0.3">
      <c r="A2001" s="12"/>
      <c r="B2001" s="1"/>
      <c r="C2001" s="1"/>
      <c r="G2001" s="3"/>
      <c r="H2001" s="13"/>
      <c r="I2001" s="3"/>
    </row>
    <row r="2002" spans="1:9" x14ac:dyDescent="0.3">
      <c r="A2002" s="12"/>
      <c r="B2002" s="1"/>
      <c r="C2002" s="1"/>
      <c r="G2002" s="3"/>
      <c r="H2002" s="13"/>
      <c r="I2002" s="3"/>
    </row>
    <row r="2003" spans="1:9" x14ac:dyDescent="0.3">
      <c r="A2003" s="12"/>
      <c r="B2003" s="1"/>
      <c r="C2003" s="1"/>
      <c r="G2003" s="3"/>
      <c r="H2003" s="13"/>
      <c r="I2003" s="3"/>
    </row>
    <row r="2004" spans="1:9" x14ac:dyDescent="0.3">
      <c r="A2004" s="12"/>
      <c r="B2004" s="1"/>
      <c r="C2004" s="1"/>
      <c r="G2004" s="3"/>
      <c r="H2004" s="13"/>
      <c r="I2004" s="3"/>
    </row>
    <row r="2005" spans="1:9" x14ac:dyDescent="0.3">
      <c r="A2005" s="12"/>
      <c r="B2005" s="1"/>
      <c r="C2005" s="1"/>
      <c r="G2005" s="3"/>
      <c r="H2005" s="13"/>
      <c r="I2005" s="3"/>
    </row>
    <row r="2006" spans="1:9" x14ac:dyDescent="0.3">
      <c r="A2006" s="12"/>
      <c r="B2006" s="1"/>
      <c r="C2006" s="1"/>
      <c r="G2006" s="3"/>
      <c r="H2006" s="13"/>
      <c r="I2006" s="3"/>
    </row>
    <row r="2007" spans="1:9" x14ac:dyDescent="0.3">
      <c r="A2007" s="12"/>
      <c r="B2007" s="1"/>
      <c r="C2007" s="1"/>
      <c r="G2007" s="3"/>
      <c r="H2007" s="13"/>
      <c r="I2007" s="3"/>
    </row>
    <row r="2008" spans="1:9" x14ac:dyDescent="0.3">
      <c r="A2008" s="12"/>
      <c r="B2008" s="1"/>
      <c r="C2008" s="1"/>
      <c r="G2008" s="3"/>
      <c r="H2008" s="13"/>
      <c r="I2008" s="3"/>
    </row>
    <row r="2009" spans="1:9" x14ac:dyDescent="0.3">
      <c r="A2009" s="12"/>
      <c r="B2009" s="1"/>
      <c r="C2009" s="1"/>
      <c r="G2009" s="3"/>
      <c r="H2009" s="13"/>
      <c r="I2009" s="3"/>
    </row>
    <row r="2010" spans="1:9" x14ac:dyDescent="0.3">
      <c r="A2010" s="12"/>
      <c r="B2010" s="1"/>
      <c r="C2010" s="1"/>
      <c r="G2010" s="3"/>
      <c r="H2010" s="13"/>
      <c r="I2010" s="3"/>
    </row>
    <row r="2011" spans="1:9" x14ac:dyDescent="0.3">
      <c r="A2011" s="12"/>
      <c r="B2011" s="1"/>
      <c r="C2011" s="1"/>
      <c r="G2011" s="3"/>
      <c r="H2011" s="13"/>
      <c r="I2011" s="3"/>
    </row>
    <row r="2012" spans="1:9" x14ac:dyDescent="0.3">
      <c r="A2012" s="12"/>
      <c r="B2012" s="1"/>
      <c r="C2012" s="1"/>
      <c r="G2012" s="3"/>
      <c r="H2012" s="13"/>
      <c r="I2012" s="3"/>
    </row>
    <row r="2013" spans="1:9" x14ac:dyDescent="0.3">
      <c r="A2013" s="12"/>
      <c r="B2013" s="1"/>
      <c r="C2013" s="1"/>
      <c r="G2013" s="3"/>
      <c r="H2013" s="13"/>
      <c r="I2013" s="3"/>
    </row>
    <row r="2014" spans="1:9" x14ac:dyDescent="0.3">
      <c r="A2014" s="12"/>
      <c r="B2014" s="1"/>
      <c r="C2014" s="1"/>
      <c r="G2014" s="3"/>
      <c r="H2014" s="13"/>
      <c r="I2014" s="3"/>
    </row>
    <row r="2015" spans="1:9" x14ac:dyDescent="0.3">
      <c r="A2015" s="12"/>
      <c r="B2015" s="1"/>
      <c r="C2015" s="1"/>
      <c r="G2015" s="3"/>
      <c r="H2015" s="13"/>
      <c r="I2015" s="3"/>
    </row>
    <row r="2016" spans="1:9" x14ac:dyDescent="0.3">
      <c r="A2016" s="12"/>
      <c r="B2016" s="1"/>
      <c r="C2016" s="1"/>
      <c r="G2016" s="3"/>
      <c r="H2016" s="13"/>
      <c r="I2016" s="3"/>
    </row>
    <row r="2017" spans="1:9" x14ac:dyDescent="0.3">
      <c r="A2017" s="12"/>
      <c r="B2017" s="1"/>
      <c r="C2017" s="1"/>
      <c r="G2017" s="3"/>
      <c r="H2017" s="13"/>
      <c r="I2017" s="3"/>
    </row>
    <row r="2018" spans="1:9" x14ac:dyDescent="0.3">
      <c r="A2018" s="12"/>
      <c r="B2018" s="1"/>
      <c r="C2018" s="1"/>
      <c r="G2018" s="3"/>
      <c r="H2018" s="13"/>
      <c r="I2018" s="3"/>
    </row>
    <row r="2019" spans="1:9" x14ac:dyDescent="0.3">
      <c r="A2019" s="12"/>
      <c r="B2019" s="1"/>
      <c r="C2019" s="1"/>
      <c r="G2019" s="3"/>
      <c r="H2019" s="13"/>
      <c r="I2019" s="3"/>
    </row>
    <row r="2020" spans="1:9" x14ac:dyDescent="0.3">
      <c r="A2020" s="12"/>
      <c r="B2020" s="1"/>
      <c r="C2020" s="1"/>
      <c r="G2020" s="3"/>
      <c r="H2020" s="13"/>
      <c r="I2020" s="3"/>
    </row>
    <row r="2021" spans="1:9" x14ac:dyDescent="0.3">
      <c r="A2021" s="12"/>
      <c r="B2021" s="1"/>
      <c r="C2021" s="1"/>
      <c r="G2021" s="3"/>
      <c r="H2021" s="13"/>
      <c r="I2021" s="3"/>
    </row>
    <row r="2022" spans="1:9" x14ac:dyDescent="0.3">
      <c r="A2022" s="12"/>
      <c r="B2022" s="1"/>
      <c r="C2022" s="1"/>
      <c r="G2022" s="3"/>
      <c r="H2022" s="13"/>
      <c r="I2022" s="3"/>
    </row>
    <row r="2023" spans="1:9" x14ac:dyDescent="0.3">
      <c r="A2023" s="12"/>
      <c r="B2023" s="1"/>
      <c r="C2023" s="1"/>
      <c r="G2023" s="3"/>
      <c r="H2023" s="13"/>
      <c r="I2023" s="3"/>
    </row>
    <row r="2024" spans="1:9" x14ac:dyDescent="0.3">
      <c r="A2024" s="12"/>
      <c r="B2024" s="1"/>
      <c r="C2024" s="1"/>
      <c r="G2024" s="3"/>
      <c r="H2024" s="13"/>
      <c r="I2024" s="3"/>
    </row>
    <row r="2025" spans="1:9" x14ac:dyDescent="0.3">
      <c r="A2025" s="12"/>
      <c r="B2025" s="1"/>
      <c r="C2025" s="1"/>
      <c r="G2025" s="3"/>
      <c r="H2025" s="13"/>
      <c r="I2025" s="3"/>
    </row>
    <row r="2026" spans="1:9" x14ac:dyDescent="0.3">
      <c r="A2026" s="12"/>
      <c r="B2026" s="1"/>
      <c r="C2026" s="1"/>
      <c r="G2026" s="3"/>
      <c r="H2026" s="13"/>
      <c r="I2026" s="3"/>
    </row>
    <row r="2027" spans="1:9" x14ac:dyDescent="0.3">
      <c r="A2027" s="12"/>
      <c r="B2027" s="1"/>
      <c r="C2027" s="1"/>
      <c r="G2027" s="3"/>
      <c r="H2027" s="13"/>
      <c r="I2027" s="3"/>
    </row>
    <row r="2028" spans="1:9" x14ac:dyDescent="0.3">
      <c r="A2028" s="12"/>
      <c r="B2028" s="1"/>
      <c r="C2028" s="1"/>
      <c r="G2028" s="3"/>
      <c r="H2028" s="13"/>
      <c r="I2028" s="3"/>
    </row>
    <row r="2029" spans="1:9" x14ac:dyDescent="0.3">
      <c r="A2029" s="12"/>
      <c r="B2029" s="1"/>
      <c r="C2029" s="1"/>
      <c r="G2029" s="3"/>
      <c r="H2029" s="13"/>
      <c r="I2029" s="3"/>
    </row>
    <row r="2030" spans="1:9" x14ac:dyDescent="0.3">
      <c r="A2030" s="12"/>
      <c r="B2030" s="1"/>
      <c r="C2030" s="1"/>
      <c r="G2030" s="3"/>
      <c r="H2030" s="13"/>
      <c r="I2030" s="3"/>
    </row>
    <row r="2031" spans="1:9" x14ac:dyDescent="0.3">
      <c r="A2031" s="12"/>
      <c r="B2031" s="1"/>
      <c r="C2031" s="1"/>
      <c r="G2031" s="3"/>
      <c r="H2031" s="13"/>
      <c r="I2031" s="3"/>
    </row>
    <row r="2032" spans="1:9" x14ac:dyDescent="0.3">
      <c r="A2032" s="12"/>
      <c r="B2032" s="1"/>
      <c r="C2032" s="1"/>
      <c r="G2032" s="3"/>
      <c r="H2032" s="13"/>
      <c r="I2032" s="3"/>
    </row>
    <row r="2033" spans="1:9" x14ac:dyDescent="0.3">
      <c r="A2033" s="12"/>
      <c r="B2033" s="1"/>
      <c r="C2033" s="1"/>
      <c r="G2033" s="3"/>
      <c r="H2033" s="13"/>
      <c r="I2033" s="3"/>
    </row>
    <row r="2034" spans="1:9" x14ac:dyDescent="0.3">
      <c r="A2034" s="12"/>
      <c r="B2034" s="1"/>
      <c r="C2034" s="1"/>
      <c r="G2034" s="3"/>
      <c r="H2034" s="13"/>
      <c r="I2034" s="3"/>
    </row>
    <row r="2035" spans="1:9" x14ac:dyDescent="0.3">
      <c r="A2035" s="12"/>
      <c r="B2035" s="1"/>
      <c r="C2035" s="1"/>
      <c r="G2035" s="3"/>
      <c r="H2035" s="13"/>
      <c r="I2035" s="3"/>
    </row>
    <row r="2036" spans="1:9" x14ac:dyDescent="0.3">
      <c r="A2036" s="12"/>
      <c r="B2036" s="1"/>
      <c r="C2036" s="1"/>
      <c r="G2036" s="3"/>
      <c r="H2036" s="13"/>
      <c r="I2036" s="3"/>
    </row>
    <row r="2037" spans="1:9" x14ac:dyDescent="0.3">
      <c r="A2037" s="12"/>
      <c r="B2037" s="1"/>
      <c r="C2037" s="1"/>
      <c r="G2037" s="3"/>
      <c r="H2037" s="13"/>
      <c r="I2037" s="3"/>
    </row>
    <row r="2038" spans="1:9" x14ac:dyDescent="0.3">
      <c r="A2038" s="12"/>
      <c r="B2038" s="1"/>
      <c r="C2038" s="1"/>
      <c r="G2038" s="3"/>
      <c r="H2038" s="13"/>
      <c r="I2038" s="3"/>
    </row>
    <row r="2039" spans="1:9" x14ac:dyDescent="0.3">
      <c r="A2039" s="12"/>
      <c r="B2039" s="1"/>
      <c r="C2039" s="1"/>
      <c r="G2039" s="3"/>
      <c r="H2039" s="13"/>
      <c r="I2039" s="3"/>
    </row>
    <row r="2040" spans="1:9" x14ac:dyDescent="0.3">
      <c r="A2040" s="12"/>
      <c r="B2040" s="1"/>
      <c r="C2040" s="1"/>
      <c r="G2040" s="3"/>
      <c r="H2040" s="13"/>
      <c r="I2040" s="3"/>
    </row>
    <row r="2041" spans="1:9" x14ac:dyDescent="0.3">
      <c r="A2041" s="12"/>
      <c r="B2041" s="1"/>
      <c r="C2041" s="1"/>
      <c r="G2041" s="3"/>
      <c r="H2041" s="13"/>
      <c r="I2041" s="3"/>
    </row>
    <row r="2042" spans="1:9" x14ac:dyDescent="0.3">
      <c r="A2042" s="12"/>
      <c r="B2042" s="1"/>
      <c r="C2042" s="1"/>
      <c r="G2042" s="3"/>
      <c r="H2042" s="13"/>
      <c r="I2042" s="3"/>
    </row>
    <row r="2043" spans="1:9" x14ac:dyDescent="0.3">
      <c r="A2043" s="12"/>
      <c r="B2043" s="1"/>
      <c r="C2043" s="1"/>
      <c r="G2043" s="3"/>
      <c r="H2043" s="13"/>
      <c r="I2043" s="3"/>
    </row>
    <row r="2044" spans="1:9" x14ac:dyDescent="0.3">
      <c r="A2044" s="12"/>
      <c r="B2044" s="1"/>
      <c r="C2044" s="1"/>
      <c r="G2044" s="3"/>
      <c r="H2044" s="13"/>
      <c r="I2044" s="3"/>
    </row>
    <row r="2045" spans="1:9" x14ac:dyDescent="0.3">
      <c r="A2045" s="12"/>
      <c r="B2045" s="1"/>
      <c r="C2045" s="1"/>
      <c r="G2045" s="3"/>
      <c r="H2045" s="13"/>
      <c r="I2045" s="3"/>
    </row>
    <row r="2046" spans="1:9" x14ac:dyDescent="0.3">
      <c r="A2046" s="12"/>
      <c r="B2046" s="1"/>
      <c r="C2046" s="1"/>
      <c r="G2046" s="3"/>
      <c r="H2046" s="13"/>
      <c r="I2046" s="3"/>
    </row>
    <row r="2047" spans="1:9" x14ac:dyDescent="0.3">
      <c r="A2047" s="12"/>
      <c r="B2047" s="1"/>
      <c r="C2047" s="1"/>
      <c r="G2047" s="3"/>
      <c r="H2047" s="13"/>
      <c r="I2047" s="3"/>
    </row>
    <row r="2048" spans="1:9" x14ac:dyDescent="0.3">
      <c r="A2048" s="12"/>
      <c r="B2048" s="1"/>
      <c r="C2048" s="1"/>
      <c r="G2048" s="3"/>
      <c r="H2048" s="13"/>
      <c r="I2048" s="3"/>
    </row>
    <row r="2049" spans="1:9" x14ac:dyDescent="0.3">
      <c r="A2049" s="12"/>
      <c r="B2049" s="1"/>
      <c r="C2049" s="1"/>
      <c r="G2049" s="3"/>
      <c r="H2049" s="13"/>
      <c r="I2049" s="3"/>
    </row>
    <row r="2050" spans="1:9" x14ac:dyDescent="0.3">
      <c r="A2050" s="12"/>
      <c r="B2050" s="1"/>
      <c r="C2050" s="1"/>
      <c r="G2050" s="3"/>
      <c r="H2050" s="13"/>
      <c r="I2050" s="3"/>
    </row>
    <row r="2051" spans="1:9" x14ac:dyDescent="0.3">
      <c r="A2051" s="12"/>
      <c r="B2051" s="1"/>
      <c r="C2051" s="1"/>
      <c r="G2051" s="3"/>
      <c r="H2051" s="13"/>
      <c r="I2051" s="3"/>
    </row>
    <row r="2052" spans="1:9" x14ac:dyDescent="0.3">
      <c r="A2052" s="12"/>
      <c r="B2052" s="1"/>
      <c r="C2052" s="1"/>
      <c r="G2052" s="3"/>
      <c r="H2052" s="13"/>
      <c r="I2052" s="3"/>
    </row>
    <row r="2053" spans="1:9" x14ac:dyDescent="0.3">
      <c r="A2053" s="12"/>
      <c r="B2053" s="1"/>
      <c r="C2053" s="1"/>
      <c r="G2053" s="3"/>
      <c r="H2053" s="13"/>
      <c r="I2053" s="3"/>
    </row>
    <row r="2054" spans="1:9" x14ac:dyDescent="0.3">
      <c r="A2054" s="12"/>
      <c r="B2054" s="1"/>
      <c r="C2054" s="1"/>
      <c r="G2054" s="3"/>
      <c r="H2054" s="13"/>
      <c r="I2054" s="3"/>
    </row>
    <row r="2055" spans="1:9" x14ac:dyDescent="0.3">
      <c r="A2055" s="12"/>
      <c r="B2055" s="1"/>
      <c r="C2055" s="1"/>
      <c r="G2055" s="3"/>
      <c r="H2055" s="13"/>
      <c r="I2055" s="3"/>
    </row>
    <row r="2056" spans="1:9" x14ac:dyDescent="0.3">
      <c r="A2056" s="12"/>
      <c r="B2056" s="1"/>
      <c r="C2056" s="1"/>
      <c r="G2056" s="3"/>
      <c r="H2056" s="13"/>
      <c r="I2056" s="3"/>
    </row>
    <row r="2057" spans="1:9" x14ac:dyDescent="0.3">
      <c r="A2057" s="12"/>
      <c r="B2057" s="1"/>
      <c r="C2057" s="1"/>
      <c r="G2057" s="3"/>
      <c r="H2057" s="13"/>
      <c r="I2057" s="3"/>
    </row>
    <row r="2058" spans="1:9" x14ac:dyDescent="0.3">
      <c r="A2058" s="12"/>
      <c r="B2058" s="1"/>
      <c r="C2058" s="1"/>
      <c r="G2058" s="3"/>
      <c r="H2058" s="13"/>
      <c r="I2058" s="3"/>
    </row>
    <row r="2059" spans="1:9" x14ac:dyDescent="0.3">
      <c r="A2059" s="12"/>
      <c r="B2059" s="1"/>
      <c r="C2059" s="1"/>
      <c r="G2059" s="3"/>
      <c r="H2059" s="13"/>
      <c r="I2059" s="3"/>
    </row>
    <row r="2060" spans="1:9" x14ac:dyDescent="0.3">
      <c r="A2060" s="12"/>
      <c r="B2060" s="1"/>
      <c r="C2060" s="1"/>
      <c r="G2060" s="3"/>
      <c r="H2060" s="13"/>
      <c r="I2060" s="3"/>
    </row>
    <row r="2061" spans="1:9" x14ac:dyDescent="0.3">
      <c r="A2061" s="12"/>
      <c r="B2061" s="1"/>
      <c r="C2061" s="1"/>
      <c r="G2061" s="3"/>
      <c r="H2061" s="13"/>
      <c r="I2061" s="3"/>
    </row>
    <row r="2062" spans="1:9" x14ac:dyDescent="0.3">
      <c r="A2062" s="12"/>
      <c r="B2062" s="1"/>
      <c r="C2062" s="1"/>
      <c r="G2062" s="3"/>
      <c r="H2062" s="13"/>
      <c r="I2062" s="3"/>
    </row>
    <row r="2063" spans="1:9" x14ac:dyDescent="0.3">
      <c r="A2063" s="12"/>
      <c r="B2063" s="1"/>
      <c r="C2063" s="1"/>
      <c r="G2063" s="3"/>
      <c r="H2063" s="13"/>
      <c r="I2063" s="3"/>
    </row>
    <row r="2064" spans="1:9" x14ac:dyDescent="0.3">
      <c r="A2064" s="12"/>
      <c r="B2064" s="1"/>
      <c r="C2064" s="1"/>
      <c r="G2064" s="3"/>
      <c r="H2064" s="13"/>
      <c r="I2064" s="3"/>
    </row>
    <row r="2065" spans="1:9" x14ac:dyDescent="0.3">
      <c r="A2065" s="12"/>
      <c r="B2065" s="1"/>
      <c r="C2065" s="1"/>
      <c r="G2065" s="3"/>
      <c r="H2065" s="13"/>
      <c r="I2065" s="3"/>
    </row>
    <row r="2066" spans="1:9" x14ac:dyDescent="0.3">
      <c r="A2066" s="12"/>
      <c r="B2066" s="1"/>
      <c r="C2066" s="1"/>
      <c r="G2066" s="3"/>
      <c r="H2066" s="13"/>
      <c r="I2066" s="3"/>
    </row>
    <row r="2067" spans="1:9" x14ac:dyDescent="0.3">
      <c r="A2067" s="12"/>
      <c r="B2067" s="1"/>
      <c r="C2067" s="1"/>
      <c r="G2067" s="3"/>
      <c r="H2067" s="13"/>
      <c r="I2067" s="3"/>
    </row>
    <row r="2068" spans="1:9" x14ac:dyDescent="0.3">
      <c r="A2068" s="12"/>
      <c r="B2068" s="1"/>
      <c r="C2068" s="1"/>
      <c r="G2068" s="3"/>
      <c r="H2068" s="13"/>
      <c r="I2068" s="3"/>
    </row>
    <row r="2069" spans="1:9" x14ac:dyDescent="0.3">
      <c r="A2069" s="12"/>
      <c r="B2069" s="1"/>
      <c r="C2069" s="1"/>
      <c r="G2069" s="3"/>
      <c r="H2069" s="13"/>
      <c r="I2069" s="3"/>
    </row>
    <row r="2070" spans="1:9" x14ac:dyDescent="0.3">
      <c r="A2070" s="12"/>
      <c r="B2070" s="1"/>
      <c r="C2070" s="1"/>
      <c r="G2070" s="3"/>
      <c r="H2070" s="13"/>
      <c r="I2070" s="3"/>
    </row>
    <row r="2071" spans="1:9" x14ac:dyDescent="0.3">
      <c r="A2071" s="12"/>
      <c r="B2071" s="1"/>
      <c r="C2071" s="1"/>
      <c r="G2071" s="3"/>
      <c r="H2071" s="13"/>
      <c r="I2071" s="3"/>
    </row>
    <row r="2072" spans="1:9" x14ac:dyDescent="0.3">
      <c r="A2072" s="12"/>
      <c r="B2072" s="1"/>
      <c r="C2072" s="1"/>
      <c r="G2072" s="3"/>
      <c r="H2072" s="13"/>
      <c r="I2072" s="3"/>
    </row>
    <row r="2073" spans="1:9" x14ac:dyDescent="0.3">
      <c r="A2073" s="12"/>
      <c r="B2073" s="1"/>
      <c r="C2073" s="1"/>
      <c r="G2073" s="3"/>
      <c r="H2073" s="13"/>
      <c r="I2073" s="3"/>
    </row>
    <row r="2074" spans="1:9" x14ac:dyDescent="0.3">
      <c r="A2074" s="12"/>
      <c r="B2074" s="1"/>
      <c r="C2074" s="1"/>
      <c r="G2074" s="3"/>
      <c r="H2074" s="13"/>
      <c r="I2074" s="3"/>
    </row>
    <row r="2075" spans="1:9" x14ac:dyDescent="0.3">
      <c r="A2075" s="12"/>
      <c r="B2075" s="1"/>
      <c r="C2075" s="1"/>
      <c r="G2075" s="3"/>
      <c r="H2075" s="13"/>
      <c r="I2075" s="3"/>
    </row>
    <row r="2076" spans="1:9" x14ac:dyDescent="0.3">
      <c r="A2076" s="12"/>
      <c r="B2076" s="1"/>
      <c r="C2076" s="1"/>
      <c r="G2076" s="3"/>
      <c r="H2076" s="13"/>
      <c r="I2076" s="3"/>
    </row>
    <row r="2077" spans="1:9" x14ac:dyDescent="0.3">
      <c r="A2077" s="12"/>
      <c r="B2077" s="1"/>
      <c r="C2077" s="1"/>
      <c r="G2077" s="3"/>
      <c r="H2077" s="13"/>
      <c r="I2077" s="3"/>
    </row>
    <row r="2078" spans="1:9" x14ac:dyDescent="0.3">
      <c r="A2078" s="12"/>
      <c r="B2078" s="1"/>
      <c r="C2078" s="1"/>
      <c r="G2078" s="3"/>
      <c r="H2078" s="13"/>
      <c r="I2078" s="3"/>
    </row>
    <row r="2079" spans="1:9" x14ac:dyDescent="0.3">
      <c r="A2079" s="12"/>
      <c r="B2079" s="1"/>
      <c r="C2079" s="1"/>
      <c r="G2079" s="3"/>
      <c r="H2079" s="13"/>
      <c r="I2079" s="3"/>
    </row>
    <row r="2080" spans="1:9" x14ac:dyDescent="0.3">
      <c r="A2080" s="12"/>
      <c r="B2080" s="1"/>
      <c r="C2080" s="1"/>
      <c r="G2080" s="3"/>
      <c r="H2080" s="13"/>
      <c r="I2080" s="3"/>
    </row>
    <row r="2081" spans="1:9" x14ac:dyDescent="0.3">
      <c r="A2081" s="12"/>
      <c r="B2081" s="1"/>
      <c r="C2081" s="1"/>
      <c r="G2081" s="3"/>
      <c r="H2081" s="13"/>
      <c r="I2081" s="3"/>
    </row>
    <row r="2082" spans="1:9" x14ac:dyDescent="0.3">
      <c r="A2082" s="12"/>
      <c r="B2082" s="1"/>
      <c r="C2082" s="1"/>
      <c r="G2082" s="3"/>
      <c r="H2082" s="13"/>
      <c r="I2082" s="3"/>
    </row>
    <row r="2083" spans="1:9" x14ac:dyDescent="0.3">
      <c r="A2083" s="12"/>
      <c r="B2083" s="1"/>
      <c r="C2083" s="1"/>
      <c r="G2083" s="3"/>
      <c r="H2083" s="13"/>
      <c r="I2083" s="3"/>
    </row>
    <row r="2084" spans="1:9" x14ac:dyDescent="0.3">
      <c r="A2084" s="12"/>
      <c r="B2084" s="1"/>
      <c r="C2084" s="1"/>
      <c r="G2084" s="3"/>
      <c r="H2084" s="13"/>
      <c r="I2084" s="3"/>
    </row>
    <row r="2085" spans="1:9" x14ac:dyDescent="0.3">
      <c r="A2085" s="12"/>
      <c r="B2085" s="1"/>
      <c r="C2085" s="1"/>
      <c r="G2085" s="3"/>
      <c r="H2085" s="13"/>
      <c r="I2085" s="3"/>
    </row>
    <row r="2086" spans="1:9" x14ac:dyDescent="0.3">
      <c r="A2086" s="12"/>
      <c r="B2086" s="1"/>
      <c r="C2086" s="1"/>
      <c r="G2086" s="3"/>
      <c r="H2086" s="13"/>
      <c r="I2086" s="3"/>
    </row>
    <row r="2087" spans="1:9" x14ac:dyDescent="0.3">
      <c r="A2087" s="12"/>
      <c r="B2087" s="1"/>
      <c r="C2087" s="1"/>
      <c r="G2087" s="3"/>
      <c r="H2087" s="13"/>
      <c r="I2087" s="3"/>
    </row>
    <row r="2088" spans="1:9" x14ac:dyDescent="0.3">
      <c r="A2088" s="12"/>
      <c r="B2088" s="1"/>
      <c r="C2088" s="1"/>
      <c r="G2088" s="3"/>
      <c r="H2088" s="13"/>
      <c r="I2088" s="3"/>
    </row>
    <row r="2089" spans="1:9" x14ac:dyDescent="0.3">
      <c r="A2089" s="12"/>
      <c r="B2089" s="1"/>
      <c r="C2089" s="1"/>
      <c r="G2089" s="3"/>
      <c r="H2089" s="13"/>
      <c r="I2089" s="3"/>
    </row>
    <row r="2090" spans="1:9" x14ac:dyDescent="0.3">
      <c r="A2090" s="12"/>
      <c r="B2090" s="1"/>
      <c r="C2090" s="1"/>
      <c r="G2090" s="3"/>
      <c r="H2090" s="13"/>
      <c r="I2090" s="3"/>
    </row>
    <row r="2091" spans="1:9" x14ac:dyDescent="0.3">
      <c r="A2091" s="12"/>
      <c r="B2091" s="1"/>
      <c r="C2091" s="1"/>
      <c r="G2091" s="3"/>
      <c r="H2091" s="13"/>
      <c r="I2091" s="3"/>
    </row>
    <row r="2092" spans="1:9" x14ac:dyDescent="0.3">
      <c r="A2092" s="12"/>
      <c r="B2092" s="1"/>
      <c r="C2092" s="1"/>
      <c r="G2092" s="3"/>
      <c r="H2092" s="13"/>
      <c r="I2092" s="3"/>
    </row>
    <row r="2093" spans="1:9" x14ac:dyDescent="0.3">
      <c r="A2093" s="12"/>
      <c r="B2093" s="1"/>
      <c r="C2093" s="1"/>
      <c r="G2093" s="3"/>
      <c r="H2093" s="13"/>
      <c r="I2093" s="3"/>
    </row>
    <row r="2094" spans="1:9" x14ac:dyDescent="0.3">
      <c r="A2094" s="12"/>
      <c r="B2094" s="1"/>
      <c r="C2094" s="1"/>
      <c r="G2094" s="3"/>
      <c r="H2094" s="13"/>
      <c r="I2094" s="3"/>
    </row>
    <row r="2095" spans="1:9" x14ac:dyDescent="0.3">
      <c r="A2095" s="12"/>
      <c r="B2095" s="1"/>
      <c r="C2095" s="1"/>
      <c r="G2095" s="3"/>
      <c r="H2095" s="13"/>
      <c r="I2095" s="3"/>
    </row>
    <row r="2096" spans="1:9" x14ac:dyDescent="0.3">
      <c r="A2096" s="12"/>
      <c r="B2096" s="1"/>
      <c r="C2096" s="1"/>
      <c r="G2096" s="3"/>
      <c r="H2096" s="13"/>
      <c r="I2096" s="3"/>
    </row>
    <row r="2097" spans="1:9" x14ac:dyDescent="0.3">
      <c r="A2097" s="12"/>
      <c r="B2097" s="1"/>
      <c r="C2097" s="1"/>
      <c r="G2097" s="3"/>
      <c r="H2097" s="13"/>
      <c r="I2097" s="3"/>
    </row>
    <row r="2098" spans="1:9" x14ac:dyDescent="0.3">
      <c r="A2098" s="12"/>
      <c r="B2098" s="1"/>
      <c r="C2098" s="1"/>
      <c r="G2098" s="3"/>
      <c r="H2098" s="13"/>
      <c r="I2098" s="3"/>
    </row>
    <row r="2099" spans="1:9" x14ac:dyDescent="0.3">
      <c r="A2099" s="12"/>
      <c r="B2099" s="1"/>
      <c r="C2099" s="1"/>
      <c r="G2099" s="3"/>
      <c r="H2099" s="13"/>
      <c r="I2099" s="3"/>
    </row>
    <row r="2100" spans="1:9" x14ac:dyDescent="0.3">
      <c r="A2100" s="12"/>
      <c r="B2100" s="1"/>
      <c r="C2100" s="1"/>
      <c r="G2100" s="3"/>
      <c r="H2100" s="13"/>
      <c r="I2100" s="3"/>
    </row>
    <row r="2101" spans="1:9" x14ac:dyDescent="0.3">
      <c r="A2101" s="12"/>
      <c r="B2101" s="1"/>
      <c r="C2101" s="1"/>
      <c r="G2101" s="3"/>
      <c r="H2101" s="13"/>
      <c r="I2101" s="3"/>
    </row>
    <row r="2102" spans="1:9" x14ac:dyDescent="0.3">
      <c r="A2102" s="12"/>
      <c r="B2102" s="1"/>
      <c r="C2102" s="1"/>
      <c r="G2102" s="3"/>
      <c r="H2102" s="13"/>
      <c r="I2102" s="3"/>
    </row>
    <row r="2103" spans="1:9" x14ac:dyDescent="0.3">
      <c r="A2103" s="12"/>
      <c r="B2103" s="1"/>
      <c r="C2103" s="1"/>
      <c r="G2103" s="3"/>
      <c r="H2103" s="13"/>
      <c r="I2103" s="3"/>
    </row>
    <row r="2104" spans="1:9" x14ac:dyDescent="0.3">
      <c r="A2104" s="12"/>
      <c r="B2104" s="1"/>
      <c r="C2104" s="1"/>
      <c r="G2104" s="3"/>
      <c r="H2104" s="13"/>
      <c r="I2104" s="3"/>
    </row>
    <row r="2105" spans="1:9" x14ac:dyDescent="0.3">
      <c r="A2105" s="12"/>
      <c r="B2105" s="1"/>
      <c r="C2105" s="1"/>
      <c r="G2105" s="3"/>
      <c r="H2105" s="13"/>
      <c r="I2105" s="3"/>
    </row>
    <row r="2106" spans="1:9" x14ac:dyDescent="0.3">
      <c r="A2106" s="12"/>
      <c r="B2106" s="1"/>
      <c r="C2106" s="1"/>
      <c r="G2106" s="3"/>
      <c r="H2106" s="13"/>
      <c r="I2106" s="3"/>
    </row>
    <row r="2107" spans="1:9" x14ac:dyDescent="0.3">
      <c r="A2107" s="12"/>
      <c r="B2107" s="1"/>
      <c r="C2107" s="1"/>
      <c r="G2107" s="3"/>
      <c r="H2107" s="13"/>
      <c r="I2107" s="3"/>
    </row>
    <row r="2108" spans="1:9" x14ac:dyDescent="0.3">
      <c r="A2108" s="12"/>
      <c r="B2108" s="1"/>
      <c r="C2108" s="1"/>
      <c r="G2108" s="3"/>
      <c r="H2108" s="13"/>
      <c r="I2108" s="3"/>
    </row>
    <row r="2109" spans="1:9" x14ac:dyDescent="0.3">
      <c r="A2109" s="12"/>
      <c r="B2109" s="1"/>
      <c r="C2109" s="1"/>
      <c r="G2109" s="3"/>
      <c r="H2109" s="13"/>
      <c r="I2109" s="3"/>
    </row>
    <row r="2110" spans="1:9" x14ac:dyDescent="0.3">
      <c r="A2110" s="12"/>
      <c r="B2110" s="1"/>
      <c r="C2110" s="1"/>
      <c r="G2110" s="3"/>
      <c r="H2110" s="13"/>
      <c r="I2110" s="3"/>
    </row>
    <row r="2111" spans="1:9" x14ac:dyDescent="0.3">
      <c r="A2111" s="12"/>
      <c r="B2111" s="1"/>
      <c r="C2111" s="1"/>
      <c r="G2111" s="3"/>
      <c r="H2111" s="13"/>
      <c r="I2111" s="3"/>
    </row>
    <row r="2112" spans="1:9" x14ac:dyDescent="0.3">
      <c r="A2112" s="12"/>
      <c r="B2112" s="1"/>
      <c r="C2112" s="1"/>
      <c r="G2112" s="3"/>
      <c r="H2112" s="13"/>
      <c r="I2112" s="3"/>
    </row>
    <row r="2113" spans="1:9" x14ac:dyDescent="0.3">
      <c r="A2113" s="12"/>
      <c r="B2113" s="1"/>
      <c r="C2113" s="1"/>
      <c r="G2113" s="3"/>
      <c r="H2113" s="13"/>
      <c r="I2113" s="3"/>
    </row>
    <row r="2114" spans="1:9" x14ac:dyDescent="0.3">
      <c r="A2114" s="12"/>
      <c r="B2114" s="1"/>
      <c r="C2114" s="1"/>
      <c r="G2114" s="3"/>
      <c r="H2114" s="13"/>
      <c r="I2114" s="3"/>
    </row>
    <row r="2115" spans="1:9" x14ac:dyDescent="0.3">
      <c r="A2115" s="12"/>
      <c r="B2115" s="1"/>
      <c r="C2115" s="1"/>
      <c r="G2115" s="3"/>
      <c r="H2115" s="13"/>
      <c r="I2115" s="3"/>
    </row>
    <row r="2116" spans="1:9" x14ac:dyDescent="0.3">
      <c r="A2116" s="12"/>
      <c r="B2116" s="1"/>
      <c r="C2116" s="1"/>
      <c r="G2116" s="3"/>
      <c r="H2116" s="13"/>
      <c r="I2116" s="3"/>
    </row>
    <row r="2117" spans="1:9" x14ac:dyDescent="0.3">
      <c r="A2117" s="12"/>
      <c r="B2117" s="1"/>
      <c r="C2117" s="1"/>
      <c r="G2117" s="3"/>
      <c r="H2117" s="13"/>
      <c r="I2117" s="3"/>
    </row>
    <row r="2118" spans="1:9" x14ac:dyDescent="0.3">
      <c r="A2118" s="12"/>
      <c r="B2118" s="1"/>
      <c r="C2118" s="1"/>
      <c r="G2118" s="3"/>
      <c r="H2118" s="13"/>
      <c r="I2118" s="3"/>
    </row>
    <row r="2119" spans="1:9" x14ac:dyDescent="0.3">
      <c r="A2119" s="12"/>
      <c r="B2119" s="1"/>
      <c r="C2119" s="1"/>
      <c r="G2119" s="3"/>
      <c r="H2119" s="13"/>
      <c r="I2119" s="3"/>
    </row>
    <row r="2120" spans="1:9" x14ac:dyDescent="0.3">
      <c r="A2120" s="12"/>
      <c r="B2120" s="1"/>
      <c r="C2120" s="1"/>
      <c r="G2120" s="3"/>
      <c r="H2120" s="13"/>
      <c r="I2120" s="3"/>
    </row>
    <row r="2121" spans="1:9" x14ac:dyDescent="0.3">
      <c r="A2121" s="12"/>
      <c r="B2121" s="1"/>
      <c r="C2121" s="1"/>
      <c r="G2121" s="3"/>
      <c r="H2121" s="13"/>
      <c r="I2121" s="3"/>
    </row>
    <row r="2122" spans="1:9" x14ac:dyDescent="0.3">
      <c r="A2122" s="12"/>
      <c r="B2122" s="1"/>
      <c r="C2122" s="1"/>
      <c r="G2122" s="3"/>
      <c r="H2122" s="13"/>
      <c r="I2122" s="3"/>
    </row>
    <row r="2123" spans="1:9" x14ac:dyDescent="0.3">
      <c r="A2123" s="12"/>
      <c r="B2123" s="1"/>
      <c r="C2123" s="1"/>
      <c r="G2123" s="3"/>
      <c r="H2123" s="13"/>
      <c r="I2123" s="3"/>
    </row>
    <row r="2124" spans="1:9" x14ac:dyDescent="0.3">
      <c r="A2124" s="12"/>
      <c r="B2124" s="1"/>
      <c r="C2124" s="1"/>
      <c r="G2124" s="3"/>
      <c r="H2124" s="13"/>
      <c r="I2124" s="3"/>
    </row>
    <row r="2125" spans="1:9" x14ac:dyDescent="0.3">
      <c r="A2125" s="12"/>
      <c r="B2125" s="1"/>
      <c r="C2125" s="1"/>
      <c r="G2125" s="3"/>
      <c r="H2125" s="13"/>
      <c r="I2125" s="3"/>
    </row>
    <row r="2126" spans="1:9" x14ac:dyDescent="0.3">
      <c r="A2126" s="12"/>
      <c r="B2126" s="1"/>
      <c r="C2126" s="1"/>
      <c r="G2126" s="3"/>
      <c r="H2126" s="13"/>
      <c r="I2126" s="3"/>
    </row>
    <row r="2127" spans="1:9" x14ac:dyDescent="0.3">
      <c r="A2127" s="12"/>
      <c r="B2127" s="1"/>
      <c r="C2127" s="1"/>
      <c r="G2127" s="3"/>
      <c r="H2127" s="13"/>
      <c r="I2127" s="3"/>
    </row>
    <row r="2128" spans="1:9" x14ac:dyDescent="0.3">
      <c r="A2128" s="12"/>
      <c r="B2128" s="1"/>
      <c r="C2128" s="1"/>
      <c r="G2128" s="3"/>
      <c r="H2128" s="13"/>
      <c r="I2128" s="3"/>
    </row>
    <row r="2129" spans="1:9" x14ac:dyDescent="0.3">
      <c r="A2129" s="12"/>
      <c r="B2129" s="1"/>
      <c r="C2129" s="1"/>
      <c r="G2129" s="3"/>
      <c r="H2129" s="13"/>
      <c r="I2129" s="3"/>
    </row>
    <row r="2130" spans="1:9" x14ac:dyDescent="0.3">
      <c r="A2130" s="12"/>
      <c r="B2130" s="1"/>
      <c r="C2130" s="1"/>
      <c r="G2130" s="3"/>
      <c r="H2130" s="13"/>
      <c r="I2130" s="3"/>
    </row>
    <row r="2131" spans="1:9" x14ac:dyDescent="0.3">
      <c r="A2131" s="12"/>
      <c r="B2131" s="1"/>
      <c r="C2131" s="1"/>
      <c r="G2131" s="3"/>
      <c r="H2131" s="13"/>
      <c r="I2131" s="3"/>
    </row>
    <row r="2132" spans="1:9" x14ac:dyDescent="0.3">
      <c r="A2132" s="12"/>
      <c r="B2132" s="1"/>
      <c r="C2132" s="1"/>
      <c r="G2132" s="3"/>
      <c r="H2132" s="13"/>
      <c r="I2132" s="3"/>
    </row>
    <row r="2133" spans="1:9" x14ac:dyDescent="0.3">
      <c r="A2133" s="12"/>
      <c r="B2133" s="1"/>
      <c r="C2133" s="1"/>
      <c r="G2133" s="3"/>
      <c r="H2133" s="13"/>
      <c r="I2133" s="3"/>
    </row>
    <row r="2134" spans="1:9" x14ac:dyDescent="0.3">
      <c r="A2134" s="12"/>
      <c r="B2134" s="1"/>
      <c r="C2134" s="1"/>
      <c r="G2134" s="3"/>
      <c r="H2134" s="13"/>
      <c r="I2134" s="3"/>
    </row>
    <row r="2135" spans="1:9" x14ac:dyDescent="0.3">
      <c r="A2135" s="12"/>
      <c r="B2135" s="1"/>
      <c r="C2135" s="1"/>
      <c r="G2135" s="3"/>
      <c r="H2135" s="13"/>
      <c r="I2135" s="3"/>
    </row>
    <row r="2136" spans="1:9" x14ac:dyDescent="0.3">
      <c r="A2136" s="12"/>
      <c r="B2136" s="1"/>
      <c r="C2136" s="1"/>
      <c r="G2136" s="3"/>
      <c r="H2136" s="13"/>
      <c r="I2136" s="3"/>
    </row>
    <row r="2137" spans="1:9" x14ac:dyDescent="0.3">
      <c r="A2137" s="12"/>
      <c r="B2137" s="1"/>
      <c r="C2137" s="1"/>
      <c r="G2137" s="3"/>
      <c r="H2137" s="13"/>
      <c r="I2137" s="3"/>
    </row>
    <row r="2138" spans="1:9" x14ac:dyDescent="0.3">
      <c r="A2138" s="12"/>
      <c r="B2138" s="1"/>
      <c r="C2138" s="1"/>
      <c r="G2138" s="3"/>
      <c r="H2138" s="13"/>
      <c r="I2138" s="3"/>
    </row>
    <row r="2139" spans="1:9" x14ac:dyDescent="0.3">
      <c r="A2139" s="12"/>
      <c r="B2139" s="1"/>
      <c r="C2139" s="1"/>
      <c r="G2139" s="3"/>
      <c r="H2139" s="13"/>
      <c r="I2139" s="3"/>
    </row>
    <row r="2140" spans="1:9" x14ac:dyDescent="0.3">
      <c r="A2140" s="12"/>
      <c r="B2140" s="1"/>
      <c r="C2140" s="1"/>
      <c r="G2140" s="3"/>
      <c r="H2140" s="13"/>
      <c r="I2140" s="3"/>
    </row>
    <row r="2141" spans="1:9" x14ac:dyDescent="0.3">
      <c r="A2141" s="12"/>
      <c r="B2141" s="1"/>
      <c r="C2141" s="1"/>
      <c r="G2141" s="3"/>
      <c r="H2141" s="13"/>
      <c r="I2141" s="3"/>
    </row>
    <row r="2142" spans="1:9" x14ac:dyDescent="0.3">
      <c r="A2142" s="12"/>
      <c r="B2142" s="1"/>
      <c r="C2142" s="1"/>
      <c r="G2142" s="3"/>
      <c r="H2142" s="13"/>
      <c r="I2142" s="3"/>
    </row>
    <row r="2143" spans="1:9" x14ac:dyDescent="0.3">
      <c r="A2143" s="12"/>
      <c r="B2143" s="1"/>
      <c r="C2143" s="1"/>
      <c r="G2143" s="3"/>
      <c r="H2143" s="13"/>
      <c r="I2143" s="3"/>
    </row>
    <row r="2144" spans="1:9" x14ac:dyDescent="0.3">
      <c r="A2144" s="12"/>
      <c r="B2144" s="1"/>
      <c r="C2144" s="1"/>
      <c r="G2144" s="3"/>
      <c r="H2144" s="13"/>
      <c r="I2144" s="3"/>
    </row>
    <row r="2145" spans="1:9" x14ac:dyDescent="0.3">
      <c r="A2145" s="12"/>
      <c r="B2145" s="1"/>
      <c r="C2145" s="1"/>
      <c r="G2145" s="3"/>
      <c r="H2145" s="13"/>
      <c r="I2145" s="3"/>
    </row>
    <row r="2146" spans="1:9" x14ac:dyDescent="0.3">
      <c r="A2146" s="12"/>
      <c r="B2146" s="1"/>
      <c r="C2146" s="1"/>
      <c r="G2146" s="3"/>
      <c r="H2146" s="13"/>
      <c r="I2146" s="3"/>
    </row>
    <row r="2147" spans="1:9" x14ac:dyDescent="0.3">
      <c r="A2147" s="12"/>
      <c r="B2147" s="1"/>
      <c r="C2147" s="1"/>
      <c r="G2147" s="3"/>
      <c r="H2147" s="13"/>
      <c r="I2147" s="3"/>
    </row>
    <row r="2148" spans="1:9" x14ac:dyDescent="0.3">
      <c r="A2148" s="12"/>
      <c r="B2148" s="1"/>
      <c r="C2148" s="1"/>
      <c r="G2148" s="3"/>
      <c r="H2148" s="13"/>
      <c r="I2148" s="3"/>
    </row>
    <row r="2149" spans="1:9" x14ac:dyDescent="0.3">
      <c r="A2149" s="12"/>
      <c r="B2149" s="1"/>
      <c r="C2149" s="1"/>
      <c r="G2149" s="3"/>
      <c r="H2149" s="13"/>
      <c r="I2149" s="3"/>
    </row>
    <row r="2150" spans="1:9" x14ac:dyDescent="0.3">
      <c r="A2150" s="12"/>
      <c r="B2150" s="1"/>
      <c r="C2150" s="1"/>
      <c r="G2150" s="3"/>
      <c r="H2150" s="13"/>
      <c r="I2150" s="3"/>
    </row>
    <row r="2151" spans="1:9" x14ac:dyDescent="0.3">
      <c r="A2151" s="12"/>
      <c r="B2151" s="1"/>
      <c r="C2151" s="1"/>
      <c r="G2151" s="3"/>
      <c r="H2151" s="13"/>
      <c r="I2151" s="3"/>
    </row>
    <row r="2152" spans="1:9" x14ac:dyDescent="0.3">
      <c r="A2152" s="12"/>
      <c r="B2152" s="1"/>
      <c r="C2152" s="1"/>
      <c r="G2152" s="3"/>
      <c r="H2152" s="13"/>
      <c r="I2152" s="3"/>
    </row>
    <row r="2153" spans="1:9" x14ac:dyDescent="0.3">
      <c r="A2153" s="12"/>
      <c r="B2153" s="1"/>
      <c r="C2153" s="1"/>
      <c r="G2153" s="3"/>
      <c r="H2153" s="13"/>
      <c r="I2153" s="3"/>
    </row>
    <row r="2154" spans="1:9" x14ac:dyDescent="0.3">
      <c r="A2154" s="12"/>
      <c r="B2154" s="1"/>
      <c r="C2154" s="1"/>
      <c r="G2154" s="3"/>
      <c r="H2154" s="13"/>
      <c r="I2154" s="3"/>
    </row>
    <row r="2155" spans="1:9" x14ac:dyDescent="0.3">
      <c r="A2155" s="12"/>
      <c r="B2155" s="1"/>
      <c r="C2155" s="1"/>
      <c r="G2155" s="3"/>
      <c r="H2155" s="13"/>
      <c r="I2155" s="3"/>
    </row>
    <row r="2156" spans="1:9" x14ac:dyDescent="0.3">
      <c r="A2156" s="12"/>
      <c r="B2156" s="1"/>
      <c r="C2156" s="1"/>
      <c r="G2156" s="3"/>
      <c r="H2156" s="13"/>
      <c r="I2156" s="3"/>
    </row>
    <row r="2157" spans="1:9" x14ac:dyDescent="0.3">
      <c r="A2157" s="12"/>
      <c r="B2157" s="1"/>
      <c r="C2157" s="1"/>
      <c r="G2157" s="3"/>
      <c r="H2157" s="13"/>
      <c r="I2157" s="3"/>
    </row>
    <row r="2158" spans="1:9" x14ac:dyDescent="0.3">
      <c r="A2158" s="12"/>
      <c r="B2158" s="1"/>
      <c r="C2158" s="1"/>
      <c r="G2158" s="3"/>
      <c r="H2158" s="13"/>
      <c r="I2158" s="3"/>
    </row>
    <row r="2159" spans="1:9" x14ac:dyDescent="0.3">
      <c r="A2159" s="12"/>
      <c r="B2159" s="1"/>
      <c r="C2159" s="1"/>
      <c r="G2159" s="3"/>
      <c r="H2159" s="13"/>
      <c r="I2159" s="3"/>
    </row>
    <row r="2160" spans="1:9" x14ac:dyDescent="0.3">
      <c r="A2160" s="12"/>
      <c r="B2160" s="1"/>
      <c r="C2160" s="1"/>
      <c r="G2160" s="3"/>
      <c r="H2160" s="13"/>
      <c r="I2160" s="3"/>
    </row>
    <row r="2161" spans="1:9" x14ac:dyDescent="0.3">
      <c r="A2161" s="12"/>
      <c r="B2161" s="1"/>
      <c r="C2161" s="1"/>
      <c r="G2161" s="3"/>
      <c r="H2161" s="13"/>
      <c r="I2161" s="3"/>
    </row>
    <row r="2162" spans="1:9" x14ac:dyDescent="0.3">
      <c r="A2162" s="12"/>
      <c r="B2162" s="1"/>
      <c r="C2162" s="1"/>
      <c r="G2162" s="3"/>
      <c r="H2162" s="13"/>
      <c r="I2162" s="3"/>
    </row>
    <row r="2163" spans="1:9" x14ac:dyDescent="0.3">
      <c r="A2163" s="12"/>
      <c r="B2163" s="1"/>
      <c r="C2163" s="1"/>
      <c r="G2163" s="3"/>
      <c r="H2163" s="13"/>
      <c r="I2163" s="3"/>
    </row>
    <row r="2164" spans="1:9" x14ac:dyDescent="0.3">
      <c r="A2164" s="12"/>
      <c r="B2164" s="1"/>
      <c r="C2164" s="1"/>
      <c r="G2164" s="3"/>
      <c r="H2164" s="13"/>
      <c r="I2164" s="3"/>
    </row>
    <row r="2165" spans="1:9" x14ac:dyDescent="0.3">
      <c r="A2165" s="12"/>
      <c r="B2165" s="1"/>
      <c r="C2165" s="1"/>
      <c r="G2165" s="3"/>
      <c r="H2165" s="13"/>
      <c r="I2165" s="3"/>
    </row>
    <row r="2166" spans="1:9" x14ac:dyDescent="0.3">
      <c r="A2166" s="12"/>
      <c r="B2166" s="1"/>
      <c r="C2166" s="1"/>
      <c r="G2166" s="3"/>
      <c r="H2166" s="13"/>
      <c r="I2166" s="3"/>
    </row>
    <row r="2167" spans="1:9" x14ac:dyDescent="0.3">
      <c r="A2167" s="12"/>
      <c r="B2167" s="1"/>
      <c r="C2167" s="1"/>
      <c r="G2167" s="3"/>
      <c r="H2167" s="13"/>
      <c r="I2167" s="3"/>
    </row>
    <row r="2168" spans="1:9" x14ac:dyDescent="0.3">
      <c r="A2168" s="12"/>
      <c r="B2168" s="1"/>
      <c r="C2168" s="1"/>
      <c r="G2168" s="3"/>
      <c r="H2168" s="13"/>
      <c r="I2168" s="3"/>
    </row>
    <row r="2169" spans="1:9" x14ac:dyDescent="0.3">
      <c r="A2169" s="12"/>
      <c r="B2169" s="1"/>
      <c r="C2169" s="1"/>
      <c r="G2169" s="3"/>
      <c r="H2169" s="13"/>
      <c r="I2169" s="3"/>
    </row>
    <row r="2170" spans="1:9" x14ac:dyDescent="0.3">
      <c r="A2170" s="12"/>
      <c r="B2170" s="1"/>
      <c r="C2170" s="1"/>
      <c r="G2170" s="3"/>
      <c r="H2170" s="13"/>
      <c r="I2170" s="3"/>
    </row>
    <row r="2171" spans="1:9" x14ac:dyDescent="0.3">
      <c r="A2171" s="12"/>
      <c r="B2171" s="1"/>
      <c r="C2171" s="1"/>
      <c r="G2171" s="3"/>
      <c r="H2171" s="13"/>
      <c r="I2171" s="3"/>
    </row>
    <row r="2172" spans="1:9" x14ac:dyDescent="0.3">
      <c r="A2172" s="12"/>
      <c r="B2172" s="1"/>
      <c r="C2172" s="1"/>
      <c r="G2172" s="3"/>
      <c r="H2172" s="13"/>
      <c r="I2172" s="3"/>
    </row>
    <row r="2173" spans="1:9" x14ac:dyDescent="0.3">
      <c r="A2173" s="12"/>
      <c r="B2173" s="1"/>
      <c r="C2173" s="1"/>
      <c r="G2173" s="3"/>
      <c r="H2173" s="13"/>
      <c r="I2173" s="3"/>
    </row>
    <row r="2174" spans="1:9" x14ac:dyDescent="0.3">
      <c r="A2174" s="12"/>
      <c r="B2174" s="1"/>
      <c r="C2174" s="1"/>
      <c r="G2174" s="3"/>
      <c r="H2174" s="13"/>
      <c r="I2174" s="3"/>
    </row>
    <row r="2175" spans="1:9" x14ac:dyDescent="0.3">
      <c r="A2175" s="12"/>
      <c r="B2175" s="1"/>
      <c r="C2175" s="1"/>
      <c r="G2175" s="3"/>
      <c r="H2175" s="13"/>
      <c r="I2175" s="3"/>
    </row>
    <row r="2176" spans="1:9" x14ac:dyDescent="0.3">
      <c r="A2176" s="12"/>
      <c r="B2176" s="1"/>
      <c r="C2176" s="1"/>
      <c r="G2176" s="3"/>
      <c r="H2176" s="13"/>
      <c r="I2176" s="3"/>
    </row>
    <row r="2177" spans="1:9" x14ac:dyDescent="0.3">
      <c r="A2177" s="12"/>
      <c r="B2177" s="1"/>
      <c r="C2177" s="1"/>
      <c r="G2177" s="3"/>
      <c r="H2177" s="13"/>
      <c r="I2177" s="3"/>
    </row>
    <row r="2178" spans="1:9" x14ac:dyDescent="0.3">
      <c r="A2178" s="12"/>
      <c r="B2178" s="1"/>
      <c r="C2178" s="1"/>
      <c r="G2178" s="3"/>
      <c r="H2178" s="13"/>
      <c r="I2178" s="3"/>
    </row>
    <row r="2179" spans="1:9" x14ac:dyDescent="0.3">
      <c r="A2179" s="12"/>
      <c r="B2179" s="1"/>
      <c r="C2179" s="1"/>
      <c r="G2179" s="3"/>
      <c r="H2179" s="13"/>
      <c r="I2179" s="3"/>
    </row>
    <row r="2180" spans="1:9" x14ac:dyDescent="0.3">
      <c r="A2180" s="12"/>
      <c r="B2180" s="1"/>
      <c r="C2180" s="1"/>
      <c r="G2180" s="3"/>
      <c r="H2180" s="13"/>
      <c r="I2180" s="3"/>
    </row>
    <row r="2181" spans="1:9" x14ac:dyDescent="0.3">
      <c r="A2181" s="12"/>
      <c r="B2181" s="1"/>
      <c r="C2181" s="1"/>
      <c r="G2181" s="3"/>
      <c r="H2181" s="13"/>
      <c r="I2181" s="3"/>
    </row>
    <row r="2182" spans="1:9" x14ac:dyDescent="0.3">
      <c r="A2182" s="12"/>
      <c r="B2182" s="1"/>
      <c r="C2182" s="1"/>
      <c r="G2182" s="3"/>
      <c r="H2182" s="13"/>
      <c r="I2182" s="3"/>
    </row>
    <row r="2183" spans="1:9" x14ac:dyDescent="0.3">
      <c r="A2183" s="12"/>
      <c r="B2183" s="1"/>
      <c r="C2183" s="1"/>
      <c r="G2183" s="3"/>
      <c r="H2183" s="13"/>
      <c r="I2183" s="3"/>
    </row>
    <row r="2184" spans="1:9" x14ac:dyDescent="0.3">
      <c r="A2184" s="12"/>
      <c r="B2184" s="1"/>
      <c r="C2184" s="1"/>
      <c r="G2184" s="3"/>
      <c r="H2184" s="13"/>
      <c r="I2184" s="3"/>
    </row>
    <row r="2185" spans="1:9" x14ac:dyDescent="0.3">
      <c r="A2185" s="12"/>
      <c r="B2185" s="1"/>
      <c r="C2185" s="1"/>
      <c r="G2185" s="3"/>
      <c r="H2185" s="13"/>
      <c r="I2185" s="3"/>
    </row>
    <row r="2186" spans="1:9" x14ac:dyDescent="0.3">
      <c r="A2186" s="12"/>
      <c r="B2186" s="1"/>
      <c r="C2186" s="1"/>
      <c r="G2186" s="3"/>
      <c r="H2186" s="13"/>
      <c r="I2186" s="3"/>
    </row>
    <row r="2187" spans="1:9" x14ac:dyDescent="0.3">
      <c r="A2187" s="12"/>
      <c r="B2187" s="1"/>
      <c r="C2187" s="1"/>
      <c r="G2187" s="3"/>
      <c r="H2187" s="13"/>
      <c r="I2187" s="3"/>
    </row>
    <row r="2188" spans="1:9" x14ac:dyDescent="0.3">
      <c r="A2188" s="12"/>
      <c r="B2188" s="1"/>
      <c r="C2188" s="1"/>
      <c r="G2188" s="3"/>
      <c r="H2188" s="13"/>
      <c r="I2188" s="3"/>
    </row>
    <row r="2189" spans="1:9" x14ac:dyDescent="0.3">
      <c r="A2189" s="12"/>
      <c r="B2189" s="1"/>
      <c r="C2189" s="1"/>
      <c r="G2189" s="3"/>
      <c r="H2189" s="13"/>
      <c r="I2189" s="3"/>
    </row>
    <row r="2190" spans="1:9" x14ac:dyDescent="0.3">
      <c r="A2190" s="12"/>
      <c r="B2190" s="1"/>
      <c r="C2190" s="1"/>
      <c r="G2190" s="3"/>
      <c r="H2190" s="13"/>
      <c r="I2190" s="3"/>
    </row>
    <row r="2191" spans="1:9" x14ac:dyDescent="0.3">
      <c r="A2191" s="12"/>
      <c r="B2191" s="1"/>
      <c r="C2191" s="1"/>
      <c r="G2191" s="3"/>
      <c r="H2191" s="13"/>
      <c r="I2191" s="3"/>
    </row>
    <row r="2192" spans="1:9" x14ac:dyDescent="0.3">
      <c r="A2192" s="12"/>
      <c r="B2192" s="1"/>
      <c r="C2192" s="1"/>
      <c r="G2192" s="3"/>
      <c r="H2192" s="13"/>
      <c r="I2192" s="3"/>
    </row>
    <row r="2193" spans="1:9" x14ac:dyDescent="0.3">
      <c r="A2193" s="12"/>
      <c r="B2193" s="1"/>
      <c r="C2193" s="1"/>
      <c r="G2193" s="3"/>
      <c r="H2193" s="13"/>
      <c r="I2193" s="3"/>
    </row>
    <row r="2194" spans="1:9" x14ac:dyDescent="0.3">
      <c r="A2194" s="12"/>
      <c r="B2194" s="1"/>
      <c r="C2194" s="1"/>
      <c r="G2194" s="3"/>
      <c r="H2194" s="13"/>
      <c r="I2194" s="3"/>
    </row>
    <row r="2195" spans="1:9" x14ac:dyDescent="0.3">
      <c r="A2195" s="12"/>
      <c r="B2195" s="1"/>
      <c r="C2195" s="1"/>
      <c r="G2195" s="3"/>
      <c r="H2195" s="13"/>
      <c r="I2195" s="3"/>
    </row>
    <row r="2196" spans="1:9" x14ac:dyDescent="0.3">
      <c r="A2196" s="12"/>
      <c r="B2196" s="1"/>
      <c r="C2196" s="1"/>
      <c r="G2196" s="3"/>
      <c r="H2196" s="13"/>
      <c r="I2196" s="3"/>
    </row>
    <row r="2197" spans="1:9" x14ac:dyDescent="0.3">
      <c r="A2197" s="12"/>
      <c r="B2197" s="1"/>
      <c r="C2197" s="1"/>
      <c r="G2197" s="3"/>
      <c r="H2197" s="13"/>
      <c r="I2197" s="3"/>
    </row>
    <row r="2198" spans="1:9" x14ac:dyDescent="0.3">
      <c r="A2198" s="12"/>
      <c r="B2198" s="1"/>
      <c r="C2198" s="1"/>
      <c r="G2198" s="3"/>
      <c r="H2198" s="13"/>
      <c r="I2198" s="3"/>
    </row>
    <row r="2199" spans="1:9" x14ac:dyDescent="0.3">
      <c r="A2199" s="12"/>
      <c r="B2199" s="1"/>
      <c r="C2199" s="1"/>
      <c r="G2199" s="3"/>
      <c r="H2199" s="13"/>
      <c r="I2199" s="3"/>
    </row>
    <row r="2200" spans="1:9" x14ac:dyDescent="0.3">
      <c r="A2200" s="12"/>
      <c r="B2200" s="1"/>
      <c r="C2200" s="1"/>
      <c r="G2200" s="3"/>
      <c r="H2200" s="13"/>
      <c r="I2200" s="3"/>
    </row>
    <row r="2201" spans="1:9" x14ac:dyDescent="0.3">
      <c r="A2201" s="12"/>
      <c r="B2201" s="1"/>
      <c r="C2201" s="1"/>
      <c r="G2201" s="3"/>
      <c r="H2201" s="13"/>
      <c r="I2201" s="3"/>
    </row>
    <row r="2202" spans="1:9" x14ac:dyDescent="0.3">
      <c r="A2202" s="12"/>
      <c r="B2202" s="1"/>
      <c r="C2202" s="1"/>
      <c r="G2202" s="3"/>
      <c r="H2202" s="13"/>
      <c r="I2202" s="3"/>
    </row>
    <row r="2203" spans="1:9" x14ac:dyDescent="0.3">
      <c r="A2203" s="12"/>
      <c r="B2203" s="1"/>
      <c r="C2203" s="1"/>
      <c r="G2203" s="3"/>
      <c r="H2203" s="13"/>
      <c r="I2203" s="3"/>
    </row>
    <row r="2204" spans="1:9" x14ac:dyDescent="0.3">
      <c r="A2204" s="12"/>
      <c r="B2204" s="1"/>
      <c r="C2204" s="1"/>
      <c r="G2204" s="3"/>
      <c r="H2204" s="13"/>
      <c r="I2204" s="3"/>
    </row>
    <row r="2205" spans="1:9" x14ac:dyDescent="0.3">
      <c r="A2205" s="12"/>
      <c r="B2205" s="1"/>
      <c r="C2205" s="1"/>
      <c r="G2205" s="3"/>
      <c r="H2205" s="13"/>
      <c r="I2205" s="3"/>
    </row>
    <row r="2206" spans="1:9" x14ac:dyDescent="0.3">
      <c r="A2206" s="12"/>
      <c r="B2206" s="1"/>
      <c r="C2206" s="1"/>
      <c r="G2206" s="3"/>
      <c r="H2206" s="13"/>
      <c r="I2206" s="3"/>
    </row>
    <row r="2207" spans="1:9" x14ac:dyDescent="0.3">
      <c r="A2207" s="12"/>
      <c r="B2207" s="1"/>
      <c r="C2207" s="1"/>
      <c r="G2207" s="3"/>
      <c r="H2207" s="13"/>
      <c r="I2207" s="3"/>
    </row>
    <row r="2208" spans="1:9" x14ac:dyDescent="0.3">
      <c r="A2208" s="12"/>
      <c r="B2208" s="1"/>
      <c r="C2208" s="1"/>
      <c r="G2208" s="3"/>
      <c r="H2208" s="13"/>
      <c r="I2208" s="3"/>
    </row>
    <row r="2209" spans="1:9" x14ac:dyDescent="0.3">
      <c r="A2209" s="12"/>
      <c r="B2209" s="1"/>
      <c r="C2209" s="1"/>
      <c r="G2209" s="3"/>
      <c r="H2209" s="13"/>
      <c r="I2209" s="3"/>
    </row>
    <row r="2210" spans="1:9" x14ac:dyDescent="0.3">
      <c r="A2210" s="12"/>
      <c r="B2210" s="1"/>
      <c r="C2210" s="1"/>
      <c r="G2210" s="3"/>
      <c r="H2210" s="13"/>
      <c r="I2210" s="3"/>
    </row>
    <row r="2211" spans="1:9" x14ac:dyDescent="0.3">
      <c r="A2211" s="12"/>
      <c r="B2211" s="1"/>
      <c r="C2211" s="1"/>
      <c r="G2211" s="3"/>
      <c r="H2211" s="13"/>
      <c r="I2211" s="3"/>
    </row>
    <row r="2212" spans="1:9" x14ac:dyDescent="0.3">
      <c r="A2212" s="12"/>
      <c r="B2212" s="1"/>
      <c r="C2212" s="1"/>
      <c r="G2212" s="3"/>
      <c r="H2212" s="13"/>
      <c r="I2212" s="3"/>
    </row>
    <row r="2213" spans="1:9" x14ac:dyDescent="0.3">
      <c r="A2213" s="12"/>
      <c r="B2213" s="1"/>
      <c r="C2213" s="1"/>
      <c r="G2213" s="3"/>
      <c r="H2213" s="13"/>
      <c r="I2213" s="3"/>
    </row>
    <row r="2214" spans="1:9" x14ac:dyDescent="0.3">
      <c r="A2214" s="12"/>
      <c r="B2214" s="1"/>
      <c r="C2214" s="1"/>
      <c r="G2214" s="3"/>
      <c r="H2214" s="13"/>
      <c r="I2214" s="3"/>
    </row>
    <row r="2215" spans="1:9" x14ac:dyDescent="0.3">
      <c r="A2215" s="12"/>
      <c r="B2215" s="1"/>
      <c r="C2215" s="1"/>
      <c r="G2215" s="3"/>
      <c r="H2215" s="13"/>
      <c r="I2215" s="3"/>
    </row>
    <row r="2216" spans="1:9" x14ac:dyDescent="0.3">
      <c r="A2216" s="12"/>
      <c r="B2216" s="1"/>
      <c r="C2216" s="1"/>
      <c r="G2216" s="3"/>
      <c r="H2216" s="13"/>
      <c r="I2216" s="3"/>
    </row>
    <row r="2217" spans="1:9" x14ac:dyDescent="0.3">
      <c r="A2217" s="12"/>
      <c r="B2217" s="1"/>
      <c r="C2217" s="1"/>
      <c r="G2217" s="3"/>
      <c r="H2217" s="13"/>
      <c r="I2217" s="3"/>
    </row>
    <row r="2218" spans="1:9" x14ac:dyDescent="0.3">
      <c r="A2218" s="12"/>
      <c r="B2218" s="1"/>
      <c r="C2218" s="1"/>
      <c r="G2218" s="3"/>
      <c r="H2218" s="13"/>
      <c r="I2218" s="3"/>
    </row>
    <row r="2219" spans="1:9" x14ac:dyDescent="0.3">
      <c r="A2219" s="12"/>
      <c r="B2219" s="1"/>
      <c r="C2219" s="1"/>
      <c r="G2219" s="3"/>
      <c r="H2219" s="13"/>
      <c r="I2219" s="3"/>
    </row>
    <row r="2220" spans="1:9" x14ac:dyDescent="0.3">
      <c r="A2220" s="12"/>
      <c r="B2220" s="1"/>
      <c r="C2220" s="1"/>
      <c r="G2220" s="3"/>
      <c r="H2220" s="13"/>
      <c r="I2220" s="3"/>
    </row>
    <row r="2221" spans="1:9" x14ac:dyDescent="0.3">
      <c r="A2221" s="12"/>
      <c r="B2221" s="1"/>
      <c r="C2221" s="1"/>
      <c r="G2221" s="3"/>
      <c r="H2221" s="13"/>
      <c r="I2221" s="3"/>
    </row>
    <row r="2222" spans="1:9" x14ac:dyDescent="0.3">
      <c r="A2222" s="12"/>
      <c r="B2222" s="1"/>
      <c r="C2222" s="1"/>
      <c r="G2222" s="3"/>
      <c r="H2222" s="13"/>
      <c r="I2222" s="3"/>
    </row>
    <row r="2223" spans="1:9" x14ac:dyDescent="0.3">
      <c r="A2223" s="12"/>
      <c r="B2223" s="1"/>
      <c r="C2223" s="1"/>
      <c r="G2223" s="3"/>
      <c r="H2223" s="13"/>
      <c r="I2223" s="3"/>
    </row>
    <row r="2224" spans="1:9" x14ac:dyDescent="0.3">
      <c r="A2224" s="12"/>
      <c r="B2224" s="1"/>
      <c r="C2224" s="1"/>
      <c r="G2224" s="3"/>
      <c r="H2224" s="13"/>
      <c r="I2224" s="3"/>
    </row>
    <row r="2225" spans="1:9" x14ac:dyDescent="0.3">
      <c r="A2225" s="12"/>
      <c r="B2225" s="1"/>
      <c r="C2225" s="1"/>
      <c r="G2225" s="3"/>
      <c r="H2225" s="13"/>
      <c r="I2225" s="3"/>
    </row>
    <row r="2226" spans="1:9" x14ac:dyDescent="0.3">
      <c r="A2226" s="12"/>
      <c r="B2226" s="1"/>
      <c r="C2226" s="1"/>
      <c r="G2226" s="3"/>
      <c r="H2226" s="13"/>
      <c r="I2226" s="3"/>
    </row>
    <row r="2227" spans="1:9" x14ac:dyDescent="0.3">
      <c r="A2227" s="12"/>
      <c r="B2227" s="1"/>
      <c r="C2227" s="1"/>
      <c r="G2227" s="3"/>
      <c r="H2227" s="13"/>
      <c r="I2227" s="3"/>
    </row>
    <row r="2228" spans="1:9" x14ac:dyDescent="0.3">
      <c r="A2228" s="12"/>
      <c r="B2228" s="1"/>
      <c r="C2228" s="1"/>
      <c r="G2228" s="3"/>
      <c r="H2228" s="13"/>
      <c r="I2228" s="3"/>
    </row>
    <row r="2229" spans="1:9" x14ac:dyDescent="0.3">
      <c r="A2229" s="12"/>
      <c r="B2229" s="1"/>
      <c r="C2229" s="1"/>
      <c r="G2229" s="3"/>
      <c r="H2229" s="13"/>
      <c r="I2229" s="3"/>
    </row>
    <row r="2230" spans="1:9" x14ac:dyDescent="0.3">
      <c r="A2230" s="12"/>
      <c r="B2230" s="1"/>
      <c r="C2230" s="1"/>
      <c r="G2230" s="3"/>
      <c r="H2230" s="13"/>
      <c r="I2230" s="3"/>
    </row>
    <row r="2231" spans="1:9" x14ac:dyDescent="0.3">
      <c r="A2231" s="12"/>
      <c r="B2231" s="1"/>
      <c r="C2231" s="1"/>
      <c r="G2231" s="3"/>
      <c r="H2231" s="13"/>
      <c r="I2231" s="3"/>
    </row>
    <row r="2232" spans="1:9" x14ac:dyDescent="0.3">
      <c r="A2232" s="12"/>
      <c r="B2232" s="1"/>
      <c r="C2232" s="1"/>
      <c r="G2232" s="3"/>
      <c r="H2232" s="13"/>
      <c r="I2232" s="3"/>
    </row>
    <row r="2233" spans="1:9" x14ac:dyDescent="0.3">
      <c r="A2233" s="12"/>
      <c r="B2233" s="1"/>
      <c r="C2233" s="1"/>
      <c r="G2233" s="3"/>
      <c r="H2233" s="13"/>
      <c r="I2233" s="3"/>
    </row>
    <row r="2234" spans="1:9" x14ac:dyDescent="0.3">
      <c r="A2234" s="12"/>
      <c r="B2234" s="1"/>
      <c r="C2234" s="1"/>
      <c r="G2234" s="3"/>
      <c r="H2234" s="13"/>
      <c r="I2234" s="3"/>
    </row>
    <row r="2235" spans="1:9" x14ac:dyDescent="0.3">
      <c r="A2235" s="12"/>
      <c r="B2235" s="1"/>
      <c r="C2235" s="1"/>
      <c r="G2235" s="3"/>
      <c r="H2235" s="13"/>
      <c r="I2235" s="3"/>
    </row>
    <row r="2236" spans="1:9" x14ac:dyDescent="0.3">
      <c r="A2236" s="12"/>
      <c r="B2236" s="1"/>
      <c r="C2236" s="1"/>
      <c r="G2236" s="3"/>
      <c r="H2236" s="13"/>
      <c r="I2236" s="3"/>
    </row>
    <row r="2237" spans="1:9" x14ac:dyDescent="0.3">
      <c r="A2237" s="12"/>
      <c r="B2237" s="1"/>
      <c r="C2237" s="1"/>
      <c r="G2237" s="3"/>
      <c r="H2237" s="13"/>
      <c r="I2237" s="3"/>
    </row>
    <row r="2238" spans="1:9" x14ac:dyDescent="0.3">
      <c r="A2238" s="12"/>
      <c r="B2238" s="1"/>
      <c r="C2238" s="1"/>
      <c r="G2238" s="3"/>
      <c r="H2238" s="13"/>
      <c r="I2238" s="3"/>
    </row>
    <row r="2239" spans="1:9" x14ac:dyDescent="0.3">
      <c r="A2239" s="12"/>
      <c r="B2239" s="1"/>
      <c r="C2239" s="1"/>
      <c r="G2239" s="3"/>
      <c r="H2239" s="13"/>
      <c r="I2239" s="3"/>
    </row>
    <row r="2240" spans="1:9" x14ac:dyDescent="0.3">
      <c r="A2240" s="12"/>
      <c r="B2240" s="1"/>
      <c r="C2240" s="1"/>
      <c r="G2240" s="3"/>
      <c r="H2240" s="13"/>
      <c r="I2240" s="3"/>
    </row>
    <row r="2241" spans="1:9" x14ac:dyDescent="0.3">
      <c r="A2241" s="12"/>
      <c r="B2241" s="1"/>
      <c r="C2241" s="1"/>
      <c r="G2241" s="3"/>
      <c r="H2241" s="13"/>
      <c r="I2241" s="3"/>
    </row>
    <row r="2242" spans="1:9" x14ac:dyDescent="0.3">
      <c r="A2242" s="12"/>
      <c r="B2242" s="1"/>
      <c r="C2242" s="1"/>
      <c r="G2242" s="3"/>
      <c r="H2242" s="13"/>
      <c r="I2242" s="3"/>
    </row>
    <row r="2243" spans="1:9" x14ac:dyDescent="0.3">
      <c r="A2243" s="12"/>
      <c r="B2243" s="1"/>
      <c r="C2243" s="1"/>
      <c r="G2243" s="3"/>
      <c r="H2243" s="13"/>
      <c r="I2243" s="3"/>
    </row>
    <row r="2244" spans="1:9" x14ac:dyDescent="0.3">
      <c r="A2244" s="12"/>
      <c r="B2244" s="1"/>
      <c r="C2244" s="1"/>
      <c r="G2244" s="3"/>
      <c r="H2244" s="13"/>
      <c r="I2244" s="3"/>
    </row>
    <row r="2245" spans="1:9" x14ac:dyDescent="0.3">
      <c r="A2245" s="12"/>
      <c r="B2245" s="1"/>
      <c r="C2245" s="1"/>
      <c r="G2245" s="3"/>
      <c r="H2245" s="13"/>
      <c r="I2245" s="3"/>
    </row>
    <row r="2246" spans="1:9" x14ac:dyDescent="0.3">
      <c r="A2246" s="12"/>
      <c r="B2246" s="1"/>
      <c r="C2246" s="1"/>
      <c r="G2246" s="3"/>
      <c r="H2246" s="13"/>
      <c r="I2246" s="3"/>
    </row>
    <row r="2247" spans="1:9" x14ac:dyDescent="0.3">
      <c r="A2247" s="12"/>
      <c r="B2247" s="1"/>
      <c r="C2247" s="1"/>
      <c r="G2247" s="3"/>
      <c r="H2247" s="13"/>
      <c r="I2247" s="3"/>
    </row>
    <row r="2248" spans="1:9" x14ac:dyDescent="0.3">
      <c r="A2248" s="12"/>
      <c r="B2248" s="1"/>
      <c r="C2248" s="1"/>
      <c r="G2248" s="3"/>
      <c r="H2248" s="13"/>
      <c r="I2248" s="3"/>
    </row>
    <row r="2249" spans="1:9" x14ac:dyDescent="0.3">
      <c r="A2249" s="12"/>
      <c r="B2249" s="1"/>
      <c r="C2249" s="1"/>
      <c r="G2249" s="3"/>
      <c r="H2249" s="13"/>
      <c r="I2249" s="3"/>
    </row>
    <row r="2250" spans="1:9" x14ac:dyDescent="0.3">
      <c r="A2250" s="12"/>
      <c r="B2250" s="1"/>
      <c r="C2250" s="1"/>
      <c r="G2250" s="3"/>
      <c r="H2250" s="13"/>
      <c r="I2250" s="3"/>
    </row>
    <row r="2251" spans="1:9" x14ac:dyDescent="0.3">
      <c r="A2251" s="12"/>
      <c r="B2251" s="1"/>
      <c r="C2251" s="1"/>
      <c r="G2251" s="3"/>
      <c r="H2251" s="13"/>
      <c r="I2251" s="3"/>
    </row>
    <row r="2252" spans="1:9" x14ac:dyDescent="0.3">
      <c r="A2252" s="12"/>
      <c r="B2252" s="1"/>
      <c r="C2252" s="1"/>
      <c r="G2252" s="3"/>
      <c r="H2252" s="13"/>
      <c r="I2252" s="3"/>
    </row>
    <row r="2253" spans="1:9" x14ac:dyDescent="0.3">
      <c r="A2253" s="12"/>
      <c r="B2253" s="1"/>
      <c r="C2253" s="1"/>
      <c r="G2253" s="3"/>
      <c r="H2253" s="13"/>
      <c r="I2253" s="3"/>
    </row>
    <row r="2254" spans="1:9" x14ac:dyDescent="0.3">
      <c r="A2254" s="12"/>
      <c r="B2254" s="1"/>
      <c r="C2254" s="1"/>
      <c r="G2254" s="3"/>
      <c r="H2254" s="13"/>
      <c r="I2254" s="3"/>
    </row>
    <row r="2255" spans="1:9" x14ac:dyDescent="0.3">
      <c r="A2255" s="12"/>
      <c r="B2255" s="1"/>
      <c r="C2255" s="1"/>
      <c r="G2255" s="3"/>
      <c r="H2255" s="13"/>
      <c r="I2255" s="3"/>
    </row>
    <row r="2256" spans="1:9" x14ac:dyDescent="0.3">
      <c r="A2256" s="12"/>
      <c r="B2256" s="1"/>
      <c r="C2256" s="1"/>
      <c r="G2256" s="3"/>
      <c r="H2256" s="13"/>
      <c r="I2256" s="3"/>
    </row>
    <row r="2257" spans="1:9" x14ac:dyDescent="0.3">
      <c r="A2257" s="12"/>
      <c r="B2257" s="1"/>
      <c r="C2257" s="1"/>
      <c r="G2257" s="3"/>
      <c r="H2257" s="13"/>
      <c r="I2257" s="3"/>
    </row>
    <row r="2258" spans="1:9" x14ac:dyDescent="0.3">
      <c r="A2258" s="12"/>
      <c r="B2258" s="1"/>
      <c r="C2258" s="1"/>
      <c r="G2258" s="3"/>
      <c r="H2258" s="13"/>
      <c r="I2258" s="3"/>
    </row>
    <row r="2259" spans="1:9" x14ac:dyDescent="0.3">
      <c r="A2259" s="12"/>
      <c r="B2259" s="1"/>
      <c r="C2259" s="1"/>
      <c r="G2259" s="3"/>
      <c r="H2259" s="13"/>
      <c r="I2259" s="3"/>
    </row>
    <row r="2260" spans="1:9" x14ac:dyDescent="0.3">
      <c r="A2260" s="12"/>
      <c r="B2260" s="1"/>
      <c r="C2260" s="1"/>
      <c r="G2260" s="3"/>
      <c r="H2260" s="13"/>
      <c r="I2260" s="3"/>
    </row>
    <row r="2261" spans="1:9" x14ac:dyDescent="0.3">
      <c r="A2261" s="12"/>
      <c r="B2261" s="1"/>
      <c r="C2261" s="1"/>
      <c r="G2261" s="3"/>
      <c r="H2261" s="13"/>
      <c r="I2261" s="3"/>
    </row>
    <row r="2262" spans="1:9" x14ac:dyDescent="0.3">
      <c r="A2262" s="12"/>
      <c r="B2262" s="1"/>
      <c r="C2262" s="1"/>
      <c r="G2262" s="3"/>
      <c r="H2262" s="13"/>
      <c r="I2262" s="3"/>
    </row>
    <row r="2263" spans="1:9" x14ac:dyDescent="0.3">
      <c r="A2263" s="12"/>
      <c r="B2263" s="1"/>
      <c r="C2263" s="1"/>
      <c r="G2263" s="3"/>
      <c r="H2263" s="13"/>
      <c r="I2263" s="3"/>
    </row>
    <row r="2264" spans="1:9" x14ac:dyDescent="0.3">
      <c r="A2264" s="12"/>
      <c r="B2264" s="1"/>
      <c r="C2264" s="1"/>
      <c r="G2264" s="3"/>
      <c r="H2264" s="13"/>
      <c r="I2264" s="3"/>
    </row>
    <row r="2265" spans="1:9" x14ac:dyDescent="0.3">
      <c r="A2265" s="12"/>
      <c r="B2265" s="1"/>
      <c r="C2265" s="1"/>
      <c r="G2265" s="3"/>
      <c r="H2265" s="13"/>
      <c r="I2265" s="3"/>
    </row>
    <row r="2266" spans="1:9" x14ac:dyDescent="0.3">
      <c r="A2266" s="12"/>
      <c r="B2266" s="1"/>
      <c r="C2266" s="1"/>
      <c r="G2266" s="3"/>
      <c r="H2266" s="13"/>
      <c r="I2266" s="3"/>
    </row>
    <row r="2267" spans="1:9" x14ac:dyDescent="0.3">
      <c r="A2267" s="12"/>
      <c r="B2267" s="1"/>
      <c r="C2267" s="1"/>
      <c r="G2267" s="3"/>
      <c r="H2267" s="13"/>
      <c r="I2267" s="3"/>
    </row>
    <row r="2268" spans="1:9" x14ac:dyDescent="0.3">
      <c r="A2268" s="12"/>
      <c r="B2268" s="1"/>
      <c r="C2268" s="1"/>
      <c r="G2268" s="3"/>
      <c r="H2268" s="13"/>
      <c r="I2268" s="3"/>
    </row>
    <row r="2269" spans="1:9" x14ac:dyDescent="0.3">
      <c r="A2269" s="12"/>
      <c r="B2269" s="1"/>
      <c r="C2269" s="1"/>
      <c r="G2269" s="3"/>
      <c r="H2269" s="13"/>
      <c r="I2269" s="3"/>
    </row>
    <row r="2270" spans="1:9" x14ac:dyDescent="0.3">
      <c r="A2270" s="12"/>
      <c r="B2270" s="1"/>
      <c r="C2270" s="1"/>
      <c r="G2270" s="3"/>
      <c r="H2270" s="13"/>
      <c r="I2270" s="3"/>
    </row>
    <row r="2271" spans="1:9" x14ac:dyDescent="0.3">
      <c r="A2271" s="12"/>
      <c r="B2271" s="1"/>
      <c r="C2271" s="1"/>
      <c r="G2271" s="3"/>
      <c r="H2271" s="13"/>
      <c r="I2271" s="3"/>
    </row>
    <row r="2272" spans="1:9" x14ac:dyDescent="0.3">
      <c r="A2272" s="12"/>
      <c r="B2272" s="1"/>
      <c r="C2272" s="1"/>
      <c r="G2272" s="3"/>
      <c r="H2272" s="13"/>
      <c r="I2272" s="3"/>
    </row>
    <row r="2273" spans="1:9" x14ac:dyDescent="0.3">
      <c r="A2273" s="12"/>
      <c r="B2273" s="1"/>
      <c r="C2273" s="1"/>
      <c r="G2273" s="3"/>
      <c r="H2273" s="13"/>
      <c r="I2273" s="3"/>
    </row>
    <row r="2274" spans="1:9" x14ac:dyDescent="0.3">
      <c r="A2274" s="12"/>
      <c r="B2274" s="1"/>
      <c r="C2274" s="1"/>
      <c r="G2274" s="3"/>
      <c r="H2274" s="13"/>
      <c r="I2274" s="3"/>
    </row>
    <row r="2275" spans="1:9" x14ac:dyDescent="0.3">
      <c r="A2275" s="12"/>
      <c r="B2275" s="1"/>
      <c r="C2275" s="1"/>
      <c r="G2275" s="3"/>
      <c r="H2275" s="13"/>
      <c r="I2275" s="3"/>
    </row>
    <row r="2276" spans="1:9" x14ac:dyDescent="0.3">
      <c r="A2276" s="12"/>
      <c r="B2276" s="1"/>
      <c r="C2276" s="1"/>
      <c r="G2276" s="3"/>
      <c r="H2276" s="13"/>
      <c r="I2276" s="3"/>
    </row>
    <row r="2277" spans="1:9" x14ac:dyDescent="0.3">
      <c r="A2277" s="12"/>
      <c r="B2277" s="1"/>
      <c r="C2277" s="1"/>
      <c r="G2277" s="3"/>
      <c r="H2277" s="13"/>
      <c r="I2277" s="3"/>
    </row>
    <row r="2278" spans="1:9" x14ac:dyDescent="0.3">
      <c r="A2278" s="12"/>
      <c r="B2278" s="1"/>
      <c r="C2278" s="1"/>
      <c r="G2278" s="3"/>
      <c r="H2278" s="13"/>
      <c r="I2278" s="3"/>
    </row>
    <row r="2279" spans="1:9" x14ac:dyDescent="0.3">
      <c r="A2279" s="12"/>
      <c r="B2279" s="1"/>
      <c r="C2279" s="1"/>
      <c r="G2279" s="3"/>
      <c r="H2279" s="13"/>
      <c r="I2279" s="3"/>
    </row>
    <row r="2280" spans="1:9" x14ac:dyDescent="0.3">
      <c r="A2280" s="12"/>
      <c r="B2280" s="1"/>
      <c r="C2280" s="1"/>
      <c r="G2280" s="3"/>
      <c r="H2280" s="13"/>
      <c r="I2280" s="3"/>
    </row>
    <row r="2281" spans="1:9" x14ac:dyDescent="0.3">
      <c r="A2281" s="12"/>
      <c r="B2281" s="1"/>
      <c r="C2281" s="1"/>
      <c r="G2281" s="3"/>
      <c r="H2281" s="13"/>
      <c r="I2281" s="3"/>
    </row>
    <row r="2282" spans="1:9" x14ac:dyDescent="0.3">
      <c r="A2282" s="12"/>
      <c r="B2282" s="1"/>
      <c r="C2282" s="1"/>
      <c r="G2282" s="3"/>
      <c r="H2282" s="13"/>
      <c r="I2282" s="3"/>
    </row>
    <row r="2283" spans="1:9" x14ac:dyDescent="0.3">
      <c r="A2283" s="12"/>
      <c r="B2283" s="1"/>
      <c r="C2283" s="1"/>
      <c r="G2283" s="3"/>
      <c r="H2283" s="13"/>
      <c r="I2283" s="3"/>
    </row>
    <row r="2284" spans="1:9" x14ac:dyDescent="0.3">
      <c r="A2284" s="12"/>
      <c r="B2284" s="1"/>
      <c r="C2284" s="1"/>
      <c r="G2284" s="3"/>
      <c r="H2284" s="13"/>
      <c r="I2284" s="3"/>
    </row>
    <row r="2285" spans="1:9" x14ac:dyDescent="0.3">
      <c r="A2285" s="12"/>
      <c r="B2285" s="1"/>
      <c r="C2285" s="1"/>
      <c r="G2285" s="3"/>
      <c r="H2285" s="13"/>
      <c r="I2285" s="3"/>
    </row>
    <row r="2286" spans="1:9" x14ac:dyDescent="0.3">
      <c r="A2286" s="12"/>
      <c r="B2286" s="1"/>
      <c r="C2286" s="1"/>
      <c r="G2286" s="3"/>
      <c r="H2286" s="13"/>
      <c r="I2286" s="3"/>
    </row>
    <row r="2287" spans="1:9" x14ac:dyDescent="0.3">
      <c r="A2287" s="12"/>
      <c r="B2287" s="1"/>
      <c r="C2287" s="1"/>
      <c r="G2287" s="3"/>
      <c r="H2287" s="13"/>
      <c r="I2287" s="3"/>
    </row>
    <row r="2288" spans="1:9" x14ac:dyDescent="0.3">
      <c r="A2288" s="12"/>
      <c r="B2288" s="1"/>
      <c r="C2288" s="1"/>
      <c r="G2288" s="3"/>
      <c r="H2288" s="13"/>
      <c r="I2288" s="3"/>
    </row>
    <row r="2289" spans="1:9" x14ac:dyDescent="0.3">
      <c r="A2289" s="12"/>
      <c r="B2289" s="1"/>
      <c r="C2289" s="1"/>
      <c r="G2289" s="3"/>
      <c r="H2289" s="13"/>
      <c r="I2289" s="3"/>
    </row>
    <row r="2290" spans="1:9" x14ac:dyDescent="0.3">
      <c r="A2290" s="12"/>
      <c r="B2290" s="1"/>
      <c r="C2290" s="1"/>
      <c r="G2290" s="3"/>
      <c r="H2290" s="13"/>
      <c r="I2290" s="3"/>
    </row>
    <row r="2291" spans="1:9" x14ac:dyDescent="0.3">
      <c r="A2291" s="12"/>
      <c r="B2291" s="1"/>
      <c r="C2291" s="1"/>
      <c r="G2291" s="3"/>
      <c r="H2291" s="13"/>
      <c r="I2291" s="3"/>
    </row>
    <row r="2292" spans="1:9" x14ac:dyDescent="0.3">
      <c r="A2292" s="12"/>
      <c r="B2292" s="1"/>
      <c r="C2292" s="1"/>
      <c r="G2292" s="3"/>
      <c r="H2292" s="13"/>
      <c r="I2292" s="3"/>
    </row>
    <row r="2293" spans="1:9" x14ac:dyDescent="0.3">
      <c r="A2293" s="12"/>
      <c r="B2293" s="1"/>
      <c r="C2293" s="1"/>
      <c r="G2293" s="3"/>
      <c r="H2293" s="13"/>
      <c r="I2293" s="3"/>
    </row>
    <row r="2294" spans="1:9" x14ac:dyDescent="0.3">
      <c r="A2294" s="12"/>
      <c r="B2294" s="1"/>
      <c r="C2294" s="1"/>
      <c r="G2294" s="3"/>
      <c r="H2294" s="13"/>
      <c r="I2294" s="3"/>
    </row>
    <row r="2295" spans="1:9" x14ac:dyDescent="0.3">
      <c r="A2295" s="12"/>
      <c r="B2295" s="1"/>
      <c r="C2295" s="1"/>
      <c r="G2295" s="3"/>
      <c r="H2295" s="13"/>
      <c r="I2295" s="3"/>
    </row>
    <row r="2296" spans="1:9" x14ac:dyDescent="0.3">
      <c r="A2296" s="12"/>
      <c r="B2296" s="1"/>
      <c r="C2296" s="1"/>
      <c r="G2296" s="3"/>
      <c r="H2296" s="13"/>
      <c r="I2296" s="3"/>
    </row>
    <row r="2297" spans="1:9" x14ac:dyDescent="0.3">
      <c r="A2297" s="12"/>
      <c r="B2297" s="1"/>
      <c r="C2297" s="1"/>
      <c r="G2297" s="3"/>
      <c r="H2297" s="13"/>
      <c r="I2297" s="3"/>
    </row>
    <row r="2298" spans="1:9" x14ac:dyDescent="0.3">
      <c r="A2298" s="12"/>
      <c r="B2298" s="1"/>
      <c r="C2298" s="1"/>
      <c r="G2298" s="3"/>
      <c r="H2298" s="13"/>
      <c r="I2298" s="3"/>
    </row>
    <row r="2299" spans="1:9" x14ac:dyDescent="0.3">
      <c r="A2299" s="12"/>
      <c r="B2299" s="1"/>
      <c r="C2299" s="1"/>
      <c r="G2299" s="3"/>
      <c r="H2299" s="13"/>
      <c r="I2299" s="3"/>
    </row>
    <row r="2300" spans="1:9" x14ac:dyDescent="0.3">
      <c r="A2300" s="12"/>
      <c r="B2300" s="1"/>
      <c r="C2300" s="1"/>
      <c r="G2300" s="3"/>
      <c r="H2300" s="13"/>
      <c r="I2300" s="3"/>
    </row>
    <row r="2301" spans="1:9" x14ac:dyDescent="0.3">
      <c r="A2301" s="12"/>
      <c r="B2301" s="1"/>
      <c r="C2301" s="1"/>
      <c r="G2301" s="3"/>
      <c r="H2301" s="13"/>
      <c r="I2301" s="3"/>
    </row>
    <row r="2302" spans="1:9" x14ac:dyDescent="0.3">
      <c r="A2302" s="12"/>
      <c r="B2302" s="1"/>
      <c r="C2302" s="1"/>
      <c r="G2302" s="3"/>
      <c r="H2302" s="13"/>
      <c r="I2302" s="3"/>
    </row>
    <row r="2303" spans="1:9" x14ac:dyDescent="0.3">
      <c r="A2303" s="12"/>
      <c r="B2303" s="1"/>
      <c r="C2303" s="1"/>
      <c r="G2303" s="3"/>
      <c r="H2303" s="13"/>
      <c r="I2303" s="3"/>
    </row>
    <row r="2304" spans="1:9" x14ac:dyDescent="0.3">
      <c r="A2304" s="12"/>
      <c r="B2304" s="1"/>
      <c r="C2304" s="1"/>
      <c r="G2304" s="3"/>
      <c r="H2304" s="13"/>
      <c r="I2304" s="3"/>
    </row>
    <row r="2305" spans="1:9" x14ac:dyDescent="0.3">
      <c r="A2305" s="12"/>
      <c r="B2305" s="1"/>
      <c r="C2305" s="1"/>
      <c r="G2305" s="3"/>
      <c r="H2305" s="13"/>
      <c r="I2305" s="3"/>
    </row>
    <row r="2306" spans="1:9" x14ac:dyDescent="0.3">
      <c r="A2306" s="12"/>
      <c r="B2306" s="1"/>
      <c r="C2306" s="1"/>
      <c r="G2306" s="3"/>
      <c r="H2306" s="13"/>
      <c r="I2306" s="3"/>
    </row>
    <row r="2307" spans="1:9" x14ac:dyDescent="0.3">
      <c r="A2307" s="12"/>
      <c r="B2307" s="1"/>
      <c r="C2307" s="1"/>
      <c r="G2307" s="3"/>
      <c r="H2307" s="13"/>
      <c r="I2307" s="3"/>
    </row>
    <row r="2308" spans="1:9" x14ac:dyDescent="0.3">
      <c r="A2308" s="12"/>
      <c r="B2308" s="1"/>
      <c r="C2308" s="1"/>
      <c r="G2308" s="3"/>
      <c r="H2308" s="13"/>
      <c r="I2308" s="3"/>
    </row>
    <row r="2309" spans="1:9" x14ac:dyDescent="0.3">
      <c r="A2309" s="12"/>
      <c r="B2309" s="1"/>
      <c r="C2309" s="1"/>
      <c r="G2309" s="3"/>
      <c r="H2309" s="13"/>
      <c r="I2309" s="3"/>
    </row>
    <row r="2310" spans="1:9" x14ac:dyDescent="0.3">
      <c r="A2310" s="12"/>
      <c r="B2310" s="1"/>
      <c r="C2310" s="1"/>
      <c r="G2310" s="3"/>
      <c r="H2310" s="13"/>
      <c r="I2310" s="3"/>
    </row>
    <row r="2311" spans="1:9" x14ac:dyDescent="0.3">
      <c r="A2311" s="12"/>
      <c r="B2311" s="1"/>
      <c r="C2311" s="1"/>
      <c r="G2311" s="3"/>
      <c r="H2311" s="13"/>
      <c r="I2311" s="3"/>
    </row>
    <row r="2312" spans="1:9" x14ac:dyDescent="0.3">
      <c r="A2312" s="12"/>
      <c r="B2312" s="1"/>
      <c r="C2312" s="1"/>
      <c r="G2312" s="3"/>
      <c r="H2312" s="13"/>
      <c r="I2312" s="3"/>
    </row>
    <row r="2313" spans="1:9" x14ac:dyDescent="0.3">
      <c r="A2313" s="12"/>
      <c r="B2313" s="1"/>
      <c r="C2313" s="1"/>
      <c r="G2313" s="3"/>
      <c r="H2313" s="13"/>
      <c r="I2313" s="3"/>
    </row>
    <row r="2314" spans="1:9" x14ac:dyDescent="0.3">
      <c r="A2314" s="12"/>
      <c r="B2314" s="1"/>
      <c r="C2314" s="1"/>
      <c r="G2314" s="3"/>
      <c r="H2314" s="13"/>
      <c r="I2314" s="3"/>
    </row>
    <row r="2315" spans="1:9" x14ac:dyDescent="0.3">
      <c r="A2315" s="12"/>
      <c r="B2315" s="1"/>
      <c r="C2315" s="1"/>
      <c r="G2315" s="3"/>
      <c r="H2315" s="13"/>
      <c r="I2315" s="3"/>
    </row>
    <row r="2316" spans="1:9" x14ac:dyDescent="0.3">
      <c r="A2316" s="12"/>
      <c r="B2316" s="1"/>
      <c r="C2316" s="1"/>
      <c r="G2316" s="3"/>
      <c r="H2316" s="13"/>
      <c r="I2316" s="3"/>
    </row>
    <row r="2317" spans="1:9" x14ac:dyDescent="0.3">
      <c r="A2317" s="12"/>
      <c r="B2317" s="1"/>
      <c r="C2317" s="1"/>
      <c r="G2317" s="3"/>
      <c r="H2317" s="13"/>
      <c r="I2317" s="3"/>
    </row>
    <row r="2318" spans="1:9" x14ac:dyDescent="0.3">
      <c r="A2318" s="12"/>
      <c r="B2318" s="1"/>
      <c r="C2318" s="1"/>
      <c r="G2318" s="3"/>
      <c r="H2318" s="13"/>
      <c r="I2318" s="3"/>
    </row>
    <row r="2319" spans="1:9" x14ac:dyDescent="0.3">
      <c r="A2319" s="12"/>
      <c r="B2319" s="1"/>
      <c r="C2319" s="1"/>
      <c r="G2319" s="3"/>
      <c r="H2319" s="13"/>
      <c r="I2319" s="3"/>
    </row>
    <row r="2320" spans="1:9" x14ac:dyDescent="0.3">
      <c r="A2320" s="12"/>
      <c r="B2320" s="1"/>
      <c r="C2320" s="1"/>
      <c r="G2320" s="3"/>
      <c r="H2320" s="13"/>
      <c r="I2320" s="3"/>
    </row>
    <row r="2321" spans="1:9" x14ac:dyDescent="0.3">
      <c r="A2321" s="12"/>
      <c r="B2321" s="1"/>
      <c r="C2321" s="1"/>
      <c r="G2321" s="3"/>
      <c r="H2321" s="13"/>
      <c r="I2321" s="3"/>
    </row>
    <row r="2322" spans="1:9" x14ac:dyDescent="0.3">
      <c r="A2322" s="12"/>
      <c r="B2322" s="1"/>
      <c r="C2322" s="1"/>
      <c r="G2322" s="3"/>
      <c r="H2322" s="13"/>
      <c r="I2322" s="3"/>
    </row>
    <row r="2323" spans="1:9" x14ac:dyDescent="0.3">
      <c r="A2323" s="12"/>
      <c r="B2323" s="1"/>
      <c r="C2323" s="1"/>
      <c r="G2323" s="3"/>
      <c r="H2323" s="13"/>
      <c r="I2323" s="3"/>
    </row>
    <row r="2324" spans="1:9" x14ac:dyDescent="0.3">
      <c r="A2324" s="12"/>
      <c r="B2324" s="1"/>
      <c r="C2324" s="1"/>
      <c r="G2324" s="3"/>
      <c r="H2324" s="13"/>
      <c r="I2324" s="3"/>
    </row>
    <row r="2325" spans="1:9" x14ac:dyDescent="0.3">
      <c r="A2325" s="12"/>
      <c r="B2325" s="1"/>
      <c r="C2325" s="1"/>
      <c r="G2325" s="3"/>
      <c r="H2325" s="13"/>
      <c r="I2325" s="3"/>
    </row>
    <row r="2326" spans="1:9" x14ac:dyDescent="0.3">
      <c r="A2326" s="12"/>
      <c r="B2326" s="1"/>
      <c r="C2326" s="1"/>
      <c r="G2326" s="3"/>
      <c r="H2326" s="13"/>
      <c r="I2326" s="3"/>
    </row>
    <row r="2327" spans="1:9" x14ac:dyDescent="0.3">
      <c r="A2327" s="12"/>
      <c r="B2327" s="1"/>
      <c r="C2327" s="1"/>
      <c r="G2327" s="3"/>
      <c r="H2327" s="13"/>
      <c r="I2327" s="3"/>
    </row>
    <row r="2328" spans="1:9" x14ac:dyDescent="0.3">
      <c r="A2328" s="12"/>
      <c r="B2328" s="1"/>
      <c r="C2328" s="1"/>
      <c r="G2328" s="3"/>
      <c r="H2328" s="13"/>
      <c r="I2328" s="3"/>
    </row>
    <row r="2329" spans="1:9" x14ac:dyDescent="0.3">
      <c r="A2329" s="12"/>
      <c r="B2329" s="1"/>
      <c r="C2329" s="1"/>
      <c r="G2329" s="3"/>
      <c r="H2329" s="13"/>
      <c r="I2329" s="3"/>
    </row>
    <row r="2330" spans="1:9" x14ac:dyDescent="0.3">
      <c r="A2330" s="12"/>
      <c r="B2330" s="1"/>
      <c r="C2330" s="1"/>
      <c r="G2330" s="3"/>
      <c r="H2330" s="13"/>
      <c r="I2330" s="3"/>
    </row>
    <row r="2331" spans="1:9" x14ac:dyDescent="0.3">
      <c r="A2331" s="12"/>
      <c r="B2331" s="1"/>
      <c r="C2331" s="1"/>
      <c r="G2331" s="3"/>
      <c r="H2331" s="13"/>
      <c r="I2331" s="3"/>
    </row>
    <row r="2332" spans="1:9" x14ac:dyDescent="0.3">
      <c r="A2332" s="12"/>
      <c r="B2332" s="1"/>
      <c r="C2332" s="1"/>
      <c r="G2332" s="3"/>
      <c r="H2332" s="13"/>
      <c r="I2332" s="3"/>
    </row>
    <row r="2333" spans="1:9" x14ac:dyDescent="0.3">
      <c r="A2333" s="12"/>
      <c r="B2333" s="1"/>
      <c r="C2333" s="1"/>
      <c r="G2333" s="3"/>
      <c r="H2333" s="13"/>
      <c r="I2333" s="3"/>
    </row>
    <row r="2334" spans="1:9" x14ac:dyDescent="0.3">
      <c r="A2334" s="12"/>
      <c r="B2334" s="1"/>
      <c r="C2334" s="1"/>
      <c r="G2334" s="3"/>
      <c r="H2334" s="13"/>
      <c r="I2334" s="3"/>
    </row>
    <row r="2335" spans="1:9" x14ac:dyDescent="0.3">
      <c r="A2335" s="12"/>
      <c r="B2335" s="1"/>
      <c r="C2335" s="1"/>
      <c r="G2335" s="3"/>
      <c r="H2335" s="13"/>
      <c r="I2335" s="3"/>
    </row>
    <row r="2336" spans="1:9" x14ac:dyDescent="0.3">
      <c r="A2336" s="12"/>
      <c r="B2336" s="1"/>
      <c r="C2336" s="1"/>
      <c r="G2336" s="3"/>
      <c r="H2336" s="13"/>
      <c r="I2336" s="3"/>
    </row>
    <row r="2337" spans="1:9" x14ac:dyDescent="0.3">
      <c r="A2337" s="12"/>
      <c r="B2337" s="1"/>
      <c r="C2337" s="1"/>
      <c r="G2337" s="3"/>
      <c r="H2337" s="13"/>
      <c r="I2337" s="3"/>
    </row>
    <row r="2338" spans="1:9" x14ac:dyDescent="0.3">
      <c r="A2338" s="12"/>
      <c r="B2338" s="1"/>
      <c r="C2338" s="1"/>
      <c r="G2338" s="3"/>
      <c r="H2338" s="13"/>
      <c r="I2338" s="3"/>
    </row>
    <row r="2339" spans="1:9" x14ac:dyDescent="0.3">
      <c r="A2339" s="12"/>
      <c r="B2339" s="1"/>
      <c r="C2339" s="1"/>
      <c r="G2339" s="3"/>
      <c r="H2339" s="13"/>
      <c r="I2339" s="3"/>
    </row>
    <row r="2340" spans="1:9" x14ac:dyDescent="0.3">
      <c r="A2340" s="12"/>
      <c r="B2340" s="1"/>
      <c r="C2340" s="1"/>
      <c r="G2340" s="3"/>
      <c r="H2340" s="13"/>
      <c r="I2340" s="3"/>
    </row>
    <row r="2341" spans="1:9" x14ac:dyDescent="0.3">
      <c r="A2341" s="12"/>
      <c r="B2341" s="1"/>
      <c r="C2341" s="1"/>
      <c r="G2341" s="3"/>
      <c r="H2341" s="13"/>
      <c r="I2341" s="3"/>
    </row>
    <row r="2342" spans="1:9" x14ac:dyDescent="0.3">
      <c r="A2342" s="12"/>
      <c r="B2342" s="1"/>
      <c r="C2342" s="1"/>
      <c r="G2342" s="3"/>
      <c r="H2342" s="13"/>
      <c r="I2342" s="3"/>
    </row>
    <row r="2343" spans="1:9" x14ac:dyDescent="0.3">
      <c r="A2343" s="12"/>
      <c r="B2343" s="1"/>
      <c r="C2343" s="1"/>
      <c r="G2343" s="3"/>
      <c r="H2343" s="13"/>
      <c r="I2343" s="3"/>
    </row>
    <row r="2344" spans="1:9" x14ac:dyDescent="0.3">
      <c r="A2344" s="12"/>
      <c r="B2344" s="1"/>
      <c r="C2344" s="1"/>
      <c r="G2344" s="3"/>
      <c r="H2344" s="13"/>
      <c r="I2344" s="3"/>
    </row>
    <row r="2345" spans="1:9" x14ac:dyDescent="0.3">
      <c r="A2345" s="12"/>
      <c r="B2345" s="1"/>
      <c r="C2345" s="1"/>
      <c r="G2345" s="3"/>
      <c r="H2345" s="13"/>
      <c r="I2345" s="3"/>
    </row>
    <row r="2346" spans="1:9" x14ac:dyDescent="0.3">
      <c r="A2346" s="12"/>
      <c r="B2346" s="1"/>
      <c r="C2346" s="1"/>
      <c r="G2346" s="3"/>
      <c r="H2346" s="13"/>
      <c r="I2346" s="3"/>
    </row>
    <row r="2347" spans="1:9" x14ac:dyDescent="0.3">
      <c r="A2347" s="12"/>
      <c r="B2347" s="1"/>
      <c r="C2347" s="1"/>
      <c r="G2347" s="3"/>
      <c r="H2347" s="13"/>
      <c r="I2347" s="3"/>
    </row>
    <row r="2348" spans="1:9" x14ac:dyDescent="0.3">
      <c r="A2348" s="12"/>
      <c r="B2348" s="1"/>
      <c r="C2348" s="1"/>
      <c r="G2348" s="3"/>
      <c r="H2348" s="13"/>
      <c r="I2348" s="3"/>
    </row>
    <row r="2349" spans="1:9" x14ac:dyDescent="0.3">
      <c r="A2349" s="12"/>
      <c r="B2349" s="1"/>
      <c r="C2349" s="1"/>
      <c r="G2349" s="3"/>
      <c r="H2349" s="13"/>
      <c r="I2349" s="3"/>
    </row>
    <row r="2350" spans="1:9" x14ac:dyDescent="0.3">
      <c r="A2350" s="12"/>
      <c r="B2350" s="1"/>
      <c r="C2350" s="1"/>
      <c r="G2350" s="3"/>
      <c r="H2350" s="13"/>
      <c r="I2350" s="3"/>
    </row>
    <row r="2351" spans="1:9" x14ac:dyDescent="0.3">
      <c r="A2351" s="12"/>
      <c r="B2351" s="1"/>
      <c r="C2351" s="1"/>
      <c r="G2351" s="3"/>
      <c r="H2351" s="13"/>
      <c r="I2351" s="3"/>
    </row>
    <row r="2352" spans="1:9" x14ac:dyDescent="0.3">
      <c r="A2352" s="12"/>
      <c r="B2352" s="1"/>
      <c r="C2352" s="1"/>
      <c r="G2352" s="3"/>
      <c r="H2352" s="13"/>
      <c r="I2352" s="3"/>
    </row>
    <row r="2353" spans="1:9" x14ac:dyDescent="0.3">
      <c r="A2353" s="12"/>
      <c r="B2353" s="1"/>
      <c r="C2353" s="1"/>
      <c r="G2353" s="3"/>
      <c r="H2353" s="13"/>
      <c r="I2353" s="3"/>
    </row>
    <row r="2354" spans="1:9" x14ac:dyDescent="0.3">
      <c r="A2354" s="12"/>
      <c r="B2354" s="1"/>
      <c r="C2354" s="1"/>
      <c r="G2354" s="3"/>
      <c r="H2354" s="13"/>
      <c r="I2354" s="3"/>
    </row>
    <row r="2355" spans="1:9" x14ac:dyDescent="0.3">
      <c r="A2355" s="12"/>
      <c r="B2355" s="1"/>
      <c r="C2355" s="1"/>
      <c r="G2355" s="3"/>
      <c r="H2355" s="13"/>
      <c r="I2355" s="3"/>
    </row>
    <row r="2356" spans="1:9" x14ac:dyDescent="0.3">
      <c r="A2356" s="12"/>
      <c r="B2356" s="1"/>
      <c r="C2356" s="1"/>
      <c r="G2356" s="3"/>
      <c r="H2356" s="13"/>
      <c r="I2356" s="3"/>
    </row>
    <row r="2357" spans="1:9" x14ac:dyDescent="0.3">
      <c r="A2357" s="12"/>
      <c r="B2357" s="1"/>
      <c r="C2357" s="1"/>
      <c r="G2357" s="3"/>
      <c r="H2357" s="13"/>
      <c r="I2357" s="3"/>
    </row>
    <row r="2358" spans="1:9" x14ac:dyDescent="0.3">
      <c r="A2358" s="12"/>
      <c r="B2358" s="1"/>
      <c r="C2358" s="1"/>
      <c r="G2358" s="3"/>
      <c r="H2358" s="13"/>
      <c r="I2358" s="3"/>
    </row>
    <row r="2359" spans="1:9" x14ac:dyDescent="0.3">
      <c r="A2359" s="12"/>
      <c r="B2359" s="1"/>
      <c r="C2359" s="1"/>
      <c r="G2359" s="3"/>
      <c r="H2359" s="13"/>
      <c r="I2359" s="3"/>
    </row>
    <row r="2360" spans="1:9" x14ac:dyDescent="0.3">
      <c r="A2360" s="12"/>
      <c r="B2360" s="1"/>
      <c r="C2360" s="1"/>
      <c r="G2360" s="3"/>
      <c r="H2360" s="13"/>
      <c r="I2360" s="3"/>
    </row>
    <row r="2361" spans="1:9" x14ac:dyDescent="0.3">
      <c r="A2361" s="12"/>
      <c r="B2361" s="1"/>
      <c r="C2361" s="1"/>
      <c r="G2361" s="3"/>
      <c r="H2361" s="13"/>
      <c r="I2361" s="3"/>
    </row>
    <row r="2362" spans="1:9" x14ac:dyDescent="0.3">
      <c r="A2362" s="12"/>
      <c r="B2362" s="1"/>
      <c r="C2362" s="1"/>
      <c r="G2362" s="3"/>
      <c r="H2362" s="13"/>
      <c r="I2362" s="3"/>
    </row>
    <row r="2363" spans="1:9" x14ac:dyDescent="0.3">
      <c r="A2363" s="12"/>
      <c r="B2363" s="1"/>
      <c r="C2363" s="1"/>
      <c r="G2363" s="3"/>
      <c r="H2363" s="13"/>
      <c r="I2363" s="3"/>
    </row>
    <row r="2364" spans="1:9" x14ac:dyDescent="0.3">
      <c r="A2364" s="12"/>
      <c r="B2364" s="1"/>
      <c r="C2364" s="1"/>
      <c r="G2364" s="3"/>
      <c r="H2364" s="13"/>
      <c r="I2364" s="3"/>
    </row>
    <row r="2365" spans="1:9" x14ac:dyDescent="0.3">
      <c r="A2365" s="12"/>
      <c r="B2365" s="1"/>
      <c r="C2365" s="1"/>
      <c r="G2365" s="3"/>
      <c r="H2365" s="13"/>
      <c r="I2365" s="3"/>
    </row>
    <row r="2366" spans="1:9" x14ac:dyDescent="0.3">
      <c r="A2366" s="12"/>
      <c r="B2366" s="1"/>
      <c r="C2366" s="1"/>
      <c r="G2366" s="3"/>
      <c r="H2366" s="13"/>
      <c r="I2366" s="3"/>
    </row>
    <row r="2367" spans="1:9" x14ac:dyDescent="0.3">
      <c r="A2367" s="12"/>
      <c r="B2367" s="1"/>
      <c r="C2367" s="1"/>
      <c r="G2367" s="3"/>
      <c r="H2367" s="13"/>
      <c r="I2367" s="3"/>
    </row>
    <row r="2368" spans="1:9" x14ac:dyDescent="0.3">
      <c r="A2368" s="12"/>
      <c r="B2368" s="1"/>
      <c r="C2368" s="1"/>
      <c r="G2368" s="3"/>
      <c r="H2368" s="13"/>
      <c r="I2368" s="3"/>
    </row>
    <row r="2369" spans="1:9" x14ac:dyDescent="0.3">
      <c r="A2369" s="12"/>
      <c r="B2369" s="1"/>
      <c r="C2369" s="1"/>
      <c r="G2369" s="3"/>
      <c r="H2369" s="13"/>
      <c r="I2369" s="3"/>
    </row>
    <row r="2370" spans="1:9" x14ac:dyDescent="0.3">
      <c r="A2370" s="12"/>
      <c r="B2370" s="1"/>
      <c r="C2370" s="1"/>
      <c r="G2370" s="3"/>
      <c r="H2370" s="13"/>
      <c r="I2370" s="3"/>
    </row>
    <row r="2371" spans="1:9" x14ac:dyDescent="0.3">
      <c r="A2371" s="12"/>
      <c r="B2371" s="1"/>
      <c r="C2371" s="1"/>
      <c r="G2371" s="3"/>
      <c r="H2371" s="13"/>
      <c r="I2371" s="3"/>
    </row>
    <row r="2372" spans="1:9" x14ac:dyDescent="0.3">
      <c r="A2372" s="12"/>
      <c r="B2372" s="1"/>
      <c r="C2372" s="1"/>
      <c r="G2372" s="3"/>
      <c r="H2372" s="13"/>
      <c r="I2372" s="3"/>
    </row>
    <row r="2373" spans="1:9" x14ac:dyDescent="0.3">
      <c r="A2373" s="12"/>
      <c r="B2373" s="1"/>
      <c r="C2373" s="1"/>
      <c r="G2373" s="3"/>
      <c r="H2373" s="13"/>
      <c r="I2373" s="3"/>
    </row>
    <row r="2374" spans="1:9" x14ac:dyDescent="0.3">
      <c r="A2374" s="12"/>
      <c r="B2374" s="1"/>
      <c r="C2374" s="1"/>
      <c r="G2374" s="3"/>
      <c r="H2374" s="13"/>
      <c r="I2374" s="3"/>
    </row>
    <row r="2375" spans="1:9" x14ac:dyDescent="0.3">
      <c r="A2375" s="12"/>
      <c r="B2375" s="1"/>
      <c r="C2375" s="1"/>
      <c r="G2375" s="3"/>
      <c r="H2375" s="13"/>
      <c r="I2375" s="3"/>
    </row>
    <row r="2376" spans="1:9" x14ac:dyDescent="0.3">
      <c r="A2376" s="12"/>
      <c r="B2376" s="1"/>
      <c r="C2376" s="1"/>
      <c r="G2376" s="3"/>
      <c r="H2376" s="13"/>
      <c r="I2376" s="3"/>
    </row>
    <row r="2377" spans="1:9" x14ac:dyDescent="0.3">
      <c r="A2377" s="12"/>
      <c r="B2377" s="1"/>
      <c r="C2377" s="1"/>
      <c r="G2377" s="3"/>
      <c r="H2377" s="13"/>
      <c r="I2377" s="3"/>
    </row>
    <row r="2378" spans="1:9" x14ac:dyDescent="0.3">
      <c r="A2378" s="12"/>
      <c r="B2378" s="1"/>
      <c r="C2378" s="1"/>
      <c r="G2378" s="3"/>
      <c r="H2378" s="13"/>
      <c r="I2378" s="3"/>
    </row>
    <row r="2379" spans="1:9" x14ac:dyDescent="0.3">
      <c r="A2379" s="12"/>
      <c r="B2379" s="1"/>
      <c r="C2379" s="1"/>
      <c r="G2379" s="3"/>
      <c r="H2379" s="13"/>
      <c r="I2379" s="3"/>
    </row>
    <row r="2380" spans="1:9" x14ac:dyDescent="0.3">
      <c r="A2380" s="12"/>
      <c r="B2380" s="1"/>
      <c r="C2380" s="1"/>
      <c r="G2380" s="3"/>
      <c r="H2380" s="13"/>
      <c r="I2380" s="3"/>
    </row>
    <row r="2381" spans="1:9" x14ac:dyDescent="0.3">
      <c r="A2381" s="12"/>
      <c r="B2381" s="1"/>
      <c r="C2381" s="1"/>
      <c r="G2381" s="3"/>
      <c r="H2381" s="13"/>
      <c r="I2381" s="3"/>
    </row>
    <row r="2382" spans="1:9" x14ac:dyDescent="0.3">
      <c r="A2382" s="12"/>
      <c r="B2382" s="1"/>
      <c r="C2382" s="1"/>
      <c r="G2382" s="3"/>
      <c r="H2382" s="13"/>
      <c r="I2382" s="3"/>
    </row>
    <row r="2383" spans="1:9" x14ac:dyDescent="0.3">
      <c r="A2383" s="12"/>
      <c r="B2383" s="1"/>
      <c r="C2383" s="1"/>
      <c r="G2383" s="3"/>
      <c r="H2383" s="13"/>
      <c r="I2383" s="3"/>
    </row>
    <row r="2384" spans="1:9" x14ac:dyDescent="0.3">
      <c r="A2384" s="12"/>
      <c r="B2384" s="1"/>
      <c r="C2384" s="1"/>
      <c r="G2384" s="3"/>
      <c r="H2384" s="13"/>
      <c r="I2384" s="3"/>
    </row>
    <row r="2385" spans="1:9" x14ac:dyDescent="0.3">
      <c r="A2385" s="12"/>
      <c r="B2385" s="1"/>
      <c r="C2385" s="1"/>
      <c r="G2385" s="3"/>
      <c r="H2385" s="13"/>
      <c r="I2385" s="3"/>
    </row>
    <row r="2386" spans="1:9" x14ac:dyDescent="0.3">
      <c r="A2386" s="12"/>
      <c r="B2386" s="1"/>
      <c r="C2386" s="1"/>
      <c r="G2386" s="3"/>
      <c r="H2386" s="13"/>
      <c r="I2386" s="3"/>
    </row>
    <row r="2387" spans="1:9" x14ac:dyDescent="0.3">
      <c r="A2387" s="12"/>
      <c r="B2387" s="1"/>
      <c r="C2387" s="1"/>
      <c r="G2387" s="3"/>
      <c r="H2387" s="13"/>
      <c r="I2387" s="3"/>
    </row>
    <row r="2388" spans="1:9" x14ac:dyDescent="0.3">
      <c r="A2388" s="12"/>
      <c r="B2388" s="1"/>
      <c r="C2388" s="1"/>
      <c r="G2388" s="3"/>
      <c r="H2388" s="13"/>
      <c r="I2388" s="3"/>
    </row>
    <row r="2389" spans="1:9" x14ac:dyDescent="0.3">
      <c r="A2389" s="12"/>
      <c r="B2389" s="1"/>
      <c r="C2389" s="1"/>
      <c r="G2389" s="3"/>
      <c r="H2389" s="13"/>
      <c r="I2389" s="3"/>
    </row>
    <row r="2390" spans="1:9" x14ac:dyDescent="0.3">
      <c r="A2390" s="12"/>
      <c r="B2390" s="1"/>
      <c r="C2390" s="1"/>
      <c r="G2390" s="3"/>
      <c r="H2390" s="13"/>
      <c r="I2390" s="3"/>
    </row>
    <row r="2391" spans="1:9" x14ac:dyDescent="0.3">
      <c r="A2391" s="12"/>
      <c r="B2391" s="1"/>
      <c r="C2391" s="1"/>
      <c r="G2391" s="3"/>
      <c r="H2391" s="13"/>
      <c r="I2391" s="3"/>
    </row>
    <row r="2392" spans="1:9" x14ac:dyDescent="0.3">
      <c r="A2392" s="12"/>
      <c r="B2392" s="1"/>
      <c r="C2392" s="1"/>
      <c r="G2392" s="3"/>
      <c r="H2392" s="13"/>
      <c r="I2392" s="3"/>
    </row>
    <row r="2393" spans="1:9" x14ac:dyDescent="0.3">
      <c r="A2393" s="12"/>
      <c r="B2393" s="1"/>
      <c r="C2393" s="1"/>
      <c r="G2393" s="3"/>
      <c r="H2393" s="13"/>
      <c r="I2393" s="3"/>
    </row>
    <row r="2394" spans="1:9" x14ac:dyDescent="0.3">
      <c r="A2394" s="12"/>
      <c r="B2394" s="1"/>
      <c r="C2394" s="1"/>
      <c r="G2394" s="3"/>
      <c r="H2394" s="13"/>
      <c r="I2394" s="3"/>
    </row>
    <row r="2395" spans="1:9" x14ac:dyDescent="0.3">
      <c r="A2395" s="12"/>
      <c r="B2395" s="1"/>
      <c r="C2395" s="1"/>
      <c r="G2395" s="3"/>
      <c r="H2395" s="13"/>
      <c r="I2395" s="3"/>
    </row>
    <row r="2396" spans="1:9" x14ac:dyDescent="0.3">
      <c r="A2396" s="12"/>
      <c r="B2396" s="1"/>
      <c r="C2396" s="1"/>
      <c r="G2396" s="3"/>
      <c r="H2396" s="13"/>
      <c r="I2396" s="3"/>
    </row>
    <row r="2397" spans="1:9" x14ac:dyDescent="0.3">
      <c r="A2397" s="12"/>
      <c r="B2397" s="1"/>
      <c r="C2397" s="1"/>
      <c r="G2397" s="3"/>
      <c r="H2397" s="13"/>
      <c r="I2397" s="3"/>
    </row>
    <row r="2398" spans="1:9" x14ac:dyDescent="0.3">
      <c r="A2398" s="12"/>
      <c r="B2398" s="1"/>
      <c r="C2398" s="1"/>
      <c r="G2398" s="3"/>
      <c r="H2398" s="13"/>
      <c r="I2398" s="3"/>
    </row>
    <row r="2399" spans="1:9" x14ac:dyDescent="0.3">
      <c r="A2399" s="12"/>
      <c r="B2399" s="1"/>
      <c r="C2399" s="1"/>
      <c r="G2399" s="3"/>
      <c r="H2399" s="13"/>
      <c r="I2399" s="3"/>
    </row>
    <row r="2400" spans="1:9" x14ac:dyDescent="0.3">
      <c r="A2400" s="12"/>
      <c r="B2400" s="1"/>
      <c r="C2400" s="1"/>
      <c r="G2400" s="3"/>
      <c r="H2400" s="13"/>
      <c r="I2400" s="3"/>
    </row>
    <row r="2401" spans="1:9" x14ac:dyDescent="0.3">
      <c r="A2401" s="12"/>
      <c r="B2401" s="1"/>
      <c r="C2401" s="1"/>
      <c r="G2401" s="3"/>
      <c r="H2401" s="13"/>
      <c r="I2401" s="3"/>
    </row>
    <row r="2402" spans="1:9" x14ac:dyDescent="0.3">
      <c r="A2402" s="12"/>
      <c r="B2402" s="1"/>
      <c r="C2402" s="1"/>
      <c r="G2402" s="3"/>
      <c r="H2402" s="13"/>
      <c r="I2402" s="3"/>
    </row>
    <row r="2403" spans="1:9" x14ac:dyDescent="0.3">
      <c r="A2403" s="12"/>
      <c r="B2403" s="1"/>
      <c r="C2403" s="1"/>
      <c r="G2403" s="3"/>
      <c r="H2403" s="13"/>
      <c r="I2403" s="3"/>
    </row>
    <row r="2404" spans="1:9" x14ac:dyDescent="0.3">
      <c r="A2404" s="12"/>
      <c r="B2404" s="1"/>
      <c r="C2404" s="1"/>
      <c r="G2404" s="3"/>
      <c r="H2404" s="13"/>
      <c r="I2404" s="3"/>
    </row>
    <row r="2405" spans="1:9" x14ac:dyDescent="0.3">
      <c r="A2405" s="12"/>
      <c r="B2405" s="1"/>
      <c r="C2405" s="1"/>
      <c r="G2405" s="3"/>
      <c r="H2405" s="13"/>
      <c r="I2405" s="3"/>
    </row>
    <row r="2406" spans="1:9" x14ac:dyDescent="0.3">
      <c r="A2406" s="12"/>
      <c r="B2406" s="1"/>
      <c r="C2406" s="1"/>
      <c r="G2406" s="3"/>
      <c r="H2406" s="13"/>
      <c r="I2406" s="3"/>
    </row>
    <row r="2407" spans="1:9" x14ac:dyDescent="0.3">
      <c r="A2407" s="12"/>
      <c r="B2407" s="1"/>
      <c r="C2407" s="1"/>
      <c r="G2407" s="3"/>
      <c r="H2407" s="13"/>
      <c r="I2407" s="3"/>
    </row>
    <row r="2408" spans="1:9" x14ac:dyDescent="0.3">
      <c r="A2408" s="12"/>
      <c r="B2408" s="1"/>
      <c r="C2408" s="1"/>
      <c r="G2408" s="3"/>
      <c r="H2408" s="13"/>
      <c r="I2408" s="3"/>
    </row>
    <row r="2409" spans="1:9" x14ac:dyDescent="0.3">
      <c r="A2409" s="12"/>
      <c r="B2409" s="1"/>
      <c r="C2409" s="1"/>
      <c r="G2409" s="3"/>
      <c r="H2409" s="13"/>
      <c r="I2409" s="3"/>
    </row>
    <row r="2410" spans="1:9" x14ac:dyDescent="0.3">
      <c r="A2410" s="12"/>
      <c r="B2410" s="1"/>
      <c r="C2410" s="1"/>
      <c r="G2410" s="3"/>
      <c r="H2410" s="13"/>
      <c r="I2410" s="3"/>
    </row>
    <row r="2411" spans="1:9" x14ac:dyDescent="0.3">
      <c r="A2411" s="12"/>
      <c r="B2411" s="1"/>
      <c r="C2411" s="1"/>
      <c r="G2411" s="3"/>
      <c r="H2411" s="13"/>
      <c r="I2411" s="3"/>
    </row>
    <row r="2412" spans="1:9" x14ac:dyDescent="0.3">
      <c r="A2412" s="12"/>
      <c r="B2412" s="1"/>
      <c r="C2412" s="1"/>
      <c r="G2412" s="3"/>
      <c r="H2412" s="13"/>
      <c r="I2412" s="3"/>
    </row>
    <row r="2413" spans="1:9" x14ac:dyDescent="0.3">
      <c r="A2413" s="12"/>
      <c r="B2413" s="1"/>
      <c r="C2413" s="1"/>
      <c r="G2413" s="3"/>
      <c r="H2413" s="13"/>
      <c r="I2413" s="3"/>
    </row>
    <row r="2414" spans="1:9" x14ac:dyDescent="0.3">
      <c r="A2414" s="12"/>
      <c r="B2414" s="1"/>
      <c r="C2414" s="1"/>
      <c r="G2414" s="3"/>
      <c r="H2414" s="13"/>
      <c r="I2414" s="3"/>
    </row>
    <row r="2415" spans="1:9" x14ac:dyDescent="0.3">
      <c r="A2415" s="12"/>
      <c r="B2415" s="1"/>
      <c r="C2415" s="1"/>
      <c r="G2415" s="3"/>
      <c r="H2415" s="13"/>
      <c r="I2415" s="3"/>
    </row>
    <row r="2416" spans="1:9" x14ac:dyDescent="0.3">
      <c r="A2416" s="12"/>
      <c r="B2416" s="1"/>
      <c r="C2416" s="1"/>
      <c r="G2416" s="3"/>
      <c r="H2416" s="13"/>
      <c r="I2416" s="3"/>
    </row>
    <row r="2417" spans="1:9" x14ac:dyDescent="0.3">
      <c r="A2417" s="12"/>
      <c r="B2417" s="1"/>
      <c r="C2417" s="1"/>
      <c r="G2417" s="3"/>
      <c r="H2417" s="13"/>
      <c r="I2417" s="3"/>
    </row>
    <row r="2418" spans="1:9" x14ac:dyDescent="0.3">
      <c r="A2418" s="12"/>
      <c r="B2418" s="1"/>
      <c r="C2418" s="1"/>
      <c r="G2418" s="3"/>
      <c r="H2418" s="13"/>
      <c r="I2418" s="3"/>
    </row>
    <row r="2419" spans="1:9" x14ac:dyDescent="0.3">
      <c r="A2419" s="12"/>
      <c r="B2419" s="1"/>
      <c r="C2419" s="1"/>
      <c r="G2419" s="3"/>
      <c r="H2419" s="13"/>
      <c r="I2419" s="3"/>
    </row>
    <row r="2420" spans="1:9" x14ac:dyDescent="0.3">
      <c r="A2420" s="12"/>
      <c r="B2420" s="1"/>
      <c r="C2420" s="1"/>
      <c r="G2420" s="3"/>
      <c r="H2420" s="13"/>
      <c r="I2420" s="3"/>
    </row>
    <row r="2421" spans="1:9" x14ac:dyDescent="0.3">
      <c r="A2421" s="12"/>
      <c r="B2421" s="1"/>
      <c r="C2421" s="1"/>
      <c r="G2421" s="3"/>
      <c r="H2421" s="13"/>
      <c r="I2421" s="3"/>
    </row>
    <row r="2422" spans="1:9" x14ac:dyDescent="0.3">
      <c r="A2422" s="12"/>
      <c r="B2422" s="1"/>
      <c r="C2422" s="1"/>
      <c r="G2422" s="3"/>
      <c r="H2422" s="13"/>
      <c r="I2422" s="3"/>
    </row>
    <row r="2423" spans="1:9" x14ac:dyDescent="0.3">
      <c r="A2423" s="12"/>
      <c r="B2423" s="1"/>
      <c r="C2423" s="1"/>
      <c r="G2423" s="3"/>
      <c r="H2423" s="13"/>
      <c r="I2423" s="3"/>
    </row>
    <row r="2424" spans="1:9" x14ac:dyDescent="0.3">
      <c r="A2424" s="12"/>
      <c r="B2424" s="1"/>
      <c r="C2424" s="1"/>
      <c r="G2424" s="3"/>
      <c r="H2424" s="13"/>
      <c r="I2424" s="3"/>
    </row>
    <row r="2425" spans="1:9" x14ac:dyDescent="0.3">
      <c r="A2425" s="12"/>
      <c r="B2425" s="1"/>
      <c r="C2425" s="1"/>
      <c r="G2425" s="3"/>
      <c r="H2425" s="13"/>
      <c r="I2425" s="3"/>
    </row>
    <row r="2426" spans="1:9" x14ac:dyDescent="0.3">
      <c r="A2426" s="12"/>
      <c r="B2426" s="1"/>
      <c r="C2426" s="1"/>
      <c r="G2426" s="3"/>
      <c r="H2426" s="13"/>
      <c r="I2426" s="3"/>
    </row>
    <row r="2427" spans="1:9" x14ac:dyDescent="0.3">
      <c r="A2427" s="12"/>
      <c r="B2427" s="1"/>
      <c r="C2427" s="1"/>
      <c r="G2427" s="3"/>
      <c r="H2427" s="13"/>
      <c r="I2427" s="3"/>
    </row>
    <row r="2428" spans="1:9" x14ac:dyDescent="0.3">
      <c r="A2428" s="12"/>
      <c r="B2428" s="1"/>
      <c r="C2428" s="1"/>
      <c r="G2428" s="3"/>
      <c r="H2428" s="13"/>
      <c r="I2428" s="3"/>
    </row>
    <row r="2429" spans="1:9" x14ac:dyDescent="0.3">
      <c r="A2429" s="12"/>
      <c r="B2429" s="1"/>
      <c r="C2429" s="1"/>
      <c r="G2429" s="3"/>
      <c r="H2429" s="13"/>
      <c r="I2429" s="3"/>
    </row>
    <row r="2430" spans="1:9" x14ac:dyDescent="0.3">
      <c r="A2430" s="12"/>
      <c r="B2430" s="1"/>
      <c r="C2430" s="1"/>
      <c r="G2430" s="3"/>
      <c r="H2430" s="13"/>
      <c r="I2430" s="3"/>
    </row>
    <row r="2431" spans="1:9" x14ac:dyDescent="0.3">
      <c r="A2431" s="12"/>
      <c r="B2431" s="1"/>
      <c r="C2431" s="1"/>
      <c r="G2431" s="3"/>
      <c r="H2431" s="13"/>
      <c r="I2431" s="3"/>
    </row>
    <row r="2432" spans="1:9" x14ac:dyDescent="0.3">
      <c r="A2432" s="12"/>
      <c r="B2432" s="1"/>
      <c r="C2432" s="1"/>
      <c r="G2432" s="3"/>
      <c r="H2432" s="13"/>
      <c r="I2432" s="3"/>
    </row>
    <row r="2433" spans="1:9" x14ac:dyDescent="0.3">
      <c r="A2433" s="12"/>
      <c r="B2433" s="1"/>
      <c r="C2433" s="1"/>
      <c r="G2433" s="3"/>
      <c r="H2433" s="13"/>
      <c r="I2433" s="3"/>
    </row>
    <row r="2434" spans="1:9" x14ac:dyDescent="0.3">
      <c r="A2434" s="12"/>
      <c r="B2434" s="1"/>
      <c r="C2434" s="1"/>
      <c r="G2434" s="3"/>
      <c r="H2434" s="13"/>
      <c r="I2434" s="3"/>
    </row>
    <row r="2435" spans="1:9" x14ac:dyDescent="0.3">
      <c r="A2435" s="12"/>
      <c r="B2435" s="1"/>
      <c r="C2435" s="1"/>
      <c r="G2435" s="3"/>
      <c r="H2435" s="13"/>
      <c r="I2435" s="3"/>
    </row>
    <row r="2436" spans="1:9" x14ac:dyDescent="0.3">
      <c r="A2436" s="12"/>
      <c r="B2436" s="1"/>
      <c r="C2436" s="1"/>
      <c r="G2436" s="3"/>
      <c r="H2436" s="13"/>
      <c r="I2436" s="3"/>
    </row>
    <row r="2437" spans="1:9" x14ac:dyDescent="0.3">
      <c r="A2437" s="12"/>
      <c r="B2437" s="1"/>
      <c r="C2437" s="1"/>
      <c r="G2437" s="3"/>
      <c r="H2437" s="13"/>
      <c r="I2437" s="3"/>
    </row>
    <row r="2438" spans="1:9" x14ac:dyDescent="0.3">
      <c r="A2438" s="12"/>
      <c r="B2438" s="1"/>
      <c r="C2438" s="1"/>
      <c r="G2438" s="3"/>
      <c r="H2438" s="13"/>
      <c r="I2438" s="3"/>
    </row>
    <row r="2439" spans="1:9" x14ac:dyDescent="0.3">
      <c r="A2439" s="12"/>
      <c r="B2439" s="1"/>
      <c r="C2439" s="1"/>
      <c r="G2439" s="3"/>
      <c r="H2439" s="13"/>
      <c r="I2439" s="3"/>
    </row>
    <row r="2440" spans="1:9" x14ac:dyDescent="0.3">
      <c r="A2440" s="12"/>
      <c r="B2440" s="1"/>
      <c r="C2440" s="1"/>
      <c r="G2440" s="3"/>
      <c r="H2440" s="13"/>
      <c r="I2440" s="3"/>
    </row>
    <row r="2441" spans="1:9" x14ac:dyDescent="0.3">
      <c r="A2441" s="12"/>
      <c r="B2441" s="1"/>
      <c r="C2441" s="1"/>
      <c r="G2441" s="3"/>
      <c r="H2441" s="13"/>
      <c r="I2441" s="3"/>
    </row>
    <row r="2442" spans="1:9" x14ac:dyDescent="0.3">
      <c r="A2442" s="12"/>
      <c r="B2442" s="1"/>
      <c r="C2442" s="1"/>
      <c r="G2442" s="3"/>
      <c r="H2442" s="13"/>
      <c r="I2442" s="3"/>
    </row>
    <row r="2443" spans="1:9" x14ac:dyDescent="0.3">
      <c r="A2443" s="12"/>
      <c r="B2443" s="1"/>
      <c r="C2443" s="1"/>
      <c r="G2443" s="3"/>
      <c r="H2443" s="13"/>
      <c r="I2443" s="3"/>
    </row>
    <row r="2444" spans="1:9" x14ac:dyDescent="0.3">
      <c r="A2444" s="12"/>
      <c r="B2444" s="1"/>
      <c r="C2444" s="1"/>
      <c r="G2444" s="3"/>
      <c r="H2444" s="13"/>
      <c r="I2444" s="3"/>
    </row>
    <row r="2445" spans="1:9" x14ac:dyDescent="0.3">
      <c r="A2445" s="12"/>
      <c r="B2445" s="1"/>
      <c r="C2445" s="1"/>
      <c r="G2445" s="3"/>
      <c r="H2445" s="13"/>
      <c r="I2445" s="3"/>
    </row>
    <row r="2446" spans="1:9" x14ac:dyDescent="0.3">
      <c r="A2446" s="12"/>
      <c r="B2446" s="1"/>
      <c r="C2446" s="1"/>
      <c r="G2446" s="3"/>
      <c r="H2446" s="13"/>
      <c r="I2446" s="3"/>
    </row>
    <row r="2447" spans="1:9" x14ac:dyDescent="0.3">
      <c r="A2447" s="12"/>
      <c r="B2447" s="1"/>
      <c r="C2447" s="1"/>
      <c r="G2447" s="3"/>
      <c r="H2447" s="13"/>
      <c r="I2447" s="3"/>
    </row>
    <row r="2448" spans="1:9" x14ac:dyDescent="0.3">
      <c r="A2448" s="12"/>
      <c r="B2448" s="1"/>
      <c r="C2448" s="1"/>
      <c r="G2448" s="3"/>
      <c r="H2448" s="13"/>
      <c r="I2448" s="3"/>
    </row>
    <row r="2449" spans="1:9" x14ac:dyDescent="0.3">
      <c r="A2449" s="12"/>
      <c r="B2449" s="1"/>
      <c r="C2449" s="1"/>
      <c r="G2449" s="3"/>
      <c r="H2449" s="13"/>
      <c r="I2449" s="3"/>
    </row>
    <row r="2450" spans="1:9" x14ac:dyDescent="0.3">
      <c r="A2450" s="12"/>
      <c r="B2450" s="1"/>
      <c r="C2450" s="1"/>
      <c r="G2450" s="3"/>
      <c r="H2450" s="13"/>
      <c r="I2450" s="3"/>
    </row>
    <row r="2451" spans="1:9" x14ac:dyDescent="0.3">
      <c r="A2451" s="12"/>
      <c r="B2451" s="1"/>
      <c r="C2451" s="1"/>
      <c r="G2451" s="3"/>
      <c r="H2451" s="13"/>
      <c r="I2451" s="3"/>
    </row>
    <row r="2452" spans="1:9" x14ac:dyDescent="0.3">
      <c r="A2452" s="12"/>
      <c r="B2452" s="1"/>
      <c r="C2452" s="1"/>
      <c r="G2452" s="3"/>
      <c r="H2452" s="13"/>
      <c r="I2452" s="3"/>
    </row>
    <row r="2453" spans="1:9" x14ac:dyDescent="0.3">
      <c r="A2453" s="12"/>
      <c r="B2453" s="1"/>
      <c r="C2453" s="1"/>
      <c r="G2453" s="3"/>
      <c r="H2453" s="13"/>
      <c r="I2453" s="3"/>
    </row>
    <row r="2454" spans="1:9" x14ac:dyDescent="0.3">
      <c r="A2454" s="12"/>
      <c r="B2454" s="1"/>
      <c r="C2454" s="1"/>
      <c r="G2454" s="3"/>
      <c r="H2454" s="13"/>
      <c r="I2454" s="3"/>
    </row>
    <row r="2455" spans="1:9" x14ac:dyDescent="0.3">
      <c r="A2455" s="12"/>
      <c r="B2455" s="1"/>
      <c r="C2455" s="1"/>
      <c r="G2455" s="3"/>
      <c r="H2455" s="13"/>
      <c r="I2455" s="3"/>
    </row>
    <row r="2456" spans="1:9" x14ac:dyDescent="0.3">
      <c r="A2456" s="12"/>
      <c r="B2456" s="1"/>
      <c r="C2456" s="1"/>
      <c r="G2456" s="3"/>
      <c r="H2456" s="13"/>
      <c r="I2456" s="3"/>
    </row>
    <row r="2457" spans="1:9" x14ac:dyDescent="0.3">
      <c r="A2457" s="12"/>
      <c r="B2457" s="1"/>
      <c r="C2457" s="1"/>
      <c r="G2457" s="3"/>
      <c r="H2457" s="13"/>
      <c r="I2457" s="3"/>
    </row>
    <row r="2458" spans="1:9" x14ac:dyDescent="0.3">
      <c r="A2458" s="12"/>
      <c r="B2458" s="1"/>
      <c r="C2458" s="1"/>
      <c r="G2458" s="3"/>
      <c r="H2458" s="13"/>
      <c r="I2458" s="3"/>
    </row>
    <row r="2459" spans="1:9" x14ac:dyDescent="0.3">
      <c r="A2459" s="12"/>
      <c r="B2459" s="1"/>
      <c r="C2459" s="1"/>
      <c r="G2459" s="3"/>
      <c r="H2459" s="13"/>
      <c r="I2459" s="3"/>
    </row>
    <row r="2460" spans="1:9" x14ac:dyDescent="0.3">
      <c r="A2460" s="12"/>
      <c r="B2460" s="1"/>
      <c r="C2460" s="1"/>
      <c r="G2460" s="3"/>
      <c r="H2460" s="13"/>
      <c r="I2460" s="3"/>
    </row>
    <row r="2461" spans="1:9" x14ac:dyDescent="0.3">
      <c r="A2461" s="12"/>
      <c r="B2461" s="1"/>
      <c r="C2461" s="1"/>
      <c r="G2461" s="3"/>
      <c r="H2461" s="13"/>
      <c r="I2461" s="3"/>
    </row>
    <row r="2462" spans="1:9" x14ac:dyDescent="0.3">
      <c r="A2462" s="12"/>
      <c r="B2462" s="1"/>
      <c r="C2462" s="1"/>
      <c r="G2462" s="3"/>
      <c r="H2462" s="13"/>
      <c r="I2462" s="3"/>
    </row>
    <row r="2463" spans="1:9" x14ac:dyDescent="0.3">
      <c r="A2463" s="12"/>
      <c r="B2463" s="1"/>
      <c r="C2463" s="1"/>
      <c r="G2463" s="3"/>
      <c r="H2463" s="13"/>
      <c r="I2463" s="3"/>
    </row>
    <row r="2464" spans="1:9" x14ac:dyDescent="0.3">
      <c r="A2464" s="12"/>
      <c r="B2464" s="1"/>
      <c r="C2464" s="1"/>
      <c r="G2464" s="3"/>
      <c r="H2464" s="13"/>
      <c r="I2464" s="3"/>
    </row>
    <row r="2465" spans="1:9" x14ac:dyDescent="0.3">
      <c r="A2465" s="12"/>
      <c r="B2465" s="1"/>
      <c r="C2465" s="1"/>
      <c r="G2465" s="3"/>
      <c r="H2465" s="13"/>
      <c r="I2465" s="3"/>
    </row>
    <row r="2466" spans="1:9" x14ac:dyDescent="0.3">
      <c r="A2466" s="12"/>
      <c r="B2466" s="1"/>
      <c r="C2466" s="1"/>
      <c r="G2466" s="3"/>
      <c r="H2466" s="13"/>
      <c r="I2466" s="3"/>
    </row>
    <row r="2467" spans="1:9" x14ac:dyDescent="0.3">
      <c r="A2467" s="12"/>
      <c r="B2467" s="1"/>
      <c r="C2467" s="1"/>
      <c r="G2467" s="3"/>
      <c r="H2467" s="13"/>
      <c r="I2467" s="3"/>
    </row>
    <row r="2468" spans="1:9" x14ac:dyDescent="0.3">
      <c r="A2468" s="12"/>
      <c r="B2468" s="1"/>
      <c r="C2468" s="1"/>
      <c r="G2468" s="3"/>
      <c r="H2468" s="13"/>
      <c r="I2468" s="3"/>
    </row>
    <row r="2469" spans="1:9" x14ac:dyDescent="0.3">
      <c r="A2469" s="12"/>
      <c r="B2469" s="1"/>
      <c r="C2469" s="1"/>
      <c r="G2469" s="3"/>
      <c r="H2469" s="13"/>
      <c r="I2469" s="3"/>
    </row>
    <row r="2470" spans="1:9" x14ac:dyDescent="0.3">
      <c r="A2470" s="12"/>
      <c r="B2470" s="1"/>
      <c r="C2470" s="1"/>
      <c r="G2470" s="3"/>
      <c r="H2470" s="13"/>
      <c r="I2470" s="3"/>
    </row>
    <row r="2471" spans="1:9" x14ac:dyDescent="0.3">
      <c r="A2471" s="12"/>
      <c r="B2471" s="1"/>
      <c r="C2471" s="1"/>
      <c r="G2471" s="3"/>
      <c r="H2471" s="13"/>
      <c r="I2471" s="3"/>
    </row>
    <row r="2472" spans="1:9" x14ac:dyDescent="0.3">
      <c r="A2472" s="12"/>
      <c r="B2472" s="1"/>
      <c r="C2472" s="1"/>
      <c r="G2472" s="3"/>
      <c r="H2472" s="13"/>
      <c r="I2472" s="3"/>
    </row>
    <row r="2473" spans="1:9" x14ac:dyDescent="0.3">
      <c r="A2473" s="12"/>
      <c r="B2473" s="1"/>
      <c r="C2473" s="1"/>
      <c r="G2473" s="3"/>
      <c r="H2473" s="13"/>
      <c r="I2473" s="3"/>
    </row>
    <row r="2474" spans="1:9" x14ac:dyDescent="0.3">
      <c r="A2474" s="12"/>
      <c r="B2474" s="1"/>
      <c r="C2474" s="1"/>
      <c r="G2474" s="3"/>
      <c r="H2474" s="13"/>
      <c r="I2474" s="3"/>
    </row>
    <row r="2475" spans="1:9" x14ac:dyDescent="0.3">
      <c r="A2475" s="12"/>
      <c r="B2475" s="1"/>
      <c r="C2475" s="1"/>
      <c r="G2475" s="3"/>
      <c r="H2475" s="13"/>
      <c r="I2475" s="3"/>
    </row>
    <row r="2476" spans="1:9" x14ac:dyDescent="0.3">
      <c r="A2476" s="12"/>
      <c r="B2476" s="1"/>
      <c r="C2476" s="1"/>
      <c r="G2476" s="3"/>
      <c r="H2476" s="13"/>
      <c r="I2476" s="3"/>
    </row>
    <row r="2477" spans="1:9" x14ac:dyDescent="0.3">
      <c r="A2477" s="12"/>
      <c r="B2477" s="1"/>
      <c r="C2477" s="1"/>
      <c r="G2477" s="3"/>
      <c r="H2477" s="13"/>
      <c r="I2477" s="3"/>
    </row>
    <row r="2478" spans="1:9" x14ac:dyDescent="0.3">
      <c r="A2478" s="12"/>
      <c r="B2478" s="1"/>
      <c r="C2478" s="1"/>
      <c r="G2478" s="3"/>
      <c r="H2478" s="13"/>
      <c r="I2478" s="3"/>
    </row>
    <row r="2479" spans="1:9" x14ac:dyDescent="0.3">
      <c r="A2479" s="12"/>
      <c r="B2479" s="1"/>
      <c r="C2479" s="1"/>
      <c r="G2479" s="3"/>
      <c r="H2479" s="13"/>
      <c r="I2479" s="3"/>
    </row>
    <row r="2480" spans="1:9" x14ac:dyDescent="0.3">
      <c r="A2480" s="12"/>
      <c r="B2480" s="1"/>
      <c r="C2480" s="1"/>
      <c r="G2480" s="3"/>
      <c r="H2480" s="13"/>
      <c r="I2480" s="3"/>
    </row>
    <row r="2481" spans="1:9" x14ac:dyDescent="0.3">
      <c r="A2481" s="12"/>
      <c r="B2481" s="1"/>
      <c r="C2481" s="1"/>
      <c r="G2481" s="3"/>
      <c r="H2481" s="13"/>
      <c r="I2481" s="3"/>
    </row>
    <row r="2482" spans="1:9" x14ac:dyDescent="0.3">
      <c r="A2482" s="12"/>
      <c r="B2482" s="1"/>
      <c r="C2482" s="1"/>
      <c r="G2482" s="3"/>
      <c r="H2482" s="13"/>
      <c r="I2482" s="3"/>
    </row>
    <row r="2483" spans="1:9" x14ac:dyDescent="0.3">
      <c r="A2483" s="12"/>
      <c r="B2483" s="1"/>
      <c r="C2483" s="1"/>
      <c r="G2483" s="3"/>
      <c r="H2483" s="13"/>
      <c r="I2483" s="3"/>
    </row>
    <row r="2484" spans="1:9" x14ac:dyDescent="0.3">
      <c r="A2484" s="12"/>
      <c r="B2484" s="1"/>
      <c r="C2484" s="1"/>
      <c r="G2484" s="3"/>
      <c r="H2484" s="13"/>
      <c r="I2484" s="3"/>
    </row>
    <row r="2485" spans="1:9" x14ac:dyDescent="0.3">
      <c r="A2485" s="12"/>
      <c r="B2485" s="1"/>
      <c r="C2485" s="1"/>
      <c r="G2485" s="3"/>
      <c r="H2485" s="13"/>
      <c r="I2485" s="3"/>
    </row>
    <row r="2486" spans="1:9" x14ac:dyDescent="0.3">
      <c r="A2486" s="12"/>
      <c r="B2486" s="1"/>
      <c r="C2486" s="1"/>
      <c r="G2486" s="3"/>
      <c r="H2486" s="13"/>
      <c r="I2486" s="3"/>
    </row>
    <row r="2487" spans="1:9" x14ac:dyDescent="0.3">
      <c r="A2487" s="12"/>
      <c r="B2487" s="1"/>
      <c r="C2487" s="1"/>
      <c r="G2487" s="3"/>
      <c r="H2487" s="13"/>
      <c r="I2487" s="3"/>
    </row>
    <row r="2488" spans="1:9" x14ac:dyDescent="0.3">
      <c r="A2488" s="12"/>
      <c r="B2488" s="1"/>
      <c r="C2488" s="1"/>
      <c r="G2488" s="3"/>
      <c r="H2488" s="13"/>
      <c r="I2488" s="3"/>
    </row>
    <row r="2489" spans="1:9" x14ac:dyDescent="0.3">
      <c r="A2489" s="12"/>
      <c r="B2489" s="1"/>
      <c r="C2489" s="1"/>
      <c r="G2489" s="3"/>
      <c r="H2489" s="13"/>
      <c r="I2489" s="3"/>
    </row>
    <row r="2490" spans="1:9" x14ac:dyDescent="0.3">
      <c r="A2490" s="12"/>
      <c r="B2490" s="1"/>
      <c r="C2490" s="1"/>
      <c r="G2490" s="3"/>
      <c r="H2490" s="13"/>
      <c r="I2490" s="3"/>
    </row>
    <row r="2491" spans="1:9" x14ac:dyDescent="0.3">
      <c r="A2491" s="12"/>
      <c r="B2491" s="1"/>
      <c r="C2491" s="1"/>
      <c r="G2491" s="3"/>
      <c r="H2491" s="13"/>
      <c r="I2491" s="3"/>
    </row>
    <row r="2492" spans="1:9" x14ac:dyDescent="0.3">
      <c r="A2492" s="12"/>
      <c r="B2492" s="1"/>
      <c r="C2492" s="1"/>
      <c r="G2492" s="3"/>
      <c r="H2492" s="13"/>
      <c r="I2492" s="3"/>
    </row>
    <row r="2493" spans="1:9" x14ac:dyDescent="0.3">
      <c r="A2493" s="12"/>
      <c r="B2493" s="1"/>
      <c r="C2493" s="1"/>
      <c r="G2493" s="3"/>
      <c r="H2493" s="13"/>
      <c r="I2493" s="3"/>
    </row>
    <row r="2494" spans="1:9" x14ac:dyDescent="0.3">
      <c r="A2494" s="12"/>
      <c r="B2494" s="1"/>
      <c r="C2494" s="1"/>
      <c r="G2494" s="3"/>
      <c r="H2494" s="13"/>
      <c r="I2494" s="3"/>
    </row>
    <row r="2495" spans="1:9" x14ac:dyDescent="0.3">
      <c r="A2495" s="12"/>
      <c r="B2495" s="1"/>
      <c r="C2495" s="1"/>
      <c r="G2495" s="3"/>
      <c r="H2495" s="13"/>
      <c r="I2495" s="3"/>
    </row>
    <row r="2496" spans="1:9" x14ac:dyDescent="0.3">
      <c r="A2496" s="12"/>
      <c r="B2496" s="1"/>
      <c r="C2496" s="1"/>
      <c r="G2496" s="3"/>
      <c r="H2496" s="13"/>
      <c r="I2496" s="3"/>
    </row>
    <row r="2497" spans="1:9" x14ac:dyDescent="0.3">
      <c r="A2497" s="12"/>
      <c r="B2497" s="1"/>
      <c r="C2497" s="1"/>
      <c r="G2497" s="3"/>
      <c r="H2497" s="13"/>
      <c r="I2497" s="3"/>
    </row>
    <row r="2498" spans="1:9" x14ac:dyDescent="0.3">
      <c r="A2498" s="12"/>
      <c r="B2498" s="1"/>
      <c r="C2498" s="1"/>
      <c r="G2498" s="3"/>
      <c r="H2498" s="13"/>
      <c r="I2498" s="3"/>
    </row>
    <row r="2499" spans="1:9" x14ac:dyDescent="0.3">
      <c r="A2499" s="12"/>
      <c r="B2499" s="1"/>
      <c r="C2499" s="1"/>
      <c r="G2499" s="3"/>
      <c r="H2499" s="13"/>
      <c r="I2499" s="3"/>
    </row>
    <row r="2500" spans="1:9" x14ac:dyDescent="0.3">
      <c r="A2500" s="12"/>
      <c r="B2500" s="1"/>
      <c r="C2500" s="1"/>
      <c r="G2500" s="3"/>
      <c r="H2500" s="13"/>
      <c r="I2500" s="3"/>
    </row>
    <row r="2501" spans="1:9" x14ac:dyDescent="0.3">
      <c r="A2501" s="12"/>
      <c r="B2501" s="1"/>
      <c r="C2501" s="1"/>
      <c r="G2501" s="3"/>
      <c r="H2501" s="13"/>
      <c r="I2501" s="3"/>
    </row>
    <row r="2502" spans="1:9" x14ac:dyDescent="0.3">
      <c r="A2502" s="12"/>
      <c r="B2502" s="1"/>
      <c r="C2502" s="1"/>
      <c r="G2502" s="3"/>
      <c r="H2502" s="13"/>
      <c r="I2502" s="3"/>
    </row>
    <row r="2503" spans="1:9" x14ac:dyDescent="0.3">
      <c r="A2503" s="12"/>
      <c r="B2503" s="1"/>
      <c r="C2503" s="1"/>
      <c r="G2503" s="3"/>
      <c r="H2503" s="13"/>
      <c r="I2503" s="3"/>
    </row>
    <row r="2504" spans="1:9" x14ac:dyDescent="0.3">
      <c r="A2504" s="12"/>
      <c r="B2504" s="1"/>
      <c r="C2504" s="1"/>
      <c r="G2504" s="3"/>
      <c r="H2504" s="13"/>
      <c r="I2504" s="3"/>
    </row>
    <row r="2505" spans="1:9" x14ac:dyDescent="0.3">
      <c r="A2505" s="12"/>
      <c r="B2505" s="1"/>
      <c r="C2505" s="1"/>
      <c r="G2505" s="3"/>
      <c r="H2505" s="13"/>
      <c r="I2505" s="3"/>
    </row>
    <row r="2506" spans="1:9" x14ac:dyDescent="0.3">
      <c r="A2506" s="12"/>
      <c r="B2506" s="1"/>
      <c r="C2506" s="1"/>
      <c r="G2506" s="3"/>
      <c r="H2506" s="13"/>
      <c r="I2506" s="3"/>
    </row>
    <row r="2507" spans="1:9" x14ac:dyDescent="0.3">
      <c r="A2507" s="12"/>
      <c r="B2507" s="1"/>
      <c r="C2507" s="1"/>
      <c r="G2507" s="3"/>
      <c r="H2507" s="13"/>
      <c r="I2507" s="3"/>
    </row>
    <row r="2508" spans="1:9" x14ac:dyDescent="0.3">
      <c r="A2508" s="12"/>
      <c r="B2508" s="1"/>
      <c r="C2508" s="1"/>
      <c r="G2508" s="3"/>
      <c r="H2508" s="13"/>
      <c r="I2508" s="3"/>
    </row>
    <row r="2509" spans="1:9" x14ac:dyDescent="0.3">
      <c r="A2509" s="12"/>
      <c r="B2509" s="1"/>
      <c r="C2509" s="1"/>
      <c r="G2509" s="3"/>
      <c r="H2509" s="13"/>
      <c r="I2509" s="3"/>
    </row>
    <row r="2510" spans="1:9" x14ac:dyDescent="0.3">
      <c r="A2510" s="12"/>
      <c r="B2510" s="1"/>
      <c r="C2510" s="1"/>
      <c r="G2510" s="3"/>
      <c r="H2510" s="13"/>
      <c r="I2510" s="3"/>
    </row>
    <row r="2511" spans="1:9" x14ac:dyDescent="0.3">
      <c r="A2511" s="12"/>
      <c r="B2511" s="1"/>
      <c r="C2511" s="1"/>
      <c r="G2511" s="3"/>
      <c r="H2511" s="13"/>
      <c r="I2511" s="3"/>
    </row>
    <row r="2512" spans="1:9" x14ac:dyDescent="0.3">
      <c r="A2512" s="12"/>
      <c r="B2512" s="1"/>
      <c r="C2512" s="1"/>
      <c r="G2512" s="3"/>
      <c r="H2512" s="13"/>
      <c r="I2512" s="3"/>
    </row>
    <row r="2513" spans="1:9" x14ac:dyDescent="0.3">
      <c r="A2513" s="12"/>
      <c r="B2513" s="1"/>
      <c r="C2513" s="1"/>
      <c r="G2513" s="3"/>
      <c r="H2513" s="13"/>
      <c r="I2513" s="3"/>
    </row>
    <row r="2514" spans="1:9" x14ac:dyDescent="0.3">
      <c r="A2514" s="12"/>
      <c r="B2514" s="1"/>
      <c r="C2514" s="1"/>
      <c r="G2514" s="3"/>
      <c r="H2514" s="13"/>
      <c r="I2514" s="3"/>
    </row>
    <row r="2515" spans="1:9" x14ac:dyDescent="0.3">
      <c r="A2515" s="12"/>
      <c r="B2515" s="1"/>
      <c r="C2515" s="1"/>
      <c r="G2515" s="3"/>
      <c r="H2515" s="13"/>
      <c r="I2515" s="3"/>
    </row>
    <row r="2516" spans="1:9" x14ac:dyDescent="0.3">
      <c r="A2516" s="12"/>
      <c r="B2516" s="1"/>
    </row>
  </sheetData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7B565E-CAF7-4AA1-B9D6-1FDF0E4C8895}">
  <sheetPr codeName="Sheet2">
    <tabColor theme="5"/>
  </sheetPr>
  <dimension ref="A1:DE176"/>
  <sheetViews>
    <sheetView showGridLines="0" topLeftCell="AY1" workbookViewId="0">
      <selection activeCell="BC1" sqref="BC1:BC1048576"/>
    </sheetView>
  </sheetViews>
  <sheetFormatPr defaultRowHeight="14.4" x14ac:dyDescent="0.3"/>
  <sheetData>
    <row r="1" spans="1:109" x14ac:dyDescent="0.3">
      <c r="A1" s="19">
        <v>40543</v>
      </c>
      <c r="B1" s="19">
        <v>40574</v>
      </c>
      <c r="C1" s="19">
        <v>40602</v>
      </c>
      <c r="D1" s="19">
        <v>40633</v>
      </c>
      <c r="E1" s="19">
        <v>40662</v>
      </c>
      <c r="F1" s="19">
        <v>40694</v>
      </c>
      <c r="G1" s="19">
        <v>40724</v>
      </c>
      <c r="H1" s="19">
        <v>40753</v>
      </c>
      <c r="I1" s="19">
        <v>40786</v>
      </c>
      <c r="J1" s="19">
        <v>40816</v>
      </c>
      <c r="K1" s="19">
        <v>40847</v>
      </c>
      <c r="L1" s="19">
        <v>40877</v>
      </c>
      <c r="M1" s="19">
        <v>40907</v>
      </c>
      <c r="N1" s="19">
        <v>40939</v>
      </c>
      <c r="O1" s="19">
        <v>40968</v>
      </c>
      <c r="P1" s="19">
        <v>40998</v>
      </c>
      <c r="Q1" s="19">
        <v>41029</v>
      </c>
      <c r="R1" s="19">
        <v>41060</v>
      </c>
      <c r="S1" s="19">
        <v>41089</v>
      </c>
      <c r="T1" s="19">
        <v>41121</v>
      </c>
      <c r="U1" s="19">
        <v>41152</v>
      </c>
      <c r="V1" s="19">
        <v>41180</v>
      </c>
      <c r="W1" s="19">
        <v>41213</v>
      </c>
      <c r="X1" s="19">
        <v>41243</v>
      </c>
      <c r="Y1" s="19">
        <v>41274</v>
      </c>
      <c r="Z1" s="19">
        <v>41305</v>
      </c>
      <c r="AA1" s="19">
        <v>41333</v>
      </c>
      <c r="AB1" s="19">
        <v>41362</v>
      </c>
      <c r="AC1" s="19">
        <v>41394</v>
      </c>
      <c r="AD1" s="19">
        <v>41425</v>
      </c>
      <c r="AE1" s="19">
        <v>41453</v>
      </c>
      <c r="AF1" s="19">
        <v>41486</v>
      </c>
      <c r="AG1" s="19">
        <v>41516</v>
      </c>
      <c r="AH1" s="19">
        <v>41547</v>
      </c>
      <c r="AI1" s="19">
        <v>41578</v>
      </c>
      <c r="AJ1" s="19">
        <v>41607</v>
      </c>
      <c r="AK1" s="19">
        <v>41639</v>
      </c>
      <c r="AL1" s="19">
        <v>41670</v>
      </c>
      <c r="AM1" s="19">
        <v>41698</v>
      </c>
      <c r="AN1" s="19">
        <v>41729</v>
      </c>
      <c r="AO1" s="19">
        <v>41759</v>
      </c>
      <c r="AP1" s="19">
        <v>41789</v>
      </c>
      <c r="AQ1" s="19">
        <v>41820</v>
      </c>
      <c r="AR1" s="19">
        <v>41851</v>
      </c>
      <c r="AS1" s="19">
        <v>41880</v>
      </c>
      <c r="AT1" s="19">
        <v>41912</v>
      </c>
      <c r="AU1" s="19">
        <v>41943</v>
      </c>
      <c r="AV1" s="19">
        <v>41971</v>
      </c>
      <c r="AW1" s="19">
        <v>42004</v>
      </c>
      <c r="AX1" s="19">
        <v>42034</v>
      </c>
      <c r="AY1" s="19">
        <v>42062</v>
      </c>
      <c r="AZ1" s="19">
        <v>42094</v>
      </c>
      <c r="BA1" s="19">
        <v>42124</v>
      </c>
      <c r="BB1" s="19">
        <v>42153</v>
      </c>
      <c r="BC1" s="19">
        <v>42185</v>
      </c>
      <c r="BD1" s="19">
        <v>42216</v>
      </c>
      <c r="BE1" s="19">
        <v>42247</v>
      </c>
      <c r="BF1" s="19">
        <v>42277</v>
      </c>
      <c r="BG1" s="19">
        <v>42307</v>
      </c>
      <c r="BH1" s="19">
        <v>42338</v>
      </c>
      <c r="BI1" s="19">
        <v>42369</v>
      </c>
      <c r="BJ1" s="19">
        <v>42398</v>
      </c>
      <c r="BK1" s="19">
        <v>42429</v>
      </c>
      <c r="BL1" s="19">
        <v>42460</v>
      </c>
      <c r="BM1" s="19">
        <v>42489</v>
      </c>
      <c r="BN1" s="19">
        <v>42521</v>
      </c>
      <c r="BO1" s="19">
        <v>42551</v>
      </c>
      <c r="BP1" s="19">
        <v>42580</v>
      </c>
      <c r="BQ1" s="19">
        <v>42613</v>
      </c>
      <c r="BR1" s="19">
        <v>42643</v>
      </c>
      <c r="BS1" s="19">
        <v>42674</v>
      </c>
      <c r="BT1" s="19">
        <v>42704</v>
      </c>
      <c r="BU1" s="19">
        <v>42734</v>
      </c>
      <c r="BV1" s="19">
        <v>42766</v>
      </c>
      <c r="BW1" s="19">
        <v>42794</v>
      </c>
      <c r="BX1" s="19">
        <v>42825</v>
      </c>
      <c r="BY1" s="19">
        <v>42853</v>
      </c>
      <c r="BZ1" s="19">
        <v>42886</v>
      </c>
      <c r="CA1" s="19">
        <v>42916</v>
      </c>
      <c r="CB1" s="19">
        <v>42947</v>
      </c>
      <c r="CC1" s="19">
        <v>42978</v>
      </c>
      <c r="CD1" s="19">
        <v>43007</v>
      </c>
      <c r="CE1" s="19">
        <v>43039</v>
      </c>
      <c r="CF1" s="19">
        <v>43069</v>
      </c>
      <c r="CG1" s="19">
        <v>43098</v>
      </c>
      <c r="CH1" s="19">
        <v>43131</v>
      </c>
      <c r="CI1" s="19">
        <v>43159</v>
      </c>
      <c r="CJ1" s="19">
        <v>43189</v>
      </c>
      <c r="CK1" s="19">
        <v>43220</v>
      </c>
      <c r="CL1" s="19">
        <v>43251</v>
      </c>
      <c r="CM1" s="19">
        <v>43280</v>
      </c>
      <c r="CN1" s="19">
        <v>43312</v>
      </c>
      <c r="CO1" s="19">
        <v>43343</v>
      </c>
      <c r="CP1" s="19">
        <v>43371</v>
      </c>
      <c r="CQ1" s="19">
        <v>43404</v>
      </c>
      <c r="CR1" s="19">
        <v>43434</v>
      </c>
      <c r="CS1" s="19">
        <v>43465</v>
      </c>
      <c r="CT1" s="19">
        <v>43496</v>
      </c>
      <c r="CU1" s="19">
        <v>43524</v>
      </c>
      <c r="CV1" s="19">
        <v>43553</v>
      </c>
      <c r="CW1" s="19">
        <v>43585</v>
      </c>
      <c r="CX1" s="19">
        <v>43616</v>
      </c>
      <c r="CY1" s="19">
        <v>43644</v>
      </c>
      <c r="CZ1" s="19">
        <v>43677</v>
      </c>
      <c r="DA1" s="19">
        <v>43707</v>
      </c>
      <c r="DB1" s="19">
        <v>43738</v>
      </c>
      <c r="DC1" s="19">
        <v>43769</v>
      </c>
      <c r="DD1" s="19">
        <v>43798</v>
      </c>
      <c r="DE1" s="19">
        <v>43830</v>
      </c>
    </row>
    <row r="2" spans="1:109" x14ac:dyDescent="0.3">
      <c r="A2" s="15" t="s">
        <v>6</v>
      </c>
      <c r="B2" s="15" t="s">
        <v>6</v>
      </c>
      <c r="C2" s="15" t="s">
        <v>6</v>
      </c>
      <c r="D2" s="15" t="s">
        <v>6</v>
      </c>
      <c r="E2" s="15" t="s">
        <v>6</v>
      </c>
      <c r="F2" s="15" t="s">
        <v>6</v>
      </c>
      <c r="G2" s="15" t="s">
        <v>6</v>
      </c>
      <c r="H2" s="15" t="s">
        <v>6</v>
      </c>
      <c r="I2" s="15" t="s">
        <v>6</v>
      </c>
      <c r="J2" s="15" t="s">
        <v>6</v>
      </c>
      <c r="K2" s="15" t="s">
        <v>6</v>
      </c>
      <c r="L2" s="15" t="s">
        <v>6</v>
      </c>
      <c r="M2" s="15" t="s">
        <v>6</v>
      </c>
      <c r="N2" s="15" t="s">
        <v>6</v>
      </c>
      <c r="O2" s="15" t="s">
        <v>6</v>
      </c>
      <c r="P2" s="15" t="s">
        <v>6</v>
      </c>
      <c r="Q2" s="15" t="s">
        <v>6</v>
      </c>
      <c r="R2" s="15" t="s">
        <v>6</v>
      </c>
      <c r="S2" s="15" t="s">
        <v>6</v>
      </c>
      <c r="T2" s="15" t="s">
        <v>6</v>
      </c>
      <c r="U2" s="15" t="s">
        <v>6</v>
      </c>
      <c r="V2" s="15" t="s">
        <v>6</v>
      </c>
      <c r="W2" s="15" t="s">
        <v>6</v>
      </c>
      <c r="X2" s="15" t="s">
        <v>6</v>
      </c>
      <c r="Y2" s="15" t="s">
        <v>6</v>
      </c>
      <c r="Z2" s="15" t="s">
        <v>6</v>
      </c>
      <c r="AA2" s="15" t="s">
        <v>6</v>
      </c>
      <c r="AB2" s="15" t="s">
        <v>6</v>
      </c>
      <c r="AC2" s="15" t="s">
        <v>6</v>
      </c>
      <c r="AD2" s="15" t="s">
        <v>6</v>
      </c>
      <c r="AE2" s="15" t="s">
        <v>6</v>
      </c>
      <c r="AF2" s="15" t="s">
        <v>6</v>
      </c>
      <c r="AG2" s="15" t="s">
        <v>6</v>
      </c>
      <c r="AH2" s="15" t="s">
        <v>6</v>
      </c>
      <c r="AI2" s="15" t="s">
        <v>6</v>
      </c>
      <c r="AJ2" s="15" t="s">
        <v>6</v>
      </c>
      <c r="AK2" s="15" t="s">
        <v>6</v>
      </c>
      <c r="AL2" s="15" t="s">
        <v>6</v>
      </c>
      <c r="AM2" s="15" t="s">
        <v>6</v>
      </c>
      <c r="AN2" s="15" t="s">
        <v>6</v>
      </c>
      <c r="AO2" s="15" t="s">
        <v>6</v>
      </c>
      <c r="AP2" s="15" t="s">
        <v>6</v>
      </c>
      <c r="AQ2" s="15" t="s">
        <v>6</v>
      </c>
      <c r="AR2" s="15" t="s">
        <v>6</v>
      </c>
      <c r="AS2" s="15" t="s">
        <v>6</v>
      </c>
      <c r="AT2" s="15" t="s">
        <v>6</v>
      </c>
      <c r="AU2" s="15" t="s">
        <v>6</v>
      </c>
      <c r="AV2" s="15" t="s">
        <v>6</v>
      </c>
      <c r="AW2" s="15" t="s">
        <v>6</v>
      </c>
      <c r="AX2" s="15" t="s">
        <v>6</v>
      </c>
      <c r="AY2" s="15" t="s">
        <v>6</v>
      </c>
      <c r="AZ2" s="15" t="s">
        <v>6</v>
      </c>
      <c r="BA2" s="15" t="s">
        <v>6</v>
      </c>
      <c r="BB2" s="15" t="s">
        <v>6</v>
      </c>
      <c r="BC2" s="15" t="s">
        <v>6</v>
      </c>
      <c r="BD2" s="15" t="s">
        <v>6</v>
      </c>
      <c r="BE2" s="15" t="s">
        <v>6</v>
      </c>
      <c r="BF2" s="15" t="s">
        <v>6</v>
      </c>
      <c r="BG2" s="15" t="s">
        <v>6</v>
      </c>
      <c r="BH2" s="15" t="s">
        <v>6</v>
      </c>
      <c r="BI2" s="15" t="s">
        <v>6</v>
      </c>
      <c r="BJ2" s="15" t="s">
        <v>6</v>
      </c>
      <c r="BK2" s="15" t="s">
        <v>6</v>
      </c>
      <c r="BL2" s="15" t="s">
        <v>6</v>
      </c>
      <c r="BM2" s="15" t="s">
        <v>6</v>
      </c>
      <c r="BN2" s="15" t="s">
        <v>6</v>
      </c>
      <c r="BO2" s="15" t="s">
        <v>6</v>
      </c>
      <c r="BP2" s="15" t="s">
        <v>6</v>
      </c>
      <c r="BQ2" s="15" t="s">
        <v>6</v>
      </c>
      <c r="BR2" s="15" t="s">
        <v>6</v>
      </c>
      <c r="BS2" s="15" t="s">
        <v>6</v>
      </c>
      <c r="BT2" s="15" t="s">
        <v>6</v>
      </c>
      <c r="BU2" s="15" t="s">
        <v>6</v>
      </c>
      <c r="BV2" s="15" t="s">
        <v>6</v>
      </c>
      <c r="BW2" s="15" t="s">
        <v>6</v>
      </c>
      <c r="BX2" s="15" t="s">
        <v>6</v>
      </c>
      <c r="BY2" s="15" t="s">
        <v>6</v>
      </c>
      <c r="BZ2" s="15" t="s">
        <v>6</v>
      </c>
      <c r="CA2" s="15" t="s">
        <v>6</v>
      </c>
      <c r="CB2" s="15" t="s">
        <v>6</v>
      </c>
      <c r="CC2" s="15" t="s">
        <v>6</v>
      </c>
      <c r="CD2" s="15" t="s">
        <v>6</v>
      </c>
      <c r="CE2" s="15" t="s">
        <v>6</v>
      </c>
      <c r="CF2" s="15" t="s">
        <v>6</v>
      </c>
      <c r="CG2" s="15" t="s">
        <v>6</v>
      </c>
      <c r="CH2" s="15" t="s">
        <v>6</v>
      </c>
      <c r="CI2" s="15" t="s">
        <v>6</v>
      </c>
      <c r="CJ2" s="15" t="s">
        <v>6</v>
      </c>
      <c r="CK2" s="15" t="s">
        <v>6</v>
      </c>
      <c r="CL2" s="15" t="s">
        <v>6</v>
      </c>
      <c r="CM2" s="15" t="s">
        <v>6</v>
      </c>
      <c r="CN2" s="15" t="s">
        <v>6</v>
      </c>
      <c r="CO2" s="15" t="s">
        <v>6</v>
      </c>
      <c r="CP2" s="15" t="s">
        <v>6</v>
      </c>
      <c r="CQ2" s="15" t="s">
        <v>6</v>
      </c>
      <c r="CR2" s="15" t="s">
        <v>6</v>
      </c>
      <c r="CS2" s="15" t="s">
        <v>6</v>
      </c>
      <c r="CT2" s="15" t="s">
        <v>6</v>
      </c>
      <c r="CU2" s="15" t="s">
        <v>6</v>
      </c>
      <c r="CV2" s="15" t="s">
        <v>6</v>
      </c>
      <c r="CW2" s="15" t="s">
        <v>6</v>
      </c>
      <c r="CX2" s="15" t="s">
        <v>6</v>
      </c>
      <c r="CY2" s="15" t="s">
        <v>6</v>
      </c>
      <c r="CZ2" s="15" t="s">
        <v>6</v>
      </c>
      <c r="DA2" s="15" t="s">
        <v>6</v>
      </c>
      <c r="DB2" s="15" t="s">
        <v>6</v>
      </c>
      <c r="DC2" s="15" t="s">
        <v>6</v>
      </c>
      <c r="DD2" s="15" t="s">
        <v>6</v>
      </c>
      <c r="DE2" s="15" t="s">
        <v>6</v>
      </c>
    </row>
    <row r="3" spans="1:109" x14ac:dyDescent="0.3">
      <c r="A3" s="15" t="s">
        <v>123</v>
      </c>
      <c r="B3" s="15" t="s">
        <v>123</v>
      </c>
      <c r="C3" s="15" t="s">
        <v>123</v>
      </c>
      <c r="D3" s="15" t="s">
        <v>123</v>
      </c>
      <c r="E3" s="15" t="s">
        <v>123</v>
      </c>
      <c r="F3" s="15" t="s">
        <v>123</v>
      </c>
      <c r="G3" s="15" t="s">
        <v>123</v>
      </c>
      <c r="H3" s="15" t="s">
        <v>123</v>
      </c>
      <c r="I3" s="15" t="s">
        <v>123</v>
      </c>
      <c r="J3" s="15" t="s">
        <v>123</v>
      </c>
      <c r="K3" s="15" t="s">
        <v>123</v>
      </c>
      <c r="L3" s="15" t="s">
        <v>123</v>
      </c>
      <c r="M3" s="15" t="s">
        <v>123</v>
      </c>
      <c r="N3" s="15" t="s">
        <v>123</v>
      </c>
      <c r="O3" s="15" t="s">
        <v>123</v>
      </c>
      <c r="P3" s="15" t="s">
        <v>123</v>
      </c>
      <c r="Q3" s="15" t="s">
        <v>123</v>
      </c>
      <c r="R3" s="15" t="s">
        <v>123</v>
      </c>
      <c r="S3" s="15" t="s">
        <v>123</v>
      </c>
      <c r="T3" s="15" t="s">
        <v>123</v>
      </c>
      <c r="U3" s="15" t="s">
        <v>123</v>
      </c>
      <c r="V3" s="15" t="s">
        <v>123</v>
      </c>
      <c r="W3" s="15" t="s">
        <v>123</v>
      </c>
      <c r="X3" s="15" t="s">
        <v>123</v>
      </c>
      <c r="Y3" s="15" t="s">
        <v>123</v>
      </c>
      <c r="Z3" s="15" t="s">
        <v>123</v>
      </c>
      <c r="AA3" s="15" t="s">
        <v>123</v>
      </c>
      <c r="AB3" s="15" t="s">
        <v>123</v>
      </c>
      <c r="AC3" s="15" t="s">
        <v>123</v>
      </c>
      <c r="AD3" s="15" t="s">
        <v>123</v>
      </c>
      <c r="AE3" s="15" t="s">
        <v>123</v>
      </c>
      <c r="AF3" s="15" t="s">
        <v>123</v>
      </c>
      <c r="AG3" s="15" t="s">
        <v>123</v>
      </c>
      <c r="AH3" s="15" t="s">
        <v>123</v>
      </c>
      <c r="AI3" s="15" t="s">
        <v>123</v>
      </c>
      <c r="AJ3" s="15" t="s">
        <v>123</v>
      </c>
      <c r="AK3" s="15" t="s">
        <v>123</v>
      </c>
      <c r="AL3" s="15" t="s">
        <v>123</v>
      </c>
      <c r="AM3" s="15" t="s">
        <v>123</v>
      </c>
      <c r="AN3" s="15" t="s">
        <v>123</v>
      </c>
      <c r="AO3" s="15" t="s">
        <v>123</v>
      </c>
      <c r="AP3" s="15" t="s">
        <v>123</v>
      </c>
      <c r="AQ3" s="15" t="s">
        <v>83</v>
      </c>
      <c r="AR3" s="15" t="s">
        <v>83</v>
      </c>
      <c r="AS3" s="15" t="s">
        <v>83</v>
      </c>
      <c r="AT3" s="15" t="s">
        <v>83</v>
      </c>
      <c r="AU3" s="15" t="s">
        <v>83</v>
      </c>
      <c r="AV3" s="15" t="s">
        <v>83</v>
      </c>
      <c r="AW3" s="15" t="s">
        <v>83</v>
      </c>
      <c r="AX3" s="15" t="s">
        <v>83</v>
      </c>
      <c r="AY3" s="15" t="s">
        <v>83</v>
      </c>
      <c r="AZ3" s="15" t="s">
        <v>11</v>
      </c>
      <c r="BA3" s="15" t="s">
        <v>86</v>
      </c>
      <c r="BB3" s="15" t="s">
        <v>86</v>
      </c>
      <c r="BC3" s="15" t="s">
        <v>86</v>
      </c>
      <c r="BD3" s="15" t="s">
        <v>86</v>
      </c>
      <c r="BE3" s="15" t="s">
        <v>86</v>
      </c>
      <c r="BF3" s="15" t="s">
        <v>86</v>
      </c>
      <c r="BG3" s="15" t="s">
        <v>86</v>
      </c>
      <c r="BH3" s="15" t="s">
        <v>86</v>
      </c>
      <c r="BI3" s="15" t="s">
        <v>124</v>
      </c>
      <c r="BJ3" s="15" t="s">
        <v>124</v>
      </c>
      <c r="BK3" s="15" t="s">
        <v>124</v>
      </c>
      <c r="BL3" s="15" t="s">
        <v>124</v>
      </c>
      <c r="BM3" s="15" t="s">
        <v>124</v>
      </c>
      <c r="BN3" s="15" t="s">
        <v>124</v>
      </c>
      <c r="BO3" s="15" t="s">
        <v>124</v>
      </c>
      <c r="BP3" s="15" t="s">
        <v>124</v>
      </c>
      <c r="BQ3" s="15" t="s">
        <v>8</v>
      </c>
      <c r="BR3" s="15" t="s">
        <v>8</v>
      </c>
      <c r="BS3" s="15" t="s">
        <v>8</v>
      </c>
      <c r="BT3" s="15" t="s">
        <v>8</v>
      </c>
      <c r="BU3" s="15" t="s">
        <v>8</v>
      </c>
      <c r="BV3" s="15" t="s">
        <v>8</v>
      </c>
      <c r="BW3" s="15" t="s">
        <v>8</v>
      </c>
      <c r="BX3" s="15" t="s">
        <v>8</v>
      </c>
      <c r="BY3" s="15" t="s">
        <v>124</v>
      </c>
      <c r="BZ3" s="15" t="s">
        <v>124</v>
      </c>
      <c r="CA3" s="15" t="s">
        <v>124</v>
      </c>
      <c r="CB3" s="15" t="s">
        <v>124</v>
      </c>
      <c r="CC3" s="15" t="s">
        <v>124</v>
      </c>
      <c r="CD3" s="15" t="s">
        <v>124</v>
      </c>
      <c r="CE3" s="15" t="s">
        <v>124</v>
      </c>
      <c r="CF3" s="15" t="s">
        <v>124</v>
      </c>
      <c r="CG3" s="15" t="s">
        <v>124</v>
      </c>
      <c r="CH3" s="15" t="s">
        <v>124</v>
      </c>
      <c r="CI3" s="15" t="s">
        <v>124</v>
      </c>
      <c r="CJ3" s="15" t="s">
        <v>124</v>
      </c>
      <c r="CK3" s="15" t="s">
        <v>9</v>
      </c>
      <c r="CL3" s="15" t="s">
        <v>9</v>
      </c>
      <c r="CM3" s="15" t="s">
        <v>9</v>
      </c>
      <c r="CN3" s="15" t="s">
        <v>9</v>
      </c>
      <c r="CO3" s="15" t="s">
        <v>9</v>
      </c>
      <c r="CP3" s="15" t="s">
        <v>9</v>
      </c>
      <c r="CQ3" s="15" t="s">
        <v>9</v>
      </c>
      <c r="CR3" s="15" t="s">
        <v>9</v>
      </c>
      <c r="CS3" s="15" t="s">
        <v>10</v>
      </c>
      <c r="CT3" s="15" t="s">
        <v>10</v>
      </c>
      <c r="CU3" s="15" t="s">
        <v>10</v>
      </c>
      <c r="CV3" s="15" t="s">
        <v>10</v>
      </c>
      <c r="CW3" s="15" t="s">
        <v>10</v>
      </c>
      <c r="CX3" s="15" t="s">
        <v>10</v>
      </c>
      <c r="CY3" s="15" t="s">
        <v>10</v>
      </c>
      <c r="CZ3" s="15" t="s">
        <v>10</v>
      </c>
      <c r="DA3" s="15" t="s">
        <v>10</v>
      </c>
      <c r="DB3" s="15" t="s">
        <v>10</v>
      </c>
      <c r="DC3" s="15" t="s">
        <v>10</v>
      </c>
      <c r="DD3" s="15" t="s">
        <v>10</v>
      </c>
      <c r="DE3" s="15" t="s">
        <v>10</v>
      </c>
    </row>
    <row r="4" spans="1:109" x14ac:dyDescent="0.3">
      <c r="A4" s="15" t="s">
        <v>83</v>
      </c>
      <c r="B4" s="15" t="s">
        <v>83</v>
      </c>
      <c r="C4" s="15" t="s">
        <v>83</v>
      </c>
      <c r="D4" s="15" t="s">
        <v>83</v>
      </c>
      <c r="E4" s="15" t="s">
        <v>83</v>
      </c>
      <c r="F4" s="15" t="s">
        <v>83</v>
      </c>
      <c r="G4" s="15" t="s">
        <v>83</v>
      </c>
      <c r="H4" s="15" t="s">
        <v>83</v>
      </c>
      <c r="I4" s="15" t="s">
        <v>83</v>
      </c>
      <c r="J4" s="15" t="s">
        <v>83</v>
      </c>
      <c r="K4" s="15" t="s">
        <v>83</v>
      </c>
      <c r="L4" s="15" t="s">
        <v>83</v>
      </c>
      <c r="M4" s="15" t="s">
        <v>83</v>
      </c>
      <c r="N4" s="15" t="s">
        <v>83</v>
      </c>
      <c r="O4" s="15" t="s">
        <v>83</v>
      </c>
      <c r="P4" s="15" t="s">
        <v>83</v>
      </c>
      <c r="Q4" s="15" t="s">
        <v>83</v>
      </c>
      <c r="R4" s="15" t="s">
        <v>83</v>
      </c>
      <c r="S4" s="15" t="s">
        <v>83</v>
      </c>
      <c r="T4" s="15" t="s">
        <v>83</v>
      </c>
      <c r="U4" s="15" t="s">
        <v>83</v>
      </c>
      <c r="V4" s="15" t="s">
        <v>83</v>
      </c>
      <c r="W4" s="15" t="s">
        <v>83</v>
      </c>
      <c r="X4" s="15" t="s">
        <v>83</v>
      </c>
      <c r="Y4" s="15" t="s">
        <v>83</v>
      </c>
      <c r="Z4" s="15" t="s">
        <v>83</v>
      </c>
      <c r="AA4" s="15" t="s">
        <v>83</v>
      </c>
      <c r="AB4" s="15" t="s">
        <v>83</v>
      </c>
      <c r="AC4" s="15" t="s">
        <v>83</v>
      </c>
      <c r="AD4" s="15" t="s">
        <v>83</v>
      </c>
      <c r="AE4" s="15" t="s">
        <v>83</v>
      </c>
      <c r="AF4" s="15" t="s">
        <v>83</v>
      </c>
      <c r="AG4" s="15" t="s">
        <v>83</v>
      </c>
      <c r="AH4" s="15" t="s">
        <v>83</v>
      </c>
      <c r="AI4" s="15" t="s">
        <v>83</v>
      </c>
      <c r="AJ4" s="15" t="s">
        <v>83</v>
      </c>
      <c r="AK4" s="15" t="s">
        <v>83</v>
      </c>
      <c r="AL4" s="15" t="s">
        <v>83</v>
      </c>
      <c r="AM4" s="15" t="s">
        <v>83</v>
      </c>
      <c r="AN4" s="15" t="s">
        <v>83</v>
      </c>
      <c r="AO4" s="15" t="s">
        <v>83</v>
      </c>
      <c r="AP4" s="15" t="s">
        <v>83</v>
      </c>
      <c r="AQ4" s="15" t="s">
        <v>11</v>
      </c>
      <c r="AR4" s="15" t="s">
        <v>11</v>
      </c>
      <c r="AS4" s="15" t="s">
        <v>85</v>
      </c>
      <c r="AT4" s="15" t="s">
        <v>85</v>
      </c>
      <c r="AU4" s="15" t="s">
        <v>85</v>
      </c>
      <c r="AV4" s="15" t="s">
        <v>85</v>
      </c>
      <c r="AW4" s="15" t="s">
        <v>11</v>
      </c>
      <c r="AX4" s="15" t="s">
        <v>11</v>
      </c>
      <c r="AY4" s="15" t="s">
        <v>11</v>
      </c>
      <c r="AZ4" s="15" t="s">
        <v>0</v>
      </c>
      <c r="BA4" s="15" t="s">
        <v>85</v>
      </c>
      <c r="BB4" s="15" t="s">
        <v>85</v>
      </c>
      <c r="BC4" s="15" t="s">
        <v>85</v>
      </c>
      <c r="BD4" s="15" t="s">
        <v>85</v>
      </c>
      <c r="BE4" s="15" t="s">
        <v>11</v>
      </c>
      <c r="BF4" s="15" t="s">
        <v>11</v>
      </c>
      <c r="BG4" s="15" t="s">
        <v>11</v>
      </c>
      <c r="BH4" s="15" t="s">
        <v>11</v>
      </c>
      <c r="BI4" s="15" t="s">
        <v>86</v>
      </c>
      <c r="BJ4" s="15" t="s">
        <v>86</v>
      </c>
      <c r="BK4" s="15" t="s">
        <v>86</v>
      </c>
      <c r="BL4" s="15" t="s">
        <v>86</v>
      </c>
      <c r="BM4" s="15" t="s">
        <v>86</v>
      </c>
      <c r="BN4" s="15" t="s">
        <v>86</v>
      </c>
      <c r="BO4" s="15" t="s">
        <v>86</v>
      </c>
      <c r="BP4" s="15" t="s">
        <v>86</v>
      </c>
      <c r="BQ4" s="15" t="s">
        <v>124</v>
      </c>
      <c r="BR4" s="15" t="s">
        <v>124</v>
      </c>
      <c r="BS4" s="15" t="s">
        <v>124</v>
      </c>
      <c r="BT4" s="15" t="s">
        <v>124</v>
      </c>
      <c r="BU4" s="15" t="s">
        <v>124</v>
      </c>
      <c r="BV4" s="15" t="s">
        <v>124</v>
      </c>
      <c r="BW4" s="15" t="s">
        <v>124</v>
      </c>
      <c r="BX4" s="15" t="s">
        <v>124</v>
      </c>
      <c r="BY4" s="15" t="s">
        <v>9</v>
      </c>
      <c r="BZ4" s="15" t="s">
        <v>9</v>
      </c>
      <c r="CA4" s="15" t="s">
        <v>9</v>
      </c>
      <c r="CB4" s="15" t="s">
        <v>9</v>
      </c>
      <c r="CC4" s="15" t="s">
        <v>9</v>
      </c>
      <c r="CD4" s="15" t="s">
        <v>9</v>
      </c>
      <c r="CE4" s="15" t="s">
        <v>9</v>
      </c>
      <c r="CF4" s="15" t="s">
        <v>9</v>
      </c>
      <c r="CG4" s="15" t="s">
        <v>9</v>
      </c>
      <c r="CH4" s="15" t="s">
        <v>9</v>
      </c>
      <c r="CI4" s="15" t="s">
        <v>9</v>
      </c>
      <c r="CJ4" s="20" t="s">
        <v>9</v>
      </c>
      <c r="CK4" s="15" t="s">
        <v>127</v>
      </c>
      <c r="CL4" s="15" t="s">
        <v>127</v>
      </c>
      <c r="CM4" s="15" t="s">
        <v>127</v>
      </c>
      <c r="CN4" s="15" t="s">
        <v>127</v>
      </c>
      <c r="CO4" s="15" t="s">
        <v>127</v>
      </c>
      <c r="CP4" s="15" t="s">
        <v>127</v>
      </c>
      <c r="CQ4" s="15" t="s">
        <v>127</v>
      </c>
      <c r="CR4" s="15" t="s">
        <v>127</v>
      </c>
      <c r="CS4" s="15" t="s">
        <v>11</v>
      </c>
      <c r="CT4" s="15" t="s">
        <v>11</v>
      </c>
      <c r="CU4" s="15" t="s">
        <v>11</v>
      </c>
      <c r="CV4" s="15" t="s">
        <v>11</v>
      </c>
      <c r="CW4" s="15" t="s">
        <v>11</v>
      </c>
      <c r="CX4" s="15" t="s">
        <v>11</v>
      </c>
      <c r="CY4" s="15" t="s">
        <v>11</v>
      </c>
      <c r="CZ4" s="15" t="s">
        <v>11</v>
      </c>
      <c r="DA4" s="15" t="s">
        <v>11</v>
      </c>
      <c r="DB4" s="15" t="s">
        <v>11</v>
      </c>
      <c r="DC4" s="15" t="s">
        <v>11</v>
      </c>
      <c r="DD4" s="15" t="s">
        <v>11</v>
      </c>
      <c r="DE4" s="15" t="s">
        <v>11</v>
      </c>
    </row>
    <row r="5" spans="1:109" x14ac:dyDescent="0.3">
      <c r="A5" s="15" t="s">
        <v>126</v>
      </c>
      <c r="B5" s="15" t="s">
        <v>126</v>
      </c>
      <c r="C5" s="15" t="s">
        <v>126</v>
      </c>
      <c r="D5" s="15" t="s">
        <v>126</v>
      </c>
      <c r="E5" s="15" t="s">
        <v>126</v>
      </c>
      <c r="F5" s="15" t="s">
        <v>126</v>
      </c>
      <c r="G5" s="15" t="s">
        <v>126</v>
      </c>
      <c r="H5" s="15" t="s">
        <v>126</v>
      </c>
      <c r="I5" s="15" t="s">
        <v>126</v>
      </c>
      <c r="J5" s="15" t="s">
        <v>126</v>
      </c>
      <c r="K5" s="15" t="s">
        <v>126</v>
      </c>
      <c r="L5" s="15" t="s">
        <v>126</v>
      </c>
      <c r="M5" s="15" t="s">
        <v>126</v>
      </c>
      <c r="N5" s="15" t="s">
        <v>126</v>
      </c>
      <c r="O5" s="15" t="s">
        <v>126</v>
      </c>
      <c r="P5" s="15" t="s">
        <v>126</v>
      </c>
      <c r="Q5" s="15" t="s">
        <v>126</v>
      </c>
      <c r="R5" s="15" t="s">
        <v>126</v>
      </c>
      <c r="S5" s="15" t="s">
        <v>126</v>
      </c>
      <c r="T5" s="15" t="s">
        <v>126</v>
      </c>
      <c r="U5" s="15" t="s">
        <v>125</v>
      </c>
      <c r="V5" s="15" t="s">
        <v>125</v>
      </c>
      <c r="W5" s="15" t="s">
        <v>125</v>
      </c>
      <c r="X5" s="15" t="s">
        <v>125</v>
      </c>
      <c r="Y5" s="15" t="s">
        <v>125</v>
      </c>
      <c r="Z5" s="15" t="s">
        <v>125</v>
      </c>
      <c r="AA5" s="15" t="s">
        <v>125</v>
      </c>
      <c r="AB5" s="15" t="s">
        <v>125</v>
      </c>
      <c r="AC5" s="15" t="s">
        <v>125</v>
      </c>
      <c r="AD5" s="15" t="s">
        <v>125</v>
      </c>
      <c r="AE5" s="15" t="s">
        <v>125</v>
      </c>
      <c r="AF5" s="15" t="s">
        <v>125</v>
      </c>
      <c r="AG5" s="15" t="s">
        <v>125</v>
      </c>
      <c r="AH5" s="15" t="s">
        <v>125</v>
      </c>
      <c r="AI5" s="15" t="s">
        <v>85</v>
      </c>
      <c r="AJ5" s="15" t="s">
        <v>85</v>
      </c>
      <c r="AK5" s="15" t="s">
        <v>85</v>
      </c>
      <c r="AL5" s="15" t="s">
        <v>85</v>
      </c>
      <c r="AM5" s="15" t="s">
        <v>85</v>
      </c>
      <c r="AN5" s="15" t="s">
        <v>85</v>
      </c>
      <c r="AO5" s="15" t="s">
        <v>11</v>
      </c>
      <c r="AP5" s="15" t="s">
        <v>11</v>
      </c>
      <c r="AQ5" s="15" t="s">
        <v>0</v>
      </c>
      <c r="AR5" s="15" t="s">
        <v>0</v>
      </c>
      <c r="AS5" s="15" t="s">
        <v>11</v>
      </c>
      <c r="AT5" s="15" t="s">
        <v>11</v>
      </c>
      <c r="AU5" s="15" t="s">
        <v>11</v>
      </c>
      <c r="AV5" s="15" t="s">
        <v>11</v>
      </c>
      <c r="AW5" s="15" t="s">
        <v>0</v>
      </c>
      <c r="AX5" s="15" t="s">
        <v>0</v>
      </c>
      <c r="AY5" s="15" t="s">
        <v>0</v>
      </c>
      <c r="AZ5" s="15" t="s">
        <v>128</v>
      </c>
      <c r="BA5" s="15" t="s">
        <v>11</v>
      </c>
      <c r="BB5" s="15" t="s">
        <v>11</v>
      </c>
      <c r="BC5" s="15" t="s">
        <v>11</v>
      </c>
      <c r="BD5" s="15" t="s">
        <v>11</v>
      </c>
      <c r="BE5" s="15" t="s">
        <v>0</v>
      </c>
      <c r="BF5" s="15" t="s">
        <v>0</v>
      </c>
      <c r="BG5" s="15" t="s">
        <v>0</v>
      </c>
      <c r="BH5" s="15" t="s">
        <v>0</v>
      </c>
      <c r="BI5" s="15" t="s">
        <v>11</v>
      </c>
      <c r="BJ5" s="15" t="s">
        <v>11</v>
      </c>
      <c r="BK5" s="15" t="s">
        <v>11</v>
      </c>
      <c r="BL5" s="15" t="s">
        <v>11</v>
      </c>
      <c r="BM5" s="15" t="s">
        <v>11</v>
      </c>
      <c r="BN5" s="15" t="s">
        <v>11</v>
      </c>
      <c r="BO5" s="15" t="s">
        <v>11</v>
      </c>
      <c r="BP5" s="15" t="s">
        <v>11</v>
      </c>
      <c r="BQ5" s="15" t="s">
        <v>11</v>
      </c>
      <c r="BR5" s="15" t="s">
        <v>11</v>
      </c>
      <c r="BS5" s="15" t="s">
        <v>11</v>
      </c>
      <c r="BT5" s="15" t="s">
        <v>11</v>
      </c>
      <c r="BU5" s="15" t="s">
        <v>9</v>
      </c>
      <c r="BV5" s="15" t="s">
        <v>9</v>
      </c>
      <c r="BW5" s="15" t="s">
        <v>9</v>
      </c>
      <c r="BX5" s="15" t="s">
        <v>9</v>
      </c>
      <c r="BY5" s="15" t="s">
        <v>11</v>
      </c>
      <c r="BZ5" s="15" t="s">
        <v>11</v>
      </c>
      <c r="CA5" s="15" t="s">
        <v>11</v>
      </c>
      <c r="CB5" s="15" t="s">
        <v>11</v>
      </c>
      <c r="CC5" s="15" t="s">
        <v>11</v>
      </c>
      <c r="CD5" s="15" t="s">
        <v>11</v>
      </c>
      <c r="CE5" s="15" t="s">
        <v>11</v>
      </c>
      <c r="CF5" s="15" t="s">
        <v>11</v>
      </c>
      <c r="CG5" s="15" t="s">
        <v>127</v>
      </c>
      <c r="CH5" s="15" t="s">
        <v>127</v>
      </c>
      <c r="CI5" s="15" t="s">
        <v>127</v>
      </c>
      <c r="CJ5" s="15" t="s">
        <v>127</v>
      </c>
      <c r="CK5" s="15" t="s">
        <v>10</v>
      </c>
      <c r="CL5" s="15" t="s">
        <v>10</v>
      </c>
      <c r="CM5" s="15" t="s">
        <v>10</v>
      </c>
      <c r="CN5" s="15" t="s">
        <v>10</v>
      </c>
      <c r="CO5" s="15" t="s">
        <v>10</v>
      </c>
      <c r="CP5" s="15" t="s">
        <v>10</v>
      </c>
      <c r="CQ5" s="15" t="s">
        <v>10</v>
      </c>
      <c r="CR5" s="15" t="s">
        <v>10</v>
      </c>
      <c r="CS5" s="15" t="s">
        <v>0</v>
      </c>
      <c r="CT5" s="15" t="s">
        <v>0</v>
      </c>
      <c r="CU5" s="15" t="s">
        <v>0</v>
      </c>
      <c r="CV5" s="15" t="s">
        <v>0</v>
      </c>
      <c r="CW5" s="15" t="s">
        <v>0</v>
      </c>
      <c r="CX5" s="15" t="s">
        <v>0</v>
      </c>
      <c r="CY5" s="15" t="s">
        <v>0</v>
      </c>
      <c r="CZ5" s="15" t="s">
        <v>0</v>
      </c>
      <c r="DA5" s="15" t="s">
        <v>0</v>
      </c>
      <c r="DB5" s="15" t="s">
        <v>0</v>
      </c>
      <c r="DC5" s="15" t="s">
        <v>0</v>
      </c>
      <c r="DD5" s="15" t="s">
        <v>0</v>
      </c>
      <c r="DE5" s="15" t="s">
        <v>0</v>
      </c>
    </row>
    <row r="6" spans="1:109" x14ac:dyDescent="0.3">
      <c r="A6" s="15" t="s">
        <v>11</v>
      </c>
      <c r="B6" s="15" t="s">
        <v>11</v>
      </c>
      <c r="C6" s="15" t="s">
        <v>11</v>
      </c>
      <c r="D6" s="15" t="s">
        <v>11</v>
      </c>
      <c r="E6" s="15" t="s">
        <v>11</v>
      </c>
      <c r="F6" s="15" t="s">
        <v>11</v>
      </c>
      <c r="G6" s="15" t="s">
        <v>11</v>
      </c>
      <c r="H6" s="15" t="s">
        <v>11</v>
      </c>
      <c r="I6" s="15" t="s">
        <v>11</v>
      </c>
      <c r="J6" s="15" t="s">
        <v>11</v>
      </c>
      <c r="K6" s="15" t="s">
        <v>11</v>
      </c>
      <c r="L6" s="15" t="s">
        <v>11</v>
      </c>
      <c r="M6" s="15" t="s">
        <v>11</v>
      </c>
      <c r="N6" s="15" t="s">
        <v>11</v>
      </c>
      <c r="O6" s="15" t="s">
        <v>11</v>
      </c>
      <c r="P6" s="15" t="s">
        <v>11</v>
      </c>
      <c r="Q6" s="15" t="s">
        <v>11</v>
      </c>
      <c r="R6" s="15" t="s">
        <v>11</v>
      </c>
      <c r="S6" s="15" t="s">
        <v>11</v>
      </c>
      <c r="T6" s="15" t="s">
        <v>11</v>
      </c>
      <c r="U6" s="15" t="s">
        <v>126</v>
      </c>
      <c r="V6" s="15" t="s">
        <v>126</v>
      </c>
      <c r="W6" s="15" t="s">
        <v>126</v>
      </c>
      <c r="X6" s="15" t="s">
        <v>126</v>
      </c>
      <c r="Y6" s="15" t="s">
        <v>126</v>
      </c>
      <c r="Z6" s="15" t="s">
        <v>126</v>
      </c>
      <c r="AA6" s="15" t="s">
        <v>126</v>
      </c>
      <c r="AB6" s="15" t="s">
        <v>126</v>
      </c>
      <c r="AC6" s="15" t="s">
        <v>85</v>
      </c>
      <c r="AD6" s="15" t="s">
        <v>85</v>
      </c>
      <c r="AE6" s="15" t="s">
        <v>85</v>
      </c>
      <c r="AF6" s="15" t="s">
        <v>85</v>
      </c>
      <c r="AG6" s="15" t="s">
        <v>85</v>
      </c>
      <c r="AH6" s="15" t="s">
        <v>85</v>
      </c>
      <c r="AI6" s="15" t="s">
        <v>11</v>
      </c>
      <c r="AJ6" s="15" t="s">
        <v>11</v>
      </c>
      <c r="AK6" s="15" t="s">
        <v>11</v>
      </c>
      <c r="AL6" s="15" t="s">
        <v>11</v>
      </c>
      <c r="AM6" s="15" t="s">
        <v>11</v>
      </c>
      <c r="AN6" s="15" t="s">
        <v>11</v>
      </c>
      <c r="AO6" s="15" t="s">
        <v>0</v>
      </c>
      <c r="AP6" s="15" t="s">
        <v>0</v>
      </c>
      <c r="AQ6" s="15" t="s">
        <v>128</v>
      </c>
      <c r="AR6" s="15" t="s">
        <v>128</v>
      </c>
      <c r="AS6" s="15" t="s">
        <v>0</v>
      </c>
      <c r="AT6" s="15" t="s">
        <v>0</v>
      </c>
      <c r="AU6" s="15" t="s">
        <v>0</v>
      </c>
      <c r="AV6" s="15" t="s">
        <v>0</v>
      </c>
      <c r="AW6" s="15" t="s">
        <v>128</v>
      </c>
      <c r="AX6" s="15" t="s">
        <v>128</v>
      </c>
      <c r="AY6" s="15" t="s">
        <v>128</v>
      </c>
      <c r="AZ6" s="15" t="s">
        <v>12</v>
      </c>
      <c r="BA6" s="15" t="s">
        <v>0</v>
      </c>
      <c r="BB6" s="15" t="s">
        <v>0</v>
      </c>
      <c r="BC6" s="15" t="s">
        <v>0</v>
      </c>
      <c r="BD6" s="15" t="s">
        <v>0</v>
      </c>
      <c r="BE6" s="15" t="s">
        <v>128</v>
      </c>
      <c r="BF6" s="15" t="s">
        <v>128</v>
      </c>
      <c r="BG6" s="15" t="s">
        <v>128</v>
      </c>
      <c r="BH6" s="15" t="s">
        <v>128</v>
      </c>
      <c r="BI6" s="15" t="s">
        <v>0</v>
      </c>
      <c r="BJ6" s="15" t="s">
        <v>0</v>
      </c>
      <c r="BK6" s="15" t="s">
        <v>0</v>
      </c>
      <c r="BL6" s="15" t="s">
        <v>0</v>
      </c>
      <c r="BM6" s="15" t="s">
        <v>0</v>
      </c>
      <c r="BN6" s="15" t="s">
        <v>0</v>
      </c>
      <c r="BO6" s="15" t="s">
        <v>0</v>
      </c>
      <c r="BP6" s="15" t="s">
        <v>0</v>
      </c>
      <c r="BQ6" s="15" t="s">
        <v>0</v>
      </c>
      <c r="BR6" s="15" t="s">
        <v>0</v>
      </c>
      <c r="BS6" s="15" t="s">
        <v>0</v>
      </c>
      <c r="BT6" s="15" t="s">
        <v>0</v>
      </c>
      <c r="BU6" s="15" t="s">
        <v>11</v>
      </c>
      <c r="BV6" s="15" t="s">
        <v>11</v>
      </c>
      <c r="BW6" s="15" t="s">
        <v>11</v>
      </c>
      <c r="BX6" s="15" t="s">
        <v>11</v>
      </c>
      <c r="BY6" s="15" t="s">
        <v>0</v>
      </c>
      <c r="BZ6" s="15" t="s">
        <v>0</v>
      </c>
      <c r="CA6" s="15" t="s">
        <v>0</v>
      </c>
      <c r="CB6" s="15" t="s">
        <v>0</v>
      </c>
      <c r="CC6" s="15" t="s">
        <v>0</v>
      </c>
      <c r="CD6" s="15" t="s">
        <v>0</v>
      </c>
      <c r="CE6" s="15" t="s">
        <v>0</v>
      </c>
      <c r="CF6" s="15" t="s">
        <v>0</v>
      </c>
      <c r="CG6" s="15" t="s">
        <v>11</v>
      </c>
      <c r="CH6" s="15" t="s">
        <v>11</v>
      </c>
      <c r="CI6" s="15" t="s">
        <v>11</v>
      </c>
      <c r="CJ6" s="15" t="s">
        <v>11</v>
      </c>
      <c r="CK6" s="15" t="s">
        <v>11</v>
      </c>
      <c r="CL6" s="15" t="s">
        <v>11</v>
      </c>
      <c r="CM6" s="15" t="s">
        <v>11</v>
      </c>
      <c r="CN6" s="15" t="s">
        <v>11</v>
      </c>
      <c r="CO6" s="15" t="s">
        <v>11</v>
      </c>
      <c r="CP6" s="15" t="s">
        <v>11</v>
      </c>
      <c r="CQ6" s="15" t="s">
        <v>11</v>
      </c>
      <c r="CR6" s="15" t="s">
        <v>11</v>
      </c>
      <c r="CS6" s="15" t="s">
        <v>128</v>
      </c>
      <c r="CT6" s="15" t="s">
        <v>128</v>
      </c>
      <c r="CU6" s="15" t="s">
        <v>128</v>
      </c>
      <c r="CV6" s="15" t="s">
        <v>128</v>
      </c>
      <c r="CW6" s="15" t="s">
        <v>128</v>
      </c>
      <c r="CX6" s="15" t="s">
        <v>128</v>
      </c>
      <c r="CY6" s="15" t="s">
        <v>128</v>
      </c>
      <c r="CZ6" s="15" t="s">
        <v>128</v>
      </c>
      <c r="DA6" s="15" t="s">
        <v>128</v>
      </c>
      <c r="DB6" s="15" t="s">
        <v>128</v>
      </c>
      <c r="DC6" s="15" t="s">
        <v>128</v>
      </c>
      <c r="DD6" s="15" t="s">
        <v>128</v>
      </c>
      <c r="DE6" s="15" t="s">
        <v>128</v>
      </c>
    </row>
    <row r="7" spans="1:109" x14ac:dyDescent="0.3">
      <c r="A7" s="15" t="s">
        <v>0</v>
      </c>
      <c r="B7" s="15" t="s">
        <v>0</v>
      </c>
      <c r="C7" s="15" t="s">
        <v>0</v>
      </c>
      <c r="D7" s="15" t="s">
        <v>0</v>
      </c>
      <c r="E7" s="15" t="s">
        <v>0</v>
      </c>
      <c r="F7" s="15" t="s">
        <v>0</v>
      </c>
      <c r="G7" s="15" t="s">
        <v>0</v>
      </c>
      <c r="H7" s="15" t="s">
        <v>0</v>
      </c>
      <c r="I7" s="15" t="s">
        <v>0</v>
      </c>
      <c r="J7" s="15" t="s">
        <v>0</v>
      </c>
      <c r="K7" s="15" t="s">
        <v>0</v>
      </c>
      <c r="L7" s="15" t="s">
        <v>0</v>
      </c>
      <c r="M7" s="15" t="s">
        <v>0</v>
      </c>
      <c r="N7" s="15" t="s">
        <v>0</v>
      </c>
      <c r="O7" s="15" t="s">
        <v>0</v>
      </c>
      <c r="P7" s="15" t="s">
        <v>0</v>
      </c>
      <c r="Q7" s="15" t="s">
        <v>0</v>
      </c>
      <c r="R7" s="15" t="s">
        <v>0</v>
      </c>
      <c r="S7" s="15" t="s">
        <v>0</v>
      </c>
      <c r="T7" s="15" t="s">
        <v>0</v>
      </c>
      <c r="U7" s="15" t="s">
        <v>11</v>
      </c>
      <c r="V7" s="15" t="s">
        <v>85</v>
      </c>
      <c r="W7" s="15" t="s">
        <v>85</v>
      </c>
      <c r="X7" s="15" t="s">
        <v>85</v>
      </c>
      <c r="Y7" s="15" t="s">
        <v>85</v>
      </c>
      <c r="Z7" s="15" t="s">
        <v>85</v>
      </c>
      <c r="AA7" s="15" t="s">
        <v>85</v>
      </c>
      <c r="AB7" s="15" t="s">
        <v>85</v>
      </c>
      <c r="AC7" s="15" t="s">
        <v>11</v>
      </c>
      <c r="AD7" s="15" t="s">
        <v>11</v>
      </c>
      <c r="AE7" s="15" t="s">
        <v>11</v>
      </c>
      <c r="AF7" s="15" t="s">
        <v>11</v>
      </c>
      <c r="AG7" s="15" t="s">
        <v>11</v>
      </c>
      <c r="AH7" s="15" t="s">
        <v>11</v>
      </c>
      <c r="AI7" s="15" t="s">
        <v>0</v>
      </c>
      <c r="AJ7" s="15" t="s">
        <v>0</v>
      </c>
      <c r="AK7" s="15" t="s">
        <v>0</v>
      </c>
      <c r="AL7" s="15" t="s">
        <v>0</v>
      </c>
      <c r="AM7" s="15" t="s">
        <v>0</v>
      </c>
      <c r="AN7" s="15" t="s">
        <v>0</v>
      </c>
      <c r="AO7" s="15" t="s">
        <v>128</v>
      </c>
      <c r="AP7" s="15" t="s">
        <v>128</v>
      </c>
      <c r="AQ7" s="15" t="s">
        <v>12</v>
      </c>
      <c r="AR7" s="15" t="s">
        <v>12</v>
      </c>
      <c r="AS7" s="15" t="s">
        <v>128</v>
      </c>
      <c r="AT7" s="15" t="s">
        <v>128</v>
      </c>
      <c r="AU7" s="15" t="s">
        <v>128</v>
      </c>
      <c r="AV7" s="15" t="s">
        <v>128</v>
      </c>
      <c r="AW7" s="15" t="s">
        <v>12</v>
      </c>
      <c r="AX7" s="15" t="s">
        <v>12</v>
      </c>
      <c r="AY7" s="15" t="s">
        <v>12</v>
      </c>
      <c r="AZ7" s="15" t="s">
        <v>13</v>
      </c>
      <c r="BA7" s="15" t="s">
        <v>128</v>
      </c>
      <c r="BB7" s="15" t="s">
        <v>128</v>
      </c>
      <c r="BC7" s="15" t="s">
        <v>128</v>
      </c>
      <c r="BD7" s="15" t="s">
        <v>128</v>
      </c>
      <c r="BE7" s="15" t="s">
        <v>12</v>
      </c>
      <c r="BF7" s="15" t="s">
        <v>12</v>
      </c>
      <c r="BG7" s="15" t="s">
        <v>12</v>
      </c>
      <c r="BH7" s="15" t="s">
        <v>12</v>
      </c>
      <c r="BI7" s="15" t="s">
        <v>128</v>
      </c>
      <c r="BJ7" s="15" t="s">
        <v>128</v>
      </c>
      <c r="BK7" s="15" t="s">
        <v>128</v>
      </c>
      <c r="BL7" s="15" t="s">
        <v>128</v>
      </c>
      <c r="BM7" s="15" t="s">
        <v>128</v>
      </c>
      <c r="BN7" s="15" t="s">
        <v>128</v>
      </c>
      <c r="BO7" s="15" t="s">
        <v>128</v>
      </c>
      <c r="BP7" s="15" t="s">
        <v>128</v>
      </c>
      <c r="BQ7" s="15" t="s">
        <v>128</v>
      </c>
      <c r="BR7" s="15" t="s">
        <v>128</v>
      </c>
      <c r="BS7" s="15" t="s">
        <v>128</v>
      </c>
      <c r="BT7" s="15" t="s">
        <v>128</v>
      </c>
      <c r="BU7" s="15" t="s">
        <v>0</v>
      </c>
      <c r="BV7" s="15" t="s">
        <v>0</v>
      </c>
      <c r="BW7" s="15" t="s">
        <v>0</v>
      </c>
      <c r="BX7" s="15" t="s">
        <v>0</v>
      </c>
      <c r="BY7" s="15" t="s">
        <v>128</v>
      </c>
      <c r="BZ7" s="15" t="s">
        <v>128</v>
      </c>
      <c r="CA7" s="15" t="s">
        <v>128</v>
      </c>
      <c r="CB7" s="15" t="s">
        <v>128</v>
      </c>
      <c r="CC7" s="15" t="s">
        <v>128</v>
      </c>
      <c r="CD7" s="15" t="s">
        <v>128</v>
      </c>
      <c r="CE7" s="15" t="s">
        <v>128</v>
      </c>
      <c r="CF7" s="15" t="s">
        <v>128</v>
      </c>
      <c r="CG7" s="15" t="s">
        <v>0</v>
      </c>
      <c r="CH7" s="15" t="s">
        <v>0</v>
      </c>
      <c r="CI7" s="15" t="s">
        <v>0</v>
      </c>
      <c r="CJ7" s="15" t="s">
        <v>0</v>
      </c>
      <c r="CK7" s="15" t="s">
        <v>0</v>
      </c>
      <c r="CL7" s="15" t="s">
        <v>0</v>
      </c>
      <c r="CM7" s="15" t="s">
        <v>0</v>
      </c>
      <c r="CN7" s="15" t="s">
        <v>0</v>
      </c>
      <c r="CO7" s="15" t="s">
        <v>0</v>
      </c>
      <c r="CP7" s="15" t="s">
        <v>0</v>
      </c>
      <c r="CQ7" s="15" t="s">
        <v>0</v>
      </c>
      <c r="CR7" s="15" t="s">
        <v>0</v>
      </c>
      <c r="CS7" s="15" t="s">
        <v>12</v>
      </c>
      <c r="CT7" s="15" t="s">
        <v>12</v>
      </c>
      <c r="CU7" s="15" t="s">
        <v>12</v>
      </c>
      <c r="CV7" s="15" t="s">
        <v>12</v>
      </c>
      <c r="CW7" s="15" t="s">
        <v>12</v>
      </c>
      <c r="CX7" s="15" t="s">
        <v>12</v>
      </c>
      <c r="CY7" s="15" t="s">
        <v>12</v>
      </c>
      <c r="CZ7" s="15" t="s">
        <v>12</v>
      </c>
      <c r="DA7" s="15" t="s">
        <v>12</v>
      </c>
      <c r="DB7" s="15" t="s">
        <v>12</v>
      </c>
      <c r="DC7" s="15" t="s">
        <v>12</v>
      </c>
      <c r="DD7" s="15" t="s">
        <v>12</v>
      </c>
      <c r="DE7" s="15" t="s">
        <v>12</v>
      </c>
    </row>
    <row r="8" spans="1:109" x14ac:dyDescent="0.3">
      <c r="A8" s="15" t="s">
        <v>128</v>
      </c>
      <c r="B8" s="15" t="s">
        <v>128</v>
      </c>
      <c r="C8" s="15" t="s">
        <v>128</v>
      </c>
      <c r="D8" s="15" t="s">
        <v>128</v>
      </c>
      <c r="E8" s="15" t="s">
        <v>128</v>
      </c>
      <c r="F8" s="15" t="s">
        <v>128</v>
      </c>
      <c r="G8" s="15" t="s">
        <v>128</v>
      </c>
      <c r="H8" s="15" t="s">
        <v>128</v>
      </c>
      <c r="I8" s="15" t="s">
        <v>128</v>
      </c>
      <c r="J8" s="15" t="s">
        <v>128</v>
      </c>
      <c r="K8" s="15" t="s">
        <v>128</v>
      </c>
      <c r="L8" s="15" t="s">
        <v>128</v>
      </c>
      <c r="M8" s="15" t="s">
        <v>128</v>
      </c>
      <c r="N8" s="15" t="s">
        <v>128</v>
      </c>
      <c r="O8" s="15" t="s">
        <v>128</v>
      </c>
      <c r="P8" s="15" t="s">
        <v>128</v>
      </c>
      <c r="Q8" s="15" t="s">
        <v>128</v>
      </c>
      <c r="R8" s="15" t="s">
        <v>128</v>
      </c>
      <c r="S8" s="15" t="s">
        <v>128</v>
      </c>
      <c r="T8" s="15" t="s">
        <v>128</v>
      </c>
      <c r="U8" s="15" t="s">
        <v>0</v>
      </c>
      <c r="V8" s="15" t="s">
        <v>11</v>
      </c>
      <c r="W8" s="15" t="s">
        <v>11</v>
      </c>
      <c r="X8" s="15" t="s">
        <v>11</v>
      </c>
      <c r="Y8" s="15" t="s">
        <v>11</v>
      </c>
      <c r="Z8" s="15" t="s">
        <v>11</v>
      </c>
      <c r="AA8" s="15" t="s">
        <v>11</v>
      </c>
      <c r="AB8" s="15" t="s">
        <v>11</v>
      </c>
      <c r="AC8" s="15" t="s">
        <v>0</v>
      </c>
      <c r="AD8" s="15" t="s">
        <v>0</v>
      </c>
      <c r="AE8" s="15" t="s">
        <v>0</v>
      </c>
      <c r="AF8" s="15" t="s">
        <v>0</v>
      </c>
      <c r="AG8" s="15" t="s">
        <v>0</v>
      </c>
      <c r="AH8" s="15" t="s">
        <v>0</v>
      </c>
      <c r="AI8" s="15" t="s">
        <v>128</v>
      </c>
      <c r="AJ8" s="15" t="s">
        <v>128</v>
      </c>
      <c r="AK8" s="15" t="s">
        <v>128</v>
      </c>
      <c r="AL8" s="15" t="s">
        <v>128</v>
      </c>
      <c r="AM8" s="15" t="s">
        <v>128</v>
      </c>
      <c r="AN8" s="15" t="s">
        <v>128</v>
      </c>
      <c r="AO8" s="15" t="s">
        <v>12</v>
      </c>
      <c r="AP8" s="15" t="s">
        <v>12</v>
      </c>
      <c r="AQ8" s="15" t="s">
        <v>13</v>
      </c>
      <c r="AR8" s="15" t="s">
        <v>13</v>
      </c>
      <c r="AS8" s="15" t="s">
        <v>12</v>
      </c>
      <c r="AT8" s="15" t="s">
        <v>12</v>
      </c>
      <c r="AU8" s="15" t="s">
        <v>12</v>
      </c>
      <c r="AV8" s="15" t="s">
        <v>12</v>
      </c>
      <c r="AW8" s="15" t="s">
        <v>13</v>
      </c>
      <c r="AX8" s="15" t="s">
        <v>13</v>
      </c>
      <c r="AY8" s="15" t="s">
        <v>13</v>
      </c>
      <c r="AZ8" s="15" t="s">
        <v>14</v>
      </c>
      <c r="BA8" s="15" t="s">
        <v>12</v>
      </c>
      <c r="BB8" s="15" t="s">
        <v>12</v>
      </c>
      <c r="BC8" s="15" t="s">
        <v>12</v>
      </c>
      <c r="BD8" s="15" t="s">
        <v>12</v>
      </c>
      <c r="BE8" s="15" t="s">
        <v>13</v>
      </c>
      <c r="BF8" s="15" t="s">
        <v>13</v>
      </c>
      <c r="BG8" s="15" t="s">
        <v>13</v>
      </c>
      <c r="BH8" s="15" t="s">
        <v>13</v>
      </c>
      <c r="BI8" s="15" t="s">
        <v>12</v>
      </c>
      <c r="BJ8" s="15" t="s">
        <v>12</v>
      </c>
      <c r="BK8" s="15" t="s">
        <v>12</v>
      </c>
      <c r="BL8" s="15" t="s">
        <v>12</v>
      </c>
      <c r="BM8" s="15" t="s">
        <v>12</v>
      </c>
      <c r="BN8" s="15" t="s">
        <v>12</v>
      </c>
      <c r="BO8" s="15" t="s">
        <v>12</v>
      </c>
      <c r="BP8" s="15" t="s">
        <v>12</v>
      </c>
      <c r="BQ8" s="15" t="s">
        <v>12</v>
      </c>
      <c r="BR8" s="15" t="s">
        <v>12</v>
      </c>
      <c r="BS8" s="15" t="s">
        <v>12</v>
      </c>
      <c r="BT8" s="15" t="s">
        <v>12</v>
      </c>
      <c r="BU8" s="15" t="s">
        <v>128</v>
      </c>
      <c r="BV8" s="15" t="s">
        <v>128</v>
      </c>
      <c r="BW8" s="15" t="s">
        <v>128</v>
      </c>
      <c r="BX8" s="15" t="s">
        <v>128</v>
      </c>
      <c r="BY8" s="15" t="s">
        <v>12</v>
      </c>
      <c r="BZ8" s="15" t="s">
        <v>12</v>
      </c>
      <c r="CA8" s="15" t="s">
        <v>12</v>
      </c>
      <c r="CB8" s="15" t="s">
        <v>12</v>
      </c>
      <c r="CC8" s="15" t="s">
        <v>12</v>
      </c>
      <c r="CD8" s="15" t="s">
        <v>12</v>
      </c>
      <c r="CE8" s="15" t="s">
        <v>12</v>
      </c>
      <c r="CF8" s="15" t="s">
        <v>12</v>
      </c>
      <c r="CG8" s="15" t="s">
        <v>128</v>
      </c>
      <c r="CH8" s="15" t="s">
        <v>128</v>
      </c>
      <c r="CI8" s="15" t="s">
        <v>128</v>
      </c>
      <c r="CJ8" s="15" t="s">
        <v>128</v>
      </c>
      <c r="CK8" s="15" t="s">
        <v>128</v>
      </c>
      <c r="CL8" s="15" t="s">
        <v>128</v>
      </c>
      <c r="CM8" s="15" t="s">
        <v>128</v>
      </c>
      <c r="CN8" s="15" t="s">
        <v>128</v>
      </c>
      <c r="CO8" s="15" t="s">
        <v>128</v>
      </c>
      <c r="CP8" s="15" t="s">
        <v>128</v>
      </c>
      <c r="CQ8" s="15" t="s">
        <v>128</v>
      </c>
      <c r="CR8" s="15" t="s">
        <v>128</v>
      </c>
      <c r="CS8" s="15" t="s">
        <v>13</v>
      </c>
      <c r="CT8" s="15" t="s">
        <v>13</v>
      </c>
      <c r="CU8" s="15" t="s">
        <v>13</v>
      </c>
      <c r="CV8" s="15" t="s">
        <v>13</v>
      </c>
      <c r="CW8" s="15" t="s">
        <v>13</v>
      </c>
      <c r="CX8" s="15" t="s">
        <v>13</v>
      </c>
      <c r="CY8" s="15" t="s">
        <v>13</v>
      </c>
      <c r="CZ8" s="15" t="s">
        <v>13</v>
      </c>
      <c r="DA8" s="15" t="s">
        <v>13</v>
      </c>
      <c r="DB8" s="15" t="s">
        <v>13</v>
      </c>
      <c r="DC8" s="15" t="s">
        <v>13</v>
      </c>
      <c r="DD8" s="15" t="s">
        <v>13</v>
      </c>
      <c r="DE8" s="15" t="s">
        <v>13</v>
      </c>
    </row>
    <row r="9" spans="1:109" x14ac:dyDescent="0.3">
      <c r="A9" s="15" t="s">
        <v>12</v>
      </c>
      <c r="B9" s="15" t="s">
        <v>12</v>
      </c>
      <c r="C9" s="15" t="s">
        <v>12</v>
      </c>
      <c r="D9" s="15" t="s">
        <v>12</v>
      </c>
      <c r="E9" s="15" t="s">
        <v>12</v>
      </c>
      <c r="F9" s="15" t="s">
        <v>12</v>
      </c>
      <c r="G9" s="15" t="s">
        <v>12</v>
      </c>
      <c r="H9" s="15" t="s">
        <v>12</v>
      </c>
      <c r="I9" s="15" t="s">
        <v>12</v>
      </c>
      <c r="J9" s="15" t="s">
        <v>12</v>
      </c>
      <c r="K9" s="15" t="s">
        <v>12</v>
      </c>
      <c r="L9" s="15" t="s">
        <v>12</v>
      </c>
      <c r="M9" s="15" t="s">
        <v>12</v>
      </c>
      <c r="N9" s="15" t="s">
        <v>12</v>
      </c>
      <c r="O9" s="15" t="s">
        <v>12</v>
      </c>
      <c r="P9" s="15" t="s">
        <v>12</v>
      </c>
      <c r="Q9" s="15" t="s">
        <v>12</v>
      </c>
      <c r="R9" s="15" t="s">
        <v>12</v>
      </c>
      <c r="S9" s="15" t="s">
        <v>12</v>
      </c>
      <c r="T9" s="15" t="s">
        <v>12</v>
      </c>
      <c r="U9" s="15" t="s">
        <v>128</v>
      </c>
      <c r="V9" s="15" t="s">
        <v>0</v>
      </c>
      <c r="W9" s="15" t="s">
        <v>0</v>
      </c>
      <c r="X9" s="15" t="s">
        <v>0</v>
      </c>
      <c r="Y9" s="15" t="s">
        <v>0</v>
      </c>
      <c r="Z9" s="15" t="s">
        <v>0</v>
      </c>
      <c r="AA9" s="15" t="s">
        <v>0</v>
      </c>
      <c r="AB9" s="15" t="s">
        <v>0</v>
      </c>
      <c r="AC9" s="15" t="s">
        <v>128</v>
      </c>
      <c r="AD9" s="15" t="s">
        <v>128</v>
      </c>
      <c r="AE9" s="15" t="s">
        <v>128</v>
      </c>
      <c r="AF9" s="15" t="s">
        <v>128</v>
      </c>
      <c r="AG9" s="15" t="s">
        <v>128</v>
      </c>
      <c r="AH9" s="15" t="s">
        <v>128</v>
      </c>
      <c r="AI9" s="15" t="s">
        <v>12</v>
      </c>
      <c r="AJ9" s="15" t="s">
        <v>12</v>
      </c>
      <c r="AK9" s="15" t="s">
        <v>12</v>
      </c>
      <c r="AL9" s="15" t="s">
        <v>12</v>
      </c>
      <c r="AM9" s="15" t="s">
        <v>12</v>
      </c>
      <c r="AN9" s="15" t="s">
        <v>12</v>
      </c>
      <c r="AO9" s="15" t="s">
        <v>13</v>
      </c>
      <c r="AP9" s="15" t="s">
        <v>13</v>
      </c>
      <c r="AQ9" s="15" t="s">
        <v>14</v>
      </c>
      <c r="AR9" s="15" t="s">
        <v>14</v>
      </c>
      <c r="AS9" s="15" t="s">
        <v>13</v>
      </c>
      <c r="AT9" s="15" t="s">
        <v>13</v>
      </c>
      <c r="AU9" s="15" t="s">
        <v>13</v>
      </c>
      <c r="AV9" s="15" t="s">
        <v>13</v>
      </c>
      <c r="AW9" s="15" t="s">
        <v>14</v>
      </c>
      <c r="AX9" s="15" t="s">
        <v>14</v>
      </c>
      <c r="AY9" s="15" t="s">
        <v>14</v>
      </c>
      <c r="AZ9" s="15" t="s">
        <v>16</v>
      </c>
      <c r="BA9" s="15" t="s">
        <v>13</v>
      </c>
      <c r="BB9" s="15" t="s">
        <v>13</v>
      </c>
      <c r="BC9" s="15" t="s">
        <v>13</v>
      </c>
      <c r="BD9" s="15" t="s">
        <v>13</v>
      </c>
      <c r="BE9" s="15" t="s">
        <v>14</v>
      </c>
      <c r="BF9" s="15" t="s">
        <v>14</v>
      </c>
      <c r="BG9" s="15" t="s">
        <v>14</v>
      </c>
      <c r="BH9" s="15" t="s">
        <v>14</v>
      </c>
      <c r="BI9" s="15" t="s">
        <v>13</v>
      </c>
      <c r="BJ9" s="15" t="s">
        <v>13</v>
      </c>
      <c r="BK9" s="15" t="s">
        <v>13</v>
      </c>
      <c r="BL9" s="15" t="s">
        <v>13</v>
      </c>
      <c r="BM9" s="15" t="s">
        <v>13</v>
      </c>
      <c r="BN9" s="15" t="s">
        <v>13</v>
      </c>
      <c r="BO9" s="15" t="s">
        <v>13</v>
      </c>
      <c r="BP9" s="15" t="s">
        <v>13</v>
      </c>
      <c r="BQ9" s="15" t="s">
        <v>13</v>
      </c>
      <c r="BR9" s="15" t="s">
        <v>13</v>
      </c>
      <c r="BS9" s="15" t="s">
        <v>13</v>
      </c>
      <c r="BT9" s="15" t="s">
        <v>13</v>
      </c>
      <c r="BU9" s="15" t="s">
        <v>12</v>
      </c>
      <c r="BV9" s="15" t="s">
        <v>12</v>
      </c>
      <c r="BW9" s="15" t="s">
        <v>12</v>
      </c>
      <c r="BX9" s="15" t="s">
        <v>12</v>
      </c>
      <c r="BY9" s="15" t="s">
        <v>13</v>
      </c>
      <c r="BZ9" s="15" t="s">
        <v>13</v>
      </c>
      <c r="CA9" s="15" t="s">
        <v>13</v>
      </c>
      <c r="CB9" s="15" t="s">
        <v>13</v>
      </c>
      <c r="CC9" s="15" t="s">
        <v>13</v>
      </c>
      <c r="CD9" s="15" t="s">
        <v>13</v>
      </c>
      <c r="CE9" s="15" t="s">
        <v>13</v>
      </c>
      <c r="CF9" s="15" t="s">
        <v>13</v>
      </c>
      <c r="CG9" s="15" t="s">
        <v>12</v>
      </c>
      <c r="CH9" s="15" t="s">
        <v>12</v>
      </c>
      <c r="CI9" s="15" t="s">
        <v>12</v>
      </c>
      <c r="CJ9" s="15" t="s">
        <v>12</v>
      </c>
      <c r="CK9" s="15" t="s">
        <v>12</v>
      </c>
      <c r="CL9" s="15" t="s">
        <v>12</v>
      </c>
      <c r="CM9" s="15" t="s">
        <v>12</v>
      </c>
      <c r="CN9" s="15" t="s">
        <v>12</v>
      </c>
      <c r="CO9" s="15" t="s">
        <v>12</v>
      </c>
      <c r="CP9" s="15" t="s">
        <v>12</v>
      </c>
      <c r="CQ9" s="15" t="s">
        <v>12</v>
      </c>
      <c r="CR9" s="15" t="s">
        <v>12</v>
      </c>
      <c r="CS9" s="15" t="s">
        <v>14</v>
      </c>
      <c r="CT9" s="15" t="s">
        <v>14</v>
      </c>
      <c r="CU9" s="15" t="s">
        <v>14</v>
      </c>
      <c r="CV9" s="15" t="s">
        <v>14</v>
      </c>
      <c r="CW9" s="15" t="s">
        <v>14</v>
      </c>
      <c r="CX9" s="15" t="s">
        <v>14</v>
      </c>
      <c r="CY9" s="15" t="s">
        <v>14</v>
      </c>
      <c r="CZ9" s="15" t="s">
        <v>14</v>
      </c>
      <c r="DA9" s="15" t="s">
        <v>14</v>
      </c>
      <c r="DB9" s="15" t="s">
        <v>14</v>
      </c>
      <c r="DC9" s="15" t="s">
        <v>14</v>
      </c>
      <c r="DD9" s="15" t="s">
        <v>14</v>
      </c>
      <c r="DE9" s="15" t="s">
        <v>14</v>
      </c>
    </row>
    <row r="10" spans="1:109" x14ac:dyDescent="0.3">
      <c r="A10" s="15" t="s">
        <v>129</v>
      </c>
      <c r="B10" s="15" t="s">
        <v>129</v>
      </c>
      <c r="C10" s="15" t="s">
        <v>129</v>
      </c>
      <c r="D10" s="15" t="s">
        <v>129</v>
      </c>
      <c r="E10" s="15" t="s">
        <v>129</v>
      </c>
      <c r="F10" s="15" t="s">
        <v>129</v>
      </c>
      <c r="G10" s="15" t="s">
        <v>129</v>
      </c>
      <c r="H10" s="15" t="s">
        <v>129</v>
      </c>
      <c r="I10" s="15" t="s">
        <v>129</v>
      </c>
      <c r="J10" s="15" t="s">
        <v>129</v>
      </c>
      <c r="K10" s="15" t="s">
        <v>129</v>
      </c>
      <c r="L10" s="15" t="s">
        <v>129</v>
      </c>
      <c r="M10" s="15" t="s">
        <v>129</v>
      </c>
      <c r="N10" s="15" t="s">
        <v>129</v>
      </c>
      <c r="O10" s="15" t="s">
        <v>129</v>
      </c>
      <c r="P10" s="15" t="s">
        <v>129</v>
      </c>
      <c r="Q10" s="15" t="s">
        <v>129</v>
      </c>
      <c r="R10" s="15" t="s">
        <v>129</v>
      </c>
      <c r="S10" s="15" t="s">
        <v>129</v>
      </c>
      <c r="T10" s="15" t="s">
        <v>129</v>
      </c>
      <c r="U10" s="15" t="s">
        <v>12</v>
      </c>
      <c r="V10" s="15" t="s">
        <v>128</v>
      </c>
      <c r="W10" s="15" t="s">
        <v>128</v>
      </c>
      <c r="X10" s="15" t="s">
        <v>128</v>
      </c>
      <c r="Y10" s="15" t="s">
        <v>128</v>
      </c>
      <c r="Z10" s="15" t="s">
        <v>128</v>
      </c>
      <c r="AA10" s="15" t="s">
        <v>128</v>
      </c>
      <c r="AB10" s="15" t="s">
        <v>128</v>
      </c>
      <c r="AC10" s="15" t="s">
        <v>12</v>
      </c>
      <c r="AD10" s="15" t="s">
        <v>12</v>
      </c>
      <c r="AE10" s="15" t="s">
        <v>12</v>
      </c>
      <c r="AF10" s="15" t="s">
        <v>12</v>
      </c>
      <c r="AG10" s="15" t="s">
        <v>12</v>
      </c>
      <c r="AH10" s="15" t="s">
        <v>12</v>
      </c>
      <c r="AI10" s="15" t="s">
        <v>129</v>
      </c>
      <c r="AJ10" s="15" t="s">
        <v>129</v>
      </c>
      <c r="AK10" s="15" t="s">
        <v>14</v>
      </c>
      <c r="AL10" s="15" t="s">
        <v>14</v>
      </c>
      <c r="AM10" s="15" t="s">
        <v>14</v>
      </c>
      <c r="AN10" s="15" t="s">
        <v>14</v>
      </c>
      <c r="AO10" s="15" t="s">
        <v>14</v>
      </c>
      <c r="AP10" s="15" t="s">
        <v>14</v>
      </c>
      <c r="AQ10" s="15" t="s">
        <v>118</v>
      </c>
      <c r="AR10" s="15" t="s">
        <v>118</v>
      </c>
      <c r="AS10" s="15" t="s">
        <v>14</v>
      </c>
      <c r="AT10" s="15" t="s">
        <v>14</v>
      </c>
      <c r="AU10" s="15" t="s">
        <v>14</v>
      </c>
      <c r="AV10" s="15" t="s">
        <v>14</v>
      </c>
      <c r="AW10" s="15" t="s">
        <v>16</v>
      </c>
      <c r="AX10" s="15" t="s">
        <v>16</v>
      </c>
      <c r="AY10" s="15" t="s">
        <v>16</v>
      </c>
      <c r="AZ10" s="15" t="s">
        <v>18</v>
      </c>
      <c r="BA10" s="15" t="s">
        <v>14</v>
      </c>
      <c r="BB10" s="15" t="s">
        <v>14</v>
      </c>
      <c r="BC10" s="15" t="s">
        <v>14</v>
      </c>
      <c r="BD10" s="15" t="s">
        <v>14</v>
      </c>
      <c r="BE10" s="15" t="s">
        <v>16</v>
      </c>
      <c r="BF10" s="15" t="s">
        <v>16</v>
      </c>
      <c r="BG10" s="15" t="s">
        <v>16</v>
      </c>
      <c r="BH10" s="15" t="s">
        <v>16</v>
      </c>
      <c r="BI10" s="15" t="s">
        <v>14</v>
      </c>
      <c r="BJ10" s="15" t="s">
        <v>14</v>
      </c>
      <c r="BK10" s="15" t="s">
        <v>14</v>
      </c>
      <c r="BL10" s="15" t="s">
        <v>14</v>
      </c>
      <c r="BM10" s="15" t="s">
        <v>14</v>
      </c>
      <c r="BN10" s="15" t="s">
        <v>14</v>
      </c>
      <c r="BO10" s="15" t="s">
        <v>14</v>
      </c>
      <c r="BP10" s="15" t="s">
        <v>14</v>
      </c>
      <c r="BQ10" s="15" t="s">
        <v>14</v>
      </c>
      <c r="BR10" s="15" t="s">
        <v>14</v>
      </c>
      <c r="BS10" s="15" t="s">
        <v>14</v>
      </c>
      <c r="BT10" s="15" t="s">
        <v>14</v>
      </c>
      <c r="BU10" s="15" t="s">
        <v>13</v>
      </c>
      <c r="BV10" s="15" t="s">
        <v>13</v>
      </c>
      <c r="BW10" s="15" t="s">
        <v>13</v>
      </c>
      <c r="BX10" s="15" t="s">
        <v>13</v>
      </c>
      <c r="BY10" s="15" t="s">
        <v>14</v>
      </c>
      <c r="BZ10" s="15" t="s">
        <v>14</v>
      </c>
      <c r="CA10" s="15" t="s">
        <v>14</v>
      </c>
      <c r="CB10" s="15" t="s">
        <v>14</v>
      </c>
      <c r="CC10" s="15" t="s">
        <v>14</v>
      </c>
      <c r="CD10" s="15" t="s">
        <v>14</v>
      </c>
      <c r="CE10" s="15" t="s">
        <v>14</v>
      </c>
      <c r="CF10" s="15" t="s">
        <v>14</v>
      </c>
      <c r="CG10" s="15" t="s">
        <v>13</v>
      </c>
      <c r="CH10" s="15" t="s">
        <v>13</v>
      </c>
      <c r="CI10" s="15" t="s">
        <v>13</v>
      </c>
      <c r="CJ10" s="15" t="s">
        <v>13</v>
      </c>
      <c r="CK10" s="15" t="s">
        <v>13</v>
      </c>
      <c r="CL10" s="15" t="s">
        <v>13</v>
      </c>
      <c r="CM10" s="15" t="s">
        <v>13</v>
      </c>
      <c r="CN10" s="15" t="s">
        <v>13</v>
      </c>
      <c r="CO10" s="15" t="s">
        <v>13</v>
      </c>
      <c r="CP10" s="15" t="s">
        <v>13</v>
      </c>
      <c r="CQ10" s="15" t="s">
        <v>13</v>
      </c>
      <c r="CR10" s="15" t="s">
        <v>13</v>
      </c>
      <c r="CS10" s="15" t="s">
        <v>16</v>
      </c>
      <c r="CT10" s="15" t="s">
        <v>16</v>
      </c>
      <c r="CU10" s="15" t="s">
        <v>16</v>
      </c>
      <c r="CV10" s="15" t="s">
        <v>16</v>
      </c>
      <c r="CW10" s="15" t="s">
        <v>15</v>
      </c>
      <c r="CX10" s="15" t="s">
        <v>15</v>
      </c>
      <c r="CY10" s="15" t="s">
        <v>15</v>
      </c>
      <c r="CZ10" s="15" t="s">
        <v>15</v>
      </c>
      <c r="DA10" s="15" t="s">
        <v>130</v>
      </c>
      <c r="DB10" s="15" t="s">
        <v>130</v>
      </c>
      <c r="DC10" s="15" t="s">
        <v>130</v>
      </c>
      <c r="DD10" s="15" t="s">
        <v>130</v>
      </c>
      <c r="DE10" s="15" t="s">
        <v>130</v>
      </c>
    </row>
    <row r="11" spans="1:109" x14ac:dyDescent="0.3">
      <c r="A11" s="15" t="s">
        <v>118</v>
      </c>
      <c r="B11" s="15" t="s">
        <v>118</v>
      </c>
      <c r="C11" s="15" t="s">
        <v>118</v>
      </c>
      <c r="D11" s="15" t="s">
        <v>118</v>
      </c>
      <c r="E11" s="15" t="s">
        <v>118</v>
      </c>
      <c r="F11" s="15" t="s">
        <v>118</v>
      </c>
      <c r="G11" s="15" t="s">
        <v>118</v>
      </c>
      <c r="H11" s="15" t="s">
        <v>118</v>
      </c>
      <c r="I11" s="15" t="s">
        <v>118</v>
      </c>
      <c r="J11" s="15" t="s">
        <v>118</v>
      </c>
      <c r="K11" s="15" t="s">
        <v>118</v>
      </c>
      <c r="L11" s="15" t="s">
        <v>118</v>
      </c>
      <c r="M11" s="15" t="s">
        <v>118</v>
      </c>
      <c r="N11" s="15" t="s">
        <v>118</v>
      </c>
      <c r="O11" s="15" t="s">
        <v>118</v>
      </c>
      <c r="P11" s="15" t="s">
        <v>118</v>
      </c>
      <c r="Q11" s="15" t="s">
        <v>118</v>
      </c>
      <c r="R11" s="15" t="s">
        <v>118</v>
      </c>
      <c r="S11" s="15" t="s">
        <v>118</v>
      </c>
      <c r="T11" s="15" t="s">
        <v>118</v>
      </c>
      <c r="U11" s="15" t="s">
        <v>129</v>
      </c>
      <c r="V11" s="15" t="s">
        <v>12</v>
      </c>
      <c r="W11" s="15" t="s">
        <v>12</v>
      </c>
      <c r="X11" s="15" t="s">
        <v>12</v>
      </c>
      <c r="Y11" s="15" t="s">
        <v>12</v>
      </c>
      <c r="Z11" s="15" t="s">
        <v>12</v>
      </c>
      <c r="AA11" s="15" t="s">
        <v>12</v>
      </c>
      <c r="AB11" s="15" t="s">
        <v>12</v>
      </c>
      <c r="AC11" s="15" t="s">
        <v>129</v>
      </c>
      <c r="AD11" s="15" t="s">
        <v>129</v>
      </c>
      <c r="AE11" s="15" t="s">
        <v>129</v>
      </c>
      <c r="AF11" s="15" t="s">
        <v>129</v>
      </c>
      <c r="AG11" s="15" t="s">
        <v>129</v>
      </c>
      <c r="AH11" s="15" t="s">
        <v>129</v>
      </c>
      <c r="AI11" s="15" t="s">
        <v>14</v>
      </c>
      <c r="AJ11" s="15" t="s">
        <v>14</v>
      </c>
      <c r="AK11" s="15" t="s">
        <v>118</v>
      </c>
      <c r="AL11" s="15" t="s">
        <v>118</v>
      </c>
      <c r="AM11" s="15" t="s">
        <v>118</v>
      </c>
      <c r="AN11" s="15" t="s">
        <v>118</v>
      </c>
      <c r="AO11" s="15" t="s">
        <v>118</v>
      </c>
      <c r="AP11" s="15" t="s">
        <v>118</v>
      </c>
      <c r="AQ11" s="15" t="s">
        <v>16</v>
      </c>
      <c r="AR11" s="15" t="s">
        <v>16</v>
      </c>
      <c r="AS11" s="15" t="s">
        <v>118</v>
      </c>
      <c r="AT11" s="15" t="s">
        <v>118</v>
      </c>
      <c r="AU11" s="15" t="s">
        <v>118</v>
      </c>
      <c r="AV11" s="15" t="s">
        <v>16</v>
      </c>
      <c r="AW11" s="15" t="s">
        <v>18</v>
      </c>
      <c r="AX11" s="15" t="s">
        <v>18</v>
      </c>
      <c r="AY11" s="15" t="s">
        <v>18</v>
      </c>
      <c r="AZ11" s="15" t="s">
        <v>132</v>
      </c>
      <c r="BA11" s="15" t="s">
        <v>16</v>
      </c>
      <c r="BB11" s="15" t="s">
        <v>16</v>
      </c>
      <c r="BC11" s="15" t="s">
        <v>16</v>
      </c>
      <c r="BD11" s="15" t="s">
        <v>16</v>
      </c>
      <c r="BE11" s="15" t="s">
        <v>18</v>
      </c>
      <c r="BF11" s="15" t="s">
        <v>18</v>
      </c>
      <c r="BG11" s="15" t="s">
        <v>18</v>
      </c>
      <c r="BH11" s="15" t="s">
        <v>18</v>
      </c>
      <c r="BI11" s="15" t="s">
        <v>16</v>
      </c>
      <c r="BJ11" s="15" t="s">
        <v>16</v>
      </c>
      <c r="BK11" s="15" t="s">
        <v>16</v>
      </c>
      <c r="BL11" s="15" t="s">
        <v>16</v>
      </c>
      <c r="BM11" s="15" t="s">
        <v>16</v>
      </c>
      <c r="BN11" s="15" t="s">
        <v>16</v>
      </c>
      <c r="BO11" s="15" t="s">
        <v>16</v>
      </c>
      <c r="BP11" s="15" t="s">
        <v>16</v>
      </c>
      <c r="BQ11" s="15" t="s">
        <v>16</v>
      </c>
      <c r="BR11" s="15" t="s">
        <v>16</v>
      </c>
      <c r="BS11" s="15" t="s">
        <v>16</v>
      </c>
      <c r="BT11" s="15" t="s">
        <v>16</v>
      </c>
      <c r="BU11" s="15" t="s">
        <v>14</v>
      </c>
      <c r="BV11" s="15" t="s">
        <v>14</v>
      </c>
      <c r="BW11" s="15" t="s">
        <v>14</v>
      </c>
      <c r="BX11" s="15" t="s">
        <v>14</v>
      </c>
      <c r="BY11" s="15" t="s">
        <v>16</v>
      </c>
      <c r="BZ11" s="15" t="s">
        <v>16</v>
      </c>
      <c r="CA11" s="15" t="s">
        <v>16</v>
      </c>
      <c r="CB11" s="15" t="s">
        <v>16</v>
      </c>
      <c r="CC11" s="15" t="s">
        <v>15</v>
      </c>
      <c r="CD11" s="15" t="s">
        <v>15</v>
      </c>
      <c r="CE11" s="15" t="s">
        <v>15</v>
      </c>
      <c r="CF11" s="15" t="s">
        <v>15</v>
      </c>
      <c r="CG11" s="15" t="s">
        <v>14</v>
      </c>
      <c r="CH11" s="15" t="s">
        <v>14</v>
      </c>
      <c r="CI11" s="15" t="s">
        <v>14</v>
      </c>
      <c r="CJ11" s="15" t="s">
        <v>14</v>
      </c>
      <c r="CK11" s="15" t="s">
        <v>14</v>
      </c>
      <c r="CL11" s="15" t="s">
        <v>14</v>
      </c>
      <c r="CM11" s="15" t="s">
        <v>14</v>
      </c>
      <c r="CN11" s="15" t="s">
        <v>14</v>
      </c>
      <c r="CO11" s="15" t="s">
        <v>14</v>
      </c>
      <c r="CP11" s="15" t="s">
        <v>14</v>
      </c>
      <c r="CQ11" s="15" t="s">
        <v>14</v>
      </c>
      <c r="CR11" s="15" t="s">
        <v>14</v>
      </c>
      <c r="CS11" s="15" t="s">
        <v>17</v>
      </c>
      <c r="CT11" s="15" t="s">
        <v>17</v>
      </c>
      <c r="CU11" s="15" t="s">
        <v>17</v>
      </c>
      <c r="CV11" s="15" t="s">
        <v>17</v>
      </c>
      <c r="CW11" s="15" t="s">
        <v>16</v>
      </c>
      <c r="CX11" s="15" t="s">
        <v>16</v>
      </c>
      <c r="CY11" s="15" t="s">
        <v>16</v>
      </c>
      <c r="CZ11" s="15" t="s">
        <v>16</v>
      </c>
      <c r="DA11" s="15" t="s">
        <v>15</v>
      </c>
      <c r="DB11" s="15" t="s">
        <v>15</v>
      </c>
      <c r="DC11" s="15" t="s">
        <v>15</v>
      </c>
      <c r="DD11" s="15" t="s">
        <v>15</v>
      </c>
      <c r="DE11" s="15" t="s">
        <v>15</v>
      </c>
    </row>
    <row r="12" spans="1:109" x14ac:dyDescent="0.3">
      <c r="A12" s="15" t="s">
        <v>16</v>
      </c>
      <c r="B12" s="15" t="s">
        <v>16</v>
      </c>
      <c r="C12" s="15" t="s">
        <v>16</v>
      </c>
      <c r="D12" s="15" t="s">
        <v>16</v>
      </c>
      <c r="E12" s="15" t="s">
        <v>131</v>
      </c>
      <c r="F12" s="15" t="s">
        <v>131</v>
      </c>
      <c r="G12" s="15" t="s">
        <v>131</v>
      </c>
      <c r="H12" s="15" t="s">
        <v>131</v>
      </c>
      <c r="I12" s="15" t="s">
        <v>131</v>
      </c>
      <c r="J12" s="15" t="s">
        <v>131</v>
      </c>
      <c r="K12" s="15" t="s">
        <v>131</v>
      </c>
      <c r="L12" s="15" t="s">
        <v>131</v>
      </c>
      <c r="M12" s="15" t="s">
        <v>16</v>
      </c>
      <c r="N12" s="15" t="s">
        <v>16</v>
      </c>
      <c r="O12" s="15" t="s">
        <v>16</v>
      </c>
      <c r="P12" s="15" t="s">
        <v>16</v>
      </c>
      <c r="Q12" s="15" t="s">
        <v>16</v>
      </c>
      <c r="R12" s="15" t="s">
        <v>16</v>
      </c>
      <c r="S12" s="15" t="s">
        <v>16</v>
      </c>
      <c r="T12" s="15" t="s">
        <v>16</v>
      </c>
      <c r="U12" s="15" t="s">
        <v>118</v>
      </c>
      <c r="V12" s="15" t="s">
        <v>129</v>
      </c>
      <c r="W12" s="15" t="s">
        <v>129</v>
      </c>
      <c r="X12" s="15" t="s">
        <v>129</v>
      </c>
      <c r="Y12" s="15" t="s">
        <v>129</v>
      </c>
      <c r="Z12" s="15" t="s">
        <v>129</v>
      </c>
      <c r="AA12" s="15" t="s">
        <v>129</v>
      </c>
      <c r="AB12" s="15" t="s">
        <v>129</v>
      </c>
      <c r="AC12" s="15" t="s">
        <v>14</v>
      </c>
      <c r="AD12" s="15" t="s">
        <v>14</v>
      </c>
      <c r="AE12" s="15" t="s">
        <v>14</v>
      </c>
      <c r="AF12" s="15" t="s">
        <v>14</v>
      </c>
      <c r="AG12" s="15" t="s">
        <v>14</v>
      </c>
      <c r="AH12" s="15" t="s">
        <v>14</v>
      </c>
      <c r="AI12" s="15" t="s">
        <v>118</v>
      </c>
      <c r="AJ12" s="15" t="s">
        <v>118</v>
      </c>
      <c r="AK12" s="15" t="s">
        <v>16</v>
      </c>
      <c r="AL12" s="15" t="s">
        <v>16</v>
      </c>
      <c r="AM12" s="15" t="s">
        <v>16</v>
      </c>
      <c r="AN12" s="15" t="s">
        <v>16</v>
      </c>
      <c r="AO12" s="15" t="s">
        <v>16</v>
      </c>
      <c r="AP12" s="15" t="s">
        <v>16</v>
      </c>
      <c r="AQ12" s="15" t="s">
        <v>18</v>
      </c>
      <c r="AR12" s="15" t="s">
        <v>18</v>
      </c>
      <c r="AS12" s="15" t="s">
        <v>16</v>
      </c>
      <c r="AT12" s="15" t="s">
        <v>16</v>
      </c>
      <c r="AU12" s="15" t="s">
        <v>16</v>
      </c>
      <c r="AV12" s="15" t="s">
        <v>18</v>
      </c>
      <c r="AW12" s="15" t="s">
        <v>132</v>
      </c>
      <c r="AX12" s="15" t="s">
        <v>132</v>
      </c>
      <c r="AY12" s="15" t="s">
        <v>132</v>
      </c>
      <c r="AZ12" s="15" t="s">
        <v>19</v>
      </c>
      <c r="BA12" s="15" t="s">
        <v>18</v>
      </c>
      <c r="BB12" s="15" t="s">
        <v>18</v>
      </c>
      <c r="BC12" s="15" t="s">
        <v>18</v>
      </c>
      <c r="BD12" s="15" t="s">
        <v>18</v>
      </c>
      <c r="BE12" s="15" t="s">
        <v>132</v>
      </c>
      <c r="BF12" s="15" t="s">
        <v>132</v>
      </c>
      <c r="BG12" s="15" t="s">
        <v>132</v>
      </c>
      <c r="BH12" s="15" t="s">
        <v>132</v>
      </c>
      <c r="BI12" s="15" t="s">
        <v>18</v>
      </c>
      <c r="BJ12" s="15" t="s">
        <v>18</v>
      </c>
      <c r="BK12" s="15" t="s">
        <v>18</v>
      </c>
      <c r="BL12" s="15" t="s">
        <v>18</v>
      </c>
      <c r="BM12" s="15" t="s">
        <v>18</v>
      </c>
      <c r="BN12" s="15" t="s">
        <v>18</v>
      </c>
      <c r="BO12" s="15" t="s">
        <v>18</v>
      </c>
      <c r="BP12" s="15" t="s">
        <v>18</v>
      </c>
      <c r="BQ12" s="15" t="s">
        <v>18</v>
      </c>
      <c r="BR12" s="15" t="s">
        <v>18</v>
      </c>
      <c r="BS12" s="15" t="s">
        <v>18</v>
      </c>
      <c r="BT12" s="15" t="s">
        <v>18</v>
      </c>
      <c r="BU12" s="15" t="s">
        <v>16</v>
      </c>
      <c r="BV12" s="15" t="s">
        <v>16</v>
      </c>
      <c r="BW12" s="15" t="s">
        <v>16</v>
      </c>
      <c r="BX12" s="15" t="s">
        <v>16</v>
      </c>
      <c r="BY12" s="15" t="s">
        <v>18</v>
      </c>
      <c r="BZ12" s="15" t="s">
        <v>18</v>
      </c>
      <c r="CA12" s="15" t="s">
        <v>18</v>
      </c>
      <c r="CB12" s="15" t="s">
        <v>18</v>
      </c>
      <c r="CC12" s="15" t="s">
        <v>16</v>
      </c>
      <c r="CD12" s="15" t="s">
        <v>16</v>
      </c>
      <c r="CE12" s="15" t="s">
        <v>16</v>
      </c>
      <c r="CF12" s="15" t="s">
        <v>16</v>
      </c>
      <c r="CG12" s="15" t="s">
        <v>16</v>
      </c>
      <c r="CH12" s="15" t="s">
        <v>16</v>
      </c>
      <c r="CI12" s="15" t="s">
        <v>16</v>
      </c>
      <c r="CJ12" s="15" t="s">
        <v>16</v>
      </c>
      <c r="CK12" s="15" t="s">
        <v>16</v>
      </c>
      <c r="CL12" s="15" t="s">
        <v>16</v>
      </c>
      <c r="CM12" s="15" t="s">
        <v>16</v>
      </c>
      <c r="CN12" s="15" t="s">
        <v>16</v>
      </c>
      <c r="CO12" s="15" t="s">
        <v>16</v>
      </c>
      <c r="CP12" s="15" t="s">
        <v>16</v>
      </c>
      <c r="CQ12" s="15" t="s">
        <v>16</v>
      </c>
      <c r="CR12" s="15" t="s">
        <v>16</v>
      </c>
      <c r="CS12" s="15" t="s">
        <v>18</v>
      </c>
      <c r="CT12" s="15" t="s">
        <v>18</v>
      </c>
      <c r="CU12" s="15" t="s">
        <v>18</v>
      </c>
      <c r="CV12" s="15" t="s">
        <v>18</v>
      </c>
      <c r="CW12" s="15" t="s">
        <v>17</v>
      </c>
      <c r="CX12" s="15" t="s">
        <v>17</v>
      </c>
      <c r="CY12" s="15" t="s">
        <v>17</v>
      </c>
      <c r="CZ12" s="15" t="s">
        <v>17</v>
      </c>
      <c r="DA12" s="15" t="s">
        <v>16</v>
      </c>
      <c r="DB12" s="15" t="s">
        <v>16</v>
      </c>
      <c r="DC12" s="15" t="s">
        <v>16</v>
      </c>
      <c r="DD12" s="15" t="s">
        <v>16</v>
      </c>
      <c r="DE12" s="15" t="s">
        <v>16</v>
      </c>
    </row>
    <row r="13" spans="1:109" x14ac:dyDescent="0.3">
      <c r="A13" s="15" t="s">
        <v>18</v>
      </c>
      <c r="B13" s="15" t="s">
        <v>18</v>
      </c>
      <c r="C13" s="15" t="s">
        <v>18</v>
      </c>
      <c r="D13" s="15" t="s">
        <v>18</v>
      </c>
      <c r="E13" s="15" t="s">
        <v>16</v>
      </c>
      <c r="F13" s="15" t="s">
        <v>16</v>
      </c>
      <c r="G13" s="15" t="s">
        <v>16</v>
      </c>
      <c r="H13" s="15" t="s">
        <v>16</v>
      </c>
      <c r="I13" s="15" t="s">
        <v>16</v>
      </c>
      <c r="J13" s="15" t="s">
        <v>16</v>
      </c>
      <c r="K13" s="15" t="s">
        <v>16</v>
      </c>
      <c r="L13" s="15" t="s">
        <v>16</v>
      </c>
      <c r="M13" s="15" t="s">
        <v>18</v>
      </c>
      <c r="N13" s="15" t="s">
        <v>18</v>
      </c>
      <c r="O13" s="15" t="s">
        <v>18</v>
      </c>
      <c r="P13" s="15" t="s">
        <v>18</v>
      </c>
      <c r="Q13" s="15" t="s">
        <v>18</v>
      </c>
      <c r="R13" s="15" t="s">
        <v>18</v>
      </c>
      <c r="S13" s="15" t="s">
        <v>18</v>
      </c>
      <c r="T13" s="15" t="s">
        <v>18</v>
      </c>
      <c r="U13" s="15" t="s">
        <v>16</v>
      </c>
      <c r="V13" s="15" t="s">
        <v>118</v>
      </c>
      <c r="W13" s="15" t="s">
        <v>118</v>
      </c>
      <c r="X13" s="15" t="s">
        <v>118</v>
      </c>
      <c r="Y13" s="15" t="s">
        <v>118</v>
      </c>
      <c r="Z13" s="15" t="s">
        <v>118</v>
      </c>
      <c r="AA13" s="15" t="s">
        <v>118</v>
      </c>
      <c r="AB13" s="15" t="s">
        <v>118</v>
      </c>
      <c r="AC13" s="15" t="s">
        <v>118</v>
      </c>
      <c r="AD13" s="15" t="s">
        <v>118</v>
      </c>
      <c r="AE13" s="15" t="s">
        <v>118</v>
      </c>
      <c r="AF13" s="15" t="s">
        <v>118</v>
      </c>
      <c r="AG13" s="15" t="s">
        <v>118</v>
      </c>
      <c r="AH13" s="15" t="s">
        <v>118</v>
      </c>
      <c r="AI13" s="15" t="s">
        <v>16</v>
      </c>
      <c r="AJ13" s="15" t="s">
        <v>16</v>
      </c>
      <c r="AK13" s="15" t="s">
        <v>18</v>
      </c>
      <c r="AL13" s="15" t="s">
        <v>18</v>
      </c>
      <c r="AM13" s="15" t="s">
        <v>18</v>
      </c>
      <c r="AN13" s="15" t="s">
        <v>18</v>
      </c>
      <c r="AO13" s="15" t="s">
        <v>18</v>
      </c>
      <c r="AP13" s="15" t="s">
        <v>18</v>
      </c>
      <c r="AQ13" s="15" t="s">
        <v>132</v>
      </c>
      <c r="AR13" s="15" t="s">
        <v>132</v>
      </c>
      <c r="AS13" s="15" t="s">
        <v>18</v>
      </c>
      <c r="AT13" s="15" t="s">
        <v>18</v>
      </c>
      <c r="AU13" s="15" t="s">
        <v>18</v>
      </c>
      <c r="AV13" s="15" t="s">
        <v>132</v>
      </c>
      <c r="AW13" s="15" t="s">
        <v>19</v>
      </c>
      <c r="AX13" s="15" t="s">
        <v>19</v>
      </c>
      <c r="AY13" s="15" t="s">
        <v>19</v>
      </c>
      <c r="AZ13" s="15" t="s">
        <v>121</v>
      </c>
      <c r="BA13" s="15" t="s">
        <v>132</v>
      </c>
      <c r="BB13" s="15" t="s">
        <v>132</v>
      </c>
      <c r="BC13" s="15" t="s">
        <v>132</v>
      </c>
      <c r="BD13" s="15" t="s">
        <v>132</v>
      </c>
      <c r="BE13" s="15" t="s">
        <v>19</v>
      </c>
      <c r="BF13" s="15" t="s">
        <v>19</v>
      </c>
      <c r="BG13" s="15" t="s">
        <v>19</v>
      </c>
      <c r="BH13" s="15" t="s">
        <v>19</v>
      </c>
      <c r="BI13" s="15" t="s">
        <v>132</v>
      </c>
      <c r="BJ13" s="15" t="s">
        <v>132</v>
      </c>
      <c r="BK13" s="15" t="s">
        <v>132</v>
      </c>
      <c r="BL13" s="15" t="s">
        <v>132</v>
      </c>
      <c r="BM13" s="15" t="s">
        <v>132</v>
      </c>
      <c r="BN13" s="15" t="s">
        <v>132</v>
      </c>
      <c r="BO13" s="15" t="s">
        <v>132</v>
      </c>
      <c r="BP13" s="15" t="s">
        <v>132</v>
      </c>
      <c r="BQ13" s="15" t="s">
        <v>132</v>
      </c>
      <c r="BR13" s="15" t="s">
        <v>132</v>
      </c>
      <c r="BS13" s="15" t="s">
        <v>132</v>
      </c>
      <c r="BT13" s="15" t="s">
        <v>132</v>
      </c>
      <c r="BU13" s="15" t="s">
        <v>18</v>
      </c>
      <c r="BV13" s="15" t="s">
        <v>18</v>
      </c>
      <c r="BW13" s="15" t="s">
        <v>18</v>
      </c>
      <c r="BX13" s="15" t="s">
        <v>18</v>
      </c>
      <c r="BY13" s="15" t="s">
        <v>132</v>
      </c>
      <c r="BZ13" s="15" t="s">
        <v>132</v>
      </c>
      <c r="CA13" s="15" t="s">
        <v>132</v>
      </c>
      <c r="CB13" s="15" t="s">
        <v>132</v>
      </c>
      <c r="CC13" s="15" t="s">
        <v>18</v>
      </c>
      <c r="CD13" s="15" t="s">
        <v>18</v>
      </c>
      <c r="CE13" s="15" t="s">
        <v>18</v>
      </c>
      <c r="CF13" s="15" t="s">
        <v>18</v>
      </c>
      <c r="CG13" s="15" t="s">
        <v>18</v>
      </c>
      <c r="CH13" s="15" t="s">
        <v>18</v>
      </c>
      <c r="CI13" s="15" t="s">
        <v>18</v>
      </c>
      <c r="CJ13" s="15" t="s">
        <v>18</v>
      </c>
      <c r="CK13" s="15" t="s">
        <v>17</v>
      </c>
      <c r="CL13" s="15" t="s">
        <v>17</v>
      </c>
      <c r="CM13" s="15" t="s">
        <v>17</v>
      </c>
      <c r="CN13" s="15" t="s">
        <v>17</v>
      </c>
      <c r="CO13" s="15" t="s">
        <v>17</v>
      </c>
      <c r="CP13" s="15" t="s">
        <v>17</v>
      </c>
      <c r="CQ13" s="15" t="s">
        <v>17</v>
      </c>
      <c r="CR13" s="15" t="s">
        <v>17</v>
      </c>
      <c r="CS13" s="15" t="s">
        <v>132</v>
      </c>
      <c r="CT13" s="15" t="s">
        <v>132</v>
      </c>
      <c r="CU13" s="15" t="s">
        <v>132</v>
      </c>
      <c r="CV13" s="15" t="s">
        <v>132</v>
      </c>
      <c r="CW13" s="15" t="s">
        <v>18</v>
      </c>
      <c r="CX13" s="15" t="s">
        <v>18</v>
      </c>
      <c r="CY13" s="15" t="s">
        <v>18</v>
      </c>
      <c r="CZ13" s="15" t="s">
        <v>18</v>
      </c>
      <c r="DA13" s="15" t="s">
        <v>17</v>
      </c>
      <c r="DB13" s="15" t="s">
        <v>17</v>
      </c>
      <c r="DC13" s="15" t="s">
        <v>17</v>
      </c>
      <c r="DD13" s="15" t="s">
        <v>17</v>
      </c>
      <c r="DE13" s="15" t="s">
        <v>17</v>
      </c>
    </row>
    <row r="14" spans="1:109" x14ac:dyDescent="0.3">
      <c r="A14" s="15" t="s">
        <v>132</v>
      </c>
      <c r="B14" s="15" t="s">
        <v>132</v>
      </c>
      <c r="C14" s="15" t="s">
        <v>132</v>
      </c>
      <c r="D14" s="15" t="s">
        <v>132</v>
      </c>
      <c r="E14" s="15" t="s">
        <v>18</v>
      </c>
      <c r="F14" s="15" t="s">
        <v>18</v>
      </c>
      <c r="G14" s="15" t="s">
        <v>18</v>
      </c>
      <c r="H14" s="15" t="s">
        <v>18</v>
      </c>
      <c r="I14" s="15" t="s">
        <v>18</v>
      </c>
      <c r="J14" s="15" t="s">
        <v>18</v>
      </c>
      <c r="K14" s="15" t="s">
        <v>18</v>
      </c>
      <c r="L14" s="15" t="s">
        <v>18</v>
      </c>
      <c r="M14" s="15" t="s">
        <v>132</v>
      </c>
      <c r="N14" s="15" t="s">
        <v>132</v>
      </c>
      <c r="O14" s="15" t="s">
        <v>132</v>
      </c>
      <c r="P14" s="15" t="s">
        <v>132</v>
      </c>
      <c r="Q14" s="15" t="s">
        <v>132</v>
      </c>
      <c r="R14" s="15" t="s">
        <v>132</v>
      </c>
      <c r="S14" s="15" t="s">
        <v>132</v>
      </c>
      <c r="T14" s="15" t="s">
        <v>132</v>
      </c>
      <c r="U14" s="15" t="s">
        <v>18</v>
      </c>
      <c r="V14" s="15" t="s">
        <v>16</v>
      </c>
      <c r="W14" s="15" t="s">
        <v>16</v>
      </c>
      <c r="X14" s="15" t="s">
        <v>16</v>
      </c>
      <c r="Y14" s="15" t="s">
        <v>16</v>
      </c>
      <c r="Z14" s="15" t="s">
        <v>16</v>
      </c>
      <c r="AA14" s="15" t="s">
        <v>16</v>
      </c>
      <c r="AB14" s="15" t="s">
        <v>16</v>
      </c>
      <c r="AC14" s="15" t="s">
        <v>16</v>
      </c>
      <c r="AD14" s="15" t="s">
        <v>16</v>
      </c>
      <c r="AE14" s="15" t="s">
        <v>16</v>
      </c>
      <c r="AF14" s="15" t="s">
        <v>16</v>
      </c>
      <c r="AG14" s="15" t="s">
        <v>16</v>
      </c>
      <c r="AH14" s="15" t="s">
        <v>16</v>
      </c>
      <c r="AI14" s="15" t="s">
        <v>18</v>
      </c>
      <c r="AJ14" s="15" t="s">
        <v>18</v>
      </c>
      <c r="AK14" s="15" t="s">
        <v>132</v>
      </c>
      <c r="AL14" s="15" t="s">
        <v>132</v>
      </c>
      <c r="AM14" s="15" t="s">
        <v>132</v>
      </c>
      <c r="AN14" s="15" t="s">
        <v>132</v>
      </c>
      <c r="AO14" s="15" t="s">
        <v>132</v>
      </c>
      <c r="AP14" s="15" t="s">
        <v>132</v>
      </c>
      <c r="AQ14" s="15" t="s">
        <v>19</v>
      </c>
      <c r="AR14" s="15" t="s">
        <v>19</v>
      </c>
      <c r="AS14" s="15" t="s">
        <v>132</v>
      </c>
      <c r="AT14" s="15" t="s">
        <v>132</v>
      </c>
      <c r="AU14" s="15" t="s">
        <v>132</v>
      </c>
      <c r="AV14" s="15" t="s">
        <v>19</v>
      </c>
      <c r="AW14" s="15" t="s">
        <v>121</v>
      </c>
      <c r="AX14" s="15" t="s">
        <v>121</v>
      </c>
      <c r="AY14" s="15" t="s">
        <v>121</v>
      </c>
      <c r="AZ14" s="15" t="s">
        <v>133</v>
      </c>
      <c r="BA14" s="15" t="s">
        <v>19</v>
      </c>
      <c r="BB14" s="15" t="s">
        <v>19</v>
      </c>
      <c r="BC14" s="15" t="s">
        <v>19</v>
      </c>
      <c r="BD14" s="15" t="s">
        <v>19</v>
      </c>
      <c r="BE14" s="15" t="s">
        <v>121</v>
      </c>
      <c r="BF14" s="15" t="s">
        <v>121</v>
      </c>
      <c r="BG14" s="15" t="s">
        <v>121</v>
      </c>
      <c r="BH14" s="15" t="s">
        <v>121</v>
      </c>
      <c r="BI14" s="15" t="s">
        <v>19</v>
      </c>
      <c r="BJ14" s="15" t="s">
        <v>19</v>
      </c>
      <c r="BK14" s="15" t="s">
        <v>19</v>
      </c>
      <c r="BL14" s="15" t="s">
        <v>19</v>
      </c>
      <c r="BM14" s="15" t="s">
        <v>19</v>
      </c>
      <c r="BN14" s="15" t="s">
        <v>19</v>
      </c>
      <c r="BO14" s="15" t="s">
        <v>19</v>
      </c>
      <c r="BP14" s="15" t="s">
        <v>19</v>
      </c>
      <c r="BQ14" s="15" t="s">
        <v>19</v>
      </c>
      <c r="BR14" s="15" t="s">
        <v>19</v>
      </c>
      <c r="BS14" s="15" t="s">
        <v>19</v>
      </c>
      <c r="BT14" s="15" t="s">
        <v>19</v>
      </c>
      <c r="BU14" s="15" t="s">
        <v>132</v>
      </c>
      <c r="BV14" s="15" t="s">
        <v>132</v>
      </c>
      <c r="BW14" s="15" t="s">
        <v>132</v>
      </c>
      <c r="BX14" s="15" t="s">
        <v>132</v>
      </c>
      <c r="BY14" s="15" t="s">
        <v>19</v>
      </c>
      <c r="BZ14" s="15" t="s">
        <v>19</v>
      </c>
      <c r="CA14" s="15" t="s">
        <v>19</v>
      </c>
      <c r="CB14" s="15" t="s">
        <v>19</v>
      </c>
      <c r="CC14" s="15" t="s">
        <v>132</v>
      </c>
      <c r="CD14" s="15" t="s">
        <v>132</v>
      </c>
      <c r="CE14" s="15" t="s">
        <v>132</v>
      </c>
      <c r="CF14" s="15" t="s">
        <v>132</v>
      </c>
      <c r="CG14" s="15" t="s">
        <v>132</v>
      </c>
      <c r="CH14" s="15" t="s">
        <v>132</v>
      </c>
      <c r="CI14" s="15" t="s">
        <v>132</v>
      </c>
      <c r="CJ14" s="15" t="s">
        <v>132</v>
      </c>
      <c r="CK14" s="15" t="s">
        <v>18</v>
      </c>
      <c r="CL14" s="15" t="s">
        <v>18</v>
      </c>
      <c r="CM14" s="15" t="s">
        <v>18</v>
      </c>
      <c r="CN14" s="15" t="s">
        <v>18</v>
      </c>
      <c r="CO14" s="15" t="s">
        <v>18</v>
      </c>
      <c r="CP14" s="15" t="s">
        <v>18</v>
      </c>
      <c r="CQ14" s="15" t="s">
        <v>18</v>
      </c>
      <c r="CR14" s="15" t="s">
        <v>18</v>
      </c>
      <c r="CS14" s="15" t="s">
        <v>19</v>
      </c>
      <c r="CT14" s="15" t="s">
        <v>19</v>
      </c>
      <c r="CU14" s="15" t="s">
        <v>19</v>
      </c>
      <c r="CV14" s="15" t="s">
        <v>19</v>
      </c>
      <c r="CW14" s="15" t="s">
        <v>132</v>
      </c>
      <c r="CX14" s="15" t="s">
        <v>132</v>
      </c>
      <c r="CY14" s="15" t="s">
        <v>132</v>
      </c>
      <c r="CZ14" s="15" t="s">
        <v>132</v>
      </c>
      <c r="DA14" s="15" t="s">
        <v>18</v>
      </c>
      <c r="DB14" s="15" t="s">
        <v>18</v>
      </c>
      <c r="DC14" s="15" t="s">
        <v>18</v>
      </c>
      <c r="DD14" s="15" t="s">
        <v>18</v>
      </c>
      <c r="DE14" s="15" t="s">
        <v>18</v>
      </c>
    </row>
    <row r="15" spans="1:109" x14ac:dyDescent="0.3">
      <c r="A15" s="15" t="s">
        <v>19</v>
      </c>
      <c r="B15" s="15" t="s">
        <v>19</v>
      </c>
      <c r="C15" s="15" t="s">
        <v>19</v>
      </c>
      <c r="D15" s="15" t="s">
        <v>19</v>
      </c>
      <c r="E15" s="15" t="s">
        <v>132</v>
      </c>
      <c r="F15" s="15" t="s">
        <v>132</v>
      </c>
      <c r="G15" s="15" t="s">
        <v>132</v>
      </c>
      <c r="H15" s="15" t="s">
        <v>132</v>
      </c>
      <c r="I15" s="15" t="s">
        <v>132</v>
      </c>
      <c r="J15" s="15" t="s">
        <v>132</v>
      </c>
      <c r="K15" s="15" t="s">
        <v>132</v>
      </c>
      <c r="L15" s="15" t="s">
        <v>132</v>
      </c>
      <c r="M15" s="15" t="s">
        <v>19</v>
      </c>
      <c r="N15" s="15" t="s">
        <v>19</v>
      </c>
      <c r="O15" s="15" t="s">
        <v>19</v>
      </c>
      <c r="P15" s="15" t="s">
        <v>19</v>
      </c>
      <c r="Q15" s="15" t="s">
        <v>19</v>
      </c>
      <c r="R15" s="15" t="s">
        <v>19</v>
      </c>
      <c r="S15" s="15" t="s">
        <v>19</v>
      </c>
      <c r="T15" s="15" t="s">
        <v>19</v>
      </c>
      <c r="U15" s="15" t="s">
        <v>132</v>
      </c>
      <c r="V15" s="15" t="s">
        <v>18</v>
      </c>
      <c r="W15" s="15" t="s">
        <v>18</v>
      </c>
      <c r="X15" s="15" t="s">
        <v>18</v>
      </c>
      <c r="Y15" s="15" t="s">
        <v>18</v>
      </c>
      <c r="Z15" s="15" t="s">
        <v>18</v>
      </c>
      <c r="AA15" s="15" t="s">
        <v>18</v>
      </c>
      <c r="AB15" s="15" t="s">
        <v>18</v>
      </c>
      <c r="AC15" s="15" t="s">
        <v>18</v>
      </c>
      <c r="AD15" s="15" t="s">
        <v>18</v>
      </c>
      <c r="AE15" s="15" t="s">
        <v>18</v>
      </c>
      <c r="AF15" s="15" t="s">
        <v>18</v>
      </c>
      <c r="AG15" s="15" t="s">
        <v>18</v>
      </c>
      <c r="AH15" s="15" t="s">
        <v>18</v>
      </c>
      <c r="AI15" s="15" t="s">
        <v>132</v>
      </c>
      <c r="AJ15" s="15" t="s">
        <v>132</v>
      </c>
      <c r="AK15" s="15" t="s">
        <v>19</v>
      </c>
      <c r="AL15" s="15" t="s">
        <v>19</v>
      </c>
      <c r="AM15" s="15" t="s">
        <v>19</v>
      </c>
      <c r="AN15" s="15" t="s">
        <v>19</v>
      </c>
      <c r="AO15" s="15" t="s">
        <v>19</v>
      </c>
      <c r="AP15" s="15" t="s">
        <v>19</v>
      </c>
      <c r="AQ15" s="15" t="s">
        <v>121</v>
      </c>
      <c r="AR15" s="15" t="s">
        <v>121</v>
      </c>
      <c r="AS15" s="15" t="s">
        <v>19</v>
      </c>
      <c r="AT15" s="15" t="s">
        <v>19</v>
      </c>
      <c r="AU15" s="15" t="s">
        <v>19</v>
      </c>
      <c r="AV15" s="15" t="s">
        <v>121</v>
      </c>
      <c r="AW15" s="15" t="s">
        <v>133</v>
      </c>
      <c r="AX15" s="15" t="s">
        <v>133</v>
      </c>
      <c r="AY15" s="15" t="s">
        <v>133</v>
      </c>
      <c r="AZ15" s="15" t="s">
        <v>20</v>
      </c>
      <c r="BA15" s="15" t="s">
        <v>121</v>
      </c>
      <c r="BB15" s="15" t="s">
        <v>121</v>
      </c>
      <c r="BC15" s="15" t="s">
        <v>121</v>
      </c>
      <c r="BD15" s="15" t="s">
        <v>121</v>
      </c>
      <c r="BE15" s="15" t="s">
        <v>133</v>
      </c>
      <c r="BF15" s="15" t="s">
        <v>133</v>
      </c>
      <c r="BG15" s="15" t="s">
        <v>133</v>
      </c>
      <c r="BH15" s="15" t="s">
        <v>133</v>
      </c>
      <c r="BI15" s="15" t="s">
        <v>121</v>
      </c>
      <c r="BJ15" s="15" t="s">
        <v>121</v>
      </c>
      <c r="BK15" s="15" t="s">
        <v>121</v>
      </c>
      <c r="BL15" s="15" t="s">
        <v>121</v>
      </c>
      <c r="BM15" s="15" t="s">
        <v>121</v>
      </c>
      <c r="BN15" s="15" t="s">
        <v>121</v>
      </c>
      <c r="BO15" s="15" t="s">
        <v>121</v>
      </c>
      <c r="BP15" s="15" t="s">
        <v>121</v>
      </c>
      <c r="BQ15" s="15" t="s">
        <v>121</v>
      </c>
      <c r="BR15" s="15" t="s">
        <v>121</v>
      </c>
      <c r="BS15" s="15" t="s">
        <v>121</v>
      </c>
      <c r="BT15" s="15" t="s">
        <v>121</v>
      </c>
      <c r="BU15" s="15" t="s">
        <v>19</v>
      </c>
      <c r="BV15" s="15" t="s">
        <v>19</v>
      </c>
      <c r="BW15" s="15" t="s">
        <v>19</v>
      </c>
      <c r="BX15" s="15" t="s">
        <v>19</v>
      </c>
      <c r="BY15" s="15" t="s">
        <v>121</v>
      </c>
      <c r="BZ15" s="15" t="s">
        <v>121</v>
      </c>
      <c r="CA15" s="15" t="s">
        <v>121</v>
      </c>
      <c r="CB15" s="15" t="s">
        <v>121</v>
      </c>
      <c r="CC15" s="15" t="s">
        <v>19</v>
      </c>
      <c r="CD15" s="15" t="s">
        <v>19</v>
      </c>
      <c r="CE15" s="15" t="s">
        <v>19</v>
      </c>
      <c r="CF15" s="15" t="s">
        <v>19</v>
      </c>
      <c r="CG15" s="15" t="s">
        <v>19</v>
      </c>
      <c r="CH15" s="15" t="s">
        <v>19</v>
      </c>
      <c r="CI15" s="15" t="s">
        <v>19</v>
      </c>
      <c r="CJ15" s="15" t="s">
        <v>19</v>
      </c>
      <c r="CK15" s="15" t="s">
        <v>132</v>
      </c>
      <c r="CL15" s="15" t="s">
        <v>132</v>
      </c>
      <c r="CM15" s="15" t="s">
        <v>132</v>
      </c>
      <c r="CN15" s="15" t="s">
        <v>132</v>
      </c>
      <c r="CO15" s="15" t="s">
        <v>132</v>
      </c>
      <c r="CP15" s="15" t="s">
        <v>132</v>
      </c>
      <c r="CQ15" s="15" t="s">
        <v>132</v>
      </c>
      <c r="CR15" s="15" t="s">
        <v>132</v>
      </c>
      <c r="CS15" s="15" t="s">
        <v>133</v>
      </c>
      <c r="CT15" s="15" t="s">
        <v>133</v>
      </c>
      <c r="CU15" s="15" t="s">
        <v>133</v>
      </c>
      <c r="CV15" s="15" t="s">
        <v>133</v>
      </c>
      <c r="CW15" s="15" t="s">
        <v>19</v>
      </c>
      <c r="CX15" s="15" t="s">
        <v>19</v>
      </c>
      <c r="CY15" s="15" t="s">
        <v>19</v>
      </c>
      <c r="CZ15" s="15" t="s">
        <v>19</v>
      </c>
      <c r="DA15" s="15" t="s">
        <v>132</v>
      </c>
      <c r="DB15" s="15" t="s">
        <v>132</v>
      </c>
      <c r="DC15" s="15" t="s">
        <v>132</v>
      </c>
      <c r="DD15" s="15" t="s">
        <v>132</v>
      </c>
      <c r="DE15" s="15" t="s">
        <v>132</v>
      </c>
    </row>
    <row r="16" spans="1:109" x14ac:dyDescent="0.3">
      <c r="A16" s="15" t="s">
        <v>133</v>
      </c>
      <c r="B16" s="15" t="s">
        <v>133</v>
      </c>
      <c r="C16" s="15" t="s">
        <v>133</v>
      </c>
      <c r="D16" s="15" t="s">
        <v>133</v>
      </c>
      <c r="E16" s="15" t="s">
        <v>19</v>
      </c>
      <c r="F16" s="15" t="s">
        <v>19</v>
      </c>
      <c r="G16" s="15" t="s">
        <v>19</v>
      </c>
      <c r="H16" s="15" t="s">
        <v>19</v>
      </c>
      <c r="I16" s="15" t="s">
        <v>19</v>
      </c>
      <c r="J16" s="15" t="s">
        <v>19</v>
      </c>
      <c r="K16" s="15" t="s">
        <v>19</v>
      </c>
      <c r="L16" s="15" t="s">
        <v>19</v>
      </c>
      <c r="M16" s="15" t="s">
        <v>121</v>
      </c>
      <c r="N16" s="15" t="s">
        <v>121</v>
      </c>
      <c r="O16" s="15" t="s">
        <v>121</v>
      </c>
      <c r="P16" s="15" t="s">
        <v>121</v>
      </c>
      <c r="Q16" s="15" t="s">
        <v>121</v>
      </c>
      <c r="R16" s="15" t="s">
        <v>121</v>
      </c>
      <c r="S16" s="15" t="s">
        <v>121</v>
      </c>
      <c r="T16" s="15" t="s">
        <v>121</v>
      </c>
      <c r="U16" s="15" t="s">
        <v>19</v>
      </c>
      <c r="V16" s="15" t="s">
        <v>132</v>
      </c>
      <c r="W16" s="15" t="s">
        <v>132</v>
      </c>
      <c r="X16" s="15" t="s">
        <v>132</v>
      </c>
      <c r="Y16" s="15" t="s">
        <v>132</v>
      </c>
      <c r="Z16" s="15" t="s">
        <v>132</v>
      </c>
      <c r="AA16" s="15" t="s">
        <v>132</v>
      </c>
      <c r="AB16" s="15" t="s">
        <v>132</v>
      </c>
      <c r="AC16" s="15" t="s">
        <v>132</v>
      </c>
      <c r="AD16" s="15" t="s">
        <v>132</v>
      </c>
      <c r="AE16" s="15" t="s">
        <v>132</v>
      </c>
      <c r="AF16" s="15" t="s">
        <v>132</v>
      </c>
      <c r="AG16" s="15" t="s">
        <v>132</v>
      </c>
      <c r="AH16" s="15" t="s">
        <v>132</v>
      </c>
      <c r="AI16" s="15" t="s">
        <v>19</v>
      </c>
      <c r="AJ16" s="15" t="s">
        <v>19</v>
      </c>
      <c r="AK16" s="15" t="s">
        <v>121</v>
      </c>
      <c r="AL16" s="15" t="s">
        <v>121</v>
      </c>
      <c r="AM16" s="15" t="s">
        <v>121</v>
      </c>
      <c r="AN16" s="15" t="s">
        <v>121</v>
      </c>
      <c r="AO16" s="15" t="s">
        <v>121</v>
      </c>
      <c r="AP16" s="15" t="s">
        <v>121</v>
      </c>
      <c r="AQ16" s="15" t="s">
        <v>133</v>
      </c>
      <c r="AR16" s="15" t="s">
        <v>133</v>
      </c>
      <c r="AS16" s="15" t="s">
        <v>121</v>
      </c>
      <c r="AT16" s="15" t="s">
        <v>121</v>
      </c>
      <c r="AU16" s="15" t="s">
        <v>121</v>
      </c>
      <c r="AV16" s="15" t="s">
        <v>133</v>
      </c>
      <c r="AW16" s="15" t="s">
        <v>20</v>
      </c>
      <c r="AX16" s="15" t="s">
        <v>20</v>
      </c>
      <c r="AY16" s="15" t="s">
        <v>20</v>
      </c>
      <c r="AZ16" s="15" t="s">
        <v>95</v>
      </c>
      <c r="BA16" s="15" t="s">
        <v>133</v>
      </c>
      <c r="BB16" s="15" t="s">
        <v>133</v>
      </c>
      <c r="BC16" s="15" t="s">
        <v>133</v>
      </c>
      <c r="BD16" s="15" t="s">
        <v>133</v>
      </c>
      <c r="BE16" s="15" t="s">
        <v>20</v>
      </c>
      <c r="BF16" s="15" t="s">
        <v>20</v>
      </c>
      <c r="BG16" s="15" t="s">
        <v>20</v>
      </c>
      <c r="BH16" s="15" t="s">
        <v>20</v>
      </c>
      <c r="BI16" s="15" t="s">
        <v>133</v>
      </c>
      <c r="BJ16" s="15" t="s">
        <v>133</v>
      </c>
      <c r="BK16" s="15" t="s">
        <v>133</v>
      </c>
      <c r="BL16" s="15" t="s">
        <v>133</v>
      </c>
      <c r="BM16" s="15" t="s">
        <v>133</v>
      </c>
      <c r="BN16" s="15" t="s">
        <v>133</v>
      </c>
      <c r="BO16" s="15" t="s">
        <v>133</v>
      </c>
      <c r="BP16" s="15" t="s">
        <v>133</v>
      </c>
      <c r="BQ16" s="15" t="s">
        <v>133</v>
      </c>
      <c r="BR16" s="15" t="s">
        <v>133</v>
      </c>
      <c r="BS16" s="15" t="s">
        <v>133</v>
      </c>
      <c r="BT16" s="15" t="s">
        <v>133</v>
      </c>
      <c r="BU16" s="15" t="s">
        <v>121</v>
      </c>
      <c r="BV16" s="15" t="s">
        <v>121</v>
      </c>
      <c r="BW16" s="15" t="s">
        <v>121</v>
      </c>
      <c r="BX16" s="15" t="s">
        <v>121</v>
      </c>
      <c r="BY16" s="15" t="s">
        <v>133</v>
      </c>
      <c r="BZ16" s="15" t="s">
        <v>133</v>
      </c>
      <c r="CA16" s="15" t="s">
        <v>133</v>
      </c>
      <c r="CB16" s="15" t="s">
        <v>133</v>
      </c>
      <c r="CC16" s="15" t="s">
        <v>121</v>
      </c>
      <c r="CD16" s="15" t="s">
        <v>121</v>
      </c>
      <c r="CE16" s="15" t="s">
        <v>121</v>
      </c>
      <c r="CF16" s="15" t="s">
        <v>121</v>
      </c>
      <c r="CG16" s="15" t="s">
        <v>133</v>
      </c>
      <c r="CH16" s="15" t="s">
        <v>133</v>
      </c>
      <c r="CI16" s="15" t="s">
        <v>133</v>
      </c>
      <c r="CJ16" s="15" t="s">
        <v>133</v>
      </c>
      <c r="CK16" s="15" t="s">
        <v>19</v>
      </c>
      <c r="CL16" s="15" t="s">
        <v>19</v>
      </c>
      <c r="CM16" s="15" t="s">
        <v>19</v>
      </c>
      <c r="CN16" s="15" t="s">
        <v>19</v>
      </c>
      <c r="CO16" s="15" t="s">
        <v>19</v>
      </c>
      <c r="CP16" s="15" t="s">
        <v>19</v>
      </c>
      <c r="CQ16" s="15" t="s">
        <v>19</v>
      </c>
      <c r="CR16" s="15" t="s">
        <v>19</v>
      </c>
      <c r="CS16" s="15" t="s">
        <v>20</v>
      </c>
      <c r="CT16" s="15" t="s">
        <v>20</v>
      </c>
      <c r="CU16" s="15" t="s">
        <v>20</v>
      </c>
      <c r="CV16" s="15" t="s">
        <v>20</v>
      </c>
      <c r="CW16" s="15" t="s">
        <v>133</v>
      </c>
      <c r="CX16" s="15" t="s">
        <v>133</v>
      </c>
      <c r="CY16" s="15" t="s">
        <v>133</v>
      </c>
      <c r="CZ16" s="15" t="s">
        <v>133</v>
      </c>
      <c r="DA16" s="15" t="s">
        <v>19</v>
      </c>
      <c r="DB16" s="15" t="s">
        <v>19</v>
      </c>
      <c r="DC16" s="15" t="s">
        <v>19</v>
      </c>
      <c r="DD16" s="15" t="s">
        <v>19</v>
      </c>
      <c r="DE16" s="15" t="s">
        <v>19</v>
      </c>
    </row>
    <row r="17" spans="1:109" x14ac:dyDescent="0.3">
      <c r="A17" s="15" t="s">
        <v>20</v>
      </c>
      <c r="B17" s="15" t="s">
        <v>20</v>
      </c>
      <c r="C17" s="15" t="s">
        <v>20</v>
      </c>
      <c r="D17" s="15" t="s">
        <v>20</v>
      </c>
      <c r="E17" s="15" t="s">
        <v>133</v>
      </c>
      <c r="F17" s="15" t="s">
        <v>133</v>
      </c>
      <c r="G17" s="15" t="s">
        <v>133</v>
      </c>
      <c r="H17" s="15" t="s">
        <v>133</v>
      </c>
      <c r="I17" s="15" t="s">
        <v>121</v>
      </c>
      <c r="J17" s="15" t="s">
        <v>121</v>
      </c>
      <c r="K17" s="15" t="s">
        <v>121</v>
      </c>
      <c r="L17" s="15" t="s">
        <v>121</v>
      </c>
      <c r="M17" s="15" t="s">
        <v>133</v>
      </c>
      <c r="N17" s="15" t="s">
        <v>133</v>
      </c>
      <c r="O17" s="15" t="s">
        <v>133</v>
      </c>
      <c r="P17" s="15" t="s">
        <v>133</v>
      </c>
      <c r="Q17" s="15" t="s">
        <v>133</v>
      </c>
      <c r="R17" s="15" t="s">
        <v>133</v>
      </c>
      <c r="S17" s="15" t="s">
        <v>133</v>
      </c>
      <c r="T17" s="15" t="s">
        <v>133</v>
      </c>
      <c r="U17" s="15" t="s">
        <v>121</v>
      </c>
      <c r="V17" s="15" t="s">
        <v>19</v>
      </c>
      <c r="W17" s="15" t="s">
        <v>19</v>
      </c>
      <c r="X17" s="15" t="s">
        <v>19</v>
      </c>
      <c r="Y17" s="15" t="s">
        <v>19</v>
      </c>
      <c r="Z17" s="15" t="s">
        <v>19</v>
      </c>
      <c r="AA17" s="15" t="s">
        <v>19</v>
      </c>
      <c r="AB17" s="15" t="s">
        <v>19</v>
      </c>
      <c r="AC17" s="15" t="s">
        <v>19</v>
      </c>
      <c r="AD17" s="15" t="s">
        <v>19</v>
      </c>
      <c r="AE17" s="15" t="s">
        <v>19</v>
      </c>
      <c r="AF17" s="15" t="s">
        <v>19</v>
      </c>
      <c r="AG17" s="15" t="s">
        <v>19</v>
      </c>
      <c r="AH17" s="15" t="s">
        <v>19</v>
      </c>
      <c r="AI17" s="15" t="s">
        <v>121</v>
      </c>
      <c r="AJ17" s="15" t="s">
        <v>121</v>
      </c>
      <c r="AK17" s="15" t="s">
        <v>133</v>
      </c>
      <c r="AL17" s="15" t="s">
        <v>133</v>
      </c>
      <c r="AM17" s="15" t="s">
        <v>133</v>
      </c>
      <c r="AN17" s="15" t="s">
        <v>133</v>
      </c>
      <c r="AO17" s="15" t="s">
        <v>133</v>
      </c>
      <c r="AP17" s="15" t="s">
        <v>133</v>
      </c>
      <c r="AQ17" s="15" t="s">
        <v>20</v>
      </c>
      <c r="AR17" s="15" t="s">
        <v>20</v>
      </c>
      <c r="AS17" s="15" t="s">
        <v>133</v>
      </c>
      <c r="AT17" s="15" t="s">
        <v>133</v>
      </c>
      <c r="AU17" s="15" t="s">
        <v>133</v>
      </c>
      <c r="AV17" s="15" t="s">
        <v>20</v>
      </c>
      <c r="AW17" s="15" t="s">
        <v>95</v>
      </c>
      <c r="AX17" s="15" t="s">
        <v>95</v>
      </c>
      <c r="AY17" s="15" t="s">
        <v>95</v>
      </c>
      <c r="AZ17" s="15" t="s">
        <v>21</v>
      </c>
      <c r="BA17" s="15" t="s">
        <v>20</v>
      </c>
      <c r="BB17" s="15" t="s">
        <v>20</v>
      </c>
      <c r="BC17" s="15" t="s">
        <v>20</v>
      </c>
      <c r="BD17" s="15" t="s">
        <v>20</v>
      </c>
      <c r="BE17" s="15" t="s">
        <v>95</v>
      </c>
      <c r="BF17" s="15" t="s">
        <v>95</v>
      </c>
      <c r="BG17" s="15" t="s">
        <v>95</v>
      </c>
      <c r="BH17" s="15" t="s">
        <v>95</v>
      </c>
      <c r="BI17" s="15" t="s">
        <v>20</v>
      </c>
      <c r="BJ17" s="15" t="s">
        <v>20</v>
      </c>
      <c r="BK17" s="15" t="s">
        <v>20</v>
      </c>
      <c r="BL17" s="15" t="s">
        <v>20</v>
      </c>
      <c r="BM17" s="15" t="s">
        <v>20</v>
      </c>
      <c r="BN17" s="15" t="s">
        <v>20</v>
      </c>
      <c r="BO17" s="15" t="s">
        <v>20</v>
      </c>
      <c r="BP17" s="15" t="s">
        <v>20</v>
      </c>
      <c r="BQ17" s="15" t="s">
        <v>20</v>
      </c>
      <c r="BR17" s="15" t="s">
        <v>20</v>
      </c>
      <c r="BS17" s="15" t="s">
        <v>20</v>
      </c>
      <c r="BT17" s="15" t="s">
        <v>20</v>
      </c>
      <c r="BU17" s="15" t="s">
        <v>133</v>
      </c>
      <c r="BV17" s="15" t="s">
        <v>133</v>
      </c>
      <c r="BW17" s="15" t="s">
        <v>133</v>
      </c>
      <c r="BX17" s="15" t="s">
        <v>133</v>
      </c>
      <c r="BY17" s="15" t="s">
        <v>20</v>
      </c>
      <c r="BZ17" s="15" t="s">
        <v>20</v>
      </c>
      <c r="CA17" s="15" t="s">
        <v>20</v>
      </c>
      <c r="CB17" s="15" t="s">
        <v>20</v>
      </c>
      <c r="CC17" s="15" t="s">
        <v>133</v>
      </c>
      <c r="CD17" s="15" t="s">
        <v>133</v>
      </c>
      <c r="CE17" s="15" t="s">
        <v>133</v>
      </c>
      <c r="CF17" s="15" t="s">
        <v>133</v>
      </c>
      <c r="CG17" s="15" t="s">
        <v>20</v>
      </c>
      <c r="CH17" s="15" t="s">
        <v>20</v>
      </c>
      <c r="CI17" s="15" t="s">
        <v>20</v>
      </c>
      <c r="CJ17" s="15" t="s">
        <v>20</v>
      </c>
      <c r="CK17" s="15" t="s">
        <v>133</v>
      </c>
      <c r="CL17" s="15" t="s">
        <v>133</v>
      </c>
      <c r="CM17" s="15" t="s">
        <v>133</v>
      </c>
      <c r="CN17" s="15" t="s">
        <v>133</v>
      </c>
      <c r="CO17" s="15" t="s">
        <v>133</v>
      </c>
      <c r="CP17" s="15" t="s">
        <v>133</v>
      </c>
      <c r="CQ17" s="15" t="s">
        <v>133</v>
      </c>
      <c r="CR17" s="15" t="s">
        <v>133</v>
      </c>
      <c r="CS17" s="15" t="s">
        <v>95</v>
      </c>
      <c r="CT17" s="15" t="s">
        <v>95</v>
      </c>
      <c r="CU17" s="15" t="s">
        <v>95</v>
      </c>
      <c r="CV17" s="15" t="s">
        <v>95</v>
      </c>
      <c r="CW17" s="15" t="s">
        <v>20</v>
      </c>
      <c r="CX17" s="15" t="s">
        <v>20</v>
      </c>
      <c r="CY17" s="15" t="s">
        <v>20</v>
      </c>
      <c r="CZ17" s="15" t="s">
        <v>20</v>
      </c>
      <c r="DA17" s="15" t="s">
        <v>133</v>
      </c>
      <c r="DB17" s="15" t="s">
        <v>133</v>
      </c>
      <c r="DC17" s="15" t="s">
        <v>133</v>
      </c>
      <c r="DD17" s="15" t="s">
        <v>133</v>
      </c>
      <c r="DE17" s="15" t="s">
        <v>133</v>
      </c>
    </row>
    <row r="18" spans="1:109" x14ac:dyDescent="0.3">
      <c r="A18" s="15" t="s">
        <v>95</v>
      </c>
      <c r="B18" s="15" t="s">
        <v>95</v>
      </c>
      <c r="C18" s="15" t="s">
        <v>95</v>
      </c>
      <c r="D18" s="15" t="s">
        <v>95</v>
      </c>
      <c r="E18" s="15" t="s">
        <v>20</v>
      </c>
      <c r="F18" s="15" t="s">
        <v>20</v>
      </c>
      <c r="G18" s="15" t="s">
        <v>20</v>
      </c>
      <c r="H18" s="15" t="s">
        <v>20</v>
      </c>
      <c r="I18" s="15" t="s">
        <v>133</v>
      </c>
      <c r="J18" s="15" t="s">
        <v>133</v>
      </c>
      <c r="K18" s="15" t="s">
        <v>133</v>
      </c>
      <c r="L18" s="15" t="s">
        <v>133</v>
      </c>
      <c r="M18" s="15" t="s">
        <v>20</v>
      </c>
      <c r="N18" s="15" t="s">
        <v>20</v>
      </c>
      <c r="O18" s="15" t="s">
        <v>20</v>
      </c>
      <c r="P18" s="15" t="s">
        <v>20</v>
      </c>
      <c r="Q18" s="15" t="s">
        <v>20</v>
      </c>
      <c r="R18" s="15" t="s">
        <v>20</v>
      </c>
      <c r="S18" s="15" t="s">
        <v>20</v>
      </c>
      <c r="T18" s="15" t="s">
        <v>20</v>
      </c>
      <c r="U18" s="15" t="s">
        <v>133</v>
      </c>
      <c r="V18" s="15" t="s">
        <v>121</v>
      </c>
      <c r="W18" s="15" t="s">
        <v>121</v>
      </c>
      <c r="X18" s="15" t="s">
        <v>121</v>
      </c>
      <c r="Y18" s="15" t="s">
        <v>121</v>
      </c>
      <c r="Z18" s="15" t="s">
        <v>121</v>
      </c>
      <c r="AA18" s="15" t="s">
        <v>121</v>
      </c>
      <c r="AB18" s="15" t="s">
        <v>121</v>
      </c>
      <c r="AC18" s="15" t="s">
        <v>121</v>
      </c>
      <c r="AD18" s="15" t="s">
        <v>121</v>
      </c>
      <c r="AE18" s="15" t="s">
        <v>121</v>
      </c>
      <c r="AF18" s="15" t="s">
        <v>121</v>
      </c>
      <c r="AG18" s="15" t="s">
        <v>121</v>
      </c>
      <c r="AH18" s="15" t="s">
        <v>121</v>
      </c>
      <c r="AI18" s="15" t="s">
        <v>133</v>
      </c>
      <c r="AJ18" s="15" t="s">
        <v>133</v>
      </c>
      <c r="AK18" s="15" t="s">
        <v>20</v>
      </c>
      <c r="AL18" s="15" t="s">
        <v>20</v>
      </c>
      <c r="AM18" s="15" t="s">
        <v>20</v>
      </c>
      <c r="AN18" s="15" t="s">
        <v>20</v>
      </c>
      <c r="AO18" s="15" t="s">
        <v>20</v>
      </c>
      <c r="AP18" s="15" t="s">
        <v>20</v>
      </c>
      <c r="AQ18" s="15" t="s">
        <v>95</v>
      </c>
      <c r="AR18" s="15" t="s">
        <v>95</v>
      </c>
      <c r="AS18" s="15" t="s">
        <v>20</v>
      </c>
      <c r="AT18" s="15" t="s">
        <v>20</v>
      </c>
      <c r="AU18" s="15" t="s">
        <v>20</v>
      </c>
      <c r="AV18" s="15" t="s">
        <v>95</v>
      </c>
      <c r="AW18" s="15" t="s">
        <v>21</v>
      </c>
      <c r="AX18" s="15" t="s">
        <v>21</v>
      </c>
      <c r="AY18" s="15" t="s">
        <v>21</v>
      </c>
      <c r="AZ18" s="15" t="s">
        <v>22</v>
      </c>
      <c r="BA18" s="15" t="s">
        <v>95</v>
      </c>
      <c r="BB18" s="15" t="s">
        <v>95</v>
      </c>
      <c r="BC18" s="15" t="s">
        <v>95</v>
      </c>
      <c r="BD18" s="15" t="s">
        <v>95</v>
      </c>
      <c r="BE18" s="15" t="s">
        <v>21</v>
      </c>
      <c r="BF18" s="15" t="s">
        <v>21</v>
      </c>
      <c r="BG18" s="15" t="s">
        <v>21</v>
      </c>
      <c r="BH18" s="15" t="s">
        <v>21</v>
      </c>
      <c r="BI18" s="15" t="s">
        <v>95</v>
      </c>
      <c r="BJ18" s="15" t="s">
        <v>95</v>
      </c>
      <c r="BK18" s="15" t="s">
        <v>95</v>
      </c>
      <c r="BL18" s="15" t="s">
        <v>95</v>
      </c>
      <c r="BM18" s="15" t="s">
        <v>95</v>
      </c>
      <c r="BN18" s="15" t="s">
        <v>95</v>
      </c>
      <c r="BO18" s="15" t="s">
        <v>95</v>
      </c>
      <c r="BP18" s="15" t="s">
        <v>95</v>
      </c>
      <c r="BQ18" s="15" t="s">
        <v>95</v>
      </c>
      <c r="BR18" s="15" t="s">
        <v>95</v>
      </c>
      <c r="BS18" s="15" t="s">
        <v>95</v>
      </c>
      <c r="BT18" s="15" t="s">
        <v>95</v>
      </c>
      <c r="BU18" s="15" t="s">
        <v>20</v>
      </c>
      <c r="BV18" s="15" t="s">
        <v>20</v>
      </c>
      <c r="BW18" s="15" t="s">
        <v>20</v>
      </c>
      <c r="BX18" s="15" t="s">
        <v>20</v>
      </c>
      <c r="BY18" s="15" t="s">
        <v>95</v>
      </c>
      <c r="BZ18" s="15" t="s">
        <v>95</v>
      </c>
      <c r="CA18" s="15" t="s">
        <v>95</v>
      </c>
      <c r="CB18" s="15" t="s">
        <v>95</v>
      </c>
      <c r="CC18" s="15" t="s">
        <v>20</v>
      </c>
      <c r="CD18" s="15" t="s">
        <v>20</v>
      </c>
      <c r="CE18" s="15" t="s">
        <v>20</v>
      </c>
      <c r="CF18" s="15" t="s">
        <v>20</v>
      </c>
      <c r="CG18" s="15" t="s">
        <v>95</v>
      </c>
      <c r="CH18" s="15" t="s">
        <v>95</v>
      </c>
      <c r="CI18" s="15" t="s">
        <v>95</v>
      </c>
      <c r="CJ18" s="15" t="s">
        <v>95</v>
      </c>
      <c r="CK18" s="15" t="s">
        <v>20</v>
      </c>
      <c r="CL18" s="15" t="s">
        <v>20</v>
      </c>
      <c r="CM18" s="15" t="s">
        <v>20</v>
      </c>
      <c r="CN18" s="15" t="s">
        <v>20</v>
      </c>
      <c r="CO18" s="15" t="s">
        <v>20</v>
      </c>
      <c r="CP18" s="15" t="s">
        <v>20</v>
      </c>
      <c r="CQ18" s="15" t="s">
        <v>20</v>
      </c>
      <c r="CR18" s="15" t="s">
        <v>20</v>
      </c>
      <c r="CS18" s="15" t="s">
        <v>21</v>
      </c>
      <c r="CT18" s="15" t="s">
        <v>21</v>
      </c>
      <c r="CU18" s="15" t="s">
        <v>21</v>
      </c>
      <c r="CV18" s="15" t="s">
        <v>21</v>
      </c>
      <c r="CW18" s="15" t="s">
        <v>95</v>
      </c>
      <c r="CX18" s="15" t="s">
        <v>95</v>
      </c>
      <c r="CY18" s="15" t="s">
        <v>95</v>
      </c>
      <c r="CZ18" s="15" t="s">
        <v>95</v>
      </c>
      <c r="DA18" s="15" t="s">
        <v>20</v>
      </c>
      <c r="DB18" s="15" t="s">
        <v>20</v>
      </c>
      <c r="DC18" s="15" t="s">
        <v>20</v>
      </c>
      <c r="DD18" s="15" t="s">
        <v>20</v>
      </c>
      <c r="DE18" s="15" t="s">
        <v>20</v>
      </c>
    </row>
    <row r="19" spans="1:109" x14ac:dyDescent="0.3">
      <c r="A19" s="15" t="s">
        <v>21</v>
      </c>
      <c r="B19" s="15" t="s">
        <v>21</v>
      </c>
      <c r="C19" s="15" t="s">
        <v>21</v>
      </c>
      <c r="D19" s="15" t="s">
        <v>21</v>
      </c>
      <c r="E19" s="15" t="s">
        <v>95</v>
      </c>
      <c r="F19" s="15" t="s">
        <v>95</v>
      </c>
      <c r="G19" s="15" t="s">
        <v>95</v>
      </c>
      <c r="H19" s="15" t="s">
        <v>95</v>
      </c>
      <c r="I19" s="15" t="s">
        <v>20</v>
      </c>
      <c r="J19" s="15" t="s">
        <v>20</v>
      </c>
      <c r="K19" s="15" t="s">
        <v>20</v>
      </c>
      <c r="L19" s="15" t="s">
        <v>20</v>
      </c>
      <c r="M19" s="15" t="s">
        <v>95</v>
      </c>
      <c r="N19" s="15" t="s">
        <v>95</v>
      </c>
      <c r="O19" s="15" t="s">
        <v>95</v>
      </c>
      <c r="P19" s="15" t="s">
        <v>95</v>
      </c>
      <c r="Q19" s="15" t="s">
        <v>95</v>
      </c>
      <c r="R19" s="15" t="s">
        <v>95</v>
      </c>
      <c r="S19" s="15" t="s">
        <v>95</v>
      </c>
      <c r="T19" s="15" t="s">
        <v>95</v>
      </c>
      <c r="U19" s="15" t="s">
        <v>20</v>
      </c>
      <c r="V19" s="15" t="s">
        <v>133</v>
      </c>
      <c r="W19" s="15" t="s">
        <v>133</v>
      </c>
      <c r="X19" s="15" t="s">
        <v>133</v>
      </c>
      <c r="Y19" s="15" t="s">
        <v>133</v>
      </c>
      <c r="Z19" s="15" t="s">
        <v>133</v>
      </c>
      <c r="AA19" s="15" t="s">
        <v>133</v>
      </c>
      <c r="AB19" s="15" t="s">
        <v>133</v>
      </c>
      <c r="AC19" s="15" t="s">
        <v>133</v>
      </c>
      <c r="AD19" s="15" t="s">
        <v>133</v>
      </c>
      <c r="AE19" s="15" t="s">
        <v>133</v>
      </c>
      <c r="AF19" s="15" t="s">
        <v>133</v>
      </c>
      <c r="AG19" s="15" t="s">
        <v>133</v>
      </c>
      <c r="AH19" s="15" t="s">
        <v>133</v>
      </c>
      <c r="AI19" s="15" t="s">
        <v>20</v>
      </c>
      <c r="AJ19" s="15" t="s">
        <v>20</v>
      </c>
      <c r="AK19" s="15" t="s">
        <v>95</v>
      </c>
      <c r="AL19" s="15" t="s">
        <v>95</v>
      </c>
      <c r="AM19" s="15" t="s">
        <v>95</v>
      </c>
      <c r="AN19" s="15" t="s">
        <v>95</v>
      </c>
      <c r="AO19" s="15" t="s">
        <v>95</v>
      </c>
      <c r="AP19" s="15" t="s">
        <v>95</v>
      </c>
      <c r="AQ19" s="15" t="s">
        <v>21</v>
      </c>
      <c r="AR19" s="15" t="s">
        <v>21</v>
      </c>
      <c r="AS19" s="15" t="s">
        <v>95</v>
      </c>
      <c r="AT19" s="15" t="s">
        <v>95</v>
      </c>
      <c r="AU19" s="15" t="s">
        <v>95</v>
      </c>
      <c r="AV19" s="15" t="s">
        <v>21</v>
      </c>
      <c r="AW19" s="15" t="s">
        <v>22</v>
      </c>
      <c r="AX19" s="15" t="s">
        <v>22</v>
      </c>
      <c r="AY19" s="15" t="s">
        <v>22</v>
      </c>
      <c r="AZ19" s="15" t="s">
        <v>134</v>
      </c>
      <c r="BA19" s="15" t="s">
        <v>21</v>
      </c>
      <c r="BB19" s="15" t="s">
        <v>21</v>
      </c>
      <c r="BC19" s="15" t="s">
        <v>21</v>
      </c>
      <c r="BD19" s="15" t="s">
        <v>21</v>
      </c>
      <c r="BE19" s="15" t="s">
        <v>22</v>
      </c>
      <c r="BF19" s="15" t="s">
        <v>22</v>
      </c>
      <c r="BG19" s="15" t="s">
        <v>22</v>
      </c>
      <c r="BH19" s="15" t="s">
        <v>22</v>
      </c>
      <c r="BI19" s="15" t="s">
        <v>21</v>
      </c>
      <c r="BJ19" s="15" t="s">
        <v>21</v>
      </c>
      <c r="BK19" s="15" t="s">
        <v>21</v>
      </c>
      <c r="BL19" s="15" t="s">
        <v>21</v>
      </c>
      <c r="BM19" s="15" t="s">
        <v>21</v>
      </c>
      <c r="BN19" s="15" t="s">
        <v>21</v>
      </c>
      <c r="BO19" s="15" t="s">
        <v>21</v>
      </c>
      <c r="BP19" s="15" t="s">
        <v>21</v>
      </c>
      <c r="BQ19" s="15" t="s">
        <v>21</v>
      </c>
      <c r="BR19" s="15" t="s">
        <v>21</v>
      </c>
      <c r="BS19" s="15" t="s">
        <v>21</v>
      </c>
      <c r="BT19" s="15" t="s">
        <v>21</v>
      </c>
      <c r="BU19" s="15" t="s">
        <v>95</v>
      </c>
      <c r="BV19" s="15" t="s">
        <v>95</v>
      </c>
      <c r="BW19" s="15" t="s">
        <v>95</v>
      </c>
      <c r="BX19" s="15" t="s">
        <v>95</v>
      </c>
      <c r="BY19" s="15" t="s">
        <v>21</v>
      </c>
      <c r="BZ19" s="15" t="s">
        <v>21</v>
      </c>
      <c r="CA19" s="15" t="s">
        <v>21</v>
      </c>
      <c r="CB19" s="15" t="s">
        <v>21</v>
      </c>
      <c r="CC19" s="15" t="s">
        <v>95</v>
      </c>
      <c r="CD19" s="15" t="s">
        <v>95</v>
      </c>
      <c r="CE19" s="15" t="s">
        <v>95</v>
      </c>
      <c r="CF19" s="15" t="s">
        <v>95</v>
      </c>
      <c r="CG19" s="15" t="s">
        <v>21</v>
      </c>
      <c r="CH19" s="15" t="s">
        <v>21</v>
      </c>
      <c r="CI19" s="15" t="s">
        <v>21</v>
      </c>
      <c r="CJ19" s="15" t="s">
        <v>21</v>
      </c>
      <c r="CK19" s="15" t="s">
        <v>95</v>
      </c>
      <c r="CL19" s="15" t="s">
        <v>95</v>
      </c>
      <c r="CM19" s="15" t="s">
        <v>95</v>
      </c>
      <c r="CN19" s="15" t="s">
        <v>95</v>
      </c>
      <c r="CO19" s="15" t="s">
        <v>95</v>
      </c>
      <c r="CP19" s="15" t="s">
        <v>95</v>
      </c>
      <c r="CQ19" s="15" t="s">
        <v>95</v>
      </c>
      <c r="CR19" s="15" t="s">
        <v>95</v>
      </c>
      <c r="CS19" s="15" t="s">
        <v>22</v>
      </c>
      <c r="CT19" s="15" t="s">
        <v>22</v>
      </c>
      <c r="CU19" s="15" t="s">
        <v>22</v>
      </c>
      <c r="CV19" s="15" t="s">
        <v>22</v>
      </c>
      <c r="CW19" s="15" t="s">
        <v>21</v>
      </c>
      <c r="CX19" s="15" t="s">
        <v>21</v>
      </c>
      <c r="CY19" s="15" t="s">
        <v>21</v>
      </c>
      <c r="CZ19" s="15" t="s">
        <v>21</v>
      </c>
      <c r="DA19" s="15" t="s">
        <v>95</v>
      </c>
      <c r="DB19" s="15" t="s">
        <v>95</v>
      </c>
      <c r="DC19" s="15" t="s">
        <v>95</v>
      </c>
      <c r="DD19" s="15" t="s">
        <v>95</v>
      </c>
      <c r="DE19" s="15" t="s">
        <v>95</v>
      </c>
    </row>
    <row r="20" spans="1:109" x14ac:dyDescent="0.3">
      <c r="A20" s="15" t="s">
        <v>22</v>
      </c>
      <c r="B20" s="15" t="s">
        <v>22</v>
      </c>
      <c r="C20" s="15" t="s">
        <v>22</v>
      </c>
      <c r="D20" s="15" t="s">
        <v>22</v>
      </c>
      <c r="E20" s="15" t="s">
        <v>21</v>
      </c>
      <c r="F20" s="15" t="s">
        <v>21</v>
      </c>
      <c r="G20" s="15" t="s">
        <v>21</v>
      </c>
      <c r="H20" s="15" t="s">
        <v>21</v>
      </c>
      <c r="I20" s="15" t="s">
        <v>95</v>
      </c>
      <c r="J20" s="15" t="s">
        <v>95</v>
      </c>
      <c r="K20" s="15" t="s">
        <v>95</v>
      </c>
      <c r="L20" s="15" t="s">
        <v>95</v>
      </c>
      <c r="M20" s="15" t="s">
        <v>21</v>
      </c>
      <c r="N20" s="15" t="s">
        <v>21</v>
      </c>
      <c r="O20" s="15" t="s">
        <v>21</v>
      </c>
      <c r="P20" s="15" t="s">
        <v>21</v>
      </c>
      <c r="Q20" s="15" t="s">
        <v>21</v>
      </c>
      <c r="R20" s="15" t="s">
        <v>21</v>
      </c>
      <c r="S20" s="15" t="s">
        <v>21</v>
      </c>
      <c r="T20" s="15" t="s">
        <v>21</v>
      </c>
      <c r="U20" s="15" t="s">
        <v>95</v>
      </c>
      <c r="V20" s="15" t="s">
        <v>20</v>
      </c>
      <c r="W20" s="15" t="s">
        <v>20</v>
      </c>
      <c r="X20" s="15" t="s">
        <v>20</v>
      </c>
      <c r="Y20" s="15" t="s">
        <v>20</v>
      </c>
      <c r="Z20" s="15" t="s">
        <v>20</v>
      </c>
      <c r="AA20" s="15" t="s">
        <v>20</v>
      </c>
      <c r="AB20" s="15" t="s">
        <v>20</v>
      </c>
      <c r="AC20" s="15" t="s">
        <v>20</v>
      </c>
      <c r="AD20" s="15" t="s">
        <v>20</v>
      </c>
      <c r="AE20" s="15" t="s">
        <v>20</v>
      </c>
      <c r="AF20" s="15" t="s">
        <v>20</v>
      </c>
      <c r="AG20" s="15" t="s">
        <v>20</v>
      </c>
      <c r="AH20" s="15" t="s">
        <v>20</v>
      </c>
      <c r="AI20" s="15" t="s">
        <v>95</v>
      </c>
      <c r="AJ20" s="15" t="s">
        <v>95</v>
      </c>
      <c r="AK20" s="15" t="s">
        <v>21</v>
      </c>
      <c r="AL20" s="15" t="s">
        <v>21</v>
      </c>
      <c r="AM20" s="15" t="s">
        <v>21</v>
      </c>
      <c r="AN20" s="15" t="s">
        <v>21</v>
      </c>
      <c r="AO20" s="15" t="s">
        <v>21</v>
      </c>
      <c r="AP20" s="15" t="s">
        <v>21</v>
      </c>
      <c r="AQ20" s="15" t="s">
        <v>22</v>
      </c>
      <c r="AR20" s="15" t="s">
        <v>22</v>
      </c>
      <c r="AS20" s="15" t="s">
        <v>21</v>
      </c>
      <c r="AT20" s="15" t="s">
        <v>21</v>
      </c>
      <c r="AU20" s="15" t="s">
        <v>21</v>
      </c>
      <c r="AV20" s="15" t="s">
        <v>22</v>
      </c>
      <c r="AW20" s="15" t="s">
        <v>134</v>
      </c>
      <c r="AX20" s="15" t="s">
        <v>134</v>
      </c>
      <c r="AY20" s="15" t="s">
        <v>134</v>
      </c>
      <c r="AZ20" s="15" t="s">
        <v>7</v>
      </c>
      <c r="BA20" s="15" t="s">
        <v>22</v>
      </c>
      <c r="BB20" s="15" t="s">
        <v>22</v>
      </c>
      <c r="BC20" s="15" t="s">
        <v>22</v>
      </c>
      <c r="BD20" s="15" t="s">
        <v>22</v>
      </c>
      <c r="BE20" s="15" t="s">
        <v>134</v>
      </c>
      <c r="BF20" s="15" t="s">
        <v>134</v>
      </c>
      <c r="BG20" s="15" t="s">
        <v>134</v>
      </c>
      <c r="BH20" s="15" t="s">
        <v>134</v>
      </c>
      <c r="BI20" s="15" t="s">
        <v>22</v>
      </c>
      <c r="BJ20" s="15" t="s">
        <v>22</v>
      </c>
      <c r="BK20" s="15" t="s">
        <v>22</v>
      </c>
      <c r="BL20" s="15" t="s">
        <v>22</v>
      </c>
      <c r="BM20" s="15" t="s">
        <v>22</v>
      </c>
      <c r="BN20" s="15" t="s">
        <v>22</v>
      </c>
      <c r="BO20" s="15" t="s">
        <v>22</v>
      </c>
      <c r="BP20" s="15" t="s">
        <v>22</v>
      </c>
      <c r="BQ20" s="15" t="s">
        <v>22</v>
      </c>
      <c r="BR20" s="15" t="s">
        <v>22</v>
      </c>
      <c r="BS20" s="15" t="s">
        <v>22</v>
      </c>
      <c r="BT20" s="15" t="s">
        <v>22</v>
      </c>
      <c r="BU20" s="15" t="s">
        <v>21</v>
      </c>
      <c r="BV20" s="15" t="s">
        <v>21</v>
      </c>
      <c r="BW20" s="15" t="s">
        <v>21</v>
      </c>
      <c r="BX20" s="15" t="s">
        <v>21</v>
      </c>
      <c r="BY20" s="15" t="s">
        <v>22</v>
      </c>
      <c r="BZ20" s="15" t="s">
        <v>22</v>
      </c>
      <c r="CA20" s="15" t="s">
        <v>22</v>
      </c>
      <c r="CB20" s="15" t="s">
        <v>22</v>
      </c>
      <c r="CC20" s="15" t="s">
        <v>21</v>
      </c>
      <c r="CD20" s="15" t="s">
        <v>21</v>
      </c>
      <c r="CE20" s="15" t="s">
        <v>21</v>
      </c>
      <c r="CF20" s="15" t="s">
        <v>21</v>
      </c>
      <c r="CG20" s="15" t="s">
        <v>22</v>
      </c>
      <c r="CH20" s="15" t="s">
        <v>22</v>
      </c>
      <c r="CI20" s="15" t="s">
        <v>22</v>
      </c>
      <c r="CJ20" s="15" t="s">
        <v>22</v>
      </c>
      <c r="CK20" s="15" t="s">
        <v>21</v>
      </c>
      <c r="CL20" s="15" t="s">
        <v>21</v>
      </c>
      <c r="CM20" s="15" t="s">
        <v>21</v>
      </c>
      <c r="CN20" s="15" t="s">
        <v>21</v>
      </c>
      <c r="CO20" s="15" t="s">
        <v>21</v>
      </c>
      <c r="CP20" s="15" t="s">
        <v>21</v>
      </c>
      <c r="CQ20" s="15" t="s">
        <v>21</v>
      </c>
      <c r="CR20" s="15" t="s">
        <v>21</v>
      </c>
      <c r="CS20" s="15" t="s">
        <v>23</v>
      </c>
      <c r="CT20" s="15" t="s">
        <v>23</v>
      </c>
      <c r="CU20" s="15" t="s">
        <v>23</v>
      </c>
      <c r="CV20" s="15" t="s">
        <v>23</v>
      </c>
      <c r="CW20" s="15" t="s">
        <v>22</v>
      </c>
      <c r="CX20" s="15" t="s">
        <v>22</v>
      </c>
      <c r="CY20" s="15" t="s">
        <v>22</v>
      </c>
      <c r="CZ20" s="15" t="s">
        <v>22</v>
      </c>
      <c r="DA20" s="15" t="s">
        <v>21</v>
      </c>
      <c r="DB20" s="15" t="s">
        <v>21</v>
      </c>
      <c r="DC20" s="15" t="s">
        <v>21</v>
      </c>
      <c r="DD20" s="15" t="s">
        <v>21</v>
      </c>
      <c r="DE20" s="15" t="s">
        <v>21</v>
      </c>
    </row>
    <row r="21" spans="1:109" x14ac:dyDescent="0.3">
      <c r="A21" s="15" t="s">
        <v>134</v>
      </c>
      <c r="B21" s="15" t="s">
        <v>134</v>
      </c>
      <c r="C21" s="15" t="s">
        <v>134</v>
      </c>
      <c r="D21" s="15" t="s">
        <v>134</v>
      </c>
      <c r="E21" s="15" t="s">
        <v>22</v>
      </c>
      <c r="F21" s="15" t="s">
        <v>22</v>
      </c>
      <c r="G21" s="15" t="s">
        <v>22</v>
      </c>
      <c r="H21" s="15" t="s">
        <v>22</v>
      </c>
      <c r="I21" s="15" t="s">
        <v>21</v>
      </c>
      <c r="J21" s="15" t="s">
        <v>21</v>
      </c>
      <c r="K21" s="15" t="s">
        <v>21</v>
      </c>
      <c r="L21" s="15" t="s">
        <v>21</v>
      </c>
      <c r="M21" s="15" t="s">
        <v>22</v>
      </c>
      <c r="N21" s="15" t="s">
        <v>22</v>
      </c>
      <c r="O21" s="15" t="s">
        <v>22</v>
      </c>
      <c r="P21" s="15" t="s">
        <v>22</v>
      </c>
      <c r="Q21" s="15" t="s">
        <v>22</v>
      </c>
      <c r="R21" s="15" t="s">
        <v>22</v>
      </c>
      <c r="S21" s="15" t="s">
        <v>22</v>
      </c>
      <c r="T21" s="15" t="s">
        <v>22</v>
      </c>
      <c r="U21" s="15" t="s">
        <v>21</v>
      </c>
      <c r="V21" s="15" t="s">
        <v>95</v>
      </c>
      <c r="W21" s="15" t="s">
        <v>95</v>
      </c>
      <c r="X21" s="15" t="s">
        <v>95</v>
      </c>
      <c r="Y21" s="15" t="s">
        <v>95</v>
      </c>
      <c r="Z21" s="15" t="s">
        <v>95</v>
      </c>
      <c r="AA21" s="15" t="s">
        <v>95</v>
      </c>
      <c r="AB21" s="15" t="s">
        <v>95</v>
      </c>
      <c r="AC21" s="15" t="s">
        <v>95</v>
      </c>
      <c r="AD21" s="15" t="s">
        <v>95</v>
      </c>
      <c r="AE21" s="15" t="s">
        <v>95</v>
      </c>
      <c r="AF21" s="15" t="s">
        <v>95</v>
      </c>
      <c r="AG21" s="15" t="s">
        <v>95</v>
      </c>
      <c r="AH21" s="15" t="s">
        <v>95</v>
      </c>
      <c r="AI21" s="15" t="s">
        <v>21</v>
      </c>
      <c r="AJ21" s="15" t="s">
        <v>21</v>
      </c>
      <c r="AK21" s="15" t="s">
        <v>22</v>
      </c>
      <c r="AL21" s="15" t="s">
        <v>22</v>
      </c>
      <c r="AM21" s="15" t="s">
        <v>22</v>
      </c>
      <c r="AN21" s="15" t="s">
        <v>22</v>
      </c>
      <c r="AO21" s="15" t="s">
        <v>22</v>
      </c>
      <c r="AP21" s="15" t="s">
        <v>22</v>
      </c>
      <c r="AQ21" s="15" t="s">
        <v>134</v>
      </c>
      <c r="AR21" s="15" t="s">
        <v>134</v>
      </c>
      <c r="AS21" s="15" t="s">
        <v>22</v>
      </c>
      <c r="AT21" s="15" t="s">
        <v>22</v>
      </c>
      <c r="AU21" s="15" t="s">
        <v>22</v>
      </c>
      <c r="AV21" s="15" t="s">
        <v>134</v>
      </c>
      <c r="AW21" s="15" t="s">
        <v>7</v>
      </c>
      <c r="AX21" s="15" t="s">
        <v>7</v>
      </c>
      <c r="AY21" s="15" t="s">
        <v>7</v>
      </c>
      <c r="AZ21" s="15" t="s">
        <v>24</v>
      </c>
      <c r="BA21" s="15" t="s">
        <v>134</v>
      </c>
      <c r="BB21" s="15" t="s">
        <v>134</v>
      </c>
      <c r="BC21" s="15" t="s">
        <v>134</v>
      </c>
      <c r="BD21" s="15" t="s">
        <v>134</v>
      </c>
      <c r="BE21" s="15" t="s">
        <v>7</v>
      </c>
      <c r="BF21" s="15" t="s">
        <v>7</v>
      </c>
      <c r="BG21" s="15" t="s">
        <v>7</v>
      </c>
      <c r="BH21" s="15" t="s">
        <v>7</v>
      </c>
      <c r="BI21" s="15" t="s">
        <v>134</v>
      </c>
      <c r="BJ21" s="15" t="s">
        <v>134</v>
      </c>
      <c r="BK21" s="15" t="s">
        <v>134</v>
      </c>
      <c r="BL21" s="15" t="s">
        <v>134</v>
      </c>
      <c r="BM21" s="15" t="s">
        <v>134</v>
      </c>
      <c r="BN21" s="15" t="s">
        <v>134</v>
      </c>
      <c r="BO21" s="15" t="s">
        <v>134</v>
      </c>
      <c r="BP21" s="15" t="s">
        <v>134</v>
      </c>
      <c r="BQ21" s="15" t="s">
        <v>134</v>
      </c>
      <c r="BR21" s="15" t="s">
        <v>134</v>
      </c>
      <c r="BS21" s="15" t="s">
        <v>134</v>
      </c>
      <c r="BT21" s="15" t="s">
        <v>134</v>
      </c>
      <c r="BU21" s="15" t="s">
        <v>22</v>
      </c>
      <c r="BV21" s="15" t="s">
        <v>22</v>
      </c>
      <c r="BW21" s="15" t="s">
        <v>22</v>
      </c>
      <c r="BX21" s="15" t="s">
        <v>22</v>
      </c>
      <c r="BY21" s="15" t="s">
        <v>134</v>
      </c>
      <c r="BZ21" s="15" t="s">
        <v>134</v>
      </c>
      <c r="CA21" s="15" t="s">
        <v>134</v>
      </c>
      <c r="CB21" s="15" t="s">
        <v>134</v>
      </c>
      <c r="CC21" s="15" t="s">
        <v>22</v>
      </c>
      <c r="CD21" s="15" t="s">
        <v>22</v>
      </c>
      <c r="CE21" s="15" t="s">
        <v>22</v>
      </c>
      <c r="CF21" s="15" t="s">
        <v>22</v>
      </c>
      <c r="CG21" s="15" t="s">
        <v>134</v>
      </c>
      <c r="CH21" s="15" t="s">
        <v>134</v>
      </c>
      <c r="CI21" s="15" t="s">
        <v>134</v>
      </c>
      <c r="CJ21" s="15" t="s">
        <v>134</v>
      </c>
      <c r="CK21" s="15" t="s">
        <v>22</v>
      </c>
      <c r="CL21" s="15" t="s">
        <v>22</v>
      </c>
      <c r="CM21" s="15" t="s">
        <v>22</v>
      </c>
      <c r="CN21" s="15" t="s">
        <v>22</v>
      </c>
      <c r="CO21" s="15" t="s">
        <v>22</v>
      </c>
      <c r="CP21" s="15" t="s">
        <v>22</v>
      </c>
      <c r="CQ21" s="15" t="s">
        <v>22</v>
      </c>
      <c r="CR21" s="15" t="s">
        <v>22</v>
      </c>
      <c r="CS21" s="15" t="s">
        <v>134</v>
      </c>
      <c r="CT21" s="15" t="s">
        <v>134</v>
      </c>
      <c r="CU21" s="15" t="s">
        <v>134</v>
      </c>
      <c r="CV21" s="15" t="s">
        <v>134</v>
      </c>
      <c r="CW21" s="15" t="s">
        <v>23</v>
      </c>
      <c r="CX21" s="15" t="s">
        <v>23</v>
      </c>
      <c r="CY21" s="15" t="s">
        <v>23</v>
      </c>
      <c r="CZ21" s="15" t="s">
        <v>23</v>
      </c>
      <c r="DA21" s="15" t="s">
        <v>22</v>
      </c>
      <c r="DB21" s="15" t="s">
        <v>22</v>
      </c>
      <c r="DC21" s="15" t="s">
        <v>22</v>
      </c>
      <c r="DD21" s="15" t="s">
        <v>22</v>
      </c>
      <c r="DE21" s="15" t="s">
        <v>22</v>
      </c>
    </row>
    <row r="22" spans="1:109" x14ac:dyDescent="0.3">
      <c r="A22" s="15" t="s">
        <v>135</v>
      </c>
      <c r="B22" s="15" t="s">
        <v>135</v>
      </c>
      <c r="C22" s="15" t="s">
        <v>135</v>
      </c>
      <c r="D22" s="15" t="s">
        <v>135</v>
      </c>
      <c r="E22" s="15" t="s">
        <v>134</v>
      </c>
      <c r="F22" s="15" t="s">
        <v>134</v>
      </c>
      <c r="G22" s="15" t="s">
        <v>134</v>
      </c>
      <c r="H22" s="15" t="s">
        <v>134</v>
      </c>
      <c r="I22" s="15" t="s">
        <v>22</v>
      </c>
      <c r="J22" s="15" t="s">
        <v>22</v>
      </c>
      <c r="K22" s="15" t="s">
        <v>22</v>
      </c>
      <c r="L22" s="15" t="s">
        <v>22</v>
      </c>
      <c r="M22" s="15" t="s">
        <v>134</v>
      </c>
      <c r="N22" s="15" t="s">
        <v>134</v>
      </c>
      <c r="O22" s="15" t="s">
        <v>134</v>
      </c>
      <c r="P22" s="15" t="s">
        <v>134</v>
      </c>
      <c r="Q22" s="15" t="s">
        <v>134</v>
      </c>
      <c r="R22" s="15" t="s">
        <v>134</v>
      </c>
      <c r="S22" s="15" t="s">
        <v>134</v>
      </c>
      <c r="T22" s="15" t="s">
        <v>134</v>
      </c>
      <c r="U22" s="15" t="s">
        <v>22</v>
      </c>
      <c r="V22" s="15" t="s">
        <v>21</v>
      </c>
      <c r="W22" s="15" t="s">
        <v>21</v>
      </c>
      <c r="X22" s="15" t="s">
        <v>21</v>
      </c>
      <c r="Y22" s="15" t="s">
        <v>21</v>
      </c>
      <c r="Z22" s="15" t="s">
        <v>21</v>
      </c>
      <c r="AA22" s="15" t="s">
        <v>21</v>
      </c>
      <c r="AB22" s="15" t="s">
        <v>21</v>
      </c>
      <c r="AC22" s="15" t="s">
        <v>21</v>
      </c>
      <c r="AD22" s="15" t="s">
        <v>21</v>
      </c>
      <c r="AE22" s="15" t="s">
        <v>21</v>
      </c>
      <c r="AF22" s="15" t="s">
        <v>21</v>
      </c>
      <c r="AG22" s="15" t="s">
        <v>21</v>
      </c>
      <c r="AH22" s="15" t="s">
        <v>21</v>
      </c>
      <c r="AI22" s="15" t="s">
        <v>22</v>
      </c>
      <c r="AJ22" s="15" t="s">
        <v>22</v>
      </c>
      <c r="AK22" s="15" t="s">
        <v>134</v>
      </c>
      <c r="AL22" s="15" t="s">
        <v>134</v>
      </c>
      <c r="AM22" s="15" t="s">
        <v>134</v>
      </c>
      <c r="AN22" s="15" t="s">
        <v>134</v>
      </c>
      <c r="AO22" s="15" t="s">
        <v>134</v>
      </c>
      <c r="AP22" s="15" t="s">
        <v>134</v>
      </c>
      <c r="AQ22" s="15" t="s">
        <v>7</v>
      </c>
      <c r="AR22" s="15" t="s">
        <v>7</v>
      </c>
      <c r="AS22" s="15" t="s">
        <v>134</v>
      </c>
      <c r="AT22" s="15" t="s">
        <v>134</v>
      </c>
      <c r="AU22" s="15" t="s">
        <v>134</v>
      </c>
      <c r="AV22" s="15" t="s">
        <v>7</v>
      </c>
      <c r="AW22" s="15" t="s">
        <v>24</v>
      </c>
      <c r="AX22" s="15" t="s">
        <v>24</v>
      </c>
      <c r="AY22" s="15" t="s">
        <v>24</v>
      </c>
      <c r="AZ22" s="15" t="s">
        <v>136</v>
      </c>
      <c r="BA22" s="15" t="s">
        <v>7</v>
      </c>
      <c r="BB22" s="15" t="s">
        <v>7</v>
      </c>
      <c r="BC22" s="15" t="s">
        <v>7</v>
      </c>
      <c r="BD22" s="15" t="s">
        <v>7</v>
      </c>
      <c r="BE22" s="15" t="s">
        <v>24</v>
      </c>
      <c r="BF22" s="15" t="s">
        <v>24</v>
      </c>
      <c r="BG22" s="15" t="s">
        <v>24</v>
      </c>
      <c r="BH22" s="15" t="s">
        <v>24</v>
      </c>
      <c r="BI22" s="15" t="s">
        <v>7</v>
      </c>
      <c r="BJ22" s="15" t="s">
        <v>7</v>
      </c>
      <c r="BK22" s="15" t="s">
        <v>7</v>
      </c>
      <c r="BL22" s="15" t="s">
        <v>7</v>
      </c>
      <c r="BM22" s="15" t="s">
        <v>7</v>
      </c>
      <c r="BN22" s="15" t="s">
        <v>7</v>
      </c>
      <c r="BO22" s="15" t="s">
        <v>7</v>
      </c>
      <c r="BP22" s="15" t="s">
        <v>7</v>
      </c>
      <c r="BQ22" s="15" t="s">
        <v>7</v>
      </c>
      <c r="BR22" s="15" t="s">
        <v>7</v>
      </c>
      <c r="BS22" s="15" t="s">
        <v>7</v>
      </c>
      <c r="BT22" s="15" t="s">
        <v>7</v>
      </c>
      <c r="BU22" s="15" t="s">
        <v>134</v>
      </c>
      <c r="BV22" s="15" t="s">
        <v>134</v>
      </c>
      <c r="BW22" s="15" t="s">
        <v>134</v>
      </c>
      <c r="BX22" s="15" t="s">
        <v>134</v>
      </c>
      <c r="BY22" s="15" t="s">
        <v>7</v>
      </c>
      <c r="BZ22" s="15" t="s">
        <v>7</v>
      </c>
      <c r="CA22" s="15" t="s">
        <v>7</v>
      </c>
      <c r="CB22" s="15" t="s">
        <v>7</v>
      </c>
      <c r="CC22" s="15" t="s">
        <v>134</v>
      </c>
      <c r="CD22" s="15" t="s">
        <v>134</v>
      </c>
      <c r="CE22" s="15" t="s">
        <v>134</v>
      </c>
      <c r="CF22" s="15" t="s">
        <v>134</v>
      </c>
      <c r="CG22" s="15" t="s">
        <v>7</v>
      </c>
      <c r="CH22" s="15" t="s">
        <v>7</v>
      </c>
      <c r="CI22" s="15" t="s">
        <v>7</v>
      </c>
      <c r="CJ22" s="15" t="s">
        <v>7</v>
      </c>
      <c r="CK22" s="15" t="s">
        <v>134</v>
      </c>
      <c r="CL22" s="15" t="s">
        <v>134</v>
      </c>
      <c r="CM22" s="15" t="s">
        <v>134</v>
      </c>
      <c r="CN22" s="15" t="s">
        <v>134</v>
      </c>
      <c r="CO22" s="15" t="s">
        <v>134</v>
      </c>
      <c r="CP22" s="15" t="s">
        <v>134</v>
      </c>
      <c r="CQ22" s="15" t="s">
        <v>134</v>
      </c>
      <c r="CR22" s="15" t="s">
        <v>134</v>
      </c>
      <c r="CS22" s="15" t="s">
        <v>7</v>
      </c>
      <c r="CT22" s="15" t="s">
        <v>7</v>
      </c>
      <c r="CU22" s="15" t="s">
        <v>7</v>
      </c>
      <c r="CV22" s="15" t="s">
        <v>7</v>
      </c>
      <c r="CW22" s="15" t="s">
        <v>134</v>
      </c>
      <c r="CX22" s="15" t="s">
        <v>134</v>
      </c>
      <c r="CY22" s="15" t="s">
        <v>134</v>
      </c>
      <c r="CZ22" s="15" t="s">
        <v>134</v>
      </c>
      <c r="DA22" s="15" t="s">
        <v>23</v>
      </c>
      <c r="DB22" s="15" t="s">
        <v>23</v>
      </c>
      <c r="DC22" s="15" t="s">
        <v>23</v>
      </c>
      <c r="DD22" s="15" t="s">
        <v>23</v>
      </c>
      <c r="DE22" s="15" t="s">
        <v>23</v>
      </c>
    </row>
    <row r="23" spans="1:109" x14ac:dyDescent="0.3">
      <c r="A23" s="15" t="s">
        <v>24</v>
      </c>
      <c r="B23" s="15" t="s">
        <v>24</v>
      </c>
      <c r="C23" s="15" t="s">
        <v>24</v>
      </c>
      <c r="D23" s="15" t="s">
        <v>24</v>
      </c>
      <c r="E23" s="15" t="s">
        <v>135</v>
      </c>
      <c r="F23" s="15" t="s">
        <v>135</v>
      </c>
      <c r="G23" s="15" t="s">
        <v>135</v>
      </c>
      <c r="H23" s="15" t="s">
        <v>135</v>
      </c>
      <c r="I23" s="15" t="s">
        <v>134</v>
      </c>
      <c r="J23" s="15" t="s">
        <v>134</v>
      </c>
      <c r="K23" s="15" t="s">
        <v>134</v>
      </c>
      <c r="L23" s="15" t="s">
        <v>134</v>
      </c>
      <c r="M23" s="15" t="s">
        <v>24</v>
      </c>
      <c r="N23" s="15" t="s">
        <v>24</v>
      </c>
      <c r="O23" s="15" t="s">
        <v>24</v>
      </c>
      <c r="P23" s="15" t="s">
        <v>24</v>
      </c>
      <c r="Q23" s="15" t="s">
        <v>24</v>
      </c>
      <c r="R23" s="15" t="s">
        <v>24</v>
      </c>
      <c r="S23" s="15" t="s">
        <v>24</v>
      </c>
      <c r="T23" s="15" t="s">
        <v>24</v>
      </c>
      <c r="U23" s="15" t="s">
        <v>134</v>
      </c>
      <c r="V23" s="15" t="s">
        <v>22</v>
      </c>
      <c r="W23" s="15" t="s">
        <v>22</v>
      </c>
      <c r="X23" s="15" t="s">
        <v>22</v>
      </c>
      <c r="Y23" s="15" t="s">
        <v>22</v>
      </c>
      <c r="Z23" s="15" t="s">
        <v>22</v>
      </c>
      <c r="AA23" s="15" t="s">
        <v>22</v>
      </c>
      <c r="AB23" s="15" t="s">
        <v>22</v>
      </c>
      <c r="AC23" s="15" t="s">
        <v>22</v>
      </c>
      <c r="AD23" s="15" t="s">
        <v>22</v>
      </c>
      <c r="AE23" s="15" t="s">
        <v>22</v>
      </c>
      <c r="AF23" s="15" t="s">
        <v>22</v>
      </c>
      <c r="AG23" s="15" t="s">
        <v>22</v>
      </c>
      <c r="AH23" s="15" t="s">
        <v>22</v>
      </c>
      <c r="AI23" s="15" t="s">
        <v>134</v>
      </c>
      <c r="AJ23" s="15" t="s">
        <v>134</v>
      </c>
      <c r="AK23" s="15" t="s">
        <v>7</v>
      </c>
      <c r="AL23" s="15" t="s">
        <v>7</v>
      </c>
      <c r="AM23" s="15" t="s">
        <v>7</v>
      </c>
      <c r="AN23" s="15" t="s">
        <v>7</v>
      </c>
      <c r="AO23" s="15" t="s">
        <v>7</v>
      </c>
      <c r="AP23" s="15" t="s">
        <v>7</v>
      </c>
      <c r="AQ23" s="15" t="s">
        <v>24</v>
      </c>
      <c r="AR23" s="15" t="s">
        <v>24</v>
      </c>
      <c r="AS23" s="15" t="s">
        <v>7</v>
      </c>
      <c r="AT23" s="15" t="s">
        <v>7</v>
      </c>
      <c r="AU23" s="15" t="s">
        <v>7</v>
      </c>
      <c r="AV23" s="15" t="s">
        <v>24</v>
      </c>
      <c r="AW23" s="15" t="s">
        <v>136</v>
      </c>
      <c r="AX23" s="15" t="s">
        <v>136</v>
      </c>
      <c r="AY23" s="15" t="s">
        <v>136</v>
      </c>
      <c r="AZ23" s="15" t="s">
        <v>88</v>
      </c>
      <c r="BA23" s="15" t="s">
        <v>24</v>
      </c>
      <c r="BB23" s="15" t="s">
        <v>24</v>
      </c>
      <c r="BC23" s="15" t="s">
        <v>24</v>
      </c>
      <c r="BD23" s="15" t="s">
        <v>24</v>
      </c>
      <c r="BE23" s="15" t="s">
        <v>136</v>
      </c>
      <c r="BF23" s="15" t="s">
        <v>136</v>
      </c>
      <c r="BG23" s="15" t="s">
        <v>136</v>
      </c>
      <c r="BH23" s="15" t="s">
        <v>136</v>
      </c>
      <c r="BI23" s="15" t="s">
        <v>24</v>
      </c>
      <c r="BJ23" s="15" t="s">
        <v>24</v>
      </c>
      <c r="BK23" s="15" t="s">
        <v>24</v>
      </c>
      <c r="BL23" s="15" t="s">
        <v>24</v>
      </c>
      <c r="BM23" s="15" t="s">
        <v>24</v>
      </c>
      <c r="BN23" s="15" t="s">
        <v>24</v>
      </c>
      <c r="BO23" s="15" t="s">
        <v>24</v>
      </c>
      <c r="BP23" s="15" t="s">
        <v>24</v>
      </c>
      <c r="BQ23" s="15" t="s">
        <v>24</v>
      </c>
      <c r="BR23" s="15" t="s">
        <v>24</v>
      </c>
      <c r="BS23" s="15" t="s">
        <v>24</v>
      </c>
      <c r="BT23" s="15" t="s">
        <v>24</v>
      </c>
      <c r="BU23" s="15" t="s">
        <v>7</v>
      </c>
      <c r="BV23" s="15" t="s">
        <v>7</v>
      </c>
      <c r="BW23" s="15" t="s">
        <v>7</v>
      </c>
      <c r="BX23" s="15" t="s">
        <v>7</v>
      </c>
      <c r="BY23" s="15" t="s">
        <v>24</v>
      </c>
      <c r="BZ23" s="15" t="s">
        <v>24</v>
      </c>
      <c r="CA23" s="15" t="s">
        <v>24</v>
      </c>
      <c r="CB23" s="15" t="s">
        <v>24</v>
      </c>
      <c r="CC23" s="15" t="s">
        <v>7</v>
      </c>
      <c r="CD23" s="15" t="s">
        <v>7</v>
      </c>
      <c r="CE23" s="15" t="s">
        <v>7</v>
      </c>
      <c r="CF23" s="15" t="s">
        <v>7</v>
      </c>
      <c r="CG23" s="15" t="s">
        <v>24</v>
      </c>
      <c r="CH23" s="15" t="s">
        <v>24</v>
      </c>
      <c r="CI23" s="15" t="s">
        <v>24</v>
      </c>
      <c r="CJ23" s="15" t="s">
        <v>24</v>
      </c>
      <c r="CK23" s="15" t="s">
        <v>7</v>
      </c>
      <c r="CL23" s="15" t="s">
        <v>7</v>
      </c>
      <c r="CM23" s="15" t="s">
        <v>7</v>
      </c>
      <c r="CN23" s="15" t="s">
        <v>7</v>
      </c>
      <c r="CO23" s="15" t="s">
        <v>7</v>
      </c>
      <c r="CP23" s="15" t="s">
        <v>7</v>
      </c>
      <c r="CQ23" s="15" t="s">
        <v>7</v>
      </c>
      <c r="CR23" s="15" t="s">
        <v>7</v>
      </c>
      <c r="CS23" s="15" t="s">
        <v>136</v>
      </c>
      <c r="CT23" s="15" t="s">
        <v>136</v>
      </c>
      <c r="CU23" s="15" t="s">
        <v>136</v>
      </c>
      <c r="CV23" s="15" t="s">
        <v>136</v>
      </c>
      <c r="CW23" s="15" t="s">
        <v>7</v>
      </c>
      <c r="CX23" s="15" t="s">
        <v>7</v>
      </c>
      <c r="CY23" s="15" t="s">
        <v>7</v>
      </c>
      <c r="CZ23" s="15" t="s">
        <v>7</v>
      </c>
      <c r="DA23" s="15" t="s">
        <v>134</v>
      </c>
      <c r="DB23" s="15" t="s">
        <v>134</v>
      </c>
      <c r="DC23" s="15" t="s">
        <v>134</v>
      </c>
      <c r="DD23" s="15" t="s">
        <v>134</v>
      </c>
      <c r="DE23" s="15" t="s">
        <v>134</v>
      </c>
    </row>
    <row r="24" spans="1:109" x14ac:dyDescent="0.3">
      <c r="A24" s="15" t="s">
        <v>136</v>
      </c>
      <c r="B24" s="15" t="s">
        <v>136</v>
      </c>
      <c r="C24" s="15" t="s">
        <v>136</v>
      </c>
      <c r="D24" s="15" t="s">
        <v>136</v>
      </c>
      <c r="E24" s="15" t="s">
        <v>24</v>
      </c>
      <c r="F24" s="15" t="s">
        <v>24</v>
      </c>
      <c r="G24" s="15" t="s">
        <v>24</v>
      </c>
      <c r="H24" s="15" t="s">
        <v>24</v>
      </c>
      <c r="I24" s="15" t="s">
        <v>135</v>
      </c>
      <c r="J24" s="15" t="s">
        <v>135</v>
      </c>
      <c r="K24" s="15" t="s">
        <v>135</v>
      </c>
      <c r="L24" s="15" t="s">
        <v>135</v>
      </c>
      <c r="M24" s="15" t="s">
        <v>136</v>
      </c>
      <c r="N24" s="15" t="s">
        <v>136</v>
      </c>
      <c r="O24" s="15" t="s">
        <v>136</v>
      </c>
      <c r="P24" s="15" t="s">
        <v>136</v>
      </c>
      <c r="Q24" s="15" t="s">
        <v>136</v>
      </c>
      <c r="R24" s="15" t="s">
        <v>136</v>
      </c>
      <c r="S24" s="15" t="s">
        <v>136</v>
      </c>
      <c r="T24" s="15" t="s">
        <v>136</v>
      </c>
      <c r="U24" s="15" t="s">
        <v>24</v>
      </c>
      <c r="V24" s="15" t="s">
        <v>134</v>
      </c>
      <c r="W24" s="15" t="s">
        <v>134</v>
      </c>
      <c r="X24" s="15" t="s">
        <v>134</v>
      </c>
      <c r="Y24" s="15" t="s">
        <v>134</v>
      </c>
      <c r="Z24" s="15" t="s">
        <v>134</v>
      </c>
      <c r="AA24" s="15" t="s">
        <v>134</v>
      </c>
      <c r="AB24" s="15" t="s">
        <v>134</v>
      </c>
      <c r="AC24" s="15" t="s">
        <v>134</v>
      </c>
      <c r="AD24" s="15" t="s">
        <v>134</v>
      </c>
      <c r="AE24" s="15" t="s">
        <v>134</v>
      </c>
      <c r="AF24" s="15" t="s">
        <v>134</v>
      </c>
      <c r="AG24" s="15" t="s">
        <v>134</v>
      </c>
      <c r="AH24" s="15" t="s">
        <v>134</v>
      </c>
      <c r="AI24" s="15" t="s">
        <v>7</v>
      </c>
      <c r="AJ24" s="15" t="s">
        <v>7</v>
      </c>
      <c r="AK24" s="15" t="s">
        <v>24</v>
      </c>
      <c r="AL24" s="15" t="s">
        <v>24</v>
      </c>
      <c r="AM24" s="15" t="s">
        <v>24</v>
      </c>
      <c r="AN24" s="15" t="s">
        <v>24</v>
      </c>
      <c r="AO24" s="15" t="s">
        <v>24</v>
      </c>
      <c r="AP24" s="15" t="s">
        <v>24</v>
      </c>
      <c r="AQ24" s="15" t="s">
        <v>136</v>
      </c>
      <c r="AR24" s="15" t="s">
        <v>136</v>
      </c>
      <c r="AS24" s="15" t="s">
        <v>24</v>
      </c>
      <c r="AT24" s="15" t="s">
        <v>24</v>
      </c>
      <c r="AU24" s="15" t="s">
        <v>24</v>
      </c>
      <c r="AV24" s="15" t="s">
        <v>136</v>
      </c>
      <c r="AW24" s="15" t="s">
        <v>88</v>
      </c>
      <c r="AX24" s="15" t="s">
        <v>88</v>
      </c>
      <c r="AY24" s="15" t="s">
        <v>88</v>
      </c>
      <c r="AZ24" s="15" t="s">
        <v>26</v>
      </c>
      <c r="BA24" s="15" t="s">
        <v>136</v>
      </c>
      <c r="BB24" s="15" t="s">
        <v>136</v>
      </c>
      <c r="BC24" s="15" t="s">
        <v>136</v>
      </c>
      <c r="BD24" s="15" t="s">
        <v>136</v>
      </c>
      <c r="BE24" s="15" t="s">
        <v>88</v>
      </c>
      <c r="BF24" s="15" t="s">
        <v>88</v>
      </c>
      <c r="BG24" s="15" t="s">
        <v>26</v>
      </c>
      <c r="BH24" s="15" t="s">
        <v>26</v>
      </c>
      <c r="BI24" s="15" t="s">
        <v>136</v>
      </c>
      <c r="BJ24" s="15" t="s">
        <v>136</v>
      </c>
      <c r="BK24" s="15" t="s">
        <v>136</v>
      </c>
      <c r="BL24" s="15" t="s">
        <v>136</v>
      </c>
      <c r="BM24" s="15" t="s">
        <v>136</v>
      </c>
      <c r="BN24" s="15" t="s">
        <v>136</v>
      </c>
      <c r="BO24" s="15" t="s">
        <v>136</v>
      </c>
      <c r="BP24" s="15" t="s">
        <v>136</v>
      </c>
      <c r="BQ24" s="15" t="s">
        <v>136</v>
      </c>
      <c r="BR24" s="15" t="s">
        <v>136</v>
      </c>
      <c r="BS24" s="15" t="s">
        <v>136</v>
      </c>
      <c r="BT24" s="15" t="s">
        <v>136</v>
      </c>
      <c r="BU24" s="15" t="s">
        <v>24</v>
      </c>
      <c r="BV24" s="15" t="s">
        <v>24</v>
      </c>
      <c r="BW24" s="15" t="s">
        <v>24</v>
      </c>
      <c r="BX24" s="15" t="s">
        <v>24</v>
      </c>
      <c r="BY24" s="15" t="s">
        <v>136</v>
      </c>
      <c r="BZ24" s="15" t="s">
        <v>136</v>
      </c>
      <c r="CA24" s="15" t="s">
        <v>136</v>
      </c>
      <c r="CB24" s="15" t="s">
        <v>136</v>
      </c>
      <c r="CC24" s="15" t="s">
        <v>24</v>
      </c>
      <c r="CD24" s="15" t="s">
        <v>24</v>
      </c>
      <c r="CE24" s="15" t="s">
        <v>24</v>
      </c>
      <c r="CF24" s="15" t="s">
        <v>24</v>
      </c>
      <c r="CG24" s="15" t="s">
        <v>136</v>
      </c>
      <c r="CH24" s="15" t="s">
        <v>136</v>
      </c>
      <c r="CI24" s="15" t="s">
        <v>136</v>
      </c>
      <c r="CJ24" s="15" t="s">
        <v>136</v>
      </c>
      <c r="CK24" s="15" t="s">
        <v>24</v>
      </c>
      <c r="CL24" s="15" t="s">
        <v>24</v>
      </c>
      <c r="CM24" s="15" t="s">
        <v>24</v>
      </c>
      <c r="CN24" s="15" t="s">
        <v>24</v>
      </c>
      <c r="CO24" s="15" t="s">
        <v>136</v>
      </c>
      <c r="CP24" s="15" t="s">
        <v>136</v>
      </c>
      <c r="CQ24" s="15" t="s">
        <v>136</v>
      </c>
      <c r="CR24" s="15" t="s">
        <v>136</v>
      </c>
      <c r="CS24" s="15" t="s">
        <v>25</v>
      </c>
      <c r="CT24" s="15" t="s">
        <v>25</v>
      </c>
      <c r="CU24" s="15" t="s">
        <v>25</v>
      </c>
      <c r="CV24" s="15" t="s">
        <v>25</v>
      </c>
      <c r="CW24" s="15" t="s">
        <v>136</v>
      </c>
      <c r="CX24" s="15" t="s">
        <v>136</v>
      </c>
      <c r="CY24" s="15" t="s">
        <v>136</v>
      </c>
      <c r="CZ24" s="15" t="s">
        <v>136</v>
      </c>
      <c r="DA24" s="15" t="s">
        <v>7</v>
      </c>
      <c r="DB24" s="15" t="s">
        <v>7</v>
      </c>
      <c r="DC24" s="15" t="s">
        <v>7</v>
      </c>
      <c r="DD24" s="15" t="s">
        <v>7</v>
      </c>
      <c r="DE24" s="15" t="s">
        <v>7</v>
      </c>
    </row>
    <row r="25" spans="1:109" x14ac:dyDescent="0.3">
      <c r="A25" s="15" t="s">
        <v>88</v>
      </c>
      <c r="B25" s="15" t="s">
        <v>88</v>
      </c>
      <c r="C25" s="15" t="s">
        <v>88</v>
      </c>
      <c r="D25" s="15" t="s">
        <v>88</v>
      </c>
      <c r="E25" s="15" t="s">
        <v>136</v>
      </c>
      <c r="F25" s="15" t="s">
        <v>136</v>
      </c>
      <c r="G25" s="15" t="s">
        <v>136</v>
      </c>
      <c r="H25" s="15" t="s">
        <v>136</v>
      </c>
      <c r="I25" s="15" t="s">
        <v>24</v>
      </c>
      <c r="J25" s="15" t="s">
        <v>24</v>
      </c>
      <c r="K25" s="15" t="s">
        <v>24</v>
      </c>
      <c r="L25" s="15" t="s">
        <v>24</v>
      </c>
      <c r="M25" s="15" t="s">
        <v>88</v>
      </c>
      <c r="N25" s="15" t="s">
        <v>88</v>
      </c>
      <c r="O25" s="15" t="s">
        <v>88</v>
      </c>
      <c r="P25" s="15" t="s">
        <v>88</v>
      </c>
      <c r="Q25" s="15" t="s">
        <v>88</v>
      </c>
      <c r="R25" s="15" t="s">
        <v>88</v>
      </c>
      <c r="S25" s="15" t="s">
        <v>88</v>
      </c>
      <c r="T25" s="15" t="s">
        <v>88</v>
      </c>
      <c r="U25" s="15" t="s">
        <v>136</v>
      </c>
      <c r="V25" s="15" t="s">
        <v>24</v>
      </c>
      <c r="W25" s="15" t="s">
        <v>24</v>
      </c>
      <c r="X25" s="15" t="s">
        <v>24</v>
      </c>
      <c r="Y25" s="15" t="s">
        <v>7</v>
      </c>
      <c r="Z25" s="15" t="s">
        <v>7</v>
      </c>
      <c r="AA25" s="15" t="s">
        <v>7</v>
      </c>
      <c r="AB25" s="15" t="s">
        <v>7</v>
      </c>
      <c r="AC25" s="15" t="s">
        <v>7</v>
      </c>
      <c r="AD25" s="15" t="s">
        <v>7</v>
      </c>
      <c r="AE25" s="15" t="s">
        <v>7</v>
      </c>
      <c r="AF25" s="15" t="s">
        <v>7</v>
      </c>
      <c r="AG25" s="15" t="s">
        <v>7</v>
      </c>
      <c r="AH25" s="15" t="s">
        <v>7</v>
      </c>
      <c r="AI25" s="15" t="s">
        <v>24</v>
      </c>
      <c r="AJ25" s="15" t="s">
        <v>24</v>
      </c>
      <c r="AK25" s="15" t="s">
        <v>136</v>
      </c>
      <c r="AL25" s="15" t="s">
        <v>136</v>
      </c>
      <c r="AM25" s="15" t="s">
        <v>136</v>
      </c>
      <c r="AN25" s="15" t="s">
        <v>136</v>
      </c>
      <c r="AO25" s="15" t="s">
        <v>136</v>
      </c>
      <c r="AP25" s="15" t="s">
        <v>136</v>
      </c>
      <c r="AQ25" s="15" t="s">
        <v>88</v>
      </c>
      <c r="AR25" s="15" t="s">
        <v>88</v>
      </c>
      <c r="AS25" s="15" t="s">
        <v>136</v>
      </c>
      <c r="AT25" s="15" t="s">
        <v>136</v>
      </c>
      <c r="AU25" s="15" t="s">
        <v>136</v>
      </c>
      <c r="AV25" s="15" t="s">
        <v>88</v>
      </c>
      <c r="AW25" s="15" t="s">
        <v>26</v>
      </c>
      <c r="AX25" s="15" t="s">
        <v>26</v>
      </c>
      <c r="AY25" s="15" t="s">
        <v>26</v>
      </c>
      <c r="AZ25" s="15" t="s">
        <v>27</v>
      </c>
      <c r="BA25" s="15" t="s">
        <v>88</v>
      </c>
      <c r="BB25" s="15" t="s">
        <v>88</v>
      </c>
      <c r="BC25" s="15" t="s">
        <v>88</v>
      </c>
      <c r="BD25" s="15" t="s">
        <v>88</v>
      </c>
      <c r="BE25" s="15" t="s">
        <v>26</v>
      </c>
      <c r="BF25" s="15" t="s">
        <v>26</v>
      </c>
      <c r="BG25" s="15" t="s">
        <v>27</v>
      </c>
      <c r="BH25" s="15" t="s">
        <v>27</v>
      </c>
      <c r="BI25" s="15" t="s">
        <v>26</v>
      </c>
      <c r="BJ25" s="15" t="s">
        <v>26</v>
      </c>
      <c r="BK25" s="15" t="s">
        <v>26</v>
      </c>
      <c r="BL25" s="15" t="s">
        <v>26</v>
      </c>
      <c r="BM25" s="15" t="s">
        <v>26</v>
      </c>
      <c r="BN25" s="15" t="s">
        <v>26</v>
      </c>
      <c r="BO25" s="15" t="s">
        <v>26</v>
      </c>
      <c r="BP25" s="15" t="s">
        <v>26</v>
      </c>
      <c r="BQ25" s="15" t="s">
        <v>26</v>
      </c>
      <c r="BR25" s="15" t="s">
        <v>26</v>
      </c>
      <c r="BS25" s="15" t="s">
        <v>26</v>
      </c>
      <c r="BT25" s="15" t="s">
        <v>26</v>
      </c>
      <c r="BU25" s="15" t="s">
        <v>136</v>
      </c>
      <c r="BV25" s="15" t="s">
        <v>136</v>
      </c>
      <c r="BW25" s="15" t="s">
        <v>136</v>
      </c>
      <c r="BX25" s="15" t="s">
        <v>136</v>
      </c>
      <c r="BY25" s="15" t="s">
        <v>26</v>
      </c>
      <c r="BZ25" s="15" t="s">
        <v>26</v>
      </c>
      <c r="CA25" s="15" t="s">
        <v>26</v>
      </c>
      <c r="CB25" s="15" t="s">
        <v>26</v>
      </c>
      <c r="CC25" s="15" t="s">
        <v>136</v>
      </c>
      <c r="CD25" s="15" t="s">
        <v>136</v>
      </c>
      <c r="CE25" s="15" t="s">
        <v>136</v>
      </c>
      <c r="CF25" s="15" t="s">
        <v>136</v>
      </c>
      <c r="CG25" s="15" t="s">
        <v>25</v>
      </c>
      <c r="CH25" s="15" t="s">
        <v>25</v>
      </c>
      <c r="CI25" s="15" t="s">
        <v>25</v>
      </c>
      <c r="CJ25" s="15" t="s">
        <v>25</v>
      </c>
      <c r="CK25" s="15" t="s">
        <v>136</v>
      </c>
      <c r="CL25" s="15" t="s">
        <v>136</v>
      </c>
      <c r="CM25" s="15" t="s">
        <v>136</v>
      </c>
      <c r="CN25" s="15" t="s">
        <v>136</v>
      </c>
      <c r="CO25" s="15" t="s">
        <v>25</v>
      </c>
      <c r="CP25" s="15" t="s">
        <v>25</v>
      </c>
      <c r="CQ25" s="15" t="s">
        <v>25</v>
      </c>
      <c r="CR25" s="15" t="s">
        <v>25</v>
      </c>
      <c r="CS25" s="15" t="s">
        <v>26</v>
      </c>
      <c r="CT25" s="15" t="s">
        <v>26</v>
      </c>
      <c r="CU25" s="15" t="s">
        <v>26</v>
      </c>
      <c r="CV25" s="15" t="s">
        <v>26</v>
      </c>
      <c r="CW25" s="15" t="s">
        <v>25</v>
      </c>
      <c r="CX25" s="15" t="s">
        <v>25</v>
      </c>
      <c r="CY25" s="15" t="s">
        <v>25</v>
      </c>
      <c r="CZ25" s="15" t="s">
        <v>25</v>
      </c>
      <c r="DA25" s="15" t="s">
        <v>24</v>
      </c>
      <c r="DB25" s="15" t="s">
        <v>24</v>
      </c>
      <c r="DC25" s="15" t="s">
        <v>24</v>
      </c>
      <c r="DD25" s="15" t="s">
        <v>24</v>
      </c>
      <c r="DE25" s="15" t="s">
        <v>24</v>
      </c>
    </row>
    <row r="26" spans="1:109" x14ac:dyDescent="0.3">
      <c r="A26" s="15" t="s">
        <v>26</v>
      </c>
      <c r="B26" s="15" t="s">
        <v>26</v>
      </c>
      <c r="C26" s="15" t="s">
        <v>26</v>
      </c>
      <c r="D26" s="15" t="s">
        <v>26</v>
      </c>
      <c r="E26" s="15" t="s">
        <v>88</v>
      </c>
      <c r="F26" s="15" t="s">
        <v>88</v>
      </c>
      <c r="G26" s="15" t="s">
        <v>88</v>
      </c>
      <c r="H26" s="15" t="s">
        <v>88</v>
      </c>
      <c r="I26" s="15" t="s">
        <v>136</v>
      </c>
      <c r="J26" s="15" t="s">
        <v>136</v>
      </c>
      <c r="K26" s="15" t="s">
        <v>136</v>
      </c>
      <c r="L26" s="15" t="s">
        <v>136</v>
      </c>
      <c r="M26" s="15" t="s">
        <v>26</v>
      </c>
      <c r="N26" s="15" t="s">
        <v>26</v>
      </c>
      <c r="O26" s="15" t="s">
        <v>26</v>
      </c>
      <c r="P26" s="15" t="s">
        <v>26</v>
      </c>
      <c r="Q26" s="15" t="s">
        <v>26</v>
      </c>
      <c r="R26" s="15" t="s">
        <v>26</v>
      </c>
      <c r="S26" s="15" t="s">
        <v>26</v>
      </c>
      <c r="T26" s="15" t="s">
        <v>26</v>
      </c>
      <c r="U26" s="15" t="s">
        <v>88</v>
      </c>
      <c r="V26" s="15" t="s">
        <v>136</v>
      </c>
      <c r="W26" s="15" t="s">
        <v>136</v>
      </c>
      <c r="X26" s="15" t="s">
        <v>136</v>
      </c>
      <c r="Y26" s="15" t="s">
        <v>24</v>
      </c>
      <c r="Z26" s="15" t="s">
        <v>24</v>
      </c>
      <c r="AA26" s="15" t="s">
        <v>24</v>
      </c>
      <c r="AB26" s="15" t="s">
        <v>24</v>
      </c>
      <c r="AC26" s="15" t="s">
        <v>24</v>
      </c>
      <c r="AD26" s="15" t="s">
        <v>24</v>
      </c>
      <c r="AE26" s="15" t="s">
        <v>24</v>
      </c>
      <c r="AF26" s="15" t="s">
        <v>24</v>
      </c>
      <c r="AG26" s="15" t="s">
        <v>24</v>
      </c>
      <c r="AH26" s="15" t="s">
        <v>24</v>
      </c>
      <c r="AI26" s="15" t="s">
        <v>136</v>
      </c>
      <c r="AJ26" s="15" t="s">
        <v>136</v>
      </c>
      <c r="AK26" s="15" t="s">
        <v>88</v>
      </c>
      <c r="AL26" s="15" t="s">
        <v>88</v>
      </c>
      <c r="AM26" s="15" t="s">
        <v>88</v>
      </c>
      <c r="AN26" s="15" t="s">
        <v>88</v>
      </c>
      <c r="AO26" s="15" t="s">
        <v>88</v>
      </c>
      <c r="AP26" s="15" t="s">
        <v>88</v>
      </c>
      <c r="AQ26" s="15" t="s">
        <v>26</v>
      </c>
      <c r="AR26" s="15" t="s">
        <v>26</v>
      </c>
      <c r="AS26" s="15" t="s">
        <v>88</v>
      </c>
      <c r="AT26" s="15" t="s">
        <v>88</v>
      </c>
      <c r="AU26" s="15" t="s">
        <v>88</v>
      </c>
      <c r="AV26" s="15" t="s">
        <v>26</v>
      </c>
      <c r="AW26" s="15" t="s">
        <v>27</v>
      </c>
      <c r="AX26" s="15" t="s">
        <v>27</v>
      </c>
      <c r="AY26" s="15" t="s">
        <v>27</v>
      </c>
      <c r="AZ26" s="15" t="s">
        <v>76</v>
      </c>
      <c r="BA26" s="15" t="s">
        <v>26</v>
      </c>
      <c r="BB26" s="15" t="s">
        <v>26</v>
      </c>
      <c r="BC26" s="15" t="s">
        <v>26</v>
      </c>
      <c r="BD26" s="15" t="s">
        <v>26</v>
      </c>
      <c r="BE26" s="15" t="s">
        <v>27</v>
      </c>
      <c r="BF26" s="15" t="s">
        <v>27</v>
      </c>
      <c r="BG26" s="15" t="s">
        <v>76</v>
      </c>
      <c r="BH26" s="15" t="s">
        <v>76</v>
      </c>
      <c r="BI26" s="15" t="s">
        <v>76</v>
      </c>
      <c r="BJ26" s="15" t="s">
        <v>76</v>
      </c>
      <c r="BK26" s="15" t="s">
        <v>76</v>
      </c>
      <c r="BL26" s="15" t="s">
        <v>76</v>
      </c>
      <c r="BM26" s="15" t="s">
        <v>76</v>
      </c>
      <c r="BN26" s="15" t="s">
        <v>76</v>
      </c>
      <c r="BO26" s="15" t="s">
        <v>76</v>
      </c>
      <c r="BP26" s="15" t="s">
        <v>76</v>
      </c>
      <c r="BQ26" s="15" t="s">
        <v>76</v>
      </c>
      <c r="BR26" s="15" t="s">
        <v>76</v>
      </c>
      <c r="BS26" s="15" t="s">
        <v>76</v>
      </c>
      <c r="BT26" s="15" t="s">
        <v>76</v>
      </c>
      <c r="BU26" s="15" t="s">
        <v>26</v>
      </c>
      <c r="BV26" s="15" t="s">
        <v>26</v>
      </c>
      <c r="BW26" s="15" t="s">
        <v>26</v>
      </c>
      <c r="BX26" s="15" t="s">
        <v>26</v>
      </c>
      <c r="BY26" s="15" t="s">
        <v>27</v>
      </c>
      <c r="BZ26" s="15" t="s">
        <v>27</v>
      </c>
      <c r="CA26" s="15" t="s">
        <v>27</v>
      </c>
      <c r="CB26" s="15" t="s">
        <v>27</v>
      </c>
      <c r="CC26" s="15" t="s">
        <v>26</v>
      </c>
      <c r="CD26" s="15" t="s">
        <v>26</v>
      </c>
      <c r="CE26" s="15" t="s">
        <v>26</v>
      </c>
      <c r="CF26" s="15" t="s">
        <v>26</v>
      </c>
      <c r="CG26" s="15" t="s">
        <v>26</v>
      </c>
      <c r="CH26" s="15" t="s">
        <v>26</v>
      </c>
      <c r="CI26" s="15" t="s">
        <v>26</v>
      </c>
      <c r="CJ26" s="15" t="s">
        <v>26</v>
      </c>
      <c r="CK26" s="15" t="s">
        <v>25</v>
      </c>
      <c r="CL26" s="15" t="s">
        <v>25</v>
      </c>
      <c r="CM26" s="15" t="s">
        <v>25</v>
      </c>
      <c r="CN26" s="15" t="s">
        <v>25</v>
      </c>
      <c r="CO26" s="15" t="s">
        <v>26</v>
      </c>
      <c r="CP26" s="15" t="s">
        <v>26</v>
      </c>
      <c r="CQ26" s="15" t="s">
        <v>26</v>
      </c>
      <c r="CR26" s="15" t="s">
        <v>26</v>
      </c>
      <c r="CS26" s="15" t="s">
        <v>27</v>
      </c>
      <c r="CT26" s="15" t="s">
        <v>27</v>
      </c>
      <c r="CU26" s="15" t="s">
        <v>27</v>
      </c>
      <c r="CV26" s="15" t="s">
        <v>27</v>
      </c>
      <c r="CW26" s="15" t="s">
        <v>26</v>
      </c>
      <c r="CX26" s="15" t="s">
        <v>26</v>
      </c>
      <c r="CY26" s="15" t="s">
        <v>26</v>
      </c>
      <c r="CZ26" s="15" t="s">
        <v>26</v>
      </c>
      <c r="DA26" s="15" t="s">
        <v>136</v>
      </c>
      <c r="DB26" s="15" t="s">
        <v>136</v>
      </c>
      <c r="DC26" s="15" t="s">
        <v>136</v>
      </c>
      <c r="DD26" s="15" t="s">
        <v>136</v>
      </c>
      <c r="DE26" s="15" t="s">
        <v>136</v>
      </c>
    </row>
    <row r="27" spans="1:109" x14ac:dyDescent="0.3">
      <c r="A27" s="15" t="s">
        <v>27</v>
      </c>
      <c r="B27" s="15" t="s">
        <v>27</v>
      </c>
      <c r="C27" s="15" t="s">
        <v>27</v>
      </c>
      <c r="D27" s="15" t="s">
        <v>27</v>
      </c>
      <c r="E27" s="15" t="s">
        <v>26</v>
      </c>
      <c r="F27" s="15" t="s">
        <v>26</v>
      </c>
      <c r="G27" s="15" t="s">
        <v>26</v>
      </c>
      <c r="H27" s="15" t="s">
        <v>26</v>
      </c>
      <c r="I27" s="15" t="s">
        <v>88</v>
      </c>
      <c r="J27" s="15" t="s">
        <v>88</v>
      </c>
      <c r="K27" s="15" t="s">
        <v>88</v>
      </c>
      <c r="L27" s="15" t="s">
        <v>88</v>
      </c>
      <c r="M27" s="15" t="s">
        <v>27</v>
      </c>
      <c r="N27" s="15" t="s">
        <v>27</v>
      </c>
      <c r="O27" s="15" t="s">
        <v>27</v>
      </c>
      <c r="P27" s="15" t="s">
        <v>27</v>
      </c>
      <c r="Q27" s="15" t="s">
        <v>27</v>
      </c>
      <c r="R27" s="15" t="s">
        <v>27</v>
      </c>
      <c r="S27" s="15" t="s">
        <v>27</v>
      </c>
      <c r="T27" s="15" t="s">
        <v>27</v>
      </c>
      <c r="U27" s="15" t="s">
        <v>26</v>
      </c>
      <c r="V27" s="15" t="s">
        <v>88</v>
      </c>
      <c r="W27" s="15" t="s">
        <v>88</v>
      </c>
      <c r="X27" s="15" t="s">
        <v>88</v>
      </c>
      <c r="Y27" s="15" t="s">
        <v>136</v>
      </c>
      <c r="Z27" s="15" t="s">
        <v>136</v>
      </c>
      <c r="AA27" s="15" t="s">
        <v>136</v>
      </c>
      <c r="AB27" s="15" t="s">
        <v>136</v>
      </c>
      <c r="AC27" s="15" t="s">
        <v>136</v>
      </c>
      <c r="AD27" s="15" t="s">
        <v>136</v>
      </c>
      <c r="AE27" s="15" t="s">
        <v>136</v>
      </c>
      <c r="AF27" s="15" t="s">
        <v>136</v>
      </c>
      <c r="AG27" s="15" t="s">
        <v>136</v>
      </c>
      <c r="AH27" s="15" t="s">
        <v>136</v>
      </c>
      <c r="AI27" s="15" t="s">
        <v>88</v>
      </c>
      <c r="AJ27" s="15" t="s">
        <v>88</v>
      </c>
      <c r="AK27" s="15" t="s">
        <v>26</v>
      </c>
      <c r="AL27" s="15" t="s">
        <v>26</v>
      </c>
      <c r="AM27" s="15" t="s">
        <v>26</v>
      </c>
      <c r="AN27" s="15" t="s">
        <v>26</v>
      </c>
      <c r="AO27" s="15" t="s">
        <v>26</v>
      </c>
      <c r="AP27" s="15" t="s">
        <v>26</v>
      </c>
      <c r="AQ27" s="15" t="s">
        <v>27</v>
      </c>
      <c r="AR27" s="15" t="s">
        <v>27</v>
      </c>
      <c r="AS27" s="15" t="s">
        <v>26</v>
      </c>
      <c r="AT27" s="15" t="s">
        <v>26</v>
      </c>
      <c r="AU27" s="15" t="s">
        <v>26</v>
      </c>
      <c r="AV27" s="15" t="s">
        <v>76</v>
      </c>
      <c r="AW27" s="15" t="s">
        <v>76</v>
      </c>
      <c r="AX27" s="15" t="s">
        <v>76</v>
      </c>
      <c r="AY27" s="15" t="s">
        <v>76</v>
      </c>
      <c r="AZ27" s="15" t="s">
        <v>92</v>
      </c>
      <c r="BA27" s="15" t="s">
        <v>27</v>
      </c>
      <c r="BB27" s="15" t="s">
        <v>27</v>
      </c>
      <c r="BC27" s="15" t="s">
        <v>27</v>
      </c>
      <c r="BD27" s="15" t="s">
        <v>27</v>
      </c>
      <c r="BE27" s="15" t="s">
        <v>76</v>
      </c>
      <c r="BF27" s="15" t="s">
        <v>76</v>
      </c>
      <c r="BG27" s="15" t="s">
        <v>92</v>
      </c>
      <c r="BH27" s="15" t="s">
        <v>92</v>
      </c>
      <c r="BI27" s="15" t="s">
        <v>92</v>
      </c>
      <c r="BJ27" s="15" t="s">
        <v>92</v>
      </c>
      <c r="BK27" s="15" t="s">
        <v>92</v>
      </c>
      <c r="BL27" s="15" t="s">
        <v>92</v>
      </c>
      <c r="BM27" s="15" t="s">
        <v>92</v>
      </c>
      <c r="BN27" s="15" t="s">
        <v>92</v>
      </c>
      <c r="BO27" s="15" t="s">
        <v>92</v>
      </c>
      <c r="BP27" s="15" t="s">
        <v>92</v>
      </c>
      <c r="BQ27" s="15" t="s">
        <v>92</v>
      </c>
      <c r="BR27" s="15" t="s">
        <v>92</v>
      </c>
      <c r="BS27" s="15" t="s">
        <v>92</v>
      </c>
      <c r="BT27" s="15" t="s">
        <v>92</v>
      </c>
      <c r="BU27" s="15" t="s">
        <v>27</v>
      </c>
      <c r="BV27" s="15" t="s">
        <v>27</v>
      </c>
      <c r="BW27" s="15" t="s">
        <v>27</v>
      </c>
      <c r="BX27" s="15" t="s">
        <v>27</v>
      </c>
      <c r="BY27" s="15" t="s">
        <v>76</v>
      </c>
      <c r="BZ27" s="15" t="s">
        <v>76</v>
      </c>
      <c r="CA27" s="15" t="s">
        <v>76</v>
      </c>
      <c r="CB27" s="15" t="s">
        <v>76</v>
      </c>
      <c r="CC27" s="15" t="s">
        <v>27</v>
      </c>
      <c r="CD27" s="15" t="s">
        <v>27</v>
      </c>
      <c r="CE27" s="15" t="s">
        <v>27</v>
      </c>
      <c r="CF27" s="15" t="s">
        <v>27</v>
      </c>
      <c r="CG27" s="15" t="s">
        <v>27</v>
      </c>
      <c r="CH27" s="15" t="s">
        <v>27</v>
      </c>
      <c r="CI27" s="15" t="s">
        <v>27</v>
      </c>
      <c r="CJ27" s="15" t="s">
        <v>27</v>
      </c>
      <c r="CK27" s="15" t="s">
        <v>26</v>
      </c>
      <c r="CL27" s="15" t="s">
        <v>26</v>
      </c>
      <c r="CM27" s="15" t="s">
        <v>26</v>
      </c>
      <c r="CN27" s="15" t="s">
        <v>26</v>
      </c>
      <c r="CO27" s="15" t="s">
        <v>27</v>
      </c>
      <c r="CP27" s="15" t="s">
        <v>27</v>
      </c>
      <c r="CQ27" s="15" t="s">
        <v>27</v>
      </c>
      <c r="CR27" s="15" t="s">
        <v>27</v>
      </c>
      <c r="CS27" s="15" t="s">
        <v>76</v>
      </c>
      <c r="CT27" s="15" t="s">
        <v>76</v>
      </c>
      <c r="CU27" s="15" t="s">
        <v>76</v>
      </c>
      <c r="CV27" s="15" t="s">
        <v>76</v>
      </c>
      <c r="CW27" s="15" t="s">
        <v>27</v>
      </c>
      <c r="CX27" s="15" t="s">
        <v>27</v>
      </c>
      <c r="CY27" s="15" t="s">
        <v>27</v>
      </c>
      <c r="CZ27" s="15" t="s">
        <v>27</v>
      </c>
      <c r="DA27" s="15" t="s">
        <v>25</v>
      </c>
      <c r="DB27" s="15" t="s">
        <v>25</v>
      </c>
      <c r="DC27" s="15" t="s">
        <v>25</v>
      </c>
      <c r="DD27" s="15" t="s">
        <v>25</v>
      </c>
      <c r="DE27" s="15" t="s">
        <v>25</v>
      </c>
    </row>
    <row r="28" spans="1:109" x14ac:dyDescent="0.3">
      <c r="A28" s="15" t="s">
        <v>76</v>
      </c>
      <c r="B28" s="15" t="s">
        <v>76</v>
      </c>
      <c r="C28" s="15" t="s">
        <v>76</v>
      </c>
      <c r="D28" s="15" t="s">
        <v>76</v>
      </c>
      <c r="E28" s="15" t="s">
        <v>27</v>
      </c>
      <c r="F28" s="15" t="s">
        <v>27</v>
      </c>
      <c r="G28" s="15" t="s">
        <v>27</v>
      </c>
      <c r="H28" s="15" t="s">
        <v>27</v>
      </c>
      <c r="I28" s="15" t="s">
        <v>26</v>
      </c>
      <c r="J28" s="15" t="s">
        <v>26</v>
      </c>
      <c r="K28" s="15" t="s">
        <v>26</v>
      </c>
      <c r="L28" s="15" t="s">
        <v>26</v>
      </c>
      <c r="M28" s="15" t="s">
        <v>76</v>
      </c>
      <c r="N28" s="15" t="s">
        <v>76</v>
      </c>
      <c r="O28" s="15" t="s">
        <v>76</v>
      </c>
      <c r="P28" s="15" t="s">
        <v>76</v>
      </c>
      <c r="Q28" s="15" t="s">
        <v>76</v>
      </c>
      <c r="R28" s="15" t="s">
        <v>76</v>
      </c>
      <c r="S28" s="15" t="s">
        <v>76</v>
      </c>
      <c r="T28" s="15" t="s">
        <v>76</v>
      </c>
      <c r="U28" s="15" t="s">
        <v>27</v>
      </c>
      <c r="V28" s="15" t="s">
        <v>26</v>
      </c>
      <c r="W28" s="15" t="s">
        <v>26</v>
      </c>
      <c r="X28" s="15" t="s">
        <v>26</v>
      </c>
      <c r="Y28" s="15" t="s">
        <v>88</v>
      </c>
      <c r="Z28" s="15" t="s">
        <v>88</v>
      </c>
      <c r="AA28" s="15" t="s">
        <v>88</v>
      </c>
      <c r="AB28" s="15" t="s">
        <v>88</v>
      </c>
      <c r="AC28" s="15" t="s">
        <v>88</v>
      </c>
      <c r="AD28" s="15" t="s">
        <v>88</v>
      </c>
      <c r="AE28" s="15" t="s">
        <v>88</v>
      </c>
      <c r="AF28" s="15" t="s">
        <v>88</v>
      </c>
      <c r="AG28" s="15" t="s">
        <v>88</v>
      </c>
      <c r="AH28" s="15" t="s">
        <v>88</v>
      </c>
      <c r="AI28" s="15" t="s">
        <v>26</v>
      </c>
      <c r="AJ28" s="15" t="s">
        <v>26</v>
      </c>
      <c r="AK28" s="15" t="s">
        <v>27</v>
      </c>
      <c r="AL28" s="15" t="s">
        <v>27</v>
      </c>
      <c r="AM28" s="15" t="s">
        <v>27</v>
      </c>
      <c r="AN28" s="15" t="s">
        <v>27</v>
      </c>
      <c r="AO28" s="15" t="s">
        <v>27</v>
      </c>
      <c r="AP28" s="15" t="s">
        <v>27</v>
      </c>
      <c r="AQ28" s="15" t="s">
        <v>76</v>
      </c>
      <c r="AR28" s="15" t="s">
        <v>76</v>
      </c>
      <c r="AS28" s="15" t="s">
        <v>76</v>
      </c>
      <c r="AT28" s="15" t="s">
        <v>76</v>
      </c>
      <c r="AU28" s="15" t="s">
        <v>76</v>
      </c>
      <c r="AV28" s="15" t="s">
        <v>92</v>
      </c>
      <c r="AW28" s="15" t="s">
        <v>92</v>
      </c>
      <c r="AX28" s="15" t="s">
        <v>92</v>
      </c>
      <c r="AY28" s="15" t="s">
        <v>92</v>
      </c>
      <c r="AZ28" s="15" t="s">
        <v>89</v>
      </c>
      <c r="BA28" s="15" t="s">
        <v>76</v>
      </c>
      <c r="BB28" s="15" t="s">
        <v>76</v>
      </c>
      <c r="BC28" s="15" t="s">
        <v>76</v>
      </c>
      <c r="BD28" s="15" t="s">
        <v>76</v>
      </c>
      <c r="BE28" s="15" t="s">
        <v>92</v>
      </c>
      <c r="BF28" s="15" t="s">
        <v>92</v>
      </c>
      <c r="BG28" s="15" t="s">
        <v>89</v>
      </c>
      <c r="BH28" s="15" t="s">
        <v>89</v>
      </c>
      <c r="BI28" s="15" t="s">
        <v>89</v>
      </c>
      <c r="BJ28" s="15" t="s">
        <v>89</v>
      </c>
      <c r="BK28" s="15" t="s">
        <v>89</v>
      </c>
      <c r="BL28" s="15" t="s">
        <v>89</v>
      </c>
      <c r="BM28" s="15" t="s">
        <v>28</v>
      </c>
      <c r="BN28" s="15" t="s">
        <v>28</v>
      </c>
      <c r="BO28" s="15" t="s">
        <v>28</v>
      </c>
      <c r="BP28" s="15" t="s">
        <v>28</v>
      </c>
      <c r="BQ28" s="15" t="s">
        <v>28</v>
      </c>
      <c r="BR28" s="15" t="s">
        <v>28</v>
      </c>
      <c r="BS28" s="15" t="s">
        <v>28</v>
      </c>
      <c r="BT28" s="15" t="s">
        <v>28</v>
      </c>
      <c r="BU28" s="15" t="s">
        <v>76</v>
      </c>
      <c r="BV28" s="15" t="s">
        <v>76</v>
      </c>
      <c r="BW28" s="15" t="s">
        <v>76</v>
      </c>
      <c r="BX28" s="15" t="s">
        <v>76</v>
      </c>
      <c r="BY28" s="15" t="s">
        <v>28</v>
      </c>
      <c r="BZ28" s="15" t="s">
        <v>28</v>
      </c>
      <c r="CA28" s="15" t="s">
        <v>28</v>
      </c>
      <c r="CB28" s="15" t="s">
        <v>28</v>
      </c>
      <c r="CC28" s="15" t="s">
        <v>76</v>
      </c>
      <c r="CD28" s="15" t="s">
        <v>76</v>
      </c>
      <c r="CE28" s="15" t="s">
        <v>76</v>
      </c>
      <c r="CF28" s="15" t="s">
        <v>76</v>
      </c>
      <c r="CG28" s="15" t="s">
        <v>76</v>
      </c>
      <c r="CH28" s="15" t="s">
        <v>76</v>
      </c>
      <c r="CI28" s="15" t="s">
        <v>76</v>
      </c>
      <c r="CJ28" s="15" t="s">
        <v>76</v>
      </c>
      <c r="CK28" s="15" t="s">
        <v>27</v>
      </c>
      <c r="CL28" s="15" t="s">
        <v>27</v>
      </c>
      <c r="CM28" s="15" t="s">
        <v>27</v>
      </c>
      <c r="CN28" s="15" t="s">
        <v>27</v>
      </c>
      <c r="CO28" s="15" t="s">
        <v>76</v>
      </c>
      <c r="CP28" s="15" t="s">
        <v>76</v>
      </c>
      <c r="CQ28" s="15" t="s">
        <v>76</v>
      </c>
      <c r="CR28" s="15" t="s">
        <v>76</v>
      </c>
      <c r="CS28" s="15" t="s">
        <v>28</v>
      </c>
      <c r="CT28" s="15" t="s">
        <v>28</v>
      </c>
      <c r="CU28" s="15" t="s">
        <v>28</v>
      </c>
      <c r="CV28" s="15" t="s">
        <v>28</v>
      </c>
      <c r="CW28" s="15" t="s">
        <v>76</v>
      </c>
      <c r="CX28" s="15" t="s">
        <v>76</v>
      </c>
      <c r="CY28" s="15" t="s">
        <v>76</v>
      </c>
      <c r="CZ28" s="15" t="s">
        <v>76</v>
      </c>
      <c r="DA28" s="15" t="s">
        <v>26</v>
      </c>
      <c r="DB28" s="15" t="s">
        <v>26</v>
      </c>
      <c r="DC28" s="15" t="s">
        <v>26</v>
      </c>
      <c r="DD28" s="15" t="s">
        <v>26</v>
      </c>
      <c r="DE28" s="15" t="s">
        <v>26</v>
      </c>
    </row>
    <row r="29" spans="1:109" x14ac:dyDescent="0.3">
      <c r="A29" s="15" t="s">
        <v>89</v>
      </c>
      <c r="B29" s="15" t="s">
        <v>89</v>
      </c>
      <c r="C29" s="15" t="s">
        <v>89</v>
      </c>
      <c r="D29" s="15" t="s">
        <v>89</v>
      </c>
      <c r="E29" s="15" t="s">
        <v>76</v>
      </c>
      <c r="F29" s="15" t="s">
        <v>76</v>
      </c>
      <c r="G29" s="15" t="s">
        <v>76</v>
      </c>
      <c r="H29" s="15" t="s">
        <v>76</v>
      </c>
      <c r="I29" s="15" t="s">
        <v>27</v>
      </c>
      <c r="J29" s="15" t="s">
        <v>27</v>
      </c>
      <c r="K29" s="15" t="s">
        <v>27</v>
      </c>
      <c r="L29" s="15" t="s">
        <v>27</v>
      </c>
      <c r="M29" s="15" t="s">
        <v>92</v>
      </c>
      <c r="N29" s="15" t="s">
        <v>92</v>
      </c>
      <c r="O29" s="15" t="s">
        <v>92</v>
      </c>
      <c r="P29" s="15" t="s">
        <v>92</v>
      </c>
      <c r="Q29" s="15" t="s">
        <v>92</v>
      </c>
      <c r="R29" s="15" t="s">
        <v>92</v>
      </c>
      <c r="S29" s="15" t="s">
        <v>92</v>
      </c>
      <c r="T29" s="15" t="s">
        <v>92</v>
      </c>
      <c r="U29" s="15" t="s">
        <v>76</v>
      </c>
      <c r="V29" s="15" t="s">
        <v>27</v>
      </c>
      <c r="W29" s="15" t="s">
        <v>27</v>
      </c>
      <c r="X29" s="15" t="s">
        <v>27</v>
      </c>
      <c r="Y29" s="15" t="s">
        <v>26</v>
      </c>
      <c r="Z29" s="15" t="s">
        <v>26</v>
      </c>
      <c r="AA29" s="15" t="s">
        <v>26</v>
      </c>
      <c r="AB29" s="15" t="s">
        <v>26</v>
      </c>
      <c r="AC29" s="15" t="s">
        <v>26</v>
      </c>
      <c r="AD29" s="15" t="s">
        <v>26</v>
      </c>
      <c r="AE29" s="15" t="s">
        <v>26</v>
      </c>
      <c r="AF29" s="15" t="s">
        <v>26</v>
      </c>
      <c r="AG29" s="15" t="s">
        <v>26</v>
      </c>
      <c r="AH29" s="15" t="s">
        <v>26</v>
      </c>
      <c r="AI29" s="15" t="s">
        <v>27</v>
      </c>
      <c r="AJ29" s="15" t="s">
        <v>27</v>
      </c>
      <c r="AK29" s="15" t="s">
        <v>76</v>
      </c>
      <c r="AL29" s="15" t="s">
        <v>76</v>
      </c>
      <c r="AM29" s="15" t="s">
        <v>76</v>
      </c>
      <c r="AN29" s="15" t="s">
        <v>76</v>
      </c>
      <c r="AO29" s="15" t="s">
        <v>76</v>
      </c>
      <c r="AP29" s="15" t="s">
        <v>76</v>
      </c>
      <c r="AQ29" s="15" t="s">
        <v>92</v>
      </c>
      <c r="AR29" s="15" t="s">
        <v>92</v>
      </c>
      <c r="AS29" s="15" t="s">
        <v>92</v>
      </c>
      <c r="AT29" s="15" t="s">
        <v>92</v>
      </c>
      <c r="AU29" s="15" t="s">
        <v>92</v>
      </c>
      <c r="AV29" s="15" t="s">
        <v>89</v>
      </c>
      <c r="AW29" s="15" t="s">
        <v>89</v>
      </c>
      <c r="AX29" s="15" t="s">
        <v>89</v>
      </c>
      <c r="AY29" s="15" t="s">
        <v>89</v>
      </c>
      <c r="AZ29" s="15" t="s">
        <v>137</v>
      </c>
      <c r="BA29" s="15" t="s">
        <v>92</v>
      </c>
      <c r="BB29" s="15" t="s">
        <v>92</v>
      </c>
      <c r="BC29" s="15" t="s">
        <v>92</v>
      </c>
      <c r="BD29" s="15" t="s">
        <v>92</v>
      </c>
      <c r="BE29" s="15" t="s">
        <v>89</v>
      </c>
      <c r="BF29" s="15" t="s">
        <v>89</v>
      </c>
      <c r="BG29" s="15" t="s">
        <v>114</v>
      </c>
      <c r="BH29" s="15" t="s">
        <v>114</v>
      </c>
      <c r="BI29" s="15" t="s">
        <v>114</v>
      </c>
      <c r="BJ29" s="15" t="s">
        <v>114</v>
      </c>
      <c r="BK29" s="15" t="s">
        <v>114</v>
      </c>
      <c r="BL29" s="15" t="s">
        <v>114</v>
      </c>
      <c r="BM29" s="15" t="s">
        <v>89</v>
      </c>
      <c r="BN29" s="15" t="s">
        <v>89</v>
      </c>
      <c r="BO29" s="15" t="s">
        <v>89</v>
      </c>
      <c r="BP29" s="15" t="s">
        <v>89</v>
      </c>
      <c r="BQ29" s="15" t="s">
        <v>89</v>
      </c>
      <c r="BR29" s="15" t="s">
        <v>89</v>
      </c>
      <c r="BS29" s="15" t="s">
        <v>89</v>
      </c>
      <c r="BT29" s="15" t="s">
        <v>89</v>
      </c>
      <c r="BU29" s="15" t="s">
        <v>92</v>
      </c>
      <c r="BV29" s="15" t="s">
        <v>92</v>
      </c>
      <c r="BW29" s="15" t="s">
        <v>92</v>
      </c>
      <c r="BX29" s="15" t="s">
        <v>28</v>
      </c>
      <c r="BY29" s="15" t="s">
        <v>89</v>
      </c>
      <c r="BZ29" s="15" t="s">
        <v>89</v>
      </c>
      <c r="CA29" s="15" t="s">
        <v>89</v>
      </c>
      <c r="CB29" s="15" t="s">
        <v>89</v>
      </c>
      <c r="CC29" s="15" t="s">
        <v>28</v>
      </c>
      <c r="CD29" s="15" t="s">
        <v>28</v>
      </c>
      <c r="CE29" s="15" t="s">
        <v>28</v>
      </c>
      <c r="CF29" s="15" t="s">
        <v>28</v>
      </c>
      <c r="CG29" s="15" t="s">
        <v>28</v>
      </c>
      <c r="CH29" s="15" t="s">
        <v>28</v>
      </c>
      <c r="CI29" s="15" t="s">
        <v>28</v>
      </c>
      <c r="CJ29" s="15" t="s">
        <v>28</v>
      </c>
      <c r="CK29" s="15" t="s">
        <v>76</v>
      </c>
      <c r="CL29" s="15" t="s">
        <v>76</v>
      </c>
      <c r="CM29" s="15" t="s">
        <v>76</v>
      </c>
      <c r="CN29" s="15" t="s">
        <v>76</v>
      </c>
      <c r="CO29" s="15" t="s">
        <v>28</v>
      </c>
      <c r="CP29" s="15" t="s">
        <v>28</v>
      </c>
      <c r="CQ29" s="15" t="s">
        <v>28</v>
      </c>
      <c r="CR29" s="15" t="s">
        <v>28</v>
      </c>
      <c r="CS29" s="15" t="s">
        <v>89</v>
      </c>
      <c r="CT29" s="15" t="s">
        <v>89</v>
      </c>
      <c r="CU29" s="15" t="s">
        <v>89</v>
      </c>
      <c r="CV29" s="15" t="s">
        <v>89</v>
      </c>
      <c r="CW29" s="15" t="s">
        <v>28</v>
      </c>
      <c r="CX29" s="15" t="s">
        <v>28</v>
      </c>
      <c r="CY29" s="15" t="s">
        <v>28</v>
      </c>
      <c r="CZ29" s="15" t="s">
        <v>28</v>
      </c>
      <c r="DA29" s="15" t="s">
        <v>27</v>
      </c>
      <c r="DB29" s="15" t="s">
        <v>27</v>
      </c>
      <c r="DC29" s="15" t="s">
        <v>27</v>
      </c>
      <c r="DD29" s="15" t="s">
        <v>27</v>
      </c>
      <c r="DE29" s="15" t="s">
        <v>27</v>
      </c>
    </row>
    <row r="30" spans="1:109" x14ac:dyDescent="0.3">
      <c r="A30" s="15" t="s">
        <v>82</v>
      </c>
      <c r="B30" s="15" t="s">
        <v>82</v>
      </c>
      <c r="C30" s="15" t="s">
        <v>82</v>
      </c>
      <c r="D30" s="15" t="s">
        <v>82</v>
      </c>
      <c r="E30" s="15" t="s">
        <v>92</v>
      </c>
      <c r="F30" s="15" t="s">
        <v>92</v>
      </c>
      <c r="G30" s="15" t="s">
        <v>92</v>
      </c>
      <c r="H30" s="15" t="s">
        <v>92</v>
      </c>
      <c r="I30" s="15" t="s">
        <v>76</v>
      </c>
      <c r="J30" s="15" t="s">
        <v>76</v>
      </c>
      <c r="K30" s="15" t="s">
        <v>76</v>
      </c>
      <c r="L30" s="15" t="s">
        <v>76</v>
      </c>
      <c r="M30" s="15" t="s">
        <v>89</v>
      </c>
      <c r="N30" s="15" t="s">
        <v>89</v>
      </c>
      <c r="O30" s="15" t="s">
        <v>89</v>
      </c>
      <c r="P30" s="15" t="s">
        <v>89</v>
      </c>
      <c r="Q30" s="15" t="s">
        <v>89</v>
      </c>
      <c r="R30" s="15" t="s">
        <v>89</v>
      </c>
      <c r="S30" s="15" t="s">
        <v>89</v>
      </c>
      <c r="T30" s="15" t="s">
        <v>89</v>
      </c>
      <c r="U30" s="15" t="s">
        <v>92</v>
      </c>
      <c r="V30" s="15" t="s">
        <v>76</v>
      </c>
      <c r="W30" s="15" t="s">
        <v>76</v>
      </c>
      <c r="X30" s="15" t="s">
        <v>76</v>
      </c>
      <c r="Y30" s="15" t="s">
        <v>27</v>
      </c>
      <c r="Z30" s="15" t="s">
        <v>27</v>
      </c>
      <c r="AA30" s="15" t="s">
        <v>27</v>
      </c>
      <c r="AB30" s="15" t="s">
        <v>27</v>
      </c>
      <c r="AC30" s="15" t="s">
        <v>27</v>
      </c>
      <c r="AD30" s="15" t="s">
        <v>27</v>
      </c>
      <c r="AE30" s="15" t="s">
        <v>27</v>
      </c>
      <c r="AF30" s="15" t="s">
        <v>27</v>
      </c>
      <c r="AG30" s="15" t="s">
        <v>27</v>
      </c>
      <c r="AH30" s="15" t="s">
        <v>27</v>
      </c>
      <c r="AI30" s="15" t="s">
        <v>76</v>
      </c>
      <c r="AJ30" s="15" t="s">
        <v>76</v>
      </c>
      <c r="AK30" s="15" t="s">
        <v>92</v>
      </c>
      <c r="AL30" s="15" t="s">
        <v>92</v>
      </c>
      <c r="AM30" s="15" t="s">
        <v>92</v>
      </c>
      <c r="AN30" s="15" t="s">
        <v>92</v>
      </c>
      <c r="AO30" s="15" t="s">
        <v>92</v>
      </c>
      <c r="AP30" s="15" t="s">
        <v>92</v>
      </c>
      <c r="AQ30" s="15" t="s">
        <v>89</v>
      </c>
      <c r="AR30" s="15" t="s">
        <v>89</v>
      </c>
      <c r="AS30" s="15" t="s">
        <v>89</v>
      </c>
      <c r="AT30" s="15" t="s">
        <v>89</v>
      </c>
      <c r="AU30" s="15" t="s">
        <v>89</v>
      </c>
      <c r="AV30" s="15" t="s">
        <v>114</v>
      </c>
      <c r="AW30" s="15" t="s">
        <v>137</v>
      </c>
      <c r="AX30" s="15" t="s">
        <v>137</v>
      </c>
      <c r="AY30" s="15" t="s">
        <v>137</v>
      </c>
      <c r="AZ30" s="15" t="s">
        <v>114</v>
      </c>
      <c r="BA30" s="15" t="s">
        <v>89</v>
      </c>
      <c r="BB30" s="15" t="s">
        <v>89</v>
      </c>
      <c r="BC30" s="15" t="s">
        <v>89</v>
      </c>
      <c r="BD30" s="15" t="s">
        <v>89</v>
      </c>
      <c r="BE30" s="15" t="s">
        <v>114</v>
      </c>
      <c r="BF30" s="15" t="s">
        <v>114</v>
      </c>
      <c r="BG30" s="15" t="s">
        <v>2</v>
      </c>
      <c r="BH30" s="15" t="s">
        <v>2</v>
      </c>
      <c r="BI30" s="15" t="s">
        <v>2</v>
      </c>
      <c r="BJ30" s="15" t="s">
        <v>2</v>
      </c>
      <c r="BK30" s="15" t="s">
        <v>2</v>
      </c>
      <c r="BL30" s="15" t="s">
        <v>2</v>
      </c>
      <c r="BM30" s="15" t="s">
        <v>114</v>
      </c>
      <c r="BN30" s="15" t="s">
        <v>114</v>
      </c>
      <c r="BO30" s="15" t="s">
        <v>114</v>
      </c>
      <c r="BP30" s="15" t="s">
        <v>114</v>
      </c>
      <c r="BQ30" s="15" t="s">
        <v>114</v>
      </c>
      <c r="BR30" s="15" t="s">
        <v>114</v>
      </c>
      <c r="BS30" s="15" t="s">
        <v>114</v>
      </c>
      <c r="BT30" s="15" t="s">
        <v>114</v>
      </c>
      <c r="BU30" s="15" t="s">
        <v>28</v>
      </c>
      <c r="BV30" s="15" t="s">
        <v>28</v>
      </c>
      <c r="BW30" s="15" t="s">
        <v>28</v>
      </c>
      <c r="BX30" s="15" t="s">
        <v>89</v>
      </c>
      <c r="BY30" s="15" t="s">
        <v>114</v>
      </c>
      <c r="BZ30" s="15" t="s">
        <v>114</v>
      </c>
      <c r="CA30" s="15" t="s">
        <v>114</v>
      </c>
      <c r="CB30" s="15" t="s">
        <v>114</v>
      </c>
      <c r="CC30" s="15" t="s">
        <v>89</v>
      </c>
      <c r="CD30" s="15" t="s">
        <v>89</v>
      </c>
      <c r="CE30" s="15" t="s">
        <v>89</v>
      </c>
      <c r="CF30" s="15" t="s">
        <v>89</v>
      </c>
      <c r="CG30" s="15" t="s">
        <v>89</v>
      </c>
      <c r="CH30" s="15" t="s">
        <v>89</v>
      </c>
      <c r="CI30" s="15" t="s">
        <v>89</v>
      </c>
      <c r="CJ30" s="15" t="s">
        <v>89</v>
      </c>
      <c r="CK30" s="15" t="s">
        <v>28</v>
      </c>
      <c r="CL30" s="15" t="s">
        <v>28</v>
      </c>
      <c r="CM30" s="15" t="s">
        <v>28</v>
      </c>
      <c r="CN30" s="15" t="s">
        <v>28</v>
      </c>
      <c r="CO30" s="15" t="s">
        <v>89</v>
      </c>
      <c r="CP30" s="15" t="s">
        <v>89</v>
      </c>
      <c r="CQ30" s="15" t="s">
        <v>89</v>
      </c>
      <c r="CR30" s="15" t="s">
        <v>89</v>
      </c>
      <c r="CS30" s="15" t="s">
        <v>114</v>
      </c>
      <c r="CT30" s="15" t="s">
        <v>114</v>
      </c>
      <c r="CU30" s="15" t="s">
        <v>114</v>
      </c>
      <c r="CV30" s="15" t="s">
        <v>114</v>
      </c>
      <c r="CW30" s="15" t="s">
        <v>89</v>
      </c>
      <c r="CX30" s="15" t="s">
        <v>89</v>
      </c>
      <c r="CY30" s="15" t="s">
        <v>89</v>
      </c>
      <c r="CZ30" s="15" t="s">
        <v>89</v>
      </c>
      <c r="DA30" s="15" t="s">
        <v>76</v>
      </c>
      <c r="DB30" s="15" t="s">
        <v>76</v>
      </c>
      <c r="DC30" s="15" t="s">
        <v>76</v>
      </c>
      <c r="DD30" s="15" t="s">
        <v>76</v>
      </c>
      <c r="DE30" s="15" t="s">
        <v>76</v>
      </c>
    </row>
    <row r="31" spans="1:109" x14ac:dyDescent="0.3">
      <c r="A31" s="15" t="s">
        <v>114</v>
      </c>
      <c r="B31" s="15" t="s">
        <v>114</v>
      </c>
      <c r="C31" s="15" t="s">
        <v>114</v>
      </c>
      <c r="D31" s="15" t="s">
        <v>114</v>
      </c>
      <c r="E31" s="15" t="s">
        <v>89</v>
      </c>
      <c r="F31" s="15" t="s">
        <v>89</v>
      </c>
      <c r="G31" s="15" t="s">
        <v>89</v>
      </c>
      <c r="H31" s="15" t="s">
        <v>89</v>
      </c>
      <c r="I31" s="15" t="s">
        <v>92</v>
      </c>
      <c r="J31" s="15" t="s">
        <v>92</v>
      </c>
      <c r="K31" s="15" t="s">
        <v>92</v>
      </c>
      <c r="L31" s="15" t="s">
        <v>92</v>
      </c>
      <c r="M31" s="15" t="s">
        <v>82</v>
      </c>
      <c r="N31" s="15" t="s">
        <v>82</v>
      </c>
      <c r="O31" s="15" t="s">
        <v>82</v>
      </c>
      <c r="P31" s="15" t="s">
        <v>82</v>
      </c>
      <c r="Q31" s="15" t="s">
        <v>82</v>
      </c>
      <c r="R31" s="15" t="s">
        <v>82</v>
      </c>
      <c r="S31" s="15" t="s">
        <v>82</v>
      </c>
      <c r="T31" s="15" t="s">
        <v>82</v>
      </c>
      <c r="U31" s="15" t="s">
        <v>89</v>
      </c>
      <c r="V31" s="15" t="s">
        <v>92</v>
      </c>
      <c r="W31" s="15" t="s">
        <v>92</v>
      </c>
      <c r="X31" s="15" t="s">
        <v>92</v>
      </c>
      <c r="Y31" s="15" t="s">
        <v>76</v>
      </c>
      <c r="Z31" s="15" t="s">
        <v>76</v>
      </c>
      <c r="AA31" s="15" t="s">
        <v>76</v>
      </c>
      <c r="AB31" s="15" t="s">
        <v>76</v>
      </c>
      <c r="AC31" s="15" t="s">
        <v>76</v>
      </c>
      <c r="AD31" s="15" t="s">
        <v>76</v>
      </c>
      <c r="AE31" s="15" t="s">
        <v>76</v>
      </c>
      <c r="AF31" s="15" t="s">
        <v>76</v>
      </c>
      <c r="AG31" s="15" t="s">
        <v>76</v>
      </c>
      <c r="AH31" s="15" t="s">
        <v>76</v>
      </c>
      <c r="AI31" s="15" t="s">
        <v>92</v>
      </c>
      <c r="AJ31" s="15" t="s">
        <v>92</v>
      </c>
      <c r="AK31" s="15" t="s">
        <v>89</v>
      </c>
      <c r="AL31" s="15" t="s">
        <v>89</v>
      </c>
      <c r="AM31" s="15" t="s">
        <v>89</v>
      </c>
      <c r="AN31" s="15" t="s">
        <v>89</v>
      </c>
      <c r="AO31" s="15" t="s">
        <v>89</v>
      </c>
      <c r="AP31" s="15" t="s">
        <v>89</v>
      </c>
      <c r="AQ31" s="15" t="s">
        <v>114</v>
      </c>
      <c r="AR31" s="15" t="s">
        <v>114</v>
      </c>
      <c r="AS31" s="15" t="s">
        <v>114</v>
      </c>
      <c r="AT31" s="15" t="s">
        <v>114</v>
      </c>
      <c r="AU31" s="15" t="s">
        <v>114</v>
      </c>
      <c r="AV31" s="15" t="s">
        <v>2</v>
      </c>
      <c r="AW31" s="15" t="s">
        <v>114</v>
      </c>
      <c r="AX31" s="15" t="s">
        <v>114</v>
      </c>
      <c r="AY31" s="15" t="s">
        <v>114</v>
      </c>
      <c r="AZ31" s="15" t="s">
        <v>2</v>
      </c>
      <c r="BA31" s="15" t="s">
        <v>137</v>
      </c>
      <c r="BB31" s="15" t="s">
        <v>137</v>
      </c>
      <c r="BC31" s="15" t="s">
        <v>137</v>
      </c>
      <c r="BD31" s="15" t="s">
        <v>137</v>
      </c>
      <c r="BE31" s="15" t="s">
        <v>2</v>
      </c>
      <c r="BF31" s="15" t="s">
        <v>2</v>
      </c>
      <c r="BG31" s="15" t="s">
        <v>111</v>
      </c>
      <c r="BH31" s="15" t="s">
        <v>111</v>
      </c>
      <c r="BI31" s="15" t="s">
        <v>111</v>
      </c>
      <c r="BJ31" s="15" t="s">
        <v>111</v>
      </c>
      <c r="BK31" s="15" t="s">
        <v>111</v>
      </c>
      <c r="BL31" s="15" t="s">
        <v>111</v>
      </c>
      <c r="BM31" s="15" t="s">
        <v>2</v>
      </c>
      <c r="BN31" s="15" t="s">
        <v>2</v>
      </c>
      <c r="BO31" s="15" t="s">
        <v>2</v>
      </c>
      <c r="BP31" s="15" t="s">
        <v>2</v>
      </c>
      <c r="BQ31" s="15" t="s">
        <v>2</v>
      </c>
      <c r="BR31" s="15" t="s">
        <v>2</v>
      </c>
      <c r="BS31" s="15" t="s">
        <v>2</v>
      </c>
      <c r="BT31" s="15" t="s">
        <v>2</v>
      </c>
      <c r="BU31" s="15" t="s">
        <v>89</v>
      </c>
      <c r="BV31" s="15" t="s">
        <v>89</v>
      </c>
      <c r="BW31" s="15" t="s">
        <v>89</v>
      </c>
      <c r="BX31" s="15" t="s">
        <v>114</v>
      </c>
      <c r="BY31" s="15" t="s">
        <v>2</v>
      </c>
      <c r="BZ31" s="15" t="s">
        <v>2</v>
      </c>
      <c r="CA31" s="15" t="s">
        <v>2</v>
      </c>
      <c r="CB31" s="15" t="s">
        <v>2</v>
      </c>
      <c r="CC31" s="15" t="s">
        <v>114</v>
      </c>
      <c r="CD31" s="15" t="s">
        <v>114</v>
      </c>
      <c r="CE31" s="15" t="s">
        <v>114</v>
      </c>
      <c r="CF31" s="15" t="s">
        <v>114</v>
      </c>
      <c r="CG31" s="15" t="s">
        <v>114</v>
      </c>
      <c r="CH31" s="15" t="s">
        <v>114</v>
      </c>
      <c r="CI31" s="15" t="s">
        <v>114</v>
      </c>
      <c r="CJ31" s="15" t="s">
        <v>114</v>
      </c>
      <c r="CK31" s="15" t="s">
        <v>89</v>
      </c>
      <c r="CL31" s="15" t="s">
        <v>89</v>
      </c>
      <c r="CM31" s="15" t="s">
        <v>89</v>
      </c>
      <c r="CN31" s="15" t="s">
        <v>89</v>
      </c>
      <c r="CO31" s="15" t="s">
        <v>114</v>
      </c>
      <c r="CP31" s="15" t="s">
        <v>114</v>
      </c>
      <c r="CQ31" s="15" t="s">
        <v>114</v>
      </c>
      <c r="CR31" s="15" t="s">
        <v>114</v>
      </c>
      <c r="CS31" s="15" t="s">
        <v>2</v>
      </c>
      <c r="CT31" s="15" t="s">
        <v>2</v>
      </c>
      <c r="CU31" s="15" t="s">
        <v>2</v>
      </c>
      <c r="CV31" s="15" t="s">
        <v>2</v>
      </c>
      <c r="CW31" s="15" t="s">
        <v>114</v>
      </c>
      <c r="CX31" s="15" t="s">
        <v>114</v>
      </c>
      <c r="CY31" s="15" t="s">
        <v>114</v>
      </c>
      <c r="CZ31" s="15" t="s">
        <v>114</v>
      </c>
      <c r="DA31" s="15" t="s">
        <v>28</v>
      </c>
      <c r="DB31" s="15" t="s">
        <v>28</v>
      </c>
      <c r="DC31" s="15" t="s">
        <v>28</v>
      </c>
      <c r="DD31" s="15" t="s">
        <v>28</v>
      </c>
      <c r="DE31" s="15" t="s">
        <v>28</v>
      </c>
    </row>
    <row r="32" spans="1:109" x14ac:dyDescent="0.3">
      <c r="A32" s="15" t="s">
        <v>2</v>
      </c>
      <c r="B32" s="15" t="s">
        <v>2</v>
      </c>
      <c r="C32" s="15" t="s">
        <v>2</v>
      </c>
      <c r="D32" s="15" t="s">
        <v>2</v>
      </c>
      <c r="E32" s="15" t="s">
        <v>82</v>
      </c>
      <c r="F32" s="15" t="s">
        <v>82</v>
      </c>
      <c r="G32" s="15" t="s">
        <v>82</v>
      </c>
      <c r="H32" s="15" t="s">
        <v>82</v>
      </c>
      <c r="I32" s="15" t="s">
        <v>89</v>
      </c>
      <c r="J32" s="15" t="s">
        <v>89</v>
      </c>
      <c r="K32" s="15" t="s">
        <v>89</v>
      </c>
      <c r="L32" s="15" t="s">
        <v>89</v>
      </c>
      <c r="M32" s="15" t="s">
        <v>114</v>
      </c>
      <c r="N32" s="15" t="s">
        <v>114</v>
      </c>
      <c r="O32" s="15" t="s">
        <v>114</v>
      </c>
      <c r="P32" s="15" t="s">
        <v>114</v>
      </c>
      <c r="Q32" s="15" t="s">
        <v>114</v>
      </c>
      <c r="R32" s="15" t="s">
        <v>114</v>
      </c>
      <c r="S32" s="15" t="s">
        <v>114</v>
      </c>
      <c r="T32" s="15" t="s">
        <v>114</v>
      </c>
      <c r="U32" s="15" t="s">
        <v>82</v>
      </c>
      <c r="V32" s="15" t="s">
        <v>89</v>
      </c>
      <c r="W32" s="15" t="s">
        <v>89</v>
      </c>
      <c r="X32" s="15" t="s">
        <v>89</v>
      </c>
      <c r="Y32" s="15" t="s">
        <v>92</v>
      </c>
      <c r="Z32" s="15" t="s">
        <v>92</v>
      </c>
      <c r="AA32" s="15" t="s">
        <v>92</v>
      </c>
      <c r="AB32" s="15" t="s">
        <v>92</v>
      </c>
      <c r="AC32" s="15" t="s">
        <v>92</v>
      </c>
      <c r="AD32" s="15" t="s">
        <v>92</v>
      </c>
      <c r="AE32" s="15" t="s">
        <v>92</v>
      </c>
      <c r="AF32" s="15" t="s">
        <v>92</v>
      </c>
      <c r="AG32" s="15" t="s">
        <v>92</v>
      </c>
      <c r="AH32" s="15" t="s">
        <v>92</v>
      </c>
      <c r="AI32" s="15" t="s">
        <v>89</v>
      </c>
      <c r="AJ32" s="15" t="s">
        <v>89</v>
      </c>
      <c r="AK32" s="15" t="s">
        <v>82</v>
      </c>
      <c r="AL32" s="15" t="s">
        <v>82</v>
      </c>
      <c r="AM32" s="15" t="s">
        <v>82</v>
      </c>
      <c r="AN32" s="15" t="s">
        <v>82</v>
      </c>
      <c r="AO32" s="15" t="s">
        <v>114</v>
      </c>
      <c r="AP32" s="15" t="s">
        <v>114</v>
      </c>
      <c r="AQ32" s="15" t="s">
        <v>2</v>
      </c>
      <c r="AR32" s="15" t="s">
        <v>2</v>
      </c>
      <c r="AS32" s="15" t="s">
        <v>2</v>
      </c>
      <c r="AT32" s="15" t="s">
        <v>2</v>
      </c>
      <c r="AU32" s="15" t="s">
        <v>2</v>
      </c>
      <c r="AV32" s="15" t="s">
        <v>111</v>
      </c>
      <c r="AW32" s="15" t="s">
        <v>2</v>
      </c>
      <c r="AX32" s="15" t="s">
        <v>2</v>
      </c>
      <c r="AY32" s="15" t="s">
        <v>2</v>
      </c>
      <c r="AZ32" s="15" t="s">
        <v>111</v>
      </c>
      <c r="BA32" s="15" t="s">
        <v>114</v>
      </c>
      <c r="BB32" s="15" t="s">
        <v>114</v>
      </c>
      <c r="BC32" s="15" t="s">
        <v>114</v>
      </c>
      <c r="BD32" s="15" t="s">
        <v>114</v>
      </c>
      <c r="BE32" s="15" t="s">
        <v>111</v>
      </c>
      <c r="BF32" s="15" t="s">
        <v>111</v>
      </c>
      <c r="BG32" s="15" t="s">
        <v>29</v>
      </c>
      <c r="BH32" s="15" t="s">
        <v>29</v>
      </c>
      <c r="BI32" s="15" t="s">
        <v>29</v>
      </c>
      <c r="BJ32" s="15" t="s">
        <v>29</v>
      </c>
      <c r="BK32" s="15" t="s">
        <v>29</v>
      </c>
      <c r="BL32" s="15" t="s">
        <v>29</v>
      </c>
      <c r="BM32" s="15" t="s">
        <v>111</v>
      </c>
      <c r="BN32" s="15" t="s">
        <v>111</v>
      </c>
      <c r="BO32" s="15" t="s">
        <v>111</v>
      </c>
      <c r="BP32" s="15" t="s">
        <v>111</v>
      </c>
      <c r="BQ32" s="15" t="s">
        <v>111</v>
      </c>
      <c r="BR32" s="15" t="s">
        <v>111</v>
      </c>
      <c r="BS32" s="15" t="s">
        <v>111</v>
      </c>
      <c r="BT32" s="15" t="s">
        <v>111</v>
      </c>
      <c r="BU32" s="15" t="s">
        <v>114</v>
      </c>
      <c r="BV32" s="15" t="s">
        <v>114</v>
      </c>
      <c r="BW32" s="15" t="s">
        <v>114</v>
      </c>
      <c r="BX32" s="15" t="s">
        <v>2</v>
      </c>
      <c r="BY32" s="15" t="s">
        <v>111</v>
      </c>
      <c r="BZ32" s="15" t="s">
        <v>111</v>
      </c>
      <c r="CA32" s="15" t="s">
        <v>111</v>
      </c>
      <c r="CB32" s="15" t="s">
        <v>111</v>
      </c>
      <c r="CC32" s="15" t="s">
        <v>2</v>
      </c>
      <c r="CD32" s="15" t="s">
        <v>2</v>
      </c>
      <c r="CE32" s="15" t="s">
        <v>2</v>
      </c>
      <c r="CF32" s="15" t="s">
        <v>2</v>
      </c>
      <c r="CG32" s="15" t="s">
        <v>2</v>
      </c>
      <c r="CH32" s="15" t="s">
        <v>2</v>
      </c>
      <c r="CI32" s="15" t="s">
        <v>2</v>
      </c>
      <c r="CJ32" s="15" t="s">
        <v>2</v>
      </c>
      <c r="CK32" s="15" t="s">
        <v>114</v>
      </c>
      <c r="CL32" s="15" t="s">
        <v>114</v>
      </c>
      <c r="CM32" s="15" t="s">
        <v>114</v>
      </c>
      <c r="CN32" s="15" t="s">
        <v>114</v>
      </c>
      <c r="CO32" s="15" t="s">
        <v>2</v>
      </c>
      <c r="CP32" s="15" t="s">
        <v>2</v>
      </c>
      <c r="CQ32" s="15" t="s">
        <v>2</v>
      </c>
      <c r="CR32" s="15" t="s">
        <v>2</v>
      </c>
      <c r="CS32" s="15" t="s">
        <v>111</v>
      </c>
      <c r="CT32" s="15" t="s">
        <v>111</v>
      </c>
      <c r="CU32" s="15" t="s">
        <v>111</v>
      </c>
      <c r="CV32" s="15" t="s">
        <v>111</v>
      </c>
      <c r="CW32" s="15" t="s">
        <v>2</v>
      </c>
      <c r="CX32" s="15" t="s">
        <v>2</v>
      </c>
      <c r="CY32" s="15" t="s">
        <v>2</v>
      </c>
      <c r="CZ32" s="15" t="s">
        <v>2</v>
      </c>
      <c r="DA32" s="15" t="s">
        <v>89</v>
      </c>
      <c r="DB32" s="15" t="s">
        <v>89</v>
      </c>
      <c r="DC32" s="15" t="s">
        <v>89</v>
      </c>
      <c r="DD32" s="15" t="s">
        <v>89</v>
      </c>
      <c r="DE32" s="15" t="s">
        <v>89</v>
      </c>
    </row>
    <row r="33" spans="1:109" x14ac:dyDescent="0.3">
      <c r="A33" s="15" t="s">
        <v>111</v>
      </c>
      <c r="B33" s="15" t="s">
        <v>111</v>
      </c>
      <c r="C33" s="15" t="s">
        <v>111</v>
      </c>
      <c r="D33" s="15" t="s">
        <v>111</v>
      </c>
      <c r="E33" s="15" t="s">
        <v>114</v>
      </c>
      <c r="F33" s="15" t="s">
        <v>114</v>
      </c>
      <c r="G33" s="15" t="s">
        <v>114</v>
      </c>
      <c r="H33" s="15" t="s">
        <v>114</v>
      </c>
      <c r="I33" s="15" t="s">
        <v>82</v>
      </c>
      <c r="J33" s="15" t="s">
        <v>82</v>
      </c>
      <c r="K33" s="15" t="s">
        <v>82</v>
      </c>
      <c r="L33" s="15" t="s">
        <v>82</v>
      </c>
      <c r="M33" s="15" t="s">
        <v>2</v>
      </c>
      <c r="N33" s="15" t="s">
        <v>2</v>
      </c>
      <c r="O33" s="15" t="s">
        <v>2</v>
      </c>
      <c r="P33" s="15" t="s">
        <v>2</v>
      </c>
      <c r="Q33" s="15" t="s">
        <v>2</v>
      </c>
      <c r="R33" s="15" t="s">
        <v>2</v>
      </c>
      <c r="S33" s="15" t="s">
        <v>2</v>
      </c>
      <c r="T33" s="15" t="s">
        <v>2</v>
      </c>
      <c r="U33" s="15" t="s">
        <v>114</v>
      </c>
      <c r="V33" s="15" t="s">
        <v>82</v>
      </c>
      <c r="W33" s="15" t="s">
        <v>82</v>
      </c>
      <c r="X33" s="15" t="s">
        <v>82</v>
      </c>
      <c r="Y33" s="15" t="s">
        <v>89</v>
      </c>
      <c r="Z33" s="15" t="s">
        <v>89</v>
      </c>
      <c r="AA33" s="15" t="s">
        <v>89</v>
      </c>
      <c r="AB33" s="15" t="s">
        <v>89</v>
      </c>
      <c r="AC33" s="15" t="s">
        <v>89</v>
      </c>
      <c r="AD33" s="15" t="s">
        <v>89</v>
      </c>
      <c r="AE33" s="15" t="s">
        <v>89</v>
      </c>
      <c r="AF33" s="15" t="s">
        <v>89</v>
      </c>
      <c r="AG33" s="15" t="s">
        <v>89</v>
      </c>
      <c r="AH33" s="15" t="s">
        <v>89</v>
      </c>
      <c r="AI33" s="15" t="s">
        <v>82</v>
      </c>
      <c r="AJ33" s="15" t="s">
        <v>82</v>
      </c>
      <c r="AK33" s="15" t="s">
        <v>114</v>
      </c>
      <c r="AL33" s="15" t="s">
        <v>114</v>
      </c>
      <c r="AM33" s="15" t="s">
        <v>114</v>
      </c>
      <c r="AN33" s="15" t="s">
        <v>114</v>
      </c>
      <c r="AO33" s="15" t="s">
        <v>2</v>
      </c>
      <c r="AP33" s="15" t="s">
        <v>2</v>
      </c>
      <c r="AQ33" s="15" t="s">
        <v>111</v>
      </c>
      <c r="AR33" s="15" t="s">
        <v>111</v>
      </c>
      <c r="AS33" s="15" t="s">
        <v>111</v>
      </c>
      <c r="AT33" s="15" t="s">
        <v>111</v>
      </c>
      <c r="AU33" s="15" t="s">
        <v>111</v>
      </c>
      <c r="AV33" s="15" t="s">
        <v>29</v>
      </c>
      <c r="AW33" s="15" t="s">
        <v>111</v>
      </c>
      <c r="AX33" s="15" t="s">
        <v>111</v>
      </c>
      <c r="AY33" s="15" t="s">
        <v>111</v>
      </c>
      <c r="AZ33" s="15" t="s">
        <v>29</v>
      </c>
      <c r="BA33" s="15" t="s">
        <v>2</v>
      </c>
      <c r="BB33" s="15" t="s">
        <v>2</v>
      </c>
      <c r="BC33" s="15" t="s">
        <v>2</v>
      </c>
      <c r="BD33" s="15" t="s">
        <v>2</v>
      </c>
      <c r="BE33" s="15" t="s">
        <v>29</v>
      </c>
      <c r="BF33" s="15" t="s">
        <v>29</v>
      </c>
      <c r="BG33" s="15" t="s">
        <v>138</v>
      </c>
      <c r="BH33" s="15" t="s">
        <v>138</v>
      </c>
      <c r="BI33" s="15" t="s">
        <v>138</v>
      </c>
      <c r="BJ33" s="15" t="s">
        <v>138</v>
      </c>
      <c r="BK33" s="15" t="s">
        <v>138</v>
      </c>
      <c r="BL33" s="15" t="s">
        <v>138</v>
      </c>
      <c r="BM33" s="15" t="s">
        <v>29</v>
      </c>
      <c r="BN33" s="15" t="s">
        <v>29</v>
      </c>
      <c r="BO33" s="15" t="s">
        <v>29</v>
      </c>
      <c r="BP33" s="15" t="s">
        <v>29</v>
      </c>
      <c r="BQ33" s="15" t="s">
        <v>29</v>
      </c>
      <c r="BR33" s="15" t="s">
        <v>29</v>
      </c>
      <c r="BS33" s="15" t="s">
        <v>29</v>
      </c>
      <c r="BT33" s="15" t="s">
        <v>29</v>
      </c>
      <c r="BU33" s="15" t="s">
        <v>2</v>
      </c>
      <c r="BV33" s="15" t="s">
        <v>2</v>
      </c>
      <c r="BW33" s="15" t="s">
        <v>2</v>
      </c>
      <c r="BX33" s="15" t="s">
        <v>111</v>
      </c>
      <c r="BY33" s="15" t="s">
        <v>29</v>
      </c>
      <c r="BZ33" s="15" t="s">
        <v>29</v>
      </c>
      <c r="CA33" s="15" t="s">
        <v>29</v>
      </c>
      <c r="CB33" s="15" t="s">
        <v>29</v>
      </c>
      <c r="CC33" s="15" t="s">
        <v>111</v>
      </c>
      <c r="CD33" s="15" t="s">
        <v>111</v>
      </c>
      <c r="CE33" s="15" t="s">
        <v>111</v>
      </c>
      <c r="CF33" s="15" t="s">
        <v>111</v>
      </c>
      <c r="CG33" s="15" t="s">
        <v>111</v>
      </c>
      <c r="CH33" s="15" t="s">
        <v>111</v>
      </c>
      <c r="CI33" s="15" t="s">
        <v>111</v>
      </c>
      <c r="CJ33" s="15" t="s">
        <v>111</v>
      </c>
      <c r="CK33" s="15" t="s">
        <v>2</v>
      </c>
      <c r="CL33" s="15" t="s">
        <v>2</v>
      </c>
      <c r="CM33" s="15" t="s">
        <v>2</v>
      </c>
      <c r="CN33" s="15" t="s">
        <v>2</v>
      </c>
      <c r="CO33" s="15" t="s">
        <v>111</v>
      </c>
      <c r="CP33" s="15" t="s">
        <v>111</v>
      </c>
      <c r="CQ33" s="15" t="s">
        <v>111</v>
      </c>
      <c r="CR33" s="15" t="s">
        <v>111</v>
      </c>
      <c r="CS33" s="15" t="s">
        <v>29</v>
      </c>
      <c r="CT33" s="15" t="s">
        <v>29</v>
      </c>
      <c r="CU33" s="15" t="s">
        <v>29</v>
      </c>
      <c r="CV33" s="15" t="s">
        <v>29</v>
      </c>
      <c r="CW33" s="15" t="s">
        <v>111</v>
      </c>
      <c r="CX33" s="15" t="s">
        <v>111</v>
      </c>
      <c r="CY33" s="15" t="s">
        <v>111</v>
      </c>
      <c r="CZ33" s="15" t="s">
        <v>111</v>
      </c>
      <c r="DA33" s="15" t="s">
        <v>114</v>
      </c>
      <c r="DB33" s="15" t="s">
        <v>114</v>
      </c>
      <c r="DC33" s="15" t="s">
        <v>114</v>
      </c>
      <c r="DD33" s="15" t="s">
        <v>114</v>
      </c>
      <c r="DE33" s="15" t="s">
        <v>114</v>
      </c>
    </row>
    <row r="34" spans="1:109" x14ac:dyDescent="0.3">
      <c r="A34" s="15" t="s">
        <v>29</v>
      </c>
      <c r="B34" s="15" t="s">
        <v>29</v>
      </c>
      <c r="C34" s="15" t="s">
        <v>29</v>
      </c>
      <c r="D34" s="15" t="s">
        <v>29</v>
      </c>
      <c r="E34" s="15" t="s">
        <v>2</v>
      </c>
      <c r="F34" s="15" t="s">
        <v>2</v>
      </c>
      <c r="G34" s="15" t="s">
        <v>2</v>
      </c>
      <c r="H34" s="15" t="s">
        <v>2</v>
      </c>
      <c r="I34" s="15" t="s">
        <v>114</v>
      </c>
      <c r="J34" s="15" t="s">
        <v>114</v>
      </c>
      <c r="K34" s="15" t="s">
        <v>114</v>
      </c>
      <c r="L34" s="15" t="s">
        <v>114</v>
      </c>
      <c r="M34" s="15" t="s">
        <v>111</v>
      </c>
      <c r="N34" s="15" t="s">
        <v>111</v>
      </c>
      <c r="O34" s="15" t="s">
        <v>111</v>
      </c>
      <c r="P34" s="15" t="s">
        <v>111</v>
      </c>
      <c r="Q34" s="15" t="s">
        <v>111</v>
      </c>
      <c r="R34" s="15" t="s">
        <v>111</v>
      </c>
      <c r="S34" s="15" t="s">
        <v>111</v>
      </c>
      <c r="T34" s="15" t="s">
        <v>111</v>
      </c>
      <c r="U34" s="15" t="s">
        <v>2</v>
      </c>
      <c r="V34" s="15" t="s">
        <v>114</v>
      </c>
      <c r="W34" s="15" t="s">
        <v>114</v>
      </c>
      <c r="X34" s="15" t="s">
        <v>114</v>
      </c>
      <c r="Y34" s="15" t="s">
        <v>82</v>
      </c>
      <c r="Z34" s="15" t="s">
        <v>82</v>
      </c>
      <c r="AA34" s="15" t="s">
        <v>82</v>
      </c>
      <c r="AB34" s="15" t="s">
        <v>82</v>
      </c>
      <c r="AC34" s="15" t="s">
        <v>82</v>
      </c>
      <c r="AD34" s="15" t="s">
        <v>82</v>
      </c>
      <c r="AE34" s="15" t="s">
        <v>82</v>
      </c>
      <c r="AF34" s="15" t="s">
        <v>82</v>
      </c>
      <c r="AG34" s="15" t="s">
        <v>82</v>
      </c>
      <c r="AH34" s="15" t="s">
        <v>82</v>
      </c>
      <c r="AI34" s="15" t="s">
        <v>114</v>
      </c>
      <c r="AJ34" s="15" t="s">
        <v>114</v>
      </c>
      <c r="AK34" s="15" t="s">
        <v>2</v>
      </c>
      <c r="AL34" s="15" t="s">
        <v>2</v>
      </c>
      <c r="AM34" s="15" t="s">
        <v>2</v>
      </c>
      <c r="AN34" s="15" t="s">
        <v>2</v>
      </c>
      <c r="AO34" s="15" t="s">
        <v>111</v>
      </c>
      <c r="AP34" s="15" t="s">
        <v>111</v>
      </c>
      <c r="AQ34" s="15" t="s">
        <v>29</v>
      </c>
      <c r="AR34" s="15" t="s">
        <v>29</v>
      </c>
      <c r="AS34" s="15" t="s">
        <v>29</v>
      </c>
      <c r="AT34" s="15" t="s">
        <v>29</v>
      </c>
      <c r="AU34" s="15" t="s">
        <v>29</v>
      </c>
      <c r="AV34" s="15" t="s">
        <v>138</v>
      </c>
      <c r="AW34" s="15" t="s">
        <v>29</v>
      </c>
      <c r="AX34" s="15" t="s">
        <v>29</v>
      </c>
      <c r="AY34" s="15" t="s">
        <v>29</v>
      </c>
      <c r="AZ34" s="15" t="s">
        <v>138</v>
      </c>
      <c r="BA34" s="15" t="s">
        <v>111</v>
      </c>
      <c r="BB34" s="15" t="s">
        <v>111</v>
      </c>
      <c r="BC34" s="15" t="s">
        <v>111</v>
      </c>
      <c r="BD34" s="15" t="s">
        <v>111</v>
      </c>
      <c r="BE34" s="15" t="s">
        <v>138</v>
      </c>
      <c r="BF34" s="15" t="s">
        <v>138</v>
      </c>
      <c r="BG34" s="15" t="s">
        <v>139</v>
      </c>
      <c r="BH34" s="15" t="s">
        <v>139</v>
      </c>
      <c r="BI34" s="15" t="s">
        <v>139</v>
      </c>
      <c r="BJ34" s="15" t="s">
        <v>139</v>
      </c>
      <c r="BK34" s="15" t="s">
        <v>139</v>
      </c>
      <c r="BL34" s="15" t="s">
        <v>139</v>
      </c>
      <c r="BM34" s="15" t="s">
        <v>138</v>
      </c>
      <c r="BN34" s="15" t="s">
        <v>138</v>
      </c>
      <c r="BO34" s="15" t="s">
        <v>138</v>
      </c>
      <c r="BP34" s="15" t="s">
        <v>138</v>
      </c>
      <c r="BQ34" s="15" t="s">
        <v>138</v>
      </c>
      <c r="BR34" s="15" t="s">
        <v>138</v>
      </c>
      <c r="BS34" s="15" t="s">
        <v>138</v>
      </c>
      <c r="BT34" s="15" t="s">
        <v>138</v>
      </c>
      <c r="BU34" s="15" t="s">
        <v>111</v>
      </c>
      <c r="BV34" s="15" t="s">
        <v>111</v>
      </c>
      <c r="BW34" s="15" t="s">
        <v>111</v>
      </c>
      <c r="BX34" s="15" t="s">
        <v>29</v>
      </c>
      <c r="BY34" s="15" t="s">
        <v>138</v>
      </c>
      <c r="BZ34" s="15" t="s">
        <v>138</v>
      </c>
      <c r="CA34" s="15" t="s">
        <v>138</v>
      </c>
      <c r="CB34" s="15" t="s">
        <v>138</v>
      </c>
      <c r="CC34" s="15" t="s">
        <v>29</v>
      </c>
      <c r="CD34" s="15" t="s">
        <v>29</v>
      </c>
      <c r="CE34" s="15" t="s">
        <v>29</v>
      </c>
      <c r="CF34" s="15" t="s">
        <v>29</v>
      </c>
      <c r="CG34" s="15" t="s">
        <v>29</v>
      </c>
      <c r="CH34" s="15" t="s">
        <v>29</v>
      </c>
      <c r="CI34" s="15" t="s">
        <v>29</v>
      </c>
      <c r="CJ34" s="15" t="s">
        <v>29</v>
      </c>
      <c r="CK34" s="15" t="s">
        <v>111</v>
      </c>
      <c r="CL34" s="15" t="s">
        <v>111</v>
      </c>
      <c r="CM34" s="15" t="s">
        <v>111</v>
      </c>
      <c r="CN34" s="15" t="s">
        <v>111</v>
      </c>
      <c r="CO34" s="15" t="s">
        <v>29</v>
      </c>
      <c r="CP34" s="15" t="s">
        <v>29</v>
      </c>
      <c r="CQ34" s="15" t="s">
        <v>29</v>
      </c>
      <c r="CR34" s="15" t="s">
        <v>29</v>
      </c>
      <c r="CS34" s="15" t="s">
        <v>138</v>
      </c>
      <c r="CT34" s="15" t="s">
        <v>138</v>
      </c>
      <c r="CU34" s="15" t="s">
        <v>138</v>
      </c>
      <c r="CV34" s="15" t="s">
        <v>138</v>
      </c>
      <c r="CW34" s="15" t="s">
        <v>29</v>
      </c>
      <c r="CX34" s="15" t="s">
        <v>29</v>
      </c>
      <c r="CY34" s="15" t="s">
        <v>29</v>
      </c>
      <c r="CZ34" s="15" t="s">
        <v>29</v>
      </c>
      <c r="DA34" s="15" t="s">
        <v>2</v>
      </c>
      <c r="DB34" s="15" t="s">
        <v>2</v>
      </c>
      <c r="DC34" s="15" t="s">
        <v>2</v>
      </c>
      <c r="DD34" s="15" t="s">
        <v>2</v>
      </c>
      <c r="DE34" s="15" t="s">
        <v>2</v>
      </c>
    </row>
    <row r="35" spans="1:109" x14ac:dyDescent="0.3">
      <c r="A35" s="15" t="s">
        <v>138</v>
      </c>
      <c r="B35" s="15" t="s">
        <v>138</v>
      </c>
      <c r="C35" s="15" t="s">
        <v>138</v>
      </c>
      <c r="D35" s="15" t="s">
        <v>138</v>
      </c>
      <c r="E35" s="15" t="s">
        <v>111</v>
      </c>
      <c r="F35" s="15" t="s">
        <v>111</v>
      </c>
      <c r="G35" s="15" t="s">
        <v>111</v>
      </c>
      <c r="H35" s="15" t="s">
        <v>111</v>
      </c>
      <c r="I35" s="15" t="s">
        <v>2</v>
      </c>
      <c r="J35" s="15" t="s">
        <v>2</v>
      </c>
      <c r="K35" s="15" t="s">
        <v>2</v>
      </c>
      <c r="L35" s="15" t="s">
        <v>2</v>
      </c>
      <c r="M35" s="15" t="s">
        <v>29</v>
      </c>
      <c r="N35" s="15" t="s">
        <v>29</v>
      </c>
      <c r="O35" s="15" t="s">
        <v>29</v>
      </c>
      <c r="P35" s="15" t="s">
        <v>29</v>
      </c>
      <c r="Q35" s="15" t="s">
        <v>29</v>
      </c>
      <c r="R35" s="15" t="s">
        <v>29</v>
      </c>
      <c r="S35" s="15" t="s">
        <v>29</v>
      </c>
      <c r="T35" s="15" t="s">
        <v>29</v>
      </c>
      <c r="U35" s="15" t="s">
        <v>111</v>
      </c>
      <c r="V35" s="15" t="s">
        <v>2</v>
      </c>
      <c r="W35" s="15" t="s">
        <v>2</v>
      </c>
      <c r="X35" s="15" t="s">
        <v>2</v>
      </c>
      <c r="Y35" s="15" t="s">
        <v>114</v>
      </c>
      <c r="Z35" s="15" t="s">
        <v>114</v>
      </c>
      <c r="AA35" s="15" t="s">
        <v>114</v>
      </c>
      <c r="AB35" s="15" t="s">
        <v>114</v>
      </c>
      <c r="AC35" s="15" t="s">
        <v>114</v>
      </c>
      <c r="AD35" s="15" t="s">
        <v>114</v>
      </c>
      <c r="AE35" s="15" t="s">
        <v>114</v>
      </c>
      <c r="AF35" s="15" t="s">
        <v>114</v>
      </c>
      <c r="AG35" s="15" t="s">
        <v>114</v>
      </c>
      <c r="AH35" s="15" t="s">
        <v>114</v>
      </c>
      <c r="AI35" s="15" t="s">
        <v>2</v>
      </c>
      <c r="AJ35" s="15" t="s">
        <v>2</v>
      </c>
      <c r="AK35" s="15" t="s">
        <v>111</v>
      </c>
      <c r="AL35" s="15" t="s">
        <v>111</v>
      </c>
      <c r="AM35" s="15" t="s">
        <v>111</v>
      </c>
      <c r="AN35" s="15" t="s">
        <v>111</v>
      </c>
      <c r="AO35" s="15" t="s">
        <v>29</v>
      </c>
      <c r="AP35" s="15" t="s">
        <v>29</v>
      </c>
      <c r="AQ35" s="15" t="s">
        <v>138</v>
      </c>
      <c r="AR35" s="15" t="s">
        <v>138</v>
      </c>
      <c r="AS35" s="15" t="s">
        <v>138</v>
      </c>
      <c r="AT35" s="15" t="s">
        <v>138</v>
      </c>
      <c r="AU35" s="15" t="s">
        <v>138</v>
      </c>
      <c r="AV35" s="15" t="s">
        <v>139</v>
      </c>
      <c r="AW35" s="15" t="s">
        <v>138</v>
      </c>
      <c r="AX35" s="15" t="s">
        <v>138</v>
      </c>
      <c r="AY35" s="15" t="s">
        <v>138</v>
      </c>
      <c r="AZ35" s="15" t="s">
        <v>139</v>
      </c>
      <c r="BA35" s="15" t="s">
        <v>29</v>
      </c>
      <c r="BB35" s="15" t="s">
        <v>29</v>
      </c>
      <c r="BC35" s="15" t="s">
        <v>29</v>
      </c>
      <c r="BD35" s="15" t="s">
        <v>29</v>
      </c>
      <c r="BE35" s="15" t="s">
        <v>139</v>
      </c>
      <c r="BF35" s="15" t="s">
        <v>139</v>
      </c>
      <c r="BG35" s="15" t="s">
        <v>30</v>
      </c>
      <c r="BH35" s="15" t="s">
        <v>30</v>
      </c>
      <c r="BI35" s="15" t="s">
        <v>30</v>
      </c>
      <c r="BJ35" s="15" t="s">
        <v>30</v>
      </c>
      <c r="BK35" s="15" t="s">
        <v>30</v>
      </c>
      <c r="BL35" s="15" t="s">
        <v>30</v>
      </c>
      <c r="BM35" s="15" t="s">
        <v>139</v>
      </c>
      <c r="BN35" s="15" t="s">
        <v>139</v>
      </c>
      <c r="BO35" s="15" t="s">
        <v>139</v>
      </c>
      <c r="BP35" s="15" t="s">
        <v>139</v>
      </c>
      <c r="BQ35" s="15" t="s">
        <v>139</v>
      </c>
      <c r="BR35" s="15" t="s">
        <v>139</v>
      </c>
      <c r="BS35" s="15" t="s">
        <v>139</v>
      </c>
      <c r="BT35" s="15" t="s">
        <v>139</v>
      </c>
      <c r="BU35" s="15" t="s">
        <v>29</v>
      </c>
      <c r="BV35" s="15" t="s">
        <v>29</v>
      </c>
      <c r="BW35" s="15" t="s">
        <v>29</v>
      </c>
      <c r="BX35" s="15" t="s">
        <v>138</v>
      </c>
      <c r="BY35" s="15" t="s">
        <v>139</v>
      </c>
      <c r="BZ35" s="15" t="s">
        <v>139</v>
      </c>
      <c r="CA35" s="15" t="s">
        <v>139</v>
      </c>
      <c r="CB35" s="15" t="s">
        <v>139</v>
      </c>
      <c r="CC35" s="15" t="s">
        <v>138</v>
      </c>
      <c r="CD35" s="15" t="s">
        <v>138</v>
      </c>
      <c r="CE35" s="15" t="s">
        <v>138</v>
      </c>
      <c r="CF35" s="15" t="s">
        <v>138</v>
      </c>
      <c r="CG35" s="15" t="s">
        <v>138</v>
      </c>
      <c r="CH35" s="15" t="s">
        <v>138</v>
      </c>
      <c r="CI35" s="15" t="s">
        <v>138</v>
      </c>
      <c r="CJ35" s="15" t="s">
        <v>138</v>
      </c>
      <c r="CK35" s="15" t="s">
        <v>29</v>
      </c>
      <c r="CL35" s="15" t="s">
        <v>29</v>
      </c>
      <c r="CM35" s="15" t="s">
        <v>29</v>
      </c>
      <c r="CN35" s="15" t="s">
        <v>29</v>
      </c>
      <c r="CO35" s="15" t="s">
        <v>138</v>
      </c>
      <c r="CP35" s="15" t="s">
        <v>138</v>
      </c>
      <c r="CQ35" s="15" t="s">
        <v>138</v>
      </c>
      <c r="CR35" s="15" t="s">
        <v>138</v>
      </c>
      <c r="CS35" s="15" t="s">
        <v>30</v>
      </c>
      <c r="CT35" s="15" t="s">
        <v>30</v>
      </c>
      <c r="CU35" s="15" t="s">
        <v>30</v>
      </c>
      <c r="CV35" s="15" t="s">
        <v>30</v>
      </c>
      <c r="CW35" s="15" t="s">
        <v>138</v>
      </c>
      <c r="CX35" s="15" t="s">
        <v>138</v>
      </c>
      <c r="CY35" s="15" t="s">
        <v>138</v>
      </c>
      <c r="CZ35" s="15" t="s">
        <v>138</v>
      </c>
      <c r="DA35" s="15" t="s">
        <v>111</v>
      </c>
      <c r="DB35" s="15" t="s">
        <v>111</v>
      </c>
      <c r="DC35" s="15" t="s">
        <v>111</v>
      </c>
      <c r="DD35" s="15" t="s">
        <v>111</v>
      </c>
      <c r="DE35" s="15" t="s">
        <v>111</v>
      </c>
    </row>
    <row r="36" spans="1:109" x14ac:dyDescent="0.3">
      <c r="A36" s="15" t="s">
        <v>139</v>
      </c>
      <c r="B36" s="15" t="s">
        <v>139</v>
      </c>
      <c r="C36" s="15" t="s">
        <v>139</v>
      </c>
      <c r="D36" s="15" t="s">
        <v>139</v>
      </c>
      <c r="E36" s="15" t="s">
        <v>29</v>
      </c>
      <c r="F36" s="15" t="s">
        <v>29</v>
      </c>
      <c r="G36" s="15" t="s">
        <v>29</v>
      </c>
      <c r="H36" s="15" t="s">
        <v>29</v>
      </c>
      <c r="I36" s="15" t="s">
        <v>111</v>
      </c>
      <c r="J36" s="15" t="s">
        <v>111</v>
      </c>
      <c r="K36" s="15" t="s">
        <v>111</v>
      </c>
      <c r="L36" s="15" t="s">
        <v>111</v>
      </c>
      <c r="M36" s="15" t="s">
        <v>138</v>
      </c>
      <c r="N36" s="15" t="s">
        <v>138</v>
      </c>
      <c r="O36" s="15" t="s">
        <v>138</v>
      </c>
      <c r="P36" s="15" t="s">
        <v>138</v>
      </c>
      <c r="Q36" s="15" t="s">
        <v>138</v>
      </c>
      <c r="R36" s="15" t="s">
        <v>138</v>
      </c>
      <c r="S36" s="15" t="s">
        <v>138</v>
      </c>
      <c r="T36" s="15" t="s">
        <v>138</v>
      </c>
      <c r="U36" s="15" t="s">
        <v>29</v>
      </c>
      <c r="V36" s="15" t="s">
        <v>111</v>
      </c>
      <c r="W36" s="15" t="s">
        <v>111</v>
      </c>
      <c r="X36" s="15" t="s">
        <v>111</v>
      </c>
      <c r="Y36" s="15" t="s">
        <v>2</v>
      </c>
      <c r="Z36" s="15" t="s">
        <v>2</v>
      </c>
      <c r="AA36" s="15" t="s">
        <v>2</v>
      </c>
      <c r="AB36" s="15" t="s">
        <v>2</v>
      </c>
      <c r="AC36" s="15" t="s">
        <v>2</v>
      </c>
      <c r="AD36" s="15" t="s">
        <v>2</v>
      </c>
      <c r="AE36" s="15" t="s">
        <v>2</v>
      </c>
      <c r="AF36" s="15" t="s">
        <v>2</v>
      </c>
      <c r="AG36" s="15" t="s">
        <v>2</v>
      </c>
      <c r="AH36" s="15" t="s">
        <v>2</v>
      </c>
      <c r="AI36" s="15" t="s">
        <v>111</v>
      </c>
      <c r="AJ36" s="15" t="s">
        <v>111</v>
      </c>
      <c r="AK36" s="15" t="s">
        <v>29</v>
      </c>
      <c r="AL36" s="15" t="s">
        <v>29</v>
      </c>
      <c r="AM36" s="15" t="s">
        <v>29</v>
      </c>
      <c r="AN36" s="15" t="s">
        <v>29</v>
      </c>
      <c r="AO36" s="15" t="s">
        <v>138</v>
      </c>
      <c r="AP36" s="15" t="s">
        <v>138</v>
      </c>
      <c r="AQ36" s="15" t="s">
        <v>139</v>
      </c>
      <c r="AR36" s="15" t="s">
        <v>139</v>
      </c>
      <c r="AS36" s="15" t="s">
        <v>139</v>
      </c>
      <c r="AT36" s="15" t="s">
        <v>139</v>
      </c>
      <c r="AU36" s="15" t="s">
        <v>139</v>
      </c>
      <c r="AV36" s="15" t="s">
        <v>30</v>
      </c>
      <c r="AW36" s="15" t="s">
        <v>139</v>
      </c>
      <c r="AX36" s="15" t="s">
        <v>139</v>
      </c>
      <c r="AY36" s="15" t="s">
        <v>139</v>
      </c>
      <c r="AZ36" s="15" t="s">
        <v>30</v>
      </c>
      <c r="BA36" s="15" t="s">
        <v>138</v>
      </c>
      <c r="BB36" s="15" t="s">
        <v>138</v>
      </c>
      <c r="BC36" s="15" t="s">
        <v>138</v>
      </c>
      <c r="BD36" s="15" t="s">
        <v>138</v>
      </c>
      <c r="BE36" s="15" t="s">
        <v>30</v>
      </c>
      <c r="BF36" s="15" t="s">
        <v>30</v>
      </c>
      <c r="BG36" s="15" t="s">
        <v>140</v>
      </c>
      <c r="BH36" s="15" t="s">
        <v>140</v>
      </c>
      <c r="BI36" s="15" t="s">
        <v>140</v>
      </c>
      <c r="BJ36" s="15" t="s">
        <v>140</v>
      </c>
      <c r="BK36" s="15" t="s">
        <v>140</v>
      </c>
      <c r="BL36" s="15" t="s">
        <v>140</v>
      </c>
      <c r="BM36" s="15" t="s">
        <v>30</v>
      </c>
      <c r="BN36" s="15" t="s">
        <v>30</v>
      </c>
      <c r="BO36" s="15" t="s">
        <v>30</v>
      </c>
      <c r="BP36" s="15" t="s">
        <v>30</v>
      </c>
      <c r="BQ36" s="15" t="s">
        <v>30</v>
      </c>
      <c r="BR36" s="15" t="s">
        <v>30</v>
      </c>
      <c r="BS36" s="15" t="s">
        <v>30</v>
      </c>
      <c r="BT36" s="15" t="s">
        <v>30</v>
      </c>
      <c r="BU36" s="15" t="s">
        <v>138</v>
      </c>
      <c r="BV36" s="15" t="s">
        <v>138</v>
      </c>
      <c r="BW36" s="15" t="s">
        <v>138</v>
      </c>
      <c r="BX36" s="15" t="s">
        <v>139</v>
      </c>
      <c r="BY36" s="15" t="s">
        <v>30</v>
      </c>
      <c r="BZ36" s="15" t="s">
        <v>30</v>
      </c>
      <c r="CA36" s="15" t="s">
        <v>30</v>
      </c>
      <c r="CB36" s="15" t="s">
        <v>30</v>
      </c>
      <c r="CC36" s="15" t="s">
        <v>139</v>
      </c>
      <c r="CD36" s="15" t="s">
        <v>139</v>
      </c>
      <c r="CE36" s="15" t="s">
        <v>139</v>
      </c>
      <c r="CF36" s="15" t="s">
        <v>122</v>
      </c>
      <c r="CG36" s="15" t="s">
        <v>122</v>
      </c>
      <c r="CH36" s="15" t="s">
        <v>122</v>
      </c>
      <c r="CI36" s="15" t="s">
        <v>122</v>
      </c>
      <c r="CJ36" s="15" t="s">
        <v>122</v>
      </c>
      <c r="CK36" s="15" t="s">
        <v>138</v>
      </c>
      <c r="CL36" s="15" t="s">
        <v>138</v>
      </c>
      <c r="CM36" s="15" t="s">
        <v>138</v>
      </c>
      <c r="CN36" s="15" t="s">
        <v>138</v>
      </c>
      <c r="CO36" s="15" t="s">
        <v>30</v>
      </c>
      <c r="CP36" s="15" t="s">
        <v>30</v>
      </c>
      <c r="CQ36" s="15" t="s">
        <v>30</v>
      </c>
      <c r="CR36" s="15" t="s">
        <v>30</v>
      </c>
      <c r="CS36" s="15" t="s">
        <v>140</v>
      </c>
      <c r="CT36" s="15" t="s">
        <v>140</v>
      </c>
      <c r="CU36" s="15" t="s">
        <v>140</v>
      </c>
      <c r="CV36" s="15" t="s">
        <v>140</v>
      </c>
      <c r="CW36" s="15" t="s">
        <v>30</v>
      </c>
      <c r="CX36" s="15" t="s">
        <v>30</v>
      </c>
      <c r="CY36" s="15" t="s">
        <v>30</v>
      </c>
      <c r="CZ36" s="15" t="s">
        <v>30</v>
      </c>
      <c r="DA36" s="15" t="s">
        <v>29</v>
      </c>
      <c r="DB36" s="15" t="s">
        <v>29</v>
      </c>
      <c r="DC36" s="15" t="s">
        <v>29</v>
      </c>
      <c r="DD36" s="15" t="s">
        <v>29</v>
      </c>
      <c r="DE36" s="15" t="s">
        <v>29</v>
      </c>
    </row>
    <row r="37" spans="1:109" x14ac:dyDescent="0.3">
      <c r="A37" s="15" t="s">
        <v>30</v>
      </c>
      <c r="B37" s="15" t="s">
        <v>30</v>
      </c>
      <c r="C37" s="15" t="s">
        <v>30</v>
      </c>
      <c r="D37" s="15" t="s">
        <v>30</v>
      </c>
      <c r="E37" s="15" t="s">
        <v>138</v>
      </c>
      <c r="F37" s="15" t="s">
        <v>138</v>
      </c>
      <c r="G37" s="15" t="s">
        <v>138</v>
      </c>
      <c r="H37" s="15" t="s">
        <v>138</v>
      </c>
      <c r="I37" s="15" t="s">
        <v>29</v>
      </c>
      <c r="J37" s="15" t="s">
        <v>29</v>
      </c>
      <c r="K37" s="15" t="s">
        <v>29</v>
      </c>
      <c r="L37" s="15" t="s">
        <v>29</v>
      </c>
      <c r="M37" s="15" t="s">
        <v>139</v>
      </c>
      <c r="N37" s="15" t="s">
        <v>139</v>
      </c>
      <c r="O37" s="15" t="s">
        <v>139</v>
      </c>
      <c r="P37" s="15" t="s">
        <v>139</v>
      </c>
      <c r="Q37" s="15" t="s">
        <v>139</v>
      </c>
      <c r="R37" s="15" t="s">
        <v>139</v>
      </c>
      <c r="S37" s="15" t="s">
        <v>139</v>
      </c>
      <c r="T37" s="15" t="s">
        <v>139</v>
      </c>
      <c r="U37" s="15" t="s">
        <v>138</v>
      </c>
      <c r="V37" s="15" t="s">
        <v>29</v>
      </c>
      <c r="W37" s="15" t="s">
        <v>29</v>
      </c>
      <c r="X37" s="15" t="s">
        <v>29</v>
      </c>
      <c r="Y37" s="15" t="s">
        <v>111</v>
      </c>
      <c r="Z37" s="15" t="s">
        <v>111</v>
      </c>
      <c r="AA37" s="15" t="s">
        <v>111</v>
      </c>
      <c r="AB37" s="15" t="s">
        <v>111</v>
      </c>
      <c r="AC37" s="15" t="s">
        <v>111</v>
      </c>
      <c r="AD37" s="15" t="s">
        <v>111</v>
      </c>
      <c r="AE37" s="15" t="s">
        <v>111</v>
      </c>
      <c r="AF37" s="15" t="s">
        <v>111</v>
      </c>
      <c r="AG37" s="15" t="s">
        <v>111</v>
      </c>
      <c r="AH37" s="15" t="s">
        <v>111</v>
      </c>
      <c r="AI37" s="15" t="s">
        <v>29</v>
      </c>
      <c r="AJ37" s="15" t="s">
        <v>29</v>
      </c>
      <c r="AK37" s="15" t="s">
        <v>138</v>
      </c>
      <c r="AL37" s="15" t="s">
        <v>138</v>
      </c>
      <c r="AM37" s="15" t="s">
        <v>138</v>
      </c>
      <c r="AN37" s="15" t="s">
        <v>138</v>
      </c>
      <c r="AO37" s="15" t="s">
        <v>139</v>
      </c>
      <c r="AP37" s="15" t="s">
        <v>139</v>
      </c>
      <c r="AQ37" s="15" t="s">
        <v>30</v>
      </c>
      <c r="AR37" s="15" t="s">
        <v>30</v>
      </c>
      <c r="AS37" s="15" t="s">
        <v>30</v>
      </c>
      <c r="AT37" s="15" t="s">
        <v>30</v>
      </c>
      <c r="AU37" s="15" t="s">
        <v>30</v>
      </c>
      <c r="AV37" s="15" t="s">
        <v>140</v>
      </c>
      <c r="AW37" s="15" t="s">
        <v>30</v>
      </c>
      <c r="AX37" s="15" t="s">
        <v>30</v>
      </c>
      <c r="AY37" s="15" t="s">
        <v>30</v>
      </c>
      <c r="AZ37" s="15" t="s">
        <v>140</v>
      </c>
      <c r="BA37" s="15" t="s">
        <v>139</v>
      </c>
      <c r="BB37" s="15" t="s">
        <v>139</v>
      </c>
      <c r="BC37" s="15" t="s">
        <v>139</v>
      </c>
      <c r="BD37" s="15" t="s">
        <v>139</v>
      </c>
      <c r="BE37" s="15" t="s">
        <v>140</v>
      </c>
      <c r="BF37" s="15" t="s">
        <v>140</v>
      </c>
      <c r="BG37" s="15" t="s">
        <v>31</v>
      </c>
      <c r="BH37" s="15" t="s">
        <v>31</v>
      </c>
      <c r="BI37" s="15" t="s">
        <v>31</v>
      </c>
      <c r="BJ37" s="15" t="s">
        <v>31</v>
      </c>
      <c r="BK37" s="15" t="s">
        <v>31</v>
      </c>
      <c r="BL37" s="15" t="s">
        <v>31</v>
      </c>
      <c r="BM37" s="15" t="s">
        <v>140</v>
      </c>
      <c r="BN37" s="15" t="s">
        <v>140</v>
      </c>
      <c r="BO37" s="15" t="s">
        <v>140</v>
      </c>
      <c r="BP37" s="15" t="s">
        <v>140</v>
      </c>
      <c r="BQ37" s="15" t="s">
        <v>140</v>
      </c>
      <c r="BR37" s="15" t="s">
        <v>140</v>
      </c>
      <c r="BS37" s="15" t="s">
        <v>140</v>
      </c>
      <c r="BT37" s="15" t="s">
        <v>140</v>
      </c>
      <c r="BU37" s="15" t="s">
        <v>139</v>
      </c>
      <c r="BV37" s="15" t="s">
        <v>139</v>
      </c>
      <c r="BW37" s="15" t="s">
        <v>139</v>
      </c>
      <c r="BX37" s="15" t="s">
        <v>30</v>
      </c>
      <c r="BY37" s="15" t="s">
        <v>140</v>
      </c>
      <c r="BZ37" s="15" t="s">
        <v>140</v>
      </c>
      <c r="CA37" s="15" t="s">
        <v>140</v>
      </c>
      <c r="CB37" s="15" t="s">
        <v>140</v>
      </c>
      <c r="CC37" s="15" t="s">
        <v>30</v>
      </c>
      <c r="CD37" s="15" t="s">
        <v>30</v>
      </c>
      <c r="CE37" s="15" t="s">
        <v>30</v>
      </c>
      <c r="CF37" s="15" t="s">
        <v>30</v>
      </c>
      <c r="CG37" s="15" t="s">
        <v>30</v>
      </c>
      <c r="CH37" s="15" t="s">
        <v>30</v>
      </c>
      <c r="CI37" s="15" t="s">
        <v>30</v>
      </c>
      <c r="CJ37" s="15" t="s">
        <v>30</v>
      </c>
      <c r="CK37" s="15" t="s">
        <v>122</v>
      </c>
      <c r="CL37" s="15" t="s">
        <v>122</v>
      </c>
      <c r="CM37" s="15" t="s">
        <v>122</v>
      </c>
      <c r="CN37" s="15" t="s">
        <v>122</v>
      </c>
      <c r="CO37" s="15" t="s">
        <v>140</v>
      </c>
      <c r="CP37" s="15" t="s">
        <v>140</v>
      </c>
      <c r="CQ37" s="15" t="s">
        <v>140</v>
      </c>
      <c r="CR37" s="15" t="s">
        <v>140</v>
      </c>
      <c r="CS37" s="15" t="s">
        <v>31</v>
      </c>
      <c r="CT37" s="15" t="s">
        <v>31</v>
      </c>
      <c r="CU37" s="15" t="s">
        <v>31</v>
      </c>
      <c r="CV37" s="15" t="s">
        <v>31</v>
      </c>
      <c r="CW37" s="15" t="s">
        <v>140</v>
      </c>
      <c r="CX37" s="15" t="s">
        <v>140</v>
      </c>
      <c r="CY37" s="15" t="s">
        <v>140</v>
      </c>
      <c r="CZ37" s="15" t="s">
        <v>140</v>
      </c>
      <c r="DA37" s="15" t="s">
        <v>138</v>
      </c>
      <c r="DB37" s="15" t="s">
        <v>138</v>
      </c>
      <c r="DC37" s="15" t="s">
        <v>138</v>
      </c>
      <c r="DD37" s="15" t="s">
        <v>138</v>
      </c>
      <c r="DE37" s="15" t="s">
        <v>138</v>
      </c>
    </row>
    <row r="38" spans="1:109" x14ac:dyDescent="0.3">
      <c r="A38" s="15" t="s">
        <v>31</v>
      </c>
      <c r="B38" s="15" t="s">
        <v>31</v>
      </c>
      <c r="C38" s="15" t="s">
        <v>31</v>
      </c>
      <c r="D38" s="15" t="s">
        <v>31</v>
      </c>
      <c r="E38" s="15" t="s">
        <v>139</v>
      </c>
      <c r="F38" s="15" t="s">
        <v>139</v>
      </c>
      <c r="G38" s="15" t="s">
        <v>139</v>
      </c>
      <c r="H38" s="15" t="s">
        <v>139</v>
      </c>
      <c r="I38" s="15" t="s">
        <v>138</v>
      </c>
      <c r="J38" s="15" t="s">
        <v>138</v>
      </c>
      <c r="K38" s="15" t="s">
        <v>138</v>
      </c>
      <c r="L38" s="15" t="s">
        <v>138</v>
      </c>
      <c r="M38" s="15" t="s">
        <v>30</v>
      </c>
      <c r="N38" s="15" t="s">
        <v>30</v>
      </c>
      <c r="O38" s="15" t="s">
        <v>30</v>
      </c>
      <c r="P38" s="15" t="s">
        <v>30</v>
      </c>
      <c r="Q38" s="15" t="s">
        <v>30</v>
      </c>
      <c r="R38" s="15" t="s">
        <v>30</v>
      </c>
      <c r="S38" s="15" t="s">
        <v>30</v>
      </c>
      <c r="T38" s="15" t="s">
        <v>30</v>
      </c>
      <c r="U38" s="15" t="s">
        <v>139</v>
      </c>
      <c r="V38" s="15" t="s">
        <v>138</v>
      </c>
      <c r="W38" s="15" t="s">
        <v>138</v>
      </c>
      <c r="X38" s="15" t="s">
        <v>138</v>
      </c>
      <c r="Y38" s="15" t="s">
        <v>29</v>
      </c>
      <c r="Z38" s="15" t="s">
        <v>29</v>
      </c>
      <c r="AA38" s="15" t="s">
        <v>29</v>
      </c>
      <c r="AB38" s="15" t="s">
        <v>29</v>
      </c>
      <c r="AC38" s="15" t="s">
        <v>29</v>
      </c>
      <c r="AD38" s="15" t="s">
        <v>29</v>
      </c>
      <c r="AE38" s="15" t="s">
        <v>29</v>
      </c>
      <c r="AF38" s="15" t="s">
        <v>29</v>
      </c>
      <c r="AG38" s="15" t="s">
        <v>29</v>
      </c>
      <c r="AH38" s="15" t="s">
        <v>29</v>
      </c>
      <c r="AI38" s="15" t="s">
        <v>138</v>
      </c>
      <c r="AJ38" s="15" t="s">
        <v>138</v>
      </c>
      <c r="AK38" s="15" t="s">
        <v>139</v>
      </c>
      <c r="AL38" s="15" t="s">
        <v>139</v>
      </c>
      <c r="AM38" s="15" t="s">
        <v>139</v>
      </c>
      <c r="AN38" s="15" t="s">
        <v>139</v>
      </c>
      <c r="AO38" s="15" t="s">
        <v>30</v>
      </c>
      <c r="AP38" s="15" t="s">
        <v>30</v>
      </c>
      <c r="AQ38" s="15" t="s">
        <v>140</v>
      </c>
      <c r="AR38" s="15" t="s">
        <v>140</v>
      </c>
      <c r="AS38" s="15" t="s">
        <v>140</v>
      </c>
      <c r="AT38" s="15" t="s">
        <v>140</v>
      </c>
      <c r="AU38" s="15" t="s">
        <v>140</v>
      </c>
      <c r="AV38" s="15" t="s">
        <v>31</v>
      </c>
      <c r="AW38" s="15" t="s">
        <v>140</v>
      </c>
      <c r="AX38" s="15" t="s">
        <v>140</v>
      </c>
      <c r="AY38" s="15" t="s">
        <v>140</v>
      </c>
      <c r="AZ38" s="15" t="s">
        <v>31</v>
      </c>
      <c r="BA38" s="15" t="s">
        <v>30</v>
      </c>
      <c r="BB38" s="15" t="s">
        <v>30</v>
      </c>
      <c r="BC38" s="15" t="s">
        <v>30</v>
      </c>
      <c r="BD38" s="15" t="s">
        <v>30</v>
      </c>
      <c r="BE38" s="15" t="s">
        <v>31</v>
      </c>
      <c r="BF38" s="15" t="s">
        <v>31</v>
      </c>
      <c r="BG38" s="15" t="s">
        <v>4</v>
      </c>
      <c r="BH38" s="15" t="s">
        <v>4</v>
      </c>
      <c r="BI38" s="15" t="s">
        <v>4</v>
      </c>
      <c r="BJ38" s="15" t="s">
        <v>4</v>
      </c>
      <c r="BK38" s="15" t="s">
        <v>4</v>
      </c>
      <c r="BL38" s="15" t="s">
        <v>4</v>
      </c>
      <c r="BM38" s="15" t="s">
        <v>31</v>
      </c>
      <c r="BN38" s="15" t="s">
        <v>31</v>
      </c>
      <c r="BO38" s="15" t="s">
        <v>31</v>
      </c>
      <c r="BP38" s="15" t="s">
        <v>31</v>
      </c>
      <c r="BQ38" s="15" t="s">
        <v>31</v>
      </c>
      <c r="BR38" s="15" t="s">
        <v>31</v>
      </c>
      <c r="BS38" s="15" t="s">
        <v>31</v>
      </c>
      <c r="BT38" s="15" t="s">
        <v>31</v>
      </c>
      <c r="BU38" s="15" t="s">
        <v>30</v>
      </c>
      <c r="BV38" s="15" t="s">
        <v>30</v>
      </c>
      <c r="BW38" s="15" t="s">
        <v>30</v>
      </c>
      <c r="BX38" s="15" t="s">
        <v>140</v>
      </c>
      <c r="BY38" s="15" t="s">
        <v>31</v>
      </c>
      <c r="BZ38" s="15" t="s">
        <v>31</v>
      </c>
      <c r="CA38" s="15" t="s">
        <v>31</v>
      </c>
      <c r="CB38" s="15" t="s">
        <v>31</v>
      </c>
      <c r="CC38" s="15" t="s">
        <v>31</v>
      </c>
      <c r="CD38" s="15" t="s">
        <v>31</v>
      </c>
      <c r="CE38" s="15" t="s">
        <v>31</v>
      </c>
      <c r="CF38" s="15" t="s">
        <v>31</v>
      </c>
      <c r="CG38" s="15" t="s">
        <v>31</v>
      </c>
      <c r="CH38" s="15" t="s">
        <v>31</v>
      </c>
      <c r="CI38" s="15" t="s">
        <v>31</v>
      </c>
      <c r="CJ38" s="15" t="s">
        <v>31</v>
      </c>
      <c r="CK38" s="15" t="s">
        <v>30</v>
      </c>
      <c r="CL38" s="15" t="s">
        <v>30</v>
      </c>
      <c r="CM38" s="15" t="s">
        <v>30</v>
      </c>
      <c r="CN38" s="15" t="s">
        <v>30</v>
      </c>
      <c r="CO38" s="15" t="s">
        <v>31</v>
      </c>
      <c r="CP38" s="15" t="s">
        <v>31</v>
      </c>
      <c r="CQ38" s="15" t="s">
        <v>31</v>
      </c>
      <c r="CR38" s="15" t="s">
        <v>31</v>
      </c>
      <c r="CS38" s="15" t="s">
        <v>33</v>
      </c>
      <c r="CT38" s="15" t="s">
        <v>33</v>
      </c>
      <c r="CU38" s="15" t="s">
        <v>33</v>
      </c>
      <c r="CV38" s="15" t="s">
        <v>33</v>
      </c>
      <c r="CW38" s="15" t="s">
        <v>31</v>
      </c>
      <c r="CX38" s="15" t="s">
        <v>31</v>
      </c>
      <c r="CY38" s="15" t="s">
        <v>31</v>
      </c>
      <c r="CZ38" s="15" t="s">
        <v>31</v>
      </c>
      <c r="DA38" s="15" t="s">
        <v>30</v>
      </c>
      <c r="DB38" s="15" t="s">
        <v>30</v>
      </c>
      <c r="DC38" s="15" t="s">
        <v>30</v>
      </c>
      <c r="DD38" s="15" t="s">
        <v>30</v>
      </c>
      <c r="DE38" s="15" t="s">
        <v>30</v>
      </c>
    </row>
    <row r="39" spans="1:109" x14ac:dyDescent="0.3">
      <c r="A39" s="15" t="s">
        <v>32</v>
      </c>
      <c r="B39" s="15" t="s">
        <v>32</v>
      </c>
      <c r="C39" s="15" t="s">
        <v>32</v>
      </c>
      <c r="D39" s="15" t="s">
        <v>32</v>
      </c>
      <c r="E39" s="15" t="s">
        <v>30</v>
      </c>
      <c r="F39" s="15" t="s">
        <v>30</v>
      </c>
      <c r="G39" s="15" t="s">
        <v>30</v>
      </c>
      <c r="H39" s="15" t="s">
        <v>30</v>
      </c>
      <c r="I39" s="15" t="s">
        <v>139</v>
      </c>
      <c r="J39" s="15" t="s">
        <v>139</v>
      </c>
      <c r="K39" s="15" t="s">
        <v>139</v>
      </c>
      <c r="L39" s="15" t="s">
        <v>139</v>
      </c>
      <c r="M39" s="15" t="s">
        <v>140</v>
      </c>
      <c r="N39" s="15" t="s">
        <v>140</v>
      </c>
      <c r="O39" s="15" t="s">
        <v>140</v>
      </c>
      <c r="P39" s="15" t="s">
        <v>140</v>
      </c>
      <c r="Q39" s="15" t="s">
        <v>140</v>
      </c>
      <c r="R39" s="15" t="s">
        <v>140</v>
      </c>
      <c r="S39" s="15" t="s">
        <v>140</v>
      </c>
      <c r="T39" s="15" t="s">
        <v>140</v>
      </c>
      <c r="U39" s="15" t="s">
        <v>30</v>
      </c>
      <c r="V39" s="15" t="s">
        <v>139</v>
      </c>
      <c r="W39" s="15" t="s">
        <v>139</v>
      </c>
      <c r="X39" s="15" t="s">
        <v>139</v>
      </c>
      <c r="Y39" s="15" t="s">
        <v>138</v>
      </c>
      <c r="Z39" s="15" t="s">
        <v>138</v>
      </c>
      <c r="AA39" s="15" t="s">
        <v>138</v>
      </c>
      <c r="AB39" s="15" t="s">
        <v>138</v>
      </c>
      <c r="AC39" s="15" t="s">
        <v>138</v>
      </c>
      <c r="AD39" s="15" t="s">
        <v>138</v>
      </c>
      <c r="AE39" s="15" t="s">
        <v>138</v>
      </c>
      <c r="AF39" s="15" t="s">
        <v>138</v>
      </c>
      <c r="AG39" s="15" t="s">
        <v>138</v>
      </c>
      <c r="AH39" s="15" t="s">
        <v>138</v>
      </c>
      <c r="AI39" s="15" t="s">
        <v>139</v>
      </c>
      <c r="AJ39" s="15" t="s">
        <v>139</v>
      </c>
      <c r="AK39" s="15" t="s">
        <v>30</v>
      </c>
      <c r="AL39" s="15" t="s">
        <v>30</v>
      </c>
      <c r="AM39" s="15" t="s">
        <v>30</v>
      </c>
      <c r="AN39" s="15" t="s">
        <v>30</v>
      </c>
      <c r="AO39" s="15" t="s">
        <v>140</v>
      </c>
      <c r="AP39" s="15" t="s">
        <v>140</v>
      </c>
      <c r="AQ39" s="15" t="s">
        <v>31</v>
      </c>
      <c r="AR39" s="15" t="s">
        <v>31</v>
      </c>
      <c r="AS39" s="15" t="s">
        <v>31</v>
      </c>
      <c r="AT39" s="15" t="s">
        <v>31</v>
      </c>
      <c r="AU39" s="15" t="s">
        <v>31</v>
      </c>
      <c r="AV39" s="15" t="s">
        <v>32</v>
      </c>
      <c r="AW39" s="15" t="s">
        <v>31</v>
      </c>
      <c r="AX39" s="15" t="s">
        <v>31</v>
      </c>
      <c r="AY39" s="15" t="s">
        <v>31</v>
      </c>
      <c r="AZ39" s="15" t="s">
        <v>4</v>
      </c>
      <c r="BA39" s="15" t="s">
        <v>31</v>
      </c>
      <c r="BB39" s="15" t="s">
        <v>31</v>
      </c>
      <c r="BC39" s="15" t="s">
        <v>31</v>
      </c>
      <c r="BD39" s="15" t="s">
        <v>31</v>
      </c>
      <c r="BE39" s="15" t="s">
        <v>4</v>
      </c>
      <c r="BF39" s="15" t="s">
        <v>4</v>
      </c>
      <c r="BG39" s="15" t="s">
        <v>141</v>
      </c>
      <c r="BH39" s="15" t="s">
        <v>141</v>
      </c>
      <c r="BI39" s="15" t="s">
        <v>141</v>
      </c>
      <c r="BJ39" s="15" t="s">
        <v>141</v>
      </c>
      <c r="BK39" s="15" t="s">
        <v>141</v>
      </c>
      <c r="BL39" s="15" t="s">
        <v>141</v>
      </c>
      <c r="BM39" s="15" t="s">
        <v>4</v>
      </c>
      <c r="BN39" s="15" t="s">
        <v>4</v>
      </c>
      <c r="BO39" s="15" t="s">
        <v>4</v>
      </c>
      <c r="BP39" s="15" t="s">
        <v>4</v>
      </c>
      <c r="BQ39" s="15" t="s">
        <v>4</v>
      </c>
      <c r="BR39" s="15" t="s">
        <v>4</v>
      </c>
      <c r="BS39" s="15" t="s">
        <v>4</v>
      </c>
      <c r="BT39" s="15" t="s">
        <v>4</v>
      </c>
      <c r="BU39" s="15" t="s">
        <v>140</v>
      </c>
      <c r="BV39" s="15" t="s">
        <v>140</v>
      </c>
      <c r="BW39" s="15" t="s">
        <v>140</v>
      </c>
      <c r="BX39" s="15" t="s">
        <v>31</v>
      </c>
      <c r="BY39" s="15" t="s">
        <v>33</v>
      </c>
      <c r="BZ39" s="15" t="s">
        <v>33</v>
      </c>
      <c r="CA39" s="15" t="s">
        <v>33</v>
      </c>
      <c r="CB39" s="15" t="s">
        <v>33</v>
      </c>
      <c r="CC39" s="15" t="s">
        <v>33</v>
      </c>
      <c r="CD39" s="15" t="s">
        <v>33</v>
      </c>
      <c r="CE39" s="15" t="s">
        <v>33</v>
      </c>
      <c r="CF39" s="15" t="s">
        <v>33</v>
      </c>
      <c r="CG39" s="15" t="s">
        <v>33</v>
      </c>
      <c r="CH39" s="15" t="s">
        <v>33</v>
      </c>
      <c r="CI39" s="15" t="s">
        <v>33</v>
      </c>
      <c r="CJ39" s="15" t="s">
        <v>33</v>
      </c>
      <c r="CK39" s="15" t="s">
        <v>31</v>
      </c>
      <c r="CL39" s="15" t="s">
        <v>31</v>
      </c>
      <c r="CM39" s="15" t="s">
        <v>31</v>
      </c>
      <c r="CN39" s="15" t="s">
        <v>31</v>
      </c>
      <c r="CO39" s="15" t="s">
        <v>33</v>
      </c>
      <c r="CP39" s="15" t="s">
        <v>33</v>
      </c>
      <c r="CQ39" s="15" t="s">
        <v>33</v>
      </c>
      <c r="CR39" s="15" t="s">
        <v>33</v>
      </c>
      <c r="CS39" s="15" t="s">
        <v>4</v>
      </c>
      <c r="CT39" s="15" t="s">
        <v>4</v>
      </c>
      <c r="CU39" s="15" t="s">
        <v>4</v>
      </c>
      <c r="CV39" s="15" t="s">
        <v>4</v>
      </c>
      <c r="CW39" s="15" t="s">
        <v>33</v>
      </c>
      <c r="CX39" s="15" t="s">
        <v>33</v>
      </c>
      <c r="CY39" s="15" t="s">
        <v>33</v>
      </c>
      <c r="CZ39" s="15" t="s">
        <v>33</v>
      </c>
      <c r="DA39" s="15" t="s">
        <v>140</v>
      </c>
      <c r="DB39" s="15" t="s">
        <v>140</v>
      </c>
      <c r="DC39" s="15" t="s">
        <v>140</v>
      </c>
      <c r="DD39" s="15" t="s">
        <v>140</v>
      </c>
      <c r="DE39" s="15" t="s">
        <v>140</v>
      </c>
    </row>
    <row r="40" spans="1:109" x14ac:dyDescent="0.3">
      <c r="A40" s="15" t="s">
        <v>141</v>
      </c>
      <c r="B40" s="15" t="s">
        <v>141</v>
      </c>
      <c r="C40" s="15" t="s">
        <v>141</v>
      </c>
      <c r="D40" s="15" t="s">
        <v>141</v>
      </c>
      <c r="E40" s="15" t="s">
        <v>31</v>
      </c>
      <c r="F40" s="15" t="s">
        <v>31</v>
      </c>
      <c r="G40" s="15" t="s">
        <v>31</v>
      </c>
      <c r="H40" s="15" t="s">
        <v>31</v>
      </c>
      <c r="I40" s="15" t="s">
        <v>30</v>
      </c>
      <c r="J40" s="15" t="s">
        <v>30</v>
      </c>
      <c r="K40" s="15" t="s">
        <v>30</v>
      </c>
      <c r="L40" s="15" t="s">
        <v>30</v>
      </c>
      <c r="M40" s="15" t="s">
        <v>31</v>
      </c>
      <c r="N40" s="15" t="s">
        <v>31</v>
      </c>
      <c r="O40" s="15" t="s">
        <v>31</v>
      </c>
      <c r="P40" s="15" t="s">
        <v>31</v>
      </c>
      <c r="Q40" s="15" t="s">
        <v>31</v>
      </c>
      <c r="R40" s="15" t="s">
        <v>31</v>
      </c>
      <c r="S40" s="15" t="s">
        <v>31</v>
      </c>
      <c r="T40" s="15" t="s">
        <v>31</v>
      </c>
      <c r="U40" s="15" t="s">
        <v>140</v>
      </c>
      <c r="V40" s="15" t="s">
        <v>30</v>
      </c>
      <c r="W40" s="15" t="s">
        <v>30</v>
      </c>
      <c r="X40" s="15" t="s">
        <v>30</v>
      </c>
      <c r="Y40" s="15" t="s">
        <v>139</v>
      </c>
      <c r="Z40" s="15" t="s">
        <v>139</v>
      </c>
      <c r="AA40" s="15" t="s">
        <v>139</v>
      </c>
      <c r="AB40" s="15" t="s">
        <v>139</v>
      </c>
      <c r="AC40" s="15" t="s">
        <v>139</v>
      </c>
      <c r="AD40" s="15" t="s">
        <v>139</v>
      </c>
      <c r="AE40" s="15" t="s">
        <v>139</v>
      </c>
      <c r="AF40" s="15" t="s">
        <v>139</v>
      </c>
      <c r="AG40" s="15" t="s">
        <v>139</v>
      </c>
      <c r="AH40" s="15" t="s">
        <v>139</v>
      </c>
      <c r="AI40" s="15" t="s">
        <v>30</v>
      </c>
      <c r="AJ40" s="15" t="s">
        <v>30</v>
      </c>
      <c r="AK40" s="15" t="s">
        <v>31</v>
      </c>
      <c r="AL40" s="15" t="s">
        <v>31</v>
      </c>
      <c r="AM40" s="15" t="s">
        <v>31</v>
      </c>
      <c r="AN40" s="15" t="s">
        <v>31</v>
      </c>
      <c r="AO40" s="15" t="s">
        <v>31</v>
      </c>
      <c r="AP40" s="15" t="s">
        <v>31</v>
      </c>
      <c r="AQ40" s="15" t="s">
        <v>32</v>
      </c>
      <c r="AR40" s="15" t="s">
        <v>32</v>
      </c>
      <c r="AS40" s="15" t="s">
        <v>32</v>
      </c>
      <c r="AT40" s="15" t="s">
        <v>32</v>
      </c>
      <c r="AU40" s="15" t="s">
        <v>32</v>
      </c>
      <c r="AV40" s="15" t="s">
        <v>4</v>
      </c>
      <c r="AW40" s="15" t="s">
        <v>4</v>
      </c>
      <c r="AX40" s="15" t="s">
        <v>4</v>
      </c>
      <c r="AY40" s="15" t="s">
        <v>4</v>
      </c>
      <c r="AZ40" s="15" t="s">
        <v>141</v>
      </c>
      <c r="BA40" s="15" t="s">
        <v>4</v>
      </c>
      <c r="BB40" s="15" t="s">
        <v>4</v>
      </c>
      <c r="BC40" s="15" t="s">
        <v>4</v>
      </c>
      <c r="BD40" s="15" t="s">
        <v>4</v>
      </c>
      <c r="BE40" s="15" t="s">
        <v>141</v>
      </c>
      <c r="BF40" s="15" t="s">
        <v>141</v>
      </c>
      <c r="BG40" s="15" t="s">
        <v>34</v>
      </c>
      <c r="BH40" s="15" t="s">
        <v>34</v>
      </c>
      <c r="BI40" s="15" t="s">
        <v>34</v>
      </c>
      <c r="BJ40" s="15" t="s">
        <v>34</v>
      </c>
      <c r="BK40" s="15" t="s">
        <v>34</v>
      </c>
      <c r="BL40" s="15" t="s">
        <v>34</v>
      </c>
      <c r="BM40" s="15" t="s">
        <v>141</v>
      </c>
      <c r="BN40" s="15" t="s">
        <v>141</v>
      </c>
      <c r="BO40" s="15" t="s">
        <v>141</v>
      </c>
      <c r="BP40" s="15" t="s">
        <v>141</v>
      </c>
      <c r="BQ40" s="15" t="s">
        <v>141</v>
      </c>
      <c r="BR40" s="15" t="s">
        <v>141</v>
      </c>
      <c r="BS40" s="15" t="s">
        <v>141</v>
      </c>
      <c r="BT40" s="15" t="s">
        <v>141</v>
      </c>
      <c r="BU40" s="15" t="s">
        <v>31</v>
      </c>
      <c r="BV40" s="15" t="s">
        <v>31</v>
      </c>
      <c r="BW40" s="15" t="s">
        <v>31</v>
      </c>
      <c r="BX40" s="15" t="s">
        <v>4</v>
      </c>
      <c r="BY40" s="15" t="s">
        <v>4</v>
      </c>
      <c r="BZ40" s="15" t="s">
        <v>4</v>
      </c>
      <c r="CA40" s="15" t="s">
        <v>4</v>
      </c>
      <c r="CB40" s="15" t="s">
        <v>4</v>
      </c>
      <c r="CC40" s="15" t="s">
        <v>4</v>
      </c>
      <c r="CD40" s="15" t="s">
        <v>4</v>
      </c>
      <c r="CE40" s="15" t="s">
        <v>4</v>
      </c>
      <c r="CF40" s="15" t="s">
        <v>4</v>
      </c>
      <c r="CG40" s="15" t="s">
        <v>4</v>
      </c>
      <c r="CH40" s="15" t="s">
        <v>4</v>
      </c>
      <c r="CI40" s="15" t="s">
        <v>4</v>
      </c>
      <c r="CJ40" s="15" t="s">
        <v>4</v>
      </c>
      <c r="CK40" s="15" t="s">
        <v>33</v>
      </c>
      <c r="CL40" s="15" t="s">
        <v>33</v>
      </c>
      <c r="CM40" s="15" t="s">
        <v>33</v>
      </c>
      <c r="CN40" s="15" t="s">
        <v>33</v>
      </c>
      <c r="CO40" s="15" t="s">
        <v>4</v>
      </c>
      <c r="CP40" s="15" t="s">
        <v>4</v>
      </c>
      <c r="CQ40" s="15" t="s">
        <v>4</v>
      </c>
      <c r="CR40" s="15" t="s">
        <v>4</v>
      </c>
      <c r="CS40" s="15" t="s">
        <v>34</v>
      </c>
      <c r="CT40" s="15" t="s">
        <v>34</v>
      </c>
      <c r="CU40" s="15" t="s">
        <v>34</v>
      </c>
      <c r="CV40" s="15" t="s">
        <v>34</v>
      </c>
      <c r="CW40" s="15" t="s">
        <v>4</v>
      </c>
      <c r="CX40" s="15" t="s">
        <v>4</v>
      </c>
      <c r="CY40" s="15" t="s">
        <v>4</v>
      </c>
      <c r="CZ40" s="15" t="s">
        <v>4</v>
      </c>
      <c r="DA40" s="15" t="s">
        <v>31</v>
      </c>
      <c r="DB40" s="15" t="s">
        <v>31</v>
      </c>
      <c r="DC40" s="15" t="s">
        <v>31</v>
      </c>
      <c r="DD40" s="15" t="s">
        <v>31</v>
      </c>
      <c r="DE40" s="15" t="s">
        <v>31</v>
      </c>
    </row>
    <row r="41" spans="1:109" x14ac:dyDescent="0.3">
      <c r="A41" s="15" t="s">
        <v>142</v>
      </c>
      <c r="B41" s="15" t="s">
        <v>142</v>
      </c>
      <c r="C41" s="15" t="s">
        <v>142</v>
      </c>
      <c r="D41" s="15" t="s">
        <v>142</v>
      </c>
      <c r="E41" s="15" t="s">
        <v>32</v>
      </c>
      <c r="F41" s="15" t="s">
        <v>32</v>
      </c>
      <c r="G41" s="15" t="s">
        <v>32</v>
      </c>
      <c r="H41" s="15" t="s">
        <v>32</v>
      </c>
      <c r="I41" s="15" t="s">
        <v>31</v>
      </c>
      <c r="J41" s="15" t="s">
        <v>31</v>
      </c>
      <c r="K41" s="15" t="s">
        <v>31</v>
      </c>
      <c r="L41" s="15" t="s">
        <v>31</v>
      </c>
      <c r="M41" s="15" t="s">
        <v>32</v>
      </c>
      <c r="N41" s="15" t="s">
        <v>32</v>
      </c>
      <c r="O41" s="15" t="s">
        <v>32</v>
      </c>
      <c r="P41" s="15" t="s">
        <v>32</v>
      </c>
      <c r="Q41" s="15" t="s">
        <v>32</v>
      </c>
      <c r="R41" s="15" t="s">
        <v>32</v>
      </c>
      <c r="S41" s="15" t="s">
        <v>32</v>
      </c>
      <c r="T41" s="15" t="s">
        <v>32</v>
      </c>
      <c r="U41" s="15" t="s">
        <v>31</v>
      </c>
      <c r="V41" s="15" t="s">
        <v>140</v>
      </c>
      <c r="W41" s="15" t="s">
        <v>140</v>
      </c>
      <c r="X41" s="15" t="s">
        <v>140</v>
      </c>
      <c r="Y41" s="15" t="s">
        <v>30</v>
      </c>
      <c r="Z41" s="15" t="s">
        <v>30</v>
      </c>
      <c r="AA41" s="15" t="s">
        <v>30</v>
      </c>
      <c r="AB41" s="15" t="s">
        <v>30</v>
      </c>
      <c r="AC41" s="15" t="s">
        <v>30</v>
      </c>
      <c r="AD41" s="15" t="s">
        <v>30</v>
      </c>
      <c r="AE41" s="15" t="s">
        <v>30</v>
      </c>
      <c r="AF41" s="15" t="s">
        <v>30</v>
      </c>
      <c r="AG41" s="15" t="s">
        <v>30</v>
      </c>
      <c r="AH41" s="15" t="s">
        <v>30</v>
      </c>
      <c r="AI41" s="15" t="s">
        <v>31</v>
      </c>
      <c r="AJ41" s="15" t="s">
        <v>140</v>
      </c>
      <c r="AK41" s="15" t="s">
        <v>32</v>
      </c>
      <c r="AL41" s="15" t="s">
        <v>32</v>
      </c>
      <c r="AM41" s="15" t="s">
        <v>32</v>
      </c>
      <c r="AN41" s="15" t="s">
        <v>32</v>
      </c>
      <c r="AO41" s="15" t="s">
        <v>32</v>
      </c>
      <c r="AP41" s="15" t="s">
        <v>32</v>
      </c>
      <c r="AQ41" s="15" t="s">
        <v>4</v>
      </c>
      <c r="AR41" s="15" t="s">
        <v>4</v>
      </c>
      <c r="AS41" s="15" t="s">
        <v>4</v>
      </c>
      <c r="AT41" s="15" t="s">
        <v>4</v>
      </c>
      <c r="AU41" s="15" t="s">
        <v>4</v>
      </c>
      <c r="AV41" s="15" t="s">
        <v>141</v>
      </c>
      <c r="AW41" s="15" t="s">
        <v>141</v>
      </c>
      <c r="AX41" s="15" t="s">
        <v>141</v>
      </c>
      <c r="AY41" s="15" t="s">
        <v>141</v>
      </c>
      <c r="AZ41" s="15" t="s">
        <v>34</v>
      </c>
      <c r="BA41" s="15" t="s">
        <v>141</v>
      </c>
      <c r="BB41" s="15" t="s">
        <v>141</v>
      </c>
      <c r="BC41" s="15" t="s">
        <v>141</v>
      </c>
      <c r="BD41" s="15" t="s">
        <v>141</v>
      </c>
      <c r="BE41" s="15" t="s">
        <v>34</v>
      </c>
      <c r="BF41" s="15" t="s">
        <v>34</v>
      </c>
      <c r="BG41" s="15" t="s">
        <v>96</v>
      </c>
      <c r="BH41" s="15" t="s">
        <v>96</v>
      </c>
      <c r="BI41" s="15" t="s">
        <v>96</v>
      </c>
      <c r="BJ41" s="15" t="s">
        <v>96</v>
      </c>
      <c r="BK41" s="15" t="s">
        <v>96</v>
      </c>
      <c r="BL41" s="15" t="s">
        <v>96</v>
      </c>
      <c r="BM41" s="15" t="s">
        <v>34</v>
      </c>
      <c r="BN41" s="15" t="s">
        <v>34</v>
      </c>
      <c r="BO41" s="15" t="s">
        <v>34</v>
      </c>
      <c r="BP41" s="15" t="s">
        <v>34</v>
      </c>
      <c r="BQ41" s="15" t="s">
        <v>34</v>
      </c>
      <c r="BR41" s="15" t="s">
        <v>34</v>
      </c>
      <c r="BS41" s="15" t="s">
        <v>34</v>
      </c>
      <c r="BT41" s="15" t="s">
        <v>34</v>
      </c>
      <c r="BU41" s="15" t="s">
        <v>4</v>
      </c>
      <c r="BV41" s="15" t="s">
        <v>4</v>
      </c>
      <c r="BW41" s="15" t="s">
        <v>4</v>
      </c>
      <c r="BX41" s="15" t="s">
        <v>34</v>
      </c>
      <c r="BY41" s="15" t="s">
        <v>34</v>
      </c>
      <c r="BZ41" s="15" t="s">
        <v>34</v>
      </c>
      <c r="CA41" s="15" t="s">
        <v>34</v>
      </c>
      <c r="CB41" s="15" t="s">
        <v>34</v>
      </c>
      <c r="CC41" s="15" t="s">
        <v>34</v>
      </c>
      <c r="CD41" s="15" t="s">
        <v>34</v>
      </c>
      <c r="CE41" s="15" t="s">
        <v>34</v>
      </c>
      <c r="CF41" s="15" t="s">
        <v>34</v>
      </c>
      <c r="CG41" s="15" t="s">
        <v>34</v>
      </c>
      <c r="CH41" s="15" t="s">
        <v>34</v>
      </c>
      <c r="CI41" s="15" t="s">
        <v>34</v>
      </c>
      <c r="CJ41" s="15" t="s">
        <v>34</v>
      </c>
      <c r="CK41" s="15" t="s">
        <v>4</v>
      </c>
      <c r="CL41" s="15" t="s">
        <v>4</v>
      </c>
      <c r="CM41" s="15" t="s">
        <v>4</v>
      </c>
      <c r="CN41" s="15" t="s">
        <v>4</v>
      </c>
      <c r="CO41" s="15" t="s">
        <v>34</v>
      </c>
      <c r="CP41" s="15" t="s">
        <v>34</v>
      </c>
      <c r="CQ41" s="15" t="s">
        <v>34</v>
      </c>
      <c r="CR41" s="15" t="s">
        <v>34</v>
      </c>
      <c r="CS41" s="15" t="s">
        <v>35</v>
      </c>
      <c r="CT41" s="15" t="s">
        <v>35</v>
      </c>
      <c r="CU41" s="15" t="s">
        <v>35</v>
      </c>
      <c r="CV41" s="15" t="s">
        <v>35</v>
      </c>
      <c r="CW41" s="15" t="s">
        <v>34</v>
      </c>
      <c r="CX41" s="15" t="s">
        <v>34</v>
      </c>
      <c r="CY41" s="15" t="s">
        <v>34</v>
      </c>
      <c r="CZ41" s="15" t="s">
        <v>34</v>
      </c>
      <c r="DA41" s="15" t="s">
        <v>33</v>
      </c>
      <c r="DB41" s="15" t="s">
        <v>33</v>
      </c>
      <c r="DC41" s="15" t="s">
        <v>33</v>
      </c>
      <c r="DD41" s="15" t="s">
        <v>33</v>
      </c>
      <c r="DE41" s="15" t="s">
        <v>33</v>
      </c>
    </row>
    <row r="42" spans="1:109" x14ac:dyDescent="0.3">
      <c r="A42" s="15" t="s">
        <v>96</v>
      </c>
      <c r="B42" s="15" t="s">
        <v>96</v>
      </c>
      <c r="C42" s="15" t="s">
        <v>96</v>
      </c>
      <c r="D42" s="15" t="s">
        <v>96</v>
      </c>
      <c r="E42" s="15" t="s">
        <v>141</v>
      </c>
      <c r="F42" s="15" t="s">
        <v>141</v>
      </c>
      <c r="G42" s="15" t="s">
        <v>141</v>
      </c>
      <c r="H42" s="15" t="s">
        <v>141</v>
      </c>
      <c r="I42" s="15" t="s">
        <v>32</v>
      </c>
      <c r="J42" s="15" t="s">
        <v>32</v>
      </c>
      <c r="K42" s="15" t="s">
        <v>32</v>
      </c>
      <c r="L42" s="15" t="s">
        <v>32</v>
      </c>
      <c r="M42" s="15" t="s">
        <v>141</v>
      </c>
      <c r="N42" s="15" t="s">
        <v>141</v>
      </c>
      <c r="O42" s="15" t="s">
        <v>141</v>
      </c>
      <c r="P42" s="15" t="s">
        <v>141</v>
      </c>
      <c r="Q42" s="15" t="s">
        <v>141</v>
      </c>
      <c r="R42" s="15" t="s">
        <v>141</v>
      </c>
      <c r="S42" s="15" t="s">
        <v>141</v>
      </c>
      <c r="T42" s="15" t="s">
        <v>141</v>
      </c>
      <c r="U42" s="15" t="s">
        <v>32</v>
      </c>
      <c r="V42" s="15" t="s">
        <v>31</v>
      </c>
      <c r="W42" s="15" t="s">
        <v>31</v>
      </c>
      <c r="X42" s="15" t="s">
        <v>31</v>
      </c>
      <c r="Y42" s="15" t="s">
        <v>140</v>
      </c>
      <c r="Z42" s="15" t="s">
        <v>140</v>
      </c>
      <c r="AA42" s="15" t="s">
        <v>140</v>
      </c>
      <c r="AB42" s="15" t="s">
        <v>140</v>
      </c>
      <c r="AC42" s="15" t="s">
        <v>31</v>
      </c>
      <c r="AD42" s="15" t="s">
        <v>31</v>
      </c>
      <c r="AE42" s="15" t="s">
        <v>31</v>
      </c>
      <c r="AF42" s="15" t="s">
        <v>31</v>
      </c>
      <c r="AG42" s="15" t="s">
        <v>31</v>
      </c>
      <c r="AH42" s="15" t="s">
        <v>31</v>
      </c>
      <c r="AI42" s="15" t="s">
        <v>32</v>
      </c>
      <c r="AJ42" s="15" t="s">
        <v>31</v>
      </c>
      <c r="AK42" s="15" t="s">
        <v>4</v>
      </c>
      <c r="AL42" s="15" t="s">
        <v>4</v>
      </c>
      <c r="AM42" s="15" t="s">
        <v>4</v>
      </c>
      <c r="AN42" s="15" t="s">
        <v>4</v>
      </c>
      <c r="AO42" s="15" t="s">
        <v>4</v>
      </c>
      <c r="AP42" s="15" t="s">
        <v>4</v>
      </c>
      <c r="AQ42" s="15" t="s">
        <v>141</v>
      </c>
      <c r="AR42" s="15" t="s">
        <v>141</v>
      </c>
      <c r="AS42" s="15" t="s">
        <v>141</v>
      </c>
      <c r="AT42" s="15" t="s">
        <v>141</v>
      </c>
      <c r="AU42" s="15" t="s">
        <v>141</v>
      </c>
      <c r="AV42" s="15" t="s">
        <v>34</v>
      </c>
      <c r="AW42" s="15" t="s">
        <v>34</v>
      </c>
      <c r="AX42" s="15" t="s">
        <v>34</v>
      </c>
      <c r="AY42" s="15" t="s">
        <v>34</v>
      </c>
      <c r="AZ42" s="15" t="s">
        <v>96</v>
      </c>
      <c r="BA42" s="15" t="s">
        <v>34</v>
      </c>
      <c r="BB42" s="15" t="s">
        <v>34</v>
      </c>
      <c r="BC42" s="15" t="s">
        <v>34</v>
      </c>
      <c r="BD42" s="15" t="s">
        <v>34</v>
      </c>
      <c r="BE42" s="15" t="s">
        <v>96</v>
      </c>
      <c r="BF42" s="15" t="s">
        <v>96</v>
      </c>
      <c r="BG42" s="15" t="s">
        <v>143</v>
      </c>
      <c r="BH42" s="15" t="s">
        <v>143</v>
      </c>
      <c r="BI42" s="15" t="s">
        <v>87</v>
      </c>
      <c r="BJ42" s="15" t="s">
        <v>87</v>
      </c>
      <c r="BK42" s="15" t="s">
        <v>87</v>
      </c>
      <c r="BL42" s="15" t="s">
        <v>87</v>
      </c>
      <c r="BM42" s="15" t="s">
        <v>96</v>
      </c>
      <c r="BN42" s="15" t="s">
        <v>96</v>
      </c>
      <c r="BO42" s="15" t="s">
        <v>96</v>
      </c>
      <c r="BP42" s="15" t="s">
        <v>96</v>
      </c>
      <c r="BQ42" s="15" t="s">
        <v>96</v>
      </c>
      <c r="BR42" s="15" t="s">
        <v>96</v>
      </c>
      <c r="BS42" s="15" t="s">
        <v>96</v>
      </c>
      <c r="BT42" s="15" t="s">
        <v>96</v>
      </c>
      <c r="BU42" s="15" t="s">
        <v>34</v>
      </c>
      <c r="BV42" s="15" t="s">
        <v>34</v>
      </c>
      <c r="BW42" s="15" t="s">
        <v>34</v>
      </c>
      <c r="BX42" s="15" t="s">
        <v>96</v>
      </c>
      <c r="BY42" s="15" t="s">
        <v>96</v>
      </c>
      <c r="BZ42" s="15" t="s">
        <v>96</v>
      </c>
      <c r="CA42" s="15" t="s">
        <v>96</v>
      </c>
      <c r="CB42" s="15" t="s">
        <v>96</v>
      </c>
      <c r="CC42" s="15" t="s">
        <v>96</v>
      </c>
      <c r="CD42" s="15" t="s">
        <v>96</v>
      </c>
      <c r="CE42" s="15" t="s">
        <v>96</v>
      </c>
      <c r="CF42" s="15" t="s">
        <v>96</v>
      </c>
      <c r="CG42" s="15" t="s">
        <v>96</v>
      </c>
      <c r="CH42" s="15" t="s">
        <v>96</v>
      </c>
      <c r="CI42" s="15" t="s">
        <v>96</v>
      </c>
      <c r="CJ42" s="15" t="s">
        <v>96</v>
      </c>
      <c r="CK42" s="15" t="s">
        <v>34</v>
      </c>
      <c r="CL42" s="15" t="s">
        <v>34</v>
      </c>
      <c r="CM42" s="15" t="s">
        <v>34</v>
      </c>
      <c r="CN42" s="15" t="s">
        <v>34</v>
      </c>
      <c r="CO42" s="15" t="s">
        <v>96</v>
      </c>
      <c r="CP42" s="15" t="s">
        <v>96</v>
      </c>
      <c r="CQ42" s="15" t="s">
        <v>96</v>
      </c>
      <c r="CR42" s="15" t="s">
        <v>96</v>
      </c>
      <c r="CS42" s="15" t="s">
        <v>87</v>
      </c>
      <c r="CT42" s="15" t="s">
        <v>87</v>
      </c>
      <c r="CU42" s="15" t="s">
        <v>87</v>
      </c>
      <c r="CV42" s="15" t="s">
        <v>87</v>
      </c>
      <c r="CW42" s="15" t="s">
        <v>35</v>
      </c>
      <c r="CX42" s="15" t="s">
        <v>35</v>
      </c>
      <c r="CY42" s="15" t="s">
        <v>35</v>
      </c>
      <c r="CZ42" s="15" t="s">
        <v>35</v>
      </c>
      <c r="DA42" s="15" t="s">
        <v>4</v>
      </c>
      <c r="DB42" s="15" t="s">
        <v>4</v>
      </c>
      <c r="DC42" s="15" t="s">
        <v>4</v>
      </c>
      <c r="DD42" s="15" t="s">
        <v>4</v>
      </c>
      <c r="DE42" s="15" t="s">
        <v>4</v>
      </c>
    </row>
    <row r="43" spans="1:109" x14ac:dyDescent="0.3">
      <c r="A43" s="15" t="s">
        <v>143</v>
      </c>
      <c r="B43" s="15" t="s">
        <v>143</v>
      </c>
      <c r="C43" s="15" t="s">
        <v>143</v>
      </c>
      <c r="D43" s="15" t="s">
        <v>143</v>
      </c>
      <c r="E43" s="15" t="s">
        <v>142</v>
      </c>
      <c r="F43" s="15" t="s">
        <v>142</v>
      </c>
      <c r="G43" s="15" t="s">
        <v>142</v>
      </c>
      <c r="H43" s="15" t="s">
        <v>142</v>
      </c>
      <c r="I43" s="15" t="s">
        <v>141</v>
      </c>
      <c r="J43" s="15" t="s">
        <v>141</v>
      </c>
      <c r="K43" s="15" t="s">
        <v>141</v>
      </c>
      <c r="L43" s="15" t="s">
        <v>141</v>
      </c>
      <c r="M43" s="15" t="s">
        <v>34</v>
      </c>
      <c r="N43" s="15" t="s">
        <v>34</v>
      </c>
      <c r="O43" s="15" t="s">
        <v>34</v>
      </c>
      <c r="P43" s="15" t="s">
        <v>34</v>
      </c>
      <c r="Q43" s="15" t="s">
        <v>34</v>
      </c>
      <c r="R43" s="15" t="s">
        <v>34</v>
      </c>
      <c r="S43" s="15" t="s">
        <v>34</v>
      </c>
      <c r="T43" s="15" t="s">
        <v>34</v>
      </c>
      <c r="U43" s="15" t="s">
        <v>141</v>
      </c>
      <c r="V43" s="15" t="s">
        <v>32</v>
      </c>
      <c r="W43" s="15" t="s">
        <v>32</v>
      </c>
      <c r="X43" s="15" t="s">
        <v>32</v>
      </c>
      <c r="Y43" s="15" t="s">
        <v>31</v>
      </c>
      <c r="Z43" s="15" t="s">
        <v>31</v>
      </c>
      <c r="AA43" s="15" t="s">
        <v>31</v>
      </c>
      <c r="AB43" s="15" t="s">
        <v>31</v>
      </c>
      <c r="AC43" s="15" t="s">
        <v>32</v>
      </c>
      <c r="AD43" s="15" t="s">
        <v>32</v>
      </c>
      <c r="AE43" s="15" t="s">
        <v>32</v>
      </c>
      <c r="AF43" s="15" t="s">
        <v>32</v>
      </c>
      <c r="AG43" s="15" t="s">
        <v>32</v>
      </c>
      <c r="AH43" s="15" t="s">
        <v>32</v>
      </c>
      <c r="AI43" s="15" t="s">
        <v>4</v>
      </c>
      <c r="AJ43" s="15" t="s">
        <v>32</v>
      </c>
      <c r="AK43" s="15" t="s">
        <v>141</v>
      </c>
      <c r="AL43" s="15" t="s">
        <v>141</v>
      </c>
      <c r="AM43" s="15" t="s">
        <v>141</v>
      </c>
      <c r="AN43" s="15" t="s">
        <v>141</v>
      </c>
      <c r="AO43" s="15" t="s">
        <v>141</v>
      </c>
      <c r="AP43" s="15" t="s">
        <v>141</v>
      </c>
      <c r="AQ43" s="15" t="s">
        <v>34</v>
      </c>
      <c r="AR43" s="15" t="s">
        <v>34</v>
      </c>
      <c r="AS43" s="15" t="s">
        <v>34</v>
      </c>
      <c r="AT43" s="15" t="s">
        <v>34</v>
      </c>
      <c r="AU43" s="15" t="s">
        <v>34</v>
      </c>
      <c r="AV43" s="15" t="s">
        <v>96</v>
      </c>
      <c r="AW43" s="15" t="s">
        <v>96</v>
      </c>
      <c r="AX43" s="15" t="s">
        <v>96</v>
      </c>
      <c r="AY43" s="15" t="s">
        <v>96</v>
      </c>
      <c r="AZ43" s="15" t="s">
        <v>143</v>
      </c>
      <c r="BA43" s="15" t="s">
        <v>96</v>
      </c>
      <c r="BB43" s="15" t="s">
        <v>96</v>
      </c>
      <c r="BC43" s="15" t="s">
        <v>96</v>
      </c>
      <c r="BD43" s="15" t="s">
        <v>96</v>
      </c>
      <c r="BE43" s="15" t="s">
        <v>143</v>
      </c>
      <c r="BF43" s="15" t="s">
        <v>143</v>
      </c>
      <c r="BG43" s="15" t="s">
        <v>87</v>
      </c>
      <c r="BH43" s="15" t="s">
        <v>87</v>
      </c>
      <c r="BI43" s="15" t="s">
        <v>5</v>
      </c>
      <c r="BJ43" s="15" t="s">
        <v>5</v>
      </c>
      <c r="BK43" s="15" t="s">
        <v>5</v>
      </c>
      <c r="BL43" s="15" t="s">
        <v>5</v>
      </c>
      <c r="BM43" s="15" t="s">
        <v>87</v>
      </c>
      <c r="BN43" s="15" t="s">
        <v>87</v>
      </c>
      <c r="BO43" s="15" t="s">
        <v>87</v>
      </c>
      <c r="BP43" s="15" t="s">
        <v>87</v>
      </c>
      <c r="BQ43" s="15" t="s">
        <v>35</v>
      </c>
      <c r="BR43" s="15" t="s">
        <v>35</v>
      </c>
      <c r="BS43" s="15" t="s">
        <v>35</v>
      </c>
      <c r="BT43" s="15" t="s">
        <v>35</v>
      </c>
      <c r="BU43" s="15" t="s">
        <v>96</v>
      </c>
      <c r="BV43" s="15" t="s">
        <v>96</v>
      </c>
      <c r="BW43" s="15" t="s">
        <v>96</v>
      </c>
      <c r="BX43" s="15" t="s">
        <v>35</v>
      </c>
      <c r="BY43" s="15" t="s">
        <v>35</v>
      </c>
      <c r="BZ43" s="15" t="s">
        <v>35</v>
      </c>
      <c r="CA43" s="15" t="s">
        <v>35</v>
      </c>
      <c r="CB43" s="15" t="s">
        <v>35</v>
      </c>
      <c r="CC43" s="15" t="s">
        <v>35</v>
      </c>
      <c r="CD43" s="15" t="s">
        <v>35</v>
      </c>
      <c r="CE43" s="15" t="s">
        <v>35</v>
      </c>
      <c r="CF43" s="15" t="s">
        <v>35</v>
      </c>
      <c r="CG43" s="15" t="s">
        <v>35</v>
      </c>
      <c r="CH43" s="15" t="s">
        <v>35</v>
      </c>
      <c r="CI43" s="15" t="s">
        <v>35</v>
      </c>
      <c r="CJ43" s="15" t="s">
        <v>35</v>
      </c>
      <c r="CK43" s="15" t="s">
        <v>96</v>
      </c>
      <c r="CL43" s="15" t="s">
        <v>96</v>
      </c>
      <c r="CM43" s="15" t="s">
        <v>96</v>
      </c>
      <c r="CN43" s="15" t="s">
        <v>96</v>
      </c>
      <c r="CO43" s="15" t="s">
        <v>35</v>
      </c>
      <c r="CP43" s="15" t="s">
        <v>35</v>
      </c>
      <c r="CQ43" s="15" t="s">
        <v>35</v>
      </c>
      <c r="CR43" s="15" t="s">
        <v>35</v>
      </c>
      <c r="CS43" s="15" t="s">
        <v>5</v>
      </c>
      <c r="CT43" s="15" t="s">
        <v>5</v>
      </c>
      <c r="CU43" s="15" t="s">
        <v>5</v>
      </c>
      <c r="CV43" s="15" t="s">
        <v>5</v>
      </c>
      <c r="CW43" s="15" t="s">
        <v>87</v>
      </c>
      <c r="CX43" s="15" t="s">
        <v>87</v>
      </c>
      <c r="CY43" s="15" t="s">
        <v>87</v>
      </c>
      <c r="CZ43" s="15" t="s">
        <v>87</v>
      </c>
      <c r="DA43" s="15" t="s">
        <v>34</v>
      </c>
      <c r="DB43" s="15" t="s">
        <v>34</v>
      </c>
      <c r="DC43" s="15" t="s">
        <v>34</v>
      </c>
      <c r="DD43" s="15" t="s">
        <v>34</v>
      </c>
      <c r="DE43" s="15" t="s">
        <v>34</v>
      </c>
    </row>
    <row r="44" spans="1:109" x14ac:dyDescent="0.3">
      <c r="A44" s="15" t="s">
        <v>87</v>
      </c>
      <c r="B44" s="15" t="s">
        <v>87</v>
      </c>
      <c r="C44" s="15" t="s">
        <v>87</v>
      </c>
      <c r="D44" s="15" t="s">
        <v>87</v>
      </c>
      <c r="E44" s="15" t="s">
        <v>96</v>
      </c>
      <c r="F44" s="15" t="s">
        <v>96</v>
      </c>
      <c r="G44" s="15" t="s">
        <v>96</v>
      </c>
      <c r="H44" s="15" t="s">
        <v>96</v>
      </c>
      <c r="I44" s="15" t="s">
        <v>142</v>
      </c>
      <c r="J44" s="15" t="s">
        <v>142</v>
      </c>
      <c r="K44" s="15" t="s">
        <v>142</v>
      </c>
      <c r="L44" s="15" t="s">
        <v>142</v>
      </c>
      <c r="M44" s="15" t="s">
        <v>96</v>
      </c>
      <c r="N44" s="15" t="s">
        <v>96</v>
      </c>
      <c r="O44" s="15" t="s">
        <v>96</v>
      </c>
      <c r="P44" s="15" t="s">
        <v>96</v>
      </c>
      <c r="Q44" s="15" t="s">
        <v>96</v>
      </c>
      <c r="R44" s="15" t="s">
        <v>96</v>
      </c>
      <c r="S44" s="15" t="s">
        <v>96</v>
      </c>
      <c r="T44" s="15" t="s">
        <v>96</v>
      </c>
      <c r="U44" s="15" t="s">
        <v>34</v>
      </c>
      <c r="V44" s="15" t="s">
        <v>141</v>
      </c>
      <c r="W44" s="15" t="s">
        <v>141</v>
      </c>
      <c r="X44" s="15" t="s">
        <v>141</v>
      </c>
      <c r="Y44" s="15" t="s">
        <v>32</v>
      </c>
      <c r="Z44" s="15" t="s">
        <v>32</v>
      </c>
      <c r="AA44" s="15" t="s">
        <v>32</v>
      </c>
      <c r="AB44" s="15" t="s">
        <v>32</v>
      </c>
      <c r="AC44" s="15" t="s">
        <v>141</v>
      </c>
      <c r="AD44" s="15" t="s">
        <v>141</v>
      </c>
      <c r="AE44" s="15" t="s">
        <v>141</v>
      </c>
      <c r="AF44" s="15" t="s">
        <v>141</v>
      </c>
      <c r="AG44" s="15" t="s">
        <v>4</v>
      </c>
      <c r="AH44" s="15" t="s">
        <v>4</v>
      </c>
      <c r="AI44" s="15" t="s">
        <v>141</v>
      </c>
      <c r="AJ44" s="15" t="s">
        <v>4</v>
      </c>
      <c r="AK44" s="15" t="s">
        <v>34</v>
      </c>
      <c r="AL44" s="15" t="s">
        <v>34</v>
      </c>
      <c r="AM44" s="15" t="s">
        <v>34</v>
      </c>
      <c r="AN44" s="15" t="s">
        <v>34</v>
      </c>
      <c r="AO44" s="15" t="s">
        <v>34</v>
      </c>
      <c r="AP44" s="15" t="s">
        <v>34</v>
      </c>
      <c r="AQ44" s="15" t="s">
        <v>96</v>
      </c>
      <c r="AR44" s="15" t="s">
        <v>96</v>
      </c>
      <c r="AS44" s="15" t="s">
        <v>96</v>
      </c>
      <c r="AT44" s="15" t="s">
        <v>96</v>
      </c>
      <c r="AU44" s="15" t="s">
        <v>96</v>
      </c>
      <c r="AV44" s="15" t="s">
        <v>143</v>
      </c>
      <c r="AW44" s="15" t="s">
        <v>143</v>
      </c>
      <c r="AX44" s="15" t="s">
        <v>143</v>
      </c>
      <c r="AY44" s="15" t="s">
        <v>143</v>
      </c>
      <c r="AZ44" s="15" t="s">
        <v>87</v>
      </c>
      <c r="BA44" s="15" t="s">
        <v>143</v>
      </c>
      <c r="BB44" s="15" t="s">
        <v>143</v>
      </c>
      <c r="BC44" s="15" t="s">
        <v>143</v>
      </c>
      <c r="BD44" s="15" t="s">
        <v>143</v>
      </c>
      <c r="BE44" s="15" t="s">
        <v>87</v>
      </c>
      <c r="BF44" s="15" t="s">
        <v>87</v>
      </c>
      <c r="BG44" s="15" t="s">
        <v>5</v>
      </c>
      <c r="BH44" s="15" t="s">
        <v>5</v>
      </c>
      <c r="BI44" s="15" t="s">
        <v>37</v>
      </c>
      <c r="BJ44" s="15" t="s">
        <v>37</v>
      </c>
      <c r="BK44" s="15" t="s">
        <v>37</v>
      </c>
      <c r="BL44" s="15" t="s">
        <v>37</v>
      </c>
      <c r="BM44" s="15" t="s">
        <v>5</v>
      </c>
      <c r="BN44" s="15" t="s">
        <v>5</v>
      </c>
      <c r="BO44" s="15" t="s">
        <v>5</v>
      </c>
      <c r="BP44" s="15" t="s">
        <v>5</v>
      </c>
      <c r="BQ44" s="15" t="s">
        <v>87</v>
      </c>
      <c r="BR44" s="15" t="s">
        <v>87</v>
      </c>
      <c r="BS44" s="15" t="s">
        <v>87</v>
      </c>
      <c r="BT44" s="15" t="s">
        <v>87</v>
      </c>
      <c r="BU44" s="15" t="s">
        <v>35</v>
      </c>
      <c r="BV44" s="15" t="s">
        <v>35</v>
      </c>
      <c r="BW44" s="15" t="s">
        <v>35</v>
      </c>
      <c r="BX44" s="15" t="s">
        <v>87</v>
      </c>
      <c r="BY44" s="15" t="s">
        <v>87</v>
      </c>
      <c r="BZ44" s="15" t="s">
        <v>87</v>
      </c>
      <c r="CA44" s="15" t="s">
        <v>87</v>
      </c>
      <c r="CB44" s="15" t="s">
        <v>87</v>
      </c>
      <c r="CC44" s="15" t="s">
        <v>87</v>
      </c>
      <c r="CD44" s="15" t="s">
        <v>87</v>
      </c>
      <c r="CE44" s="15" t="s">
        <v>87</v>
      </c>
      <c r="CF44" s="15" t="s">
        <v>87</v>
      </c>
      <c r="CG44" s="15" t="s">
        <v>87</v>
      </c>
      <c r="CH44" s="15" t="s">
        <v>87</v>
      </c>
      <c r="CI44" s="15" t="s">
        <v>87</v>
      </c>
      <c r="CJ44" s="15" t="s">
        <v>87</v>
      </c>
      <c r="CK44" s="15" t="s">
        <v>35</v>
      </c>
      <c r="CL44" s="15" t="s">
        <v>35</v>
      </c>
      <c r="CM44" s="15" t="s">
        <v>35</v>
      </c>
      <c r="CN44" s="15" t="s">
        <v>35</v>
      </c>
      <c r="CO44" s="15" t="s">
        <v>87</v>
      </c>
      <c r="CP44" s="15" t="s">
        <v>87</v>
      </c>
      <c r="CQ44" s="15" t="s">
        <v>87</v>
      </c>
      <c r="CR44" s="15" t="s">
        <v>87</v>
      </c>
      <c r="CS44" s="15" t="s">
        <v>36</v>
      </c>
      <c r="CT44" s="15" t="s">
        <v>36</v>
      </c>
      <c r="CU44" s="15" t="s">
        <v>36</v>
      </c>
      <c r="CV44" s="15" t="s">
        <v>36</v>
      </c>
      <c r="CW44" s="15" t="s">
        <v>5</v>
      </c>
      <c r="CX44" s="15" t="s">
        <v>5</v>
      </c>
      <c r="CY44" s="15" t="s">
        <v>5</v>
      </c>
      <c r="CZ44" s="15" t="s">
        <v>5</v>
      </c>
      <c r="DA44" s="15" t="s">
        <v>35</v>
      </c>
      <c r="DB44" s="15" t="s">
        <v>35</v>
      </c>
      <c r="DC44" s="15" t="s">
        <v>35</v>
      </c>
      <c r="DD44" s="15" t="s">
        <v>35</v>
      </c>
      <c r="DE44" s="15" t="s">
        <v>35</v>
      </c>
    </row>
    <row r="45" spans="1:109" x14ac:dyDescent="0.3">
      <c r="A45" s="15" t="s">
        <v>144</v>
      </c>
      <c r="B45" s="15" t="s">
        <v>144</v>
      </c>
      <c r="C45" s="15" t="s">
        <v>144</v>
      </c>
      <c r="D45" s="15" t="s">
        <v>144</v>
      </c>
      <c r="E45" s="15" t="s">
        <v>143</v>
      </c>
      <c r="F45" s="15" t="s">
        <v>143</v>
      </c>
      <c r="G45" s="15" t="s">
        <v>143</v>
      </c>
      <c r="H45" s="15" t="s">
        <v>143</v>
      </c>
      <c r="I45" s="15" t="s">
        <v>96</v>
      </c>
      <c r="J45" s="15" t="s">
        <v>96</v>
      </c>
      <c r="K45" s="15" t="s">
        <v>96</v>
      </c>
      <c r="L45" s="15" t="s">
        <v>96</v>
      </c>
      <c r="M45" s="15" t="s">
        <v>143</v>
      </c>
      <c r="N45" s="15" t="s">
        <v>143</v>
      </c>
      <c r="O45" s="15" t="s">
        <v>143</v>
      </c>
      <c r="P45" s="15" t="s">
        <v>143</v>
      </c>
      <c r="Q45" s="15" t="s">
        <v>143</v>
      </c>
      <c r="R45" s="15" t="s">
        <v>143</v>
      </c>
      <c r="S45" s="15" t="s">
        <v>143</v>
      </c>
      <c r="T45" s="15" t="s">
        <v>143</v>
      </c>
      <c r="U45" s="15" t="s">
        <v>96</v>
      </c>
      <c r="V45" s="15" t="s">
        <v>34</v>
      </c>
      <c r="W45" s="15" t="s">
        <v>34</v>
      </c>
      <c r="X45" s="15" t="s">
        <v>34</v>
      </c>
      <c r="Y45" s="15" t="s">
        <v>141</v>
      </c>
      <c r="Z45" s="15" t="s">
        <v>141</v>
      </c>
      <c r="AA45" s="15" t="s">
        <v>141</v>
      </c>
      <c r="AB45" s="15" t="s">
        <v>141</v>
      </c>
      <c r="AC45" s="15" t="s">
        <v>34</v>
      </c>
      <c r="AD45" s="15" t="s">
        <v>34</v>
      </c>
      <c r="AE45" s="15" t="s">
        <v>34</v>
      </c>
      <c r="AF45" s="15" t="s">
        <v>34</v>
      </c>
      <c r="AG45" s="15" t="s">
        <v>141</v>
      </c>
      <c r="AH45" s="15" t="s">
        <v>141</v>
      </c>
      <c r="AI45" s="15" t="s">
        <v>34</v>
      </c>
      <c r="AJ45" s="15" t="s">
        <v>141</v>
      </c>
      <c r="AK45" s="15" t="s">
        <v>96</v>
      </c>
      <c r="AL45" s="15" t="s">
        <v>96</v>
      </c>
      <c r="AM45" s="15" t="s">
        <v>96</v>
      </c>
      <c r="AN45" s="15" t="s">
        <v>96</v>
      </c>
      <c r="AO45" s="15" t="s">
        <v>96</v>
      </c>
      <c r="AP45" s="15" t="s">
        <v>96</v>
      </c>
      <c r="AQ45" s="15" t="s">
        <v>143</v>
      </c>
      <c r="AR45" s="15" t="s">
        <v>143</v>
      </c>
      <c r="AS45" s="15" t="s">
        <v>143</v>
      </c>
      <c r="AT45" s="15" t="s">
        <v>143</v>
      </c>
      <c r="AU45" s="15" t="s">
        <v>143</v>
      </c>
      <c r="AV45" s="15" t="s">
        <v>87</v>
      </c>
      <c r="AW45" s="15" t="s">
        <v>87</v>
      </c>
      <c r="AX45" s="15" t="s">
        <v>87</v>
      </c>
      <c r="AY45" s="15" t="s">
        <v>87</v>
      </c>
      <c r="AZ45" s="15" t="s">
        <v>5</v>
      </c>
      <c r="BA45" s="15" t="s">
        <v>87</v>
      </c>
      <c r="BB45" s="15" t="s">
        <v>87</v>
      </c>
      <c r="BC45" s="15" t="s">
        <v>87</v>
      </c>
      <c r="BD45" s="15" t="s">
        <v>87</v>
      </c>
      <c r="BE45" s="15" t="s">
        <v>5</v>
      </c>
      <c r="BF45" s="15" t="s">
        <v>5</v>
      </c>
      <c r="BG45" s="15" t="s">
        <v>37</v>
      </c>
      <c r="BH45" s="15" t="s">
        <v>37</v>
      </c>
      <c r="BI45" s="15" t="s">
        <v>112</v>
      </c>
      <c r="BJ45" s="15" t="s">
        <v>112</v>
      </c>
      <c r="BK45" s="15" t="s">
        <v>112</v>
      </c>
      <c r="BL45" s="15" t="s">
        <v>112</v>
      </c>
      <c r="BM45" s="15" t="s">
        <v>37</v>
      </c>
      <c r="BN45" s="15" t="s">
        <v>37</v>
      </c>
      <c r="BO45" s="15" t="s">
        <v>37</v>
      </c>
      <c r="BP45" s="15" t="s">
        <v>37</v>
      </c>
      <c r="BQ45" s="15" t="s">
        <v>5</v>
      </c>
      <c r="BR45" s="15" t="s">
        <v>5</v>
      </c>
      <c r="BS45" s="15" t="s">
        <v>5</v>
      </c>
      <c r="BT45" s="15" t="s">
        <v>5</v>
      </c>
      <c r="BU45" s="15" t="s">
        <v>87</v>
      </c>
      <c r="BV45" s="15" t="s">
        <v>87</v>
      </c>
      <c r="BW45" s="15" t="s">
        <v>87</v>
      </c>
      <c r="BX45" s="15" t="s">
        <v>5</v>
      </c>
      <c r="BY45" s="15" t="s">
        <v>5</v>
      </c>
      <c r="BZ45" s="15" t="s">
        <v>5</v>
      </c>
      <c r="CA45" s="15" t="s">
        <v>5</v>
      </c>
      <c r="CB45" s="15" t="s">
        <v>5</v>
      </c>
      <c r="CC45" s="15" t="s">
        <v>5</v>
      </c>
      <c r="CD45" s="15" t="s">
        <v>5</v>
      </c>
      <c r="CE45" s="15" t="s">
        <v>5</v>
      </c>
      <c r="CF45" s="15" t="s">
        <v>5</v>
      </c>
      <c r="CG45" s="15" t="s">
        <v>5</v>
      </c>
      <c r="CH45" s="15" t="s">
        <v>5</v>
      </c>
      <c r="CI45" s="15" t="s">
        <v>5</v>
      </c>
      <c r="CJ45" s="15" t="s">
        <v>5</v>
      </c>
      <c r="CK45" s="15" t="s">
        <v>5</v>
      </c>
      <c r="CL45" s="15" t="s">
        <v>5</v>
      </c>
      <c r="CM45" s="15" t="s">
        <v>5</v>
      </c>
      <c r="CN45" s="15" t="s">
        <v>5</v>
      </c>
      <c r="CO45" s="15" t="s">
        <v>5</v>
      </c>
      <c r="CP45" s="15" t="s">
        <v>5</v>
      </c>
      <c r="CQ45" s="15" t="s">
        <v>5</v>
      </c>
      <c r="CR45" s="15" t="s">
        <v>5</v>
      </c>
      <c r="CS45" s="15" t="s">
        <v>37</v>
      </c>
      <c r="CT45" s="15" t="s">
        <v>37</v>
      </c>
      <c r="CU45" s="15" t="s">
        <v>37</v>
      </c>
      <c r="CV45" s="15" t="s">
        <v>37</v>
      </c>
      <c r="CW45" s="15" t="s">
        <v>36</v>
      </c>
      <c r="CX45" s="15" t="s">
        <v>36</v>
      </c>
      <c r="CY45" s="15" t="s">
        <v>36</v>
      </c>
      <c r="CZ45" s="15" t="s">
        <v>36</v>
      </c>
      <c r="DA45" s="15" t="s">
        <v>87</v>
      </c>
      <c r="DB45" s="15" t="s">
        <v>87</v>
      </c>
      <c r="DC45" s="15" t="s">
        <v>87</v>
      </c>
      <c r="DD45" s="15" t="s">
        <v>87</v>
      </c>
      <c r="DE45" s="15" t="s">
        <v>87</v>
      </c>
    </row>
    <row r="46" spans="1:109" x14ac:dyDescent="0.3">
      <c r="A46" s="15" t="s">
        <v>5</v>
      </c>
      <c r="B46" s="15" t="s">
        <v>5</v>
      </c>
      <c r="C46" s="15" t="s">
        <v>5</v>
      </c>
      <c r="D46" s="15" t="s">
        <v>5</v>
      </c>
      <c r="E46" s="15" t="s">
        <v>87</v>
      </c>
      <c r="F46" s="15" t="s">
        <v>87</v>
      </c>
      <c r="G46" s="15" t="s">
        <v>87</v>
      </c>
      <c r="H46" s="15" t="s">
        <v>87</v>
      </c>
      <c r="I46" s="15" t="s">
        <v>143</v>
      </c>
      <c r="J46" s="15" t="s">
        <v>143</v>
      </c>
      <c r="K46" s="15" t="s">
        <v>143</v>
      </c>
      <c r="L46" s="15" t="s">
        <v>143</v>
      </c>
      <c r="M46" s="15" t="s">
        <v>87</v>
      </c>
      <c r="N46" s="15" t="s">
        <v>87</v>
      </c>
      <c r="O46" s="15" t="s">
        <v>87</v>
      </c>
      <c r="P46" s="15" t="s">
        <v>87</v>
      </c>
      <c r="Q46" s="15" t="s">
        <v>87</v>
      </c>
      <c r="R46" s="15" t="s">
        <v>87</v>
      </c>
      <c r="S46" s="15" t="s">
        <v>87</v>
      </c>
      <c r="T46" s="15" t="s">
        <v>87</v>
      </c>
      <c r="U46" s="15" t="s">
        <v>143</v>
      </c>
      <c r="V46" s="15" t="s">
        <v>96</v>
      </c>
      <c r="W46" s="15" t="s">
        <v>96</v>
      </c>
      <c r="X46" s="15" t="s">
        <v>96</v>
      </c>
      <c r="Y46" s="15" t="s">
        <v>34</v>
      </c>
      <c r="Z46" s="15" t="s">
        <v>34</v>
      </c>
      <c r="AA46" s="15" t="s">
        <v>34</v>
      </c>
      <c r="AB46" s="15" t="s">
        <v>34</v>
      </c>
      <c r="AC46" s="15" t="s">
        <v>96</v>
      </c>
      <c r="AD46" s="15" t="s">
        <v>96</v>
      </c>
      <c r="AE46" s="15" t="s">
        <v>96</v>
      </c>
      <c r="AF46" s="15" t="s">
        <v>96</v>
      </c>
      <c r="AG46" s="15" t="s">
        <v>34</v>
      </c>
      <c r="AH46" s="15" t="s">
        <v>34</v>
      </c>
      <c r="AI46" s="15" t="s">
        <v>96</v>
      </c>
      <c r="AJ46" s="15" t="s">
        <v>34</v>
      </c>
      <c r="AK46" s="15" t="s">
        <v>143</v>
      </c>
      <c r="AL46" s="15" t="s">
        <v>143</v>
      </c>
      <c r="AM46" s="15" t="s">
        <v>143</v>
      </c>
      <c r="AN46" s="15" t="s">
        <v>143</v>
      </c>
      <c r="AO46" s="15" t="s">
        <v>143</v>
      </c>
      <c r="AP46" s="15" t="s">
        <v>143</v>
      </c>
      <c r="AQ46" s="15" t="s">
        <v>87</v>
      </c>
      <c r="AR46" s="15" t="s">
        <v>87</v>
      </c>
      <c r="AS46" s="15" t="s">
        <v>87</v>
      </c>
      <c r="AT46" s="15" t="s">
        <v>87</v>
      </c>
      <c r="AU46" s="15" t="s">
        <v>87</v>
      </c>
      <c r="AV46" s="15" t="s">
        <v>5</v>
      </c>
      <c r="AW46" s="15" t="s">
        <v>5</v>
      </c>
      <c r="AX46" s="15" t="s">
        <v>5</v>
      </c>
      <c r="AY46" s="15" t="s">
        <v>5</v>
      </c>
      <c r="AZ46" s="15" t="s">
        <v>37</v>
      </c>
      <c r="BA46" s="15" t="s">
        <v>5</v>
      </c>
      <c r="BB46" s="15" t="s">
        <v>5</v>
      </c>
      <c r="BC46" s="15" t="s">
        <v>5</v>
      </c>
      <c r="BD46" s="15" t="s">
        <v>5</v>
      </c>
      <c r="BE46" s="15" t="s">
        <v>37</v>
      </c>
      <c r="BF46" s="15" t="s">
        <v>37</v>
      </c>
      <c r="BG46" s="15" t="s">
        <v>112</v>
      </c>
      <c r="BH46" s="15" t="s">
        <v>112</v>
      </c>
      <c r="BI46" s="15" t="s">
        <v>145</v>
      </c>
      <c r="BJ46" s="15" t="s">
        <v>145</v>
      </c>
      <c r="BK46" s="15" t="s">
        <v>145</v>
      </c>
      <c r="BL46" s="15" t="s">
        <v>145</v>
      </c>
      <c r="BM46" s="15" t="s">
        <v>112</v>
      </c>
      <c r="BN46" s="15" t="s">
        <v>112</v>
      </c>
      <c r="BO46" s="15" t="s">
        <v>112</v>
      </c>
      <c r="BP46" s="15" t="s">
        <v>112</v>
      </c>
      <c r="BQ46" s="15" t="s">
        <v>37</v>
      </c>
      <c r="BR46" s="15" t="s">
        <v>37</v>
      </c>
      <c r="BS46" s="15" t="s">
        <v>37</v>
      </c>
      <c r="BT46" s="15" t="s">
        <v>37</v>
      </c>
      <c r="BU46" s="15" t="s">
        <v>5</v>
      </c>
      <c r="BV46" s="15" t="s">
        <v>5</v>
      </c>
      <c r="BW46" s="15" t="s">
        <v>5</v>
      </c>
      <c r="BX46" s="15" t="s">
        <v>37</v>
      </c>
      <c r="BY46" s="15" t="s">
        <v>37</v>
      </c>
      <c r="BZ46" s="15" t="s">
        <v>37</v>
      </c>
      <c r="CA46" s="15" t="s">
        <v>37</v>
      </c>
      <c r="CB46" s="15" t="s">
        <v>37</v>
      </c>
      <c r="CC46" s="15" t="s">
        <v>37</v>
      </c>
      <c r="CD46" s="15" t="s">
        <v>37</v>
      </c>
      <c r="CE46" s="15" t="s">
        <v>37</v>
      </c>
      <c r="CF46" s="15" t="s">
        <v>37</v>
      </c>
      <c r="CG46" s="15" t="s">
        <v>37</v>
      </c>
      <c r="CH46" s="15" t="s">
        <v>37</v>
      </c>
      <c r="CI46" s="15" t="s">
        <v>37</v>
      </c>
      <c r="CJ46" s="15" t="s">
        <v>37</v>
      </c>
      <c r="CK46" s="15" t="s">
        <v>37</v>
      </c>
      <c r="CL46" s="15" t="s">
        <v>37</v>
      </c>
      <c r="CM46" s="15" t="s">
        <v>37</v>
      </c>
      <c r="CN46" s="15" t="s">
        <v>37</v>
      </c>
      <c r="CO46" s="15" t="s">
        <v>37</v>
      </c>
      <c r="CP46" s="15" t="s">
        <v>37</v>
      </c>
      <c r="CQ46" s="15" t="s">
        <v>37</v>
      </c>
      <c r="CR46" s="15" t="s">
        <v>37</v>
      </c>
      <c r="CS46" s="15" t="s">
        <v>112</v>
      </c>
      <c r="CT46" s="15" t="s">
        <v>112</v>
      </c>
      <c r="CU46" s="15" t="s">
        <v>112</v>
      </c>
      <c r="CV46" s="15" t="s">
        <v>112</v>
      </c>
      <c r="CW46" s="15" t="s">
        <v>37</v>
      </c>
      <c r="CX46" s="15" t="s">
        <v>37</v>
      </c>
      <c r="CY46" s="15" t="s">
        <v>37</v>
      </c>
      <c r="CZ46" s="15" t="s">
        <v>37</v>
      </c>
      <c r="DA46" s="15" t="s">
        <v>5</v>
      </c>
      <c r="DB46" s="15" t="s">
        <v>5</v>
      </c>
      <c r="DC46" s="15" t="s">
        <v>5</v>
      </c>
      <c r="DD46" s="15" t="s">
        <v>5</v>
      </c>
      <c r="DE46" s="15" t="s">
        <v>5</v>
      </c>
    </row>
    <row r="47" spans="1:109" x14ac:dyDescent="0.3">
      <c r="A47" s="15" t="s">
        <v>37</v>
      </c>
      <c r="B47" s="15" t="s">
        <v>37</v>
      </c>
      <c r="C47" s="15" t="s">
        <v>37</v>
      </c>
      <c r="D47" s="15" t="s">
        <v>37</v>
      </c>
      <c r="E47" s="15" t="s">
        <v>144</v>
      </c>
      <c r="F47" s="15" t="s">
        <v>144</v>
      </c>
      <c r="G47" s="15" t="s">
        <v>144</v>
      </c>
      <c r="H47" s="15" t="s">
        <v>144</v>
      </c>
      <c r="I47" s="15" t="s">
        <v>87</v>
      </c>
      <c r="J47" s="15" t="s">
        <v>87</v>
      </c>
      <c r="K47" s="15" t="s">
        <v>87</v>
      </c>
      <c r="L47" s="15" t="s">
        <v>87</v>
      </c>
      <c r="M47" s="15" t="s">
        <v>5</v>
      </c>
      <c r="N47" s="15" t="s">
        <v>5</v>
      </c>
      <c r="O47" s="15" t="s">
        <v>5</v>
      </c>
      <c r="P47" s="15" t="s">
        <v>5</v>
      </c>
      <c r="Q47" s="15" t="s">
        <v>5</v>
      </c>
      <c r="R47" s="15" t="s">
        <v>5</v>
      </c>
      <c r="S47" s="15" t="s">
        <v>5</v>
      </c>
      <c r="T47" s="15" t="s">
        <v>5</v>
      </c>
      <c r="U47" s="15" t="s">
        <v>87</v>
      </c>
      <c r="V47" s="15" t="s">
        <v>143</v>
      </c>
      <c r="W47" s="15" t="s">
        <v>143</v>
      </c>
      <c r="X47" s="15" t="s">
        <v>143</v>
      </c>
      <c r="Y47" s="15" t="s">
        <v>96</v>
      </c>
      <c r="Z47" s="15" t="s">
        <v>96</v>
      </c>
      <c r="AA47" s="15" t="s">
        <v>96</v>
      </c>
      <c r="AB47" s="15" t="s">
        <v>96</v>
      </c>
      <c r="AC47" s="15" t="s">
        <v>143</v>
      </c>
      <c r="AD47" s="15" t="s">
        <v>143</v>
      </c>
      <c r="AE47" s="15" t="s">
        <v>143</v>
      </c>
      <c r="AF47" s="15" t="s">
        <v>143</v>
      </c>
      <c r="AG47" s="15" t="s">
        <v>96</v>
      </c>
      <c r="AH47" s="15" t="s">
        <v>96</v>
      </c>
      <c r="AI47" s="15" t="s">
        <v>143</v>
      </c>
      <c r="AJ47" s="15" t="s">
        <v>96</v>
      </c>
      <c r="AK47" s="15" t="s">
        <v>87</v>
      </c>
      <c r="AL47" s="15" t="s">
        <v>87</v>
      </c>
      <c r="AM47" s="15" t="s">
        <v>87</v>
      </c>
      <c r="AN47" s="15" t="s">
        <v>87</v>
      </c>
      <c r="AO47" s="15" t="s">
        <v>87</v>
      </c>
      <c r="AP47" s="15" t="s">
        <v>87</v>
      </c>
      <c r="AQ47" s="15" t="s">
        <v>5</v>
      </c>
      <c r="AR47" s="15" t="s">
        <v>5</v>
      </c>
      <c r="AS47" s="15" t="s">
        <v>5</v>
      </c>
      <c r="AT47" s="15" t="s">
        <v>5</v>
      </c>
      <c r="AU47" s="15" t="s">
        <v>5</v>
      </c>
      <c r="AV47" s="15" t="s">
        <v>37</v>
      </c>
      <c r="AW47" s="15" t="s">
        <v>37</v>
      </c>
      <c r="AX47" s="15" t="s">
        <v>37</v>
      </c>
      <c r="AY47" s="15" t="s">
        <v>37</v>
      </c>
      <c r="AZ47" s="15" t="s">
        <v>112</v>
      </c>
      <c r="BA47" s="15" t="s">
        <v>37</v>
      </c>
      <c r="BB47" s="15" t="s">
        <v>37</v>
      </c>
      <c r="BC47" s="15" t="s">
        <v>37</v>
      </c>
      <c r="BD47" s="15" t="s">
        <v>37</v>
      </c>
      <c r="BE47" s="15" t="s">
        <v>112</v>
      </c>
      <c r="BF47" s="15" t="s">
        <v>112</v>
      </c>
      <c r="BG47" s="15" t="s">
        <v>39</v>
      </c>
      <c r="BH47" s="15" t="s">
        <v>39</v>
      </c>
      <c r="BI47" s="15" t="s">
        <v>39</v>
      </c>
      <c r="BJ47" s="15" t="s">
        <v>39</v>
      </c>
      <c r="BK47" s="15" t="s">
        <v>39</v>
      </c>
      <c r="BL47" s="15" t="s">
        <v>39</v>
      </c>
      <c r="BM47" s="15" t="s">
        <v>145</v>
      </c>
      <c r="BN47" s="15" t="s">
        <v>145</v>
      </c>
      <c r="BO47" s="15" t="s">
        <v>145</v>
      </c>
      <c r="BP47" s="15" t="s">
        <v>145</v>
      </c>
      <c r="BQ47" s="15" t="s">
        <v>112</v>
      </c>
      <c r="BR47" s="15" t="s">
        <v>112</v>
      </c>
      <c r="BS47" s="15" t="s">
        <v>112</v>
      </c>
      <c r="BT47" s="15" t="s">
        <v>112</v>
      </c>
      <c r="BU47" s="15" t="s">
        <v>37</v>
      </c>
      <c r="BV47" s="15" t="s">
        <v>37</v>
      </c>
      <c r="BW47" s="15" t="s">
        <v>37</v>
      </c>
      <c r="BX47" s="15" t="s">
        <v>112</v>
      </c>
      <c r="BY47" s="15" t="s">
        <v>112</v>
      </c>
      <c r="BZ47" s="15" t="s">
        <v>112</v>
      </c>
      <c r="CA47" s="15" t="s">
        <v>112</v>
      </c>
      <c r="CB47" s="15" t="s">
        <v>112</v>
      </c>
      <c r="CC47" s="15" t="s">
        <v>112</v>
      </c>
      <c r="CD47" s="15" t="s">
        <v>112</v>
      </c>
      <c r="CE47" s="15" t="s">
        <v>112</v>
      </c>
      <c r="CF47" s="15" t="s">
        <v>112</v>
      </c>
      <c r="CG47" s="15" t="s">
        <v>112</v>
      </c>
      <c r="CH47" s="15" t="s">
        <v>112</v>
      </c>
      <c r="CI47" s="15" t="s">
        <v>112</v>
      </c>
      <c r="CJ47" s="15" t="s">
        <v>112</v>
      </c>
      <c r="CK47" s="15" t="s">
        <v>112</v>
      </c>
      <c r="CL47" s="15" t="s">
        <v>112</v>
      </c>
      <c r="CM47" s="15" t="s">
        <v>112</v>
      </c>
      <c r="CN47" s="15" t="s">
        <v>112</v>
      </c>
      <c r="CO47" s="15" t="s">
        <v>112</v>
      </c>
      <c r="CP47" s="15" t="s">
        <v>112</v>
      </c>
      <c r="CQ47" s="15" t="s">
        <v>112</v>
      </c>
      <c r="CR47" s="15" t="s">
        <v>112</v>
      </c>
      <c r="CS47" s="15" t="s">
        <v>38</v>
      </c>
      <c r="CT47" s="15" t="s">
        <v>38</v>
      </c>
      <c r="CU47" s="15" t="s">
        <v>38</v>
      </c>
      <c r="CV47" s="15" t="s">
        <v>38</v>
      </c>
      <c r="CW47" s="15" t="s">
        <v>112</v>
      </c>
      <c r="CX47" s="15" t="s">
        <v>112</v>
      </c>
      <c r="CY47" s="15" t="s">
        <v>112</v>
      </c>
      <c r="CZ47" s="15" t="s">
        <v>112</v>
      </c>
      <c r="DA47" s="15" t="s">
        <v>36</v>
      </c>
      <c r="DB47" s="15" t="s">
        <v>36</v>
      </c>
      <c r="DC47" s="15" t="s">
        <v>36</v>
      </c>
      <c r="DD47" s="15" t="s">
        <v>36</v>
      </c>
      <c r="DE47" s="15" t="s">
        <v>36</v>
      </c>
    </row>
    <row r="48" spans="1:109" x14ac:dyDescent="0.3">
      <c r="A48" s="15" t="s">
        <v>112</v>
      </c>
      <c r="B48" s="15" t="s">
        <v>112</v>
      </c>
      <c r="C48" s="15" t="s">
        <v>112</v>
      </c>
      <c r="D48" s="15" t="s">
        <v>112</v>
      </c>
      <c r="E48" s="15" t="s">
        <v>5</v>
      </c>
      <c r="F48" s="15" t="s">
        <v>5</v>
      </c>
      <c r="G48" s="15" t="s">
        <v>5</v>
      </c>
      <c r="H48" s="15" t="s">
        <v>5</v>
      </c>
      <c r="I48" s="15" t="s">
        <v>144</v>
      </c>
      <c r="J48" s="15" t="s">
        <v>144</v>
      </c>
      <c r="K48" s="15" t="s">
        <v>144</v>
      </c>
      <c r="L48" s="15" t="s">
        <v>144</v>
      </c>
      <c r="M48" s="15" t="s">
        <v>37</v>
      </c>
      <c r="N48" s="15" t="s">
        <v>37</v>
      </c>
      <c r="O48" s="15" t="s">
        <v>37</v>
      </c>
      <c r="P48" s="15" t="s">
        <v>37</v>
      </c>
      <c r="Q48" s="15" t="s">
        <v>37</v>
      </c>
      <c r="R48" s="15" t="s">
        <v>37</v>
      </c>
      <c r="S48" s="15" t="s">
        <v>37</v>
      </c>
      <c r="T48" s="15" t="s">
        <v>37</v>
      </c>
      <c r="U48" s="15" t="s">
        <v>5</v>
      </c>
      <c r="V48" s="15" t="s">
        <v>87</v>
      </c>
      <c r="W48" s="15" t="s">
        <v>87</v>
      </c>
      <c r="X48" s="15" t="s">
        <v>87</v>
      </c>
      <c r="Y48" s="15" t="s">
        <v>143</v>
      </c>
      <c r="Z48" s="15" t="s">
        <v>143</v>
      </c>
      <c r="AA48" s="15" t="s">
        <v>143</v>
      </c>
      <c r="AB48" s="15" t="s">
        <v>143</v>
      </c>
      <c r="AC48" s="15" t="s">
        <v>87</v>
      </c>
      <c r="AD48" s="15" t="s">
        <v>87</v>
      </c>
      <c r="AE48" s="15" t="s">
        <v>87</v>
      </c>
      <c r="AF48" s="15" t="s">
        <v>87</v>
      </c>
      <c r="AG48" s="15" t="s">
        <v>143</v>
      </c>
      <c r="AH48" s="15" t="s">
        <v>143</v>
      </c>
      <c r="AI48" s="15" t="s">
        <v>87</v>
      </c>
      <c r="AJ48" s="15" t="s">
        <v>143</v>
      </c>
      <c r="AK48" s="15" t="s">
        <v>5</v>
      </c>
      <c r="AL48" s="15" t="s">
        <v>5</v>
      </c>
      <c r="AM48" s="15" t="s">
        <v>5</v>
      </c>
      <c r="AN48" s="15" t="s">
        <v>5</v>
      </c>
      <c r="AO48" s="15" t="s">
        <v>5</v>
      </c>
      <c r="AP48" s="15" t="s">
        <v>5</v>
      </c>
      <c r="AQ48" s="15" t="s">
        <v>37</v>
      </c>
      <c r="AR48" s="15" t="s">
        <v>37</v>
      </c>
      <c r="AS48" s="15" t="s">
        <v>37</v>
      </c>
      <c r="AT48" s="15" t="s">
        <v>37</v>
      </c>
      <c r="AU48" s="15" t="s">
        <v>37</v>
      </c>
      <c r="AV48" s="15" t="s">
        <v>112</v>
      </c>
      <c r="AW48" s="15" t="s">
        <v>112</v>
      </c>
      <c r="AX48" s="15" t="s">
        <v>112</v>
      </c>
      <c r="AY48" s="15" t="s">
        <v>112</v>
      </c>
      <c r="AZ48" s="15" t="s">
        <v>39</v>
      </c>
      <c r="BA48" s="15" t="s">
        <v>112</v>
      </c>
      <c r="BB48" s="15" t="s">
        <v>112</v>
      </c>
      <c r="BC48" s="15" t="s">
        <v>112</v>
      </c>
      <c r="BD48" s="15" t="s">
        <v>112</v>
      </c>
      <c r="BE48" s="15" t="s">
        <v>39</v>
      </c>
      <c r="BF48" s="15" t="s">
        <v>39</v>
      </c>
      <c r="BG48" s="15" t="s">
        <v>40</v>
      </c>
      <c r="BH48" s="15" t="s">
        <v>40</v>
      </c>
      <c r="BI48" s="15" t="s">
        <v>40</v>
      </c>
      <c r="BJ48" s="15" t="s">
        <v>40</v>
      </c>
      <c r="BK48" s="15" t="s">
        <v>40</v>
      </c>
      <c r="BL48" s="15" t="s">
        <v>40</v>
      </c>
      <c r="BM48" s="15" t="s">
        <v>39</v>
      </c>
      <c r="BN48" s="15" t="s">
        <v>39</v>
      </c>
      <c r="BO48" s="15" t="s">
        <v>39</v>
      </c>
      <c r="BP48" s="15" t="s">
        <v>39</v>
      </c>
      <c r="BQ48" s="15" t="s">
        <v>145</v>
      </c>
      <c r="BR48" s="15" t="s">
        <v>145</v>
      </c>
      <c r="BS48" s="15" t="s">
        <v>145</v>
      </c>
      <c r="BT48" s="15" t="s">
        <v>145</v>
      </c>
      <c r="BU48" s="15" t="s">
        <v>112</v>
      </c>
      <c r="BV48" s="15" t="s">
        <v>112</v>
      </c>
      <c r="BW48" s="15" t="s">
        <v>112</v>
      </c>
      <c r="BX48" s="15" t="s">
        <v>39</v>
      </c>
      <c r="BY48" s="15" t="s">
        <v>145</v>
      </c>
      <c r="BZ48" s="15" t="s">
        <v>145</v>
      </c>
      <c r="CA48" s="15" t="s">
        <v>145</v>
      </c>
      <c r="CB48" s="15" t="s">
        <v>145</v>
      </c>
      <c r="CC48" s="15" t="s">
        <v>145</v>
      </c>
      <c r="CD48" s="15" t="s">
        <v>145</v>
      </c>
      <c r="CE48" s="15" t="s">
        <v>145</v>
      </c>
      <c r="CF48" s="15" t="s">
        <v>145</v>
      </c>
      <c r="CG48" s="15" t="s">
        <v>39</v>
      </c>
      <c r="CH48" s="15" t="s">
        <v>39</v>
      </c>
      <c r="CI48" s="15" t="s">
        <v>39</v>
      </c>
      <c r="CJ48" s="15" t="s">
        <v>39</v>
      </c>
      <c r="CK48" s="15" t="s">
        <v>39</v>
      </c>
      <c r="CL48" s="15" t="s">
        <v>39</v>
      </c>
      <c r="CM48" s="15" t="s">
        <v>39</v>
      </c>
      <c r="CN48" s="15" t="s">
        <v>39</v>
      </c>
      <c r="CO48" s="15" t="s">
        <v>39</v>
      </c>
      <c r="CP48" s="15" t="s">
        <v>39</v>
      </c>
      <c r="CQ48" s="15" t="s">
        <v>39</v>
      </c>
      <c r="CR48" s="15" t="s">
        <v>39</v>
      </c>
      <c r="CS48" s="15" t="s">
        <v>39</v>
      </c>
      <c r="CT48" s="15" t="s">
        <v>39</v>
      </c>
      <c r="CU48" s="15" t="s">
        <v>39</v>
      </c>
      <c r="CV48" s="15" t="s">
        <v>39</v>
      </c>
      <c r="CW48" s="15" t="s">
        <v>38</v>
      </c>
      <c r="CX48" s="15" t="s">
        <v>38</v>
      </c>
      <c r="CY48" s="15" t="s">
        <v>38</v>
      </c>
      <c r="CZ48" s="15" t="s">
        <v>38</v>
      </c>
      <c r="DA48" s="15" t="s">
        <v>37</v>
      </c>
      <c r="DB48" s="15" t="s">
        <v>37</v>
      </c>
      <c r="DC48" s="15" t="s">
        <v>37</v>
      </c>
      <c r="DD48" s="15" t="s">
        <v>37</v>
      </c>
      <c r="DE48" s="15" t="s">
        <v>37</v>
      </c>
    </row>
    <row r="49" spans="1:109" x14ac:dyDescent="0.3">
      <c r="A49" s="15" t="s">
        <v>39</v>
      </c>
      <c r="B49" s="15" t="s">
        <v>39</v>
      </c>
      <c r="C49" s="15" t="s">
        <v>39</v>
      </c>
      <c r="D49" s="15" t="s">
        <v>39</v>
      </c>
      <c r="E49" s="15" t="s">
        <v>37</v>
      </c>
      <c r="F49" s="15" t="s">
        <v>37</v>
      </c>
      <c r="G49" s="15" t="s">
        <v>37</v>
      </c>
      <c r="H49" s="15" t="s">
        <v>37</v>
      </c>
      <c r="I49" s="15" t="s">
        <v>5</v>
      </c>
      <c r="J49" s="15" t="s">
        <v>5</v>
      </c>
      <c r="K49" s="15" t="s">
        <v>5</v>
      </c>
      <c r="L49" s="15" t="s">
        <v>5</v>
      </c>
      <c r="M49" s="15" t="s">
        <v>112</v>
      </c>
      <c r="N49" s="15" t="s">
        <v>112</v>
      </c>
      <c r="O49" s="15" t="s">
        <v>112</v>
      </c>
      <c r="P49" s="15" t="s">
        <v>112</v>
      </c>
      <c r="Q49" s="15" t="s">
        <v>112</v>
      </c>
      <c r="R49" s="15" t="s">
        <v>112</v>
      </c>
      <c r="S49" s="15" t="s">
        <v>112</v>
      </c>
      <c r="T49" s="15" t="s">
        <v>112</v>
      </c>
      <c r="U49" s="15" t="s">
        <v>37</v>
      </c>
      <c r="V49" s="15" t="s">
        <v>5</v>
      </c>
      <c r="W49" s="15" t="s">
        <v>5</v>
      </c>
      <c r="X49" s="15" t="s">
        <v>5</v>
      </c>
      <c r="Y49" s="15" t="s">
        <v>87</v>
      </c>
      <c r="Z49" s="15" t="s">
        <v>87</v>
      </c>
      <c r="AA49" s="15" t="s">
        <v>87</v>
      </c>
      <c r="AB49" s="15" t="s">
        <v>87</v>
      </c>
      <c r="AC49" s="15" t="s">
        <v>5</v>
      </c>
      <c r="AD49" s="15" t="s">
        <v>5</v>
      </c>
      <c r="AE49" s="15" t="s">
        <v>5</v>
      </c>
      <c r="AF49" s="15" t="s">
        <v>5</v>
      </c>
      <c r="AG49" s="15" t="s">
        <v>87</v>
      </c>
      <c r="AH49" s="15" t="s">
        <v>87</v>
      </c>
      <c r="AI49" s="15" t="s">
        <v>5</v>
      </c>
      <c r="AJ49" s="15" t="s">
        <v>87</v>
      </c>
      <c r="AK49" s="15" t="s">
        <v>37</v>
      </c>
      <c r="AL49" s="15" t="s">
        <v>37</v>
      </c>
      <c r="AM49" s="15" t="s">
        <v>37</v>
      </c>
      <c r="AN49" s="15" t="s">
        <v>37</v>
      </c>
      <c r="AO49" s="15" t="s">
        <v>37</v>
      </c>
      <c r="AP49" s="15" t="s">
        <v>37</v>
      </c>
      <c r="AQ49" s="15" t="s">
        <v>112</v>
      </c>
      <c r="AR49" s="15" t="s">
        <v>112</v>
      </c>
      <c r="AS49" s="15" t="s">
        <v>112</v>
      </c>
      <c r="AT49" s="15" t="s">
        <v>112</v>
      </c>
      <c r="AU49" s="15" t="s">
        <v>112</v>
      </c>
      <c r="AV49" s="15" t="s">
        <v>39</v>
      </c>
      <c r="AW49" s="15" t="s">
        <v>39</v>
      </c>
      <c r="AX49" s="15" t="s">
        <v>39</v>
      </c>
      <c r="AY49" s="15" t="s">
        <v>39</v>
      </c>
      <c r="AZ49" s="15" t="s">
        <v>40</v>
      </c>
      <c r="BA49" s="15" t="s">
        <v>39</v>
      </c>
      <c r="BB49" s="15" t="s">
        <v>39</v>
      </c>
      <c r="BC49" s="15" t="s">
        <v>39</v>
      </c>
      <c r="BD49" s="15" t="s">
        <v>39</v>
      </c>
      <c r="BE49" s="15" t="s">
        <v>40</v>
      </c>
      <c r="BF49" s="15" t="s">
        <v>40</v>
      </c>
      <c r="BG49" s="15" t="s">
        <v>41</v>
      </c>
      <c r="BH49" s="15" t="s">
        <v>41</v>
      </c>
      <c r="BI49" s="15" t="s">
        <v>41</v>
      </c>
      <c r="BJ49" s="15" t="s">
        <v>41</v>
      </c>
      <c r="BK49" s="15" t="s">
        <v>41</v>
      </c>
      <c r="BL49" s="15" t="s">
        <v>41</v>
      </c>
      <c r="BM49" s="15" t="s">
        <v>40</v>
      </c>
      <c r="BN49" s="15" t="s">
        <v>40</v>
      </c>
      <c r="BO49" s="15" t="s">
        <v>40</v>
      </c>
      <c r="BP49" s="15" t="s">
        <v>40</v>
      </c>
      <c r="BQ49" s="15" t="s">
        <v>39</v>
      </c>
      <c r="BR49" s="15" t="s">
        <v>39</v>
      </c>
      <c r="BS49" s="15" t="s">
        <v>39</v>
      </c>
      <c r="BT49" s="15" t="s">
        <v>39</v>
      </c>
      <c r="BU49" s="15" t="s">
        <v>39</v>
      </c>
      <c r="BV49" s="15" t="s">
        <v>39</v>
      </c>
      <c r="BW49" s="15" t="s">
        <v>39</v>
      </c>
      <c r="BX49" s="15" t="s">
        <v>40</v>
      </c>
      <c r="BY49" s="15" t="s">
        <v>39</v>
      </c>
      <c r="BZ49" s="15" t="s">
        <v>39</v>
      </c>
      <c r="CA49" s="15" t="s">
        <v>39</v>
      </c>
      <c r="CB49" s="15" t="s">
        <v>39</v>
      </c>
      <c r="CC49" s="15" t="s">
        <v>39</v>
      </c>
      <c r="CD49" s="15" t="s">
        <v>39</v>
      </c>
      <c r="CE49" s="15" t="s">
        <v>39</v>
      </c>
      <c r="CF49" s="15" t="s">
        <v>39</v>
      </c>
      <c r="CG49" s="15" t="s">
        <v>40</v>
      </c>
      <c r="CH49" s="15" t="s">
        <v>40</v>
      </c>
      <c r="CI49" s="15" t="s">
        <v>40</v>
      </c>
      <c r="CJ49" s="15" t="s">
        <v>40</v>
      </c>
      <c r="CK49" s="15" t="s">
        <v>40</v>
      </c>
      <c r="CL49" s="15" t="s">
        <v>40</v>
      </c>
      <c r="CM49" s="15" t="s">
        <v>40</v>
      </c>
      <c r="CN49" s="15" t="s">
        <v>40</v>
      </c>
      <c r="CO49" s="15" t="s">
        <v>40</v>
      </c>
      <c r="CP49" s="15" t="s">
        <v>40</v>
      </c>
      <c r="CQ49" s="15" t="s">
        <v>40</v>
      </c>
      <c r="CR49" s="15" t="s">
        <v>40</v>
      </c>
      <c r="CS49" s="15" t="s">
        <v>40</v>
      </c>
      <c r="CT49" s="15" t="s">
        <v>40</v>
      </c>
      <c r="CU49" s="15" t="s">
        <v>40</v>
      </c>
      <c r="CV49" s="15" t="s">
        <v>40</v>
      </c>
      <c r="CW49" s="15" t="s">
        <v>39</v>
      </c>
      <c r="CX49" s="15" t="s">
        <v>39</v>
      </c>
      <c r="CY49" s="15" t="s">
        <v>39</v>
      </c>
      <c r="CZ49" s="15" t="s">
        <v>39</v>
      </c>
      <c r="DA49" s="15" t="s">
        <v>112</v>
      </c>
      <c r="DB49" s="15" t="s">
        <v>112</v>
      </c>
      <c r="DC49" s="15" t="s">
        <v>112</v>
      </c>
      <c r="DD49" s="15" t="s">
        <v>112</v>
      </c>
      <c r="DE49" s="15" t="s">
        <v>112</v>
      </c>
    </row>
    <row r="50" spans="1:109" x14ac:dyDescent="0.3">
      <c r="A50" s="15" t="s">
        <v>40</v>
      </c>
      <c r="B50" s="15" t="s">
        <v>40</v>
      </c>
      <c r="C50" s="15" t="s">
        <v>40</v>
      </c>
      <c r="D50" s="15" t="s">
        <v>40</v>
      </c>
      <c r="E50" s="15" t="s">
        <v>112</v>
      </c>
      <c r="F50" s="15" t="s">
        <v>112</v>
      </c>
      <c r="G50" s="15" t="s">
        <v>112</v>
      </c>
      <c r="H50" s="15" t="s">
        <v>112</v>
      </c>
      <c r="I50" s="15" t="s">
        <v>37</v>
      </c>
      <c r="J50" s="15" t="s">
        <v>37</v>
      </c>
      <c r="K50" s="15" t="s">
        <v>37</v>
      </c>
      <c r="L50" s="15" t="s">
        <v>37</v>
      </c>
      <c r="M50" s="15" t="s">
        <v>39</v>
      </c>
      <c r="N50" s="15" t="s">
        <v>39</v>
      </c>
      <c r="O50" s="15" t="s">
        <v>39</v>
      </c>
      <c r="P50" s="15" t="s">
        <v>39</v>
      </c>
      <c r="Q50" s="15" t="s">
        <v>39</v>
      </c>
      <c r="R50" s="15" t="s">
        <v>39</v>
      </c>
      <c r="S50" s="15" t="s">
        <v>39</v>
      </c>
      <c r="T50" s="15" t="s">
        <v>39</v>
      </c>
      <c r="U50" s="15" t="s">
        <v>112</v>
      </c>
      <c r="V50" s="15" t="s">
        <v>37</v>
      </c>
      <c r="W50" s="15" t="s">
        <v>37</v>
      </c>
      <c r="X50" s="15" t="s">
        <v>37</v>
      </c>
      <c r="Y50" s="15" t="s">
        <v>5</v>
      </c>
      <c r="Z50" s="15" t="s">
        <v>5</v>
      </c>
      <c r="AA50" s="15" t="s">
        <v>5</v>
      </c>
      <c r="AB50" s="15" t="s">
        <v>5</v>
      </c>
      <c r="AC50" s="15" t="s">
        <v>37</v>
      </c>
      <c r="AD50" s="15" t="s">
        <v>37</v>
      </c>
      <c r="AE50" s="15" t="s">
        <v>37</v>
      </c>
      <c r="AF50" s="15" t="s">
        <v>37</v>
      </c>
      <c r="AG50" s="15" t="s">
        <v>5</v>
      </c>
      <c r="AH50" s="15" t="s">
        <v>5</v>
      </c>
      <c r="AI50" s="15" t="s">
        <v>37</v>
      </c>
      <c r="AJ50" s="15" t="s">
        <v>5</v>
      </c>
      <c r="AK50" s="15" t="s">
        <v>112</v>
      </c>
      <c r="AL50" s="15" t="s">
        <v>112</v>
      </c>
      <c r="AM50" s="15" t="s">
        <v>112</v>
      </c>
      <c r="AN50" s="15" t="s">
        <v>112</v>
      </c>
      <c r="AO50" s="15" t="s">
        <v>112</v>
      </c>
      <c r="AP50" s="15" t="s">
        <v>112</v>
      </c>
      <c r="AQ50" s="15" t="s">
        <v>39</v>
      </c>
      <c r="AR50" s="15" t="s">
        <v>39</v>
      </c>
      <c r="AS50" s="15" t="s">
        <v>39</v>
      </c>
      <c r="AT50" s="15" t="s">
        <v>39</v>
      </c>
      <c r="AU50" s="15" t="s">
        <v>39</v>
      </c>
      <c r="AV50" s="15" t="s">
        <v>40</v>
      </c>
      <c r="AW50" s="15" t="s">
        <v>40</v>
      </c>
      <c r="AX50" s="15" t="s">
        <v>40</v>
      </c>
      <c r="AY50" s="15" t="s">
        <v>40</v>
      </c>
      <c r="AZ50" s="15" t="s">
        <v>41</v>
      </c>
      <c r="BA50" s="15" t="s">
        <v>40</v>
      </c>
      <c r="BB50" s="15" t="s">
        <v>40</v>
      </c>
      <c r="BC50" s="15" t="s">
        <v>40</v>
      </c>
      <c r="BD50" s="15" t="s">
        <v>40</v>
      </c>
      <c r="BE50" s="15" t="s">
        <v>41</v>
      </c>
      <c r="BF50" s="15" t="s">
        <v>41</v>
      </c>
      <c r="BG50" s="15" t="s">
        <v>146</v>
      </c>
      <c r="BH50" s="15" t="s">
        <v>146</v>
      </c>
      <c r="BI50" s="15" t="s">
        <v>146</v>
      </c>
      <c r="BJ50" s="15" t="s">
        <v>146</v>
      </c>
      <c r="BK50" s="15" t="s">
        <v>146</v>
      </c>
      <c r="BL50" s="15" t="s">
        <v>146</v>
      </c>
      <c r="BM50" s="15" t="s">
        <v>41</v>
      </c>
      <c r="BN50" s="15" t="s">
        <v>41</v>
      </c>
      <c r="BO50" s="15" t="s">
        <v>41</v>
      </c>
      <c r="BP50" s="15" t="s">
        <v>41</v>
      </c>
      <c r="BQ50" s="15" t="s">
        <v>40</v>
      </c>
      <c r="BR50" s="15" t="s">
        <v>40</v>
      </c>
      <c r="BS50" s="15" t="s">
        <v>40</v>
      </c>
      <c r="BT50" s="15" t="s">
        <v>40</v>
      </c>
      <c r="BU50" s="15" t="s">
        <v>40</v>
      </c>
      <c r="BV50" s="15" t="s">
        <v>40</v>
      </c>
      <c r="BW50" s="15" t="s">
        <v>40</v>
      </c>
      <c r="BX50" s="15" t="s">
        <v>41</v>
      </c>
      <c r="BY50" s="15" t="s">
        <v>40</v>
      </c>
      <c r="BZ50" s="15" t="s">
        <v>40</v>
      </c>
      <c r="CA50" s="15" t="s">
        <v>40</v>
      </c>
      <c r="CB50" s="15" t="s">
        <v>40</v>
      </c>
      <c r="CC50" s="15" t="s">
        <v>40</v>
      </c>
      <c r="CD50" s="15" t="s">
        <v>40</v>
      </c>
      <c r="CE50" s="15" t="s">
        <v>40</v>
      </c>
      <c r="CF50" s="15" t="s">
        <v>40</v>
      </c>
      <c r="CG50" s="15" t="s">
        <v>41</v>
      </c>
      <c r="CH50" s="15" t="s">
        <v>41</v>
      </c>
      <c r="CI50" s="15" t="s">
        <v>41</v>
      </c>
      <c r="CJ50" s="15" t="s">
        <v>41</v>
      </c>
      <c r="CK50" s="15" t="s">
        <v>41</v>
      </c>
      <c r="CL50" s="15" t="s">
        <v>41</v>
      </c>
      <c r="CM50" s="15" t="s">
        <v>41</v>
      </c>
      <c r="CN50" s="15" t="s">
        <v>41</v>
      </c>
      <c r="CO50" s="15" t="s">
        <v>41</v>
      </c>
      <c r="CP50" s="15" t="s">
        <v>41</v>
      </c>
      <c r="CQ50" s="15" t="s">
        <v>41</v>
      </c>
      <c r="CR50" s="15" t="s">
        <v>41</v>
      </c>
      <c r="CS50" s="15" t="s">
        <v>41</v>
      </c>
      <c r="CT50" s="15" t="s">
        <v>41</v>
      </c>
      <c r="CU50" s="15" t="s">
        <v>41</v>
      </c>
      <c r="CV50" s="15" t="s">
        <v>41</v>
      </c>
      <c r="CW50" s="15" t="s">
        <v>40</v>
      </c>
      <c r="CX50" s="15" t="s">
        <v>40</v>
      </c>
      <c r="CY50" s="15" t="s">
        <v>40</v>
      </c>
      <c r="CZ50" s="15" t="s">
        <v>40</v>
      </c>
      <c r="DA50" s="15" t="s">
        <v>38</v>
      </c>
      <c r="DB50" s="15" t="s">
        <v>38</v>
      </c>
      <c r="DC50" s="15" t="s">
        <v>38</v>
      </c>
      <c r="DD50" s="15" t="s">
        <v>38</v>
      </c>
      <c r="DE50" s="15" t="s">
        <v>38</v>
      </c>
    </row>
    <row r="51" spans="1:109" x14ac:dyDescent="0.3">
      <c r="A51" s="15" t="s">
        <v>146</v>
      </c>
      <c r="B51" s="15" t="s">
        <v>146</v>
      </c>
      <c r="C51" s="15" t="s">
        <v>146</v>
      </c>
      <c r="D51" s="15" t="s">
        <v>146</v>
      </c>
      <c r="E51" s="15" t="s">
        <v>39</v>
      </c>
      <c r="F51" s="15" t="s">
        <v>39</v>
      </c>
      <c r="G51" s="15" t="s">
        <v>39</v>
      </c>
      <c r="H51" s="15" t="s">
        <v>39</v>
      </c>
      <c r="I51" s="15" t="s">
        <v>112</v>
      </c>
      <c r="J51" s="15" t="s">
        <v>112</v>
      </c>
      <c r="K51" s="15" t="s">
        <v>112</v>
      </c>
      <c r="L51" s="15" t="s">
        <v>112</v>
      </c>
      <c r="M51" s="15" t="s">
        <v>40</v>
      </c>
      <c r="N51" s="15" t="s">
        <v>40</v>
      </c>
      <c r="O51" s="15" t="s">
        <v>40</v>
      </c>
      <c r="P51" s="15" t="s">
        <v>40</v>
      </c>
      <c r="Q51" s="15" t="s">
        <v>40</v>
      </c>
      <c r="R51" s="15" t="s">
        <v>40</v>
      </c>
      <c r="S51" s="15" t="s">
        <v>40</v>
      </c>
      <c r="T51" s="15" t="s">
        <v>40</v>
      </c>
      <c r="U51" s="15" t="s">
        <v>39</v>
      </c>
      <c r="V51" s="15" t="s">
        <v>112</v>
      </c>
      <c r="W51" s="15" t="s">
        <v>112</v>
      </c>
      <c r="X51" s="15" t="s">
        <v>112</v>
      </c>
      <c r="Y51" s="15" t="s">
        <v>37</v>
      </c>
      <c r="Z51" s="15" t="s">
        <v>37</v>
      </c>
      <c r="AA51" s="15" t="s">
        <v>37</v>
      </c>
      <c r="AB51" s="15" t="s">
        <v>37</v>
      </c>
      <c r="AC51" s="15" t="s">
        <v>112</v>
      </c>
      <c r="AD51" s="15" t="s">
        <v>112</v>
      </c>
      <c r="AE51" s="15" t="s">
        <v>112</v>
      </c>
      <c r="AF51" s="15" t="s">
        <v>112</v>
      </c>
      <c r="AG51" s="15" t="s">
        <v>37</v>
      </c>
      <c r="AH51" s="15" t="s">
        <v>37</v>
      </c>
      <c r="AI51" s="15" t="s">
        <v>112</v>
      </c>
      <c r="AJ51" s="15" t="s">
        <v>37</v>
      </c>
      <c r="AK51" s="15" t="s">
        <v>39</v>
      </c>
      <c r="AL51" s="15" t="s">
        <v>39</v>
      </c>
      <c r="AM51" s="15" t="s">
        <v>39</v>
      </c>
      <c r="AN51" s="15" t="s">
        <v>39</v>
      </c>
      <c r="AO51" s="15" t="s">
        <v>39</v>
      </c>
      <c r="AP51" s="15" t="s">
        <v>39</v>
      </c>
      <c r="AQ51" s="15" t="s">
        <v>40</v>
      </c>
      <c r="AR51" s="15" t="s">
        <v>40</v>
      </c>
      <c r="AS51" s="15" t="s">
        <v>40</v>
      </c>
      <c r="AT51" s="15" t="s">
        <v>40</v>
      </c>
      <c r="AU51" s="15" t="s">
        <v>40</v>
      </c>
      <c r="AV51" s="15" t="s">
        <v>41</v>
      </c>
      <c r="AW51" s="15" t="s">
        <v>41</v>
      </c>
      <c r="AX51" s="15" t="s">
        <v>41</v>
      </c>
      <c r="AY51" s="15" t="s">
        <v>41</v>
      </c>
      <c r="AZ51" s="15" t="s">
        <v>146</v>
      </c>
      <c r="BA51" s="15" t="s">
        <v>41</v>
      </c>
      <c r="BB51" s="15" t="s">
        <v>41</v>
      </c>
      <c r="BC51" s="15" t="s">
        <v>41</v>
      </c>
      <c r="BD51" s="15" t="s">
        <v>41</v>
      </c>
      <c r="BE51" s="15" t="s">
        <v>146</v>
      </c>
      <c r="BF51" s="15" t="s">
        <v>146</v>
      </c>
      <c r="BG51" s="15" t="s">
        <v>3</v>
      </c>
      <c r="BH51" s="15" t="s">
        <v>3</v>
      </c>
      <c r="BI51" s="15" t="s">
        <v>3</v>
      </c>
      <c r="BJ51" s="15" t="s">
        <v>3</v>
      </c>
      <c r="BK51" s="15" t="s">
        <v>3</v>
      </c>
      <c r="BL51" s="15" t="s">
        <v>3</v>
      </c>
      <c r="BM51" s="15" t="s">
        <v>146</v>
      </c>
      <c r="BN51" s="15" t="s">
        <v>146</v>
      </c>
      <c r="BO51" s="15" t="s">
        <v>146</v>
      </c>
      <c r="BP51" s="15" t="s">
        <v>146</v>
      </c>
      <c r="BQ51" s="15" t="s">
        <v>41</v>
      </c>
      <c r="BR51" s="15" t="s">
        <v>41</v>
      </c>
      <c r="BS51" s="15" t="s">
        <v>41</v>
      </c>
      <c r="BT51" s="15" t="s">
        <v>41</v>
      </c>
      <c r="BU51" s="15" t="s">
        <v>41</v>
      </c>
      <c r="BV51" s="15" t="s">
        <v>41</v>
      </c>
      <c r="BW51" s="15" t="s">
        <v>41</v>
      </c>
      <c r="BX51" s="15" t="s">
        <v>146</v>
      </c>
      <c r="BY51" s="15" t="s">
        <v>41</v>
      </c>
      <c r="BZ51" s="15" t="s">
        <v>41</v>
      </c>
      <c r="CA51" s="15" t="s">
        <v>41</v>
      </c>
      <c r="CB51" s="15" t="s">
        <v>41</v>
      </c>
      <c r="CC51" s="15" t="s">
        <v>41</v>
      </c>
      <c r="CD51" s="15" t="s">
        <v>41</v>
      </c>
      <c r="CE51" s="15" t="s">
        <v>41</v>
      </c>
      <c r="CF51" s="15" t="s">
        <v>41</v>
      </c>
      <c r="CG51" s="15" t="s">
        <v>146</v>
      </c>
      <c r="CH51" s="15" t="s">
        <v>146</v>
      </c>
      <c r="CI51" s="15" t="s">
        <v>146</v>
      </c>
      <c r="CJ51" s="15" t="s">
        <v>146</v>
      </c>
      <c r="CK51" s="15" t="s">
        <v>42</v>
      </c>
      <c r="CL51" s="15" t="s">
        <v>42</v>
      </c>
      <c r="CM51" s="15" t="s">
        <v>42</v>
      </c>
      <c r="CN51" s="15" t="s">
        <v>42</v>
      </c>
      <c r="CO51" s="15" t="s">
        <v>42</v>
      </c>
      <c r="CP51" s="15" t="s">
        <v>42</v>
      </c>
      <c r="CQ51" s="15" t="s">
        <v>42</v>
      </c>
      <c r="CR51" s="15" t="s">
        <v>42</v>
      </c>
      <c r="CS51" s="15" t="s">
        <v>42</v>
      </c>
      <c r="CT51" s="15" t="s">
        <v>42</v>
      </c>
      <c r="CU51" s="15" t="s">
        <v>42</v>
      </c>
      <c r="CV51" s="15" t="s">
        <v>42</v>
      </c>
      <c r="CW51" s="15" t="s">
        <v>41</v>
      </c>
      <c r="CX51" s="15" t="s">
        <v>41</v>
      </c>
      <c r="CY51" s="15" t="s">
        <v>41</v>
      </c>
      <c r="CZ51" s="15" t="s">
        <v>41</v>
      </c>
      <c r="DA51" s="15" t="s">
        <v>39</v>
      </c>
      <c r="DB51" s="15" t="s">
        <v>39</v>
      </c>
      <c r="DC51" s="15" t="s">
        <v>39</v>
      </c>
      <c r="DD51" s="15" t="s">
        <v>39</v>
      </c>
      <c r="DE51" s="15" t="s">
        <v>39</v>
      </c>
    </row>
    <row r="52" spans="1:109" x14ac:dyDescent="0.3">
      <c r="A52" s="15" t="s">
        <v>3</v>
      </c>
      <c r="B52" s="15" t="s">
        <v>3</v>
      </c>
      <c r="C52" s="15" t="s">
        <v>3</v>
      </c>
      <c r="D52" s="15" t="s">
        <v>3</v>
      </c>
      <c r="E52" s="15" t="s">
        <v>40</v>
      </c>
      <c r="F52" s="15" t="s">
        <v>40</v>
      </c>
      <c r="G52" s="15" t="s">
        <v>40</v>
      </c>
      <c r="H52" s="15" t="s">
        <v>40</v>
      </c>
      <c r="I52" s="15" t="s">
        <v>39</v>
      </c>
      <c r="J52" s="15" t="s">
        <v>39</v>
      </c>
      <c r="K52" s="15" t="s">
        <v>39</v>
      </c>
      <c r="L52" s="15" t="s">
        <v>39</v>
      </c>
      <c r="M52" s="15" t="s">
        <v>146</v>
      </c>
      <c r="N52" s="15" t="s">
        <v>146</v>
      </c>
      <c r="O52" s="15" t="s">
        <v>146</v>
      </c>
      <c r="P52" s="15" t="s">
        <v>146</v>
      </c>
      <c r="Q52" s="15" t="s">
        <v>146</v>
      </c>
      <c r="R52" s="15" t="s">
        <v>146</v>
      </c>
      <c r="S52" s="15" t="s">
        <v>41</v>
      </c>
      <c r="T52" s="15" t="s">
        <v>41</v>
      </c>
      <c r="U52" s="15" t="s">
        <v>40</v>
      </c>
      <c r="V52" s="15" t="s">
        <v>39</v>
      </c>
      <c r="W52" s="15" t="s">
        <v>39</v>
      </c>
      <c r="X52" s="15" t="s">
        <v>39</v>
      </c>
      <c r="Y52" s="15" t="s">
        <v>112</v>
      </c>
      <c r="Z52" s="15" t="s">
        <v>112</v>
      </c>
      <c r="AA52" s="15" t="s">
        <v>112</v>
      </c>
      <c r="AB52" s="15" t="s">
        <v>112</v>
      </c>
      <c r="AC52" s="15" t="s">
        <v>39</v>
      </c>
      <c r="AD52" s="15" t="s">
        <v>39</v>
      </c>
      <c r="AE52" s="15" t="s">
        <v>39</v>
      </c>
      <c r="AF52" s="15" t="s">
        <v>39</v>
      </c>
      <c r="AG52" s="15" t="s">
        <v>112</v>
      </c>
      <c r="AH52" s="15" t="s">
        <v>112</v>
      </c>
      <c r="AI52" s="15" t="s">
        <v>39</v>
      </c>
      <c r="AJ52" s="15" t="s">
        <v>112</v>
      </c>
      <c r="AK52" s="15" t="s">
        <v>40</v>
      </c>
      <c r="AL52" s="15" t="s">
        <v>40</v>
      </c>
      <c r="AM52" s="15" t="s">
        <v>40</v>
      </c>
      <c r="AN52" s="15" t="s">
        <v>40</v>
      </c>
      <c r="AO52" s="15" t="s">
        <v>40</v>
      </c>
      <c r="AP52" s="15" t="s">
        <v>40</v>
      </c>
      <c r="AQ52" s="15" t="s">
        <v>41</v>
      </c>
      <c r="AR52" s="15" t="s">
        <v>41</v>
      </c>
      <c r="AS52" s="15" t="s">
        <v>41</v>
      </c>
      <c r="AT52" s="15" t="s">
        <v>41</v>
      </c>
      <c r="AU52" s="15" t="s">
        <v>41</v>
      </c>
      <c r="AV52" s="15" t="s">
        <v>146</v>
      </c>
      <c r="AW52" s="15" t="s">
        <v>146</v>
      </c>
      <c r="AX52" s="15" t="s">
        <v>146</v>
      </c>
      <c r="AY52" s="15" t="s">
        <v>146</v>
      </c>
      <c r="AZ52" s="15" t="s">
        <v>3</v>
      </c>
      <c r="BA52" s="15" t="s">
        <v>146</v>
      </c>
      <c r="BB52" s="15" t="s">
        <v>146</v>
      </c>
      <c r="BC52" s="15" t="s">
        <v>146</v>
      </c>
      <c r="BD52" s="15" t="s">
        <v>146</v>
      </c>
      <c r="BE52" s="15" t="s">
        <v>3</v>
      </c>
      <c r="BF52" s="15" t="s">
        <v>3</v>
      </c>
      <c r="BG52" s="15" t="s">
        <v>43</v>
      </c>
      <c r="BH52" s="15" t="s">
        <v>43</v>
      </c>
      <c r="BI52" s="15" t="s">
        <v>43</v>
      </c>
      <c r="BJ52" s="15" t="s">
        <v>43</v>
      </c>
      <c r="BK52" s="15" t="s">
        <v>43</v>
      </c>
      <c r="BL52" s="15" t="s">
        <v>43</v>
      </c>
      <c r="BM52" s="15" t="s">
        <v>3</v>
      </c>
      <c r="BN52" s="15" t="s">
        <v>3</v>
      </c>
      <c r="BO52" s="15" t="s">
        <v>3</v>
      </c>
      <c r="BP52" s="15" t="s">
        <v>3</v>
      </c>
      <c r="BQ52" s="15" t="s">
        <v>146</v>
      </c>
      <c r="BR52" s="15" t="s">
        <v>146</v>
      </c>
      <c r="BS52" s="15" t="s">
        <v>146</v>
      </c>
      <c r="BT52" s="15" t="s">
        <v>146</v>
      </c>
      <c r="BU52" s="15" t="s">
        <v>146</v>
      </c>
      <c r="BV52" s="15" t="s">
        <v>146</v>
      </c>
      <c r="BW52" s="15" t="s">
        <v>146</v>
      </c>
      <c r="BX52" s="15" t="s">
        <v>3</v>
      </c>
      <c r="BY52" s="15" t="s">
        <v>146</v>
      </c>
      <c r="BZ52" s="15" t="s">
        <v>146</v>
      </c>
      <c r="CA52" s="15" t="s">
        <v>146</v>
      </c>
      <c r="CB52" s="15" t="s">
        <v>146</v>
      </c>
      <c r="CC52" s="15" t="s">
        <v>146</v>
      </c>
      <c r="CD52" s="15" t="s">
        <v>146</v>
      </c>
      <c r="CE52" s="15" t="s">
        <v>146</v>
      </c>
      <c r="CF52" s="15" t="s">
        <v>146</v>
      </c>
      <c r="CG52" s="15" t="s">
        <v>3</v>
      </c>
      <c r="CH52" s="15" t="s">
        <v>3</v>
      </c>
      <c r="CI52" s="15" t="s">
        <v>3</v>
      </c>
      <c r="CJ52" s="15" t="s">
        <v>3</v>
      </c>
      <c r="CK52" s="15" t="s">
        <v>146</v>
      </c>
      <c r="CL52" s="15" t="s">
        <v>146</v>
      </c>
      <c r="CM52" s="15" t="s">
        <v>146</v>
      </c>
      <c r="CN52" s="15" t="s">
        <v>146</v>
      </c>
      <c r="CO52" s="15" t="s">
        <v>146</v>
      </c>
      <c r="CP52" s="15" t="s">
        <v>146</v>
      </c>
      <c r="CQ52" s="15" t="s">
        <v>146</v>
      </c>
      <c r="CR52" s="15" t="s">
        <v>146</v>
      </c>
      <c r="CS52" s="15" t="s">
        <v>146</v>
      </c>
      <c r="CT52" s="15" t="s">
        <v>146</v>
      </c>
      <c r="CU52" s="15" t="s">
        <v>146</v>
      </c>
      <c r="CV52" s="15" t="s">
        <v>146</v>
      </c>
      <c r="CW52" s="15" t="s">
        <v>42</v>
      </c>
      <c r="CX52" s="15" t="s">
        <v>42</v>
      </c>
      <c r="CY52" s="15" t="s">
        <v>42</v>
      </c>
      <c r="CZ52" s="15" t="s">
        <v>42</v>
      </c>
      <c r="DA52" s="15" t="s">
        <v>40</v>
      </c>
      <c r="DB52" s="15" t="s">
        <v>40</v>
      </c>
      <c r="DC52" s="15" t="s">
        <v>40</v>
      </c>
      <c r="DD52" s="15" t="s">
        <v>40</v>
      </c>
      <c r="DE52" s="15" t="s">
        <v>40</v>
      </c>
    </row>
    <row r="53" spans="1:109" x14ac:dyDescent="0.3">
      <c r="A53" s="15" t="s">
        <v>43</v>
      </c>
      <c r="B53" s="15" t="s">
        <v>43</v>
      </c>
      <c r="C53" s="15" t="s">
        <v>43</v>
      </c>
      <c r="D53" s="15" t="s">
        <v>43</v>
      </c>
      <c r="E53" s="15" t="s">
        <v>146</v>
      </c>
      <c r="F53" s="15" t="s">
        <v>146</v>
      </c>
      <c r="G53" s="15" t="s">
        <v>146</v>
      </c>
      <c r="H53" s="15" t="s">
        <v>146</v>
      </c>
      <c r="I53" s="15" t="s">
        <v>40</v>
      </c>
      <c r="J53" s="15" t="s">
        <v>40</v>
      </c>
      <c r="K53" s="15" t="s">
        <v>40</v>
      </c>
      <c r="L53" s="15" t="s">
        <v>40</v>
      </c>
      <c r="M53" s="15" t="s">
        <v>3</v>
      </c>
      <c r="N53" s="15" t="s">
        <v>3</v>
      </c>
      <c r="O53" s="15" t="s">
        <v>3</v>
      </c>
      <c r="P53" s="15" t="s">
        <v>3</v>
      </c>
      <c r="Q53" s="15" t="s">
        <v>3</v>
      </c>
      <c r="R53" s="15" t="s">
        <v>3</v>
      </c>
      <c r="S53" s="15" t="s">
        <v>146</v>
      </c>
      <c r="T53" s="15" t="s">
        <v>146</v>
      </c>
      <c r="U53" s="15" t="s">
        <v>146</v>
      </c>
      <c r="V53" s="15" t="s">
        <v>40</v>
      </c>
      <c r="W53" s="15" t="s">
        <v>40</v>
      </c>
      <c r="X53" s="15" t="s">
        <v>40</v>
      </c>
      <c r="Y53" s="15" t="s">
        <v>39</v>
      </c>
      <c r="Z53" s="15" t="s">
        <v>39</v>
      </c>
      <c r="AA53" s="15" t="s">
        <v>39</v>
      </c>
      <c r="AB53" s="15" t="s">
        <v>39</v>
      </c>
      <c r="AC53" s="15" t="s">
        <v>40</v>
      </c>
      <c r="AD53" s="15" t="s">
        <v>40</v>
      </c>
      <c r="AE53" s="15" t="s">
        <v>40</v>
      </c>
      <c r="AF53" s="15" t="s">
        <v>40</v>
      </c>
      <c r="AG53" s="15" t="s">
        <v>39</v>
      </c>
      <c r="AH53" s="15" t="s">
        <v>39</v>
      </c>
      <c r="AI53" s="15" t="s">
        <v>40</v>
      </c>
      <c r="AJ53" s="15" t="s">
        <v>39</v>
      </c>
      <c r="AK53" s="15" t="s">
        <v>41</v>
      </c>
      <c r="AL53" s="15" t="s">
        <v>41</v>
      </c>
      <c r="AM53" s="15" t="s">
        <v>41</v>
      </c>
      <c r="AN53" s="15" t="s">
        <v>41</v>
      </c>
      <c r="AO53" s="15" t="s">
        <v>41</v>
      </c>
      <c r="AP53" s="15" t="s">
        <v>41</v>
      </c>
      <c r="AQ53" s="15" t="s">
        <v>146</v>
      </c>
      <c r="AR53" s="15" t="s">
        <v>146</v>
      </c>
      <c r="AS53" s="15" t="s">
        <v>146</v>
      </c>
      <c r="AT53" s="15" t="s">
        <v>146</v>
      </c>
      <c r="AU53" s="15" t="s">
        <v>146</v>
      </c>
      <c r="AV53" s="15" t="s">
        <v>3</v>
      </c>
      <c r="AW53" s="15" t="s">
        <v>3</v>
      </c>
      <c r="AX53" s="15" t="s">
        <v>3</v>
      </c>
      <c r="AY53" s="15" t="s">
        <v>3</v>
      </c>
      <c r="AZ53" s="15" t="s">
        <v>43</v>
      </c>
      <c r="BA53" s="15" t="s">
        <v>3</v>
      </c>
      <c r="BB53" s="15" t="s">
        <v>3</v>
      </c>
      <c r="BC53" s="15" t="s">
        <v>3</v>
      </c>
      <c r="BD53" s="15" t="s">
        <v>3</v>
      </c>
      <c r="BE53" s="15" t="s">
        <v>43</v>
      </c>
      <c r="BF53" s="15" t="s">
        <v>43</v>
      </c>
      <c r="BG53" s="15" t="s">
        <v>97</v>
      </c>
      <c r="BH53" s="15" t="s">
        <v>97</v>
      </c>
      <c r="BI53" s="15" t="s">
        <v>97</v>
      </c>
      <c r="BJ53" s="15" t="s">
        <v>97</v>
      </c>
      <c r="BK53" s="15" t="s">
        <v>97</v>
      </c>
      <c r="BL53" s="15" t="s">
        <v>97</v>
      </c>
      <c r="BM53" s="15" t="s">
        <v>43</v>
      </c>
      <c r="BN53" s="15" t="s">
        <v>43</v>
      </c>
      <c r="BO53" s="15" t="s">
        <v>43</v>
      </c>
      <c r="BP53" s="15" t="s">
        <v>43</v>
      </c>
      <c r="BQ53" s="15" t="s">
        <v>3</v>
      </c>
      <c r="BR53" s="15" t="s">
        <v>3</v>
      </c>
      <c r="BS53" s="15" t="s">
        <v>3</v>
      </c>
      <c r="BT53" s="15" t="s">
        <v>3</v>
      </c>
      <c r="BU53" s="15" t="s">
        <v>3</v>
      </c>
      <c r="BV53" s="15" t="s">
        <v>3</v>
      </c>
      <c r="BW53" s="15" t="s">
        <v>3</v>
      </c>
      <c r="BX53" s="15" t="s">
        <v>43</v>
      </c>
      <c r="BY53" s="15" t="s">
        <v>3</v>
      </c>
      <c r="BZ53" s="15" t="s">
        <v>3</v>
      </c>
      <c r="CA53" s="15" t="s">
        <v>3</v>
      </c>
      <c r="CB53" s="15" t="s">
        <v>3</v>
      </c>
      <c r="CC53" s="15" t="s">
        <v>3</v>
      </c>
      <c r="CD53" s="15" t="s">
        <v>3</v>
      </c>
      <c r="CE53" s="15" t="s">
        <v>3</v>
      </c>
      <c r="CF53" s="15" t="s">
        <v>3</v>
      </c>
      <c r="CG53" s="15" t="s">
        <v>43</v>
      </c>
      <c r="CH53" s="15" t="s">
        <v>43</v>
      </c>
      <c r="CI53" s="15" t="s">
        <v>43</v>
      </c>
      <c r="CJ53" s="15" t="s">
        <v>43</v>
      </c>
      <c r="CK53" s="15" t="s">
        <v>3</v>
      </c>
      <c r="CL53" s="15" t="s">
        <v>3</v>
      </c>
      <c r="CM53" s="15" t="s">
        <v>3</v>
      </c>
      <c r="CN53" s="15" t="s">
        <v>3</v>
      </c>
      <c r="CO53" s="15" t="s">
        <v>3</v>
      </c>
      <c r="CP53" s="15" t="s">
        <v>3</v>
      </c>
      <c r="CQ53" s="15" t="s">
        <v>3</v>
      </c>
      <c r="CR53" s="15" t="s">
        <v>3</v>
      </c>
      <c r="CS53" s="15" t="s">
        <v>3</v>
      </c>
      <c r="CT53" s="15" t="s">
        <v>3</v>
      </c>
      <c r="CU53" s="15" t="s">
        <v>3</v>
      </c>
      <c r="CV53" s="15" t="s">
        <v>3</v>
      </c>
      <c r="CW53" s="15" t="s">
        <v>146</v>
      </c>
      <c r="CX53" s="15" t="s">
        <v>146</v>
      </c>
      <c r="CY53" s="15" t="s">
        <v>146</v>
      </c>
      <c r="CZ53" s="15" t="s">
        <v>146</v>
      </c>
      <c r="DA53" s="15" t="s">
        <v>41</v>
      </c>
      <c r="DB53" s="15" t="s">
        <v>41</v>
      </c>
      <c r="DC53" s="15" t="s">
        <v>41</v>
      </c>
      <c r="DD53" s="15" t="s">
        <v>41</v>
      </c>
      <c r="DE53" s="15" t="s">
        <v>41</v>
      </c>
    </row>
    <row r="54" spans="1:109" x14ac:dyDescent="0.3">
      <c r="A54" s="15" t="s">
        <v>148</v>
      </c>
      <c r="B54" s="15" t="s">
        <v>148</v>
      </c>
      <c r="C54" s="15" t="s">
        <v>148</v>
      </c>
      <c r="D54" s="15" t="s">
        <v>148</v>
      </c>
      <c r="E54" s="15" t="s">
        <v>3</v>
      </c>
      <c r="F54" s="15" t="s">
        <v>3</v>
      </c>
      <c r="G54" s="15" t="s">
        <v>3</v>
      </c>
      <c r="H54" s="15" t="s">
        <v>3</v>
      </c>
      <c r="I54" s="15" t="s">
        <v>146</v>
      </c>
      <c r="J54" s="15" t="s">
        <v>146</v>
      </c>
      <c r="K54" s="15" t="s">
        <v>146</v>
      </c>
      <c r="L54" s="15" t="s">
        <v>146</v>
      </c>
      <c r="M54" s="15" t="s">
        <v>43</v>
      </c>
      <c r="N54" s="15" t="s">
        <v>43</v>
      </c>
      <c r="O54" s="15" t="s">
        <v>43</v>
      </c>
      <c r="P54" s="15" t="s">
        <v>43</v>
      </c>
      <c r="Q54" s="15" t="s">
        <v>43</v>
      </c>
      <c r="R54" s="15" t="s">
        <v>43</v>
      </c>
      <c r="S54" s="15" t="s">
        <v>3</v>
      </c>
      <c r="T54" s="15" t="s">
        <v>3</v>
      </c>
      <c r="U54" s="15" t="s">
        <v>3</v>
      </c>
      <c r="V54" s="15" t="s">
        <v>146</v>
      </c>
      <c r="W54" s="15" t="s">
        <v>41</v>
      </c>
      <c r="X54" s="15" t="s">
        <v>41</v>
      </c>
      <c r="Y54" s="15" t="s">
        <v>40</v>
      </c>
      <c r="Z54" s="15" t="s">
        <v>40</v>
      </c>
      <c r="AA54" s="15" t="s">
        <v>40</v>
      </c>
      <c r="AB54" s="15" t="s">
        <v>40</v>
      </c>
      <c r="AC54" s="15" t="s">
        <v>146</v>
      </c>
      <c r="AD54" s="15" t="s">
        <v>146</v>
      </c>
      <c r="AE54" s="15" t="s">
        <v>146</v>
      </c>
      <c r="AF54" s="15" t="s">
        <v>146</v>
      </c>
      <c r="AG54" s="15" t="s">
        <v>40</v>
      </c>
      <c r="AH54" s="15" t="s">
        <v>40</v>
      </c>
      <c r="AI54" s="15" t="s">
        <v>146</v>
      </c>
      <c r="AJ54" s="15" t="s">
        <v>40</v>
      </c>
      <c r="AK54" s="15" t="s">
        <v>146</v>
      </c>
      <c r="AL54" s="15" t="s">
        <v>146</v>
      </c>
      <c r="AM54" s="15" t="s">
        <v>146</v>
      </c>
      <c r="AN54" s="15" t="s">
        <v>146</v>
      </c>
      <c r="AO54" s="15" t="s">
        <v>146</v>
      </c>
      <c r="AP54" s="15" t="s">
        <v>146</v>
      </c>
      <c r="AQ54" s="15" t="s">
        <v>3</v>
      </c>
      <c r="AR54" s="15" t="s">
        <v>3</v>
      </c>
      <c r="AS54" s="15" t="s">
        <v>3</v>
      </c>
      <c r="AT54" s="15" t="s">
        <v>3</v>
      </c>
      <c r="AU54" s="15" t="s">
        <v>3</v>
      </c>
      <c r="AV54" s="15" t="s">
        <v>43</v>
      </c>
      <c r="AW54" s="15" t="s">
        <v>43</v>
      </c>
      <c r="AX54" s="15" t="s">
        <v>43</v>
      </c>
      <c r="AY54" s="15" t="s">
        <v>43</v>
      </c>
      <c r="AZ54" s="15" t="s">
        <v>97</v>
      </c>
      <c r="BA54" s="15" t="s">
        <v>43</v>
      </c>
      <c r="BB54" s="15" t="s">
        <v>43</v>
      </c>
      <c r="BC54" s="15" t="s">
        <v>43</v>
      </c>
      <c r="BD54" s="15" t="s">
        <v>43</v>
      </c>
      <c r="BE54" s="15" t="s">
        <v>97</v>
      </c>
      <c r="BF54" s="15" t="s">
        <v>97</v>
      </c>
      <c r="BG54" s="15" t="s">
        <v>44</v>
      </c>
      <c r="BH54" s="15" t="s">
        <v>44</v>
      </c>
      <c r="BI54" s="15" t="s">
        <v>44</v>
      </c>
      <c r="BJ54" s="15" t="s">
        <v>44</v>
      </c>
      <c r="BK54" s="15" t="s">
        <v>44</v>
      </c>
      <c r="BL54" s="15" t="s">
        <v>44</v>
      </c>
      <c r="BM54" s="15" t="s">
        <v>97</v>
      </c>
      <c r="BN54" s="15" t="s">
        <v>97</v>
      </c>
      <c r="BO54" s="15" t="s">
        <v>97</v>
      </c>
      <c r="BP54" s="15" t="s">
        <v>97</v>
      </c>
      <c r="BQ54" s="15" t="s">
        <v>43</v>
      </c>
      <c r="BR54" s="15" t="s">
        <v>43</v>
      </c>
      <c r="BS54" s="15" t="s">
        <v>43</v>
      </c>
      <c r="BT54" s="15" t="s">
        <v>43</v>
      </c>
      <c r="BU54" s="15" t="s">
        <v>43</v>
      </c>
      <c r="BV54" s="15" t="s">
        <v>43</v>
      </c>
      <c r="BW54" s="15" t="s">
        <v>43</v>
      </c>
      <c r="BX54" s="15" t="s">
        <v>97</v>
      </c>
      <c r="BY54" s="15" t="s">
        <v>43</v>
      </c>
      <c r="BZ54" s="15" t="s">
        <v>43</v>
      </c>
      <c r="CA54" s="15" t="s">
        <v>43</v>
      </c>
      <c r="CB54" s="15" t="s">
        <v>43</v>
      </c>
      <c r="CC54" s="15" t="s">
        <v>43</v>
      </c>
      <c r="CD54" s="15" t="s">
        <v>43</v>
      </c>
      <c r="CE54" s="15" t="s">
        <v>43</v>
      </c>
      <c r="CF54" s="15" t="s">
        <v>43</v>
      </c>
      <c r="CG54" s="15" t="s">
        <v>97</v>
      </c>
      <c r="CH54" s="15" t="s">
        <v>97</v>
      </c>
      <c r="CI54" s="15" t="s">
        <v>97</v>
      </c>
      <c r="CJ54" s="15" t="s">
        <v>97</v>
      </c>
      <c r="CK54" s="15" t="s">
        <v>43</v>
      </c>
      <c r="CL54" s="15" t="s">
        <v>43</v>
      </c>
      <c r="CM54" s="15" t="s">
        <v>43</v>
      </c>
      <c r="CN54" s="15" t="s">
        <v>43</v>
      </c>
      <c r="CO54" s="15" t="s">
        <v>43</v>
      </c>
      <c r="CP54" s="15" t="s">
        <v>43</v>
      </c>
      <c r="CQ54" s="15" t="s">
        <v>43</v>
      </c>
      <c r="CR54" s="15" t="s">
        <v>43</v>
      </c>
      <c r="CS54" s="15" t="s">
        <v>43</v>
      </c>
      <c r="CT54" s="15" t="s">
        <v>43</v>
      </c>
      <c r="CU54" s="15" t="s">
        <v>43</v>
      </c>
      <c r="CV54" s="15" t="s">
        <v>43</v>
      </c>
      <c r="CW54" s="15" t="s">
        <v>3</v>
      </c>
      <c r="CX54" s="15" t="s">
        <v>3</v>
      </c>
      <c r="CY54" s="15" t="s">
        <v>3</v>
      </c>
      <c r="CZ54" s="15" t="s">
        <v>3</v>
      </c>
      <c r="DA54" s="15" t="s">
        <v>42</v>
      </c>
      <c r="DB54" s="15" t="s">
        <v>42</v>
      </c>
      <c r="DC54" s="15" t="s">
        <v>42</v>
      </c>
      <c r="DD54" s="15" t="s">
        <v>42</v>
      </c>
      <c r="DE54" s="15" t="s">
        <v>42</v>
      </c>
    </row>
    <row r="55" spans="1:109" x14ac:dyDescent="0.3">
      <c r="A55" s="15" t="s">
        <v>149</v>
      </c>
      <c r="B55" s="15" t="s">
        <v>149</v>
      </c>
      <c r="C55" s="15" t="s">
        <v>149</v>
      </c>
      <c r="D55" s="15" t="s">
        <v>149</v>
      </c>
      <c r="E55" s="15" t="s">
        <v>43</v>
      </c>
      <c r="F55" s="15" t="s">
        <v>43</v>
      </c>
      <c r="G55" s="15" t="s">
        <v>43</v>
      </c>
      <c r="H55" s="15" t="s">
        <v>43</v>
      </c>
      <c r="I55" s="15" t="s">
        <v>147</v>
      </c>
      <c r="J55" s="15" t="s">
        <v>147</v>
      </c>
      <c r="K55" s="15" t="s">
        <v>147</v>
      </c>
      <c r="L55" s="15" t="s">
        <v>147</v>
      </c>
      <c r="M55" s="15" t="s">
        <v>149</v>
      </c>
      <c r="N55" s="15" t="s">
        <v>149</v>
      </c>
      <c r="O55" s="15" t="s">
        <v>149</v>
      </c>
      <c r="P55" s="15" t="s">
        <v>149</v>
      </c>
      <c r="Q55" s="15" t="s">
        <v>149</v>
      </c>
      <c r="R55" s="15" t="s">
        <v>149</v>
      </c>
      <c r="S55" s="15" t="s">
        <v>43</v>
      </c>
      <c r="T55" s="15" t="s">
        <v>43</v>
      </c>
      <c r="U55" s="15" t="s">
        <v>43</v>
      </c>
      <c r="V55" s="15" t="s">
        <v>3</v>
      </c>
      <c r="W55" s="15" t="s">
        <v>146</v>
      </c>
      <c r="X55" s="15" t="s">
        <v>146</v>
      </c>
      <c r="Y55" s="15" t="s">
        <v>146</v>
      </c>
      <c r="Z55" s="15" t="s">
        <v>146</v>
      </c>
      <c r="AA55" s="15" t="s">
        <v>146</v>
      </c>
      <c r="AB55" s="15" t="s">
        <v>146</v>
      </c>
      <c r="AC55" s="15" t="s">
        <v>3</v>
      </c>
      <c r="AD55" s="15" t="s">
        <v>3</v>
      </c>
      <c r="AE55" s="15" t="s">
        <v>3</v>
      </c>
      <c r="AF55" s="15" t="s">
        <v>3</v>
      </c>
      <c r="AG55" s="15" t="s">
        <v>146</v>
      </c>
      <c r="AH55" s="15" t="s">
        <v>146</v>
      </c>
      <c r="AI55" s="15" t="s">
        <v>3</v>
      </c>
      <c r="AJ55" s="15" t="s">
        <v>146</v>
      </c>
      <c r="AK55" s="15" t="s">
        <v>3</v>
      </c>
      <c r="AL55" s="15" t="s">
        <v>3</v>
      </c>
      <c r="AM55" s="15" t="s">
        <v>3</v>
      </c>
      <c r="AN55" s="15" t="s">
        <v>3</v>
      </c>
      <c r="AO55" s="15" t="s">
        <v>3</v>
      </c>
      <c r="AP55" s="15" t="s">
        <v>3</v>
      </c>
      <c r="AQ55" s="15" t="s">
        <v>43</v>
      </c>
      <c r="AR55" s="15" t="s">
        <v>43</v>
      </c>
      <c r="AS55" s="15" t="s">
        <v>43</v>
      </c>
      <c r="AT55" s="15" t="s">
        <v>43</v>
      </c>
      <c r="AU55" s="15" t="s">
        <v>43</v>
      </c>
      <c r="AV55" s="15" t="s">
        <v>97</v>
      </c>
      <c r="AW55" s="15" t="s">
        <v>97</v>
      </c>
      <c r="AX55" s="15" t="s">
        <v>97</v>
      </c>
      <c r="AY55" s="15" t="s">
        <v>97</v>
      </c>
      <c r="AZ55" s="15" t="s">
        <v>150</v>
      </c>
      <c r="BA55" s="15" t="s">
        <v>97</v>
      </c>
      <c r="BB55" s="15" t="s">
        <v>97</v>
      </c>
      <c r="BC55" s="15" t="s">
        <v>97</v>
      </c>
      <c r="BD55" s="15" t="s">
        <v>97</v>
      </c>
      <c r="BE55" s="15" t="s">
        <v>44</v>
      </c>
      <c r="BF55" s="15" t="s">
        <v>44</v>
      </c>
      <c r="BG55" s="15" t="s">
        <v>150</v>
      </c>
      <c r="BH55" s="15" t="s">
        <v>150</v>
      </c>
      <c r="BI55" s="15" t="s">
        <v>150</v>
      </c>
      <c r="BJ55" s="15" t="s">
        <v>150</v>
      </c>
      <c r="BK55" s="15" t="s">
        <v>150</v>
      </c>
      <c r="BL55" s="15" t="s">
        <v>150</v>
      </c>
      <c r="BM55" s="15" t="s">
        <v>44</v>
      </c>
      <c r="BN55" s="15" t="s">
        <v>44</v>
      </c>
      <c r="BO55" s="15" t="s">
        <v>44</v>
      </c>
      <c r="BP55" s="15" t="s">
        <v>44</v>
      </c>
      <c r="BQ55" s="15" t="s">
        <v>97</v>
      </c>
      <c r="BR55" s="15" t="s">
        <v>97</v>
      </c>
      <c r="BS55" s="15" t="s">
        <v>97</v>
      </c>
      <c r="BT55" s="15" t="s">
        <v>97</v>
      </c>
      <c r="BU55" s="15" t="s">
        <v>97</v>
      </c>
      <c r="BV55" s="15" t="s">
        <v>97</v>
      </c>
      <c r="BW55" s="15" t="s">
        <v>97</v>
      </c>
      <c r="BX55" s="15" t="s">
        <v>44</v>
      </c>
      <c r="BY55" s="15" t="s">
        <v>97</v>
      </c>
      <c r="BZ55" s="15" t="s">
        <v>97</v>
      </c>
      <c r="CA55" s="15" t="s">
        <v>97</v>
      </c>
      <c r="CB55" s="15" t="s">
        <v>97</v>
      </c>
      <c r="CC55" s="15" t="s">
        <v>97</v>
      </c>
      <c r="CD55" s="15" t="s">
        <v>97</v>
      </c>
      <c r="CE55" s="15" t="s">
        <v>97</v>
      </c>
      <c r="CF55" s="15" t="s">
        <v>97</v>
      </c>
      <c r="CG55" s="15" t="s">
        <v>44</v>
      </c>
      <c r="CH55" s="15" t="s">
        <v>44</v>
      </c>
      <c r="CI55" s="15" t="s">
        <v>44</v>
      </c>
      <c r="CJ55" s="15" t="s">
        <v>44</v>
      </c>
      <c r="CK55" s="15" t="s">
        <v>97</v>
      </c>
      <c r="CL55" s="15" t="s">
        <v>97</v>
      </c>
      <c r="CM55" s="15" t="s">
        <v>97</v>
      </c>
      <c r="CN55" s="15" t="s">
        <v>97</v>
      </c>
      <c r="CO55" s="15" t="s">
        <v>97</v>
      </c>
      <c r="CP55" s="15" t="s">
        <v>97</v>
      </c>
      <c r="CQ55" s="15" t="s">
        <v>97</v>
      </c>
      <c r="CR55" s="15" t="s">
        <v>97</v>
      </c>
      <c r="CS55" s="15" t="s">
        <v>97</v>
      </c>
      <c r="CT55" s="15" t="s">
        <v>97</v>
      </c>
      <c r="CU55" s="15" t="s">
        <v>97</v>
      </c>
      <c r="CV55" s="15" t="s">
        <v>97</v>
      </c>
      <c r="CW55" s="15" t="s">
        <v>43</v>
      </c>
      <c r="CX55" s="15" t="s">
        <v>43</v>
      </c>
      <c r="CY55" s="15" t="s">
        <v>43</v>
      </c>
      <c r="CZ55" s="15" t="s">
        <v>43</v>
      </c>
      <c r="DA55" s="15" t="s">
        <v>146</v>
      </c>
      <c r="DB55" s="15" t="s">
        <v>146</v>
      </c>
      <c r="DC55" s="15" t="s">
        <v>146</v>
      </c>
      <c r="DD55" s="15" t="s">
        <v>146</v>
      </c>
      <c r="DE55" s="15" t="s">
        <v>146</v>
      </c>
    </row>
    <row r="56" spans="1:109" x14ac:dyDescent="0.3">
      <c r="A56" s="15" t="s">
        <v>150</v>
      </c>
      <c r="B56" s="15" t="s">
        <v>150</v>
      </c>
      <c r="C56" s="15" t="s">
        <v>150</v>
      </c>
      <c r="D56" s="15" t="s">
        <v>150</v>
      </c>
      <c r="E56" s="15" t="s">
        <v>149</v>
      </c>
      <c r="F56" s="15" t="s">
        <v>149</v>
      </c>
      <c r="G56" s="15" t="s">
        <v>149</v>
      </c>
      <c r="H56" s="15" t="s">
        <v>149</v>
      </c>
      <c r="I56" s="15" t="s">
        <v>3</v>
      </c>
      <c r="J56" s="15" t="s">
        <v>3</v>
      </c>
      <c r="K56" s="15" t="s">
        <v>3</v>
      </c>
      <c r="L56" s="15" t="s">
        <v>3</v>
      </c>
      <c r="M56" s="15" t="s">
        <v>150</v>
      </c>
      <c r="N56" s="15" t="s">
        <v>150</v>
      </c>
      <c r="O56" s="15" t="s">
        <v>150</v>
      </c>
      <c r="P56" s="15" t="s">
        <v>150</v>
      </c>
      <c r="Q56" s="15" t="s">
        <v>150</v>
      </c>
      <c r="R56" s="15" t="s">
        <v>150</v>
      </c>
      <c r="S56" s="15" t="s">
        <v>149</v>
      </c>
      <c r="T56" s="15" t="s">
        <v>149</v>
      </c>
      <c r="U56" s="15" t="s">
        <v>149</v>
      </c>
      <c r="V56" s="15" t="s">
        <v>43</v>
      </c>
      <c r="W56" s="15" t="s">
        <v>3</v>
      </c>
      <c r="X56" s="15" t="s">
        <v>3</v>
      </c>
      <c r="Y56" s="15" t="s">
        <v>3</v>
      </c>
      <c r="Z56" s="15" t="s">
        <v>3</v>
      </c>
      <c r="AA56" s="15" t="s">
        <v>3</v>
      </c>
      <c r="AB56" s="15" t="s">
        <v>3</v>
      </c>
      <c r="AC56" s="15" t="s">
        <v>43</v>
      </c>
      <c r="AD56" s="15" t="s">
        <v>43</v>
      </c>
      <c r="AE56" s="15" t="s">
        <v>43</v>
      </c>
      <c r="AF56" s="15" t="s">
        <v>43</v>
      </c>
      <c r="AG56" s="15" t="s">
        <v>3</v>
      </c>
      <c r="AH56" s="15" t="s">
        <v>3</v>
      </c>
      <c r="AI56" s="15" t="s">
        <v>43</v>
      </c>
      <c r="AJ56" s="15" t="s">
        <v>3</v>
      </c>
      <c r="AK56" s="15" t="s">
        <v>43</v>
      </c>
      <c r="AL56" s="15" t="s">
        <v>43</v>
      </c>
      <c r="AM56" s="15" t="s">
        <v>43</v>
      </c>
      <c r="AN56" s="15" t="s">
        <v>43</v>
      </c>
      <c r="AO56" s="15" t="s">
        <v>43</v>
      </c>
      <c r="AP56" s="15" t="s">
        <v>43</v>
      </c>
      <c r="AQ56" s="15" t="s">
        <v>97</v>
      </c>
      <c r="AR56" s="15" t="s">
        <v>97</v>
      </c>
      <c r="AS56" s="15" t="s">
        <v>97</v>
      </c>
      <c r="AT56" s="15" t="s">
        <v>97</v>
      </c>
      <c r="AU56" s="15" t="s">
        <v>97</v>
      </c>
      <c r="AV56" s="15" t="s">
        <v>150</v>
      </c>
      <c r="AW56" s="15" t="s">
        <v>150</v>
      </c>
      <c r="AX56" s="15" t="s">
        <v>150</v>
      </c>
      <c r="AY56" s="15" t="s">
        <v>150</v>
      </c>
      <c r="AZ56" s="15" t="s">
        <v>46</v>
      </c>
      <c r="BA56" s="15" t="s">
        <v>44</v>
      </c>
      <c r="BB56" s="15" t="s">
        <v>44</v>
      </c>
      <c r="BC56" s="15" t="s">
        <v>44</v>
      </c>
      <c r="BD56" s="15" t="s">
        <v>44</v>
      </c>
      <c r="BE56" s="15" t="s">
        <v>150</v>
      </c>
      <c r="BF56" s="15" t="s">
        <v>150</v>
      </c>
      <c r="BG56" s="15" t="s">
        <v>46</v>
      </c>
      <c r="BH56" s="15" t="s">
        <v>46</v>
      </c>
      <c r="BI56" s="15" t="s">
        <v>46</v>
      </c>
      <c r="BJ56" s="15" t="s">
        <v>46</v>
      </c>
      <c r="BK56" s="15" t="s">
        <v>46</v>
      </c>
      <c r="BL56" s="15" t="s">
        <v>46</v>
      </c>
      <c r="BM56" s="15" t="s">
        <v>150</v>
      </c>
      <c r="BN56" s="15" t="s">
        <v>150</v>
      </c>
      <c r="BO56" s="15" t="s">
        <v>150</v>
      </c>
      <c r="BP56" s="15" t="s">
        <v>150</v>
      </c>
      <c r="BQ56" s="15" t="s">
        <v>44</v>
      </c>
      <c r="BR56" s="15" t="s">
        <v>44</v>
      </c>
      <c r="BS56" s="15" t="s">
        <v>44</v>
      </c>
      <c r="BT56" s="15" t="s">
        <v>44</v>
      </c>
      <c r="BU56" s="15" t="s">
        <v>44</v>
      </c>
      <c r="BV56" s="15" t="s">
        <v>44</v>
      </c>
      <c r="BW56" s="15" t="s">
        <v>44</v>
      </c>
      <c r="BX56" s="15" t="s">
        <v>150</v>
      </c>
      <c r="BY56" s="15" t="s">
        <v>44</v>
      </c>
      <c r="BZ56" s="15" t="s">
        <v>44</v>
      </c>
      <c r="CA56" s="15" t="s">
        <v>44</v>
      </c>
      <c r="CB56" s="15" t="s">
        <v>44</v>
      </c>
      <c r="CC56" s="15" t="s">
        <v>44</v>
      </c>
      <c r="CD56" s="15" t="s">
        <v>44</v>
      </c>
      <c r="CE56" s="15" t="s">
        <v>44</v>
      </c>
      <c r="CF56" s="15" t="s">
        <v>44</v>
      </c>
      <c r="CG56" s="15" t="s">
        <v>150</v>
      </c>
      <c r="CH56" s="15" t="s">
        <v>150</v>
      </c>
      <c r="CI56" s="15" t="s">
        <v>150</v>
      </c>
      <c r="CJ56" s="15" t="s">
        <v>150</v>
      </c>
      <c r="CK56" s="15" t="s">
        <v>44</v>
      </c>
      <c r="CL56" s="15" t="s">
        <v>44</v>
      </c>
      <c r="CM56" s="15" t="s">
        <v>44</v>
      </c>
      <c r="CN56" s="15" t="s">
        <v>44</v>
      </c>
      <c r="CO56" s="15" t="s">
        <v>44</v>
      </c>
      <c r="CP56" s="15" t="s">
        <v>44</v>
      </c>
      <c r="CQ56" s="15" t="s">
        <v>44</v>
      </c>
      <c r="CR56" s="15" t="s">
        <v>44</v>
      </c>
      <c r="CS56" s="15" t="s">
        <v>150</v>
      </c>
      <c r="CT56" s="15" t="s">
        <v>150</v>
      </c>
      <c r="CU56" s="15" t="s">
        <v>150</v>
      </c>
      <c r="CV56" s="15" t="s">
        <v>150</v>
      </c>
      <c r="CW56" s="15" t="s">
        <v>97</v>
      </c>
      <c r="CX56" s="15" t="s">
        <v>97</v>
      </c>
      <c r="CY56" s="15" t="s">
        <v>97</v>
      </c>
      <c r="CZ56" s="15" t="s">
        <v>97</v>
      </c>
      <c r="DA56" s="15" t="s">
        <v>3</v>
      </c>
      <c r="DB56" s="15" t="s">
        <v>3</v>
      </c>
      <c r="DC56" s="15" t="s">
        <v>3</v>
      </c>
      <c r="DD56" s="15" t="s">
        <v>3</v>
      </c>
      <c r="DE56" s="15" t="s">
        <v>3</v>
      </c>
    </row>
    <row r="57" spans="1:109" x14ac:dyDescent="0.3">
      <c r="A57" s="15" t="s">
        <v>46</v>
      </c>
      <c r="B57" s="15" t="s">
        <v>46</v>
      </c>
      <c r="C57" s="15" t="s">
        <v>46</v>
      </c>
      <c r="D57" s="15" t="s">
        <v>46</v>
      </c>
      <c r="E57" s="15" t="s">
        <v>150</v>
      </c>
      <c r="F57" s="15" t="s">
        <v>150</v>
      </c>
      <c r="G57" s="15" t="s">
        <v>150</v>
      </c>
      <c r="H57" s="15" t="s">
        <v>150</v>
      </c>
      <c r="I57" s="15" t="s">
        <v>43</v>
      </c>
      <c r="J57" s="15" t="s">
        <v>43</v>
      </c>
      <c r="K57" s="15" t="s">
        <v>43</v>
      </c>
      <c r="L57" s="15" t="s">
        <v>43</v>
      </c>
      <c r="M57" s="15" t="s">
        <v>46</v>
      </c>
      <c r="N57" s="15" t="s">
        <v>46</v>
      </c>
      <c r="O57" s="15" t="s">
        <v>46</v>
      </c>
      <c r="P57" s="15" t="s">
        <v>46</v>
      </c>
      <c r="Q57" s="15" t="s">
        <v>46</v>
      </c>
      <c r="R57" s="15" t="s">
        <v>46</v>
      </c>
      <c r="S57" s="15" t="s">
        <v>150</v>
      </c>
      <c r="T57" s="15" t="s">
        <v>150</v>
      </c>
      <c r="U57" s="15" t="s">
        <v>150</v>
      </c>
      <c r="V57" s="15" t="s">
        <v>149</v>
      </c>
      <c r="W57" s="15" t="s">
        <v>43</v>
      </c>
      <c r="X57" s="15" t="s">
        <v>43</v>
      </c>
      <c r="Y57" s="15" t="s">
        <v>43</v>
      </c>
      <c r="Z57" s="15" t="s">
        <v>43</v>
      </c>
      <c r="AA57" s="15" t="s">
        <v>43</v>
      </c>
      <c r="AB57" s="15" t="s">
        <v>43</v>
      </c>
      <c r="AC57" s="15" t="s">
        <v>149</v>
      </c>
      <c r="AD57" s="15" t="s">
        <v>149</v>
      </c>
      <c r="AE57" s="15" t="s">
        <v>149</v>
      </c>
      <c r="AF57" s="15" t="s">
        <v>149</v>
      </c>
      <c r="AG57" s="15" t="s">
        <v>43</v>
      </c>
      <c r="AH57" s="15" t="s">
        <v>43</v>
      </c>
      <c r="AI57" s="15" t="s">
        <v>149</v>
      </c>
      <c r="AJ57" s="15" t="s">
        <v>43</v>
      </c>
      <c r="AK57" s="15" t="s">
        <v>149</v>
      </c>
      <c r="AL57" s="15" t="s">
        <v>97</v>
      </c>
      <c r="AM57" s="15" t="s">
        <v>97</v>
      </c>
      <c r="AN57" s="15" t="s">
        <v>97</v>
      </c>
      <c r="AO57" s="15" t="s">
        <v>97</v>
      </c>
      <c r="AP57" s="15" t="s">
        <v>97</v>
      </c>
      <c r="AQ57" s="15" t="s">
        <v>150</v>
      </c>
      <c r="AR57" s="15" t="s">
        <v>150</v>
      </c>
      <c r="AS57" s="15" t="s">
        <v>150</v>
      </c>
      <c r="AT57" s="15" t="s">
        <v>150</v>
      </c>
      <c r="AU57" s="15" t="s">
        <v>150</v>
      </c>
      <c r="AV57" s="15" t="s">
        <v>46</v>
      </c>
      <c r="AW57" s="15" t="s">
        <v>46</v>
      </c>
      <c r="AX57" s="15" t="s">
        <v>46</v>
      </c>
      <c r="AY57" s="15" t="s">
        <v>46</v>
      </c>
      <c r="AZ57" s="15" t="s">
        <v>47</v>
      </c>
      <c r="BA57" s="15" t="s">
        <v>150</v>
      </c>
      <c r="BB57" s="15" t="s">
        <v>150</v>
      </c>
      <c r="BC57" s="15" t="s">
        <v>150</v>
      </c>
      <c r="BD57" s="15" t="s">
        <v>150</v>
      </c>
      <c r="BE57" s="15" t="s">
        <v>46</v>
      </c>
      <c r="BF57" s="15" t="s">
        <v>46</v>
      </c>
      <c r="BG57" s="15" t="s">
        <v>47</v>
      </c>
      <c r="BH57" s="15" t="s">
        <v>47</v>
      </c>
      <c r="BI57" s="15" t="s">
        <v>152</v>
      </c>
      <c r="BJ57" s="15" t="s">
        <v>152</v>
      </c>
      <c r="BK57" s="15" t="s">
        <v>152</v>
      </c>
      <c r="BL57" s="15" t="s">
        <v>152</v>
      </c>
      <c r="BM57" s="15" t="s">
        <v>46</v>
      </c>
      <c r="BN57" s="15" t="s">
        <v>46</v>
      </c>
      <c r="BO57" s="15" t="s">
        <v>46</v>
      </c>
      <c r="BP57" s="15" t="s">
        <v>46</v>
      </c>
      <c r="BQ57" s="15" t="s">
        <v>150</v>
      </c>
      <c r="BR57" s="15" t="s">
        <v>150</v>
      </c>
      <c r="BS57" s="15" t="s">
        <v>150</v>
      </c>
      <c r="BT57" s="15" t="s">
        <v>150</v>
      </c>
      <c r="BU57" s="15" t="s">
        <v>150</v>
      </c>
      <c r="BV57" s="15" t="s">
        <v>150</v>
      </c>
      <c r="BW57" s="15" t="s">
        <v>150</v>
      </c>
      <c r="BX57" s="15" t="s">
        <v>151</v>
      </c>
      <c r="BY57" s="15" t="s">
        <v>150</v>
      </c>
      <c r="BZ57" s="15" t="s">
        <v>150</v>
      </c>
      <c r="CA57" s="15" t="s">
        <v>150</v>
      </c>
      <c r="CB57" s="15" t="s">
        <v>150</v>
      </c>
      <c r="CC57" s="15" t="s">
        <v>150</v>
      </c>
      <c r="CD57" s="15" t="s">
        <v>150</v>
      </c>
      <c r="CE57" s="15" t="s">
        <v>150</v>
      </c>
      <c r="CF57" s="15" t="s">
        <v>150</v>
      </c>
      <c r="CG57" s="15" t="s">
        <v>46</v>
      </c>
      <c r="CH57" s="15" t="s">
        <v>46</v>
      </c>
      <c r="CI57" s="15" t="s">
        <v>46</v>
      </c>
      <c r="CJ57" s="15" t="s">
        <v>46</v>
      </c>
      <c r="CK57" s="15" t="s">
        <v>150</v>
      </c>
      <c r="CL57" s="15" t="s">
        <v>150</v>
      </c>
      <c r="CM57" s="15" t="s">
        <v>150</v>
      </c>
      <c r="CN57" s="15" t="s">
        <v>150</v>
      </c>
      <c r="CO57" s="15" t="s">
        <v>150</v>
      </c>
      <c r="CP57" s="15" t="s">
        <v>150</v>
      </c>
      <c r="CQ57" s="15" t="s">
        <v>150</v>
      </c>
      <c r="CR57" s="15" t="s">
        <v>150</v>
      </c>
      <c r="CS57" s="15" t="s">
        <v>46</v>
      </c>
      <c r="CT57" s="15" t="s">
        <v>46</v>
      </c>
      <c r="CU57" s="15" t="s">
        <v>46</v>
      </c>
      <c r="CV57" s="15" t="s">
        <v>46</v>
      </c>
      <c r="CW57" s="15" t="s">
        <v>150</v>
      </c>
      <c r="CX57" s="15" t="s">
        <v>150</v>
      </c>
      <c r="CY57" s="15" t="s">
        <v>150</v>
      </c>
      <c r="CZ57" s="15" t="s">
        <v>150</v>
      </c>
      <c r="DA57" s="15" t="s">
        <v>43</v>
      </c>
      <c r="DB57" s="15" t="s">
        <v>43</v>
      </c>
      <c r="DC57" s="15" t="s">
        <v>43</v>
      </c>
      <c r="DD57" s="15" t="s">
        <v>43</v>
      </c>
      <c r="DE57" s="15" t="s">
        <v>43</v>
      </c>
    </row>
    <row r="58" spans="1:109" x14ac:dyDescent="0.3">
      <c r="A58" s="15" t="s">
        <v>47</v>
      </c>
      <c r="B58" s="15" t="s">
        <v>47</v>
      </c>
      <c r="C58" s="15" t="s">
        <v>47</v>
      </c>
      <c r="D58" s="15" t="s">
        <v>47</v>
      </c>
      <c r="E58" s="15" t="s">
        <v>46</v>
      </c>
      <c r="F58" s="15" t="s">
        <v>46</v>
      </c>
      <c r="G58" s="15" t="s">
        <v>46</v>
      </c>
      <c r="H58" s="15" t="s">
        <v>46</v>
      </c>
      <c r="I58" s="15" t="s">
        <v>149</v>
      </c>
      <c r="J58" s="15" t="s">
        <v>149</v>
      </c>
      <c r="K58" s="15" t="s">
        <v>149</v>
      </c>
      <c r="L58" s="15" t="s">
        <v>149</v>
      </c>
      <c r="M58" s="15" t="s">
        <v>47</v>
      </c>
      <c r="N58" s="15" t="s">
        <v>47</v>
      </c>
      <c r="O58" s="15" t="s">
        <v>47</v>
      </c>
      <c r="P58" s="15" t="s">
        <v>47</v>
      </c>
      <c r="Q58" s="15" t="s">
        <v>47</v>
      </c>
      <c r="R58" s="15" t="s">
        <v>47</v>
      </c>
      <c r="S58" s="15" t="s">
        <v>46</v>
      </c>
      <c r="T58" s="15" t="s">
        <v>46</v>
      </c>
      <c r="U58" s="15" t="s">
        <v>46</v>
      </c>
      <c r="V58" s="15" t="s">
        <v>150</v>
      </c>
      <c r="W58" s="15" t="s">
        <v>149</v>
      </c>
      <c r="X58" s="15" t="s">
        <v>149</v>
      </c>
      <c r="Y58" s="15" t="s">
        <v>149</v>
      </c>
      <c r="Z58" s="15" t="s">
        <v>149</v>
      </c>
      <c r="AA58" s="15" t="s">
        <v>149</v>
      </c>
      <c r="AB58" s="15" t="s">
        <v>149</v>
      </c>
      <c r="AC58" s="15" t="s">
        <v>150</v>
      </c>
      <c r="AD58" s="15" t="s">
        <v>150</v>
      </c>
      <c r="AE58" s="15" t="s">
        <v>150</v>
      </c>
      <c r="AF58" s="15" t="s">
        <v>150</v>
      </c>
      <c r="AG58" s="15" t="s">
        <v>149</v>
      </c>
      <c r="AH58" s="15" t="s">
        <v>149</v>
      </c>
      <c r="AI58" s="15" t="s">
        <v>150</v>
      </c>
      <c r="AJ58" s="15" t="s">
        <v>149</v>
      </c>
      <c r="AK58" s="15" t="s">
        <v>150</v>
      </c>
      <c r="AL58" s="15" t="s">
        <v>149</v>
      </c>
      <c r="AM58" s="15" t="s">
        <v>149</v>
      </c>
      <c r="AN58" s="15" t="s">
        <v>149</v>
      </c>
      <c r="AO58" s="15" t="s">
        <v>150</v>
      </c>
      <c r="AP58" s="15" t="s">
        <v>150</v>
      </c>
      <c r="AQ58" s="15" t="s">
        <v>46</v>
      </c>
      <c r="AR58" s="15" t="s">
        <v>46</v>
      </c>
      <c r="AS58" s="15" t="s">
        <v>46</v>
      </c>
      <c r="AT58" s="15" t="s">
        <v>46</v>
      </c>
      <c r="AU58" s="15" t="s">
        <v>46</v>
      </c>
      <c r="AV58" s="15" t="s">
        <v>47</v>
      </c>
      <c r="AW58" s="15" t="s">
        <v>47</v>
      </c>
      <c r="AX58" s="15" t="s">
        <v>47</v>
      </c>
      <c r="AY58" s="15" t="s">
        <v>47</v>
      </c>
      <c r="AZ58" s="15" t="s">
        <v>48</v>
      </c>
      <c r="BA58" s="15" t="s">
        <v>46</v>
      </c>
      <c r="BB58" s="15" t="s">
        <v>46</v>
      </c>
      <c r="BC58" s="15" t="s">
        <v>46</v>
      </c>
      <c r="BD58" s="15" t="s">
        <v>46</v>
      </c>
      <c r="BE58" s="15" t="s">
        <v>47</v>
      </c>
      <c r="BF58" s="15" t="s">
        <v>47</v>
      </c>
      <c r="BG58" s="15" t="s">
        <v>48</v>
      </c>
      <c r="BH58" s="15" t="s">
        <v>48</v>
      </c>
      <c r="BI58" s="15" t="s">
        <v>47</v>
      </c>
      <c r="BJ58" s="15" t="s">
        <v>47</v>
      </c>
      <c r="BK58" s="15" t="s">
        <v>47</v>
      </c>
      <c r="BL58" s="15" t="s">
        <v>47</v>
      </c>
      <c r="BM58" s="15" t="s">
        <v>152</v>
      </c>
      <c r="BN58" s="15" t="s">
        <v>152</v>
      </c>
      <c r="BO58" s="15" t="s">
        <v>152</v>
      </c>
      <c r="BP58" s="15" t="s">
        <v>152</v>
      </c>
      <c r="BQ58" s="15" t="s">
        <v>151</v>
      </c>
      <c r="BR58" s="15" t="s">
        <v>151</v>
      </c>
      <c r="BS58" s="15" t="s">
        <v>151</v>
      </c>
      <c r="BT58" s="15" t="s">
        <v>151</v>
      </c>
      <c r="BU58" s="15" t="s">
        <v>151</v>
      </c>
      <c r="BV58" s="15" t="s">
        <v>151</v>
      </c>
      <c r="BW58" s="15" t="s">
        <v>151</v>
      </c>
      <c r="BX58" s="15" t="s">
        <v>46</v>
      </c>
      <c r="BY58" s="15" t="s">
        <v>46</v>
      </c>
      <c r="BZ58" s="15" t="s">
        <v>46</v>
      </c>
      <c r="CA58" s="15" t="s">
        <v>46</v>
      </c>
      <c r="CB58" s="15" t="s">
        <v>46</v>
      </c>
      <c r="CC58" s="15" t="s">
        <v>46</v>
      </c>
      <c r="CD58" s="15" t="s">
        <v>46</v>
      </c>
      <c r="CE58" s="15" t="s">
        <v>46</v>
      </c>
      <c r="CF58" s="15" t="s">
        <v>46</v>
      </c>
      <c r="CG58" s="15" t="s">
        <v>152</v>
      </c>
      <c r="CH58" s="15" t="s">
        <v>152</v>
      </c>
      <c r="CI58" s="15" t="s">
        <v>152</v>
      </c>
      <c r="CJ58" s="15" t="s">
        <v>152</v>
      </c>
      <c r="CK58" s="15" t="s">
        <v>46</v>
      </c>
      <c r="CL58" s="15" t="s">
        <v>46</v>
      </c>
      <c r="CM58" s="15" t="s">
        <v>46</v>
      </c>
      <c r="CN58" s="15" t="s">
        <v>46</v>
      </c>
      <c r="CO58" s="15" t="s">
        <v>46</v>
      </c>
      <c r="CP58" s="15" t="s">
        <v>46</v>
      </c>
      <c r="CQ58" s="15" t="s">
        <v>46</v>
      </c>
      <c r="CR58" s="15" t="s">
        <v>46</v>
      </c>
      <c r="CS58" s="15" t="s">
        <v>152</v>
      </c>
      <c r="CT58" s="15" t="s">
        <v>152</v>
      </c>
      <c r="CU58" s="15" t="s">
        <v>152</v>
      </c>
      <c r="CV58" s="15" t="s">
        <v>152</v>
      </c>
      <c r="CW58" s="15" t="s">
        <v>46</v>
      </c>
      <c r="CX58" s="15" t="s">
        <v>46</v>
      </c>
      <c r="CY58" s="15" t="s">
        <v>46</v>
      </c>
      <c r="CZ58" s="15" t="s">
        <v>46</v>
      </c>
      <c r="DA58" s="15" t="s">
        <v>97</v>
      </c>
      <c r="DB58" s="15" t="s">
        <v>97</v>
      </c>
      <c r="DC58" s="15" t="s">
        <v>97</v>
      </c>
      <c r="DD58" s="15" t="s">
        <v>97</v>
      </c>
      <c r="DE58" s="15" t="s">
        <v>97</v>
      </c>
    </row>
    <row r="59" spans="1:109" x14ac:dyDescent="0.3">
      <c r="A59" s="15" t="s">
        <v>154</v>
      </c>
      <c r="B59" s="15" t="s">
        <v>154</v>
      </c>
      <c r="C59" s="15" t="s">
        <v>154</v>
      </c>
      <c r="D59" s="15" t="s">
        <v>154</v>
      </c>
      <c r="E59" s="15" t="s">
        <v>47</v>
      </c>
      <c r="F59" s="15" t="s">
        <v>47</v>
      </c>
      <c r="G59" s="15" t="s">
        <v>47</v>
      </c>
      <c r="H59" s="15" t="s">
        <v>47</v>
      </c>
      <c r="I59" s="15" t="s">
        <v>150</v>
      </c>
      <c r="J59" s="15" t="s">
        <v>150</v>
      </c>
      <c r="K59" s="15" t="s">
        <v>150</v>
      </c>
      <c r="L59" s="15" t="s">
        <v>150</v>
      </c>
      <c r="M59" s="15" t="s">
        <v>156</v>
      </c>
      <c r="N59" s="15" t="s">
        <v>156</v>
      </c>
      <c r="O59" s="15" t="s">
        <v>156</v>
      </c>
      <c r="P59" s="15" t="s">
        <v>156</v>
      </c>
      <c r="Q59" s="15" t="s">
        <v>49</v>
      </c>
      <c r="R59" s="15" t="s">
        <v>49</v>
      </c>
      <c r="S59" s="15" t="s">
        <v>47</v>
      </c>
      <c r="T59" s="15" t="s">
        <v>47</v>
      </c>
      <c r="U59" s="15" t="s">
        <v>47</v>
      </c>
      <c r="V59" s="15" t="s">
        <v>46</v>
      </c>
      <c r="W59" s="15" t="s">
        <v>150</v>
      </c>
      <c r="X59" s="15" t="s">
        <v>150</v>
      </c>
      <c r="Y59" s="15" t="s">
        <v>150</v>
      </c>
      <c r="Z59" s="15" t="s">
        <v>150</v>
      </c>
      <c r="AA59" s="15" t="s">
        <v>150</v>
      </c>
      <c r="AB59" s="15" t="s">
        <v>150</v>
      </c>
      <c r="AC59" s="15" t="s">
        <v>46</v>
      </c>
      <c r="AD59" s="15" t="s">
        <v>46</v>
      </c>
      <c r="AE59" s="15" t="s">
        <v>46</v>
      </c>
      <c r="AF59" s="15" t="s">
        <v>46</v>
      </c>
      <c r="AG59" s="15" t="s">
        <v>150</v>
      </c>
      <c r="AH59" s="15" t="s">
        <v>150</v>
      </c>
      <c r="AI59" s="15" t="s">
        <v>46</v>
      </c>
      <c r="AJ59" s="15" t="s">
        <v>150</v>
      </c>
      <c r="AK59" s="15" t="s">
        <v>46</v>
      </c>
      <c r="AL59" s="15" t="s">
        <v>150</v>
      </c>
      <c r="AM59" s="15" t="s">
        <v>150</v>
      </c>
      <c r="AN59" s="15" t="s">
        <v>150</v>
      </c>
      <c r="AO59" s="15" t="s">
        <v>46</v>
      </c>
      <c r="AP59" s="15" t="s">
        <v>46</v>
      </c>
      <c r="AQ59" s="15" t="s">
        <v>47</v>
      </c>
      <c r="AR59" s="15" t="s">
        <v>47</v>
      </c>
      <c r="AS59" s="15" t="s">
        <v>47</v>
      </c>
      <c r="AT59" s="15" t="s">
        <v>47</v>
      </c>
      <c r="AU59" s="15" t="s">
        <v>47</v>
      </c>
      <c r="AV59" s="15" t="s">
        <v>48</v>
      </c>
      <c r="AW59" s="15" t="s">
        <v>48</v>
      </c>
      <c r="AX59" s="15" t="s">
        <v>48</v>
      </c>
      <c r="AY59" s="15" t="s">
        <v>48</v>
      </c>
      <c r="AZ59" s="15" t="s">
        <v>49</v>
      </c>
      <c r="BA59" s="15" t="s">
        <v>47</v>
      </c>
      <c r="BB59" s="15" t="s">
        <v>47</v>
      </c>
      <c r="BC59" s="15" t="s">
        <v>47</v>
      </c>
      <c r="BD59" s="15" t="s">
        <v>47</v>
      </c>
      <c r="BE59" s="15" t="s">
        <v>48</v>
      </c>
      <c r="BF59" s="15" t="s">
        <v>48</v>
      </c>
      <c r="BG59" s="15" t="s">
        <v>155</v>
      </c>
      <c r="BH59" s="15" t="s">
        <v>155</v>
      </c>
      <c r="BI59" s="15" t="s">
        <v>48</v>
      </c>
      <c r="BJ59" s="15" t="s">
        <v>48</v>
      </c>
      <c r="BK59" s="15" t="s">
        <v>48</v>
      </c>
      <c r="BL59" s="15" t="s">
        <v>48</v>
      </c>
      <c r="BM59" s="15" t="s">
        <v>47</v>
      </c>
      <c r="BN59" s="15" t="s">
        <v>47</v>
      </c>
      <c r="BO59" s="15" t="s">
        <v>47</v>
      </c>
      <c r="BP59" s="15" t="s">
        <v>47</v>
      </c>
      <c r="BQ59" s="15" t="s">
        <v>46</v>
      </c>
      <c r="BR59" s="15" t="s">
        <v>46</v>
      </c>
      <c r="BS59" s="15" t="s">
        <v>46</v>
      </c>
      <c r="BT59" s="15" t="s">
        <v>46</v>
      </c>
      <c r="BU59" s="15" t="s">
        <v>46</v>
      </c>
      <c r="BV59" s="15" t="s">
        <v>46</v>
      </c>
      <c r="BW59" s="15" t="s">
        <v>46</v>
      </c>
      <c r="BX59" s="15" t="s">
        <v>47</v>
      </c>
      <c r="BY59" s="15" t="s">
        <v>47</v>
      </c>
      <c r="BZ59" s="15" t="s">
        <v>47</v>
      </c>
      <c r="CA59" s="15" t="s">
        <v>47</v>
      </c>
      <c r="CB59" s="15" t="s">
        <v>47</v>
      </c>
      <c r="CC59" s="15" t="s">
        <v>152</v>
      </c>
      <c r="CD59" s="15" t="s">
        <v>152</v>
      </c>
      <c r="CE59" s="15" t="s">
        <v>152</v>
      </c>
      <c r="CF59" s="15" t="s">
        <v>152</v>
      </c>
      <c r="CG59" s="15" t="s">
        <v>47</v>
      </c>
      <c r="CH59" s="15" t="s">
        <v>47</v>
      </c>
      <c r="CI59" s="15" t="s">
        <v>47</v>
      </c>
      <c r="CJ59" s="15" t="s">
        <v>47</v>
      </c>
      <c r="CK59" s="15" t="s">
        <v>152</v>
      </c>
      <c r="CL59" s="15" t="s">
        <v>152</v>
      </c>
      <c r="CM59" s="15" t="s">
        <v>152</v>
      </c>
      <c r="CN59" s="15" t="s">
        <v>152</v>
      </c>
      <c r="CO59" s="15" t="s">
        <v>152</v>
      </c>
      <c r="CP59" s="15" t="s">
        <v>152</v>
      </c>
      <c r="CQ59" s="15" t="s">
        <v>152</v>
      </c>
      <c r="CR59" s="15" t="s">
        <v>152</v>
      </c>
      <c r="CS59" s="15" t="s">
        <v>153</v>
      </c>
      <c r="CT59" s="15" t="s">
        <v>153</v>
      </c>
      <c r="CU59" s="15" t="s">
        <v>153</v>
      </c>
      <c r="CV59" s="15" t="s">
        <v>153</v>
      </c>
      <c r="CW59" s="15" t="s">
        <v>152</v>
      </c>
      <c r="CX59" s="15" t="s">
        <v>152</v>
      </c>
      <c r="CY59" s="15" t="s">
        <v>152</v>
      </c>
      <c r="CZ59" s="15" t="s">
        <v>152</v>
      </c>
      <c r="DA59" s="15" t="s">
        <v>150</v>
      </c>
      <c r="DB59" s="15" t="s">
        <v>150</v>
      </c>
      <c r="DC59" s="15" t="s">
        <v>150</v>
      </c>
      <c r="DD59" s="15" t="s">
        <v>150</v>
      </c>
      <c r="DE59" s="15" t="s">
        <v>150</v>
      </c>
    </row>
    <row r="60" spans="1:109" x14ac:dyDescent="0.3">
      <c r="A60" s="15" t="s">
        <v>156</v>
      </c>
      <c r="B60" s="15" t="s">
        <v>156</v>
      </c>
      <c r="C60" s="15" t="s">
        <v>156</v>
      </c>
      <c r="D60" s="15" t="s">
        <v>156</v>
      </c>
      <c r="E60" s="15" t="s">
        <v>156</v>
      </c>
      <c r="F60" s="15" t="s">
        <v>156</v>
      </c>
      <c r="G60" s="15" t="s">
        <v>156</v>
      </c>
      <c r="H60" s="15" t="s">
        <v>156</v>
      </c>
      <c r="I60" s="15" t="s">
        <v>46</v>
      </c>
      <c r="J60" s="15" t="s">
        <v>46</v>
      </c>
      <c r="K60" s="15" t="s">
        <v>46</v>
      </c>
      <c r="L60" s="15" t="s">
        <v>46</v>
      </c>
      <c r="M60" s="15" t="s">
        <v>81</v>
      </c>
      <c r="N60" s="15" t="s">
        <v>81</v>
      </c>
      <c r="O60" s="15" t="s">
        <v>81</v>
      </c>
      <c r="P60" s="15" t="s">
        <v>81</v>
      </c>
      <c r="Q60" s="15" t="s">
        <v>156</v>
      </c>
      <c r="R60" s="15" t="s">
        <v>156</v>
      </c>
      <c r="S60" s="15" t="s">
        <v>49</v>
      </c>
      <c r="T60" s="15" t="s">
        <v>49</v>
      </c>
      <c r="U60" s="15" t="s">
        <v>49</v>
      </c>
      <c r="V60" s="15" t="s">
        <v>47</v>
      </c>
      <c r="W60" s="15" t="s">
        <v>46</v>
      </c>
      <c r="X60" s="15" t="s">
        <v>46</v>
      </c>
      <c r="Y60" s="15" t="s">
        <v>46</v>
      </c>
      <c r="Z60" s="15" t="s">
        <v>46</v>
      </c>
      <c r="AA60" s="15" t="s">
        <v>46</v>
      </c>
      <c r="AB60" s="15" t="s">
        <v>46</v>
      </c>
      <c r="AC60" s="15" t="s">
        <v>47</v>
      </c>
      <c r="AD60" s="15" t="s">
        <v>47</v>
      </c>
      <c r="AE60" s="15" t="s">
        <v>47</v>
      </c>
      <c r="AF60" s="15" t="s">
        <v>47</v>
      </c>
      <c r="AG60" s="15" t="s">
        <v>46</v>
      </c>
      <c r="AH60" s="15" t="s">
        <v>46</v>
      </c>
      <c r="AI60" s="15" t="s">
        <v>47</v>
      </c>
      <c r="AJ60" s="15" t="s">
        <v>46</v>
      </c>
      <c r="AK60" s="15" t="s">
        <v>47</v>
      </c>
      <c r="AL60" s="15" t="s">
        <v>46</v>
      </c>
      <c r="AM60" s="15" t="s">
        <v>46</v>
      </c>
      <c r="AN60" s="15" t="s">
        <v>46</v>
      </c>
      <c r="AO60" s="15" t="s">
        <v>47</v>
      </c>
      <c r="AP60" s="15" t="s">
        <v>47</v>
      </c>
      <c r="AQ60" s="15" t="s">
        <v>48</v>
      </c>
      <c r="AR60" s="15" t="s">
        <v>48</v>
      </c>
      <c r="AS60" s="15" t="s">
        <v>48</v>
      </c>
      <c r="AT60" s="15" t="s">
        <v>48</v>
      </c>
      <c r="AU60" s="15" t="s">
        <v>48</v>
      </c>
      <c r="AV60" s="15" t="s">
        <v>49</v>
      </c>
      <c r="AW60" s="15" t="s">
        <v>49</v>
      </c>
      <c r="AX60" s="15" t="s">
        <v>49</v>
      </c>
      <c r="AY60" s="15" t="s">
        <v>49</v>
      </c>
      <c r="AZ60" s="15" t="s">
        <v>155</v>
      </c>
      <c r="BA60" s="15" t="s">
        <v>48</v>
      </c>
      <c r="BB60" s="15" t="s">
        <v>48</v>
      </c>
      <c r="BC60" s="15" t="s">
        <v>48</v>
      </c>
      <c r="BD60" s="15" t="s">
        <v>48</v>
      </c>
      <c r="BE60" s="15" t="s">
        <v>155</v>
      </c>
      <c r="BF60" s="15" t="s">
        <v>155</v>
      </c>
      <c r="BG60" s="15" t="s">
        <v>81</v>
      </c>
      <c r="BH60" s="15" t="s">
        <v>81</v>
      </c>
      <c r="BI60" s="15" t="s">
        <v>49</v>
      </c>
      <c r="BJ60" s="15" t="s">
        <v>49</v>
      </c>
      <c r="BK60" s="15" t="s">
        <v>49</v>
      </c>
      <c r="BL60" s="15" t="s">
        <v>49</v>
      </c>
      <c r="BM60" s="15" t="s">
        <v>48</v>
      </c>
      <c r="BN60" s="15" t="s">
        <v>48</v>
      </c>
      <c r="BO60" s="15" t="s">
        <v>48</v>
      </c>
      <c r="BP60" s="15" t="s">
        <v>48</v>
      </c>
      <c r="BQ60" s="15" t="s">
        <v>47</v>
      </c>
      <c r="BR60" s="15" t="s">
        <v>47</v>
      </c>
      <c r="BS60" s="15" t="s">
        <v>47</v>
      </c>
      <c r="BT60" s="15" t="s">
        <v>47</v>
      </c>
      <c r="BU60" s="15" t="s">
        <v>47</v>
      </c>
      <c r="BV60" s="15" t="s">
        <v>47</v>
      </c>
      <c r="BW60" s="15" t="s">
        <v>47</v>
      </c>
      <c r="BX60" s="15" t="s">
        <v>48</v>
      </c>
      <c r="BY60" s="15" t="s">
        <v>48</v>
      </c>
      <c r="BZ60" s="15" t="s">
        <v>48</v>
      </c>
      <c r="CA60" s="15" t="s">
        <v>48</v>
      </c>
      <c r="CB60" s="15" t="s">
        <v>48</v>
      </c>
      <c r="CC60" s="15" t="s">
        <v>47</v>
      </c>
      <c r="CD60" s="15" t="s">
        <v>47</v>
      </c>
      <c r="CE60" s="15" t="s">
        <v>47</v>
      </c>
      <c r="CF60" s="15" t="s">
        <v>47</v>
      </c>
      <c r="CG60" s="15" t="s">
        <v>48</v>
      </c>
      <c r="CH60" s="15" t="s">
        <v>48</v>
      </c>
      <c r="CI60" s="15" t="s">
        <v>48</v>
      </c>
      <c r="CJ60" s="15" t="s">
        <v>48</v>
      </c>
      <c r="CK60" s="15" t="s">
        <v>47</v>
      </c>
      <c r="CL60" s="15" t="s">
        <v>47</v>
      </c>
      <c r="CM60" s="15" t="s">
        <v>47</v>
      </c>
      <c r="CN60" s="15" t="s">
        <v>47</v>
      </c>
      <c r="CO60" s="15" t="s">
        <v>47</v>
      </c>
      <c r="CP60" s="15" t="s">
        <v>47</v>
      </c>
      <c r="CQ60" s="15" t="s">
        <v>47</v>
      </c>
      <c r="CR60" s="15" t="s">
        <v>47</v>
      </c>
      <c r="CS60" s="15" t="s">
        <v>47</v>
      </c>
      <c r="CT60" s="15" t="s">
        <v>47</v>
      </c>
      <c r="CU60" s="15" t="s">
        <v>47</v>
      </c>
      <c r="CV60" s="15" t="s">
        <v>47</v>
      </c>
      <c r="CW60" s="15" t="s">
        <v>47</v>
      </c>
      <c r="CX60" s="15" t="s">
        <v>47</v>
      </c>
      <c r="CY60" s="15" t="s">
        <v>47</v>
      </c>
      <c r="CZ60" s="15" t="s">
        <v>47</v>
      </c>
      <c r="DA60" s="15" t="s">
        <v>45</v>
      </c>
      <c r="DB60" s="15" t="s">
        <v>45</v>
      </c>
      <c r="DC60" s="15" t="s">
        <v>45</v>
      </c>
      <c r="DD60" s="15" t="s">
        <v>45</v>
      </c>
      <c r="DE60" s="15" t="s">
        <v>45</v>
      </c>
    </row>
    <row r="61" spans="1:109" x14ac:dyDescent="0.3">
      <c r="A61" s="15" t="s">
        <v>113</v>
      </c>
      <c r="B61" s="15" t="s">
        <v>113</v>
      </c>
      <c r="C61" s="15" t="s">
        <v>113</v>
      </c>
      <c r="D61" s="15" t="s">
        <v>113</v>
      </c>
      <c r="E61" s="15" t="s">
        <v>113</v>
      </c>
      <c r="F61" s="15" t="s">
        <v>113</v>
      </c>
      <c r="G61" s="15" t="s">
        <v>113</v>
      </c>
      <c r="H61" s="15" t="s">
        <v>113</v>
      </c>
      <c r="I61" s="15" t="s">
        <v>47</v>
      </c>
      <c r="J61" s="15" t="s">
        <v>47</v>
      </c>
      <c r="K61" s="15" t="s">
        <v>47</v>
      </c>
      <c r="L61" s="15" t="s">
        <v>47</v>
      </c>
      <c r="M61" s="15" t="s">
        <v>113</v>
      </c>
      <c r="N61" s="15" t="s">
        <v>113</v>
      </c>
      <c r="O61" s="15" t="s">
        <v>113</v>
      </c>
      <c r="P61" s="15" t="s">
        <v>113</v>
      </c>
      <c r="Q61" s="15" t="s">
        <v>81</v>
      </c>
      <c r="R61" s="15" t="s">
        <v>81</v>
      </c>
      <c r="S61" s="15" t="s">
        <v>156</v>
      </c>
      <c r="T61" s="15" t="s">
        <v>156</v>
      </c>
      <c r="U61" s="15" t="s">
        <v>156</v>
      </c>
      <c r="V61" s="15" t="s">
        <v>49</v>
      </c>
      <c r="W61" s="15" t="s">
        <v>47</v>
      </c>
      <c r="X61" s="15" t="s">
        <v>47</v>
      </c>
      <c r="Y61" s="15" t="s">
        <v>47</v>
      </c>
      <c r="Z61" s="15" t="s">
        <v>47</v>
      </c>
      <c r="AA61" s="15" t="s">
        <v>47</v>
      </c>
      <c r="AB61" s="15" t="s">
        <v>47</v>
      </c>
      <c r="AC61" s="15" t="s">
        <v>156</v>
      </c>
      <c r="AD61" s="15" t="s">
        <v>156</v>
      </c>
      <c r="AE61" s="15" t="s">
        <v>156</v>
      </c>
      <c r="AF61" s="15" t="s">
        <v>156</v>
      </c>
      <c r="AG61" s="15" t="s">
        <v>47</v>
      </c>
      <c r="AH61" s="15" t="s">
        <v>47</v>
      </c>
      <c r="AI61" s="15" t="s">
        <v>155</v>
      </c>
      <c r="AJ61" s="15" t="s">
        <v>47</v>
      </c>
      <c r="AK61" s="15" t="s">
        <v>48</v>
      </c>
      <c r="AL61" s="15" t="s">
        <v>47</v>
      </c>
      <c r="AM61" s="15" t="s">
        <v>47</v>
      </c>
      <c r="AN61" s="15" t="s">
        <v>47</v>
      </c>
      <c r="AO61" s="15" t="s">
        <v>48</v>
      </c>
      <c r="AP61" s="15" t="s">
        <v>48</v>
      </c>
      <c r="AQ61" s="15" t="s">
        <v>49</v>
      </c>
      <c r="AR61" s="15" t="s">
        <v>49</v>
      </c>
      <c r="AS61" s="15" t="s">
        <v>49</v>
      </c>
      <c r="AT61" s="15" t="s">
        <v>49</v>
      </c>
      <c r="AU61" s="15" t="s">
        <v>49</v>
      </c>
      <c r="AV61" s="15" t="s">
        <v>155</v>
      </c>
      <c r="AW61" s="15" t="s">
        <v>155</v>
      </c>
      <c r="AX61" s="15" t="s">
        <v>155</v>
      </c>
      <c r="AY61" s="15" t="s">
        <v>155</v>
      </c>
      <c r="AZ61" s="15" t="s">
        <v>81</v>
      </c>
      <c r="BA61" s="15" t="s">
        <v>49</v>
      </c>
      <c r="BB61" s="15" t="s">
        <v>49</v>
      </c>
      <c r="BC61" s="15" t="s">
        <v>49</v>
      </c>
      <c r="BD61" s="15" t="s">
        <v>49</v>
      </c>
      <c r="BE61" s="15" t="s">
        <v>81</v>
      </c>
      <c r="BF61" s="15" t="s">
        <v>81</v>
      </c>
      <c r="BG61" s="15" t="s">
        <v>113</v>
      </c>
      <c r="BH61" s="15" t="s">
        <v>113</v>
      </c>
      <c r="BI61" s="15" t="s">
        <v>81</v>
      </c>
      <c r="BJ61" s="15" t="s">
        <v>81</v>
      </c>
      <c r="BK61" s="15" t="s">
        <v>81</v>
      </c>
      <c r="BL61" s="15" t="s">
        <v>81</v>
      </c>
      <c r="BM61" s="15" t="s">
        <v>49</v>
      </c>
      <c r="BN61" s="15" t="s">
        <v>49</v>
      </c>
      <c r="BO61" s="15" t="s">
        <v>49</v>
      </c>
      <c r="BP61" s="15" t="s">
        <v>49</v>
      </c>
      <c r="BQ61" s="15" t="s">
        <v>48</v>
      </c>
      <c r="BR61" s="15" t="s">
        <v>48</v>
      </c>
      <c r="BS61" s="15" t="s">
        <v>48</v>
      </c>
      <c r="BT61" s="15" t="s">
        <v>48</v>
      </c>
      <c r="BU61" s="15" t="s">
        <v>48</v>
      </c>
      <c r="BV61" s="15" t="s">
        <v>48</v>
      </c>
      <c r="BW61" s="15" t="s">
        <v>48</v>
      </c>
      <c r="BX61" s="15" t="s">
        <v>49</v>
      </c>
      <c r="BY61" s="15" t="s">
        <v>49</v>
      </c>
      <c r="BZ61" s="15" t="s">
        <v>49</v>
      </c>
      <c r="CA61" s="15" t="s">
        <v>49</v>
      </c>
      <c r="CB61" s="15" t="s">
        <v>49</v>
      </c>
      <c r="CC61" s="15" t="s">
        <v>48</v>
      </c>
      <c r="CD61" s="15" t="s">
        <v>48</v>
      </c>
      <c r="CE61" s="15" t="s">
        <v>48</v>
      </c>
      <c r="CF61" s="15" t="s">
        <v>48</v>
      </c>
      <c r="CG61" s="15" t="s">
        <v>49</v>
      </c>
      <c r="CH61" s="15" t="s">
        <v>49</v>
      </c>
      <c r="CI61" s="15" t="s">
        <v>49</v>
      </c>
      <c r="CJ61" s="15" t="s">
        <v>49</v>
      </c>
      <c r="CK61" s="15" t="s">
        <v>48</v>
      </c>
      <c r="CL61" s="15" t="s">
        <v>48</v>
      </c>
      <c r="CM61" s="15" t="s">
        <v>48</v>
      </c>
      <c r="CN61" s="15" t="s">
        <v>48</v>
      </c>
      <c r="CO61" s="15" t="s">
        <v>48</v>
      </c>
      <c r="CP61" s="15" t="s">
        <v>48</v>
      </c>
      <c r="CQ61" s="15" t="s">
        <v>48</v>
      </c>
      <c r="CR61" s="15" t="s">
        <v>48</v>
      </c>
      <c r="CS61" s="15" t="s">
        <v>48</v>
      </c>
      <c r="CT61" s="15" t="s">
        <v>48</v>
      </c>
      <c r="CU61" s="15" t="s">
        <v>48</v>
      </c>
      <c r="CV61" s="15" t="s">
        <v>48</v>
      </c>
      <c r="CW61" s="15" t="s">
        <v>48</v>
      </c>
      <c r="CX61" s="15" t="s">
        <v>48</v>
      </c>
      <c r="CY61" s="15" t="s">
        <v>48</v>
      </c>
      <c r="CZ61" s="15" t="s">
        <v>48</v>
      </c>
      <c r="DA61" s="15" t="s">
        <v>46</v>
      </c>
      <c r="DB61" s="15" t="s">
        <v>46</v>
      </c>
      <c r="DC61" s="15" t="s">
        <v>46</v>
      </c>
      <c r="DD61" s="15" t="s">
        <v>46</v>
      </c>
      <c r="DE61" s="15" t="s">
        <v>46</v>
      </c>
    </row>
    <row r="62" spans="1:109" x14ac:dyDescent="0.3">
      <c r="A62" s="15" t="s">
        <v>50</v>
      </c>
      <c r="B62" s="15" t="s">
        <v>50</v>
      </c>
      <c r="C62" s="15" t="s">
        <v>50</v>
      </c>
      <c r="D62" s="15" t="s">
        <v>50</v>
      </c>
      <c r="E62" s="15" t="s">
        <v>50</v>
      </c>
      <c r="F62" s="15" t="s">
        <v>50</v>
      </c>
      <c r="G62" s="15" t="s">
        <v>50</v>
      </c>
      <c r="H62" s="15" t="s">
        <v>50</v>
      </c>
      <c r="I62" s="15" t="s">
        <v>156</v>
      </c>
      <c r="J62" s="15" t="s">
        <v>156</v>
      </c>
      <c r="K62" s="15" t="s">
        <v>156</v>
      </c>
      <c r="L62" s="15" t="s">
        <v>156</v>
      </c>
      <c r="M62" s="15" t="s">
        <v>50</v>
      </c>
      <c r="N62" s="15" t="s">
        <v>50</v>
      </c>
      <c r="O62" s="15" t="s">
        <v>50</v>
      </c>
      <c r="P62" s="15" t="s">
        <v>50</v>
      </c>
      <c r="Q62" s="15" t="s">
        <v>113</v>
      </c>
      <c r="R62" s="15" t="s">
        <v>113</v>
      </c>
      <c r="S62" s="15" t="s">
        <v>81</v>
      </c>
      <c r="T62" s="15" t="s">
        <v>81</v>
      </c>
      <c r="U62" s="15" t="s">
        <v>81</v>
      </c>
      <c r="V62" s="15" t="s">
        <v>156</v>
      </c>
      <c r="W62" s="15" t="s">
        <v>49</v>
      </c>
      <c r="X62" s="15" t="s">
        <v>49</v>
      </c>
      <c r="Y62" s="15" t="s">
        <v>156</v>
      </c>
      <c r="Z62" s="15" t="s">
        <v>156</v>
      </c>
      <c r="AA62" s="15" t="s">
        <v>156</v>
      </c>
      <c r="AB62" s="15" t="s">
        <v>156</v>
      </c>
      <c r="AC62" s="15" t="s">
        <v>81</v>
      </c>
      <c r="AD62" s="15" t="s">
        <v>81</v>
      </c>
      <c r="AE62" s="15" t="s">
        <v>81</v>
      </c>
      <c r="AF62" s="15" t="s">
        <v>81</v>
      </c>
      <c r="AG62" s="15" t="s">
        <v>155</v>
      </c>
      <c r="AH62" s="15" t="s">
        <v>155</v>
      </c>
      <c r="AI62" s="15" t="s">
        <v>156</v>
      </c>
      <c r="AJ62" s="15" t="s">
        <v>155</v>
      </c>
      <c r="AK62" s="15" t="s">
        <v>49</v>
      </c>
      <c r="AL62" s="15" t="s">
        <v>48</v>
      </c>
      <c r="AM62" s="15" t="s">
        <v>48</v>
      </c>
      <c r="AN62" s="15" t="s">
        <v>48</v>
      </c>
      <c r="AO62" s="15" t="s">
        <v>49</v>
      </c>
      <c r="AP62" s="15" t="s">
        <v>49</v>
      </c>
      <c r="AQ62" s="15" t="s">
        <v>155</v>
      </c>
      <c r="AR62" s="15" t="s">
        <v>155</v>
      </c>
      <c r="AS62" s="15" t="s">
        <v>155</v>
      </c>
      <c r="AT62" s="15" t="s">
        <v>155</v>
      </c>
      <c r="AU62" s="15" t="s">
        <v>155</v>
      </c>
      <c r="AV62" s="15" t="s">
        <v>156</v>
      </c>
      <c r="AW62" s="15" t="s">
        <v>81</v>
      </c>
      <c r="AX62" s="15" t="s">
        <v>81</v>
      </c>
      <c r="AY62" s="15" t="s">
        <v>81</v>
      </c>
      <c r="AZ62" s="15" t="s">
        <v>113</v>
      </c>
      <c r="BA62" s="15" t="s">
        <v>155</v>
      </c>
      <c r="BB62" s="15" t="s">
        <v>155</v>
      </c>
      <c r="BC62" s="15" t="s">
        <v>155</v>
      </c>
      <c r="BD62" s="15" t="s">
        <v>155</v>
      </c>
      <c r="BE62" s="15" t="s">
        <v>113</v>
      </c>
      <c r="BF62" s="15" t="s">
        <v>113</v>
      </c>
      <c r="BG62" s="15" t="s">
        <v>50</v>
      </c>
      <c r="BH62" s="15" t="s">
        <v>50</v>
      </c>
      <c r="BI62" s="15" t="s">
        <v>113</v>
      </c>
      <c r="BJ62" s="15" t="s">
        <v>113</v>
      </c>
      <c r="BK62" s="15" t="s">
        <v>113</v>
      </c>
      <c r="BL62" s="15" t="s">
        <v>113</v>
      </c>
      <c r="BM62" s="15" t="s">
        <v>81</v>
      </c>
      <c r="BN62" s="15" t="s">
        <v>81</v>
      </c>
      <c r="BO62" s="15" t="s">
        <v>81</v>
      </c>
      <c r="BP62" s="15" t="s">
        <v>81</v>
      </c>
      <c r="BQ62" s="15" t="s">
        <v>49</v>
      </c>
      <c r="BR62" s="15" t="s">
        <v>49</v>
      </c>
      <c r="BS62" s="15" t="s">
        <v>49</v>
      </c>
      <c r="BT62" s="15" t="s">
        <v>49</v>
      </c>
      <c r="BU62" s="15" t="s">
        <v>49</v>
      </c>
      <c r="BV62" s="15" t="s">
        <v>49</v>
      </c>
      <c r="BW62" s="15" t="s">
        <v>49</v>
      </c>
      <c r="BX62" s="15" t="s">
        <v>81</v>
      </c>
      <c r="BY62" s="15" t="s">
        <v>81</v>
      </c>
      <c r="BZ62" s="15" t="s">
        <v>81</v>
      </c>
      <c r="CA62" s="15" t="s">
        <v>81</v>
      </c>
      <c r="CB62" s="15" t="s">
        <v>81</v>
      </c>
      <c r="CC62" s="15" t="s">
        <v>49</v>
      </c>
      <c r="CD62" s="15" t="s">
        <v>49</v>
      </c>
      <c r="CE62" s="15" t="s">
        <v>49</v>
      </c>
      <c r="CF62" s="15" t="s">
        <v>49</v>
      </c>
      <c r="CG62" s="15" t="s">
        <v>157</v>
      </c>
      <c r="CH62" s="15" t="s">
        <v>157</v>
      </c>
      <c r="CI62" s="15" t="s">
        <v>157</v>
      </c>
      <c r="CJ62" s="15" t="s">
        <v>157</v>
      </c>
      <c r="CK62" s="15" t="s">
        <v>49</v>
      </c>
      <c r="CL62" s="15" t="s">
        <v>49</v>
      </c>
      <c r="CM62" s="15" t="s">
        <v>49</v>
      </c>
      <c r="CN62" s="15" t="s">
        <v>49</v>
      </c>
      <c r="CO62" s="15" t="s">
        <v>49</v>
      </c>
      <c r="CP62" s="15" t="s">
        <v>49</v>
      </c>
      <c r="CQ62" s="15" t="s">
        <v>49</v>
      </c>
      <c r="CR62" s="15" t="s">
        <v>49</v>
      </c>
      <c r="CS62" s="15" t="s">
        <v>49</v>
      </c>
      <c r="CT62" s="15" t="s">
        <v>49</v>
      </c>
      <c r="CU62" s="15" t="s">
        <v>49</v>
      </c>
      <c r="CV62" s="15" t="s">
        <v>49</v>
      </c>
      <c r="CW62" s="15" t="s">
        <v>49</v>
      </c>
      <c r="CX62" s="15" t="s">
        <v>49</v>
      </c>
      <c r="CY62" s="15" t="s">
        <v>49</v>
      </c>
      <c r="CZ62" s="15" t="s">
        <v>49</v>
      </c>
      <c r="DA62" s="15" t="s">
        <v>152</v>
      </c>
      <c r="DB62" s="15" t="s">
        <v>152</v>
      </c>
      <c r="DC62" s="15" t="s">
        <v>152</v>
      </c>
      <c r="DD62" s="15" t="s">
        <v>152</v>
      </c>
      <c r="DE62" s="15" t="s">
        <v>152</v>
      </c>
    </row>
    <row r="63" spans="1:109" x14ac:dyDescent="0.3">
      <c r="A63" s="15" t="s">
        <v>51</v>
      </c>
      <c r="B63" s="15" t="s">
        <v>51</v>
      </c>
      <c r="C63" s="15" t="s">
        <v>51</v>
      </c>
      <c r="D63" s="15" t="s">
        <v>51</v>
      </c>
      <c r="E63" s="15" t="s">
        <v>51</v>
      </c>
      <c r="F63" s="15" t="s">
        <v>51</v>
      </c>
      <c r="G63" s="15" t="s">
        <v>51</v>
      </c>
      <c r="H63" s="15" t="s">
        <v>51</v>
      </c>
      <c r="I63" s="15" t="s">
        <v>113</v>
      </c>
      <c r="J63" s="15" t="s">
        <v>113</v>
      </c>
      <c r="K63" s="15" t="s">
        <v>113</v>
      </c>
      <c r="L63" s="15" t="s">
        <v>113</v>
      </c>
      <c r="M63" s="15" t="s">
        <v>51</v>
      </c>
      <c r="N63" s="15" t="s">
        <v>51</v>
      </c>
      <c r="O63" s="15" t="s">
        <v>51</v>
      </c>
      <c r="P63" s="15" t="s">
        <v>51</v>
      </c>
      <c r="Q63" s="15" t="s">
        <v>50</v>
      </c>
      <c r="R63" s="15" t="s">
        <v>50</v>
      </c>
      <c r="S63" s="15" t="s">
        <v>113</v>
      </c>
      <c r="T63" s="15" t="s">
        <v>113</v>
      </c>
      <c r="U63" s="15" t="s">
        <v>113</v>
      </c>
      <c r="V63" s="15" t="s">
        <v>81</v>
      </c>
      <c r="W63" s="15" t="s">
        <v>156</v>
      </c>
      <c r="X63" s="15" t="s">
        <v>156</v>
      </c>
      <c r="Y63" s="15" t="s">
        <v>81</v>
      </c>
      <c r="Z63" s="15" t="s">
        <v>81</v>
      </c>
      <c r="AA63" s="15" t="s">
        <v>81</v>
      </c>
      <c r="AB63" s="15" t="s">
        <v>81</v>
      </c>
      <c r="AC63" s="15" t="s">
        <v>113</v>
      </c>
      <c r="AD63" s="15" t="s">
        <v>113</v>
      </c>
      <c r="AE63" s="15" t="s">
        <v>113</v>
      </c>
      <c r="AF63" s="15" t="s">
        <v>113</v>
      </c>
      <c r="AG63" s="15" t="s">
        <v>156</v>
      </c>
      <c r="AH63" s="15" t="s">
        <v>156</v>
      </c>
      <c r="AI63" s="15" t="s">
        <v>81</v>
      </c>
      <c r="AJ63" s="15" t="s">
        <v>156</v>
      </c>
      <c r="AK63" s="15" t="s">
        <v>155</v>
      </c>
      <c r="AL63" s="15" t="s">
        <v>49</v>
      </c>
      <c r="AM63" s="15" t="s">
        <v>49</v>
      </c>
      <c r="AN63" s="15" t="s">
        <v>49</v>
      </c>
      <c r="AO63" s="15" t="s">
        <v>155</v>
      </c>
      <c r="AP63" s="15" t="s">
        <v>155</v>
      </c>
      <c r="AQ63" s="15" t="s">
        <v>156</v>
      </c>
      <c r="AR63" s="15" t="s">
        <v>156</v>
      </c>
      <c r="AS63" s="15" t="s">
        <v>156</v>
      </c>
      <c r="AT63" s="15" t="s">
        <v>156</v>
      </c>
      <c r="AU63" s="15" t="s">
        <v>156</v>
      </c>
      <c r="AV63" s="15" t="s">
        <v>81</v>
      </c>
      <c r="AW63" s="15" t="s">
        <v>113</v>
      </c>
      <c r="AX63" s="15" t="s">
        <v>113</v>
      </c>
      <c r="AY63" s="15" t="s">
        <v>113</v>
      </c>
      <c r="AZ63" s="15" t="s">
        <v>50</v>
      </c>
      <c r="BA63" s="15" t="s">
        <v>81</v>
      </c>
      <c r="BB63" s="15" t="s">
        <v>81</v>
      </c>
      <c r="BC63" s="15" t="s">
        <v>81</v>
      </c>
      <c r="BD63" s="15" t="s">
        <v>81</v>
      </c>
      <c r="BE63" s="15" t="s">
        <v>50</v>
      </c>
      <c r="BF63" s="15" t="s">
        <v>50</v>
      </c>
      <c r="BG63" s="15" t="s">
        <v>51</v>
      </c>
      <c r="BH63" s="15" t="s">
        <v>51</v>
      </c>
      <c r="BI63" s="15" t="s">
        <v>50</v>
      </c>
      <c r="BJ63" s="15" t="s">
        <v>50</v>
      </c>
      <c r="BK63" s="15" t="s">
        <v>50</v>
      </c>
      <c r="BL63" s="15" t="s">
        <v>50</v>
      </c>
      <c r="BM63" s="15" t="s">
        <v>113</v>
      </c>
      <c r="BN63" s="15" t="s">
        <v>113</v>
      </c>
      <c r="BO63" s="15" t="s">
        <v>113</v>
      </c>
      <c r="BP63" s="15" t="s">
        <v>113</v>
      </c>
      <c r="BQ63" s="15" t="s">
        <v>81</v>
      </c>
      <c r="BR63" s="15" t="s">
        <v>81</v>
      </c>
      <c r="BS63" s="15" t="s">
        <v>81</v>
      </c>
      <c r="BT63" s="15" t="s">
        <v>81</v>
      </c>
      <c r="BU63" s="15" t="s">
        <v>81</v>
      </c>
      <c r="BV63" s="15" t="s">
        <v>81</v>
      </c>
      <c r="BW63" s="15" t="s">
        <v>81</v>
      </c>
      <c r="BX63" s="15" t="s">
        <v>113</v>
      </c>
      <c r="BY63" s="15" t="s">
        <v>113</v>
      </c>
      <c r="BZ63" s="15" t="s">
        <v>113</v>
      </c>
      <c r="CA63" s="15" t="s">
        <v>113</v>
      </c>
      <c r="CB63" s="15" t="s">
        <v>113</v>
      </c>
      <c r="CC63" s="15" t="s">
        <v>81</v>
      </c>
      <c r="CD63" s="15" t="s">
        <v>81</v>
      </c>
      <c r="CE63" s="15" t="s">
        <v>81</v>
      </c>
      <c r="CF63" s="15" t="s">
        <v>81</v>
      </c>
      <c r="CG63" s="15" t="s">
        <v>81</v>
      </c>
      <c r="CH63" s="15" t="s">
        <v>81</v>
      </c>
      <c r="CI63" s="15" t="s">
        <v>81</v>
      </c>
      <c r="CJ63" s="15" t="s">
        <v>81</v>
      </c>
      <c r="CK63" s="15" t="s">
        <v>81</v>
      </c>
      <c r="CL63" s="15" t="s">
        <v>81</v>
      </c>
      <c r="CM63" s="15" t="s">
        <v>81</v>
      </c>
      <c r="CN63" s="15" t="s">
        <v>81</v>
      </c>
      <c r="CO63" s="15" t="s">
        <v>113</v>
      </c>
      <c r="CP63" s="15" t="s">
        <v>113</v>
      </c>
      <c r="CQ63" s="15" t="s">
        <v>113</v>
      </c>
      <c r="CR63" s="15" t="s">
        <v>113</v>
      </c>
      <c r="CS63" s="15" t="s">
        <v>113</v>
      </c>
      <c r="CT63" s="15" t="s">
        <v>113</v>
      </c>
      <c r="CU63" s="15" t="s">
        <v>113</v>
      </c>
      <c r="CV63" s="15" t="s">
        <v>113</v>
      </c>
      <c r="CW63" s="15" t="s">
        <v>113</v>
      </c>
      <c r="CX63" s="15" t="s">
        <v>113</v>
      </c>
      <c r="CY63" s="15" t="s">
        <v>113</v>
      </c>
      <c r="CZ63" s="15" t="s">
        <v>113</v>
      </c>
      <c r="DA63" s="15" t="s">
        <v>47</v>
      </c>
      <c r="DB63" s="15" t="s">
        <v>47</v>
      </c>
      <c r="DC63" s="15" t="s">
        <v>47</v>
      </c>
      <c r="DD63" s="15" t="s">
        <v>47</v>
      </c>
      <c r="DE63" s="15" t="s">
        <v>47</v>
      </c>
    </row>
    <row r="64" spans="1:109" x14ac:dyDescent="0.3">
      <c r="A64" s="15" t="s">
        <v>52</v>
      </c>
      <c r="B64" s="15" t="s">
        <v>52</v>
      </c>
      <c r="C64" s="15" t="s">
        <v>52</v>
      </c>
      <c r="D64" s="15" t="s">
        <v>52</v>
      </c>
      <c r="E64" s="15" t="s">
        <v>52</v>
      </c>
      <c r="F64" s="15" t="s">
        <v>158</v>
      </c>
      <c r="G64" s="15" t="s">
        <v>158</v>
      </c>
      <c r="H64" s="15" t="s">
        <v>158</v>
      </c>
      <c r="I64" s="15" t="s">
        <v>50</v>
      </c>
      <c r="J64" s="15" t="s">
        <v>50</v>
      </c>
      <c r="K64" s="15" t="s">
        <v>50</v>
      </c>
      <c r="L64" s="15" t="s">
        <v>50</v>
      </c>
      <c r="M64" s="15" t="s">
        <v>158</v>
      </c>
      <c r="N64" s="15" t="s">
        <v>158</v>
      </c>
      <c r="O64" s="15" t="s">
        <v>158</v>
      </c>
      <c r="P64" s="15" t="s">
        <v>158</v>
      </c>
      <c r="Q64" s="15" t="s">
        <v>51</v>
      </c>
      <c r="R64" s="15" t="s">
        <v>51</v>
      </c>
      <c r="S64" s="15" t="s">
        <v>50</v>
      </c>
      <c r="T64" s="15" t="s">
        <v>50</v>
      </c>
      <c r="U64" s="15" t="s">
        <v>50</v>
      </c>
      <c r="V64" s="15" t="s">
        <v>113</v>
      </c>
      <c r="W64" s="15" t="s">
        <v>81</v>
      </c>
      <c r="X64" s="15" t="s">
        <v>81</v>
      </c>
      <c r="Y64" s="15" t="s">
        <v>113</v>
      </c>
      <c r="Z64" s="15" t="s">
        <v>113</v>
      </c>
      <c r="AA64" s="15" t="s">
        <v>113</v>
      </c>
      <c r="AB64" s="15" t="s">
        <v>113</v>
      </c>
      <c r="AC64" s="15" t="s">
        <v>50</v>
      </c>
      <c r="AD64" s="15" t="s">
        <v>50</v>
      </c>
      <c r="AE64" s="15" t="s">
        <v>50</v>
      </c>
      <c r="AF64" s="15" t="s">
        <v>50</v>
      </c>
      <c r="AG64" s="15" t="s">
        <v>81</v>
      </c>
      <c r="AH64" s="15" t="s">
        <v>81</v>
      </c>
      <c r="AI64" s="15" t="s">
        <v>113</v>
      </c>
      <c r="AJ64" s="15" t="s">
        <v>81</v>
      </c>
      <c r="AK64" s="15" t="s">
        <v>156</v>
      </c>
      <c r="AL64" s="15" t="s">
        <v>155</v>
      </c>
      <c r="AM64" s="15" t="s">
        <v>155</v>
      </c>
      <c r="AN64" s="15" t="s">
        <v>155</v>
      </c>
      <c r="AO64" s="15" t="s">
        <v>156</v>
      </c>
      <c r="AP64" s="15" t="s">
        <v>156</v>
      </c>
      <c r="AQ64" s="15" t="s">
        <v>81</v>
      </c>
      <c r="AR64" s="15" t="s">
        <v>81</v>
      </c>
      <c r="AS64" s="15" t="s">
        <v>81</v>
      </c>
      <c r="AT64" s="15" t="s">
        <v>81</v>
      </c>
      <c r="AU64" s="15" t="s">
        <v>81</v>
      </c>
      <c r="AV64" s="15" t="s">
        <v>113</v>
      </c>
      <c r="AW64" s="15" t="s">
        <v>50</v>
      </c>
      <c r="AX64" s="15" t="s">
        <v>50</v>
      </c>
      <c r="AY64" s="15" t="s">
        <v>50</v>
      </c>
      <c r="AZ64" s="15" t="s">
        <v>51</v>
      </c>
      <c r="BA64" s="15" t="s">
        <v>113</v>
      </c>
      <c r="BB64" s="15" t="s">
        <v>113</v>
      </c>
      <c r="BC64" s="15" t="s">
        <v>113</v>
      </c>
      <c r="BD64" s="15" t="s">
        <v>113</v>
      </c>
      <c r="BE64" s="15" t="s">
        <v>51</v>
      </c>
      <c r="BF64" s="15" t="s">
        <v>51</v>
      </c>
      <c r="BG64" s="15" t="s">
        <v>158</v>
      </c>
      <c r="BH64" s="15" t="s">
        <v>158</v>
      </c>
      <c r="BI64" s="15" t="s">
        <v>51</v>
      </c>
      <c r="BJ64" s="15" t="s">
        <v>51</v>
      </c>
      <c r="BK64" s="15" t="s">
        <v>51</v>
      </c>
      <c r="BL64" s="15" t="s">
        <v>51</v>
      </c>
      <c r="BM64" s="15" t="s">
        <v>50</v>
      </c>
      <c r="BN64" s="15" t="s">
        <v>50</v>
      </c>
      <c r="BO64" s="15" t="s">
        <v>50</v>
      </c>
      <c r="BP64" s="15" t="s">
        <v>50</v>
      </c>
      <c r="BQ64" s="15" t="s">
        <v>113</v>
      </c>
      <c r="BR64" s="15" t="s">
        <v>113</v>
      </c>
      <c r="BS64" s="15" t="s">
        <v>113</v>
      </c>
      <c r="BT64" s="15" t="s">
        <v>113</v>
      </c>
      <c r="BU64" s="15" t="s">
        <v>113</v>
      </c>
      <c r="BV64" s="15" t="s">
        <v>113</v>
      </c>
      <c r="BW64" s="15" t="s">
        <v>113</v>
      </c>
      <c r="BX64" s="15" t="s">
        <v>50</v>
      </c>
      <c r="BY64" s="15" t="s">
        <v>50</v>
      </c>
      <c r="BZ64" s="15" t="s">
        <v>50</v>
      </c>
      <c r="CA64" s="15" t="s">
        <v>50</v>
      </c>
      <c r="CB64" s="15" t="s">
        <v>50</v>
      </c>
      <c r="CC64" s="15" t="s">
        <v>113</v>
      </c>
      <c r="CD64" s="15" t="s">
        <v>113</v>
      </c>
      <c r="CE64" s="15" t="s">
        <v>113</v>
      </c>
      <c r="CF64" s="15" t="s">
        <v>113</v>
      </c>
      <c r="CG64" s="15" t="s">
        <v>113</v>
      </c>
      <c r="CH64" s="15" t="s">
        <v>113</v>
      </c>
      <c r="CI64" s="15" t="s">
        <v>113</v>
      </c>
      <c r="CJ64" s="15" t="s">
        <v>113</v>
      </c>
      <c r="CK64" s="15" t="s">
        <v>113</v>
      </c>
      <c r="CL64" s="15" t="s">
        <v>113</v>
      </c>
      <c r="CM64" s="15" t="s">
        <v>113</v>
      </c>
      <c r="CN64" s="15" t="s">
        <v>113</v>
      </c>
      <c r="CO64" s="15" t="s">
        <v>50</v>
      </c>
      <c r="CP64" s="15" t="s">
        <v>50</v>
      </c>
      <c r="CQ64" s="15" t="s">
        <v>50</v>
      </c>
      <c r="CR64" s="15" t="s">
        <v>50</v>
      </c>
      <c r="CS64" s="15" t="s">
        <v>50</v>
      </c>
      <c r="CT64" s="15" t="s">
        <v>50</v>
      </c>
      <c r="CU64" s="15" t="s">
        <v>50</v>
      </c>
      <c r="CV64" s="15" t="s">
        <v>50</v>
      </c>
      <c r="CW64" s="15" t="s">
        <v>50</v>
      </c>
      <c r="CX64" s="15" t="s">
        <v>50</v>
      </c>
      <c r="CY64" s="15" t="s">
        <v>50</v>
      </c>
      <c r="CZ64" s="15" t="s">
        <v>50</v>
      </c>
      <c r="DA64" s="15" t="s">
        <v>48</v>
      </c>
      <c r="DB64" s="15" t="s">
        <v>48</v>
      </c>
      <c r="DC64" s="15" t="s">
        <v>48</v>
      </c>
      <c r="DD64" s="15" t="s">
        <v>48</v>
      </c>
      <c r="DE64" s="15" t="s">
        <v>48</v>
      </c>
    </row>
    <row r="65" spans="1:109" x14ac:dyDescent="0.3">
      <c r="A65" s="15" t="s">
        <v>78</v>
      </c>
      <c r="B65" s="15" t="s">
        <v>78</v>
      </c>
      <c r="C65" s="15" t="s">
        <v>78</v>
      </c>
      <c r="D65" s="15" t="s">
        <v>78</v>
      </c>
      <c r="E65" s="15" t="s">
        <v>79</v>
      </c>
      <c r="F65" s="15" t="s">
        <v>52</v>
      </c>
      <c r="G65" s="15" t="s">
        <v>52</v>
      </c>
      <c r="H65" s="15" t="s">
        <v>52</v>
      </c>
      <c r="I65" s="15" t="s">
        <v>51</v>
      </c>
      <c r="J65" s="15" t="s">
        <v>51</v>
      </c>
      <c r="K65" s="15" t="s">
        <v>51</v>
      </c>
      <c r="L65" s="15" t="s">
        <v>51</v>
      </c>
      <c r="M65" s="15" t="s">
        <v>52</v>
      </c>
      <c r="N65" s="15" t="s">
        <v>52</v>
      </c>
      <c r="O65" s="15" t="s">
        <v>52</v>
      </c>
      <c r="P65" s="15" t="s">
        <v>52</v>
      </c>
      <c r="Q65" s="15" t="s">
        <v>158</v>
      </c>
      <c r="R65" s="15" t="s">
        <v>158</v>
      </c>
      <c r="S65" s="15" t="s">
        <v>51</v>
      </c>
      <c r="T65" s="15" t="s">
        <v>51</v>
      </c>
      <c r="U65" s="15" t="s">
        <v>51</v>
      </c>
      <c r="V65" s="15" t="s">
        <v>50</v>
      </c>
      <c r="W65" s="15" t="s">
        <v>113</v>
      </c>
      <c r="X65" s="15" t="s">
        <v>113</v>
      </c>
      <c r="Y65" s="15" t="s">
        <v>50</v>
      </c>
      <c r="Z65" s="15" t="s">
        <v>50</v>
      </c>
      <c r="AA65" s="15" t="s">
        <v>50</v>
      </c>
      <c r="AB65" s="15" t="s">
        <v>50</v>
      </c>
      <c r="AC65" s="15" t="s">
        <v>51</v>
      </c>
      <c r="AD65" s="15" t="s">
        <v>51</v>
      </c>
      <c r="AE65" s="15" t="s">
        <v>51</v>
      </c>
      <c r="AF65" s="15" t="s">
        <v>51</v>
      </c>
      <c r="AG65" s="15" t="s">
        <v>113</v>
      </c>
      <c r="AH65" s="15" t="s">
        <v>113</v>
      </c>
      <c r="AI65" s="15" t="s">
        <v>50</v>
      </c>
      <c r="AJ65" s="15" t="s">
        <v>113</v>
      </c>
      <c r="AK65" s="15" t="s">
        <v>81</v>
      </c>
      <c r="AL65" s="15" t="s">
        <v>156</v>
      </c>
      <c r="AM65" s="15" t="s">
        <v>156</v>
      </c>
      <c r="AN65" s="15" t="s">
        <v>156</v>
      </c>
      <c r="AO65" s="15" t="s">
        <v>81</v>
      </c>
      <c r="AP65" s="15" t="s">
        <v>81</v>
      </c>
      <c r="AQ65" s="15" t="s">
        <v>113</v>
      </c>
      <c r="AR65" s="15" t="s">
        <v>113</v>
      </c>
      <c r="AS65" s="15" t="s">
        <v>113</v>
      </c>
      <c r="AT65" s="15" t="s">
        <v>113</v>
      </c>
      <c r="AU65" s="15" t="s">
        <v>113</v>
      </c>
      <c r="AV65" s="15" t="s">
        <v>50</v>
      </c>
      <c r="AW65" s="15" t="s">
        <v>51</v>
      </c>
      <c r="AX65" s="15" t="s">
        <v>51</v>
      </c>
      <c r="AY65" s="15" t="s">
        <v>51</v>
      </c>
      <c r="AZ65" s="15" t="s">
        <v>52</v>
      </c>
      <c r="BA65" s="15" t="s">
        <v>50</v>
      </c>
      <c r="BB65" s="15" t="s">
        <v>50</v>
      </c>
      <c r="BC65" s="15" t="s">
        <v>50</v>
      </c>
      <c r="BD65" s="15" t="s">
        <v>50</v>
      </c>
      <c r="BE65" s="15" t="s">
        <v>158</v>
      </c>
      <c r="BF65" s="15" t="s">
        <v>158</v>
      </c>
      <c r="BG65" s="15" t="s">
        <v>52</v>
      </c>
      <c r="BH65" s="15" t="s">
        <v>52</v>
      </c>
      <c r="BI65" s="15" t="s">
        <v>158</v>
      </c>
      <c r="BJ65" s="15" t="s">
        <v>158</v>
      </c>
      <c r="BK65" s="15" t="s">
        <v>158</v>
      </c>
      <c r="BL65" s="15" t="s">
        <v>158</v>
      </c>
      <c r="BM65" s="15" t="s">
        <v>51</v>
      </c>
      <c r="BN65" s="15" t="s">
        <v>51</v>
      </c>
      <c r="BO65" s="15" t="s">
        <v>51</v>
      </c>
      <c r="BP65" s="15" t="s">
        <v>51</v>
      </c>
      <c r="BQ65" s="15" t="s">
        <v>50</v>
      </c>
      <c r="BR65" s="15" t="s">
        <v>50</v>
      </c>
      <c r="BS65" s="15" t="s">
        <v>50</v>
      </c>
      <c r="BT65" s="15" t="s">
        <v>50</v>
      </c>
      <c r="BU65" s="15" t="s">
        <v>50</v>
      </c>
      <c r="BV65" s="15" t="s">
        <v>50</v>
      </c>
      <c r="BW65" s="15" t="s">
        <v>50</v>
      </c>
      <c r="BX65" s="15" t="s">
        <v>51</v>
      </c>
      <c r="BY65" s="15" t="s">
        <v>51</v>
      </c>
      <c r="BZ65" s="15" t="s">
        <v>51</v>
      </c>
      <c r="CA65" s="15" t="s">
        <v>51</v>
      </c>
      <c r="CB65" s="15" t="s">
        <v>51</v>
      </c>
      <c r="CC65" s="15" t="s">
        <v>50</v>
      </c>
      <c r="CD65" s="15" t="s">
        <v>50</v>
      </c>
      <c r="CE65" s="15" t="s">
        <v>50</v>
      </c>
      <c r="CF65" s="15" t="s">
        <v>50</v>
      </c>
      <c r="CG65" s="15" t="s">
        <v>50</v>
      </c>
      <c r="CH65" s="15" t="s">
        <v>50</v>
      </c>
      <c r="CI65" s="15" t="s">
        <v>50</v>
      </c>
      <c r="CJ65" s="15" t="s">
        <v>50</v>
      </c>
      <c r="CK65" s="15" t="s">
        <v>50</v>
      </c>
      <c r="CL65" s="15" t="s">
        <v>50</v>
      </c>
      <c r="CM65" s="15" t="s">
        <v>50</v>
      </c>
      <c r="CN65" s="15" t="s">
        <v>50</v>
      </c>
      <c r="CO65" s="15" t="s">
        <v>51</v>
      </c>
      <c r="CP65" s="15" t="s">
        <v>51</v>
      </c>
      <c r="CQ65" s="15" t="s">
        <v>51</v>
      </c>
      <c r="CR65" s="15" t="s">
        <v>51</v>
      </c>
      <c r="CS65" s="15" t="s">
        <v>51</v>
      </c>
      <c r="CT65" s="15" t="s">
        <v>51</v>
      </c>
      <c r="CU65" s="15" t="s">
        <v>51</v>
      </c>
      <c r="CV65" s="15" t="s">
        <v>51</v>
      </c>
      <c r="CW65" s="15" t="s">
        <v>51</v>
      </c>
      <c r="CX65" s="15" t="s">
        <v>51</v>
      </c>
      <c r="CY65" s="15" t="s">
        <v>51</v>
      </c>
      <c r="CZ65" s="15" t="s">
        <v>51</v>
      </c>
      <c r="DA65" s="15" t="s">
        <v>49</v>
      </c>
      <c r="DB65" s="15" t="s">
        <v>49</v>
      </c>
      <c r="DC65" s="15" t="s">
        <v>49</v>
      </c>
      <c r="DD65" s="15" t="s">
        <v>49</v>
      </c>
      <c r="DE65" s="15" t="s">
        <v>49</v>
      </c>
    </row>
    <row r="66" spans="1:109" x14ac:dyDescent="0.3">
      <c r="A66" s="15" t="s">
        <v>53</v>
      </c>
      <c r="B66" s="15" t="s">
        <v>53</v>
      </c>
      <c r="C66" s="15" t="s">
        <v>53</v>
      </c>
      <c r="D66" s="15" t="s">
        <v>53</v>
      </c>
      <c r="E66" s="15" t="s">
        <v>78</v>
      </c>
      <c r="F66" s="15" t="s">
        <v>79</v>
      </c>
      <c r="G66" s="15" t="s">
        <v>79</v>
      </c>
      <c r="H66" s="15" t="s">
        <v>79</v>
      </c>
      <c r="I66" s="15" t="s">
        <v>52</v>
      </c>
      <c r="J66" s="15" t="s">
        <v>52</v>
      </c>
      <c r="K66" s="15" t="s">
        <v>52</v>
      </c>
      <c r="L66" s="15" t="s">
        <v>52</v>
      </c>
      <c r="M66" s="15" t="s">
        <v>79</v>
      </c>
      <c r="N66" s="15" t="s">
        <v>79</v>
      </c>
      <c r="O66" s="15" t="s">
        <v>79</v>
      </c>
      <c r="P66" s="15" t="s">
        <v>79</v>
      </c>
      <c r="Q66" s="15" t="s">
        <v>52</v>
      </c>
      <c r="R66" s="15" t="s">
        <v>52</v>
      </c>
      <c r="S66" s="15" t="s">
        <v>158</v>
      </c>
      <c r="T66" s="15" t="s">
        <v>158</v>
      </c>
      <c r="U66" s="15" t="s">
        <v>158</v>
      </c>
      <c r="V66" s="15" t="s">
        <v>51</v>
      </c>
      <c r="W66" s="15" t="s">
        <v>50</v>
      </c>
      <c r="X66" s="15" t="s">
        <v>50</v>
      </c>
      <c r="Y66" s="15" t="s">
        <v>51</v>
      </c>
      <c r="Z66" s="15" t="s">
        <v>51</v>
      </c>
      <c r="AA66" s="15" t="s">
        <v>51</v>
      </c>
      <c r="AB66" s="15" t="s">
        <v>51</v>
      </c>
      <c r="AC66" s="15" t="s">
        <v>158</v>
      </c>
      <c r="AD66" s="15" t="s">
        <v>158</v>
      </c>
      <c r="AE66" s="15" t="s">
        <v>158</v>
      </c>
      <c r="AF66" s="15" t="s">
        <v>158</v>
      </c>
      <c r="AG66" s="15" t="s">
        <v>50</v>
      </c>
      <c r="AH66" s="15" t="s">
        <v>50</v>
      </c>
      <c r="AI66" s="15" t="s">
        <v>51</v>
      </c>
      <c r="AJ66" s="15" t="s">
        <v>50</v>
      </c>
      <c r="AK66" s="15" t="s">
        <v>113</v>
      </c>
      <c r="AL66" s="15" t="s">
        <v>81</v>
      </c>
      <c r="AM66" s="15" t="s">
        <v>81</v>
      </c>
      <c r="AN66" s="15" t="s">
        <v>81</v>
      </c>
      <c r="AO66" s="15" t="s">
        <v>113</v>
      </c>
      <c r="AP66" s="15" t="s">
        <v>113</v>
      </c>
      <c r="AQ66" s="15" t="s">
        <v>50</v>
      </c>
      <c r="AR66" s="15" t="s">
        <v>50</v>
      </c>
      <c r="AS66" s="15" t="s">
        <v>50</v>
      </c>
      <c r="AT66" s="15" t="s">
        <v>50</v>
      </c>
      <c r="AU66" s="15" t="s">
        <v>50</v>
      </c>
      <c r="AV66" s="15" t="s">
        <v>51</v>
      </c>
      <c r="AW66" s="15" t="s">
        <v>52</v>
      </c>
      <c r="AX66" s="15" t="s">
        <v>52</v>
      </c>
      <c r="AY66" s="15" t="s">
        <v>52</v>
      </c>
      <c r="AZ66" s="15" t="s">
        <v>79</v>
      </c>
      <c r="BA66" s="15" t="s">
        <v>51</v>
      </c>
      <c r="BB66" s="15" t="s">
        <v>51</v>
      </c>
      <c r="BC66" s="15" t="s">
        <v>51</v>
      </c>
      <c r="BD66" s="15" t="s">
        <v>51</v>
      </c>
      <c r="BE66" s="15" t="s">
        <v>52</v>
      </c>
      <c r="BF66" s="15" t="s">
        <v>52</v>
      </c>
      <c r="BG66" s="15" t="s">
        <v>79</v>
      </c>
      <c r="BH66" s="15" t="s">
        <v>79</v>
      </c>
      <c r="BI66" s="15" t="s">
        <v>52</v>
      </c>
      <c r="BJ66" s="15" t="s">
        <v>52</v>
      </c>
      <c r="BK66" s="15" t="s">
        <v>52</v>
      </c>
      <c r="BL66" s="15" t="s">
        <v>52</v>
      </c>
      <c r="BM66" s="15" t="s">
        <v>158</v>
      </c>
      <c r="BN66" s="15" t="s">
        <v>158</v>
      </c>
      <c r="BO66" s="15" t="s">
        <v>158</v>
      </c>
      <c r="BP66" s="15" t="s">
        <v>158</v>
      </c>
      <c r="BQ66" s="15" t="s">
        <v>51</v>
      </c>
      <c r="BR66" s="15" t="s">
        <v>51</v>
      </c>
      <c r="BS66" s="15" t="s">
        <v>51</v>
      </c>
      <c r="BT66" s="15" t="s">
        <v>51</v>
      </c>
      <c r="BU66" s="15" t="s">
        <v>51</v>
      </c>
      <c r="BV66" s="15" t="s">
        <v>51</v>
      </c>
      <c r="BW66" s="15" t="s">
        <v>51</v>
      </c>
      <c r="BX66" s="15" t="s">
        <v>158</v>
      </c>
      <c r="BY66" s="15" t="s">
        <v>158</v>
      </c>
      <c r="BZ66" s="15" t="s">
        <v>158</v>
      </c>
      <c r="CA66" s="15" t="s">
        <v>158</v>
      </c>
      <c r="CB66" s="15" t="s">
        <v>158</v>
      </c>
      <c r="CC66" s="15" t="s">
        <v>51</v>
      </c>
      <c r="CD66" s="15" t="s">
        <v>51</v>
      </c>
      <c r="CE66" s="15" t="s">
        <v>51</v>
      </c>
      <c r="CF66" s="15" t="s">
        <v>51</v>
      </c>
      <c r="CG66" s="15" t="s">
        <v>51</v>
      </c>
      <c r="CH66" s="15" t="s">
        <v>51</v>
      </c>
      <c r="CI66" s="15" t="s">
        <v>51</v>
      </c>
      <c r="CJ66" s="15" t="s">
        <v>51</v>
      </c>
      <c r="CK66" s="15" t="s">
        <v>51</v>
      </c>
      <c r="CL66" s="15" t="s">
        <v>51</v>
      </c>
      <c r="CM66" s="15" t="s">
        <v>51</v>
      </c>
      <c r="CN66" s="15" t="s">
        <v>51</v>
      </c>
      <c r="CO66" s="15" t="s">
        <v>158</v>
      </c>
      <c r="CP66" s="15" t="s">
        <v>158</v>
      </c>
      <c r="CQ66" s="15" t="s">
        <v>158</v>
      </c>
      <c r="CR66" s="15" t="s">
        <v>158</v>
      </c>
      <c r="CS66" s="15" t="s">
        <v>158</v>
      </c>
      <c r="CT66" s="15" t="s">
        <v>158</v>
      </c>
      <c r="CU66" s="15" t="s">
        <v>158</v>
      </c>
      <c r="CV66" s="15" t="s">
        <v>158</v>
      </c>
      <c r="CW66" s="15" t="s">
        <v>158</v>
      </c>
      <c r="CX66" s="15" t="s">
        <v>158</v>
      </c>
      <c r="CY66" s="15" t="s">
        <v>158</v>
      </c>
      <c r="CZ66" s="15" t="s">
        <v>158</v>
      </c>
      <c r="DA66" s="15" t="s">
        <v>113</v>
      </c>
      <c r="DB66" s="15" t="s">
        <v>113</v>
      </c>
      <c r="DC66" s="15" t="s">
        <v>113</v>
      </c>
      <c r="DD66" s="15" t="s">
        <v>113</v>
      </c>
      <c r="DE66" s="15" t="s">
        <v>113</v>
      </c>
    </row>
    <row r="67" spans="1:109" x14ac:dyDescent="0.3">
      <c r="A67" s="15" t="s">
        <v>54</v>
      </c>
      <c r="B67" s="15" t="s">
        <v>54</v>
      </c>
      <c r="C67" s="15" t="s">
        <v>54</v>
      </c>
      <c r="D67" s="15" t="s">
        <v>54</v>
      </c>
      <c r="E67" s="15" t="s">
        <v>53</v>
      </c>
      <c r="F67" s="15" t="s">
        <v>78</v>
      </c>
      <c r="G67" s="15" t="s">
        <v>78</v>
      </c>
      <c r="H67" s="15" t="s">
        <v>78</v>
      </c>
      <c r="I67" s="15" t="s">
        <v>79</v>
      </c>
      <c r="J67" s="15" t="s">
        <v>79</v>
      </c>
      <c r="K67" s="15" t="s">
        <v>79</v>
      </c>
      <c r="L67" s="15" t="s">
        <v>79</v>
      </c>
      <c r="M67" s="15" t="s">
        <v>78</v>
      </c>
      <c r="N67" s="15" t="s">
        <v>78</v>
      </c>
      <c r="O67" s="15" t="s">
        <v>78</v>
      </c>
      <c r="P67" s="15" t="s">
        <v>78</v>
      </c>
      <c r="Q67" s="15" t="s">
        <v>79</v>
      </c>
      <c r="R67" s="15" t="s">
        <v>79</v>
      </c>
      <c r="S67" s="15" t="s">
        <v>52</v>
      </c>
      <c r="T67" s="15" t="s">
        <v>52</v>
      </c>
      <c r="U67" s="15" t="s">
        <v>52</v>
      </c>
      <c r="V67" s="15" t="s">
        <v>158</v>
      </c>
      <c r="W67" s="15" t="s">
        <v>51</v>
      </c>
      <c r="X67" s="15" t="s">
        <v>51</v>
      </c>
      <c r="Y67" s="15" t="s">
        <v>158</v>
      </c>
      <c r="Z67" s="15" t="s">
        <v>158</v>
      </c>
      <c r="AA67" s="15" t="s">
        <v>158</v>
      </c>
      <c r="AB67" s="15" t="s">
        <v>158</v>
      </c>
      <c r="AC67" s="15" t="s">
        <v>52</v>
      </c>
      <c r="AD67" s="15" t="s">
        <v>52</v>
      </c>
      <c r="AE67" s="15" t="s">
        <v>52</v>
      </c>
      <c r="AF67" s="15" t="s">
        <v>52</v>
      </c>
      <c r="AG67" s="15" t="s">
        <v>51</v>
      </c>
      <c r="AH67" s="15" t="s">
        <v>51</v>
      </c>
      <c r="AI67" s="15" t="s">
        <v>158</v>
      </c>
      <c r="AJ67" s="15" t="s">
        <v>51</v>
      </c>
      <c r="AK67" s="15" t="s">
        <v>50</v>
      </c>
      <c r="AL67" s="15" t="s">
        <v>113</v>
      </c>
      <c r="AM67" s="15" t="s">
        <v>113</v>
      </c>
      <c r="AN67" s="15" t="s">
        <v>113</v>
      </c>
      <c r="AO67" s="15" t="s">
        <v>50</v>
      </c>
      <c r="AP67" s="15" t="s">
        <v>50</v>
      </c>
      <c r="AQ67" s="15" t="s">
        <v>51</v>
      </c>
      <c r="AR67" s="15" t="s">
        <v>51</v>
      </c>
      <c r="AS67" s="15" t="s">
        <v>51</v>
      </c>
      <c r="AT67" s="15" t="s">
        <v>51</v>
      </c>
      <c r="AU67" s="15" t="s">
        <v>51</v>
      </c>
      <c r="AV67" s="15" t="s">
        <v>52</v>
      </c>
      <c r="AW67" s="15" t="s">
        <v>79</v>
      </c>
      <c r="AX67" s="15" t="s">
        <v>79</v>
      </c>
      <c r="AY67" s="15" t="s">
        <v>79</v>
      </c>
      <c r="AZ67" s="15" t="s">
        <v>159</v>
      </c>
      <c r="BA67" s="15" t="s">
        <v>52</v>
      </c>
      <c r="BB67" s="15" t="s">
        <v>52</v>
      </c>
      <c r="BC67" s="15" t="s">
        <v>52</v>
      </c>
      <c r="BD67" s="15" t="s">
        <v>52</v>
      </c>
      <c r="BE67" s="15" t="s">
        <v>79</v>
      </c>
      <c r="BF67" s="15" t="s">
        <v>79</v>
      </c>
      <c r="BG67" s="15" t="s">
        <v>159</v>
      </c>
      <c r="BH67" s="15" t="s">
        <v>159</v>
      </c>
      <c r="BI67" s="15" t="s">
        <v>79</v>
      </c>
      <c r="BJ67" s="15" t="s">
        <v>79</v>
      </c>
      <c r="BK67" s="15" t="s">
        <v>79</v>
      </c>
      <c r="BL67" s="15" t="s">
        <v>79</v>
      </c>
      <c r="BM67" s="15" t="s">
        <v>52</v>
      </c>
      <c r="BN67" s="15" t="s">
        <v>52</v>
      </c>
      <c r="BO67" s="15" t="s">
        <v>52</v>
      </c>
      <c r="BP67" s="15" t="s">
        <v>52</v>
      </c>
      <c r="BQ67" s="15" t="s">
        <v>158</v>
      </c>
      <c r="BR67" s="15" t="s">
        <v>158</v>
      </c>
      <c r="BS67" s="15" t="s">
        <v>158</v>
      </c>
      <c r="BT67" s="15" t="s">
        <v>158</v>
      </c>
      <c r="BU67" s="15" t="s">
        <v>158</v>
      </c>
      <c r="BV67" s="15" t="s">
        <v>158</v>
      </c>
      <c r="BW67" s="15" t="s">
        <v>158</v>
      </c>
      <c r="BX67" s="15" t="s">
        <v>52</v>
      </c>
      <c r="BY67" s="15" t="s">
        <v>52</v>
      </c>
      <c r="BZ67" s="15" t="s">
        <v>52</v>
      </c>
      <c r="CA67" s="15" t="s">
        <v>52</v>
      </c>
      <c r="CB67" s="15" t="s">
        <v>52</v>
      </c>
      <c r="CC67" s="15" t="s">
        <v>158</v>
      </c>
      <c r="CD67" s="15" t="s">
        <v>158</v>
      </c>
      <c r="CE67" s="15" t="s">
        <v>158</v>
      </c>
      <c r="CF67" s="15" t="s">
        <v>158</v>
      </c>
      <c r="CG67" s="15" t="s">
        <v>158</v>
      </c>
      <c r="CH67" s="15" t="s">
        <v>158</v>
      </c>
      <c r="CI67" s="15" t="s">
        <v>158</v>
      </c>
      <c r="CJ67" s="15" t="s">
        <v>158</v>
      </c>
      <c r="CK67" s="15" t="s">
        <v>158</v>
      </c>
      <c r="CL67" s="15" t="s">
        <v>158</v>
      </c>
      <c r="CM67" s="15" t="s">
        <v>158</v>
      </c>
      <c r="CN67" s="15" t="s">
        <v>158</v>
      </c>
      <c r="CO67" s="15" t="s">
        <v>52</v>
      </c>
      <c r="CP67" s="15" t="s">
        <v>52</v>
      </c>
      <c r="CQ67" s="15" t="s">
        <v>52</v>
      </c>
      <c r="CR67" s="15" t="s">
        <v>52</v>
      </c>
      <c r="CS67" s="15" t="s">
        <v>52</v>
      </c>
      <c r="CT67" s="15" t="s">
        <v>52</v>
      </c>
      <c r="CU67" s="15" t="s">
        <v>52</v>
      </c>
      <c r="CV67" s="15" t="s">
        <v>52</v>
      </c>
      <c r="CW67" s="15" t="s">
        <v>52</v>
      </c>
      <c r="CX67" s="15" t="s">
        <v>52</v>
      </c>
      <c r="CY67" s="15" t="s">
        <v>52</v>
      </c>
      <c r="CZ67" s="15" t="s">
        <v>52</v>
      </c>
      <c r="DA67" s="15" t="s">
        <v>50</v>
      </c>
      <c r="DB67" s="15" t="s">
        <v>50</v>
      </c>
      <c r="DC67" s="15" t="s">
        <v>50</v>
      </c>
      <c r="DD67" s="15" t="s">
        <v>50</v>
      </c>
      <c r="DE67" s="15" t="s">
        <v>50</v>
      </c>
    </row>
    <row r="68" spans="1:109" x14ac:dyDescent="0.3">
      <c r="A68" s="15" t="s">
        <v>77</v>
      </c>
      <c r="B68" s="15" t="s">
        <v>77</v>
      </c>
      <c r="C68" s="15" t="s">
        <v>77</v>
      </c>
      <c r="D68" s="15" t="s">
        <v>77</v>
      </c>
      <c r="E68" s="15" t="s">
        <v>54</v>
      </c>
      <c r="F68" s="15" t="s">
        <v>53</v>
      </c>
      <c r="G68" s="15" t="s">
        <v>53</v>
      </c>
      <c r="H68" s="15" t="s">
        <v>53</v>
      </c>
      <c r="I68" s="15" t="s">
        <v>78</v>
      </c>
      <c r="J68" s="15" t="s">
        <v>78</v>
      </c>
      <c r="K68" s="15" t="s">
        <v>78</v>
      </c>
      <c r="L68" s="15" t="s">
        <v>78</v>
      </c>
      <c r="M68" s="15" t="s">
        <v>53</v>
      </c>
      <c r="N68" s="15" t="s">
        <v>53</v>
      </c>
      <c r="O68" s="15" t="s">
        <v>53</v>
      </c>
      <c r="P68" s="15" t="s">
        <v>159</v>
      </c>
      <c r="Q68" s="15" t="s">
        <v>78</v>
      </c>
      <c r="R68" s="15" t="s">
        <v>78</v>
      </c>
      <c r="S68" s="15" t="s">
        <v>79</v>
      </c>
      <c r="T68" s="15" t="s">
        <v>79</v>
      </c>
      <c r="U68" s="15" t="s">
        <v>79</v>
      </c>
      <c r="V68" s="15" t="s">
        <v>52</v>
      </c>
      <c r="W68" s="15" t="s">
        <v>158</v>
      </c>
      <c r="X68" s="15" t="s">
        <v>158</v>
      </c>
      <c r="Y68" s="15" t="s">
        <v>52</v>
      </c>
      <c r="Z68" s="15" t="s">
        <v>52</v>
      </c>
      <c r="AA68" s="15" t="s">
        <v>52</v>
      </c>
      <c r="AB68" s="15" t="s">
        <v>52</v>
      </c>
      <c r="AC68" s="15" t="s">
        <v>79</v>
      </c>
      <c r="AD68" s="15" t="s">
        <v>79</v>
      </c>
      <c r="AE68" s="15" t="s">
        <v>79</v>
      </c>
      <c r="AF68" s="15" t="s">
        <v>79</v>
      </c>
      <c r="AG68" s="15" t="s">
        <v>158</v>
      </c>
      <c r="AH68" s="15" t="s">
        <v>158</v>
      </c>
      <c r="AI68" s="15" t="s">
        <v>52</v>
      </c>
      <c r="AJ68" s="15" t="s">
        <v>158</v>
      </c>
      <c r="AK68" s="15" t="s">
        <v>51</v>
      </c>
      <c r="AL68" s="15" t="s">
        <v>50</v>
      </c>
      <c r="AM68" s="15" t="s">
        <v>50</v>
      </c>
      <c r="AN68" s="15" t="s">
        <v>50</v>
      </c>
      <c r="AO68" s="15" t="s">
        <v>51</v>
      </c>
      <c r="AP68" s="15" t="s">
        <v>51</v>
      </c>
      <c r="AQ68" s="15" t="s">
        <v>52</v>
      </c>
      <c r="AR68" s="15" t="s">
        <v>52</v>
      </c>
      <c r="AS68" s="15" t="s">
        <v>52</v>
      </c>
      <c r="AT68" s="15" t="s">
        <v>52</v>
      </c>
      <c r="AU68" s="15" t="s">
        <v>52</v>
      </c>
      <c r="AV68" s="15" t="s">
        <v>79</v>
      </c>
      <c r="AW68" s="15" t="s">
        <v>159</v>
      </c>
      <c r="AX68" s="15" t="s">
        <v>159</v>
      </c>
      <c r="AY68" s="15" t="s">
        <v>159</v>
      </c>
      <c r="AZ68" s="15" t="s">
        <v>53</v>
      </c>
      <c r="BA68" s="15" t="s">
        <v>79</v>
      </c>
      <c r="BB68" s="15" t="s">
        <v>79</v>
      </c>
      <c r="BC68" s="15" t="s">
        <v>79</v>
      </c>
      <c r="BD68" s="15" t="s">
        <v>79</v>
      </c>
      <c r="BE68" s="15" t="s">
        <v>159</v>
      </c>
      <c r="BF68" s="15" t="s">
        <v>159</v>
      </c>
      <c r="BG68" s="15" t="s">
        <v>54</v>
      </c>
      <c r="BH68" s="15" t="s">
        <v>54</v>
      </c>
      <c r="BI68" s="15" t="s">
        <v>159</v>
      </c>
      <c r="BJ68" s="15" t="s">
        <v>159</v>
      </c>
      <c r="BK68" s="15" t="s">
        <v>159</v>
      </c>
      <c r="BL68" s="15" t="s">
        <v>159</v>
      </c>
      <c r="BM68" s="15" t="s">
        <v>79</v>
      </c>
      <c r="BN68" s="15" t="s">
        <v>79</v>
      </c>
      <c r="BO68" s="15" t="s">
        <v>79</v>
      </c>
      <c r="BP68" s="15" t="s">
        <v>79</v>
      </c>
      <c r="BQ68" s="15" t="s">
        <v>52</v>
      </c>
      <c r="BR68" s="15" t="s">
        <v>52</v>
      </c>
      <c r="BS68" s="15" t="s">
        <v>52</v>
      </c>
      <c r="BT68" s="15" t="s">
        <v>52</v>
      </c>
      <c r="BU68" s="15" t="s">
        <v>52</v>
      </c>
      <c r="BV68" s="15" t="s">
        <v>52</v>
      </c>
      <c r="BW68" s="15" t="s">
        <v>52</v>
      </c>
      <c r="BX68" s="15" t="s">
        <v>79</v>
      </c>
      <c r="BY68" s="15" t="s">
        <v>79</v>
      </c>
      <c r="BZ68" s="15" t="s">
        <v>79</v>
      </c>
      <c r="CA68" s="15" t="s">
        <v>79</v>
      </c>
      <c r="CB68" s="15" t="s">
        <v>79</v>
      </c>
      <c r="CC68" s="15" t="s">
        <v>52</v>
      </c>
      <c r="CD68" s="15" t="s">
        <v>52</v>
      </c>
      <c r="CE68" s="15" t="s">
        <v>52</v>
      </c>
      <c r="CF68" s="15" t="s">
        <v>52</v>
      </c>
      <c r="CG68" s="15" t="s">
        <v>52</v>
      </c>
      <c r="CH68" s="15" t="s">
        <v>52</v>
      </c>
      <c r="CI68" s="15" t="s">
        <v>52</v>
      </c>
      <c r="CJ68" s="15" t="s">
        <v>52</v>
      </c>
      <c r="CK68" s="15" t="s">
        <v>52</v>
      </c>
      <c r="CL68" s="15" t="s">
        <v>52</v>
      </c>
      <c r="CM68" s="15" t="s">
        <v>52</v>
      </c>
      <c r="CN68" s="15" t="s">
        <v>52</v>
      </c>
      <c r="CO68" s="15" t="s">
        <v>79</v>
      </c>
      <c r="CP68" s="15" t="s">
        <v>79</v>
      </c>
      <c r="CQ68" s="15" t="s">
        <v>79</v>
      </c>
      <c r="CR68" s="15" t="s">
        <v>79</v>
      </c>
      <c r="CS68" s="15" t="s">
        <v>79</v>
      </c>
      <c r="CT68" s="15" t="s">
        <v>79</v>
      </c>
      <c r="CU68" s="15" t="s">
        <v>79</v>
      </c>
      <c r="CV68" s="15" t="s">
        <v>79</v>
      </c>
      <c r="CW68" s="15" t="s">
        <v>79</v>
      </c>
      <c r="CX68" s="15" t="s">
        <v>79</v>
      </c>
      <c r="CY68" s="15" t="s">
        <v>79</v>
      </c>
      <c r="CZ68" s="15" t="s">
        <v>79</v>
      </c>
      <c r="DA68" s="15" t="s">
        <v>51</v>
      </c>
      <c r="DB68" s="15" t="s">
        <v>51</v>
      </c>
      <c r="DC68" s="15" t="s">
        <v>51</v>
      </c>
      <c r="DD68" s="15" t="s">
        <v>51</v>
      </c>
      <c r="DE68" s="15" t="s">
        <v>51</v>
      </c>
    </row>
    <row r="69" spans="1:109" x14ac:dyDescent="0.3">
      <c r="A69" s="15" t="s">
        <v>161</v>
      </c>
      <c r="B69" s="15" t="s">
        <v>161</v>
      </c>
      <c r="C69" s="15" t="s">
        <v>161</v>
      </c>
      <c r="D69" s="15" t="s">
        <v>161</v>
      </c>
      <c r="E69" s="15" t="s">
        <v>77</v>
      </c>
      <c r="F69" s="15" t="s">
        <v>54</v>
      </c>
      <c r="G69" s="15" t="s">
        <v>54</v>
      </c>
      <c r="H69" s="15" t="s">
        <v>54</v>
      </c>
      <c r="I69" s="15" t="s">
        <v>53</v>
      </c>
      <c r="J69" s="15" t="s">
        <v>53</v>
      </c>
      <c r="K69" s="15" t="s">
        <v>53</v>
      </c>
      <c r="L69" s="15" t="s">
        <v>53</v>
      </c>
      <c r="M69" s="15" t="s">
        <v>54</v>
      </c>
      <c r="N69" s="15" t="s">
        <v>54</v>
      </c>
      <c r="O69" s="15" t="s">
        <v>54</v>
      </c>
      <c r="P69" s="15" t="s">
        <v>53</v>
      </c>
      <c r="Q69" s="15" t="s">
        <v>159</v>
      </c>
      <c r="R69" s="15" t="s">
        <v>159</v>
      </c>
      <c r="S69" s="15" t="s">
        <v>78</v>
      </c>
      <c r="T69" s="15" t="s">
        <v>78</v>
      </c>
      <c r="U69" s="15" t="s">
        <v>78</v>
      </c>
      <c r="V69" s="15" t="s">
        <v>79</v>
      </c>
      <c r="W69" s="15" t="s">
        <v>52</v>
      </c>
      <c r="X69" s="15" t="s">
        <v>52</v>
      </c>
      <c r="Y69" s="15" t="s">
        <v>79</v>
      </c>
      <c r="Z69" s="15" t="s">
        <v>79</v>
      </c>
      <c r="AA69" s="15" t="s">
        <v>79</v>
      </c>
      <c r="AB69" s="15" t="s">
        <v>79</v>
      </c>
      <c r="AC69" s="15" t="s">
        <v>78</v>
      </c>
      <c r="AD69" s="15" t="s">
        <v>78</v>
      </c>
      <c r="AE69" s="15" t="s">
        <v>78</v>
      </c>
      <c r="AF69" s="15" t="s">
        <v>78</v>
      </c>
      <c r="AG69" s="15" t="s">
        <v>52</v>
      </c>
      <c r="AH69" s="15" t="s">
        <v>52</v>
      </c>
      <c r="AI69" s="15" t="s">
        <v>79</v>
      </c>
      <c r="AJ69" s="15" t="s">
        <v>52</v>
      </c>
      <c r="AK69" s="15" t="s">
        <v>158</v>
      </c>
      <c r="AL69" s="15" t="s">
        <v>51</v>
      </c>
      <c r="AM69" s="15" t="s">
        <v>51</v>
      </c>
      <c r="AN69" s="15" t="s">
        <v>51</v>
      </c>
      <c r="AO69" s="15" t="s">
        <v>52</v>
      </c>
      <c r="AP69" s="15" t="s">
        <v>52</v>
      </c>
      <c r="AQ69" s="15" t="s">
        <v>79</v>
      </c>
      <c r="AR69" s="15" t="s">
        <v>79</v>
      </c>
      <c r="AS69" s="15" t="s">
        <v>79</v>
      </c>
      <c r="AT69" s="15" t="s">
        <v>79</v>
      </c>
      <c r="AU69" s="15" t="s">
        <v>79</v>
      </c>
      <c r="AV69" s="15" t="s">
        <v>159</v>
      </c>
      <c r="AW69" s="15" t="s">
        <v>53</v>
      </c>
      <c r="AX69" s="15" t="s">
        <v>53</v>
      </c>
      <c r="AY69" s="15" t="s">
        <v>53</v>
      </c>
      <c r="AZ69" s="15" t="s">
        <v>54</v>
      </c>
      <c r="BA69" s="15" t="s">
        <v>159</v>
      </c>
      <c r="BB69" s="15" t="s">
        <v>159</v>
      </c>
      <c r="BC69" s="15" t="s">
        <v>159</v>
      </c>
      <c r="BD69" s="15" t="s">
        <v>159</v>
      </c>
      <c r="BE69" s="15" t="s">
        <v>53</v>
      </c>
      <c r="BF69" s="15" t="s">
        <v>54</v>
      </c>
      <c r="BG69" s="15" t="s">
        <v>161</v>
      </c>
      <c r="BH69" s="15" t="s">
        <v>161</v>
      </c>
      <c r="BI69" s="15" t="s">
        <v>53</v>
      </c>
      <c r="BJ69" s="15" t="s">
        <v>53</v>
      </c>
      <c r="BK69" s="15" t="s">
        <v>53</v>
      </c>
      <c r="BL69" s="15" t="s">
        <v>53</v>
      </c>
      <c r="BM69" s="15" t="s">
        <v>159</v>
      </c>
      <c r="BN69" s="15" t="s">
        <v>159</v>
      </c>
      <c r="BO69" s="15" t="s">
        <v>54</v>
      </c>
      <c r="BP69" s="15" t="s">
        <v>54</v>
      </c>
      <c r="BQ69" s="15" t="s">
        <v>79</v>
      </c>
      <c r="BR69" s="15" t="s">
        <v>79</v>
      </c>
      <c r="BS69" s="15" t="s">
        <v>79</v>
      </c>
      <c r="BT69" s="15" t="s">
        <v>79</v>
      </c>
      <c r="BU69" s="15" t="s">
        <v>79</v>
      </c>
      <c r="BV69" s="15" t="s">
        <v>79</v>
      </c>
      <c r="BW69" s="15" t="s">
        <v>79</v>
      </c>
      <c r="BX69" s="15" t="s">
        <v>54</v>
      </c>
      <c r="BY69" s="15" t="s">
        <v>54</v>
      </c>
      <c r="BZ69" s="15" t="s">
        <v>54</v>
      </c>
      <c r="CA69" s="15" t="s">
        <v>54</v>
      </c>
      <c r="CB69" s="15" t="s">
        <v>54</v>
      </c>
      <c r="CC69" s="15" t="s">
        <v>79</v>
      </c>
      <c r="CD69" s="15" t="s">
        <v>79</v>
      </c>
      <c r="CE69" s="15" t="s">
        <v>79</v>
      </c>
      <c r="CF69" s="15" t="s">
        <v>79</v>
      </c>
      <c r="CG69" s="15" t="s">
        <v>79</v>
      </c>
      <c r="CH69" s="15" t="s">
        <v>79</v>
      </c>
      <c r="CI69" s="15" t="s">
        <v>79</v>
      </c>
      <c r="CJ69" s="15" t="s">
        <v>79</v>
      </c>
      <c r="CK69" s="15" t="s">
        <v>79</v>
      </c>
      <c r="CL69" s="15" t="s">
        <v>79</v>
      </c>
      <c r="CM69" s="15" t="s">
        <v>79</v>
      </c>
      <c r="CN69" s="15" t="s">
        <v>79</v>
      </c>
      <c r="CO69" s="15" t="s">
        <v>54</v>
      </c>
      <c r="CP69" s="15" t="s">
        <v>54</v>
      </c>
      <c r="CQ69" s="15" t="s">
        <v>54</v>
      </c>
      <c r="CR69" s="15" t="s">
        <v>54</v>
      </c>
      <c r="CS69" s="15" t="s">
        <v>54</v>
      </c>
      <c r="CT69" s="15" t="s">
        <v>54</v>
      </c>
      <c r="CU69" s="15" t="s">
        <v>54</v>
      </c>
      <c r="CV69" s="15" t="s">
        <v>54</v>
      </c>
      <c r="CW69" s="15" t="s">
        <v>54</v>
      </c>
      <c r="CX69" s="15" t="s">
        <v>54</v>
      </c>
      <c r="CY69" s="15" t="s">
        <v>54</v>
      </c>
      <c r="CZ69" s="15" t="s">
        <v>54</v>
      </c>
      <c r="DA69" s="15" t="s">
        <v>158</v>
      </c>
      <c r="DB69" s="15" t="s">
        <v>158</v>
      </c>
      <c r="DC69" s="15" t="s">
        <v>158</v>
      </c>
      <c r="DD69" s="15" t="s">
        <v>158</v>
      </c>
      <c r="DE69" s="15" t="s">
        <v>158</v>
      </c>
    </row>
    <row r="70" spans="1:109" x14ac:dyDescent="0.3">
      <c r="A70" s="15" t="s">
        <v>55</v>
      </c>
      <c r="B70" s="15" t="s">
        <v>55</v>
      </c>
      <c r="C70" s="15" t="s">
        <v>55</v>
      </c>
      <c r="D70" s="15" t="s">
        <v>55</v>
      </c>
      <c r="E70" s="15" t="s">
        <v>161</v>
      </c>
      <c r="F70" s="15" t="s">
        <v>77</v>
      </c>
      <c r="G70" s="15" t="s">
        <v>77</v>
      </c>
      <c r="H70" s="15" t="s">
        <v>77</v>
      </c>
      <c r="I70" s="15" t="s">
        <v>54</v>
      </c>
      <c r="J70" s="15" t="s">
        <v>54</v>
      </c>
      <c r="K70" s="15" t="s">
        <v>54</v>
      </c>
      <c r="L70" s="15" t="s">
        <v>54</v>
      </c>
      <c r="M70" s="15" t="s">
        <v>77</v>
      </c>
      <c r="N70" s="15" t="s">
        <v>77</v>
      </c>
      <c r="O70" s="15" t="s">
        <v>77</v>
      </c>
      <c r="P70" s="15" t="s">
        <v>54</v>
      </c>
      <c r="Q70" s="15" t="s">
        <v>53</v>
      </c>
      <c r="R70" s="15" t="s">
        <v>53</v>
      </c>
      <c r="S70" s="15" t="s">
        <v>159</v>
      </c>
      <c r="T70" s="15" t="s">
        <v>159</v>
      </c>
      <c r="U70" s="15" t="s">
        <v>159</v>
      </c>
      <c r="V70" s="15" t="s">
        <v>78</v>
      </c>
      <c r="W70" s="15" t="s">
        <v>79</v>
      </c>
      <c r="X70" s="15" t="s">
        <v>79</v>
      </c>
      <c r="Y70" s="15" t="s">
        <v>78</v>
      </c>
      <c r="Z70" s="15" t="s">
        <v>78</v>
      </c>
      <c r="AA70" s="15" t="s">
        <v>78</v>
      </c>
      <c r="AB70" s="15" t="s">
        <v>78</v>
      </c>
      <c r="AC70" s="15" t="s">
        <v>159</v>
      </c>
      <c r="AD70" s="15" t="s">
        <v>159</v>
      </c>
      <c r="AE70" s="15" t="s">
        <v>159</v>
      </c>
      <c r="AF70" s="15" t="s">
        <v>159</v>
      </c>
      <c r="AG70" s="15" t="s">
        <v>79</v>
      </c>
      <c r="AH70" s="15" t="s">
        <v>79</v>
      </c>
      <c r="AI70" s="15" t="s">
        <v>159</v>
      </c>
      <c r="AJ70" s="15" t="s">
        <v>79</v>
      </c>
      <c r="AK70" s="15" t="s">
        <v>52</v>
      </c>
      <c r="AL70" s="15" t="s">
        <v>158</v>
      </c>
      <c r="AM70" s="15" t="s">
        <v>158</v>
      </c>
      <c r="AN70" s="15" t="s">
        <v>158</v>
      </c>
      <c r="AO70" s="15" t="s">
        <v>79</v>
      </c>
      <c r="AP70" s="15" t="s">
        <v>79</v>
      </c>
      <c r="AQ70" s="15" t="s">
        <v>159</v>
      </c>
      <c r="AR70" s="15" t="s">
        <v>159</v>
      </c>
      <c r="AS70" s="15" t="s">
        <v>159</v>
      </c>
      <c r="AT70" s="15" t="s">
        <v>159</v>
      </c>
      <c r="AU70" s="15" t="s">
        <v>159</v>
      </c>
      <c r="AV70" s="15" t="s">
        <v>53</v>
      </c>
      <c r="AW70" s="15" t="s">
        <v>54</v>
      </c>
      <c r="AX70" s="15" t="s">
        <v>54</v>
      </c>
      <c r="AY70" s="15" t="s">
        <v>54</v>
      </c>
      <c r="AZ70" s="15" t="s">
        <v>77</v>
      </c>
      <c r="BA70" s="15" t="s">
        <v>53</v>
      </c>
      <c r="BB70" s="15" t="s">
        <v>53</v>
      </c>
      <c r="BC70" s="15" t="s">
        <v>53</v>
      </c>
      <c r="BD70" s="15" t="s">
        <v>53</v>
      </c>
      <c r="BE70" s="15" t="s">
        <v>54</v>
      </c>
      <c r="BF70" s="15" t="s">
        <v>161</v>
      </c>
      <c r="BG70" s="15" t="s">
        <v>55</v>
      </c>
      <c r="BH70" s="15" t="s">
        <v>55</v>
      </c>
      <c r="BI70" s="15" t="s">
        <v>54</v>
      </c>
      <c r="BJ70" s="15" t="s">
        <v>54</v>
      </c>
      <c r="BK70" s="15" t="s">
        <v>54</v>
      </c>
      <c r="BL70" s="15" t="s">
        <v>54</v>
      </c>
      <c r="BM70" s="15" t="s">
        <v>53</v>
      </c>
      <c r="BN70" s="15" t="s">
        <v>53</v>
      </c>
      <c r="BO70" s="15" t="s">
        <v>161</v>
      </c>
      <c r="BP70" s="15" t="s">
        <v>161</v>
      </c>
      <c r="BQ70" s="15" t="s">
        <v>54</v>
      </c>
      <c r="BR70" s="15" t="s">
        <v>54</v>
      </c>
      <c r="BS70" s="15" t="s">
        <v>54</v>
      </c>
      <c r="BT70" s="15" t="s">
        <v>54</v>
      </c>
      <c r="BU70" s="15" t="s">
        <v>54</v>
      </c>
      <c r="BV70" s="15" t="s">
        <v>54</v>
      </c>
      <c r="BW70" s="15" t="s">
        <v>54</v>
      </c>
      <c r="BX70" s="15" t="s">
        <v>161</v>
      </c>
      <c r="BY70" s="15" t="s">
        <v>161</v>
      </c>
      <c r="BZ70" s="15" t="s">
        <v>161</v>
      </c>
      <c r="CA70" s="15" t="s">
        <v>161</v>
      </c>
      <c r="CB70" s="15" t="s">
        <v>161</v>
      </c>
      <c r="CC70" s="15" t="s">
        <v>54</v>
      </c>
      <c r="CD70" s="15" t="s">
        <v>54</v>
      </c>
      <c r="CE70" s="15" t="s">
        <v>54</v>
      </c>
      <c r="CF70" s="15" t="s">
        <v>54</v>
      </c>
      <c r="CG70" s="15" t="s">
        <v>54</v>
      </c>
      <c r="CH70" s="15" t="s">
        <v>54</v>
      </c>
      <c r="CI70" s="15" t="s">
        <v>54</v>
      </c>
      <c r="CJ70" s="15" t="s">
        <v>54</v>
      </c>
      <c r="CK70" s="15" t="s">
        <v>54</v>
      </c>
      <c r="CL70" s="15" t="s">
        <v>54</v>
      </c>
      <c r="CM70" s="15" t="s">
        <v>54</v>
      </c>
      <c r="CN70" s="15" t="s">
        <v>54</v>
      </c>
      <c r="CO70" s="15" t="s">
        <v>161</v>
      </c>
      <c r="CP70" s="15" t="s">
        <v>161</v>
      </c>
      <c r="CQ70" s="15" t="s">
        <v>161</v>
      </c>
      <c r="CR70" s="15" t="s">
        <v>161</v>
      </c>
      <c r="CS70" s="15" t="s">
        <v>161</v>
      </c>
      <c r="CT70" s="15" t="s">
        <v>161</v>
      </c>
      <c r="CU70" s="15" t="s">
        <v>161</v>
      </c>
      <c r="CV70" s="15" t="s">
        <v>161</v>
      </c>
      <c r="CW70" s="15" t="s">
        <v>161</v>
      </c>
      <c r="CX70" s="15" t="s">
        <v>161</v>
      </c>
      <c r="CY70" s="15" t="s">
        <v>161</v>
      </c>
      <c r="CZ70" s="15" t="s">
        <v>161</v>
      </c>
      <c r="DA70" s="15" t="s">
        <v>52</v>
      </c>
      <c r="DB70" s="15" t="s">
        <v>52</v>
      </c>
      <c r="DC70" s="15" t="s">
        <v>52</v>
      </c>
      <c r="DD70" s="15" t="s">
        <v>52</v>
      </c>
      <c r="DE70" s="15" t="s">
        <v>52</v>
      </c>
    </row>
    <row r="71" spans="1:109" x14ac:dyDescent="0.3">
      <c r="A71" s="15" t="s">
        <v>162</v>
      </c>
      <c r="B71" s="15" t="s">
        <v>162</v>
      </c>
      <c r="C71" s="15" t="s">
        <v>162</v>
      </c>
      <c r="D71" s="15" t="s">
        <v>162</v>
      </c>
      <c r="E71" s="15" t="s">
        <v>55</v>
      </c>
      <c r="F71" s="15" t="s">
        <v>161</v>
      </c>
      <c r="G71" s="15" t="s">
        <v>161</v>
      </c>
      <c r="H71" s="15" t="s">
        <v>161</v>
      </c>
      <c r="I71" s="15" t="s">
        <v>77</v>
      </c>
      <c r="J71" s="15" t="s">
        <v>77</v>
      </c>
      <c r="K71" s="15" t="s">
        <v>77</v>
      </c>
      <c r="L71" s="15" t="s">
        <v>77</v>
      </c>
      <c r="M71" s="15" t="s">
        <v>161</v>
      </c>
      <c r="N71" s="15" t="s">
        <v>161</v>
      </c>
      <c r="O71" s="15" t="s">
        <v>161</v>
      </c>
      <c r="P71" s="15" t="s">
        <v>77</v>
      </c>
      <c r="Q71" s="15" t="s">
        <v>160</v>
      </c>
      <c r="R71" s="15" t="s">
        <v>160</v>
      </c>
      <c r="S71" s="15" t="s">
        <v>53</v>
      </c>
      <c r="T71" s="15" t="s">
        <v>53</v>
      </c>
      <c r="U71" s="15" t="s">
        <v>53</v>
      </c>
      <c r="V71" s="15" t="s">
        <v>159</v>
      </c>
      <c r="W71" s="15" t="s">
        <v>78</v>
      </c>
      <c r="X71" s="15" t="s">
        <v>78</v>
      </c>
      <c r="Y71" s="15" t="s">
        <v>159</v>
      </c>
      <c r="Z71" s="15" t="s">
        <v>159</v>
      </c>
      <c r="AA71" s="15" t="s">
        <v>159</v>
      </c>
      <c r="AB71" s="15" t="s">
        <v>159</v>
      </c>
      <c r="AC71" s="15" t="s">
        <v>53</v>
      </c>
      <c r="AD71" s="15" t="s">
        <v>53</v>
      </c>
      <c r="AE71" s="15" t="s">
        <v>53</v>
      </c>
      <c r="AF71" s="15" t="s">
        <v>53</v>
      </c>
      <c r="AG71" s="15" t="s">
        <v>78</v>
      </c>
      <c r="AH71" s="15" t="s">
        <v>78</v>
      </c>
      <c r="AI71" s="15" t="s">
        <v>53</v>
      </c>
      <c r="AJ71" s="15" t="s">
        <v>159</v>
      </c>
      <c r="AK71" s="15" t="s">
        <v>79</v>
      </c>
      <c r="AL71" s="15" t="s">
        <v>52</v>
      </c>
      <c r="AM71" s="15" t="s">
        <v>52</v>
      </c>
      <c r="AN71" s="15" t="s">
        <v>52</v>
      </c>
      <c r="AO71" s="15" t="s">
        <v>159</v>
      </c>
      <c r="AP71" s="15" t="s">
        <v>159</v>
      </c>
      <c r="AQ71" s="15" t="s">
        <v>53</v>
      </c>
      <c r="AR71" s="15" t="s">
        <v>53</v>
      </c>
      <c r="AS71" s="15" t="s">
        <v>53</v>
      </c>
      <c r="AT71" s="15" t="s">
        <v>53</v>
      </c>
      <c r="AU71" s="15" t="s">
        <v>53</v>
      </c>
      <c r="AV71" s="15" t="s">
        <v>54</v>
      </c>
      <c r="AW71" s="15" t="s">
        <v>77</v>
      </c>
      <c r="AX71" s="15" t="s">
        <v>77</v>
      </c>
      <c r="AY71" s="15" t="s">
        <v>77</v>
      </c>
      <c r="AZ71" s="15" t="s">
        <v>161</v>
      </c>
      <c r="BA71" s="15" t="s">
        <v>54</v>
      </c>
      <c r="BB71" s="15" t="s">
        <v>54</v>
      </c>
      <c r="BC71" s="15" t="s">
        <v>54</v>
      </c>
      <c r="BD71" s="15" t="s">
        <v>54</v>
      </c>
      <c r="BE71" s="15" t="s">
        <v>161</v>
      </c>
      <c r="BF71" s="15" t="s">
        <v>55</v>
      </c>
      <c r="BG71" s="15" t="s">
        <v>163</v>
      </c>
      <c r="BH71" s="15" t="s">
        <v>163</v>
      </c>
      <c r="BI71" s="15" t="s">
        <v>77</v>
      </c>
      <c r="BJ71" s="15" t="s">
        <v>77</v>
      </c>
      <c r="BK71" s="15" t="s">
        <v>77</v>
      </c>
      <c r="BL71" s="15" t="s">
        <v>77</v>
      </c>
      <c r="BM71" s="15" t="s">
        <v>54</v>
      </c>
      <c r="BN71" s="15" t="s">
        <v>54</v>
      </c>
      <c r="BO71" s="15" t="s">
        <v>55</v>
      </c>
      <c r="BP71" s="15" t="s">
        <v>55</v>
      </c>
      <c r="BQ71" s="15" t="s">
        <v>161</v>
      </c>
      <c r="BR71" s="15" t="s">
        <v>161</v>
      </c>
      <c r="BS71" s="15" t="s">
        <v>161</v>
      </c>
      <c r="BT71" s="15" t="s">
        <v>161</v>
      </c>
      <c r="BU71" s="15" t="s">
        <v>161</v>
      </c>
      <c r="BV71" s="15" t="s">
        <v>161</v>
      </c>
      <c r="BW71" s="15" t="s">
        <v>161</v>
      </c>
      <c r="BX71" s="15" t="s">
        <v>55</v>
      </c>
      <c r="BY71" s="15" t="s">
        <v>55</v>
      </c>
      <c r="BZ71" s="15" t="s">
        <v>55</v>
      </c>
      <c r="CA71" s="15" t="s">
        <v>55</v>
      </c>
      <c r="CB71" s="15" t="s">
        <v>55</v>
      </c>
      <c r="CC71" s="15" t="s">
        <v>161</v>
      </c>
      <c r="CD71" s="15" t="s">
        <v>161</v>
      </c>
      <c r="CE71" s="15" t="s">
        <v>161</v>
      </c>
      <c r="CF71" s="15" t="s">
        <v>161</v>
      </c>
      <c r="CG71" s="15" t="s">
        <v>161</v>
      </c>
      <c r="CH71" s="15" t="s">
        <v>161</v>
      </c>
      <c r="CI71" s="15" t="s">
        <v>161</v>
      </c>
      <c r="CJ71" s="15" t="s">
        <v>161</v>
      </c>
      <c r="CK71" s="15" t="s">
        <v>161</v>
      </c>
      <c r="CL71" s="15" t="s">
        <v>161</v>
      </c>
      <c r="CM71" s="15" t="s">
        <v>161</v>
      </c>
      <c r="CN71" s="15" t="s">
        <v>161</v>
      </c>
      <c r="CO71" s="15" t="s">
        <v>55</v>
      </c>
      <c r="CP71" s="15" t="s">
        <v>55</v>
      </c>
      <c r="CQ71" s="15" t="s">
        <v>55</v>
      </c>
      <c r="CR71" s="15" t="s">
        <v>55</v>
      </c>
      <c r="CS71" s="15" t="s">
        <v>55</v>
      </c>
      <c r="CT71" s="15" t="s">
        <v>55</v>
      </c>
      <c r="CU71" s="15" t="s">
        <v>55</v>
      </c>
      <c r="CV71" s="15" t="s">
        <v>55</v>
      </c>
      <c r="CW71" s="15" t="s">
        <v>55</v>
      </c>
      <c r="CX71" s="15" t="s">
        <v>55</v>
      </c>
      <c r="CY71" s="15" t="s">
        <v>55</v>
      </c>
      <c r="CZ71" s="15" t="s">
        <v>55</v>
      </c>
      <c r="DA71" s="15" t="s">
        <v>79</v>
      </c>
      <c r="DB71" s="15" t="s">
        <v>79</v>
      </c>
      <c r="DC71" s="15" t="s">
        <v>79</v>
      </c>
      <c r="DD71" s="15" t="s">
        <v>79</v>
      </c>
      <c r="DE71" s="15" t="s">
        <v>79</v>
      </c>
    </row>
    <row r="72" spans="1:109" x14ac:dyDescent="0.3">
      <c r="A72" s="15" t="s">
        <v>163</v>
      </c>
      <c r="B72" s="15" t="s">
        <v>163</v>
      </c>
      <c r="C72" s="15" t="s">
        <v>163</v>
      </c>
      <c r="D72" s="15" t="s">
        <v>163</v>
      </c>
      <c r="E72" s="15" t="s">
        <v>162</v>
      </c>
      <c r="F72" s="15" t="s">
        <v>55</v>
      </c>
      <c r="G72" s="15" t="s">
        <v>55</v>
      </c>
      <c r="H72" s="15" t="s">
        <v>55</v>
      </c>
      <c r="I72" s="15" t="s">
        <v>161</v>
      </c>
      <c r="J72" s="15" t="s">
        <v>161</v>
      </c>
      <c r="K72" s="15" t="s">
        <v>161</v>
      </c>
      <c r="L72" s="15" t="s">
        <v>161</v>
      </c>
      <c r="M72" s="15" t="s">
        <v>55</v>
      </c>
      <c r="N72" s="15" t="s">
        <v>55</v>
      </c>
      <c r="O72" s="15" t="s">
        <v>55</v>
      </c>
      <c r="P72" s="15" t="s">
        <v>161</v>
      </c>
      <c r="Q72" s="15" t="s">
        <v>54</v>
      </c>
      <c r="R72" s="15" t="s">
        <v>54</v>
      </c>
      <c r="S72" s="15" t="s">
        <v>160</v>
      </c>
      <c r="T72" s="15" t="s">
        <v>160</v>
      </c>
      <c r="U72" s="15" t="s">
        <v>160</v>
      </c>
      <c r="V72" s="15" t="s">
        <v>53</v>
      </c>
      <c r="W72" s="15" t="s">
        <v>159</v>
      </c>
      <c r="X72" s="15" t="s">
        <v>159</v>
      </c>
      <c r="Y72" s="15" t="s">
        <v>53</v>
      </c>
      <c r="Z72" s="15" t="s">
        <v>53</v>
      </c>
      <c r="AA72" s="15" t="s">
        <v>53</v>
      </c>
      <c r="AB72" s="15" t="s">
        <v>53</v>
      </c>
      <c r="AC72" s="15" t="s">
        <v>160</v>
      </c>
      <c r="AD72" s="15" t="s">
        <v>160</v>
      </c>
      <c r="AE72" s="15" t="s">
        <v>160</v>
      </c>
      <c r="AF72" s="15" t="s">
        <v>160</v>
      </c>
      <c r="AG72" s="15" t="s">
        <v>159</v>
      </c>
      <c r="AH72" s="15" t="s">
        <v>159</v>
      </c>
      <c r="AI72" s="15" t="s">
        <v>160</v>
      </c>
      <c r="AJ72" s="15" t="s">
        <v>53</v>
      </c>
      <c r="AK72" s="15" t="s">
        <v>159</v>
      </c>
      <c r="AL72" s="15" t="s">
        <v>79</v>
      </c>
      <c r="AM72" s="15" t="s">
        <v>79</v>
      </c>
      <c r="AN72" s="15" t="s">
        <v>79</v>
      </c>
      <c r="AO72" s="15" t="s">
        <v>53</v>
      </c>
      <c r="AP72" s="15" t="s">
        <v>53</v>
      </c>
      <c r="AQ72" s="15" t="s">
        <v>54</v>
      </c>
      <c r="AR72" s="15" t="s">
        <v>54</v>
      </c>
      <c r="AS72" s="15" t="s">
        <v>54</v>
      </c>
      <c r="AT72" s="15" t="s">
        <v>54</v>
      </c>
      <c r="AU72" s="15" t="s">
        <v>54</v>
      </c>
      <c r="AV72" s="15" t="s">
        <v>77</v>
      </c>
      <c r="AW72" s="15" t="s">
        <v>161</v>
      </c>
      <c r="AX72" s="15" t="s">
        <v>161</v>
      </c>
      <c r="AY72" s="15" t="s">
        <v>161</v>
      </c>
      <c r="AZ72" s="15" t="s">
        <v>55</v>
      </c>
      <c r="BA72" s="15" t="s">
        <v>161</v>
      </c>
      <c r="BB72" s="15" t="s">
        <v>161</v>
      </c>
      <c r="BC72" s="15" t="s">
        <v>161</v>
      </c>
      <c r="BD72" s="15" t="s">
        <v>161</v>
      </c>
      <c r="BE72" s="15" t="s">
        <v>55</v>
      </c>
      <c r="BF72" s="15" t="s">
        <v>163</v>
      </c>
      <c r="BG72" s="15" t="s">
        <v>56</v>
      </c>
      <c r="BH72" s="15" t="s">
        <v>56</v>
      </c>
      <c r="BI72" s="15" t="s">
        <v>161</v>
      </c>
      <c r="BJ72" s="15" t="s">
        <v>161</v>
      </c>
      <c r="BK72" s="15" t="s">
        <v>161</v>
      </c>
      <c r="BL72" s="15" t="s">
        <v>161</v>
      </c>
      <c r="BM72" s="15" t="s">
        <v>161</v>
      </c>
      <c r="BN72" s="15" t="s">
        <v>161</v>
      </c>
      <c r="BO72" s="15" t="s">
        <v>163</v>
      </c>
      <c r="BP72" s="15" t="s">
        <v>163</v>
      </c>
      <c r="BQ72" s="15" t="s">
        <v>55</v>
      </c>
      <c r="BR72" s="15" t="s">
        <v>55</v>
      </c>
      <c r="BS72" s="15" t="s">
        <v>55</v>
      </c>
      <c r="BT72" s="15" t="s">
        <v>55</v>
      </c>
      <c r="BU72" s="15" t="s">
        <v>55</v>
      </c>
      <c r="BV72" s="15" t="s">
        <v>55</v>
      </c>
      <c r="BW72" s="15" t="s">
        <v>55</v>
      </c>
      <c r="BX72" s="15" t="s">
        <v>163</v>
      </c>
      <c r="BY72" s="15" t="s">
        <v>163</v>
      </c>
      <c r="BZ72" s="15" t="s">
        <v>163</v>
      </c>
      <c r="CA72" s="15" t="s">
        <v>163</v>
      </c>
      <c r="CB72" s="15" t="s">
        <v>163</v>
      </c>
      <c r="CC72" s="15" t="s">
        <v>55</v>
      </c>
      <c r="CD72" s="15" t="s">
        <v>55</v>
      </c>
      <c r="CE72" s="15" t="s">
        <v>55</v>
      </c>
      <c r="CF72" s="15" t="s">
        <v>55</v>
      </c>
      <c r="CG72" s="15" t="s">
        <v>55</v>
      </c>
      <c r="CH72" s="15" t="s">
        <v>55</v>
      </c>
      <c r="CI72" s="15" t="s">
        <v>55</v>
      </c>
      <c r="CJ72" s="15" t="s">
        <v>55</v>
      </c>
      <c r="CK72" s="15" t="s">
        <v>55</v>
      </c>
      <c r="CL72" s="15" t="s">
        <v>55</v>
      </c>
      <c r="CM72" s="15" t="s">
        <v>55</v>
      </c>
      <c r="CN72" s="15" t="s">
        <v>55</v>
      </c>
      <c r="CO72" s="15" t="s">
        <v>163</v>
      </c>
      <c r="CP72" s="15" t="s">
        <v>163</v>
      </c>
      <c r="CQ72" s="15" t="s">
        <v>163</v>
      </c>
      <c r="CR72" s="15" t="s">
        <v>163</v>
      </c>
      <c r="CS72" s="15" t="s">
        <v>163</v>
      </c>
      <c r="CT72" s="15" t="s">
        <v>163</v>
      </c>
      <c r="CU72" s="15" t="s">
        <v>163</v>
      </c>
      <c r="CV72" s="15" t="s">
        <v>163</v>
      </c>
      <c r="CW72" s="15" t="s">
        <v>163</v>
      </c>
      <c r="CX72" s="15" t="s">
        <v>163</v>
      </c>
      <c r="CY72" s="15" t="s">
        <v>163</v>
      </c>
      <c r="CZ72" s="15" t="s">
        <v>163</v>
      </c>
      <c r="DA72" s="15" t="s">
        <v>54</v>
      </c>
      <c r="DB72" s="15" t="s">
        <v>54</v>
      </c>
      <c r="DC72" s="15" t="s">
        <v>54</v>
      </c>
      <c r="DD72" s="15" t="s">
        <v>54</v>
      </c>
      <c r="DE72" s="15" t="s">
        <v>54</v>
      </c>
    </row>
    <row r="73" spans="1:109" x14ac:dyDescent="0.3">
      <c r="A73" s="15" t="s">
        <v>164</v>
      </c>
      <c r="B73" s="15" t="s">
        <v>164</v>
      </c>
      <c r="C73" s="15" t="s">
        <v>164</v>
      </c>
      <c r="D73" s="15" t="s">
        <v>164</v>
      </c>
      <c r="E73" s="15" t="s">
        <v>163</v>
      </c>
      <c r="F73" s="15" t="s">
        <v>162</v>
      </c>
      <c r="G73" s="15" t="s">
        <v>162</v>
      </c>
      <c r="H73" s="15" t="s">
        <v>162</v>
      </c>
      <c r="I73" s="15" t="s">
        <v>55</v>
      </c>
      <c r="J73" s="15" t="s">
        <v>55</v>
      </c>
      <c r="K73" s="15" t="s">
        <v>55</v>
      </c>
      <c r="L73" s="15" t="s">
        <v>55</v>
      </c>
      <c r="M73" s="15" t="s">
        <v>163</v>
      </c>
      <c r="N73" s="15" t="s">
        <v>163</v>
      </c>
      <c r="O73" s="15" t="s">
        <v>163</v>
      </c>
      <c r="P73" s="15" t="s">
        <v>55</v>
      </c>
      <c r="Q73" s="15" t="s">
        <v>77</v>
      </c>
      <c r="R73" s="15" t="s">
        <v>77</v>
      </c>
      <c r="S73" s="15" t="s">
        <v>54</v>
      </c>
      <c r="T73" s="15" t="s">
        <v>54</v>
      </c>
      <c r="U73" s="15" t="s">
        <v>54</v>
      </c>
      <c r="V73" s="15" t="s">
        <v>160</v>
      </c>
      <c r="W73" s="15" t="s">
        <v>53</v>
      </c>
      <c r="X73" s="15" t="s">
        <v>53</v>
      </c>
      <c r="Y73" s="15" t="s">
        <v>160</v>
      </c>
      <c r="Z73" s="15" t="s">
        <v>160</v>
      </c>
      <c r="AA73" s="15" t="s">
        <v>160</v>
      </c>
      <c r="AB73" s="15" t="s">
        <v>160</v>
      </c>
      <c r="AC73" s="15" t="s">
        <v>54</v>
      </c>
      <c r="AD73" s="15" t="s">
        <v>54</v>
      </c>
      <c r="AE73" s="15" t="s">
        <v>54</v>
      </c>
      <c r="AF73" s="15" t="s">
        <v>54</v>
      </c>
      <c r="AG73" s="15" t="s">
        <v>53</v>
      </c>
      <c r="AH73" s="15" t="s">
        <v>53</v>
      </c>
      <c r="AI73" s="15" t="s">
        <v>54</v>
      </c>
      <c r="AJ73" s="15" t="s">
        <v>54</v>
      </c>
      <c r="AK73" s="15" t="s">
        <v>53</v>
      </c>
      <c r="AL73" s="15" t="s">
        <v>159</v>
      </c>
      <c r="AM73" s="15" t="s">
        <v>159</v>
      </c>
      <c r="AN73" s="15" t="s">
        <v>159</v>
      </c>
      <c r="AO73" s="15" t="s">
        <v>54</v>
      </c>
      <c r="AP73" s="15" t="s">
        <v>54</v>
      </c>
      <c r="AQ73" s="15" t="s">
        <v>77</v>
      </c>
      <c r="AR73" s="15" t="s">
        <v>77</v>
      </c>
      <c r="AS73" s="15" t="s">
        <v>77</v>
      </c>
      <c r="AT73" s="15" t="s">
        <v>77</v>
      </c>
      <c r="AU73" s="15" t="s">
        <v>77</v>
      </c>
      <c r="AV73" s="15" t="s">
        <v>161</v>
      </c>
      <c r="AW73" s="15" t="s">
        <v>55</v>
      </c>
      <c r="AX73" s="15" t="s">
        <v>55</v>
      </c>
      <c r="AY73" s="15" t="s">
        <v>55</v>
      </c>
      <c r="AZ73" s="15" t="s">
        <v>163</v>
      </c>
      <c r="BA73" s="15" t="s">
        <v>55</v>
      </c>
      <c r="BB73" s="15" t="s">
        <v>55</v>
      </c>
      <c r="BC73" s="15" t="s">
        <v>55</v>
      </c>
      <c r="BD73" s="15" t="s">
        <v>55</v>
      </c>
      <c r="BE73" s="15" t="s">
        <v>163</v>
      </c>
      <c r="BF73" s="15" t="s">
        <v>56</v>
      </c>
      <c r="BG73" s="15" t="s">
        <v>57</v>
      </c>
      <c r="BH73" s="15" t="s">
        <v>57</v>
      </c>
      <c r="BI73" s="15" t="s">
        <v>55</v>
      </c>
      <c r="BJ73" s="15" t="s">
        <v>55</v>
      </c>
      <c r="BK73" s="15" t="s">
        <v>55</v>
      </c>
      <c r="BL73" s="15" t="s">
        <v>55</v>
      </c>
      <c r="BM73" s="15" t="s">
        <v>55</v>
      </c>
      <c r="BN73" s="15" t="s">
        <v>55</v>
      </c>
      <c r="BO73" s="15" t="s">
        <v>56</v>
      </c>
      <c r="BP73" s="15" t="s">
        <v>56</v>
      </c>
      <c r="BQ73" s="15" t="s">
        <v>163</v>
      </c>
      <c r="BR73" s="15" t="s">
        <v>163</v>
      </c>
      <c r="BS73" s="15" t="s">
        <v>163</v>
      </c>
      <c r="BT73" s="15" t="s">
        <v>163</v>
      </c>
      <c r="BU73" s="15" t="s">
        <v>163</v>
      </c>
      <c r="BV73" s="15" t="s">
        <v>163</v>
      </c>
      <c r="BW73" s="15" t="s">
        <v>163</v>
      </c>
      <c r="BX73" s="15" t="s">
        <v>56</v>
      </c>
      <c r="BY73" s="15" t="s">
        <v>56</v>
      </c>
      <c r="BZ73" s="15" t="s">
        <v>56</v>
      </c>
      <c r="CA73" s="15" t="s">
        <v>56</v>
      </c>
      <c r="CB73" s="15" t="s">
        <v>56</v>
      </c>
      <c r="CC73" s="15" t="s">
        <v>163</v>
      </c>
      <c r="CD73" s="15" t="s">
        <v>163</v>
      </c>
      <c r="CE73" s="15" t="s">
        <v>163</v>
      </c>
      <c r="CF73" s="15" t="s">
        <v>163</v>
      </c>
      <c r="CG73" s="15" t="s">
        <v>163</v>
      </c>
      <c r="CH73" s="15" t="s">
        <v>163</v>
      </c>
      <c r="CI73" s="15" t="s">
        <v>163</v>
      </c>
      <c r="CJ73" s="15" t="s">
        <v>163</v>
      </c>
      <c r="CK73" s="15" t="s">
        <v>163</v>
      </c>
      <c r="CL73" s="15" t="s">
        <v>163</v>
      </c>
      <c r="CM73" s="15" t="s">
        <v>163</v>
      </c>
      <c r="CN73" s="15" t="s">
        <v>163</v>
      </c>
      <c r="CO73" s="15" t="s">
        <v>56</v>
      </c>
      <c r="CP73" s="15" t="s">
        <v>56</v>
      </c>
      <c r="CQ73" s="15" t="s">
        <v>56</v>
      </c>
      <c r="CR73" s="15" t="s">
        <v>56</v>
      </c>
      <c r="CS73" s="15" t="s">
        <v>56</v>
      </c>
      <c r="CT73" s="15" t="s">
        <v>56</v>
      </c>
      <c r="CU73" s="15" t="s">
        <v>56</v>
      </c>
      <c r="CV73" s="15" t="s">
        <v>56</v>
      </c>
      <c r="CW73" s="15" t="s">
        <v>56</v>
      </c>
      <c r="CX73" s="15" t="s">
        <v>56</v>
      </c>
      <c r="CY73" s="15" t="s">
        <v>56</v>
      </c>
      <c r="CZ73" s="15" t="s">
        <v>56</v>
      </c>
      <c r="DA73" s="15" t="s">
        <v>161</v>
      </c>
      <c r="DB73" s="15" t="s">
        <v>161</v>
      </c>
      <c r="DC73" s="15" t="s">
        <v>161</v>
      </c>
      <c r="DD73" s="15" t="s">
        <v>161</v>
      </c>
      <c r="DE73" s="15" t="s">
        <v>161</v>
      </c>
    </row>
    <row r="74" spans="1:109" x14ac:dyDescent="0.3">
      <c r="A74" s="15" t="s">
        <v>120</v>
      </c>
      <c r="B74" s="15" t="s">
        <v>120</v>
      </c>
      <c r="C74" s="15" t="s">
        <v>120</v>
      </c>
      <c r="D74" s="15" t="s">
        <v>120</v>
      </c>
      <c r="E74" s="15" t="s">
        <v>164</v>
      </c>
      <c r="F74" s="15" t="s">
        <v>163</v>
      </c>
      <c r="G74" s="15" t="s">
        <v>163</v>
      </c>
      <c r="H74" s="15" t="s">
        <v>163</v>
      </c>
      <c r="I74" s="15" t="s">
        <v>162</v>
      </c>
      <c r="J74" s="15" t="s">
        <v>162</v>
      </c>
      <c r="K74" s="15" t="s">
        <v>162</v>
      </c>
      <c r="L74" s="15" t="s">
        <v>162</v>
      </c>
      <c r="M74" s="15" t="s">
        <v>164</v>
      </c>
      <c r="N74" s="15" t="s">
        <v>164</v>
      </c>
      <c r="O74" s="15" t="s">
        <v>164</v>
      </c>
      <c r="P74" s="15" t="s">
        <v>163</v>
      </c>
      <c r="Q74" s="15" t="s">
        <v>161</v>
      </c>
      <c r="R74" s="15" t="s">
        <v>161</v>
      </c>
      <c r="S74" s="15" t="s">
        <v>77</v>
      </c>
      <c r="T74" s="15" t="s">
        <v>77</v>
      </c>
      <c r="U74" s="15" t="s">
        <v>77</v>
      </c>
      <c r="V74" s="15" t="s">
        <v>54</v>
      </c>
      <c r="W74" s="15" t="s">
        <v>160</v>
      </c>
      <c r="X74" s="15" t="s">
        <v>160</v>
      </c>
      <c r="Y74" s="15" t="s">
        <v>54</v>
      </c>
      <c r="Z74" s="15" t="s">
        <v>54</v>
      </c>
      <c r="AA74" s="15" t="s">
        <v>54</v>
      </c>
      <c r="AB74" s="15" t="s">
        <v>54</v>
      </c>
      <c r="AC74" s="15" t="s">
        <v>77</v>
      </c>
      <c r="AD74" s="15" t="s">
        <v>77</v>
      </c>
      <c r="AE74" s="15" t="s">
        <v>77</v>
      </c>
      <c r="AF74" s="15" t="s">
        <v>77</v>
      </c>
      <c r="AG74" s="15" t="s">
        <v>160</v>
      </c>
      <c r="AH74" s="15" t="s">
        <v>160</v>
      </c>
      <c r="AI74" s="15" t="s">
        <v>77</v>
      </c>
      <c r="AJ74" s="15" t="s">
        <v>77</v>
      </c>
      <c r="AK74" s="15" t="s">
        <v>54</v>
      </c>
      <c r="AL74" s="15" t="s">
        <v>53</v>
      </c>
      <c r="AM74" s="15" t="s">
        <v>53</v>
      </c>
      <c r="AN74" s="15" t="s">
        <v>53</v>
      </c>
      <c r="AO74" s="15" t="s">
        <v>77</v>
      </c>
      <c r="AP74" s="15" t="s">
        <v>77</v>
      </c>
      <c r="AQ74" s="15" t="s">
        <v>161</v>
      </c>
      <c r="AR74" s="15" t="s">
        <v>161</v>
      </c>
      <c r="AS74" s="15" t="s">
        <v>161</v>
      </c>
      <c r="AT74" s="15" t="s">
        <v>161</v>
      </c>
      <c r="AU74" s="15" t="s">
        <v>161</v>
      </c>
      <c r="AV74" s="15" t="s">
        <v>55</v>
      </c>
      <c r="AW74" s="15" t="s">
        <v>163</v>
      </c>
      <c r="AX74" s="15" t="s">
        <v>163</v>
      </c>
      <c r="AY74" s="15" t="s">
        <v>163</v>
      </c>
      <c r="AZ74" s="15" t="s">
        <v>165</v>
      </c>
      <c r="BA74" s="15" t="s">
        <v>163</v>
      </c>
      <c r="BB74" s="15" t="s">
        <v>163</v>
      </c>
      <c r="BC74" s="15" t="s">
        <v>163</v>
      </c>
      <c r="BD74" s="15" t="s">
        <v>163</v>
      </c>
      <c r="BE74" s="15" t="s">
        <v>56</v>
      </c>
      <c r="BF74" s="15" t="s">
        <v>57</v>
      </c>
      <c r="BG74" s="15" t="s">
        <v>58</v>
      </c>
      <c r="BH74" s="15" t="s">
        <v>58</v>
      </c>
      <c r="BI74" s="15" t="s">
        <v>163</v>
      </c>
      <c r="BJ74" s="15" t="s">
        <v>163</v>
      </c>
      <c r="BK74" s="15" t="s">
        <v>163</v>
      </c>
      <c r="BL74" s="15" t="s">
        <v>163</v>
      </c>
      <c r="BM74" s="15" t="s">
        <v>163</v>
      </c>
      <c r="BN74" s="15" t="s">
        <v>163</v>
      </c>
      <c r="BO74" s="15" t="s">
        <v>57</v>
      </c>
      <c r="BP74" s="15" t="s">
        <v>57</v>
      </c>
      <c r="BQ74" s="15" t="s">
        <v>56</v>
      </c>
      <c r="BR74" s="15" t="s">
        <v>56</v>
      </c>
      <c r="BS74" s="15" t="s">
        <v>56</v>
      </c>
      <c r="BT74" s="15" t="s">
        <v>56</v>
      </c>
      <c r="BU74" s="15" t="s">
        <v>56</v>
      </c>
      <c r="BV74" s="15" t="s">
        <v>56</v>
      </c>
      <c r="BW74" s="15" t="s">
        <v>56</v>
      </c>
      <c r="BX74" s="15" t="s">
        <v>57</v>
      </c>
      <c r="BY74" s="15" t="s">
        <v>57</v>
      </c>
      <c r="BZ74" s="15" t="s">
        <v>57</v>
      </c>
      <c r="CA74" s="15" t="s">
        <v>57</v>
      </c>
      <c r="CB74" s="15" t="s">
        <v>57</v>
      </c>
      <c r="CC74" s="15" t="s">
        <v>56</v>
      </c>
      <c r="CD74" s="15" t="s">
        <v>56</v>
      </c>
      <c r="CE74" s="15" t="s">
        <v>56</v>
      </c>
      <c r="CF74" s="15" t="s">
        <v>56</v>
      </c>
      <c r="CG74" s="15" t="s">
        <v>56</v>
      </c>
      <c r="CH74" s="15" t="s">
        <v>56</v>
      </c>
      <c r="CI74" s="15" t="s">
        <v>56</v>
      </c>
      <c r="CJ74" s="15" t="s">
        <v>56</v>
      </c>
      <c r="CK74" s="15" t="s">
        <v>56</v>
      </c>
      <c r="CL74" s="15" t="s">
        <v>56</v>
      </c>
      <c r="CM74" s="15" t="s">
        <v>56</v>
      </c>
      <c r="CN74" s="15" t="s">
        <v>56</v>
      </c>
      <c r="CO74" s="15" t="s">
        <v>57</v>
      </c>
      <c r="CP74" s="15" t="s">
        <v>57</v>
      </c>
      <c r="CQ74" s="15" t="s">
        <v>57</v>
      </c>
      <c r="CR74" s="15" t="s">
        <v>57</v>
      </c>
      <c r="CS74" s="15" t="s">
        <v>57</v>
      </c>
      <c r="CT74" s="15" t="s">
        <v>57</v>
      </c>
      <c r="CU74" s="15" t="s">
        <v>57</v>
      </c>
      <c r="CV74" s="15" t="s">
        <v>57</v>
      </c>
      <c r="CW74" s="15" t="s">
        <v>57</v>
      </c>
      <c r="CX74" s="15" t="s">
        <v>57</v>
      </c>
      <c r="CY74" s="15" t="s">
        <v>57</v>
      </c>
      <c r="CZ74" s="15" t="s">
        <v>57</v>
      </c>
      <c r="DA74" s="15" t="s">
        <v>55</v>
      </c>
      <c r="DB74" s="15" t="s">
        <v>55</v>
      </c>
      <c r="DC74" s="15" t="s">
        <v>55</v>
      </c>
      <c r="DD74" s="15" t="s">
        <v>55</v>
      </c>
      <c r="DE74" s="15" t="s">
        <v>55</v>
      </c>
    </row>
    <row r="75" spans="1:109" x14ac:dyDescent="0.3">
      <c r="A75" s="15" t="s">
        <v>166</v>
      </c>
      <c r="B75" s="15" t="s">
        <v>166</v>
      </c>
      <c r="C75" s="15" t="s">
        <v>166</v>
      </c>
      <c r="D75" s="15" t="s">
        <v>166</v>
      </c>
      <c r="E75" s="15" t="s">
        <v>120</v>
      </c>
      <c r="F75" s="15" t="s">
        <v>164</v>
      </c>
      <c r="G75" s="15" t="s">
        <v>164</v>
      </c>
      <c r="H75" s="15" t="s">
        <v>164</v>
      </c>
      <c r="I75" s="15" t="s">
        <v>163</v>
      </c>
      <c r="J75" s="15" t="s">
        <v>163</v>
      </c>
      <c r="K75" s="15" t="s">
        <v>163</v>
      </c>
      <c r="L75" s="15" t="s">
        <v>163</v>
      </c>
      <c r="M75" s="15" t="s">
        <v>165</v>
      </c>
      <c r="N75" s="15" t="s">
        <v>165</v>
      </c>
      <c r="O75" s="15" t="s">
        <v>165</v>
      </c>
      <c r="P75" s="15" t="s">
        <v>164</v>
      </c>
      <c r="Q75" s="15" t="s">
        <v>55</v>
      </c>
      <c r="R75" s="15" t="s">
        <v>55</v>
      </c>
      <c r="S75" s="15" t="s">
        <v>161</v>
      </c>
      <c r="T75" s="15" t="s">
        <v>161</v>
      </c>
      <c r="U75" s="15" t="s">
        <v>161</v>
      </c>
      <c r="V75" s="15" t="s">
        <v>77</v>
      </c>
      <c r="W75" s="15" t="s">
        <v>54</v>
      </c>
      <c r="X75" s="15" t="s">
        <v>54</v>
      </c>
      <c r="Y75" s="15" t="s">
        <v>77</v>
      </c>
      <c r="Z75" s="15" t="s">
        <v>77</v>
      </c>
      <c r="AA75" s="15" t="s">
        <v>77</v>
      </c>
      <c r="AB75" s="15" t="s">
        <v>77</v>
      </c>
      <c r="AC75" s="15" t="s">
        <v>161</v>
      </c>
      <c r="AD75" s="15" t="s">
        <v>161</v>
      </c>
      <c r="AE75" s="15" t="s">
        <v>161</v>
      </c>
      <c r="AF75" s="15" t="s">
        <v>161</v>
      </c>
      <c r="AG75" s="15" t="s">
        <v>54</v>
      </c>
      <c r="AH75" s="15" t="s">
        <v>54</v>
      </c>
      <c r="AI75" s="15" t="s">
        <v>161</v>
      </c>
      <c r="AJ75" s="15" t="s">
        <v>161</v>
      </c>
      <c r="AK75" s="15" t="s">
        <v>77</v>
      </c>
      <c r="AL75" s="15" t="s">
        <v>54</v>
      </c>
      <c r="AM75" s="15" t="s">
        <v>54</v>
      </c>
      <c r="AN75" s="15" t="s">
        <v>54</v>
      </c>
      <c r="AO75" s="15" t="s">
        <v>161</v>
      </c>
      <c r="AP75" s="15" t="s">
        <v>161</v>
      </c>
      <c r="AQ75" s="15" t="s">
        <v>55</v>
      </c>
      <c r="AR75" s="15" t="s">
        <v>55</v>
      </c>
      <c r="AS75" s="15" t="s">
        <v>55</v>
      </c>
      <c r="AT75" s="15" t="s">
        <v>55</v>
      </c>
      <c r="AU75" s="15" t="s">
        <v>55</v>
      </c>
      <c r="AV75" s="15" t="s">
        <v>163</v>
      </c>
      <c r="AW75" s="15" t="s">
        <v>165</v>
      </c>
      <c r="AX75" s="15" t="s">
        <v>165</v>
      </c>
      <c r="AY75" s="15" t="s">
        <v>165</v>
      </c>
      <c r="AZ75" s="15" t="s">
        <v>56</v>
      </c>
      <c r="BA75" s="15" t="s">
        <v>56</v>
      </c>
      <c r="BB75" s="15" t="s">
        <v>56</v>
      </c>
      <c r="BC75" s="15" t="s">
        <v>56</v>
      </c>
      <c r="BD75" s="15" t="s">
        <v>56</v>
      </c>
      <c r="BE75" s="15" t="s">
        <v>57</v>
      </c>
      <c r="BF75" s="15" t="s">
        <v>58</v>
      </c>
      <c r="BG75" s="15" t="s">
        <v>60</v>
      </c>
      <c r="BH75" s="15" t="s">
        <v>60</v>
      </c>
      <c r="BI75" s="15" t="s">
        <v>56</v>
      </c>
      <c r="BJ75" s="15" t="s">
        <v>56</v>
      </c>
      <c r="BK75" s="15" t="s">
        <v>56</v>
      </c>
      <c r="BL75" s="15" t="s">
        <v>56</v>
      </c>
      <c r="BM75" s="15" t="s">
        <v>56</v>
      </c>
      <c r="BN75" s="15" t="s">
        <v>56</v>
      </c>
      <c r="BO75" s="15" t="s">
        <v>58</v>
      </c>
      <c r="BP75" s="15" t="s">
        <v>58</v>
      </c>
      <c r="BQ75" s="15" t="s">
        <v>57</v>
      </c>
      <c r="BR75" s="15" t="s">
        <v>57</v>
      </c>
      <c r="BS75" s="15" t="s">
        <v>57</v>
      </c>
      <c r="BT75" s="15" t="s">
        <v>57</v>
      </c>
      <c r="BU75" s="15" t="s">
        <v>57</v>
      </c>
      <c r="BV75" s="15" t="s">
        <v>57</v>
      </c>
      <c r="BW75" s="15" t="s">
        <v>57</v>
      </c>
      <c r="BX75" s="15" t="s">
        <v>58</v>
      </c>
      <c r="BY75" s="15" t="s">
        <v>58</v>
      </c>
      <c r="BZ75" s="15" t="s">
        <v>58</v>
      </c>
      <c r="CA75" s="15" t="s">
        <v>58</v>
      </c>
      <c r="CB75" s="15" t="s">
        <v>58</v>
      </c>
      <c r="CC75" s="15" t="s">
        <v>57</v>
      </c>
      <c r="CD75" s="15" t="s">
        <v>57</v>
      </c>
      <c r="CE75" s="15" t="s">
        <v>57</v>
      </c>
      <c r="CF75" s="15" t="s">
        <v>57</v>
      </c>
      <c r="CG75" s="15" t="s">
        <v>57</v>
      </c>
      <c r="CH75" s="15" t="s">
        <v>57</v>
      </c>
      <c r="CI75" s="15" t="s">
        <v>57</v>
      </c>
      <c r="CJ75" s="15" t="s">
        <v>57</v>
      </c>
      <c r="CK75" s="15" t="s">
        <v>57</v>
      </c>
      <c r="CL75" s="15" t="s">
        <v>57</v>
      </c>
      <c r="CM75" s="15" t="s">
        <v>57</v>
      </c>
      <c r="CN75" s="15" t="s">
        <v>57</v>
      </c>
      <c r="CO75" s="15" t="s">
        <v>58</v>
      </c>
      <c r="CP75" s="15" t="s">
        <v>58</v>
      </c>
      <c r="CQ75" s="15" t="s">
        <v>58</v>
      </c>
      <c r="CR75" s="15" t="s">
        <v>58</v>
      </c>
      <c r="CS75" s="15" t="s">
        <v>58</v>
      </c>
      <c r="CT75" s="15" t="s">
        <v>58</v>
      </c>
      <c r="CU75" s="15" t="s">
        <v>58</v>
      </c>
      <c r="CV75" s="15" t="s">
        <v>58</v>
      </c>
      <c r="CW75" s="15" t="s">
        <v>58</v>
      </c>
      <c r="CX75" s="15" t="s">
        <v>58</v>
      </c>
      <c r="CY75" s="15" t="s">
        <v>58</v>
      </c>
      <c r="CZ75" s="15" t="s">
        <v>58</v>
      </c>
      <c r="DA75" s="15" t="s">
        <v>56</v>
      </c>
      <c r="DB75" s="15" t="s">
        <v>56</v>
      </c>
      <c r="DC75" s="15" t="s">
        <v>56</v>
      </c>
      <c r="DD75" s="15" t="s">
        <v>56</v>
      </c>
      <c r="DE75" s="15" t="s">
        <v>56</v>
      </c>
    </row>
    <row r="76" spans="1:109" x14ac:dyDescent="0.3">
      <c r="A76" s="15" t="s">
        <v>56</v>
      </c>
      <c r="B76" s="15" t="s">
        <v>56</v>
      </c>
      <c r="C76" s="15" t="s">
        <v>56</v>
      </c>
      <c r="D76" s="15" t="s">
        <v>56</v>
      </c>
      <c r="E76" s="15" t="s">
        <v>166</v>
      </c>
      <c r="F76" s="15" t="s">
        <v>120</v>
      </c>
      <c r="G76" s="15" t="s">
        <v>120</v>
      </c>
      <c r="H76" s="15" t="s">
        <v>120</v>
      </c>
      <c r="I76" s="15" t="s">
        <v>164</v>
      </c>
      <c r="J76" s="15" t="s">
        <v>164</v>
      </c>
      <c r="K76" s="15" t="s">
        <v>164</v>
      </c>
      <c r="L76" s="15" t="s">
        <v>164</v>
      </c>
      <c r="M76" s="15" t="s">
        <v>120</v>
      </c>
      <c r="N76" s="15" t="s">
        <v>120</v>
      </c>
      <c r="O76" s="15" t="s">
        <v>120</v>
      </c>
      <c r="P76" s="15" t="s">
        <v>165</v>
      </c>
      <c r="Q76" s="15" t="s">
        <v>163</v>
      </c>
      <c r="R76" s="15" t="s">
        <v>163</v>
      </c>
      <c r="S76" s="15" t="s">
        <v>55</v>
      </c>
      <c r="T76" s="15" t="s">
        <v>55</v>
      </c>
      <c r="U76" s="15" t="s">
        <v>55</v>
      </c>
      <c r="V76" s="15" t="s">
        <v>161</v>
      </c>
      <c r="W76" s="15" t="s">
        <v>77</v>
      </c>
      <c r="X76" s="15" t="s">
        <v>77</v>
      </c>
      <c r="Y76" s="15" t="s">
        <v>161</v>
      </c>
      <c r="Z76" s="15" t="s">
        <v>161</v>
      </c>
      <c r="AA76" s="15" t="s">
        <v>161</v>
      </c>
      <c r="AB76" s="15" t="s">
        <v>161</v>
      </c>
      <c r="AC76" s="15" t="s">
        <v>55</v>
      </c>
      <c r="AD76" s="15" t="s">
        <v>55</v>
      </c>
      <c r="AE76" s="15" t="s">
        <v>55</v>
      </c>
      <c r="AF76" s="15" t="s">
        <v>55</v>
      </c>
      <c r="AG76" s="15" t="s">
        <v>77</v>
      </c>
      <c r="AH76" s="15" t="s">
        <v>77</v>
      </c>
      <c r="AI76" s="15" t="s">
        <v>55</v>
      </c>
      <c r="AJ76" s="15" t="s">
        <v>55</v>
      </c>
      <c r="AK76" s="15" t="s">
        <v>161</v>
      </c>
      <c r="AL76" s="15" t="s">
        <v>77</v>
      </c>
      <c r="AM76" s="15" t="s">
        <v>77</v>
      </c>
      <c r="AN76" s="15" t="s">
        <v>77</v>
      </c>
      <c r="AO76" s="15" t="s">
        <v>55</v>
      </c>
      <c r="AP76" s="15" t="s">
        <v>55</v>
      </c>
      <c r="AQ76" s="15" t="s">
        <v>163</v>
      </c>
      <c r="AR76" s="15" t="s">
        <v>163</v>
      </c>
      <c r="AS76" s="15" t="s">
        <v>163</v>
      </c>
      <c r="AT76" s="15" t="s">
        <v>163</v>
      </c>
      <c r="AU76" s="15" t="s">
        <v>163</v>
      </c>
      <c r="AV76" s="15" t="s">
        <v>165</v>
      </c>
      <c r="AW76" s="15" t="s">
        <v>56</v>
      </c>
      <c r="AX76" s="15" t="s">
        <v>56</v>
      </c>
      <c r="AY76" s="15" t="s">
        <v>56</v>
      </c>
      <c r="AZ76" s="15" t="s">
        <v>57</v>
      </c>
      <c r="BA76" s="15" t="s">
        <v>57</v>
      </c>
      <c r="BB76" s="15" t="s">
        <v>57</v>
      </c>
      <c r="BC76" s="15" t="s">
        <v>57</v>
      </c>
      <c r="BD76" s="15" t="s">
        <v>57</v>
      </c>
      <c r="BE76" s="15" t="s">
        <v>58</v>
      </c>
      <c r="BF76" s="15" t="s">
        <v>60</v>
      </c>
      <c r="BG76" s="15" t="s">
        <v>61</v>
      </c>
      <c r="BH76" s="15" t="s">
        <v>61</v>
      </c>
      <c r="BI76" s="15" t="s">
        <v>57</v>
      </c>
      <c r="BJ76" s="15" t="s">
        <v>57</v>
      </c>
      <c r="BK76" s="15" t="s">
        <v>57</v>
      </c>
      <c r="BL76" s="15" t="s">
        <v>57</v>
      </c>
      <c r="BM76" s="15" t="s">
        <v>57</v>
      </c>
      <c r="BN76" s="15" t="s">
        <v>57</v>
      </c>
      <c r="BO76" s="15" t="s">
        <v>60</v>
      </c>
      <c r="BP76" s="15" t="s">
        <v>60</v>
      </c>
      <c r="BQ76" s="15" t="s">
        <v>58</v>
      </c>
      <c r="BR76" s="15" t="s">
        <v>58</v>
      </c>
      <c r="BS76" s="15" t="s">
        <v>58</v>
      </c>
      <c r="BT76" s="15" t="s">
        <v>58</v>
      </c>
      <c r="BU76" s="15" t="s">
        <v>58</v>
      </c>
      <c r="BV76" s="15" t="s">
        <v>58</v>
      </c>
      <c r="BW76" s="15" t="s">
        <v>58</v>
      </c>
      <c r="BX76" s="15" t="s">
        <v>59</v>
      </c>
      <c r="BY76" s="15" t="s">
        <v>59</v>
      </c>
      <c r="BZ76" s="15" t="s">
        <v>59</v>
      </c>
      <c r="CA76" s="15" t="s">
        <v>59</v>
      </c>
      <c r="CB76" s="15" t="s">
        <v>59</v>
      </c>
      <c r="CC76" s="15" t="s">
        <v>58</v>
      </c>
      <c r="CD76" s="15" t="s">
        <v>58</v>
      </c>
      <c r="CE76" s="15" t="s">
        <v>58</v>
      </c>
      <c r="CF76" s="15" t="s">
        <v>58</v>
      </c>
      <c r="CG76" s="15" t="s">
        <v>58</v>
      </c>
      <c r="CH76" s="15" t="s">
        <v>58</v>
      </c>
      <c r="CI76" s="15" t="s">
        <v>58</v>
      </c>
      <c r="CJ76" s="15" t="s">
        <v>58</v>
      </c>
      <c r="CK76" s="15" t="s">
        <v>58</v>
      </c>
      <c r="CL76" s="15" t="s">
        <v>58</v>
      </c>
      <c r="CM76" s="15" t="s">
        <v>58</v>
      </c>
      <c r="CN76" s="15" t="s">
        <v>58</v>
      </c>
      <c r="CO76" s="15" t="s">
        <v>59</v>
      </c>
      <c r="CP76" s="15" t="s">
        <v>59</v>
      </c>
      <c r="CQ76" s="15" t="s">
        <v>59</v>
      </c>
      <c r="CR76" s="15" t="s">
        <v>59</v>
      </c>
      <c r="CS76" s="15" t="s">
        <v>59</v>
      </c>
      <c r="CT76" s="15" t="s">
        <v>59</v>
      </c>
      <c r="CU76" s="15" t="s">
        <v>59</v>
      </c>
      <c r="CV76" s="15" t="s">
        <v>59</v>
      </c>
      <c r="CW76" s="15" t="s">
        <v>59</v>
      </c>
      <c r="CX76" s="15" t="s">
        <v>59</v>
      </c>
      <c r="CY76" s="15" t="s">
        <v>59</v>
      </c>
      <c r="CZ76" s="15" t="s">
        <v>59</v>
      </c>
      <c r="DA76" s="15" t="s">
        <v>57</v>
      </c>
      <c r="DB76" s="15" t="s">
        <v>57</v>
      </c>
      <c r="DC76" s="15" t="s">
        <v>57</v>
      </c>
      <c r="DD76" s="15" t="s">
        <v>57</v>
      </c>
      <c r="DE76" s="15" t="s">
        <v>57</v>
      </c>
    </row>
    <row r="77" spans="1:109" x14ac:dyDescent="0.3">
      <c r="A77" s="15" t="s">
        <v>60</v>
      </c>
      <c r="B77" s="15" t="s">
        <v>60</v>
      </c>
      <c r="C77" s="15" t="s">
        <v>60</v>
      </c>
      <c r="D77" s="15" t="s">
        <v>60</v>
      </c>
      <c r="E77" s="15" t="s">
        <v>56</v>
      </c>
      <c r="F77" s="15" t="s">
        <v>56</v>
      </c>
      <c r="G77" s="15" t="s">
        <v>56</v>
      </c>
      <c r="H77" s="15" t="s">
        <v>56</v>
      </c>
      <c r="I77" s="15" t="s">
        <v>165</v>
      </c>
      <c r="J77" s="15" t="s">
        <v>165</v>
      </c>
      <c r="K77" s="15" t="s">
        <v>165</v>
      </c>
      <c r="L77" s="15" t="s">
        <v>165</v>
      </c>
      <c r="M77" s="15" t="s">
        <v>56</v>
      </c>
      <c r="N77" s="15" t="s">
        <v>56</v>
      </c>
      <c r="O77" s="15" t="s">
        <v>56</v>
      </c>
      <c r="P77" s="15" t="s">
        <v>120</v>
      </c>
      <c r="Q77" s="15" t="s">
        <v>165</v>
      </c>
      <c r="R77" s="15" t="s">
        <v>165</v>
      </c>
      <c r="S77" s="15" t="s">
        <v>163</v>
      </c>
      <c r="T77" s="15" t="s">
        <v>163</v>
      </c>
      <c r="U77" s="15" t="s">
        <v>163</v>
      </c>
      <c r="V77" s="15" t="s">
        <v>55</v>
      </c>
      <c r="W77" s="15" t="s">
        <v>161</v>
      </c>
      <c r="X77" s="15" t="s">
        <v>161</v>
      </c>
      <c r="Y77" s="15" t="s">
        <v>55</v>
      </c>
      <c r="Z77" s="15" t="s">
        <v>55</v>
      </c>
      <c r="AA77" s="15" t="s">
        <v>55</v>
      </c>
      <c r="AB77" s="15" t="s">
        <v>55</v>
      </c>
      <c r="AC77" s="15" t="s">
        <v>163</v>
      </c>
      <c r="AD77" s="15" t="s">
        <v>163</v>
      </c>
      <c r="AE77" s="15" t="s">
        <v>163</v>
      </c>
      <c r="AF77" s="15" t="s">
        <v>163</v>
      </c>
      <c r="AG77" s="15" t="s">
        <v>161</v>
      </c>
      <c r="AH77" s="15" t="s">
        <v>161</v>
      </c>
      <c r="AI77" s="15" t="s">
        <v>163</v>
      </c>
      <c r="AJ77" s="15" t="s">
        <v>163</v>
      </c>
      <c r="AK77" s="15" t="s">
        <v>55</v>
      </c>
      <c r="AL77" s="15" t="s">
        <v>161</v>
      </c>
      <c r="AM77" s="15" t="s">
        <v>161</v>
      </c>
      <c r="AN77" s="15" t="s">
        <v>161</v>
      </c>
      <c r="AO77" s="15" t="s">
        <v>163</v>
      </c>
      <c r="AP77" s="15" t="s">
        <v>163</v>
      </c>
      <c r="AQ77" s="15" t="s">
        <v>165</v>
      </c>
      <c r="AR77" s="15" t="s">
        <v>165</v>
      </c>
      <c r="AS77" s="15" t="s">
        <v>165</v>
      </c>
      <c r="AT77" s="15" t="s">
        <v>165</v>
      </c>
      <c r="AU77" s="15" t="s">
        <v>165</v>
      </c>
      <c r="AV77" s="15" t="s">
        <v>120</v>
      </c>
      <c r="AW77" s="15" t="s">
        <v>57</v>
      </c>
      <c r="AX77" s="15" t="s">
        <v>57</v>
      </c>
      <c r="AY77" s="15" t="s">
        <v>57</v>
      </c>
      <c r="AZ77" s="15" t="s">
        <v>58</v>
      </c>
      <c r="BA77" s="15" t="s">
        <v>58</v>
      </c>
      <c r="BB77" s="15" t="s">
        <v>58</v>
      </c>
      <c r="BC77" s="15" t="s">
        <v>58</v>
      </c>
      <c r="BD77" s="15" t="s">
        <v>58</v>
      </c>
      <c r="BE77" s="15" t="s">
        <v>60</v>
      </c>
      <c r="BF77" s="15" t="s">
        <v>61</v>
      </c>
      <c r="BG77" s="15" t="s">
        <v>167</v>
      </c>
      <c r="BH77" s="15" t="s">
        <v>167</v>
      </c>
      <c r="BI77" s="15" t="s">
        <v>58</v>
      </c>
      <c r="BJ77" s="15" t="s">
        <v>58</v>
      </c>
      <c r="BK77" s="15" t="s">
        <v>58</v>
      </c>
      <c r="BL77" s="15" t="s">
        <v>58</v>
      </c>
      <c r="BM77" s="15" t="s">
        <v>58</v>
      </c>
      <c r="BN77" s="15" t="s">
        <v>58</v>
      </c>
      <c r="BO77" s="15" t="s">
        <v>61</v>
      </c>
      <c r="BP77" s="15" t="s">
        <v>61</v>
      </c>
      <c r="BQ77" s="15" t="s">
        <v>60</v>
      </c>
      <c r="BR77" s="15" t="s">
        <v>60</v>
      </c>
      <c r="BS77" s="15" t="s">
        <v>60</v>
      </c>
      <c r="BT77" s="15" t="s">
        <v>60</v>
      </c>
      <c r="BU77" s="15" t="s">
        <v>60</v>
      </c>
      <c r="BV77" s="15" t="s">
        <v>60</v>
      </c>
      <c r="BW77" s="15" t="s">
        <v>60</v>
      </c>
      <c r="BX77" s="15" t="s">
        <v>60</v>
      </c>
      <c r="BY77" s="15" t="s">
        <v>60</v>
      </c>
      <c r="BZ77" s="15" t="s">
        <v>60</v>
      </c>
      <c r="CA77" s="15" t="s">
        <v>60</v>
      </c>
      <c r="CB77" s="15" t="s">
        <v>60</v>
      </c>
      <c r="CC77" s="15" t="s">
        <v>59</v>
      </c>
      <c r="CD77" s="15" t="s">
        <v>59</v>
      </c>
      <c r="CE77" s="15" t="s">
        <v>59</v>
      </c>
      <c r="CF77" s="15" t="s">
        <v>59</v>
      </c>
      <c r="CG77" s="15" t="s">
        <v>59</v>
      </c>
      <c r="CH77" s="15" t="s">
        <v>59</v>
      </c>
      <c r="CI77" s="15" t="s">
        <v>59</v>
      </c>
      <c r="CJ77" s="15" t="s">
        <v>59</v>
      </c>
      <c r="CK77" s="15" t="s">
        <v>59</v>
      </c>
      <c r="CL77" s="15" t="s">
        <v>59</v>
      </c>
      <c r="CM77" s="15" t="s">
        <v>59</v>
      </c>
      <c r="CN77" s="15" t="s">
        <v>59</v>
      </c>
      <c r="CO77" s="15" t="s">
        <v>60</v>
      </c>
      <c r="CP77" s="15" t="s">
        <v>60</v>
      </c>
      <c r="CQ77" s="15" t="s">
        <v>60</v>
      </c>
      <c r="CR77" s="15" t="s">
        <v>60</v>
      </c>
      <c r="CS77" s="15" t="s">
        <v>60</v>
      </c>
      <c r="CT77" s="15" t="s">
        <v>60</v>
      </c>
      <c r="CU77" s="15" t="s">
        <v>60</v>
      </c>
      <c r="CV77" s="15" t="s">
        <v>60</v>
      </c>
      <c r="CW77" s="15" t="s">
        <v>60</v>
      </c>
      <c r="CX77" s="15" t="s">
        <v>60</v>
      </c>
      <c r="CY77" s="15" t="s">
        <v>60</v>
      </c>
      <c r="CZ77" s="15" t="s">
        <v>60</v>
      </c>
      <c r="DA77" s="15" t="s">
        <v>58</v>
      </c>
      <c r="DB77" s="15" t="s">
        <v>58</v>
      </c>
      <c r="DC77" s="15" t="s">
        <v>58</v>
      </c>
      <c r="DD77" s="15" t="s">
        <v>58</v>
      </c>
      <c r="DE77" s="15" t="s">
        <v>58</v>
      </c>
    </row>
    <row r="78" spans="1:109" x14ac:dyDescent="0.3">
      <c r="A78" s="15" t="s">
        <v>80</v>
      </c>
      <c r="B78" s="15" t="s">
        <v>80</v>
      </c>
      <c r="C78" s="15" t="s">
        <v>80</v>
      </c>
      <c r="D78" s="15" t="s">
        <v>80</v>
      </c>
      <c r="E78" s="15" t="s">
        <v>60</v>
      </c>
      <c r="F78" s="15" t="s">
        <v>60</v>
      </c>
      <c r="G78" s="15" t="s">
        <v>60</v>
      </c>
      <c r="H78" s="15" t="s">
        <v>60</v>
      </c>
      <c r="I78" s="15" t="s">
        <v>120</v>
      </c>
      <c r="J78" s="15" t="s">
        <v>120</v>
      </c>
      <c r="K78" s="15" t="s">
        <v>120</v>
      </c>
      <c r="L78" s="15" t="s">
        <v>120</v>
      </c>
      <c r="M78" s="15" t="s">
        <v>58</v>
      </c>
      <c r="N78" s="15" t="s">
        <v>58</v>
      </c>
      <c r="O78" s="15" t="s">
        <v>58</v>
      </c>
      <c r="P78" s="15" t="s">
        <v>56</v>
      </c>
      <c r="Q78" s="15" t="s">
        <v>120</v>
      </c>
      <c r="R78" s="15" t="s">
        <v>120</v>
      </c>
      <c r="S78" s="15" t="s">
        <v>165</v>
      </c>
      <c r="T78" s="15" t="s">
        <v>165</v>
      </c>
      <c r="U78" s="15" t="s">
        <v>165</v>
      </c>
      <c r="V78" s="15" t="s">
        <v>163</v>
      </c>
      <c r="W78" s="15" t="s">
        <v>55</v>
      </c>
      <c r="X78" s="15" t="s">
        <v>55</v>
      </c>
      <c r="Y78" s="15" t="s">
        <v>163</v>
      </c>
      <c r="Z78" s="15" t="s">
        <v>163</v>
      </c>
      <c r="AA78" s="15" t="s">
        <v>163</v>
      </c>
      <c r="AB78" s="15" t="s">
        <v>163</v>
      </c>
      <c r="AC78" s="15" t="s">
        <v>165</v>
      </c>
      <c r="AD78" s="15" t="s">
        <v>165</v>
      </c>
      <c r="AE78" s="15" t="s">
        <v>165</v>
      </c>
      <c r="AF78" s="15" t="s">
        <v>165</v>
      </c>
      <c r="AG78" s="15" t="s">
        <v>55</v>
      </c>
      <c r="AH78" s="15" t="s">
        <v>55</v>
      </c>
      <c r="AI78" s="15" t="s">
        <v>165</v>
      </c>
      <c r="AJ78" s="15" t="s">
        <v>165</v>
      </c>
      <c r="AK78" s="15" t="s">
        <v>163</v>
      </c>
      <c r="AL78" s="15" t="s">
        <v>55</v>
      </c>
      <c r="AM78" s="15" t="s">
        <v>55</v>
      </c>
      <c r="AN78" s="15" t="s">
        <v>55</v>
      </c>
      <c r="AO78" s="15" t="s">
        <v>165</v>
      </c>
      <c r="AP78" s="15" t="s">
        <v>165</v>
      </c>
      <c r="AQ78" s="15" t="s">
        <v>120</v>
      </c>
      <c r="AR78" s="15" t="s">
        <v>120</v>
      </c>
      <c r="AS78" s="15" t="s">
        <v>120</v>
      </c>
      <c r="AT78" s="15" t="s">
        <v>120</v>
      </c>
      <c r="AU78" s="15" t="s">
        <v>120</v>
      </c>
      <c r="AV78" s="15" t="s">
        <v>56</v>
      </c>
      <c r="AW78" s="15" t="s">
        <v>58</v>
      </c>
      <c r="AX78" s="15" t="s">
        <v>58</v>
      </c>
      <c r="AY78" s="15" t="s">
        <v>58</v>
      </c>
      <c r="AZ78" s="15" t="s">
        <v>60</v>
      </c>
      <c r="BA78" s="15" t="s">
        <v>60</v>
      </c>
      <c r="BB78" s="15" t="s">
        <v>60</v>
      </c>
      <c r="BC78" s="15" t="s">
        <v>60</v>
      </c>
      <c r="BD78" s="15" t="s">
        <v>60</v>
      </c>
      <c r="BE78" s="15" t="s">
        <v>61</v>
      </c>
      <c r="BF78" s="15" t="s">
        <v>167</v>
      </c>
      <c r="BG78" s="15" t="s">
        <v>117</v>
      </c>
      <c r="BH78" s="15" t="s">
        <v>117</v>
      </c>
      <c r="BI78" s="15" t="s">
        <v>60</v>
      </c>
      <c r="BJ78" s="15" t="s">
        <v>60</v>
      </c>
      <c r="BK78" s="15" t="s">
        <v>60</v>
      </c>
      <c r="BL78" s="15" t="s">
        <v>60</v>
      </c>
      <c r="BM78" s="15" t="s">
        <v>60</v>
      </c>
      <c r="BN78" s="15" t="s">
        <v>60</v>
      </c>
      <c r="BO78" s="15" t="s">
        <v>169</v>
      </c>
      <c r="BP78" s="15" t="s">
        <v>169</v>
      </c>
      <c r="BQ78" s="15" t="s">
        <v>61</v>
      </c>
      <c r="BR78" s="15" t="s">
        <v>61</v>
      </c>
      <c r="BS78" s="15" t="s">
        <v>61</v>
      </c>
      <c r="BT78" s="15" t="s">
        <v>61</v>
      </c>
      <c r="BU78" s="15" t="s">
        <v>61</v>
      </c>
      <c r="BV78" s="15" t="s">
        <v>61</v>
      </c>
      <c r="BW78" s="15" t="s">
        <v>61</v>
      </c>
      <c r="BX78" s="15" t="s">
        <v>61</v>
      </c>
      <c r="BY78" s="15" t="s">
        <v>61</v>
      </c>
      <c r="BZ78" s="15" t="s">
        <v>61</v>
      </c>
      <c r="CA78" s="15" t="s">
        <v>61</v>
      </c>
      <c r="CB78" s="15" t="s">
        <v>61</v>
      </c>
      <c r="CC78" s="15" t="s">
        <v>60</v>
      </c>
      <c r="CD78" s="15" t="s">
        <v>60</v>
      </c>
      <c r="CE78" s="15" t="s">
        <v>60</v>
      </c>
      <c r="CF78" s="15" t="s">
        <v>60</v>
      </c>
      <c r="CG78" s="15" t="s">
        <v>60</v>
      </c>
      <c r="CH78" s="15" t="s">
        <v>60</v>
      </c>
      <c r="CI78" s="15" t="s">
        <v>60</v>
      </c>
      <c r="CJ78" s="15" t="s">
        <v>60</v>
      </c>
      <c r="CK78" s="15" t="s">
        <v>60</v>
      </c>
      <c r="CL78" s="15" t="s">
        <v>60</v>
      </c>
      <c r="CM78" s="15" t="s">
        <v>60</v>
      </c>
      <c r="CN78" s="15" t="s">
        <v>60</v>
      </c>
      <c r="CO78" s="15" t="s">
        <v>61</v>
      </c>
      <c r="CP78" s="15" t="s">
        <v>61</v>
      </c>
      <c r="CQ78" s="15" t="s">
        <v>61</v>
      </c>
      <c r="CR78" s="15" t="s">
        <v>61</v>
      </c>
      <c r="CS78" s="15" t="s">
        <v>61</v>
      </c>
      <c r="CT78" s="15" t="s">
        <v>61</v>
      </c>
      <c r="CU78" s="15" t="s">
        <v>61</v>
      </c>
      <c r="CV78" s="15" t="s">
        <v>61</v>
      </c>
      <c r="CW78" s="15" t="s">
        <v>61</v>
      </c>
      <c r="CX78" s="15" t="s">
        <v>61</v>
      </c>
      <c r="CY78" s="15" t="s">
        <v>61</v>
      </c>
      <c r="CZ78" s="15" t="s">
        <v>61</v>
      </c>
      <c r="DA78" s="15" t="s">
        <v>59</v>
      </c>
      <c r="DB78" s="15" t="s">
        <v>59</v>
      </c>
      <c r="DC78" s="15" t="s">
        <v>59</v>
      </c>
      <c r="DD78" s="15" t="s">
        <v>59</v>
      </c>
      <c r="DE78" s="15" t="s">
        <v>59</v>
      </c>
    </row>
    <row r="79" spans="1:109" x14ac:dyDescent="0.3">
      <c r="A79" s="15" t="s">
        <v>61</v>
      </c>
      <c r="B79" s="15" t="s">
        <v>61</v>
      </c>
      <c r="C79" s="15" t="s">
        <v>61</v>
      </c>
      <c r="D79" s="15" t="s">
        <v>61</v>
      </c>
      <c r="E79" s="15" t="s">
        <v>80</v>
      </c>
      <c r="F79" s="15" t="s">
        <v>80</v>
      </c>
      <c r="G79" s="15" t="s">
        <v>80</v>
      </c>
      <c r="H79" s="15" t="s">
        <v>80</v>
      </c>
      <c r="I79" s="15" t="s">
        <v>56</v>
      </c>
      <c r="J79" s="15" t="s">
        <v>56</v>
      </c>
      <c r="K79" s="15" t="s">
        <v>56</v>
      </c>
      <c r="L79" s="15" t="s">
        <v>56</v>
      </c>
      <c r="M79" s="15" t="s">
        <v>60</v>
      </c>
      <c r="N79" s="15" t="s">
        <v>60</v>
      </c>
      <c r="O79" s="15" t="s">
        <v>60</v>
      </c>
      <c r="P79" s="15" t="s">
        <v>58</v>
      </c>
      <c r="Q79" s="15" t="s">
        <v>56</v>
      </c>
      <c r="R79" s="15" t="s">
        <v>56</v>
      </c>
      <c r="S79" s="15" t="s">
        <v>120</v>
      </c>
      <c r="T79" s="15" t="s">
        <v>120</v>
      </c>
      <c r="U79" s="15" t="s">
        <v>120</v>
      </c>
      <c r="V79" s="15" t="s">
        <v>165</v>
      </c>
      <c r="W79" s="15" t="s">
        <v>163</v>
      </c>
      <c r="X79" s="15" t="s">
        <v>163</v>
      </c>
      <c r="Y79" s="15" t="s">
        <v>165</v>
      </c>
      <c r="Z79" s="15" t="s">
        <v>165</v>
      </c>
      <c r="AA79" s="15" t="s">
        <v>165</v>
      </c>
      <c r="AB79" s="15" t="s">
        <v>165</v>
      </c>
      <c r="AC79" s="15" t="s">
        <v>120</v>
      </c>
      <c r="AD79" s="15" t="s">
        <v>120</v>
      </c>
      <c r="AE79" s="15" t="s">
        <v>120</v>
      </c>
      <c r="AF79" s="15" t="s">
        <v>120</v>
      </c>
      <c r="AG79" s="15" t="s">
        <v>163</v>
      </c>
      <c r="AH79" s="15" t="s">
        <v>163</v>
      </c>
      <c r="AI79" s="15" t="s">
        <v>120</v>
      </c>
      <c r="AJ79" s="15" t="s">
        <v>120</v>
      </c>
      <c r="AK79" s="15" t="s">
        <v>165</v>
      </c>
      <c r="AL79" s="15" t="s">
        <v>163</v>
      </c>
      <c r="AM79" s="15" t="s">
        <v>163</v>
      </c>
      <c r="AN79" s="15" t="s">
        <v>163</v>
      </c>
      <c r="AO79" s="15" t="s">
        <v>120</v>
      </c>
      <c r="AP79" s="15" t="s">
        <v>120</v>
      </c>
      <c r="AQ79" s="15" t="s">
        <v>56</v>
      </c>
      <c r="AR79" s="15" t="s">
        <v>56</v>
      </c>
      <c r="AS79" s="15" t="s">
        <v>56</v>
      </c>
      <c r="AT79" s="15" t="s">
        <v>56</v>
      </c>
      <c r="AU79" s="15" t="s">
        <v>56</v>
      </c>
      <c r="AV79" s="15" t="s">
        <v>57</v>
      </c>
      <c r="AW79" s="15" t="s">
        <v>60</v>
      </c>
      <c r="AX79" s="15" t="s">
        <v>60</v>
      </c>
      <c r="AY79" s="15" t="s">
        <v>60</v>
      </c>
      <c r="AZ79" s="15" t="s">
        <v>61</v>
      </c>
      <c r="BA79" s="15" t="s">
        <v>61</v>
      </c>
      <c r="BB79" s="15" t="s">
        <v>61</v>
      </c>
      <c r="BC79" s="15" t="s">
        <v>61</v>
      </c>
      <c r="BD79" s="15" t="s">
        <v>61</v>
      </c>
      <c r="BE79" s="15" t="s">
        <v>167</v>
      </c>
      <c r="BF79" s="15" t="s">
        <v>117</v>
      </c>
      <c r="BG79" s="15" t="s">
        <v>169</v>
      </c>
      <c r="BH79" s="15" t="s">
        <v>169</v>
      </c>
      <c r="BI79" s="15" t="s">
        <v>61</v>
      </c>
      <c r="BJ79" s="15" t="s">
        <v>61</v>
      </c>
      <c r="BK79" s="15" t="s">
        <v>61</v>
      </c>
      <c r="BL79" s="15" t="s">
        <v>61</v>
      </c>
      <c r="BM79" s="15" t="s">
        <v>61</v>
      </c>
      <c r="BN79" s="15" t="s">
        <v>61</v>
      </c>
      <c r="BO79" s="15" t="s">
        <v>110</v>
      </c>
      <c r="BP79" s="15" t="s">
        <v>110</v>
      </c>
      <c r="BQ79" s="15" t="s">
        <v>169</v>
      </c>
      <c r="BR79" s="15" t="s">
        <v>169</v>
      </c>
      <c r="BS79" s="15" t="s">
        <v>169</v>
      </c>
      <c r="BT79" s="15" t="s">
        <v>169</v>
      </c>
      <c r="BU79" s="15" t="s">
        <v>169</v>
      </c>
      <c r="BV79" s="15" t="s">
        <v>169</v>
      </c>
      <c r="BW79" s="15" t="s">
        <v>169</v>
      </c>
      <c r="BX79" s="15" t="s">
        <v>110</v>
      </c>
      <c r="BY79" s="15" t="s">
        <v>110</v>
      </c>
      <c r="BZ79" s="15" t="s">
        <v>110</v>
      </c>
      <c r="CA79" s="15" t="s">
        <v>110</v>
      </c>
      <c r="CB79" s="15" t="s">
        <v>110</v>
      </c>
      <c r="CC79" s="15" t="s">
        <v>61</v>
      </c>
      <c r="CD79" s="15" t="s">
        <v>61</v>
      </c>
      <c r="CE79" s="15" t="s">
        <v>61</v>
      </c>
      <c r="CF79" s="15" t="s">
        <v>61</v>
      </c>
      <c r="CG79" s="15" t="s">
        <v>61</v>
      </c>
      <c r="CH79" s="15" t="s">
        <v>61</v>
      </c>
      <c r="CI79" s="15" t="s">
        <v>61</v>
      </c>
      <c r="CJ79" s="15" t="s">
        <v>61</v>
      </c>
      <c r="CK79" s="15" t="s">
        <v>61</v>
      </c>
      <c r="CL79" s="15" t="s">
        <v>61</v>
      </c>
      <c r="CM79" s="15" t="s">
        <v>61</v>
      </c>
      <c r="CN79" s="15" t="s">
        <v>61</v>
      </c>
      <c r="CO79" s="15" t="s">
        <v>110</v>
      </c>
      <c r="CP79" s="15" t="s">
        <v>110</v>
      </c>
      <c r="CQ79" s="15" t="s">
        <v>110</v>
      </c>
      <c r="CR79" s="15" t="s">
        <v>110</v>
      </c>
      <c r="CS79" s="15" t="s">
        <v>110</v>
      </c>
      <c r="CT79" s="15" t="s">
        <v>110</v>
      </c>
      <c r="CU79" s="15" t="s">
        <v>110</v>
      </c>
      <c r="CV79" s="15" t="s">
        <v>110</v>
      </c>
      <c r="CW79" s="15" t="s">
        <v>110</v>
      </c>
      <c r="CX79" s="15" t="s">
        <v>110</v>
      </c>
      <c r="CY79" s="15" t="s">
        <v>110</v>
      </c>
      <c r="CZ79" s="15" t="s">
        <v>110</v>
      </c>
      <c r="DA79" s="15" t="s">
        <v>60</v>
      </c>
      <c r="DB79" s="15" t="s">
        <v>60</v>
      </c>
      <c r="DC79" s="15" t="s">
        <v>60</v>
      </c>
      <c r="DD79" s="15" t="s">
        <v>60</v>
      </c>
      <c r="DE79" s="15" t="s">
        <v>60</v>
      </c>
    </row>
    <row r="80" spans="1:109" x14ac:dyDescent="0.3">
      <c r="A80" s="15" t="s">
        <v>117</v>
      </c>
      <c r="B80" s="15" t="s">
        <v>117</v>
      </c>
      <c r="C80" s="15" t="s">
        <v>117</v>
      </c>
      <c r="D80" s="15" t="s">
        <v>117</v>
      </c>
      <c r="E80" s="15" t="s">
        <v>61</v>
      </c>
      <c r="F80" s="15" t="s">
        <v>61</v>
      </c>
      <c r="G80" s="15" t="s">
        <v>61</v>
      </c>
      <c r="H80" s="15" t="s">
        <v>61</v>
      </c>
      <c r="I80" s="15" t="s">
        <v>60</v>
      </c>
      <c r="J80" s="15" t="s">
        <v>60</v>
      </c>
      <c r="K80" s="15" t="s">
        <v>60</v>
      </c>
      <c r="L80" s="15" t="s">
        <v>60</v>
      </c>
      <c r="M80" s="15" t="s">
        <v>80</v>
      </c>
      <c r="N80" s="15" t="s">
        <v>80</v>
      </c>
      <c r="O80" s="15" t="s">
        <v>80</v>
      </c>
      <c r="P80" s="15" t="s">
        <v>60</v>
      </c>
      <c r="Q80" s="15" t="s">
        <v>58</v>
      </c>
      <c r="R80" s="15" t="s">
        <v>58</v>
      </c>
      <c r="S80" s="15" t="s">
        <v>56</v>
      </c>
      <c r="T80" s="15" t="s">
        <v>56</v>
      </c>
      <c r="U80" s="15" t="s">
        <v>56</v>
      </c>
      <c r="V80" s="15" t="s">
        <v>120</v>
      </c>
      <c r="W80" s="15" t="s">
        <v>165</v>
      </c>
      <c r="X80" s="15" t="s">
        <v>165</v>
      </c>
      <c r="Y80" s="15" t="s">
        <v>120</v>
      </c>
      <c r="Z80" s="15" t="s">
        <v>120</v>
      </c>
      <c r="AA80" s="15" t="s">
        <v>120</v>
      </c>
      <c r="AB80" s="15" t="s">
        <v>120</v>
      </c>
      <c r="AC80" s="15" t="s">
        <v>56</v>
      </c>
      <c r="AD80" s="15" t="s">
        <v>56</v>
      </c>
      <c r="AE80" s="15" t="s">
        <v>56</v>
      </c>
      <c r="AF80" s="15" t="s">
        <v>56</v>
      </c>
      <c r="AG80" s="15" t="s">
        <v>165</v>
      </c>
      <c r="AH80" s="15" t="s">
        <v>165</v>
      </c>
      <c r="AI80" s="15" t="s">
        <v>56</v>
      </c>
      <c r="AJ80" s="15" t="s">
        <v>56</v>
      </c>
      <c r="AK80" s="15" t="s">
        <v>120</v>
      </c>
      <c r="AL80" s="15" t="s">
        <v>165</v>
      </c>
      <c r="AM80" s="15" t="s">
        <v>165</v>
      </c>
      <c r="AN80" s="15" t="s">
        <v>165</v>
      </c>
      <c r="AO80" s="15" t="s">
        <v>56</v>
      </c>
      <c r="AP80" s="15" t="s">
        <v>56</v>
      </c>
      <c r="AQ80" s="15" t="s">
        <v>57</v>
      </c>
      <c r="AR80" s="15" t="s">
        <v>57</v>
      </c>
      <c r="AS80" s="15" t="s">
        <v>57</v>
      </c>
      <c r="AT80" s="15" t="s">
        <v>57</v>
      </c>
      <c r="AU80" s="15" t="s">
        <v>57</v>
      </c>
      <c r="AV80" s="15" t="s">
        <v>58</v>
      </c>
      <c r="AW80" s="15" t="s">
        <v>61</v>
      </c>
      <c r="AX80" s="15" t="s">
        <v>61</v>
      </c>
      <c r="AY80" s="15" t="s">
        <v>61</v>
      </c>
      <c r="AZ80" s="15" t="s">
        <v>167</v>
      </c>
      <c r="BA80" s="15" t="s">
        <v>167</v>
      </c>
      <c r="BB80" s="15" t="s">
        <v>167</v>
      </c>
      <c r="BC80" s="15" t="s">
        <v>167</v>
      </c>
      <c r="BD80" s="15" t="s">
        <v>167</v>
      </c>
      <c r="BE80" s="15" t="s">
        <v>117</v>
      </c>
      <c r="BF80" s="15" t="s">
        <v>169</v>
      </c>
      <c r="BG80" s="15" t="s">
        <v>110</v>
      </c>
      <c r="BH80" s="15" t="s">
        <v>110</v>
      </c>
      <c r="BI80" s="15" t="s">
        <v>169</v>
      </c>
      <c r="BJ80" s="15" t="s">
        <v>169</v>
      </c>
      <c r="BK80" s="15" t="s">
        <v>169</v>
      </c>
      <c r="BL80" s="15" t="s">
        <v>169</v>
      </c>
      <c r="BM80" s="15" t="s">
        <v>169</v>
      </c>
      <c r="BN80" s="15" t="s">
        <v>169</v>
      </c>
      <c r="BO80" s="15" t="s">
        <v>63</v>
      </c>
      <c r="BP80" s="15" t="s">
        <v>63</v>
      </c>
      <c r="BQ80" s="15" t="s">
        <v>110</v>
      </c>
      <c r="BR80" s="15" t="s">
        <v>110</v>
      </c>
      <c r="BS80" s="15" t="s">
        <v>110</v>
      </c>
      <c r="BT80" s="15" t="s">
        <v>110</v>
      </c>
      <c r="BU80" s="15" t="s">
        <v>110</v>
      </c>
      <c r="BV80" s="15" t="s">
        <v>110</v>
      </c>
      <c r="BW80" s="15" t="s">
        <v>110</v>
      </c>
      <c r="BX80" s="15" t="s">
        <v>63</v>
      </c>
      <c r="BY80" s="15" t="s">
        <v>170</v>
      </c>
      <c r="BZ80" s="15" t="s">
        <v>170</v>
      </c>
      <c r="CA80" s="15" t="s">
        <v>170</v>
      </c>
      <c r="CB80" s="15" t="s">
        <v>170</v>
      </c>
      <c r="CC80" s="15" t="s">
        <v>110</v>
      </c>
      <c r="CD80" s="15" t="s">
        <v>110</v>
      </c>
      <c r="CE80" s="15" t="s">
        <v>110</v>
      </c>
      <c r="CF80" s="15" t="s">
        <v>110</v>
      </c>
      <c r="CG80" s="15" t="s">
        <v>110</v>
      </c>
      <c r="CH80" s="15" t="s">
        <v>110</v>
      </c>
      <c r="CI80" s="15" t="s">
        <v>110</v>
      </c>
      <c r="CJ80" s="15" t="s">
        <v>110</v>
      </c>
      <c r="CK80" s="15" t="s">
        <v>110</v>
      </c>
      <c r="CL80" s="15" t="s">
        <v>110</v>
      </c>
      <c r="CM80" s="15" t="s">
        <v>110</v>
      </c>
      <c r="CN80" s="15" t="s">
        <v>110</v>
      </c>
      <c r="CO80" s="15" t="s">
        <v>62</v>
      </c>
      <c r="CP80" s="15" t="s">
        <v>62</v>
      </c>
      <c r="CQ80" s="15" t="s">
        <v>62</v>
      </c>
      <c r="CR80" s="15" t="s">
        <v>62</v>
      </c>
      <c r="CS80" s="15" t="s">
        <v>62</v>
      </c>
      <c r="CT80" s="15" t="s">
        <v>62</v>
      </c>
      <c r="CU80" s="15" t="s">
        <v>62</v>
      </c>
      <c r="CV80" s="15" t="s">
        <v>62</v>
      </c>
      <c r="CW80" s="15" t="s">
        <v>62</v>
      </c>
      <c r="CX80" s="15" t="s">
        <v>62</v>
      </c>
      <c r="CY80" s="15" t="s">
        <v>62</v>
      </c>
      <c r="CZ80" s="15" t="s">
        <v>62</v>
      </c>
      <c r="DA80" s="15" t="s">
        <v>61</v>
      </c>
      <c r="DB80" s="15" t="s">
        <v>61</v>
      </c>
      <c r="DC80" s="15" t="s">
        <v>61</v>
      </c>
      <c r="DD80" s="15" t="s">
        <v>61</v>
      </c>
      <c r="DE80" s="15" t="s">
        <v>61</v>
      </c>
    </row>
    <row r="81" spans="1:109" x14ac:dyDescent="0.3">
      <c r="A81" s="15" t="s">
        <v>110</v>
      </c>
      <c r="B81" s="15" t="s">
        <v>110</v>
      </c>
      <c r="C81" s="15" t="s">
        <v>110</v>
      </c>
      <c r="D81" s="15" t="s">
        <v>110</v>
      </c>
      <c r="E81" s="15" t="s">
        <v>117</v>
      </c>
      <c r="F81" s="15" t="s">
        <v>117</v>
      </c>
      <c r="G81" s="15" t="s">
        <v>117</v>
      </c>
      <c r="H81" s="15" t="s">
        <v>117</v>
      </c>
      <c r="I81" s="15" t="s">
        <v>80</v>
      </c>
      <c r="J81" s="15" t="s">
        <v>80</v>
      </c>
      <c r="K81" s="15" t="s">
        <v>80</v>
      </c>
      <c r="L81" s="15" t="s">
        <v>80</v>
      </c>
      <c r="M81" s="15" t="s">
        <v>61</v>
      </c>
      <c r="N81" s="15" t="s">
        <v>61</v>
      </c>
      <c r="O81" s="15" t="s">
        <v>61</v>
      </c>
      <c r="P81" s="15" t="s">
        <v>80</v>
      </c>
      <c r="Q81" s="15" t="s">
        <v>60</v>
      </c>
      <c r="R81" s="15" t="s">
        <v>60</v>
      </c>
      <c r="S81" s="15" t="s">
        <v>58</v>
      </c>
      <c r="T81" s="15" t="s">
        <v>58</v>
      </c>
      <c r="U81" s="15" t="s">
        <v>58</v>
      </c>
      <c r="V81" s="15" t="s">
        <v>56</v>
      </c>
      <c r="W81" s="15" t="s">
        <v>120</v>
      </c>
      <c r="X81" s="15" t="s">
        <v>120</v>
      </c>
      <c r="Y81" s="15" t="s">
        <v>56</v>
      </c>
      <c r="Z81" s="15" t="s">
        <v>56</v>
      </c>
      <c r="AA81" s="15" t="s">
        <v>56</v>
      </c>
      <c r="AB81" s="15" t="s">
        <v>56</v>
      </c>
      <c r="AC81" s="15" t="s">
        <v>57</v>
      </c>
      <c r="AD81" s="15" t="s">
        <v>57</v>
      </c>
      <c r="AE81" s="15" t="s">
        <v>57</v>
      </c>
      <c r="AF81" s="15" t="s">
        <v>57</v>
      </c>
      <c r="AG81" s="15" t="s">
        <v>120</v>
      </c>
      <c r="AH81" s="15" t="s">
        <v>120</v>
      </c>
      <c r="AI81" s="15" t="s">
        <v>57</v>
      </c>
      <c r="AJ81" s="15" t="s">
        <v>57</v>
      </c>
      <c r="AK81" s="15" t="s">
        <v>56</v>
      </c>
      <c r="AL81" s="15" t="s">
        <v>120</v>
      </c>
      <c r="AM81" s="15" t="s">
        <v>120</v>
      </c>
      <c r="AN81" s="15" t="s">
        <v>120</v>
      </c>
      <c r="AO81" s="15" t="s">
        <v>57</v>
      </c>
      <c r="AP81" s="15" t="s">
        <v>57</v>
      </c>
      <c r="AQ81" s="15" t="s">
        <v>58</v>
      </c>
      <c r="AR81" s="15" t="s">
        <v>58</v>
      </c>
      <c r="AS81" s="15" t="s">
        <v>58</v>
      </c>
      <c r="AT81" s="15" t="s">
        <v>58</v>
      </c>
      <c r="AU81" s="15" t="s">
        <v>58</v>
      </c>
      <c r="AV81" s="15" t="s">
        <v>60</v>
      </c>
      <c r="AW81" s="15" t="s">
        <v>167</v>
      </c>
      <c r="AX81" s="15" t="s">
        <v>167</v>
      </c>
      <c r="AY81" s="15" t="s">
        <v>167</v>
      </c>
      <c r="AZ81" s="15" t="s">
        <v>117</v>
      </c>
      <c r="BA81" s="15" t="s">
        <v>117</v>
      </c>
      <c r="BB81" s="15" t="s">
        <v>117</v>
      </c>
      <c r="BC81" s="15" t="s">
        <v>117</v>
      </c>
      <c r="BD81" s="15" t="s">
        <v>117</v>
      </c>
      <c r="BE81" s="15" t="s">
        <v>169</v>
      </c>
      <c r="BF81" s="15" t="s">
        <v>110</v>
      </c>
      <c r="BG81" s="15" t="s">
        <v>63</v>
      </c>
      <c r="BH81" s="15" t="s">
        <v>63</v>
      </c>
      <c r="BI81" s="15" t="s">
        <v>110</v>
      </c>
      <c r="BJ81" s="15" t="s">
        <v>110</v>
      </c>
      <c r="BK81" s="15" t="s">
        <v>110</v>
      </c>
      <c r="BL81" s="15" t="s">
        <v>110</v>
      </c>
      <c r="BM81" s="15" t="s">
        <v>110</v>
      </c>
      <c r="BN81" s="15" t="s">
        <v>110</v>
      </c>
      <c r="BO81" s="15" t="s">
        <v>171</v>
      </c>
      <c r="BP81" s="15" t="s">
        <v>171</v>
      </c>
      <c r="BQ81" s="15" t="s">
        <v>63</v>
      </c>
      <c r="BR81" s="15" t="s">
        <v>63</v>
      </c>
      <c r="BS81" s="15" t="s">
        <v>63</v>
      </c>
      <c r="BT81" s="15" t="s">
        <v>63</v>
      </c>
      <c r="BU81" s="15" t="s">
        <v>63</v>
      </c>
      <c r="BV81" s="15" t="s">
        <v>63</v>
      </c>
      <c r="BW81" s="15" t="s">
        <v>63</v>
      </c>
      <c r="BX81" s="15" t="s">
        <v>171</v>
      </c>
      <c r="BY81" s="15" t="s">
        <v>63</v>
      </c>
      <c r="BZ81" s="15" t="s">
        <v>63</v>
      </c>
      <c r="CA81" s="15" t="s">
        <v>63</v>
      </c>
      <c r="CB81" s="15" t="s">
        <v>63</v>
      </c>
      <c r="CC81" s="15" t="s">
        <v>170</v>
      </c>
      <c r="CD81" s="15" t="s">
        <v>170</v>
      </c>
      <c r="CE81" s="15" t="s">
        <v>170</v>
      </c>
      <c r="CF81" s="15" t="s">
        <v>62</v>
      </c>
      <c r="CG81" s="15" t="s">
        <v>62</v>
      </c>
      <c r="CH81" s="15" t="s">
        <v>62</v>
      </c>
      <c r="CI81" s="15" t="s">
        <v>62</v>
      </c>
      <c r="CJ81" s="15" t="s">
        <v>62</v>
      </c>
      <c r="CK81" s="15" t="s">
        <v>62</v>
      </c>
      <c r="CL81" s="15" t="s">
        <v>62</v>
      </c>
      <c r="CM81" s="15" t="s">
        <v>62</v>
      </c>
      <c r="CN81" s="15" t="s">
        <v>62</v>
      </c>
      <c r="CO81" s="15" t="s">
        <v>63</v>
      </c>
      <c r="CP81" s="15" t="s">
        <v>63</v>
      </c>
      <c r="CQ81" s="15" t="s">
        <v>63</v>
      </c>
      <c r="CR81" s="15" t="s">
        <v>63</v>
      </c>
      <c r="CS81" s="15" t="s">
        <v>63</v>
      </c>
      <c r="CT81" s="15" t="s">
        <v>63</v>
      </c>
      <c r="CU81" s="15" t="s">
        <v>63</v>
      </c>
      <c r="CV81" s="15" t="s">
        <v>63</v>
      </c>
      <c r="CW81" s="15" t="s">
        <v>63</v>
      </c>
      <c r="CX81" s="15" t="s">
        <v>63</v>
      </c>
      <c r="CY81" s="15" t="s">
        <v>63</v>
      </c>
      <c r="CZ81" s="15" t="s">
        <v>63</v>
      </c>
      <c r="DA81" s="15" t="s">
        <v>110</v>
      </c>
      <c r="DB81" s="15" t="s">
        <v>110</v>
      </c>
      <c r="DC81" s="15" t="s">
        <v>110</v>
      </c>
      <c r="DD81" s="15" t="s">
        <v>110</v>
      </c>
      <c r="DE81" s="15" t="s">
        <v>110</v>
      </c>
    </row>
    <row r="82" spans="1:109" x14ac:dyDescent="0.3">
      <c r="A82" s="15" t="s">
        <v>63</v>
      </c>
      <c r="B82" s="15" t="s">
        <v>63</v>
      </c>
      <c r="C82" s="15" t="s">
        <v>63</v>
      </c>
      <c r="D82" s="15" t="s">
        <v>63</v>
      </c>
      <c r="E82" s="15" t="s">
        <v>110</v>
      </c>
      <c r="F82" s="15" t="s">
        <v>110</v>
      </c>
      <c r="G82" s="15" t="s">
        <v>110</v>
      </c>
      <c r="H82" s="15" t="s">
        <v>110</v>
      </c>
      <c r="I82" s="15" t="s">
        <v>61</v>
      </c>
      <c r="J82" s="15" t="s">
        <v>61</v>
      </c>
      <c r="K82" s="15" t="s">
        <v>61</v>
      </c>
      <c r="L82" s="15" t="s">
        <v>61</v>
      </c>
      <c r="M82" s="15" t="s">
        <v>117</v>
      </c>
      <c r="N82" s="15" t="s">
        <v>117</v>
      </c>
      <c r="O82" s="15" t="s">
        <v>117</v>
      </c>
      <c r="P82" s="15" t="s">
        <v>61</v>
      </c>
      <c r="Q82" s="15" t="s">
        <v>80</v>
      </c>
      <c r="R82" s="15" t="s">
        <v>80</v>
      </c>
      <c r="S82" s="15" t="s">
        <v>60</v>
      </c>
      <c r="T82" s="15" t="s">
        <v>60</v>
      </c>
      <c r="U82" s="15" t="s">
        <v>60</v>
      </c>
      <c r="V82" s="15" t="s">
        <v>58</v>
      </c>
      <c r="W82" s="15" t="s">
        <v>56</v>
      </c>
      <c r="X82" s="15" t="s">
        <v>56</v>
      </c>
      <c r="Y82" s="15" t="s">
        <v>57</v>
      </c>
      <c r="Z82" s="15" t="s">
        <v>57</v>
      </c>
      <c r="AA82" s="15" t="s">
        <v>57</v>
      </c>
      <c r="AB82" s="15" t="s">
        <v>57</v>
      </c>
      <c r="AC82" s="15" t="s">
        <v>58</v>
      </c>
      <c r="AD82" s="15" t="s">
        <v>58</v>
      </c>
      <c r="AE82" s="15" t="s">
        <v>58</v>
      </c>
      <c r="AF82" s="15" t="s">
        <v>58</v>
      </c>
      <c r="AG82" s="15" t="s">
        <v>56</v>
      </c>
      <c r="AH82" s="15" t="s">
        <v>56</v>
      </c>
      <c r="AI82" s="15" t="s">
        <v>58</v>
      </c>
      <c r="AJ82" s="15" t="s">
        <v>58</v>
      </c>
      <c r="AK82" s="15" t="s">
        <v>57</v>
      </c>
      <c r="AL82" s="15" t="s">
        <v>56</v>
      </c>
      <c r="AM82" s="15" t="s">
        <v>56</v>
      </c>
      <c r="AN82" s="15" t="s">
        <v>56</v>
      </c>
      <c r="AO82" s="15" t="s">
        <v>58</v>
      </c>
      <c r="AP82" s="15" t="s">
        <v>58</v>
      </c>
      <c r="AQ82" s="15" t="s">
        <v>60</v>
      </c>
      <c r="AR82" s="15" t="s">
        <v>60</v>
      </c>
      <c r="AS82" s="15" t="s">
        <v>60</v>
      </c>
      <c r="AT82" s="15" t="s">
        <v>60</v>
      </c>
      <c r="AU82" s="15" t="s">
        <v>60</v>
      </c>
      <c r="AV82" s="15" t="s">
        <v>61</v>
      </c>
      <c r="AW82" s="15" t="s">
        <v>117</v>
      </c>
      <c r="AX82" s="15" t="s">
        <v>117</v>
      </c>
      <c r="AY82" s="15" t="s">
        <v>117</v>
      </c>
      <c r="AZ82" s="15" t="s">
        <v>169</v>
      </c>
      <c r="BA82" s="15" t="s">
        <v>169</v>
      </c>
      <c r="BB82" s="15" t="s">
        <v>169</v>
      </c>
      <c r="BC82" s="15" t="s">
        <v>169</v>
      </c>
      <c r="BD82" s="15" t="s">
        <v>169</v>
      </c>
      <c r="BE82" s="15" t="s">
        <v>110</v>
      </c>
      <c r="BF82" s="15" t="s">
        <v>63</v>
      </c>
      <c r="BG82" s="15" t="s">
        <v>171</v>
      </c>
      <c r="BH82" s="15" t="s">
        <v>171</v>
      </c>
      <c r="BI82" s="15" t="s">
        <v>63</v>
      </c>
      <c r="BJ82" s="15" t="s">
        <v>63</v>
      </c>
      <c r="BK82" s="15" t="s">
        <v>63</v>
      </c>
      <c r="BL82" s="15" t="s">
        <v>63</v>
      </c>
      <c r="BM82" s="15" t="s">
        <v>63</v>
      </c>
      <c r="BN82" s="15" t="s">
        <v>63</v>
      </c>
      <c r="BO82" s="15" t="s">
        <v>173</v>
      </c>
      <c r="BP82" s="15" t="s">
        <v>173</v>
      </c>
      <c r="BQ82" s="15" t="s">
        <v>171</v>
      </c>
      <c r="BR82" s="15" t="s">
        <v>171</v>
      </c>
      <c r="BS82" s="15" t="s">
        <v>171</v>
      </c>
      <c r="BT82" s="15" t="s">
        <v>171</v>
      </c>
      <c r="BU82" s="15" t="s">
        <v>171</v>
      </c>
      <c r="BV82" s="15" t="s">
        <v>171</v>
      </c>
      <c r="BW82" s="15" t="s">
        <v>171</v>
      </c>
      <c r="BX82" s="15" t="s">
        <v>173</v>
      </c>
      <c r="BY82" s="15" t="s">
        <v>171</v>
      </c>
      <c r="BZ82" s="15" t="s">
        <v>171</v>
      </c>
      <c r="CA82" s="15" t="s">
        <v>171</v>
      </c>
      <c r="CB82" s="15" t="s">
        <v>171</v>
      </c>
      <c r="CC82" s="15" t="s">
        <v>63</v>
      </c>
      <c r="CD82" s="15" t="s">
        <v>63</v>
      </c>
      <c r="CE82" s="15" t="s">
        <v>63</v>
      </c>
      <c r="CF82" s="15" t="s">
        <v>63</v>
      </c>
      <c r="CG82" s="15" t="s">
        <v>63</v>
      </c>
      <c r="CH82" s="15" t="s">
        <v>63</v>
      </c>
      <c r="CI82" s="15" t="s">
        <v>63</v>
      </c>
      <c r="CJ82" s="15" t="s">
        <v>63</v>
      </c>
      <c r="CK82" s="15" t="s">
        <v>63</v>
      </c>
      <c r="CL82" s="15" t="s">
        <v>63</v>
      </c>
      <c r="CM82" s="15" t="s">
        <v>63</v>
      </c>
      <c r="CN82" s="15" t="s">
        <v>63</v>
      </c>
      <c r="CO82" s="15" t="s">
        <v>171</v>
      </c>
      <c r="CP82" s="15" t="s">
        <v>171</v>
      </c>
      <c r="CQ82" s="15" t="s">
        <v>171</v>
      </c>
      <c r="CR82" s="15" t="s">
        <v>171</v>
      </c>
      <c r="CS82" s="15" t="s">
        <v>171</v>
      </c>
      <c r="CT82" s="15" t="s">
        <v>171</v>
      </c>
      <c r="CU82" s="15" t="s">
        <v>171</v>
      </c>
      <c r="CV82" s="15" t="s">
        <v>171</v>
      </c>
      <c r="CW82" s="15" t="s">
        <v>171</v>
      </c>
      <c r="CX82" s="15" t="s">
        <v>171</v>
      </c>
      <c r="CY82" s="15" t="s">
        <v>171</v>
      </c>
      <c r="CZ82" s="15" t="s">
        <v>171</v>
      </c>
      <c r="DA82" s="15" t="s">
        <v>62</v>
      </c>
      <c r="DB82" s="15" t="s">
        <v>62</v>
      </c>
      <c r="DC82" s="15" t="s">
        <v>62</v>
      </c>
      <c r="DD82" s="15" t="s">
        <v>62</v>
      </c>
      <c r="DE82" s="15" t="s">
        <v>62</v>
      </c>
    </row>
    <row r="83" spans="1:109" x14ac:dyDescent="0.3">
      <c r="A83" s="15" t="s">
        <v>1</v>
      </c>
      <c r="B83" s="15" t="s">
        <v>1</v>
      </c>
      <c r="C83" s="15" t="s">
        <v>1</v>
      </c>
      <c r="D83" s="15" t="s">
        <v>1</v>
      </c>
      <c r="E83" s="15" t="s">
        <v>63</v>
      </c>
      <c r="F83" s="15" t="s">
        <v>63</v>
      </c>
      <c r="G83" s="15" t="s">
        <v>63</v>
      </c>
      <c r="H83" s="15" t="s">
        <v>63</v>
      </c>
      <c r="I83" s="15" t="s">
        <v>117</v>
      </c>
      <c r="J83" s="15" t="s">
        <v>117</v>
      </c>
      <c r="K83" s="15" t="s">
        <v>117</v>
      </c>
      <c r="L83" s="15" t="s">
        <v>117</v>
      </c>
      <c r="M83" s="15" t="s">
        <v>110</v>
      </c>
      <c r="N83" s="15" t="s">
        <v>110</v>
      </c>
      <c r="O83" s="15" t="s">
        <v>110</v>
      </c>
      <c r="P83" s="15" t="s">
        <v>117</v>
      </c>
      <c r="Q83" s="15" t="s">
        <v>61</v>
      </c>
      <c r="R83" s="15" t="s">
        <v>61</v>
      </c>
      <c r="S83" s="15" t="s">
        <v>80</v>
      </c>
      <c r="T83" s="15" t="s">
        <v>80</v>
      </c>
      <c r="U83" s="15" t="s">
        <v>80</v>
      </c>
      <c r="V83" s="15" t="s">
        <v>60</v>
      </c>
      <c r="W83" s="15" t="s">
        <v>58</v>
      </c>
      <c r="X83" s="15" t="s">
        <v>58</v>
      </c>
      <c r="Y83" s="15" t="s">
        <v>58</v>
      </c>
      <c r="Z83" s="15" t="s">
        <v>58</v>
      </c>
      <c r="AA83" s="15" t="s">
        <v>58</v>
      </c>
      <c r="AB83" s="15" t="s">
        <v>58</v>
      </c>
      <c r="AC83" s="15" t="s">
        <v>60</v>
      </c>
      <c r="AD83" s="15" t="s">
        <v>60</v>
      </c>
      <c r="AE83" s="15" t="s">
        <v>60</v>
      </c>
      <c r="AF83" s="15" t="s">
        <v>60</v>
      </c>
      <c r="AG83" s="15" t="s">
        <v>57</v>
      </c>
      <c r="AH83" s="15" t="s">
        <v>57</v>
      </c>
      <c r="AI83" s="15" t="s">
        <v>60</v>
      </c>
      <c r="AJ83" s="15" t="s">
        <v>60</v>
      </c>
      <c r="AK83" s="15" t="s">
        <v>58</v>
      </c>
      <c r="AL83" s="15" t="s">
        <v>57</v>
      </c>
      <c r="AM83" s="15" t="s">
        <v>57</v>
      </c>
      <c r="AN83" s="15" t="s">
        <v>57</v>
      </c>
      <c r="AO83" s="15" t="s">
        <v>60</v>
      </c>
      <c r="AP83" s="15" t="s">
        <v>60</v>
      </c>
      <c r="AQ83" s="15" t="s">
        <v>61</v>
      </c>
      <c r="AR83" s="15" t="s">
        <v>61</v>
      </c>
      <c r="AS83" s="15" t="s">
        <v>61</v>
      </c>
      <c r="AT83" s="15" t="s">
        <v>61</v>
      </c>
      <c r="AU83" s="15" t="s">
        <v>61</v>
      </c>
      <c r="AV83" s="15" t="s">
        <v>167</v>
      </c>
      <c r="AW83" s="15" t="s">
        <v>110</v>
      </c>
      <c r="AX83" s="15" t="s">
        <v>110</v>
      </c>
      <c r="AY83" s="15" t="s">
        <v>110</v>
      </c>
      <c r="AZ83" s="15" t="s">
        <v>110</v>
      </c>
      <c r="BA83" s="15" t="s">
        <v>110</v>
      </c>
      <c r="BB83" s="15" t="s">
        <v>110</v>
      </c>
      <c r="BC83" s="15" t="s">
        <v>110</v>
      </c>
      <c r="BD83" s="15" t="s">
        <v>110</v>
      </c>
      <c r="BE83" s="15" t="s">
        <v>63</v>
      </c>
      <c r="BF83" s="15" t="s">
        <v>171</v>
      </c>
      <c r="BG83" s="15" t="s">
        <v>173</v>
      </c>
      <c r="BH83" s="15" t="s">
        <v>173</v>
      </c>
      <c r="BI83" s="15" t="s">
        <v>171</v>
      </c>
      <c r="BJ83" s="15" t="s">
        <v>171</v>
      </c>
      <c r="BK83" s="15" t="s">
        <v>171</v>
      </c>
      <c r="BL83" s="15" t="s">
        <v>171</v>
      </c>
      <c r="BM83" s="15" t="s">
        <v>171</v>
      </c>
      <c r="BN83" s="15" t="s">
        <v>171</v>
      </c>
      <c r="BO83" s="15" t="s">
        <v>64</v>
      </c>
      <c r="BP83" s="15" t="s">
        <v>64</v>
      </c>
      <c r="BQ83" s="15" t="s">
        <v>173</v>
      </c>
      <c r="BR83" s="15" t="s">
        <v>173</v>
      </c>
      <c r="BS83" s="15" t="s">
        <v>173</v>
      </c>
      <c r="BT83" s="15" t="s">
        <v>173</v>
      </c>
      <c r="BU83" s="15" t="s">
        <v>173</v>
      </c>
      <c r="BV83" s="15" t="s">
        <v>173</v>
      </c>
      <c r="BW83" s="15" t="s">
        <v>173</v>
      </c>
      <c r="BX83" s="15" t="s">
        <v>64</v>
      </c>
      <c r="BY83" s="15" t="s">
        <v>173</v>
      </c>
      <c r="BZ83" s="15" t="s">
        <v>173</v>
      </c>
      <c r="CA83" s="15" t="s">
        <v>173</v>
      </c>
      <c r="CB83" s="15" t="s">
        <v>173</v>
      </c>
      <c r="CC83" s="15" t="s">
        <v>171</v>
      </c>
      <c r="CD83" s="15" t="s">
        <v>171</v>
      </c>
      <c r="CE83" s="15" t="s">
        <v>171</v>
      </c>
      <c r="CF83" s="15" t="s">
        <v>171</v>
      </c>
      <c r="CG83" s="15" t="s">
        <v>171</v>
      </c>
      <c r="CH83" s="15" t="s">
        <v>171</v>
      </c>
      <c r="CI83" s="15" t="s">
        <v>171</v>
      </c>
      <c r="CJ83" s="15" t="s">
        <v>171</v>
      </c>
      <c r="CK83" s="15" t="s">
        <v>171</v>
      </c>
      <c r="CL83" s="15" t="s">
        <v>171</v>
      </c>
      <c r="CM83" s="15" t="s">
        <v>171</v>
      </c>
      <c r="CN83" s="15" t="s">
        <v>171</v>
      </c>
      <c r="CO83" s="15" t="s">
        <v>172</v>
      </c>
      <c r="CP83" s="15" t="s">
        <v>172</v>
      </c>
      <c r="CQ83" s="15" t="s">
        <v>172</v>
      </c>
      <c r="CR83" s="15" t="s">
        <v>172</v>
      </c>
      <c r="CS83" s="15" t="s">
        <v>172</v>
      </c>
      <c r="CT83" s="15" t="s">
        <v>172</v>
      </c>
      <c r="CU83" s="15" t="s">
        <v>172</v>
      </c>
      <c r="CV83" s="15" t="s">
        <v>172</v>
      </c>
      <c r="CW83" s="15" t="s">
        <v>172</v>
      </c>
      <c r="CX83" s="15" t="s">
        <v>172</v>
      </c>
      <c r="CY83" s="15" t="s">
        <v>172</v>
      </c>
      <c r="CZ83" s="15" t="s">
        <v>172</v>
      </c>
      <c r="DA83" s="15" t="s">
        <v>63</v>
      </c>
      <c r="DB83" s="15" t="s">
        <v>63</v>
      </c>
      <c r="DC83" s="15" t="s">
        <v>63</v>
      </c>
      <c r="DD83" s="15" t="s">
        <v>63</v>
      </c>
      <c r="DE83" s="15" t="s">
        <v>63</v>
      </c>
    </row>
    <row r="84" spans="1:109" x14ac:dyDescent="0.3">
      <c r="A84" s="15" t="s">
        <v>174</v>
      </c>
      <c r="B84" s="15" t="s">
        <v>174</v>
      </c>
      <c r="C84" s="15" t="s">
        <v>174</v>
      </c>
      <c r="D84" s="15" t="s">
        <v>174</v>
      </c>
      <c r="E84" s="15" t="s">
        <v>1</v>
      </c>
      <c r="F84" s="15" t="s">
        <v>1</v>
      </c>
      <c r="G84" s="15" t="s">
        <v>1</v>
      </c>
      <c r="H84" s="15" t="s">
        <v>1</v>
      </c>
      <c r="I84" s="15" t="s">
        <v>110</v>
      </c>
      <c r="J84" s="15" t="s">
        <v>110</v>
      </c>
      <c r="K84" s="15" t="s">
        <v>110</v>
      </c>
      <c r="L84" s="15" t="s">
        <v>110</v>
      </c>
      <c r="M84" s="15" t="s">
        <v>63</v>
      </c>
      <c r="N84" s="15" t="s">
        <v>63</v>
      </c>
      <c r="O84" s="15" t="s">
        <v>63</v>
      </c>
      <c r="P84" s="15" t="s">
        <v>110</v>
      </c>
      <c r="Q84" s="15" t="s">
        <v>168</v>
      </c>
      <c r="R84" s="15" t="s">
        <v>168</v>
      </c>
      <c r="S84" s="15" t="s">
        <v>61</v>
      </c>
      <c r="T84" s="15" t="s">
        <v>61</v>
      </c>
      <c r="U84" s="15" t="s">
        <v>61</v>
      </c>
      <c r="V84" s="15" t="s">
        <v>61</v>
      </c>
      <c r="W84" s="15" t="s">
        <v>60</v>
      </c>
      <c r="X84" s="15" t="s">
        <v>60</v>
      </c>
      <c r="Y84" s="15" t="s">
        <v>60</v>
      </c>
      <c r="Z84" s="15" t="s">
        <v>60</v>
      </c>
      <c r="AA84" s="15" t="s">
        <v>60</v>
      </c>
      <c r="AB84" s="15" t="s">
        <v>60</v>
      </c>
      <c r="AC84" s="15" t="s">
        <v>61</v>
      </c>
      <c r="AD84" s="15" t="s">
        <v>61</v>
      </c>
      <c r="AE84" s="15" t="s">
        <v>61</v>
      </c>
      <c r="AF84" s="15" t="s">
        <v>61</v>
      </c>
      <c r="AG84" s="15" t="s">
        <v>58</v>
      </c>
      <c r="AH84" s="15" t="s">
        <v>58</v>
      </c>
      <c r="AI84" s="15" t="s">
        <v>61</v>
      </c>
      <c r="AJ84" s="15" t="s">
        <v>61</v>
      </c>
      <c r="AK84" s="15" t="s">
        <v>60</v>
      </c>
      <c r="AL84" s="15" t="s">
        <v>58</v>
      </c>
      <c r="AM84" s="15" t="s">
        <v>58</v>
      </c>
      <c r="AN84" s="15" t="s">
        <v>58</v>
      </c>
      <c r="AO84" s="15" t="s">
        <v>61</v>
      </c>
      <c r="AP84" s="15" t="s">
        <v>61</v>
      </c>
      <c r="AQ84" s="15" t="s">
        <v>117</v>
      </c>
      <c r="AR84" s="15" t="s">
        <v>117</v>
      </c>
      <c r="AS84" s="15" t="s">
        <v>117</v>
      </c>
      <c r="AT84" s="15" t="s">
        <v>167</v>
      </c>
      <c r="AU84" s="15" t="s">
        <v>167</v>
      </c>
      <c r="AV84" s="15" t="s">
        <v>117</v>
      </c>
      <c r="AW84" s="15" t="s">
        <v>63</v>
      </c>
      <c r="AX84" s="15" t="s">
        <v>63</v>
      </c>
      <c r="AY84" s="15" t="s">
        <v>63</v>
      </c>
      <c r="AZ84" s="15" t="s">
        <v>63</v>
      </c>
      <c r="BA84" s="15" t="s">
        <v>63</v>
      </c>
      <c r="BB84" s="15" t="s">
        <v>63</v>
      </c>
      <c r="BC84" s="15" t="s">
        <v>63</v>
      </c>
      <c r="BD84" s="15" t="s">
        <v>63</v>
      </c>
      <c r="BE84" s="15" t="s">
        <v>171</v>
      </c>
      <c r="BF84" s="15" t="s">
        <v>173</v>
      </c>
      <c r="BG84" s="15" t="s">
        <v>64</v>
      </c>
      <c r="BH84" s="15" t="s">
        <v>64</v>
      </c>
      <c r="BI84" s="15" t="s">
        <v>173</v>
      </c>
      <c r="BJ84" s="15" t="s">
        <v>173</v>
      </c>
      <c r="BK84" s="15" t="s">
        <v>173</v>
      </c>
      <c r="BL84" s="15" t="s">
        <v>173</v>
      </c>
      <c r="BM84" s="15" t="s">
        <v>173</v>
      </c>
      <c r="BN84" s="15" t="s">
        <v>173</v>
      </c>
      <c r="BO84" s="15" t="s">
        <v>1</v>
      </c>
      <c r="BP84" s="15" t="s">
        <v>1</v>
      </c>
      <c r="BQ84" s="15" t="s">
        <v>64</v>
      </c>
      <c r="BR84" s="15" t="s">
        <v>64</v>
      </c>
      <c r="BS84" s="15" t="s">
        <v>64</v>
      </c>
      <c r="BT84" s="15" t="s">
        <v>64</v>
      </c>
      <c r="BU84" s="15" t="s">
        <v>64</v>
      </c>
      <c r="BV84" s="15" t="s">
        <v>64</v>
      </c>
      <c r="BW84" s="15" t="s">
        <v>64</v>
      </c>
      <c r="BX84" s="15" t="s">
        <v>1</v>
      </c>
      <c r="BY84" s="15" t="s">
        <v>64</v>
      </c>
      <c r="BZ84" s="15" t="s">
        <v>64</v>
      </c>
      <c r="CA84" s="15" t="s">
        <v>64</v>
      </c>
      <c r="CB84" s="15" t="s">
        <v>64</v>
      </c>
      <c r="CC84" s="15" t="s">
        <v>173</v>
      </c>
      <c r="CD84" s="15" t="s">
        <v>173</v>
      </c>
      <c r="CE84" s="15" t="s">
        <v>173</v>
      </c>
      <c r="CF84" s="15" t="s">
        <v>173</v>
      </c>
      <c r="CG84" s="15" t="s">
        <v>173</v>
      </c>
      <c r="CH84" s="15" t="s">
        <v>173</v>
      </c>
      <c r="CI84" s="15" t="s">
        <v>173</v>
      </c>
      <c r="CJ84" s="15" t="s">
        <v>173</v>
      </c>
      <c r="CK84" s="15" t="s">
        <v>173</v>
      </c>
      <c r="CL84" s="15" t="s">
        <v>173</v>
      </c>
      <c r="CM84" s="15" t="s">
        <v>173</v>
      </c>
      <c r="CN84" s="15" t="s">
        <v>173</v>
      </c>
      <c r="CO84" s="15" t="s">
        <v>173</v>
      </c>
      <c r="CP84" s="15" t="s">
        <v>173</v>
      </c>
      <c r="CQ84" s="15" t="s">
        <v>173</v>
      </c>
      <c r="CR84" s="15" t="s">
        <v>173</v>
      </c>
      <c r="CS84" s="15" t="s">
        <v>173</v>
      </c>
      <c r="CT84" s="15" t="s">
        <v>173</v>
      </c>
      <c r="CU84" s="15" t="s">
        <v>173</v>
      </c>
      <c r="CV84" s="15" t="s">
        <v>173</v>
      </c>
      <c r="CW84" s="15" t="s">
        <v>173</v>
      </c>
      <c r="CX84" s="15" t="s">
        <v>173</v>
      </c>
      <c r="CY84" s="15" t="s">
        <v>173</v>
      </c>
      <c r="CZ84" s="15" t="s">
        <v>173</v>
      </c>
      <c r="DA84" s="15" t="s">
        <v>171</v>
      </c>
      <c r="DB84" s="15" t="s">
        <v>171</v>
      </c>
      <c r="DC84" s="15" t="s">
        <v>171</v>
      </c>
      <c r="DD84" s="15" t="s">
        <v>171</v>
      </c>
      <c r="DE84" s="15" t="s">
        <v>171</v>
      </c>
    </row>
    <row r="85" spans="1:109" x14ac:dyDescent="0.3">
      <c r="A85" s="15" t="s">
        <v>115</v>
      </c>
      <c r="B85" s="15" t="s">
        <v>115</v>
      </c>
      <c r="C85" s="15" t="s">
        <v>115</v>
      </c>
      <c r="D85" s="15" t="s">
        <v>115</v>
      </c>
      <c r="E85" s="15" t="s">
        <v>174</v>
      </c>
      <c r="F85" s="15" t="s">
        <v>174</v>
      </c>
      <c r="G85" s="15" t="s">
        <v>174</v>
      </c>
      <c r="H85" s="15" t="s">
        <v>174</v>
      </c>
      <c r="I85" s="15" t="s">
        <v>63</v>
      </c>
      <c r="J85" s="15" t="s">
        <v>63</v>
      </c>
      <c r="K85" s="15" t="s">
        <v>63</v>
      </c>
      <c r="L85" s="15" t="s">
        <v>63</v>
      </c>
      <c r="M85" s="15" t="s">
        <v>1</v>
      </c>
      <c r="N85" s="15" t="s">
        <v>1</v>
      </c>
      <c r="O85" s="15" t="s">
        <v>1</v>
      </c>
      <c r="P85" s="15" t="s">
        <v>63</v>
      </c>
      <c r="Q85" s="15" t="s">
        <v>117</v>
      </c>
      <c r="R85" s="15" t="s">
        <v>117</v>
      </c>
      <c r="S85" s="15" t="s">
        <v>168</v>
      </c>
      <c r="T85" s="15" t="s">
        <v>168</v>
      </c>
      <c r="U85" s="15" t="s">
        <v>168</v>
      </c>
      <c r="V85" s="15" t="s">
        <v>168</v>
      </c>
      <c r="W85" s="15" t="s">
        <v>61</v>
      </c>
      <c r="X85" s="15" t="s">
        <v>61</v>
      </c>
      <c r="Y85" s="15" t="s">
        <v>61</v>
      </c>
      <c r="Z85" s="15" t="s">
        <v>61</v>
      </c>
      <c r="AA85" s="15" t="s">
        <v>61</v>
      </c>
      <c r="AB85" s="15" t="s">
        <v>61</v>
      </c>
      <c r="AC85" s="15" t="s">
        <v>117</v>
      </c>
      <c r="AD85" s="15" t="s">
        <v>117</v>
      </c>
      <c r="AE85" s="15" t="s">
        <v>117</v>
      </c>
      <c r="AF85" s="15" t="s">
        <v>117</v>
      </c>
      <c r="AG85" s="15" t="s">
        <v>60</v>
      </c>
      <c r="AH85" s="15" t="s">
        <v>60</v>
      </c>
      <c r="AI85" s="15" t="s">
        <v>117</v>
      </c>
      <c r="AJ85" s="15" t="s">
        <v>117</v>
      </c>
      <c r="AK85" s="15" t="s">
        <v>61</v>
      </c>
      <c r="AL85" s="15" t="s">
        <v>60</v>
      </c>
      <c r="AM85" s="15" t="s">
        <v>60</v>
      </c>
      <c r="AN85" s="15" t="s">
        <v>60</v>
      </c>
      <c r="AO85" s="15" t="s">
        <v>117</v>
      </c>
      <c r="AP85" s="15" t="s">
        <v>117</v>
      </c>
      <c r="AQ85" s="15" t="s">
        <v>110</v>
      </c>
      <c r="AR85" s="15" t="s">
        <v>110</v>
      </c>
      <c r="AS85" s="15" t="s">
        <v>110</v>
      </c>
      <c r="AT85" s="15" t="s">
        <v>117</v>
      </c>
      <c r="AU85" s="15" t="s">
        <v>117</v>
      </c>
      <c r="AV85" s="15" t="s">
        <v>110</v>
      </c>
      <c r="AW85" s="15" t="s">
        <v>171</v>
      </c>
      <c r="AX85" s="15" t="s">
        <v>171</v>
      </c>
      <c r="AY85" s="15" t="s">
        <v>171</v>
      </c>
      <c r="AZ85" s="15" t="s">
        <v>171</v>
      </c>
      <c r="BA85" s="15" t="s">
        <v>171</v>
      </c>
      <c r="BB85" s="15" t="s">
        <v>171</v>
      </c>
      <c r="BC85" s="15" t="s">
        <v>171</v>
      </c>
      <c r="BD85" s="15" t="s">
        <v>171</v>
      </c>
      <c r="BE85" s="15" t="s">
        <v>173</v>
      </c>
      <c r="BF85" s="15" t="s">
        <v>64</v>
      </c>
      <c r="BG85" s="15" t="s">
        <v>1</v>
      </c>
      <c r="BH85" s="15" t="s">
        <v>1</v>
      </c>
      <c r="BI85" s="15" t="s">
        <v>64</v>
      </c>
      <c r="BJ85" s="15" t="s">
        <v>64</v>
      </c>
      <c r="BK85" s="15" t="s">
        <v>64</v>
      </c>
      <c r="BL85" s="15" t="s">
        <v>64</v>
      </c>
      <c r="BM85" s="15" t="s">
        <v>64</v>
      </c>
      <c r="BN85" s="15" t="s">
        <v>64</v>
      </c>
      <c r="BO85" s="15" t="s">
        <v>174</v>
      </c>
      <c r="BP85" s="15" t="s">
        <v>174</v>
      </c>
      <c r="BQ85" s="15" t="s">
        <v>1</v>
      </c>
      <c r="BR85" s="15" t="s">
        <v>1</v>
      </c>
      <c r="BS85" s="15" t="s">
        <v>1</v>
      </c>
      <c r="BT85" s="15" t="s">
        <v>1</v>
      </c>
      <c r="BU85" s="15" t="s">
        <v>1</v>
      </c>
      <c r="BV85" s="15" t="s">
        <v>1</v>
      </c>
      <c r="BW85" s="15" t="s">
        <v>1</v>
      </c>
      <c r="BX85" s="15" t="s">
        <v>174</v>
      </c>
      <c r="BY85" s="15" t="s">
        <v>1</v>
      </c>
      <c r="BZ85" s="15" t="s">
        <v>1</v>
      </c>
      <c r="CA85" s="15" t="s">
        <v>1</v>
      </c>
      <c r="CB85" s="15" t="s">
        <v>1</v>
      </c>
      <c r="CC85" s="15" t="s">
        <v>64</v>
      </c>
      <c r="CD85" s="15" t="s">
        <v>64</v>
      </c>
      <c r="CE85" s="15" t="s">
        <v>64</v>
      </c>
      <c r="CF85" s="15" t="s">
        <v>64</v>
      </c>
      <c r="CG85" s="15" t="s">
        <v>64</v>
      </c>
      <c r="CH85" s="15" t="s">
        <v>64</v>
      </c>
      <c r="CI85" s="15" t="s">
        <v>64</v>
      </c>
      <c r="CJ85" s="15" t="s">
        <v>64</v>
      </c>
      <c r="CK85" s="15" t="s">
        <v>64</v>
      </c>
      <c r="CL85" s="15" t="s">
        <v>64</v>
      </c>
      <c r="CM85" s="15" t="s">
        <v>64</v>
      </c>
      <c r="CN85" s="15" t="s">
        <v>64</v>
      </c>
      <c r="CO85" s="15" t="s">
        <v>64</v>
      </c>
      <c r="CP85" s="15" t="s">
        <v>64</v>
      </c>
      <c r="CQ85" s="15" t="s">
        <v>64</v>
      </c>
      <c r="CR85" s="15" t="s">
        <v>64</v>
      </c>
      <c r="CS85" s="15" t="s">
        <v>64</v>
      </c>
      <c r="CT85" s="15" t="s">
        <v>64</v>
      </c>
      <c r="CU85" s="15" t="s">
        <v>64</v>
      </c>
      <c r="CV85" s="15" t="s">
        <v>64</v>
      </c>
      <c r="CW85" s="15" t="s">
        <v>64</v>
      </c>
      <c r="CX85" s="15" t="s">
        <v>64</v>
      </c>
      <c r="CY85" s="15" t="s">
        <v>64</v>
      </c>
      <c r="CZ85" s="15" t="s">
        <v>64</v>
      </c>
      <c r="DA85" s="15" t="s">
        <v>172</v>
      </c>
      <c r="DB85" s="15" t="s">
        <v>172</v>
      </c>
      <c r="DC85" s="15" t="s">
        <v>172</v>
      </c>
      <c r="DD85" s="15" t="s">
        <v>172</v>
      </c>
      <c r="DE85" s="15" t="s">
        <v>172</v>
      </c>
    </row>
    <row r="86" spans="1:109" x14ac:dyDescent="0.3">
      <c r="A86" s="15" t="s">
        <v>176</v>
      </c>
      <c r="B86" s="15" t="s">
        <v>176</v>
      </c>
      <c r="C86" s="15" t="s">
        <v>176</v>
      </c>
      <c r="D86" s="15" t="s">
        <v>176</v>
      </c>
      <c r="E86" s="15" t="s">
        <v>115</v>
      </c>
      <c r="F86" s="15" t="s">
        <v>115</v>
      </c>
      <c r="G86" s="15" t="s">
        <v>115</v>
      </c>
      <c r="H86" s="15" t="s">
        <v>115</v>
      </c>
      <c r="I86" s="15" t="s">
        <v>1</v>
      </c>
      <c r="J86" s="15" t="s">
        <v>1</v>
      </c>
      <c r="K86" s="15" t="s">
        <v>1</v>
      </c>
      <c r="L86" s="15" t="s">
        <v>1</v>
      </c>
      <c r="M86" s="15" t="s">
        <v>174</v>
      </c>
      <c r="N86" s="15" t="s">
        <v>174</v>
      </c>
      <c r="O86" s="15" t="s">
        <v>174</v>
      </c>
      <c r="P86" s="15" t="s">
        <v>1</v>
      </c>
      <c r="Q86" s="15" t="s">
        <v>110</v>
      </c>
      <c r="R86" s="15" t="s">
        <v>110</v>
      </c>
      <c r="S86" s="15" t="s">
        <v>117</v>
      </c>
      <c r="T86" s="15" t="s">
        <v>117</v>
      </c>
      <c r="U86" s="15" t="s">
        <v>117</v>
      </c>
      <c r="V86" s="15" t="s">
        <v>117</v>
      </c>
      <c r="W86" s="15" t="s">
        <v>117</v>
      </c>
      <c r="X86" s="15" t="s">
        <v>117</v>
      </c>
      <c r="Y86" s="15" t="s">
        <v>117</v>
      </c>
      <c r="Z86" s="15" t="s">
        <v>117</v>
      </c>
      <c r="AA86" s="15" t="s">
        <v>117</v>
      </c>
      <c r="AB86" s="15" t="s">
        <v>117</v>
      </c>
      <c r="AC86" s="15" t="s">
        <v>110</v>
      </c>
      <c r="AD86" s="15" t="s">
        <v>110</v>
      </c>
      <c r="AE86" s="15" t="s">
        <v>110</v>
      </c>
      <c r="AF86" s="15" t="s">
        <v>110</v>
      </c>
      <c r="AG86" s="15" t="s">
        <v>61</v>
      </c>
      <c r="AH86" s="15" t="s">
        <v>61</v>
      </c>
      <c r="AI86" s="15" t="s">
        <v>110</v>
      </c>
      <c r="AJ86" s="15" t="s">
        <v>110</v>
      </c>
      <c r="AK86" s="15" t="s">
        <v>117</v>
      </c>
      <c r="AL86" s="15" t="s">
        <v>61</v>
      </c>
      <c r="AM86" s="15" t="s">
        <v>61</v>
      </c>
      <c r="AN86" s="15" t="s">
        <v>61</v>
      </c>
      <c r="AO86" s="15" t="s">
        <v>110</v>
      </c>
      <c r="AP86" s="15" t="s">
        <v>110</v>
      </c>
      <c r="AQ86" s="15" t="s">
        <v>63</v>
      </c>
      <c r="AR86" s="15" t="s">
        <v>63</v>
      </c>
      <c r="AS86" s="15" t="s">
        <v>63</v>
      </c>
      <c r="AT86" s="15" t="s">
        <v>110</v>
      </c>
      <c r="AU86" s="15" t="s">
        <v>110</v>
      </c>
      <c r="AV86" s="15" t="s">
        <v>63</v>
      </c>
      <c r="AW86" s="15" t="s">
        <v>173</v>
      </c>
      <c r="AX86" s="15" t="s">
        <v>173</v>
      </c>
      <c r="AY86" s="15" t="s">
        <v>173</v>
      </c>
      <c r="AZ86" s="15" t="s">
        <v>173</v>
      </c>
      <c r="BA86" s="15" t="s">
        <v>173</v>
      </c>
      <c r="BB86" s="15" t="s">
        <v>173</v>
      </c>
      <c r="BC86" s="15" t="s">
        <v>173</v>
      </c>
      <c r="BD86" s="15" t="s">
        <v>173</v>
      </c>
      <c r="BE86" s="15" t="s">
        <v>64</v>
      </c>
      <c r="BF86" s="15" t="s">
        <v>1</v>
      </c>
      <c r="BG86" s="15" t="s">
        <v>174</v>
      </c>
      <c r="BH86" s="15" t="s">
        <v>174</v>
      </c>
      <c r="BI86" s="15" t="s">
        <v>1</v>
      </c>
      <c r="BJ86" s="15" t="s">
        <v>1</v>
      </c>
      <c r="BK86" s="15" t="s">
        <v>1</v>
      </c>
      <c r="BL86" s="15" t="s">
        <v>1</v>
      </c>
      <c r="BM86" s="15" t="s">
        <v>1</v>
      </c>
      <c r="BN86" s="15" t="s">
        <v>1</v>
      </c>
      <c r="BO86" s="15" t="s">
        <v>175</v>
      </c>
      <c r="BP86" s="15" t="s">
        <v>175</v>
      </c>
      <c r="BQ86" s="15" t="s">
        <v>174</v>
      </c>
      <c r="BR86" s="15" t="s">
        <v>174</v>
      </c>
      <c r="BS86" s="15" t="s">
        <v>174</v>
      </c>
      <c r="BT86" s="15" t="s">
        <v>174</v>
      </c>
      <c r="BU86" s="15" t="s">
        <v>174</v>
      </c>
      <c r="BV86" s="15" t="s">
        <v>174</v>
      </c>
      <c r="BW86" s="15" t="s">
        <v>174</v>
      </c>
      <c r="BX86" s="15" t="s">
        <v>175</v>
      </c>
      <c r="BY86" s="15" t="s">
        <v>174</v>
      </c>
      <c r="BZ86" s="15" t="s">
        <v>174</v>
      </c>
      <c r="CA86" s="15" t="s">
        <v>174</v>
      </c>
      <c r="CB86" s="15" t="s">
        <v>174</v>
      </c>
      <c r="CC86" s="15" t="s">
        <v>1</v>
      </c>
      <c r="CD86" s="15" t="s">
        <v>1</v>
      </c>
      <c r="CE86" s="15" t="s">
        <v>1</v>
      </c>
      <c r="CF86" s="15" t="s">
        <v>1</v>
      </c>
      <c r="CG86" s="15" t="s">
        <v>1</v>
      </c>
      <c r="CH86" s="15" t="s">
        <v>1</v>
      </c>
      <c r="CI86" s="15" t="s">
        <v>1</v>
      </c>
      <c r="CJ86" s="15" t="s">
        <v>1</v>
      </c>
      <c r="CK86" s="15" t="s">
        <v>1</v>
      </c>
      <c r="CL86" s="15" t="s">
        <v>1</v>
      </c>
      <c r="CM86" s="15" t="s">
        <v>1</v>
      </c>
      <c r="CN86" s="15" t="s">
        <v>1</v>
      </c>
      <c r="CO86" s="15" t="s">
        <v>1</v>
      </c>
      <c r="CP86" s="15" t="s">
        <v>1</v>
      </c>
      <c r="CQ86" s="15" t="s">
        <v>1</v>
      </c>
      <c r="CR86" s="15" t="s">
        <v>1</v>
      </c>
      <c r="CS86" s="15" t="s">
        <v>1</v>
      </c>
      <c r="CT86" s="15" t="s">
        <v>1</v>
      </c>
      <c r="CU86" s="15" t="s">
        <v>1</v>
      </c>
      <c r="CV86" s="15" t="s">
        <v>1</v>
      </c>
      <c r="CW86" s="15" t="s">
        <v>1</v>
      </c>
      <c r="CX86" s="15" t="s">
        <v>1</v>
      </c>
      <c r="CY86" s="15" t="s">
        <v>1</v>
      </c>
      <c r="CZ86" s="15" t="s">
        <v>1</v>
      </c>
      <c r="DA86" s="15" t="s">
        <v>173</v>
      </c>
      <c r="DB86" s="15" t="s">
        <v>173</v>
      </c>
      <c r="DC86" s="15" t="s">
        <v>173</v>
      </c>
      <c r="DD86" s="15" t="s">
        <v>173</v>
      </c>
      <c r="DE86" s="15" t="s">
        <v>173</v>
      </c>
    </row>
    <row r="87" spans="1:109" x14ac:dyDescent="0.3">
      <c r="A87" s="15" t="s">
        <v>177</v>
      </c>
      <c r="B87" s="15" t="s">
        <v>177</v>
      </c>
      <c r="C87" s="15" t="s">
        <v>177</v>
      </c>
      <c r="D87" s="15" t="s">
        <v>177</v>
      </c>
      <c r="E87" s="15" t="s">
        <v>176</v>
      </c>
      <c r="F87" s="15" t="s">
        <v>176</v>
      </c>
      <c r="G87" s="15" t="s">
        <v>176</v>
      </c>
      <c r="H87" s="15" t="s">
        <v>119</v>
      </c>
      <c r="I87" s="15" t="s">
        <v>174</v>
      </c>
      <c r="J87" s="15" t="s">
        <v>174</v>
      </c>
      <c r="K87" s="15" t="s">
        <v>174</v>
      </c>
      <c r="L87" s="15" t="s">
        <v>174</v>
      </c>
      <c r="M87" s="15" t="s">
        <v>115</v>
      </c>
      <c r="N87" s="15" t="s">
        <v>115</v>
      </c>
      <c r="O87" s="15" t="s">
        <v>115</v>
      </c>
      <c r="P87" s="15" t="s">
        <v>174</v>
      </c>
      <c r="Q87" s="15" t="s">
        <v>63</v>
      </c>
      <c r="R87" s="15" t="s">
        <v>63</v>
      </c>
      <c r="S87" s="15" t="s">
        <v>110</v>
      </c>
      <c r="T87" s="15" t="s">
        <v>110</v>
      </c>
      <c r="U87" s="15" t="s">
        <v>110</v>
      </c>
      <c r="V87" s="15" t="s">
        <v>110</v>
      </c>
      <c r="W87" s="15" t="s">
        <v>110</v>
      </c>
      <c r="X87" s="15" t="s">
        <v>110</v>
      </c>
      <c r="Y87" s="15" t="s">
        <v>110</v>
      </c>
      <c r="Z87" s="15" t="s">
        <v>110</v>
      </c>
      <c r="AA87" s="15" t="s">
        <v>110</v>
      </c>
      <c r="AB87" s="15" t="s">
        <v>110</v>
      </c>
      <c r="AC87" s="15" t="s">
        <v>63</v>
      </c>
      <c r="AD87" s="15" t="s">
        <v>63</v>
      </c>
      <c r="AE87" s="15" t="s">
        <v>63</v>
      </c>
      <c r="AF87" s="15" t="s">
        <v>63</v>
      </c>
      <c r="AG87" s="15" t="s">
        <v>117</v>
      </c>
      <c r="AH87" s="15" t="s">
        <v>117</v>
      </c>
      <c r="AI87" s="15" t="s">
        <v>63</v>
      </c>
      <c r="AJ87" s="15" t="s">
        <v>63</v>
      </c>
      <c r="AK87" s="15" t="s">
        <v>110</v>
      </c>
      <c r="AL87" s="15" t="s">
        <v>117</v>
      </c>
      <c r="AM87" s="15" t="s">
        <v>117</v>
      </c>
      <c r="AN87" s="15" t="s">
        <v>117</v>
      </c>
      <c r="AO87" s="15" t="s">
        <v>63</v>
      </c>
      <c r="AP87" s="15" t="s">
        <v>63</v>
      </c>
      <c r="AQ87" s="15" t="s">
        <v>173</v>
      </c>
      <c r="AR87" s="15" t="s">
        <v>173</v>
      </c>
      <c r="AS87" s="15" t="s">
        <v>173</v>
      </c>
      <c r="AT87" s="15" t="s">
        <v>63</v>
      </c>
      <c r="AU87" s="15" t="s">
        <v>63</v>
      </c>
      <c r="AV87" s="15" t="s">
        <v>173</v>
      </c>
      <c r="AW87" s="15" t="s">
        <v>1</v>
      </c>
      <c r="AX87" s="15" t="s">
        <v>1</v>
      </c>
      <c r="AY87" s="15" t="s">
        <v>1</v>
      </c>
      <c r="AZ87" s="15" t="s">
        <v>1</v>
      </c>
      <c r="BA87" s="15" t="s">
        <v>1</v>
      </c>
      <c r="BB87" s="15" t="s">
        <v>1</v>
      </c>
      <c r="BC87" s="15" t="s">
        <v>1</v>
      </c>
      <c r="BD87" s="15" t="s">
        <v>1</v>
      </c>
      <c r="BE87" s="15" t="s">
        <v>1</v>
      </c>
      <c r="BF87" s="15" t="s">
        <v>174</v>
      </c>
      <c r="BG87" s="15" t="s">
        <v>175</v>
      </c>
      <c r="BH87" s="15" t="s">
        <v>175</v>
      </c>
      <c r="BI87" s="15" t="s">
        <v>174</v>
      </c>
      <c r="BJ87" s="15" t="s">
        <v>174</v>
      </c>
      <c r="BK87" s="15" t="s">
        <v>174</v>
      </c>
      <c r="BL87" s="15" t="s">
        <v>174</v>
      </c>
      <c r="BM87" s="15" t="s">
        <v>174</v>
      </c>
      <c r="BN87" s="15" t="s">
        <v>174</v>
      </c>
      <c r="BO87" s="15" t="s">
        <v>178</v>
      </c>
      <c r="BP87" s="15" t="s">
        <v>178</v>
      </c>
      <c r="BQ87" s="15" t="s">
        <v>175</v>
      </c>
      <c r="BR87" s="15" t="s">
        <v>175</v>
      </c>
      <c r="BS87" s="15" t="s">
        <v>175</v>
      </c>
      <c r="BT87" s="15" t="s">
        <v>175</v>
      </c>
      <c r="BU87" s="15" t="s">
        <v>175</v>
      </c>
      <c r="BV87" s="15" t="s">
        <v>175</v>
      </c>
      <c r="BW87" s="15" t="s">
        <v>175</v>
      </c>
      <c r="BX87" s="15" t="s">
        <v>178</v>
      </c>
      <c r="BY87" s="15" t="s">
        <v>175</v>
      </c>
      <c r="BZ87" s="15" t="s">
        <v>175</v>
      </c>
      <c r="CA87" s="15" t="s">
        <v>175</v>
      </c>
      <c r="CB87" s="15" t="s">
        <v>175</v>
      </c>
      <c r="CC87" s="15" t="s">
        <v>174</v>
      </c>
      <c r="CD87" s="15" t="s">
        <v>174</v>
      </c>
      <c r="CE87" s="15" t="s">
        <v>65</v>
      </c>
      <c r="CF87" s="15" t="s">
        <v>65</v>
      </c>
      <c r="CG87" s="15" t="s">
        <v>65</v>
      </c>
      <c r="CH87" s="15" t="s">
        <v>65</v>
      </c>
      <c r="CI87" s="15" t="s">
        <v>65</v>
      </c>
      <c r="CJ87" s="15" t="s">
        <v>65</v>
      </c>
      <c r="CK87" s="15" t="s">
        <v>65</v>
      </c>
      <c r="CL87" s="15" t="s">
        <v>65</v>
      </c>
      <c r="CM87" s="15" t="s">
        <v>65</v>
      </c>
      <c r="CN87" s="15" t="s">
        <v>65</v>
      </c>
      <c r="CO87" s="15" t="s">
        <v>65</v>
      </c>
      <c r="CP87" s="15" t="s">
        <v>65</v>
      </c>
      <c r="CQ87" s="15" t="s">
        <v>65</v>
      </c>
      <c r="CR87" s="15" t="s">
        <v>65</v>
      </c>
      <c r="CS87" s="15" t="s">
        <v>65</v>
      </c>
      <c r="CT87" s="15" t="s">
        <v>65</v>
      </c>
      <c r="CU87" s="15" t="s">
        <v>65</v>
      </c>
      <c r="CV87" s="15" t="s">
        <v>65</v>
      </c>
      <c r="CW87" s="15" t="s">
        <v>65</v>
      </c>
      <c r="CX87" s="15" t="s">
        <v>65</v>
      </c>
      <c r="CY87" s="15" t="s">
        <v>65</v>
      </c>
      <c r="CZ87" s="15" t="s">
        <v>65</v>
      </c>
      <c r="DA87" s="15" t="s">
        <v>1</v>
      </c>
      <c r="DB87" s="15" t="s">
        <v>1</v>
      </c>
      <c r="DC87" s="15" t="s">
        <v>1</v>
      </c>
      <c r="DD87" s="15" t="s">
        <v>1</v>
      </c>
      <c r="DE87" s="15" t="s">
        <v>1</v>
      </c>
    </row>
    <row r="88" spans="1:109" x14ac:dyDescent="0.3">
      <c r="A88" s="15" t="s">
        <v>119</v>
      </c>
      <c r="B88" s="15" t="s">
        <v>119</v>
      </c>
      <c r="C88" s="15" t="s">
        <v>119</v>
      </c>
      <c r="D88" s="15" t="s">
        <v>119</v>
      </c>
      <c r="E88" s="15" t="s">
        <v>119</v>
      </c>
      <c r="F88" s="15" t="s">
        <v>119</v>
      </c>
      <c r="G88" s="15" t="s">
        <v>119</v>
      </c>
      <c r="H88" s="15" t="s">
        <v>66</v>
      </c>
      <c r="I88" s="15" t="s">
        <v>115</v>
      </c>
      <c r="J88" s="15" t="s">
        <v>115</v>
      </c>
      <c r="K88" s="15" t="s">
        <v>115</v>
      </c>
      <c r="L88" s="15" t="s">
        <v>115</v>
      </c>
      <c r="M88" s="15" t="s">
        <v>84</v>
      </c>
      <c r="N88" s="15" t="s">
        <v>84</v>
      </c>
      <c r="O88" s="15" t="s">
        <v>84</v>
      </c>
      <c r="P88" s="15" t="s">
        <v>115</v>
      </c>
      <c r="Q88" s="15" t="s">
        <v>1</v>
      </c>
      <c r="R88" s="15" t="s">
        <v>1</v>
      </c>
      <c r="S88" s="15" t="s">
        <v>63</v>
      </c>
      <c r="T88" s="15" t="s">
        <v>63</v>
      </c>
      <c r="U88" s="15" t="s">
        <v>63</v>
      </c>
      <c r="V88" s="15" t="s">
        <v>63</v>
      </c>
      <c r="W88" s="15" t="s">
        <v>63</v>
      </c>
      <c r="X88" s="15" t="s">
        <v>63</v>
      </c>
      <c r="Y88" s="15" t="s">
        <v>63</v>
      </c>
      <c r="Z88" s="15" t="s">
        <v>63</v>
      </c>
      <c r="AA88" s="15" t="s">
        <v>63</v>
      </c>
      <c r="AB88" s="15" t="s">
        <v>63</v>
      </c>
      <c r="AC88" s="15" t="s">
        <v>1</v>
      </c>
      <c r="AD88" s="15" t="s">
        <v>1</v>
      </c>
      <c r="AE88" s="15" t="s">
        <v>1</v>
      </c>
      <c r="AF88" s="15" t="s">
        <v>1</v>
      </c>
      <c r="AG88" s="15" t="s">
        <v>110</v>
      </c>
      <c r="AH88" s="15" t="s">
        <v>110</v>
      </c>
      <c r="AI88" s="15" t="s">
        <v>1</v>
      </c>
      <c r="AJ88" s="15" t="s">
        <v>1</v>
      </c>
      <c r="AK88" s="15" t="s">
        <v>63</v>
      </c>
      <c r="AL88" s="15" t="s">
        <v>110</v>
      </c>
      <c r="AM88" s="15" t="s">
        <v>110</v>
      </c>
      <c r="AN88" s="15" t="s">
        <v>110</v>
      </c>
      <c r="AO88" s="15" t="s">
        <v>173</v>
      </c>
      <c r="AP88" s="15" t="s">
        <v>173</v>
      </c>
      <c r="AQ88" s="15" t="s">
        <v>1</v>
      </c>
      <c r="AR88" s="15" t="s">
        <v>1</v>
      </c>
      <c r="AS88" s="15" t="s">
        <v>1</v>
      </c>
      <c r="AT88" s="15" t="s">
        <v>173</v>
      </c>
      <c r="AU88" s="15" t="s">
        <v>173</v>
      </c>
      <c r="AV88" s="15" t="s">
        <v>1</v>
      </c>
      <c r="AW88" s="15" t="s">
        <v>174</v>
      </c>
      <c r="AX88" s="15" t="s">
        <v>174</v>
      </c>
      <c r="AY88" s="15" t="s">
        <v>174</v>
      </c>
      <c r="AZ88" s="15" t="s">
        <v>174</v>
      </c>
      <c r="BA88" s="15" t="s">
        <v>174</v>
      </c>
      <c r="BB88" s="15" t="s">
        <v>174</v>
      </c>
      <c r="BC88" s="15" t="s">
        <v>174</v>
      </c>
      <c r="BD88" s="15" t="s">
        <v>174</v>
      </c>
      <c r="BE88" s="15" t="s">
        <v>174</v>
      </c>
      <c r="BF88" s="15" t="s">
        <v>175</v>
      </c>
      <c r="BG88" s="15" t="s">
        <v>66</v>
      </c>
      <c r="BH88" s="15" t="s">
        <v>66</v>
      </c>
      <c r="BI88" s="15" t="s">
        <v>175</v>
      </c>
      <c r="BJ88" s="15" t="s">
        <v>175</v>
      </c>
      <c r="BK88" s="15" t="s">
        <v>175</v>
      </c>
      <c r="BL88" s="15" t="s">
        <v>175</v>
      </c>
      <c r="BM88" s="15" t="s">
        <v>175</v>
      </c>
      <c r="BN88" s="15" t="s">
        <v>175</v>
      </c>
      <c r="BO88" s="15" t="s">
        <v>66</v>
      </c>
      <c r="BP88" s="15" t="s">
        <v>66</v>
      </c>
      <c r="BQ88" s="15" t="s">
        <v>178</v>
      </c>
      <c r="BR88" s="15" t="s">
        <v>178</v>
      </c>
      <c r="BS88" s="15" t="s">
        <v>178</v>
      </c>
      <c r="BT88" s="15" t="s">
        <v>178</v>
      </c>
      <c r="BU88" s="15" t="s">
        <v>178</v>
      </c>
      <c r="BV88" s="15" t="s">
        <v>178</v>
      </c>
      <c r="BW88" s="15" t="s">
        <v>178</v>
      </c>
      <c r="BX88" s="15" t="s">
        <v>66</v>
      </c>
      <c r="BY88" s="15" t="s">
        <v>178</v>
      </c>
      <c r="BZ88" s="15" t="s">
        <v>178</v>
      </c>
      <c r="CA88" s="15" t="s">
        <v>178</v>
      </c>
      <c r="CB88" s="15" t="s">
        <v>178</v>
      </c>
      <c r="CC88" s="15" t="s">
        <v>175</v>
      </c>
      <c r="CD88" s="15" t="s">
        <v>175</v>
      </c>
      <c r="CE88" s="15" t="s">
        <v>175</v>
      </c>
      <c r="CF88" s="15" t="s">
        <v>175</v>
      </c>
      <c r="CG88" s="15" t="s">
        <v>175</v>
      </c>
      <c r="CH88" s="15" t="s">
        <v>175</v>
      </c>
      <c r="CI88" s="15" t="s">
        <v>175</v>
      </c>
      <c r="CJ88" s="15" t="s">
        <v>175</v>
      </c>
      <c r="CK88" s="15" t="s">
        <v>175</v>
      </c>
      <c r="CL88" s="15" t="s">
        <v>175</v>
      </c>
      <c r="CM88" s="15" t="s">
        <v>175</v>
      </c>
      <c r="CN88" s="15" t="s">
        <v>175</v>
      </c>
      <c r="CO88" s="15" t="s">
        <v>175</v>
      </c>
      <c r="CP88" s="15" t="s">
        <v>175</v>
      </c>
      <c r="CQ88" s="15" t="s">
        <v>175</v>
      </c>
      <c r="CR88" s="15" t="s">
        <v>175</v>
      </c>
      <c r="CS88" s="15" t="s">
        <v>175</v>
      </c>
      <c r="CT88" s="15" t="s">
        <v>175</v>
      </c>
      <c r="CU88" s="15" t="s">
        <v>175</v>
      </c>
      <c r="CV88" s="15" t="s">
        <v>175</v>
      </c>
      <c r="CW88" s="15" t="s">
        <v>175</v>
      </c>
      <c r="CX88" s="15" t="s">
        <v>175</v>
      </c>
      <c r="CY88" s="15" t="s">
        <v>175</v>
      </c>
      <c r="CZ88" s="15" t="s">
        <v>175</v>
      </c>
      <c r="DA88" s="15" t="s">
        <v>65</v>
      </c>
      <c r="DB88" s="15" t="s">
        <v>65</v>
      </c>
      <c r="DC88" s="15" t="s">
        <v>65</v>
      </c>
      <c r="DD88" s="15" t="s">
        <v>65</v>
      </c>
      <c r="DE88" s="15" t="s">
        <v>65</v>
      </c>
    </row>
    <row r="89" spans="1:109" x14ac:dyDescent="0.3">
      <c r="A89" s="15" t="s">
        <v>66</v>
      </c>
      <c r="B89" s="15" t="s">
        <v>66</v>
      </c>
      <c r="C89" s="15" t="s">
        <v>66</v>
      </c>
      <c r="D89" s="15" t="s">
        <v>66</v>
      </c>
      <c r="E89" s="15" t="s">
        <v>66</v>
      </c>
      <c r="F89" s="15" t="s">
        <v>66</v>
      </c>
      <c r="G89" s="15" t="s">
        <v>66</v>
      </c>
      <c r="H89" s="15" t="s">
        <v>179</v>
      </c>
      <c r="I89" s="15" t="s">
        <v>119</v>
      </c>
      <c r="J89" s="15" t="s">
        <v>119</v>
      </c>
      <c r="K89" s="15" t="s">
        <v>119</v>
      </c>
      <c r="L89" s="15" t="s">
        <v>119</v>
      </c>
      <c r="M89" s="15" t="s">
        <v>119</v>
      </c>
      <c r="N89" s="15" t="s">
        <v>119</v>
      </c>
      <c r="O89" s="15" t="s">
        <v>119</v>
      </c>
      <c r="P89" s="15" t="s">
        <v>84</v>
      </c>
      <c r="Q89" s="15" t="s">
        <v>174</v>
      </c>
      <c r="R89" s="15" t="s">
        <v>174</v>
      </c>
      <c r="S89" s="15" t="s">
        <v>1</v>
      </c>
      <c r="T89" s="15" t="s">
        <v>1</v>
      </c>
      <c r="U89" s="15" t="s">
        <v>1</v>
      </c>
      <c r="V89" s="15" t="s">
        <v>1</v>
      </c>
      <c r="W89" s="15" t="s">
        <v>1</v>
      </c>
      <c r="X89" s="15" t="s">
        <v>1</v>
      </c>
      <c r="Y89" s="15" t="s">
        <v>1</v>
      </c>
      <c r="Z89" s="15" t="s">
        <v>1</v>
      </c>
      <c r="AA89" s="15" t="s">
        <v>1</v>
      </c>
      <c r="AB89" s="15" t="s">
        <v>1</v>
      </c>
      <c r="AC89" s="15" t="s">
        <v>174</v>
      </c>
      <c r="AD89" s="15" t="s">
        <v>174</v>
      </c>
      <c r="AE89" s="15" t="s">
        <v>174</v>
      </c>
      <c r="AF89" s="15" t="s">
        <v>174</v>
      </c>
      <c r="AG89" s="15" t="s">
        <v>63</v>
      </c>
      <c r="AH89" s="15" t="s">
        <v>63</v>
      </c>
      <c r="AI89" s="15" t="s">
        <v>174</v>
      </c>
      <c r="AJ89" s="15" t="s">
        <v>174</v>
      </c>
      <c r="AK89" s="15" t="s">
        <v>1</v>
      </c>
      <c r="AL89" s="15" t="s">
        <v>63</v>
      </c>
      <c r="AM89" s="15" t="s">
        <v>63</v>
      </c>
      <c r="AN89" s="15" t="s">
        <v>63</v>
      </c>
      <c r="AO89" s="15" t="s">
        <v>1</v>
      </c>
      <c r="AP89" s="15" t="s">
        <v>1</v>
      </c>
      <c r="AQ89" s="15" t="s">
        <v>174</v>
      </c>
      <c r="AR89" s="15" t="s">
        <v>174</v>
      </c>
      <c r="AS89" s="15" t="s">
        <v>174</v>
      </c>
      <c r="AT89" s="15" t="s">
        <v>1</v>
      </c>
      <c r="AU89" s="15" t="s">
        <v>1</v>
      </c>
      <c r="AV89" s="15" t="s">
        <v>174</v>
      </c>
      <c r="AW89" s="15" t="s">
        <v>175</v>
      </c>
      <c r="AX89" s="15" t="s">
        <v>175</v>
      </c>
      <c r="AY89" s="15" t="s">
        <v>175</v>
      </c>
      <c r="AZ89" s="15" t="s">
        <v>175</v>
      </c>
      <c r="BA89" s="15" t="s">
        <v>175</v>
      </c>
      <c r="BB89" s="15" t="s">
        <v>175</v>
      </c>
      <c r="BC89" s="15" t="s">
        <v>175</v>
      </c>
      <c r="BD89" s="15" t="s">
        <v>175</v>
      </c>
      <c r="BE89" s="15" t="s">
        <v>175</v>
      </c>
      <c r="BF89" s="15" t="s">
        <v>66</v>
      </c>
      <c r="BG89" s="15" t="s">
        <v>181</v>
      </c>
      <c r="BH89" s="15" t="s">
        <v>181</v>
      </c>
      <c r="BI89" s="15" t="s">
        <v>178</v>
      </c>
      <c r="BJ89" s="15" t="s">
        <v>178</v>
      </c>
      <c r="BK89" s="15" t="s">
        <v>178</v>
      </c>
      <c r="BL89" s="15" t="s">
        <v>178</v>
      </c>
      <c r="BM89" s="15" t="s">
        <v>178</v>
      </c>
      <c r="BN89" s="15" t="s">
        <v>178</v>
      </c>
      <c r="BO89" s="15" t="s">
        <v>181</v>
      </c>
      <c r="BP89" s="15" t="s">
        <v>181</v>
      </c>
      <c r="BQ89" s="15" t="s">
        <v>66</v>
      </c>
      <c r="BR89" s="15" t="s">
        <v>66</v>
      </c>
      <c r="BS89" s="15" t="s">
        <v>66</v>
      </c>
      <c r="BT89" s="15" t="s">
        <v>66</v>
      </c>
      <c r="BU89" s="15" t="s">
        <v>66</v>
      </c>
      <c r="BV89" s="15" t="s">
        <v>66</v>
      </c>
      <c r="BW89" s="15" t="s">
        <v>66</v>
      </c>
      <c r="BX89" s="15" t="s">
        <v>181</v>
      </c>
      <c r="BY89" s="15" t="s">
        <v>66</v>
      </c>
      <c r="BZ89" s="15" t="s">
        <v>66</v>
      </c>
      <c r="CA89" s="15" t="s">
        <v>66</v>
      </c>
      <c r="CB89" s="15" t="s">
        <v>66</v>
      </c>
      <c r="CC89" s="15" t="s">
        <v>178</v>
      </c>
      <c r="CD89" s="15" t="s">
        <v>178</v>
      </c>
      <c r="CE89" s="15" t="s">
        <v>178</v>
      </c>
      <c r="CF89" s="15" t="s">
        <v>178</v>
      </c>
      <c r="CG89" s="15" t="s">
        <v>178</v>
      </c>
      <c r="CH89" s="15" t="s">
        <v>178</v>
      </c>
      <c r="CI89" s="15" t="s">
        <v>178</v>
      </c>
      <c r="CJ89" s="15" t="s">
        <v>178</v>
      </c>
      <c r="CK89" s="15" t="s">
        <v>178</v>
      </c>
      <c r="CL89" s="15" t="s">
        <v>178</v>
      </c>
      <c r="CM89" s="15" t="s">
        <v>178</v>
      </c>
      <c r="CN89" s="15" t="s">
        <v>178</v>
      </c>
      <c r="CO89" s="15" t="s">
        <v>178</v>
      </c>
      <c r="CP89" s="15" t="s">
        <v>178</v>
      </c>
      <c r="CQ89" s="15" t="s">
        <v>178</v>
      </c>
      <c r="CR89" s="15" t="s">
        <v>178</v>
      </c>
      <c r="CS89" s="15" t="s">
        <v>67</v>
      </c>
      <c r="CT89" s="15" t="s">
        <v>67</v>
      </c>
      <c r="CU89" s="15" t="s">
        <v>67</v>
      </c>
      <c r="CV89" s="15" t="s">
        <v>67</v>
      </c>
      <c r="CW89" s="15" t="s">
        <v>67</v>
      </c>
      <c r="CX89" s="15" t="s">
        <v>67</v>
      </c>
      <c r="CY89" s="15" t="s">
        <v>67</v>
      </c>
      <c r="CZ89" s="15" t="s">
        <v>67</v>
      </c>
      <c r="DA89" s="15" t="s">
        <v>175</v>
      </c>
      <c r="DB89" s="15" t="s">
        <v>175</v>
      </c>
      <c r="DC89" s="15" t="s">
        <v>175</v>
      </c>
      <c r="DD89" s="15" t="s">
        <v>175</v>
      </c>
      <c r="DE89" s="15" t="s">
        <v>175</v>
      </c>
    </row>
    <row r="90" spans="1:109" x14ac:dyDescent="0.3">
      <c r="A90" s="15" t="s">
        <v>179</v>
      </c>
      <c r="B90" s="15" t="s">
        <v>179</v>
      </c>
      <c r="C90" s="15" t="s">
        <v>179</v>
      </c>
      <c r="D90" s="15" t="s">
        <v>179</v>
      </c>
      <c r="E90" s="15" t="s">
        <v>179</v>
      </c>
      <c r="F90" s="15" t="s">
        <v>179</v>
      </c>
      <c r="G90" s="15" t="s">
        <v>179</v>
      </c>
      <c r="H90" s="15" t="s">
        <v>116</v>
      </c>
      <c r="I90" s="15" t="s">
        <v>66</v>
      </c>
      <c r="J90" s="15" t="s">
        <v>66</v>
      </c>
      <c r="K90" s="15" t="s">
        <v>66</v>
      </c>
      <c r="L90" s="15" t="s">
        <v>66</v>
      </c>
      <c r="M90" s="15" t="s">
        <v>66</v>
      </c>
      <c r="N90" s="15" t="s">
        <v>66</v>
      </c>
      <c r="O90" s="15" t="s">
        <v>66</v>
      </c>
      <c r="P90" s="15" t="s">
        <v>119</v>
      </c>
      <c r="Q90" s="15" t="s">
        <v>115</v>
      </c>
      <c r="R90" s="15" t="s">
        <v>115</v>
      </c>
      <c r="S90" s="15" t="s">
        <v>174</v>
      </c>
      <c r="T90" s="15" t="s">
        <v>174</v>
      </c>
      <c r="U90" s="15" t="s">
        <v>174</v>
      </c>
      <c r="V90" s="15" t="s">
        <v>174</v>
      </c>
      <c r="W90" s="15" t="s">
        <v>174</v>
      </c>
      <c r="X90" s="15" t="s">
        <v>174</v>
      </c>
      <c r="Y90" s="15" t="s">
        <v>174</v>
      </c>
      <c r="Z90" s="15" t="s">
        <v>174</v>
      </c>
      <c r="AA90" s="15" t="s">
        <v>174</v>
      </c>
      <c r="AB90" s="15" t="s">
        <v>174</v>
      </c>
      <c r="AC90" s="15" t="s">
        <v>119</v>
      </c>
      <c r="AD90" s="15" t="s">
        <v>119</v>
      </c>
      <c r="AE90" s="15" t="s">
        <v>119</v>
      </c>
      <c r="AF90" s="15" t="s">
        <v>119</v>
      </c>
      <c r="AG90" s="15" t="s">
        <v>1</v>
      </c>
      <c r="AH90" s="15" t="s">
        <v>1</v>
      </c>
      <c r="AI90" s="15" t="s">
        <v>119</v>
      </c>
      <c r="AJ90" s="15" t="s">
        <v>119</v>
      </c>
      <c r="AK90" s="15" t="s">
        <v>174</v>
      </c>
      <c r="AL90" s="15" t="s">
        <v>1</v>
      </c>
      <c r="AM90" s="15" t="s">
        <v>1</v>
      </c>
      <c r="AN90" s="15" t="s">
        <v>1</v>
      </c>
      <c r="AO90" s="15" t="s">
        <v>174</v>
      </c>
      <c r="AP90" s="15" t="s">
        <v>174</v>
      </c>
      <c r="AQ90" s="15" t="s">
        <v>175</v>
      </c>
      <c r="AR90" s="15" t="s">
        <v>175</v>
      </c>
      <c r="AS90" s="15" t="s">
        <v>175</v>
      </c>
      <c r="AT90" s="15" t="s">
        <v>174</v>
      </c>
      <c r="AU90" s="15" t="s">
        <v>174</v>
      </c>
      <c r="AV90" s="15" t="s">
        <v>175</v>
      </c>
      <c r="AW90" s="15" t="s">
        <v>66</v>
      </c>
      <c r="AX90" s="15" t="s">
        <v>66</v>
      </c>
      <c r="AY90" s="15" t="s">
        <v>66</v>
      </c>
      <c r="AZ90" s="15" t="s">
        <v>66</v>
      </c>
      <c r="BA90" s="15" t="s">
        <v>66</v>
      </c>
      <c r="BB90" s="15" t="s">
        <v>66</v>
      </c>
      <c r="BC90" s="15" t="s">
        <v>66</v>
      </c>
      <c r="BD90" s="15" t="s">
        <v>66</v>
      </c>
      <c r="BE90" s="15" t="s">
        <v>66</v>
      </c>
      <c r="BF90" s="15" t="s">
        <v>181</v>
      </c>
      <c r="BG90" s="15" t="s">
        <v>68</v>
      </c>
      <c r="BH90" s="15" t="s">
        <v>68</v>
      </c>
      <c r="BI90" s="15" t="s">
        <v>66</v>
      </c>
      <c r="BJ90" s="15" t="s">
        <v>66</v>
      </c>
      <c r="BK90" s="15" t="s">
        <v>66</v>
      </c>
      <c r="BL90" s="15" t="s">
        <v>66</v>
      </c>
      <c r="BM90" s="15" t="s">
        <v>66</v>
      </c>
      <c r="BN90" s="15" t="s">
        <v>66</v>
      </c>
      <c r="BO90" s="15" t="s">
        <v>68</v>
      </c>
      <c r="BP90" s="15" t="s">
        <v>68</v>
      </c>
      <c r="BQ90" s="15" t="s">
        <v>181</v>
      </c>
      <c r="BR90" s="15" t="s">
        <v>181</v>
      </c>
      <c r="BS90" s="15" t="s">
        <v>181</v>
      </c>
      <c r="BT90" s="15" t="s">
        <v>181</v>
      </c>
      <c r="BU90" s="15" t="s">
        <v>181</v>
      </c>
      <c r="BV90" s="15" t="s">
        <v>181</v>
      </c>
      <c r="BW90" s="15" t="s">
        <v>181</v>
      </c>
      <c r="BX90" s="15" t="s">
        <v>68</v>
      </c>
      <c r="BY90" s="15" t="s">
        <v>181</v>
      </c>
      <c r="BZ90" s="15" t="s">
        <v>181</v>
      </c>
      <c r="CA90" s="15" t="s">
        <v>181</v>
      </c>
      <c r="CB90" s="15" t="s">
        <v>181</v>
      </c>
      <c r="CC90" s="15" t="s">
        <v>66</v>
      </c>
      <c r="CD90" s="15" t="s">
        <v>66</v>
      </c>
      <c r="CE90" s="15" t="s">
        <v>66</v>
      </c>
      <c r="CF90" s="15" t="s">
        <v>66</v>
      </c>
      <c r="CG90" s="15" t="s">
        <v>66</v>
      </c>
      <c r="CH90" s="15" t="s">
        <v>66</v>
      </c>
      <c r="CI90" s="15" t="s">
        <v>66</v>
      </c>
      <c r="CJ90" s="15" t="s">
        <v>66</v>
      </c>
      <c r="CK90" s="15" t="s">
        <v>66</v>
      </c>
      <c r="CL90" s="15" t="s">
        <v>66</v>
      </c>
      <c r="CM90" s="15" t="s">
        <v>66</v>
      </c>
      <c r="CN90" s="15" t="s">
        <v>66</v>
      </c>
      <c r="CO90" s="15" t="s">
        <v>66</v>
      </c>
      <c r="CP90" s="15" t="s">
        <v>66</v>
      </c>
      <c r="CQ90" s="15" t="s">
        <v>66</v>
      </c>
      <c r="CR90" s="15" t="s">
        <v>66</v>
      </c>
      <c r="CS90" s="15" t="s">
        <v>178</v>
      </c>
      <c r="CT90" s="15" t="s">
        <v>178</v>
      </c>
      <c r="CU90" s="15" t="s">
        <v>178</v>
      </c>
      <c r="CV90" s="15" t="s">
        <v>178</v>
      </c>
      <c r="CW90" s="15" t="s">
        <v>178</v>
      </c>
      <c r="CX90" s="15" t="s">
        <v>178</v>
      </c>
      <c r="CY90" s="15" t="s">
        <v>178</v>
      </c>
      <c r="CZ90" s="15" t="s">
        <v>178</v>
      </c>
      <c r="DA90" s="15" t="s">
        <v>67</v>
      </c>
      <c r="DB90" s="15" t="s">
        <v>67</v>
      </c>
      <c r="DC90" s="15" t="s">
        <v>67</v>
      </c>
      <c r="DD90" s="15" t="s">
        <v>67</v>
      </c>
      <c r="DE90" s="15" t="s">
        <v>67</v>
      </c>
    </row>
    <row r="91" spans="1:109" x14ac:dyDescent="0.3">
      <c r="A91" s="15" t="s">
        <v>116</v>
      </c>
      <c r="B91" s="15" t="s">
        <v>116</v>
      </c>
      <c r="C91" s="15" t="s">
        <v>116</v>
      </c>
      <c r="D91" s="15" t="s">
        <v>116</v>
      </c>
      <c r="E91" s="15" t="s">
        <v>116</v>
      </c>
      <c r="F91" s="15" t="s">
        <v>116</v>
      </c>
      <c r="G91" s="15" t="s">
        <v>116</v>
      </c>
      <c r="H91" s="15" t="s">
        <v>180</v>
      </c>
      <c r="I91" s="15" t="s">
        <v>116</v>
      </c>
      <c r="J91" s="15" t="s">
        <v>116</v>
      </c>
      <c r="K91" s="15" t="s">
        <v>116</v>
      </c>
      <c r="L91" s="15" t="s">
        <v>116</v>
      </c>
      <c r="M91" s="15" t="s">
        <v>116</v>
      </c>
      <c r="N91" s="15" t="s">
        <v>116</v>
      </c>
      <c r="O91" s="15" t="s">
        <v>116</v>
      </c>
      <c r="P91" s="15" t="s">
        <v>66</v>
      </c>
      <c r="Q91" s="15" t="s">
        <v>84</v>
      </c>
      <c r="R91" s="15" t="s">
        <v>84</v>
      </c>
      <c r="S91" s="15" t="s">
        <v>84</v>
      </c>
      <c r="T91" s="15" t="s">
        <v>84</v>
      </c>
      <c r="U91" s="15" t="s">
        <v>84</v>
      </c>
      <c r="V91" s="15" t="s">
        <v>84</v>
      </c>
      <c r="W91" s="15" t="s">
        <v>84</v>
      </c>
      <c r="X91" s="15" t="s">
        <v>84</v>
      </c>
      <c r="Y91" s="15" t="s">
        <v>84</v>
      </c>
      <c r="Z91" s="15" t="s">
        <v>84</v>
      </c>
      <c r="AA91" s="15" t="s">
        <v>84</v>
      </c>
      <c r="AB91" s="15" t="s">
        <v>84</v>
      </c>
      <c r="AC91" s="15" t="s">
        <v>66</v>
      </c>
      <c r="AD91" s="15" t="s">
        <v>66</v>
      </c>
      <c r="AE91" s="15" t="s">
        <v>66</v>
      </c>
      <c r="AF91" s="15" t="s">
        <v>66</v>
      </c>
      <c r="AG91" s="15" t="s">
        <v>174</v>
      </c>
      <c r="AH91" s="15" t="s">
        <v>174</v>
      </c>
      <c r="AI91" s="15" t="s">
        <v>66</v>
      </c>
      <c r="AJ91" s="15" t="s">
        <v>66</v>
      </c>
      <c r="AK91" s="15" t="s">
        <v>175</v>
      </c>
      <c r="AL91" s="15" t="s">
        <v>174</v>
      </c>
      <c r="AM91" s="15" t="s">
        <v>174</v>
      </c>
      <c r="AN91" s="15" t="s">
        <v>174</v>
      </c>
      <c r="AO91" s="15" t="s">
        <v>175</v>
      </c>
      <c r="AP91" s="15" t="s">
        <v>175</v>
      </c>
      <c r="AQ91" s="15" t="s">
        <v>66</v>
      </c>
      <c r="AR91" s="15" t="s">
        <v>66</v>
      </c>
      <c r="AS91" s="15" t="s">
        <v>66</v>
      </c>
      <c r="AT91" s="15" t="s">
        <v>175</v>
      </c>
      <c r="AU91" s="15" t="s">
        <v>175</v>
      </c>
      <c r="AV91" s="15" t="s">
        <v>66</v>
      </c>
      <c r="AW91" s="15" t="s">
        <v>181</v>
      </c>
      <c r="AX91" s="15" t="s">
        <v>181</v>
      </c>
      <c r="AY91" s="15" t="s">
        <v>181</v>
      </c>
      <c r="AZ91" s="15" t="s">
        <v>181</v>
      </c>
      <c r="BA91" s="15" t="s">
        <v>181</v>
      </c>
      <c r="BB91" s="15" t="s">
        <v>181</v>
      </c>
      <c r="BC91" s="15" t="s">
        <v>181</v>
      </c>
      <c r="BD91" s="15" t="s">
        <v>181</v>
      </c>
      <c r="BE91" s="15" t="s">
        <v>181</v>
      </c>
      <c r="BF91" s="15" t="s">
        <v>68</v>
      </c>
      <c r="BG91" s="15" t="s">
        <v>70</v>
      </c>
      <c r="BH91" s="15" t="s">
        <v>70</v>
      </c>
      <c r="BI91" s="15" t="s">
        <v>181</v>
      </c>
      <c r="BJ91" s="15" t="s">
        <v>181</v>
      </c>
      <c r="BK91" s="15" t="s">
        <v>181</v>
      </c>
      <c r="BL91" s="15" t="s">
        <v>181</v>
      </c>
      <c r="BM91" s="15" t="s">
        <v>181</v>
      </c>
      <c r="BN91" s="15" t="s">
        <v>181</v>
      </c>
      <c r="BO91" s="15" t="s">
        <v>70</v>
      </c>
      <c r="BP91" s="15" t="s">
        <v>70</v>
      </c>
      <c r="BQ91" s="15" t="s">
        <v>68</v>
      </c>
      <c r="BR91" s="15" t="s">
        <v>68</v>
      </c>
      <c r="BS91" s="15" t="s">
        <v>68</v>
      </c>
      <c r="BT91" s="15" t="s">
        <v>68</v>
      </c>
      <c r="BU91" s="15" t="s">
        <v>68</v>
      </c>
      <c r="BV91" s="15" t="s">
        <v>68</v>
      </c>
      <c r="BW91" s="15" t="s">
        <v>68</v>
      </c>
      <c r="BX91" s="15" t="s">
        <v>69</v>
      </c>
      <c r="BY91" s="15" t="s">
        <v>68</v>
      </c>
      <c r="BZ91" s="15" t="s">
        <v>68</v>
      </c>
      <c r="CA91" s="15" t="s">
        <v>68</v>
      </c>
      <c r="CB91" s="15" t="s">
        <v>68</v>
      </c>
      <c r="CC91" s="15" t="s">
        <v>181</v>
      </c>
      <c r="CD91" s="15" t="s">
        <v>181</v>
      </c>
      <c r="CE91" s="15" t="s">
        <v>181</v>
      </c>
      <c r="CF91" s="15" t="s">
        <v>181</v>
      </c>
      <c r="CG91" s="15" t="s">
        <v>181</v>
      </c>
      <c r="CH91" s="15" t="s">
        <v>181</v>
      </c>
      <c r="CI91" s="15" t="s">
        <v>181</v>
      </c>
      <c r="CJ91" s="15" t="s">
        <v>181</v>
      </c>
      <c r="CK91" s="15" t="s">
        <v>181</v>
      </c>
      <c r="CL91" s="15" t="s">
        <v>181</v>
      </c>
      <c r="CM91" s="15" t="s">
        <v>181</v>
      </c>
      <c r="CN91" s="15" t="s">
        <v>181</v>
      </c>
      <c r="CO91" s="15" t="s">
        <v>181</v>
      </c>
      <c r="CP91" s="15" t="s">
        <v>181</v>
      </c>
      <c r="CQ91" s="15" t="s">
        <v>181</v>
      </c>
      <c r="CR91" s="15" t="s">
        <v>181</v>
      </c>
      <c r="CS91" s="15" t="s">
        <v>66</v>
      </c>
      <c r="CT91" s="15" t="s">
        <v>66</v>
      </c>
      <c r="CU91" s="15" t="s">
        <v>66</v>
      </c>
      <c r="CV91" s="15" t="s">
        <v>66</v>
      </c>
      <c r="CW91" s="15" t="s">
        <v>66</v>
      </c>
      <c r="CX91" s="15" t="s">
        <v>66</v>
      </c>
      <c r="CY91" s="15" t="s">
        <v>66</v>
      </c>
      <c r="CZ91" s="15" t="s">
        <v>66</v>
      </c>
      <c r="DA91" s="15" t="s">
        <v>178</v>
      </c>
      <c r="DB91" s="15" t="s">
        <v>178</v>
      </c>
      <c r="DC91" s="15" t="s">
        <v>178</v>
      </c>
      <c r="DD91" s="15" t="s">
        <v>178</v>
      </c>
      <c r="DE91" s="15" t="s">
        <v>178</v>
      </c>
    </row>
    <row r="92" spans="1:109" x14ac:dyDescent="0.3">
      <c r="A92" s="15" t="s">
        <v>180</v>
      </c>
      <c r="B92" s="15" t="s">
        <v>180</v>
      </c>
      <c r="C92" s="15" t="s">
        <v>180</v>
      </c>
      <c r="D92" s="15" t="s">
        <v>180</v>
      </c>
      <c r="E92" s="15" t="s">
        <v>180</v>
      </c>
      <c r="F92" s="15" t="s">
        <v>180</v>
      </c>
      <c r="G92" s="15" t="s">
        <v>180</v>
      </c>
      <c r="H92" s="15" t="s">
        <v>181</v>
      </c>
      <c r="I92" s="15" t="s">
        <v>180</v>
      </c>
      <c r="J92" s="15" t="s">
        <v>180</v>
      </c>
      <c r="K92" s="15" t="s">
        <v>180</v>
      </c>
      <c r="L92" s="15" t="s">
        <v>180</v>
      </c>
      <c r="M92" s="15" t="s">
        <v>180</v>
      </c>
      <c r="N92" s="15" t="s">
        <v>180</v>
      </c>
      <c r="O92" s="15" t="s">
        <v>180</v>
      </c>
      <c r="P92" s="15" t="s">
        <v>181</v>
      </c>
      <c r="Q92" s="15" t="s">
        <v>119</v>
      </c>
      <c r="R92" s="15" t="s">
        <v>119</v>
      </c>
      <c r="S92" s="15" t="s">
        <v>119</v>
      </c>
      <c r="T92" s="15" t="s">
        <v>119</v>
      </c>
      <c r="U92" s="15" t="s">
        <v>119</v>
      </c>
      <c r="V92" s="15" t="s">
        <v>119</v>
      </c>
      <c r="W92" s="15" t="s">
        <v>119</v>
      </c>
      <c r="X92" s="15" t="s">
        <v>119</v>
      </c>
      <c r="Y92" s="15" t="s">
        <v>119</v>
      </c>
      <c r="Z92" s="15" t="s">
        <v>119</v>
      </c>
      <c r="AA92" s="15" t="s">
        <v>119</v>
      </c>
      <c r="AB92" s="15" t="s">
        <v>119</v>
      </c>
      <c r="AC92" s="15" t="s">
        <v>181</v>
      </c>
      <c r="AD92" s="15" t="s">
        <v>181</v>
      </c>
      <c r="AE92" s="15" t="s">
        <v>181</v>
      </c>
      <c r="AF92" s="15" t="s">
        <v>181</v>
      </c>
      <c r="AG92" s="15" t="s">
        <v>66</v>
      </c>
      <c r="AH92" s="15" t="s">
        <v>66</v>
      </c>
      <c r="AI92" s="15" t="s">
        <v>181</v>
      </c>
      <c r="AJ92" s="15" t="s">
        <v>181</v>
      </c>
      <c r="AK92" s="15" t="s">
        <v>66</v>
      </c>
      <c r="AL92" s="15" t="s">
        <v>175</v>
      </c>
      <c r="AM92" s="15" t="s">
        <v>175</v>
      </c>
      <c r="AN92" s="15" t="s">
        <v>175</v>
      </c>
      <c r="AO92" s="15" t="s">
        <v>66</v>
      </c>
      <c r="AP92" s="15" t="s">
        <v>66</v>
      </c>
      <c r="AQ92" s="15" t="s">
        <v>181</v>
      </c>
      <c r="AR92" s="15" t="s">
        <v>181</v>
      </c>
      <c r="AS92" s="15" t="s">
        <v>181</v>
      </c>
      <c r="AT92" s="15" t="s">
        <v>66</v>
      </c>
      <c r="AU92" s="15" t="s">
        <v>66</v>
      </c>
      <c r="AV92" s="15" t="s">
        <v>181</v>
      </c>
      <c r="AW92" s="15" t="s">
        <v>68</v>
      </c>
      <c r="AX92" s="15" t="s">
        <v>68</v>
      </c>
      <c r="AY92" s="15" t="s">
        <v>68</v>
      </c>
      <c r="AZ92" s="15" t="s">
        <v>68</v>
      </c>
      <c r="BA92" s="15" t="s">
        <v>68</v>
      </c>
      <c r="BB92" s="15" t="s">
        <v>68</v>
      </c>
      <c r="BC92" s="15" t="s">
        <v>68</v>
      </c>
      <c r="BD92" s="15" t="s">
        <v>68</v>
      </c>
      <c r="BE92" s="15" t="s">
        <v>68</v>
      </c>
      <c r="BF92" s="15" t="s">
        <v>70</v>
      </c>
      <c r="BG92" s="15" t="s">
        <v>183</v>
      </c>
      <c r="BH92" s="15" t="s">
        <v>183</v>
      </c>
      <c r="BI92" s="15" t="s">
        <v>68</v>
      </c>
      <c r="BJ92" s="15" t="s">
        <v>68</v>
      </c>
      <c r="BK92" s="15" t="s">
        <v>68</v>
      </c>
      <c r="BL92" s="15" t="s">
        <v>68</v>
      </c>
      <c r="BM92" s="15" t="s">
        <v>68</v>
      </c>
      <c r="BN92" s="15" t="s">
        <v>68</v>
      </c>
      <c r="BO92" s="15" t="s">
        <v>183</v>
      </c>
      <c r="BP92" s="15" t="s">
        <v>183</v>
      </c>
      <c r="BQ92" s="15" t="s">
        <v>69</v>
      </c>
      <c r="BR92" s="15" t="s">
        <v>69</v>
      </c>
      <c r="BS92" s="15" t="s">
        <v>69</v>
      </c>
      <c r="BT92" s="15" t="s">
        <v>69</v>
      </c>
      <c r="BU92" s="15" t="s">
        <v>69</v>
      </c>
      <c r="BV92" s="15" t="s">
        <v>69</v>
      </c>
      <c r="BW92" s="15" t="s">
        <v>69</v>
      </c>
      <c r="BX92" s="15" t="s">
        <v>70</v>
      </c>
      <c r="BY92" s="15" t="s">
        <v>69</v>
      </c>
      <c r="BZ92" s="15" t="s">
        <v>69</v>
      </c>
      <c r="CA92" s="15" t="s">
        <v>69</v>
      </c>
      <c r="CB92" s="15" t="s">
        <v>69</v>
      </c>
      <c r="CC92" s="15" t="s">
        <v>68</v>
      </c>
      <c r="CD92" s="15" t="s">
        <v>68</v>
      </c>
      <c r="CE92" s="15" t="s">
        <v>68</v>
      </c>
      <c r="CF92" s="15" t="s">
        <v>68</v>
      </c>
      <c r="CG92" s="15" t="s">
        <v>68</v>
      </c>
      <c r="CH92" s="15" t="s">
        <v>68</v>
      </c>
      <c r="CI92" s="15" t="s">
        <v>68</v>
      </c>
      <c r="CJ92" s="15" t="s">
        <v>68</v>
      </c>
      <c r="CK92" s="15" t="s">
        <v>68</v>
      </c>
      <c r="CL92" s="15" t="s">
        <v>68</v>
      </c>
      <c r="CM92" s="15" t="s">
        <v>68</v>
      </c>
      <c r="CN92" s="15" t="s">
        <v>68</v>
      </c>
      <c r="CO92" s="15" t="s">
        <v>68</v>
      </c>
      <c r="CP92" s="15" t="s">
        <v>68</v>
      </c>
      <c r="CQ92" s="15" t="s">
        <v>68</v>
      </c>
      <c r="CR92" s="15" t="s">
        <v>68</v>
      </c>
      <c r="CS92" s="15" t="s">
        <v>181</v>
      </c>
      <c r="CT92" s="15" t="s">
        <v>181</v>
      </c>
      <c r="CU92" s="15" t="s">
        <v>181</v>
      </c>
      <c r="CV92" s="15" t="s">
        <v>181</v>
      </c>
      <c r="CW92" s="15" t="s">
        <v>181</v>
      </c>
      <c r="CX92" s="15" t="s">
        <v>181</v>
      </c>
      <c r="CY92" s="15" t="s">
        <v>181</v>
      </c>
      <c r="CZ92" s="15" t="s">
        <v>181</v>
      </c>
      <c r="DA92" s="15" t="s">
        <v>66</v>
      </c>
      <c r="DB92" s="15" t="s">
        <v>66</v>
      </c>
      <c r="DC92" s="15" t="s">
        <v>66</v>
      </c>
      <c r="DD92" s="15" t="s">
        <v>66</v>
      </c>
      <c r="DE92" s="15" t="s">
        <v>66</v>
      </c>
    </row>
    <row r="93" spans="1:109" x14ac:dyDescent="0.3">
      <c r="A93" s="15" t="s">
        <v>68</v>
      </c>
      <c r="B93" s="15" t="s">
        <v>68</v>
      </c>
      <c r="C93" s="15" t="s">
        <v>68</v>
      </c>
      <c r="D93" s="15" t="s">
        <v>68</v>
      </c>
      <c r="E93" s="15" t="s">
        <v>181</v>
      </c>
      <c r="F93" s="15" t="s">
        <v>181</v>
      </c>
      <c r="G93" s="15" t="s">
        <v>181</v>
      </c>
      <c r="H93" s="15" t="s">
        <v>68</v>
      </c>
      <c r="I93" s="15" t="s">
        <v>181</v>
      </c>
      <c r="J93" s="15" t="s">
        <v>181</v>
      </c>
      <c r="K93" s="15" t="s">
        <v>181</v>
      </c>
      <c r="L93" s="15" t="s">
        <v>181</v>
      </c>
      <c r="M93" s="15" t="s">
        <v>181</v>
      </c>
      <c r="N93" s="15" t="s">
        <v>181</v>
      </c>
      <c r="O93" s="15" t="s">
        <v>181</v>
      </c>
      <c r="P93" s="15" t="s">
        <v>68</v>
      </c>
      <c r="Q93" s="15" t="s">
        <v>66</v>
      </c>
      <c r="R93" s="15" t="s">
        <v>66</v>
      </c>
      <c r="S93" s="15" t="s">
        <v>66</v>
      </c>
      <c r="T93" s="15" t="s">
        <v>66</v>
      </c>
      <c r="U93" s="15" t="s">
        <v>66</v>
      </c>
      <c r="V93" s="15" t="s">
        <v>66</v>
      </c>
      <c r="W93" s="15" t="s">
        <v>66</v>
      </c>
      <c r="X93" s="15" t="s">
        <v>66</v>
      </c>
      <c r="Y93" s="15" t="s">
        <v>66</v>
      </c>
      <c r="Z93" s="15" t="s">
        <v>66</v>
      </c>
      <c r="AA93" s="15" t="s">
        <v>66</v>
      </c>
      <c r="AB93" s="15" t="s">
        <v>66</v>
      </c>
      <c r="AC93" s="15" t="s">
        <v>68</v>
      </c>
      <c r="AD93" s="15" t="s">
        <v>68</v>
      </c>
      <c r="AE93" s="15" t="s">
        <v>68</v>
      </c>
      <c r="AF93" s="15" t="s">
        <v>68</v>
      </c>
      <c r="AG93" s="15" t="s">
        <v>181</v>
      </c>
      <c r="AH93" s="15" t="s">
        <v>181</v>
      </c>
      <c r="AI93" s="15" t="s">
        <v>68</v>
      </c>
      <c r="AJ93" s="15" t="s">
        <v>68</v>
      </c>
      <c r="AK93" s="15" t="s">
        <v>181</v>
      </c>
      <c r="AL93" s="15" t="s">
        <v>66</v>
      </c>
      <c r="AM93" s="15" t="s">
        <v>66</v>
      </c>
      <c r="AN93" s="15" t="s">
        <v>66</v>
      </c>
      <c r="AO93" s="15" t="s">
        <v>181</v>
      </c>
      <c r="AP93" s="15" t="s">
        <v>181</v>
      </c>
      <c r="AQ93" s="15" t="s">
        <v>70</v>
      </c>
      <c r="AR93" s="15" t="s">
        <v>70</v>
      </c>
      <c r="AS93" s="15" t="s">
        <v>70</v>
      </c>
      <c r="AT93" s="15" t="s">
        <v>181</v>
      </c>
      <c r="AU93" s="15" t="s">
        <v>181</v>
      </c>
      <c r="AV93" s="15" t="s">
        <v>70</v>
      </c>
      <c r="AW93" s="15" t="s">
        <v>70</v>
      </c>
      <c r="AX93" s="15" t="s">
        <v>70</v>
      </c>
      <c r="AY93" s="15" t="s">
        <v>70</v>
      </c>
      <c r="AZ93" s="15" t="s">
        <v>70</v>
      </c>
      <c r="BA93" s="15" t="s">
        <v>70</v>
      </c>
      <c r="BB93" s="15" t="s">
        <v>70</v>
      </c>
      <c r="BC93" s="15" t="s">
        <v>70</v>
      </c>
      <c r="BD93" s="15" t="s">
        <v>70</v>
      </c>
      <c r="BE93" s="15" t="s">
        <v>70</v>
      </c>
      <c r="BF93" s="15" t="s">
        <v>183</v>
      </c>
      <c r="BG93" s="15" t="s">
        <v>72</v>
      </c>
      <c r="BH93" s="15" t="s">
        <v>72</v>
      </c>
      <c r="BI93" s="15" t="s">
        <v>70</v>
      </c>
      <c r="BJ93" s="15" t="s">
        <v>70</v>
      </c>
      <c r="BK93" s="15" t="s">
        <v>70</v>
      </c>
      <c r="BL93" s="15" t="s">
        <v>70</v>
      </c>
      <c r="BM93" s="15" t="s">
        <v>70</v>
      </c>
      <c r="BN93" s="15" t="s">
        <v>70</v>
      </c>
      <c r="BO93" s="15" t="s">
        <v>72</v>
      </c>
      <c r="BP93" s="15" t="s">
        <v>72</v>
      </c>
      <c r="BQ93" s="15" t="s">
        <v>70</v>
      </c>
      <c r="BR93" s="15" t="s">
        <v>70</v>
      </c>
      <c r="BS93" s="15" t="s">
        <v>70</v>
      </c>
      <c r="BT93" s="15" t="s">
        <v>70</v>
      </c>
      <c r="BU93" s="15" t="s">
        <v>70</v>
      </c>
      <c r="BV93" s="15" t="s">
        <v>70</v>
      </c>
      <c r="BW93" s="15" t="s">
        <v>70</v>
      </c>
      <c r="BX93" s="15" t="s">
        <v>183</v>
      </c>
      <c r="BY93" s="15" t="s">
        <v>70</v>
      </c>
      <c r="BZ93" s="15" t="s">
        <v>70</v>
      </c>
      <c r="CA93" s="15" t="s">
        <v>70</v>
      </c>
      <c r="CB93" s="15" t="s">
        <v>70</v>
      </c>
      <c r="CC93" s="15" t="s">
        <v>70</v>
      </c>
      <c r="CD93" s="15" t="s">
        <v>70</v>
      </c>
      <c r="CE93" s="15" t="s">
        <v>70</v>
      </c>
      <c r="CF93" s="15" t="s">
        <v>70</v>
      </c>
      <c r="CG93" s="15" t="s">
        <v>70</v>
      </c>
      <c r="CH93" s="15" t="s">
        <v>70</v>
      </c>
      <c r="CI93" s="15" t="s">
        <v>70</v>
      </c>
      <c r="CJ93" s="15" t="s">
        <v>70</v>
      </c>
      <c r="CK93" s="15" t="s">
        <v>70</v>
      </c>
      <c r="CL93" s="15" t="s">
        <v>70</v>
      </c>
      <c r="CM93" s="15" t="s">
        <v>70</v>
      </c>
      <c r="CN93" s="15" t="s">
        <v>70</v>
      </c>
      <c r="CO93" s="15" t="s">
        <v>70</v>
      </c>
      <c r="CP93" s="15" t="s">
        <v>70</v>
      </c>
      <c r="CQ93" s="15" t="s">
        <v>70</v>
      </c>
      <c r="CR93" s="15" t="s">
        <v>70</v>
      </c>
      <c r="CS93" s="15" t="s">
        <v>68</v>
      </c>
      <c r="CT93" s="15" t="s">
        <v>68</v>
      </c>
      <c r="CU93" s="15" t="s">
        <v>68</v>
      </c>
      <c r="CV93" s="15" t="s">
        <v>68</v>
      </c>
      <c r="CW93" s="15" t="s">
        <v>68</v>
      </c>
      <c r="CX93" s="15" t="s">
        <v>68</v>
      </c>
      <c r="CY93" s="15" t="s">
        <v>68</v>
      </c>
      <c r="CZ93" s="15" t="s">
        <v>68</v>
      </c>
      <c r="DA93" s="15" t="s">
        <v>181</v>
      </c>
      <c r="DB93" s="15" t="s">
        <v>181</v>
      </c>
      <c r="DC93" s="15" t="s">
        <v>181</v>
      </c>
      <c r="DD93" s="15" t="s">
        <v>181</v>
      </c>
      <c r="DE93" s="15" t="s">
        <v>181</v>
      </c>
    </row>
    <row r="94" spans="1:109" x14ac:dyDescent="0.3">
      <c r="A94" s="15" t="s">
        <v>182</v>
      </c>
      <c r="B94" s="15" t="s">
        <v>182</v>
      </c>
      <c r="C94" s="15" t="s">
        <v>182</v>
      </c>
      <c r="D94" s="15" t="s">
        <v>182</v>
      </c>
      <c r="E94" s="15" t="s">
        <v>68</v>
      </c>
      <c r="F94" s="15" t="s">
        <v>68</v>
      </c>
      <c r="G94" s="15" t="s">
        <v>68</v>
      </c>
      <c r="H94" s="15" t="s">
        <v>182</v>
      </c>
      <c r="I94" s="15" t="s">
        <v>68</v>
      </c>
      <c r="J94" s="15" t="s">
        <v>68</v>
      </c>
      <c r="K94" s="15" t="s">
        <v>68</v>
      </c>
      <c r="L94" s="15" t="s">
        <v>68</v>
      </c>
      <c r="M94" s="15" t="s">
        <v>68</v>
      </c>
      <c r="N94" s="15" t="s">
        <v>68</v>
      </c>
      <c r="O94" s="15" t="s">
        <v>68</v>
      </c>
      <c r="P94" s="15" t="s">
        <v>70</v>
      </c>
      <c r="Q94" s="15" t="s">
        <v>181</v>
      </c>
      <c r="R94" s="15" t="s">
        <v>181</v>
      </c>
      <c r="S94" s="15" t="s">
        <v>181</v>
      </c>
      <c r="T94" s="15" t="s">
        <v>181</v>
      </c>
      <c r="U94" s="15" t="s">
        <v>181</v>
      </c>
      <c r="V94" s="15" t="s">
        <v>181</v>
      </c>
      <c r="W94" s="15" t="s">
        <v>181</v>
      </c>
      <c r="X94" s="15" t="s">
        <v>181</v>
      </c>
      <c r="Y94" s="15" t="s">
        <v>181</v>
      </c>
      <c r="Z94" s="15" t="s">
        <v>181</v>
      </c>
      <c r="AA94" s="15" t="s">
        <v>181</v>
      </c>
      <c r="AB94" s="15" t="s">
        <v>181</v>
      </c>
      <c r="AC94" s="15" t="s">
        <v>70</v>
      </c>
      <c r="AD94" s="15" t="s">
        <v>70</v>
      </c>
      <c r="AE94" s="15" t="s">
        <v>70</v>
      </c>
      <c r="AF94" s="15" t="s">
        <v>70</v>
      </c>
      <c r="AG94" s="15" t="s">
        <v>68</v>
      </c>
      <c r="AH94" s="15" t="s">
        <v>68</v>
      </c>
      <c r="AI94" s="15" t="s">
        <v>70</v>
      </c>
      <c r="AJ94" s="15" t="s">
        <v>70</v>
      </c>
      <c r="AK94" s="15" t="s">
        <v>70</v>
      </c>
      <c r="AL94" s="15" t="s">
        <v>181</v>
      </c>
      <c r="AM94" s="15" t="s">
        <v>181</v>
      </c>
      <c r="AN94" s="15" t="s">
        <v>181</v>
      </c>
      <c r="AO94" s="15" t="s">
        <v>70</v>
      </c>
      <c r="AP94" s="15" t="s">
        <v>70</v>
      </c>
      <c r="AQ94" s="15" t="s">
        <v>183</v>
      </c>
      <c r="AR94" s="15" t="s">
        <v>183</v>
      </c>
      <c r="AS94" s="15" t="s">
        <v>183</v>
      </c>
      <c r="AT94" s="15" t="s">
        <v>70</v>
      </c>
      <c r="AU94" s="15" t="s">
        <v>70</v>
      </c>
      <c r="AV94" s="15" t="s">
        <v>183</v>
      </c>
      <c r="AW94" s="15" t="s">
        <v>183</v>
      </c>
      <c r="AX94" s="15" t="s">
        <v>183</v>
      </c>
      <c r="AY94" s="15" t="s">
        <v>183</v>
      </c>
      <c r="AZ94" s="15" t="s">
        <v>183</v>
      </c>
      <c r="BA94" s="15" t="s">
        <v>183</v>
      </c>
      <c r="BB94" s="15" t="s">
        <v>183</v>
      </c>
      <c r="BC94" s="15" t="s">
        <v>183</v>
      </c>
      <c r="BD94" s="15" t="s">
        <v>183</v>
      </c>
      <c r="BE94" s="15" t="s">
        <v>183</v>
      </c>
      <c r="BF94" s="15" t="s">
        <v>72</v>
      </c>
      <c r="BG94" s="15" t="s">
        <v>184</v>
      </c>
      <c r="BH94" s="15" t="s">
        <v>184</v>
      </c>
      <c r="BI94" s="15" t="s">
        <v>183</v>
      </c>
      <c r="BJ94" s="15" t="s">
        <v>183</v>
      </c>
      <c r="BK94" s="15" t="s">
        <v>183</v>
      </c>
      <c r="BL94" s="15" t="s">
        <v>183</v>
      </c>
      <c r="BM94" s="15" t="s">
        <v>183</v>
      </c>
      <c r="BN94" s="15" t="s">
        <v>183</v>
      </c>
      <c r="BO94" s="15" t="s">
        <v>184</v>
      </c>
      <c r="BP94" s="15" t="s">
        <v>184</v>
      </c>
      <c r="BQ94" s="15" t="s">
        <v>183</v>
      </c>
      <c r="BR94" s="15" t="s">
        <v>183</v>
      </c>
      <c r="BS94" s="15" t="s">
        <v>183</v>
      </c>
      <c r="BT94" s="15" t="s">
        <v>183</v>
      </c>
      <c r="BU94" s="15" t="s">
        <v>183</v>
      </c>
      <c r="BV94" s="15" t="s">
        <v>183</v>
      </c>
      <c r="BW94" s="15" t="s">
        <v>183</v>
      </c>
      <c r="BX94" s="15" t="s">
        <v>72</v>
      </c>
      <c r="BY94" s="15" t="s">
        <v>183</v>
      </c>
      <c r="BZ94" s="15" t="s">
        <v>183</v>
      </c>
      <c r="CA94" s="15" t="s">
        <v>183</v>
      </c>
      <c r="CB94" s="15" t="s">
        <v>183</v>
      </c>
      <c r="CC94" s="15" t="s">
        <v>183</v>
      </c>
      <c r="CD94" s="15" t="s">
        <v>183</v>
      </c>
      <c r="CE94" s="15" t="s">
        <v>183</v>
      </c>
      <c r="CF94" s="15" t="s">
        <v>183</v>
      </c>
      <c r="CG94" s="15" t="s">
        <v>183</v>
      </c>
      <c r="CH94" s="15" t="s">
        <v>183</v>
      </c>
      <c r="CI94" s="15" t="s">
        <v>183</v>
      </c>
      <c r="CJ94" s="15" t="s">
        <v>183</v>
      </c>
      <c r="CK94" s="15" t="s">
        <v>183</v>
      </c>
      <c r="CL94" s="15" t="s">
        <v>183</v>
      </c>
      <c r="CM94" s="15" t="s">
        <v>183</v>
      </c>
      <c r="CN94" s="15" t="s">
        <v>183</v>
      </c>
      <c r="CO94" s="15" t="s">
        <v>183</v>
      </c>
      <c r="CP94" s="15" t="s">
        <v>183</v>
      </c>
      <c r="CQ94" s="15" t="s">
        <v>183</v>
      </c>
      <c r="CR94" s="15" t="s">
        <v>183</v>
      </c>
      <c r="CS94" s="15" t="s">
        <v>69</v>
      </c>
      <c r="CT94" s="15" t="s">
        <v>69</v>
      </c>
      <c r="CU94" s="15" t="s">
        <v>69</v>
      </c>
      <c r="CV94" s="15" t="s">
        <v>69</v>
      </c>
      <c r="CW94" s="15" t="s">
        <v>69</v>
      </c>
      <c r="CX94" s="15" t="s">
        <v>69</v>
      </c>
      <c r="CY94" s="15" t="s">
        <v>69</v>
      </c>
      <c r="CZ94" s="15" t="s">
        <v>69</v>
      </c>
      <c r="DA94" s="15" t="s">
        <v>68</v>
      </c>
      <c r="DB94" s="15" t="s">
        <v>68</v>
      </c>
      <c r="DC94" s="15" t="s">
        <v>68</v>
      </c>
      <c r="DD94" s="15" t="s">
        <v>68</v>
      </c>
      <c r="DE94" s="15" t="s">
        <v>68</v>
      </c>
    </row>
    <row r="95" spans="1:109" x14ac:dyDescent="0.3">
      <c r="A95" s="15" t="s">
        <v>71</v>
      </c>
      <c r="B95" s="15" t="s">
        <v>71</v>
      </c>
      <c r="C95" s="15" t="s">
        <v>71</v>
      </c>
      <c r="D95" s="15" t="s">
        <v>71</v>
      </c>
      <c r="E95" s="15" t="s">
        <v>182</v>
      </c>
      <c r="F95" s="15" t="s">
        <v>182</v>
      </c>
      <c r="G95" s="15" t="s">
        <v>182</v>
      </c>
      <c r="H95" s="15" t="s">
        <v>71</v>
      </c>
      <c r="I95" s="15" t="s">
        <v>70</v>
      </c>
      <c r="J95" s="15" t="s">
        <v>70</v>
      </c>
      <c r="K95" s="15" t="s">
        <v>70</v>
      </c>
      <c r="L95" s="15" t="s">
        <v>70</v>
      </c>
      <c r="M95" s="15" t="s">
        <v>70</v>
      </c>
      <c r="N95" s="15" t="s">
        <v>70</v>
      </c>
      <c r="O95" s="15" t="s">
        <v>70</v>
      </c>
      <c r="P95" s="15" t="s">
        <v>71</v>
      </c>
      <c r="Q95" s="15" t="s">
        <v>68</v>
      </c>
      <c r="R95" s="15" t="s">
        <v>68</v>
      </c>
      <c r="S95" s="15" t="s">
        <v>68</v>
      </c>
      <c r="T95" s="15" t="s">
        <v>68</v>
      </c>
      <c r="U95" s="15" t="s">
        <v>68</v>
      </c>
      <c r="V95" s="15" t="s">
        <v>68</v>
      </c>
      <c r="W95" s="15" t="s">
        <v>68</v>
      </c>
      <c r="X95" s="15" t="s">
        <v>68</v>
      </c>
      <c r="Y95" s="15" t="s">
        <v>68</v>
      </c>
      <c r="Z95" s="15" t="s">
        <v>68</v>
      </c>
      <c r="AA95" s="15" t="s">
        <v>68</v>
      </c>
      <c r="AB95" s="15" t="s">
        <v>68</v>
      </c>
      <c r="AC95" s="15" t="s">
        <v>71</v>
      </c>
      <c r="AD95" s="15" t="s">
        <v>71</v>
      </c>
      <c r="AE95" s="15" t="s">
        <v>71</v>
      </c>
      <c r="AF95" s="15" t="s">
        <v>71</v>
      </c>
      <c r="AG95" s="15" t="s">
        <v>70</v>
      </c>
      <c r="AH95" s="15" t="s">
        <v>70</v>
      </c>
      <c r="AI95" s="15" t="s">
        <v>183</v>
      </c>
      <c r="AJ95" s="15" t="s">
        <v>183</v>
      </c>
      <c r="AK95" s="15" t="s">
        <v>183</v>
      </c>
      <c r="AL95" s="15" t="s">
        <v>70</v>
      </c>
      <c r="AM95" s="15" t="s">
        <v>70</v>
      </c>
      <c r="AN95" s="15" t="s">
        <v>70</v>
      </c>
      <c r="AO95" s="15" t="s">
        <v>183</v>
      </c>
      <c r="AP95" s="15" t="s">
        <v>183</v>
      </c>
      <c r="AQ95" s="15" t="s">
        <v>72</v>
      </c>
      <c r="AR95" s="15" t="s">
        <v>72</v>
      </c>
      <c r="AS95" s="15" t="s">
        <v>72</v>
      </c>
      <c r="AT95" s="15" t="s">
        <v>183</v>
      </c>
      <c r="AU95" s="15" t="s">
        <v>183</v>
      </c>
      <c r="AV95" s="15" t="s">
        <v>72</v>
      </c>
      <c r="AW95" s="15" t="s">
        <v>72</v>
      </c>
      <c r="AX95" s="15" t="s">
        <v>72</v>
      </c>
      <c r="AY95" s="15" t="s">
        <v>72</v>
      </c>
      <c r="AZ95" s="15" t="s">
        <v>72</v>
      </c>
      <c r="BA95" s="15" t="s">
        <v>72</v>
      </c>
      <c r="BB95" s="15" t="s">
        <v>72</v>
      </c>
      <c r="BC95" s="15" t="s">
        <v>72</v>
      </c>
      <c r="BD95" s="15" t="s">
        <v>72</v>
      </c>
      <c r="BE95" s="15" t="s">
        <v>72</v>
      </c>
      <c r="BF95" s="15" t="s">
        <v>184</v>
      </c>
      <c r="BG95" s="15" t="s">
        <v>91</v>
      </c>
      <c r="BH95" s="15" t="s">
        <v>91</v>
      </c>
      <c r="BI95" s="15" t="s">
        <v>72</v>
      </c>
      <c r="BJ95" s="15" t="s">
        <v>72</v>
      </c>
      <c r="BK95" s="15" t="s">
        <v>72</v>
      </c>
      <c r="BL95" s="15" t="s">
        <v>72</v>
      </c>
      <c r="BM95" s="15" t="s">
        <v>72</v>
      </c>
      <c r="BN95" s="15" t="s">
        <v>72</v>
      </c>
      <c r="BO95" s="15" t="s">
        <v>91</v>
      </c>
      <c r="BP95" s="15" t="s">
        <v>91</v>
      </c>
      <c r="BQ95" s="15" t="s">
        <v>72</v>
      </c>
      <c r="BR95" s="15" t="s">
        <v>72</v>
      </c>
      <c r="BS95" s="15" t="s">
        <v>72</v>
      </c>
      <c r="BT95" s="15" t="s">
        <v>72</v>
      </c>
      <c r="BU95" s="15" t="s">
        <v>72</v>
      </c>
      <c r="BV95" s="15" t="s">
        <v>72</v>
      </c>
      <c r="BW95" s="15" t="s">
        <v>72</v>
      </c>
      <c r="BX95" s="15" t="s">
        <v>184</v>
      </c>
      <c r="BY95" s="15" t="s">
        <v>72</v>
      </c>
      <c r="BZ95" s="15" t="s">
        <v>72</v>
      </c>
      <c r="CA95" s="15" t="s">
        <v>72</v>
      </c>
      <c r="CB95" s="15" t="s">
        <v>72</v>
      </c>
      <c r="CC95" s="15" t="s">
        <v>72</v>
      </c>
      <c r="CD95" s="15" t="s">
        <v>72</v>
      </c>
      <c r="CE95" s="15" t="s">
        <v>72</v>
      </c>
      <c r="CF95" s="15" t="s">
        <v>72</v>
      </c>
      <c r="CG95" s="15" t="s">
        <v>72</v>
      </c>
      <c r="CH95" s="15" t="s">
        <v>72</v>
      </c>
      <c r="CI95" s="15" t="s">
        <v>72</v>
      </c>
      <c r="CJ95" s="15" t="s">
        <v>72</v>
      </c>
      <c r="CK95" s="15" t="s">
        <v>72</v>
      </c>
      <c r="CL95" s="15" t="s">
        <v>72</v>
      </c>
      <c r="CM95" s="15" t="s">
        <v>72</v>
      </c>
      <c r="CN95" s="15" t="s">
        <v>72</v>
      </c>
      <c r="CO95" s="15" t="s">
        <v>72</v>
      </c>
      <c r="CP95" s="15" t="s">
        <v>72</v>
      </c>
      <c r="CQ95" s="15" t="s">
        <v>72</v>
      </c>
      <c r="CR95" s="15" t="s">
        <v>72</v>
      </c>
      <c r="CS95" s="15" t="s">
        <v>70</v>
      </c>
      <c r="CT95" s="15" t="s">
        <v>70</v>
      </c>
      <c r="CU95" s="15" t="s">
        <v>70</v>
      </c>
      <c r="CV95" s="15" t="s">
        <v>70</v>
      </c>
      <c r="CW95" s="15" t="s">
        <v>70</v>
      </c>
      <c r="CX95" s="15" t="s">
        <v>70</v>
      </c>
      <c r="CY95" s="15" t="s">
        <v>70</v>
      </c>
      <c r="CZ95" s="15" t="s">
        <v>70</v>
      </c>
      <c r="DA95" s="15" t="s">
        <v>70</v>
      </c>
      <c r="DB95" s="15" t="s">
        <v>70</v>
      </c>
      <c r="DC95" s="15" t="s">
        <v>70</v>
      </c>
      <c r="DD95" s="15" t="s">
        <v>70</v>
      </c>
      <c r="DE95" s="15" t="s">
        <v>70</v>
      </c>
    </row>
    <row r="96" spans="1:109" x14ac:dyDescent="0.3">
      <c r="A96" s="15" t="s">
        <v>183</v>
      </c>
      <c r="B96" s="15" t="s">
        <v>183</v>
      </c>
      <c r="C96" s="15" t="s">
        <v>183</v>
      </c>
      <c r="D96" s="15" t="s">
        <v>183</v>
      </c>
      <c r="E96" s="15" t="s">
        <v>71</v>
      </c>
      <c r="F96" s="15" t="s">
        <v>71</v>
      </c>
      <c r="G96" s="15" t="s">
        <v>71</v>
      </c>
      <c r="H96" s="15" t="s">
        <v>183</v>
      </c>
      <c r="I96" s="15" t="s">
        <v>71</v>
      </c>
      <c r="J96" s="15" t="s">
        <v>71</v>
      </c>
      <c r="K96" s="15" t="s">
        <v>71</v>
      </c>
      <c r="L96" s="15" t="s">
        <v>71</v>
      </c>
      <c r="M96" s="15" t="s">
        <v>71</v>
      </c>
      <c r="N96" s="15" t="s">
        <v>71</v>
      </c>
      <c r="O96" s="15" t="s">
        <v>71</v>
      </c>
      <c r="P96" s="15" t="s">
        <v>183</v>
      </c>
      <c r="Q96" s="15" t="s">
        <v>70</v>
      </c>
      <c r="R96" s="15" t="s">
        <v>70</v>
      </c>
      <c r="S96" s="15" t="s">
        <v>70</v>
      </c>
      <c r="T96" s="15" t="s">
        <v>70</v>
      </c>
      <c r="U96" s="15" t="s">
        <v>70</v>
      </c>
      <c r="V96" s="15" t="s">
        <v>70</v>
      </c>
      <c r="W96" s="15" t="s">
        <v>70</v>
      </c>
      <c r="X96" s="15" t="s">
        <v>70</v>
      </c>
      <c r="Y96" s="15" t="s">
        <v>70</v>
      </c>
      <c r="Z96" s="15" t="s">
        <v>70</v>
      </c>
      <c r="AA96" s="15" t="s">
        <v>70</v>
      </c>
      <c r="AB96" s="15" t="s">
        <v>70</v>
      </c>
      <c r="AC96" s="15" t="s">
        <v>183</v>
      </c>
      <c r="AD96" s="15" t="s">
        <v>183</v>
      </c>
      <c r="AE96" s="15" t="s">
        <v>183</v>
      </c>
      <c r="AF96" s="15" t="s">
        <v>183</v>
      </c>
      <c r="AG96" s="15" t="s">
        <v>183</v>
      </c>
      <c r="AH96" s="15" t="s">
        <v>183</v>
      </c>
      <c r="AI96" s="15" t="s">
        <v>72</v>
      </c>
      <c r="AJ96" s="15" t="s">
        <v>72</v>
      </c>
      <c r="AK96" s="15" t="s">
        <v>72</v>
      </c>
      <c r="AL96" s="15" t="s">
        <v>183</v>
      </c>
      <c r="AM96" s="15" t="s">
        <v>183</v>
      </c>
      <c r="AN96" s="15" t="s">
        <v>183</v>
      </c>
      <c r="AO96" s="15" t="s">
        <v>72</v>
      </c>
      <c r="AP96" s="15" t="s">
        <v>72</v>
      </c>
      <c r="AQ96" s="15" t="s">
        <v>184</v>
      </c>
      <c r="AR96" s="15" t="s">
        <v>184</v>
      </c>
      <c r="AS96" s="15" t="s">
        <v>184</v>
      </c>
      <c r="AT96" s="15" t="s">
        <v>72</v>
      </c>
      <c r="AU96" s="15" t="s">
        <v>72</v>
      </c>
      <c r="AV96" s="15" t="s">
        <v>184</v>
      </c>
      <c r="AW96" s="15" t="s">
        <v>184</v>
      </c>
      <c r="AX96" s="15" t="s">
        <v>184</v>
      </c>
      <c r="AY96" s="15" t="s">
        <v>184</v>
      </c>
      <c r="AZ96" s="15" t="s">
        <v>184</v>
      </c>
      <c r="BA96" s="15" t="s">
        <v>184</v>
      </c>
      <c r="BB96" s="15" t="s">
        <v>184</v>
      </c>
      <c r="BC96" s="15" t="s">
        <v>184</v>
      </c>
      <c r="BD96" s="15" t="s">
        <v>184</v>
      </c>
      <c r="BE96" s="15" t="s">
        <v>184</v>
      </c>
      <c r="BF96" s="15" t="s">
        <v>91</v>
      </c>
      <c r="BG96" s="15" t="s">
        <v>73</v>
      </c>
      <c r="BH96" s="15" t="s">
        <v>73</v>
      </c>
      <c r="BI96" s="15" t="s">
        <v>184</v>
      </c>
      <c r="BJ96" s="15" t="s">
        <v>184</v>
      </c>
      <c r="BK96" s="15" t="s">
        <v>184</v>
      </c>
      <c r="BL96" s="15" t="s">
        <v>184</v>
      </c>
      <c r="BM96" s="15" t="s">
        <v>184</v>
      </c>
      <c r="BN96" s="15" t="s">
        <v>184</v>
      </c>
      <c r="BO96" s="15" t="s">
        <v>73</v>
      </c>
      <c r="BP96" s="15" t="s">
        <v>73</v>
      </c>
      <c r="BQ96" s="15" t="s">
        <v>184</v>
      </c>
      <c r="BR96" s="15" t="s">
        <v>184</v>
      </c>
      <c r="BS96" s="15" t="s">
        <v>184</v>
      </c>
      <c r="BT96" s="15" t="s">
        <v>184</v>
      </c>
      <c r="BU96" s="15" t="s">
        <v>184</v>
      </c>
      <c r="BV96" s="15" t="s">
        <v>184</v>
      </c>
      <c r="BW96" s="15" t="s">
        <v>184</v>
      </c>
      <c r="BX96" s="15" t="s">
        <v>91</v>
      </c>
      <c r="BY96" s="15" t="s">
        <v>184</v>
      </c>
      <c r="BZ96" s="15" t="s">
        <v>184</v>
      </c>
      <c r="CA96" s="15" t="s">
        <v>184</v>
      </c>
      <c r="CB96" s="15" t="s">
        <v>184</v>
      </c>
      <c r="CC96" s="15" t="s">
        <v>91</v>
      </c>
      <c r="CD96" s="15" t="s">
        <v>91</v>
      </c>
      <c r="CE96" s="15" t="s">
        <v>91</v>
      </c>
      <c r="CF96" s="15" t="s">
        <v>91</v>
      </c>
      <c r="CG96" s="15" t="s">
        <v>91</v>
      </c>
      <c r="CH96" s="15" t="s">
        <v>91</v>
      </c>
      <c r="CI96" s="15" t="s">
        <v>91</v>
      </c>
      <c r="CJ96" s="15" t="s">
        <v>91</v>
      </c>
      <c r="CK96" s="15" t="s">
        <v>91</v>
      </c>
      <c r="CL96" s="15" t="s">
        <v>91</v>
      </c>
      <c r="CM96" s="15" t="s">
        <v>91</v>
      </c>
      <c r="CN96" s="15" t="s">
        <v>91</v>
      </c>
      <c r="CO96" s="15" t="s">
        <v>91</v>
      </c>
      <c r="CP96" s="15" t="s">
        <v>91</v>
      </c>
      <c r="CQ96" s="15" t="s">
        <v>91</v>
      </c>
      <c r="CR96" s="15" t="s">
        <v>91</v>
      </c>
      <c r="CS96" s="15" t="s">
        <v>183</v>
      </c>
      <c r="CT96" s="15" t="s">
        <v>183</v>
      </c>
      <c r="CU96" s="15" t="s">
        <v>183</v>
      </c>
      <c r="CV96" s="15" t="s">
        <v>183</v>
      </c>
      <c r="CW96" s="15" t="s">
        <v>183</v>
      </c>
      <c r="CX96" s="15" t="s">
        <v>183</v>
      </c>
      <c r="CY96" s="15" t="s">
        <v>183</v>
      </c>
      <c r="CZ96" s="15" t="s">
        <v>183</v>
      </c>
      <c r="DA96" s="15" t="s">
        <v>183</v>
      </c>
      <c r="DB96" s="15" t="s">
        <v>183</v>
      </c>
      <c r="DC96" s="15" t="s">
        <v>183</v>
      </c>
      <c r="DD96" s="15" t="s">
        <v>183</v>
      </c>
      <c r="DE96" s="15" t="s">
        <v>183</v>
      </c>
    </row>
    <row r="97" spans="1:109" x14ac:dyDescent="0.3">
      <c r="A97" s="15" t="s">
        <v>72</v>
      </c>
      <c r="B97" s="15" t="s">
        <v>72</v>
      </c>
      <c r="C97" s="15" t="s">
        <v>72</v>
      </c>
      <c r="D97" s="15" t="s">
        <v>72</v>
      </c>
      <c r="E97" s="15" t="s">
        <v>183</v>
      </c>
      <c r="F97" s="15" t="s">
        <v>183</v>
      </c>
      <c r="G97" s="15" t="s">
        <v>183</v>
      </c>
      <c r="H97" s="15" t="s">
        <v>72</v>
      </c>
      <c r="I97" s="15" t="s">
        <v>183</v>
      </c>
      <c r="J97" s="15" t="s">
        <v>183</v>
      </c>
      <c r="K97" s="15" t="s">
        <v>183</v>
      </c>
      <c r="L97" s="15" t="s">
        <v>183</v>
      </c>
      <c r="M97" s="15" t="s">
        <v>183</v>
      </c>
      <c r="N97" s="15" t="s">
        <v>183</v>
      </c>
      <c r="O97" s="15" t="s">
        <v>183</v>
      </c>
      <c r="P97" s="15" t="s">
        <v>72</v>
      </c>
      <c r="Q97" s="15" t="s">
        <v>71</v>
      </c>
      <c r="R97" s="15" t="s">
        <v>71</v>
      </c>
      <c r="S97" s="15" t="s">
        <v>71</v>
      </c>
      <c r="T97" s="15" t="s">
        <v>71</v>
      </c>
      <c r="U97" s="15" t="s">
        <v>71</v>
      </c>
      <c r="V97" s="15" t="s">
        <v>71</v>
      </c>
      <c r="W97" s="15" t="s">
        <v>71</v>
      </c>
      <c r="X97" s="15" t="s">
        <v>71</v>
      </c>
      <c r="Y97" s="15" t="s">
        <v>71</v>
      </c>
      <c r="Z97" s="15" t="s">
        <v>71</v>
      </c>
      <c r="AA97" s="15" t="s">
        <v>71</v>
      </c>
      <c r="AB97" s="15" t="s">
        <v>71</v>
      </c>
      <c r="AC97" s="15" t="s">
        <v>72</v>
      </c>
      <c r="AD97" s="15" t="s">
        <v>72</v>
      </c>
      <c r="AE97" s="15" t="s">
        <v>72</v>
      </c>
      <c r="AF97" s="15" t="s">
        <v>72</v>
      </c>
      <c r="AG97" s="15" t="s">
        <v>72</v>
      </c>
      <c r="AH97" s="15" t="s">
        <v>72</v>
      </c>
      <c r="AI97" s="15" t="s">
        <v>184</v>
      </c>
      <c r="AJ97" s="15" t="s">
        <v>184</v>
      </c>
      <c r="AK97" s="15" t="s">
        <v>184</v>
      </c>
      <c r="AL97" s="15" t="s">
        <v>72</v>
      </c>
      <c r="AM97" s="15" t="s">
        <v>72</v>
      </c>
      <c r="AN97" s="15" t="s">
        <v>72</v>
      </c>
      <c r="AO97" s="15" t="s">
        <v>184</v>
      </c>
      <c r="AP97" s="15" t="s">
        <v>184</v>
      </c>
      <c r="AQ97" s="15" t="s">
        <v>91</v>
      </c>
      <c r="AR97" s="15" t="s">
        <v>91</v>
      </c>
      <c r="AS97" s="15" t="s">
        <v>91</v>
      </c>
      <c r="AT97" s="15" t="s">
        <v>184</v>
      </c>
      <c r="AU97" s="15" t="s">
        <v>184</v>
      </c>
      <c r="AV97" s="15" t="s">
        <v>91</v>
      </c>
      <c r="AW97" s="15" t="s">
        <v>91</v>
      </c>
      <c r="AX97" s="15" t="s">
        <v>91</v>
      </c>
      <c r="AY97" s="15" t="s">
        <v>91</v>
      </c>
      <c r="AZ97" s="15" t="s">
        <v>91</v>
      </c>
      <c r="BA97" s="15" t="s">
        <v>91</v>
      </c>
      <c r="BB97" s="15" t="s">
        <v>91</v>
      </c>
      <c r="BC97" s="15" t="s">
        <v>91</v>
      </c>
      <c r="BD97" s="15" t="s">
        <v>91</v>
      </c>
      <c r="BE97" s="15" t="s">
        <v>91</v>
      </c>
      <c r="BF97" s="15" t="s">
        <v>73</v>
      </c>
      <c r="BG97" s="15" t="s">
        <v>187</v>
      </c>
      <c r="BH97" s="15" t="s">
        <v>187</v>
      </c>
      <c r="BI97" s="15" t="s">
        <v>91</v>
      </c>
      <c r="BJ97" s="15" t="s">
        <v>91</v>
      </c>
      <c r="BK97" s="15" t="s">
        <v>91</v>
      </c>
      <c r="BL97" s="15" t="s">
        <v>91</v>
      </c>
      <c r="BM97" s="15" t="s">
        <v>91</v>
      </c>
      <c r="BN97" s="15" t="s">
        <v>91</v>
      </c>
      <c r="BO97" s="15" t="s">
        <v>187</v>
      </c>
      <c r="BP97" s="15" t="s">
        <v>187</v>
      </c>
      <c r="BQ97" s="15" t="s">
        <v>91</v>
      </c>
      <c r="BR97" s="15" t="s">
        <v>91</v>
      </c>
      <c r="BS97" s="15" t="s">
        <v>91</v>
      </c>
      <c r="BT97" s="15" t="s">
        <v>91</v>
      </c>
      <c r="BU97" s="15" t="s">
        <v>91</v>
      </c>
      <c r="BV97" s="15" t="s">
        <v>91</v>
      </c>
      <c r="BW97" s="15" t="s">
        <v>91</v>
      </c>
      <c r="BX97" s="15" t="s">
        <v>73</v>
      </c>
      <c r="BY97" s="15" t="s">
        <v>91</v>
      </c>
      <c r="BZ97" s="15" t="s">
        <v>91</v>
      </c>
      <c r="CA97" s="15" t="s">
        <v>91</v>
      </c>
      <c r="CB97" s="15" t="s">
        <v>91</v>
      </c>
      <c r="CC97" s="15" t="s">
        <v>73</v>
      </c>
      <c r="CD97" s="15" t="s">
        <v>73</v>
      </c>
      <c r="CE97" s="15" t="s">
        <v>73</v>
      </c>
      <c r="CF97" s="15" t="s">
        <v>73</v>
      </c>
      <c r="CG97" s="15" t="s">
        <v>73</v>
      </c>
      <c r="CH97" s="15" t="s">
        <v>73</v>
      </c>
      <c r="CI97" s="15" t="s">
        <v>73</v>
      </c>
      <c r="CJ97" s="15" t="s">
        <v>73</v>
      </c>
      <c r="CK97" s="15" t="s">
        <v>73</v>
      </c>
      <c r="CL97" s="15" t="s">
        <v>73</v>
      </c>
      <c r="CM97" s="15" t="s">
        <v>73</v>
      </c>
      <c r="CN97" s="15" t="s">
        <v>73</v>
      </c>
      <c r="CO97" s="15" t="s">
        <v>73</v>
      </c>
      <c r="CP97" s="15" t="s">
        <v>73</v>
      </c>
      <c r="CQ97" s="15" t="s">
        <v>73</v>
      </c>
      <c r="CR97" s="15" t="s">
        <v>73</v>
      </c>
      <c r="CS97" s="15" t="s">
        <v>72</v>
      </c>
      <c r="CT97" s="15" t="s">
        <v>72</v>
      </c>
      <c r="CU97" s="15" t="s">
        <v>72</v>
      </c>
      <c r="CV97" s="15" t="s">
        <v>72</v>
      </c>
      <c r="CW97" s="15" t="s">
        <v>72</v>
      </c>
      <c r="CX97" s="15" t="s">
        <v>72</v>
      </c>
      <c r="CY97" s="15" t="s">
        <v>72</v>
      </c>
      <c r="CZ97" s="15" t="s">
        <v>72</v>
      </c>
      <c r="DA97" s="15" t="s">
        <v>72</v>
      </c>
      <c r="DB97" s="15" t="s">
        <v>72</v>
      </c>
      <c r="DC97" s="15" t="s">
        <v>72</v>
      </c>
      <c r="DD97" s="15" t="s">
        <v>72</v>
      </c>
      <c r="DE97" s="15" t="s">
        <v>72</v>
      </c>
    </row>
    <row r="98" spans="1:109" x14ac:dyDescent="0.3">
      <c r="A98" s="15" t="s">
        <v>184</v>
      </c>
      <c r="B98" s="15" t="s">
        <v>184</v>
      </c>
      <c r="C98" s="15" t="s">
        <v>184</v>
      </c>
      <c r="D98" s="15" t="s">
        <v>184</v>
      </c>
      <c r="E98" s="15" t="s">
        <v>72</v>
      </c>
      <c r="F98" s="15" t="s">
        <v>72</v>
      </c>
      <c r="G98" s="15" t="s">
        <v>72</v>
      </c>
      <c r="H98" s="15" t="s">
        <v>184</v>
      </c>
      <c r="I98" s="15" t="s">
        <v>72</v>
      </c>
      <c r="J98" s="15" t="s">
        <v>72</v>
      </c>
      <c r="K98" s="15" t="s">
        <v>72</v>
      </c>
      <c r="L98" s="15" t="s">
        <v>72</v>
      </c>
      <c r="M98" s="15" t="s">
        <v>72</v>
      </c>
      <c r="N98" s="15" t="s">
        <v>72</v>
      </c>
      <c r="O98" s="15" t="s">
        <v>72</v>
      </c>
      <c r="P98" s="15" t="s">
        <v>184</v>
      </c>
      <c r="Q98" s="15" t="s">
        <v>183</v>
      </c>
      <c r="R98" s="15" t="s">
        <v>183</v>
      </c>
      <c r="S98" s="15" t="s">
        <v>183</v>
      </c>
      <c r="T98" s="15" t="s">
        <v>183</v>
      </c>
      <c r="U98" s="15" t="s">
        <v>183</v>
      </c>
      <c r="V98" s="15" t="s">
        <v>183</v>
      </c>
      <c r="W98" s="15" t="s">
        <v>183</v>
      </c>
      <c r="X98" s="15" t="s">
        <v>183</v>
      </c>
      <c r="Y98" s="15" t="s">
        <v>183</v>
      </c>
      <c r="Z98" s="15" t="s">
        <v>183</v>
      </c>
      <c r="AA98" s="15" t="s">
        <v>183</v>
      </c>
      <c r="AB98" s="15" t="s">
        <v>183</v>
      </c>
      <c r="AC98" s="15" t="s">
        <v>184</v>
      </c>
      <c r="AD98" s="15" t="s">
        <v>184</v>
      </c>
      <c r="AE98" s="15" t="s">
        <v>184</v>
      </c>
      <c r="AF98" s="15" t="s">
        <v>184</v>
      </c>
      <c r="AG98" s="15" t="s">
        <v>184</v>
      </c>
      <c r="AH98" s="15" t="s">
        <v>184</v>
      </c>
      <c r="AI98" s="15" t="s">
        <v>91</v>
      </c>
      <c r="AJ98" s="15" t="s">
        <v>91</v>
      </c>
      <c r="AK98" s="15" t="s">
        <v>91</v>
      </c>
      <c r="AL98" s="15" t="s">
        <v>184</v>
      </c>
      <c r="AM98" s="15" t="s">
        <v>184</v>
      </c>
      <c r="AN98" s="15" t="s">
        <v>184</v>
      </c>
      <c r="AO98" s="15" t="s">
        <v>91</v>
      </c>
      <c r="AP98" s="15" t="s">
        <v>91</v>
      </c>
      <c r="AQ98" s="15" t="s">
        <v>73</v>
      </c>
      <c r="AR98" s="15" t="s">
        <v>73</v>
      </c>
      <c r="AS98" s="15" t="s">
        <v>73</v>
      </c>
      <c r="AT98" s="15" t="s">
        <v>91</v>
      </c>
      <c r="AU98" s="15" t="s">
        <v>91</v>
      </c>
      <c r="AV98" s="15" t="s">
        <v>73</v>
      </c>
      <c r="AW98" s="15" t="s">
        <v>73</v>
      </c>
      <c r="AX98" s="15" t="s">
        <v>73</v>
      </c>
      <c r="AY98" s="15" t="s">
        <v>73</v>
      </c>
      <c r="AZ98" s="15" t="s">
        <v>73</v>
      </c>
      <c r="BA98" s="15" t="s">
        <v>73</v>
      </c>
      <c r="BB98" s="15" t="s">
        <v>73</v>
      </c>
      <c r="BC98" s="15" t="s">
        <v>73</v>
      </c>
      <c r="BD98" s="15" t="s">
        <v>73</v>
      </c>
      <c r="BE98" s="15" t="s">
        <v>73</v>
      </c>
      <c r="BF98" s="15" t="s">
        <v>187</v>
      </c>
      <c r="BG98" s="15" t="s">
        <v>90</v>
      </c>
      <c r="BH98" s="15" t="s">
        <v>90</v>
      </c>
      <c r="BI98" s="15" t="s">
        <v>73</v>
      </c>
      <c r="BJ98" s="15" t="s">
        <v>73</v>
      </c>
      <c r="BK98" s="15" t="s">
        <v>73</v>
      </c>
      <c r="BL98" s="15" t="s">
        <v>73</v>
      </c>
      <c r="BM98" s="15" t="s">
        <v>73</v>
      </c>
      <c r="BN98" s="15" t="s">
        <v>73</v>
      </c>
      <c r="BO98" s="15" t="s">
        <v>90</v>
      </c>
      <c r="BP98" s="15" t="s">
        <v>90</v>
      </c>
      <c r="BQ98" s="15" t="s">
        <v>73</v>
      </c>
      <c r="BR98" s="15" t="s">
        <v>73</v>
      </c>
      <c r="BS98" s="15" t="s">
        <v>73</v>
      </c>
      <c r="BT98" s="15" t="s">
        <v>73</v>
      </c>
      <c r="BU98" s="15" t="s">
        <v>73</v>
      </c>
      <c r="BV98" s="15" t="s">
        <v>73</v>
      </c>
      <c r="BW98" s="15" t="s">
        <v>73</v>
      </c>
      <c r="BX98" s="15" t="s">
        <v>187</v>
      </c>
      <c r="BY98" s="15" t="s">
        <v>73</v>
      </c>
      <c r="BZ98" s="15" t="s">
        <v>73</v>
      </c>
      <c r="CA98" s="15" t="s">
        <v>73</v>
      </c>
      <c r="CB98" s="15" t="s">
        <v>73</v>
      </c>
      <c r="CC98" s="15" t="s">
        <v>187</v>
      </c>
      <c r="CD98" s="15" t="s">
        <v>187</v>
      </c>
      <c r="CE98" s="15" t="s">
        <v>187</v>
      </c>
      <c r="CF98" s="15" t="s">
        <v>187</v>
      </c>
      <c r="CG98" s="15" t="s">
        <v>187</v>
      </c>
      <c r="CH98" s="15" t="s">
        <v>187</v>
      </c>
      <c r="CI98" s="15" t="s">
        <v>187</v>
      </c>
      <c r="CJ98" s="15" t="s">
        <v>187</v>
      </c>
      <c r="CK98" s="15" t="s">
        <v>187</v>
      </c>
      <c r="CL98" s="15" t="s">
        <v>187</v>
      </c>
      <c r="CM98" s="15" t="s">
        <v>187</v>
      </c>
      <c r="CN98" s="15" t="s">
        <v>187</v>
      </c>
      <c r="CO98" s="15" t="s">
        <v>187</v>
      </c>
      <c r="CP98" s="15" t="s">
        <v>187</v>
      </c>
      <c r="CQ98" s="15" t="s">
        <v>187</v>
      </c>
      <c r="CR98" s="15" t="s">
        <v>74</v>
      </c>
      <c r="CS98" s="15" t="s">
        <v>91</v>
      </c>
      <c r="CT98" s="15" t="s">
        <v>91</v>
      </c>
      <c r="CU98" s="15" t="s">
        <v>91</v>
      </c>
      <c r="CV98" s="15" t="s">
        <v>91</v>
      </c>
      <c r="CW98" s="15" t="s">
        <v>91</v>
      </c>
      <c r="CX98" s="15" t="s">
        <v>91</v>
      </c>
      <c r="CY98" s="15" t="s">
        <v>91</v>
      </c>
      <c r="CZ98" s="15" t="s">
        <v>91</v>
      </c>
      <c r="DA98" s="15" t="s">
        <v>91</v>
      </c>
      <c r="DB98" s="15" t="s">
        <v>91</v>
      </c>
      <c r="DC98" s="15" t="s">
        <v>91</v>
      </c>
      <c r="DD98" s="15" t="s">
        <v>91</v>
      </c>
      <c r="DE98" s="15" t="s">
        <v>91</v>
      </c>
    </row>
    <row r="99" spans="1:109" x14ac:dyDescent="0.3">
      <c r="A99" s="15" t="s">
        <v>185</v>
      </c>
      <c r="B99" s="15" t="s">
        <v>185</v>
      </c>
      <c r="C99" s="15" t="s">
        <v>185</v>
      </c>
      <c r="D99" s="15" t="s">
        <v>185</v>
      </c>
      <c r="E99" s="15" t="s">
        <v>184</v>
      </c>
      <c r="F99" s="15" t="s">
        <v>184</v>
      </c>
      <c r="G99" s="15" t="s">
        <v>184</v>
      </c>
      <c r="H99" s="15" t="s">
        <v>91</v>
      </c>
      <c r="I99" s="15" t="s">
        <v>184</v>
      </c>
      <c r="J99" s="15" t="s">
        <v>184</v>
      </c>
      <c r="K99" s="15" t="s">
        <v>184</v>
      </c>
      <c r="L99" s="15" t="s">
        <v>184</v>
      </c>
      <c r="M99" s="15" t="s">
        <v>184</v>
      </c>
      <c r="N99" s="15" t="s">
        <v>184</v>
      </c>
      <c r="O99" s="15" t="s">
        <v>184</v>
      </c>
      <c r="P99" s="15" t="s">
        <v>91</v>
      </c>
      <c r="Q99" s="15" t="s">
        <v>72</v>
      </c>
      <c r="R99" s="15" t="s">
        <v>72</v>
      </c>
      <c r="S99" s="15" t="s">
        <v>72</v>
      </c>
      <c r="T99" s="15" t="s">
        <v>72</v>
      </c>
      <c r="U99" s="15" t="s">
        <v>72</v>
      </c>
      <c r="V99" s="15" t="s">
        <v>72</v>
      </c>
      <c r="W99" s="15" t="s">
        <v>72</v>
      </c>
      <c r="X99" s="15" t="s">
        <v>72</v>
      </c>
      <c r="Y99" s="15" t="s">
        <v>72</v>
      </c>
      <c r="Z99" s="15" t="s">
        <v>72</v>
      </c>
      <c r="AA99" s="15" t="s">
        <v>72</v>
      </c>
      <c r="AB99" s="15" t="s">
        <v>72</v>
      </c>
      <c r="AC99" s="15" t="s">
        <v>91</v>
      </c>
      <c r="AD99" s="15" t="s">
        <v>91</v>
      </c>
      <c r="AE99" s="15" t="s">
        <v>91</v>
      </c>
      <c r="AF99" s="15" t="s">
        <v>91</v>
      </c>
      <c r="AG99" s="15" t="s">
        <v>91</v>
      </c>
      <c r="AH99" s="15" t="s">
        <v>91</v>
      </c>
      <c r="AI99" s="15" t="s">
        <v>90</v>
      </c>
      <c r="AJ99" s="15" t="s">
        <v>90</v>
      </c>
      <c r="AK99" s="15" t="s">
        <v>73</v>
      </c>
      <c r="AL99" s="15" t="s">
        <v>91</v>
      </c>
      <c r="AM99" s="15" t="s">
        <v>91</v>
      </c>
      <c r="AN99" s="15" t="s">
        <v>91</v>
      </c>
      <c r="AO99" s="15" t="s">
        <v>73</v>
      </c>
      <c r="AP99" s="15" t="s">
        <v>73</v>
      </c>
      <c r="AQ99" s="15" t="s">
        <v>90</v>
      </c>
      <c r="AR99" s="15" t="s">
        <v>90</v>
      </c>
      <c r="AS99" s="15" t="s">
        <v>187</v>
      </c>
      <c r="AT99" s="15" t="s">
        <v>73</v>
      </c>
      <c r="AU99" s="15" t="s">
        <v>73</v>
      </c>
      <c r="AV99" s="15" t="s">
        <v>187</v>
      </c>
      <c r="AW99" s="15" t="s">
        <v>187</v>
      </c>
      <c r="AX99" s="15" t="s">
        <v>187</v>
      </c>
      <c r="AY99" s="15" t="s">
        <v>187</v>
      </c>
      <c r="AZ99" s="15" t="s">
        <v>187</v>
      </c>
      <c r="BA99" s="15" t="s">
        <v>187</v>
      </c>
      <c r="BB99" s="15" t="s">
        <v>187</v>
      </c>
      <c r="BC99" s="15" t="s">
        <v>187</v>
      </c>
      <c r="BD99" s="15" t="s">
        <v>187</v>
      </c>
      <c r="BE99" s="15" t="s">
        <v>187</v>
      </c>
      <c r="BF99" s="15" t="s">
        <v>90</v>
      </c>
      <c r="BG99" s="15" t="s">
        <v>94</v>
      </c>
      <c r="BH99" s="15" t="s">
        <v>94</v>
      </c>
      <c r="BI99" s="15" t="s">
        <v>187</v>
      </c>
      <c r="BJ99" s="15" t="s">
        <v>187</v>
      </c>
      <c r="BK99" s="15" t="s">
        <v>187</v>
      </c>
      <c r="BL99" s="15" t="s">
        <v>187</v>
      </c>
      <c r="BM99" s="15" t="s">
        <v>187</v>
      </c>
      <c r="BN99" s="15" t="s">
        <v>187</v>
      </c>
      <c r="BO99" s="15" t="s">
        <v>94</v>
      </c>
      <c r="BP99" s="15" t="s">
        <v>94</v>
      </c>
      <c r="BQ99" s="15" t="s">
        <v>187</v>
      </c>
      <c r="BR99" s="15" t="s">
        <v>187</v>
      </c>
      <c r="BS99" s="15" t="s">
        <v>187</v>
      </c>
      <c r="BT99" s="15" t="s">
        <v>187</v>
      </c>
      <c r="BU99" s="15" t="s">
        <v>187</v>
      </c>
      <c r="BV99" s="15" t="s">
        <v>187</v>
      </c>
      <c r="BW99" s="15" t="s">
        <v>187</v>
      </c>
      <c r="BX99" s="15" t="s">
        <v>90</v>
      </c>
      <c r="BY99" s="15" t="s">
        <v>187</v>
      </c>
      <c r="BZ99" s="15" t="s">
        <v>187</v>
      </c>
      <c r="CA99" s="15" t="s">
        <v>187</v>
      </c>
      <c r="CB99" s="15" t="s">
        <v>187</v>
      </c>
      <c r="CC99" s="15" t="s">
        <v>90</v>
      </c>
      <c r="CD99" s="15" t="s">
        <v>90</v>
      </c>
      <c r="CE99" s="15" t="s">
        <v>90</v>
      </c>
      <c r="CF99" s="15" t="s">
        <v>90</v>
      </c>
      <c r="CG99" s="15" t="s">
        <v>90</v>
      </c>
      <c r="CH99" s="15" t="s">
        <v>90</v>
      </c>
      <c r="CI99" s="15" t="s">
        <v>90</v>
      </c>
      <c r="CJ99" s="15" t="s">
        <v>90</v>
      </c>
      <c r="CK99" s="15" t="s">
        <v>90</v>
      </c>
      <c r="CL99" s="15" t="s">
        <v>90</v>
      </c>
      <c r="CM99" s="15" t="s">
        <v>90</v>
      </c>
      <c r="CN99" s="15" t="s">
        <v>90</v>
      </c>
      <c r="CO99" s="15" t="s">
        <v>90</v>
      </c>
      <c r="CP99" s="15" t="s">
        <v>90</v>
      </c>
      <c r="CQ99" s="15" t="s">
        <v>90</v>
      </c>
      <c r="CR99" s="15" t="s">
        <v>90</v>
      </c>
      <c r="CS99" s="15" t="s">
        <v>73</v>
      </c>
      <c r="CT99" s="15" t="s">
        <v>73</v>
      </c>
      <c r="CU99" s="15" t="s">
        <v>73</v>
      </c>
      <c r="CV99" s="15" t="s">
        <v>73</v>
      </c>
      <c r="CW99" s="15" t="s">
        <v>74</v>
      </c>
      <c r="CX99" s="15" t="s">
        <v>74</v>
      </c>
      <c r="CY99" s="15" t="s">
        <v>74</v>
      </c>
      <c r="CZ99" s="15" t="s">
        <v>74</v>
      </c>
      <c r="DA99" s="15" t="s">
        <v>74</v>
      </c>
      <c r="DB99" s="15" t="s">
        <v>74</v>
      </c>
      <c r="DC99" s="15" t="s">
        <v>74</v>
      </c>
      <c r="DD99" s="15" t="s">
        <v>74</v>
      </c>
      <c r="DE99" s="15" t="s">
        <v>74</v>
      </c>
    </row>
    <row r="100" spans="1:109" x14ac:dyDescent="0.3">
      <c r="A100" s="15" t="s">
        <v>186</v>
      </c>
      <c r="B100" s="15" t="s">
        <v>186</v>
      </c>
      <c r="C100" s="15" t="s">
        <v>186</v>
      </c>
      <c r="D100" s="15" t="s">
        <v>186</v>
      </c>
      <c r="E100" s="15" t="s">
        <v>185</v>
      </c>
      <c r="F100" s="15" t="s">
        <v>91</v>
      </c>
      <c r="G100" s="15" t="s">
        <v>91</v>
      </c>
      <c r="H100" s="15" t="s">
        <v>90</v>
      </c>
      <c r="I100" s="15" t="s">
        <v>91</v>
      </c>
      <c r="J100" s="15" t="s">
        <v>91</v>
      </c>
      <c r="K100" s="15" t="s">
        <v>91</v>
      </c>
      <c r="L100" s="15" t="s">
        <v>91</v>
      </c>
      <c r="M100" s="15" t="s">
        <v>91</v>
      </c>
      <c r="N100" s="15" t="s">
        <v>91</v>
      </c>
      <c r="O100" s="15" t="s">
        <v>91</v>
      </c>
      <c r="P100" s="15" t="s">
        <v>90</v>
      </c>
      <c r="Q100" s="15" t="s">
        <v>184</v>
      </c>
      <c r="R100" s="15" t="s">
        <v>184</v>
      </c>
      <c r="S100" s="15" t="s">
        <v>184</v>
      </c>
      <c r="T100" s="15" t="s">
        <v>184</v>
      </c>
      <c r="U100" s="15" t="s">
        <v>184</v>
      </c>
      <c r="V100" s="15" t="s">
        <v>184</v>
      </c>
      <c r="W100" s="15" t="s">
        <v>184</v>
      </c>
      <c r="X100" s="15" t="s">
        <v>184</v>
      </c>
      <c r="Y100" s="15" t="s">
        <v>184</v>
      </c>
      <c r="Z100" s="15" t="s">
        <v>184</v>
      </c>
      <c r="AA100" s="15" t="s">
        <v>184</v>
      </c>
      <c r="AB100" s="15" t="s">
        <v>184</v>
      </c>
      <c r="AC100" s="15" t="s">
        <v>90</v>
      </c>
      <c r="AD100" s="15" t="s">
        <v>90</v>
      </c>
      <c r="AE100" s="15" t="s">
        <v>90</v>
      </c>
      <c r="AF100" s="15" t="s">
        <v>90</v>
      </c>
      <c r="AG100" s="15" t="s">
        <v>90</v>
      </c>
      <c r="AH100" s="15" t="s">
        <v>90</v>
      </c>
      <c r="AI100" s="15" t="s">
        <v>94</v>
      </c>
      <c r="AJ100" s="15" t="s">
        <v>94</v>
      </c>
      <c r="AK100" s="15" t="s">
        <v>90</v>
      </c>
      <c r="AL100" s="15" t="s">
        <v>73</v>
      </c>
      <c r="AM100" s="15" t="s">
        <v>73</v>
      </c>
      <c r="AN100" s="15" t="s">
        <v>73</v>
      </c>
      <c r="AO100" s="15" t="s">
        <v>90</v>
      </c>
      <c r="AP100" s="15" t="s">
        <v>90</v>
      </c>
      <c r="AQ100" s="15" t="s">
        <v>94</v>
      </c>
      <c r="AR100" s="15" t="s">
        <v>94</v>
      </c>
      <c r="AS100" s="15" t="s">
        <v>90</v>
      </c>
      <c r="AT100" s="15" t="s">
        <v>187</v>
      </c>
      <c r="AU100" s="15" t="s">
        <v>187</v>
      </c>
      <c r="AV100" s="15" t="s">
        <v>90</v>
      </c>
      <c r="AW100" s="15" t="s">
        <v>90</v>
      </c>
      <c r="AX100" s="15" t="s">
        <v>90</v>
      </c>
      <c r="AY100" s="15" t="s">
        <v>90</v>
      </c>
      <c r="AZ100" s="15" t="s">
        <v>90</v>
      </c>
      <c r="BA100" s="15" t="s">
        <v>90</v>
      </c>
      <c r="BB100" s="15" t="s">
        <v>90</v>
      </c>
      <c r="BC100" s="15" t="s">
        <v>90</v>
      </c>
      <c r="BD100" s="15" t="s">
        <v>90</v>
      </c>
      <c r="BE100" s="15" t="s">
        <v>90</v>
      </c>
      <c r="BF100" s="15" t="s">
        <v>94</v>
      </c>
      <c r="BG100" s="15"/>
      <c r="BH100" s="15"/>
      <c r="BI100" s="15" t="s">
        <v>90</v>
      </c>
      <c r="BJ100" s="15" t="s">
        <v>90</v>
      </c>
      <c r="BK100" s="15" t="s">
        <v>90</v>
      </c>
      <c r="BL100" s="15" t="s">
        <v>90</v>
      </c>
      <c r="BM100" s="15" t="s">
        <v>90</v>
      </c>
      <c r="BN100" s="15" t="s">
        <v>90</v>
      </c>
      <c r="BO100" s="15"/>
      <c r="BP100" s="15"/>
      <c r="BQ100" s="15" t="s">
        <v>90</v>
      </c>
      <c r="BR100" s="15" t="s">
        <v>90</v>
      </c>
      <c r="BS100" s="15" t="s">
        <v>90</v>
      </c>
      <c r="BT100" s="15" t="s">
        <v>90</v>
      </c>
      <c r="BU100" s="15" t="s">
        <v>90</v>
      </c>
      <c r="BV100" s="15" t="s">
        <v>90</v>
      </c>
      <c r="BW100" s="15" t="s">
        <v>90</v>
      </c>
      <c r="BX100" s="15" t="s">
        <v>94</v>
      </c>
      <c r="BY100" s="15" t="s">
        <v>90</v>
      </c>
      <c r="BZ100" s="15" t="s">
        <v>90</v>
      </c>
      <c r="CA100" s="15" t="s">
        <v>90</v>
      </c>
      <c r="CB100" s="15" t="s">
        <v>90</v>
      </c>
      <c r="CC100" s="15" t="s">
        <v>93</v>
      </c>
      <c r="CD100" s="15" t="s">
        <v>93</v>
      </c>
      <c r="CE100" s="15" t="s">
        <v>93</v>
      </c>
      <c r="CF100" s="15" t="s">
        <v>93</v>
      </c>
      <c r="CG100" s="15" t="s">
        <v>93</v>
      </c>
      <c r="CH100" s="15" t="s">
        <v>93</v>
      </c>
      <c r="CI100" s="15" t="s">
        <v>93</v>
      </c>
      <c r="CJ100" s="15" t="s">
        <v>93</v>
      </c>
      <c r="CK100" s="15" t="s">
        <v>93</v>
      </c>
      <c r="CL100" s="15" t="s">
        <v>93</v>
      </c>
      <c r="CM100" s="15" t="s">
        <v>93</v>
      </c>
      <c r="CN100" s="15" t="s">
        <v>93</v>
      </c>
      <c r="CO100" s="15" t="s">
        <v>93</v>
      </c>
      <c r="CP100" s="15" t="s">
        <v>93</v>
      </c>
      <c r="CQ100" s="15" t="s">
        <v>93</v>
      </c>
      <c r="CR100" s="15" t="s">
        <v>93</v>
      </c>
      <c r="CS100" s="15" t="s">
        <v>74</v>
      </c>
      <c r="CT100" s="15" t="s">
        <v>74</v>
      </c>
      <c r="CU100" s="15" t="s">
        <v>74</v>
      </c>
      <c r="CV100" s="15" t="s">
        <v>74</v>
      </c>
      <c r="CW100" s="15" t="s">
        <v>90</v>
      </c>
      <c r="CX100" s="15" t="s">
        <v>90</v>
      </c>
      <c r="CY100" s="15" t="s">
        <v>90</v>
      </c>
      <c r="CZ100" s="15" t="s">
        <v>90</v>
      </c>
      <c r="DA100" s="15" t="s">
        <v>90</v>
      </c>
      <c r="DB100" s="15" t="s">
        <v>90</v>
      </c>
      <c r="DC100" s="15" t="s">
        <v>90</v>
      </c>
      <c r="DD100" s="15" t="s">
        <v>90</v>
      </c>
      <c r="DE100" s="15" t="s">
        <v>90</v>
      </c>
    </row>
    <row r="101" spans="1:109" x14ac:dyDescent="0.3">
      <c r="A101" s="15" t="s">
        <v>91</v>
      </c>
      <c r="B101" s="15" t="s">
        <v>91</v>
      </c>
      <c r="C101" s="15" t="s">
        <v>91</v>
      </c>
      <c r="D101" s="15" t="s">
        <v>91</v>
      </c>
      <c r="E101" s="15" t="s">
        <v>91</v>
      </c>
      <c r="F101" s="15" t="s">
        <v>90</v>
      </c>
      <c r="G101" s="15" t="s">
        <v>90</v>
      </c>
      <c r="H101" s="15"/>
      <c r="I101" s="15" t="s">
        <v>90</v>
      </c>
      <c r="J101" s="15" t="s">
        <v>90</v>
      </c>
      <c r="K101" s="15" t="s">
        <v>90</v>
      </c>
      <c r="L101" s="15" t="s">
        <v>90</v>
      </c>
      <c r="M101" s="15" t="s">
        <v>90</v>
      </c>
      <c r="N101" s="15" t="s">
        <v>90</v>
      </c>
      <c r="O101" s="15" t="s">
        <v>90</v>
      </c>
      <c r="P101" s="15"/>
      <c r="Q101" s="15" t="s">
        <v>91</v>
      </c>
      <c r="R101" s="15" t="s">
        <v>91</v>
      </c>
      <c r="S101" s="15" t="s">
        <v>91</v>
      </c>
      <c r="T101" s="15" t="s">
        <v>91</v>
      </c>
      <c r="U101" s="15" t="s">
        <v>91</v>
      </c>
      <c r="V101" s="15" t="s">
        <v>91</v>
      </c>
      <c r="W101" s="15" t="s">
        <v>91</v>
      </c>
      <c r="X101" s="15" t="s">
        <v>91</v>
      </c>
      <c r="Y101" s="15" t="s">
        <v>91</v>
      </c>
      <c r="Z101" s="15" t="s">
        <v>91</v>
      </c>
      <c r="AA101" s="15" t="s">
        <v>91</v>
      </c>
      <c r="AB101" s="15" t="s">
        <v>91</v>
      </c>
      <c r="AC101" s="15" t="s">
        <v>94</v>
      </c>
      <c r="AD101" s="15" t="s">
        <v>94</v>
      </c>
      <c r="AE101" s="15" t="s">
        <v>94</v>
      </c>
      <c r="AF101" s="15" t="s">
        <v>94</v>
      </c>
      <c r="AG101" s="15" t="s">
        <v>94</v>
      </c>
      <c r="AH101" s="15" t="s">
        <v>94</v>
      </c>
      <c r="AI101" s="15"/>
      <c r="AJ101" s="15"/>
      <c r="AK101" s="15" t="s">
        <v>94</v>
      </c>
      <c r="AL101" s="15" t="s">
        <v>90</v>
      </c>
      <c r="AM101" s="15" t="s">
        <v>90</v>
      </c>
      <c r="AN101" s="15" t="s">
        <v>90</v>
      </c>
      <c r="AO101" s="15" t="s">
        <v>94</v>
      </c>
      <c r="AP101" s="15" t="s">
        <v>94</v>
      </c>
      <c r="AQ101" s="15"/>
      <c r="AR101" s="15"/>
      <c r="AS101" s="15" t="s">
        <v>94</v>
      </c>
      <c r="AT101" s="15" t="s">
        <v>90</v>
      </c>
      <c r="AU101" s="15" t="s">
        <v>90</v>
      </c>
      <c r="AV101" s="15" t="s">
        <v>94</v>
      </c>
      <c r="AW101" s="15" t="s">
        <v>94</v>
      </c>
      <c r="AX101" s="15" t="s">
        <v>94</v>
      </c>
      <c r="AY101" s="15" t="s">
        <v>94</v>
      </c>
      <c r="AZ101" s="15" t="s">
        <v>94</v>
      </c>
      <c r="BA101" s="15" t="s">
        <v>94</v>
      </c>
      <c r="BB101" s="15" t="s">
        <v>94</v>
      </c>
      <c r="BC101" s="15" t="s">
        <v>94</v>
      </c>
      <c r="BD101" s="15" t="s">
        <v>94</v>
      </c>
      <c r="BE101" s="15" t="s">
        <v>94</v>
      </c>
      <c r="BF101" s="15"/>
      <c r="BG101" s="15"/>
      <c r="BH101" s="15"/>
      <c r="BI101" s="15" t="s">
        <v>94</v>
      </c>
      <c r="BJ101" s="15" t="s">
        <v>94</v>
      </c>
      <c r="BK101" s="15" t="s">
        <v>94</v>
      </c>
      <c r="BL101" s="15" t="s">
        <v>94</v>
      </c>
      <c r="BM101" s="15" t="s">
        <v>94</v>
      </c>
      <c r="BN101" s="15" t="s">
        <v>94</v>
      </c>
      <c r="BO101" s="15"/>
      <c r="BP101" s="15"/>
      <c r="BQ101" s="15" t="s">
        <v>94</v>
      </c>
      <c r="BR101" s="15" t="s">
        <v>94</v>
      </c>
      <c r="BS101" s="15" t="s">
        <v>94</v>
      </c>
      <c r="BT101" s="15" t="s">
        <v>94</v>
      </c>
      <c r="BU101" s="15" t="s">
        <v>94</v>
      </c>
      <c r="BV101" s="15" t="s">
        <v>94</v>
      </c>
      <c r="BW101" s="15" t="s">
        <v>94</v>
      </c>
      <c r="BX101" s="15"/>
      <c r="BY101" s="15" t="s">
        <v>94</v>
      </c>
      <c r="BZ101" s="15" t="s">
        <v>94</v>
      </c>
      <c r="CA101" s="15" t="s">
        <v>94</v>
      </c>
      <c r="CB101" s="15" t="s">
        <v>94</v>
      </c>
      <c r="CC101" s="15" t="s">
        <v>94</v>
      </c>
      <c r="CD101" s="15" t="s">
        <v>94</v>
      </c>
      <c r="CE101" s="15" t="s">
        <v>94</v>
      </c>
      <c r="CF101" s="15" t="s">
        <v>94</v>
      </c>
      <c r="CG101" s="15" t="s">
        <v>94</v>
      </c>
      <c r="CH101" s="15" t="s">
        <v>94</v>
      </c>
      <c r="CI101" s="15" t="s">
        <v>94</v>
      </c>
      <c r="CJ101" s="15" t="s">
        <v>94</v>
      </c>
      <c r="CK101" s="15" t="s">
        <v>94</v>
      </c>
      <c r="CL101" s="15" t="s">
        <v>94</v>
      </c>
      <c r="CM101" s="15" t="s">
        <v>94</v>
      </c>
      <c r="CN101" s="15" t="s">
        <v>94</v>
      </c>
      <c r="CO101" s="15" t="s">
        <v>94</v>
      </c>
      <c r="CP101" s="15" t="s">
        <v>94</v>
      </c>
      <c r="CQ101" s="15" t="s">
        <v>94</v>
      </c>
      <c r="CR101" s="15" t="s">
        <v>94</v>
      </c>
      <c r="CS101" s="15" t="s">
        <v>90</v>
      </c>
      <c r="CT101" s="15" t="s">
        <v>90</v>
      </c>
      <c r="CU101" s="15" t="s">
        <v>90</v>
      </c>
      <c r="CV101" s="15" t="s">
        <v>90</v>
      </c>
      <c r="CW101" s="15" t="s">
        <v>94</v>
      </c>
      <c r="CX101" s="15" t="s">
        <v>94</v>
      </c>
      <c r="CY101" s="15" t="s">
        <v>94</v>
      </c>
      <c r="CZ101" s="15" t="s">
        <v>94</v>
      </c>
      <c r="DA101" s="15" t="s">
        <v>94</v>
      </c>
      <c r="DB101" s="15" t="s">
        <v>94</v>
      </c>
      <c r="DC101" s="15" t="s">
        <v>94</v>
      </c>
      <c r="DD101" s="15" t="s">
        <v>94</v>
      </c>
      <c r="DE101" s="15" t="s">
        <v>94</v>
      </c>
    </row>
    <row r="102" spans="1:109" x14ac:dyDescent="0.3">
      <c r="A102" s="15" t="s">
        <v>90</v>
      </c>
      <c r="B102" s="15" t="s">
        <v>90</v>
      </c>
      <c r="C102" s="15" t="s">
        <v>90</v>
      </c>
      <c r="D102" s="15" t="s">
        <v>90</v>
      </c>
      <c r="E102" s="15" t="s">
        <v>90</v>
      </c>
      <c r="F102" s="15"/>
      <c r="G102" s="15"/>
      <c r="H102" s="15"/>
      <c r="I102" s="15"/>
      <c r="J102" s="15"/>
      <c r="K102" s="15"/>
      <c r="L102" s="15"/>
      <c r="M102" s="15"/>
      <c r="N102" s="15"/>
      <c r="O102" s="15"/>
      <c r="P102" s="15"/>
      <c r="Q102" s="15"/>
      <c r="R102" s="15"/>
      <c r="S102" s="15"/>
      <c r="T102" s="15"/>
      <c r="U102" s="15"/>
      <c r="V102" s="15"/>
      <c r="W102" s="15"/>
      <c r="X102" s="15"/>
      <c r="Y102" s="15"/>
      <c r="Z102" s="15"/>
      <c r="AA102" s="15"/>
      <c r="AB102" s="15"/>
      <c r="AC102" s="15"/>
      <c r="AD102" s="15"/>
      <c r="AE102" s="15"/>
      <c r="AF102" s="15"/>
      <c r="AG102" s="15"/>
      <c r="AH102" s="15"/>
      <c r="AI102" s="15"/>
      <c r="AJ102" s="15"/>
      <c r="AK102" s="15"/>
      <c r="AL102" s="15" t="s">
        <v>94</v>
      </c>
      <c r="AM102" s="15" t="s">
        <v>94</v>
      </c>
      <c r="AN102" s="15" t="s">
        <v>94</v>
      </c>
      <c r="AO102" s="15"/>
      <c r="AP102" s="15"/>
      <c r="AQ102" s="15"/>
      <c r="AR102" s="15"/>
      <c r="AS102" s="15"/>
      <c r="AT102" s="15" t="s">
        <v>94</v>
      </c>
      <c r="AU102" s="15" t="s">
        <v>94</v>
      </c>
      <c r="AV102" s="15"/>
      <c r="AW102" s="15"/>
      <c r="AX102" s="15"/>
      <c r="AY102" s="15"/>
      <c r="AZ102" s="15"/>
      <c r="BA102" s="15"/>
      <c r="BB102" s="15"/>
      <c r="BC102" s="15"/>
      <c r="BD102" s="15"/>
      <c r="BE102" s="15"/>
      <c r="BF102" s="15"/>
      <c r="BG102" s="15"/>
      <c r="BH102" s="15"/>
      <c r="BI102" s="15"/>
      <c r="BJ102" s="15"/>
      <c r="BK102" s="15"/>
      <c r="BL102" s="15"/>
      <c r="BM102" s="15"/>
      <c r="BN102" s="15"/>
      <c r="BO102" s="15"/>
      <c r="BP102" s="15"/>
      <c r="BQ102" s="15"/>
      <c r="BR102" s="15"/>
      <c r="BS102" s="15"/>
      <c r="BT102" s="15"/>
      <c r="BU102" s="15"/>
      <c r="BV102" s="15"/>
      <c r="BW102" s="15"/>
      <c r="BX102" s="15"/>
      <c r="BY102" s="15"/>
      <c r="BZ102" s="15"/>
      <c r="CA102" s="15"/>
      <c r="CB102" s="15"/>
      <c r="CC102" s="15"/>
      <c r="CD102" s="15"/>
      <c r="CE102" s="15"/>
      <c r="CF102" s="15"/>
      <c r="CG102" s="15"/>
      <c r="CH102" s="15"/>
      <c r="CI102" s="15"/>
      <c r="CJ102" s="15"/>
      <c r="CK102" s="15"/>
      <c r="CL102" s="15"/>
      <c r="CM102" s="15"/>
      <c r="CN102" s="15"/>
      <c r="CO102" s="15"/>
      <c r="CP102" s="15"/>
      <c r="CQ102" s="15"/>
      <c r="CR102" s="15"/>
      <c r="CS102" s="15" t="s">
        <v>94</v>
      </c>
      <c r="CT102" s="15" t="s">
        <v>94</v>
      </c>
      <c r="CU102" s="15" t="s">
        <v>94</v>
      </c>
      <c r="CV102" s="15" t="s">
        <v>94</v>
      </c>
      <c r="CW102" s="15"/>
      <c r="CX102" s="15"/>
      <c r="CY102" s="15"/>
      <c r="CZ102" s="15"/>
      <c r="DA102" s="15"/>
      <c r="DB102" s="15"/>
      <c r="DC102" s="15"/>
      <c r="DD102" s="15"/>
      <c r="DE102" s="15"/>
    </row>
    <row r="103" spans="1:109" x14ac:dyDescent="0.3">
      <c r="A103" s="15"/>
      <c r="B103" s="15"/>
      <c r="C103" s="15"/>
      <c r="D103" s="15"/>
      <c r="E103" s="15"/>
      <c r="F103" s="15"/>
      <c r="G103" s="15"/>
      <c r="H103" s="15"/>
      <c r="I103" s="15"/>
      <c r="J103" s="15"/>
      <c r="K103" s="15"/>
      <c r="L103" s="15"/>
      <c r="M103" s="15"/>
      <c r="N103" s="15"/>
      <c r="O103" s="15"/>
      <c r="P103" s="15"/>
      <c r="Q103" s="15"/>
      <c r="R103" s="15"/>
      <c r="S103" s="15"/>
      <c r="T103" s="15"/>
      <c r="U103" s="15"/>
      <c r="V103" s="15"/>
      <c r="W103" s="15"/>
      <c r="X103" s="15"/>
      <c r="Y103" s="15"/>
      <c r="Z103" s="15"/>
      <c r="AA103" s="15"/>
      <c r="AB103" s="15"/>
      <c r="AC103" s="15"/>
      <c r="AD103" s="15"/>
      <c r="AE103" s="15"/>
      <c r="AF103" s="15"/>
      <c r="AG103" s="15"/>
      <c r="AH103" s="15"/>
      <c r="AI103" s="15"/>
      <c r="AJ103" s="15"/>
      <c r="AK103" s="15"/>
      <c r="AL103" s="15"/>
      <c r="AM103" s="15"/>
      <c r="AN103" s="15"/>
      <c r="AO103" s="15"/>
      <c r="AP103" s="15"/>
      <c r="AQ103" s="15"/>
      <c r="AR103" s="15"/>
      <c r="AS103" s="15"/>
      <c r="AT103" s="15"/>
      <c r="AU103" s="15"/>
      <c r="AV103" s="15"/>
      <c r="AW103" s="15"/>
      <c r="AX103" s="15"/>
      <c r="AY103" s="15"/>
      <c r="AZ103" s="15"/>
      <c r="BA103" s="15"/>
      <c r="BB103" s="15"/>
      <c r="BC103" s="15"/>
      <c r="BD103" s="15"/>
      <c r="BE103" s="15"/>
      <c r="BF103" s="15"/>
      <c r="BG103" s="15"/>
      <c r="BH103" s="15"/>
      <c r="BI103" s="15"/>
      <c r="BJ103" s="15"/>
      <c r="BK103" s="15"/>
      <c r="BL103" s="15"/>
      <c r="BM103" s="15"/>
      <c r="BN103" s="15"/>
      <c r="BO103" s="15"/>
      <c r="BP103" s="15"/>
      <c r="BQ103" s="15"/>
      <c r="BR103" s="15"/>
      <c r="BS103" s="15"/>
      <c r="BT103" s="15"/>
      <c r="BU103" s="15"/>
      <c r="BV103" s="15"/>
      <c r="BW103" s="15"/>
      <c r="BX103" s="15"/>
      <c r="BY103" s="15"/>
      <c r="BZ103" s="15"/>
      <c r="CA103" s="15"/>
      <c r="CB103" s="15"/>
      <c r="CC103" s="15"/>
      <c r="CD103" s="15"/>
      <c r="CE103" s="15"/>
      <c r="CF103" s="15"/>
      <c r="CG103" s="15"/>
      <c r="CH103" s="15"/>
      <c r="CI103" s="15"/>
      <c r="CJ103" s="21"/>
      <c r="CK103" s="15"/>
      <c r="CL103" s="15"/>
      <c r="CM103" s="15"/>
      <c r="CN103" s="15"/>
      <c r="CO103" s="15"/>
      <c r="CP103" s="15"/>
      <c r="CQ103" s="15"/>
      <c r="CR103" s="15"/>
      <c r="CS103" s="15"/>
      <c r="CT103" s="15"/>
      <c r="CU103" s="15"/>
      <c r="CV103" s="15"/>
      <c r="CW103" s="15"/>
      <c r="CX103" s="15"/>
      <c r="CY103" s="15"/>
      <c r="CZ103" s="15"/>
      <c r="DA103" s="15"/>
      <c r="DB103" s="15"/>
      <c r="DC103" s="15"/>
      <c r="DD103" s="15"/>
      <c r="DE103" s="15"/>
    </row>
    <row r="104" spans="1:109" x14ac:dyDescent="0.3">
      <c r="A104" s="15"/>
      <c r="B104" s="15"/>
      <c r="C104" s="15"/>
      <c r="D104" s="15"/>
      <c r="E104" s="15"/>
      <c r="F104" s="15"/>
      <c r="G104" s="15"/>
      <c r="H104" s="15"/>
      <c r="I104" s="15"/>
      <c r="J104" s="15"/>
      <c r="K104" s="15"/>
      <c r="L104" s="15"/>
      <c r="M104" s="15"/>
      <c r="N104" s="15"/>
      <c r="O104" s="15"/>
      <c r="P104" s="15"/>
      <c r="Q104" s="15"/>
      <c r="R104" s="15"/>
      <c r="S104" s="15"/>
      <c r="T104" s="15"/>
      <c r="U104" s="15"/>
      <c r="V104" s="15"/>
      <c r="W104" s="15"/>
      <c r="X104" s="15"/>
      <c r="Y104" s="15"/>
      <c r="Z104" s="15"/>
      <c r="AA104" s="15"/>
      <c r="AB104" s="15"/>
      <c r="AC104" s="15"/>
      <c r="AD104" s="15"/>
      <c r="AE104" s="15"/>
      <c r="AF104" s="15"/>
      <c r="AG104" s="15"/>
      <c r="AH104" s="15"/>
      <c r="AI104" s="15"/>
      <c r="AJ104" s="15"/>
      <c r="AK104" s="15"/>
      <c r="AL104" s="15"/>
      <c r="AM104" s="15"/>
      <c r="AN104" s="15"/>
      <c r="AO104" s="15"/>
      <c r="AP104" s="15"/>
      <c r="AQ104" s="15"/>
      <c r="AR104" s="15"/>
      <c r="AS104" s="15"/>
      <c r="AT104" s="15"/>
      <c r="AU104" s="15"/>
      <c r="AV104" s="15"/>
      <c r="AW104" s="15"/>
      <c r="AX104" s="15"/>
      <c r="AY104" s="15"/>
      <c r="AZ104" s="15"/>
      <c r="BA104" s="15"/>
      <c r="BB104" s="15"/>
      <c r="BC104" s="15"/>
      <c r="BD104" s="15"/>
      <c r="BE104" s="15"/>
      <c r="BF104" s="15"/>
      <c r="BG104" s="15"/>
      <c r="BH104" s="15"/>
      <c r="BI104" s="15"/>
      <c r="BJ104" s="15"/>
      <c r="BK104" s="15"/>
      <c r="BL104" s="15"/>
      <c r="BM104" s="15"/>
      <c r="BN104" s="15"/>
      <c r="BO104" s="15"/>
      <c r="BP104" s="15"/>
      <c r="BQ104" s="15"/>
      <c r="BR104" s="15"/>
      <c r="BS104" s="15"/>
      <c r="BT104" s="15"/>
      <c r="BU104" s="15"/>
      <c r="BV104" s="15"/>
      <c r="BW104" s="15"/>
      <c r="BX104" s="15"/>
      <c r="BY104" s="15"/>
      <c r="BZ104" s="15"/>
      <c r="CA104" s="15"/>
      <c r="CB104" s="15"/>
      <c r="CC104" s="15"/>
      <c r="CD104" s="15"/>
      <c r="CE104" s="15"/>
      <c r="CF104" s="15"/>
      <c r="CG104" s="15"/>
      <c r="CH104" s="15"/>
      <c r="CI104" s="15"/>
      <c r="CJ104" s="15"/>
      <c r="CK104" s="15"/>
      <c r="CL104" s="15"/>
      <c r="CM104" s="15"/>
      <c r="CN104" s="15"/>
      <c r="CO104" s="15"/>
      <c r="CP104" s="15"/>
      <c r="CQ104" s="15"/>
      <c r="CR104" s="15"/>
      <c r="CS104" s="15"/>
      <c r="CT104" s="15"/>
      <c r="CU104" s="15"/>
      <c r="CV104" s="15"/>
      <c r="CW104" s="15"/>
      <c r="CX104" s="15"/>
      <c r="CY104" s="15"/>
      <c r="CZ104" s="15"/>
      <c r="DA104" s="15"/>
      <c r="DB104" s="15"/>
      <c r="DC104" s="15"/>
      <c r="DD104" s="15"/>
      <c r="DE104" s="15"/>
    </row>
    <row r="105" spans="1:109" x14ac:dyDescent="0.3">
      <c r="A105" s="15"/>
      <c r="B105" s="15"/>
      <c r="C105" s="15"/>
      <c r="D105" s="15"/>
      <c r="E105" s="15"/>
      <c r="F105" s="15"/>
      <c r="G105" s="15"/>
      <c r="H105" s="15"/>
      <c r="I105" s="15"/>
      <c r="J105" s="15"/>
      <c r="K105" s="15"/>
      <c r="L105" s="15"/>
      <c r="M105" s="15"/>
      <c r="N105" s="15"/>
      <c r="O105" s="15"/>
      <c r="P105" s="15"/>
      <c r="Q105" s="15"/>
      <c r="R105" s="15"/>
      <c r="S105" s="15"/>
      <c r="T105" s="15"/>
      <c r="U105" s="15"/>
      <c r="V105" s="15"/>
      <c r="W105" s="15"/>
      <c r="X105" s="15"/>
      <c r="Y105" s="15"/>
      <c r="Z105" s="15"/>
      <c r="AA105" s="15"/>
      <c r="AB105" s="15"/>
      <c r="AC105" s="15"/>
      <c r="AD105" s="15"/>
      <c r="AE105" s="15"/>
      <c r="AF105" s="15"/>
      <c r="AG105" s="15"/>
      <c r="AH105" s="15"/>
      <c r="AI105" s="15"/>
      <c r="AJ105" s="15"/>
      <c r="AK105" s="15"/>
      <c r="AL105" s="15"/>
      <c r="AM105" s="15"/>
      <c r="AN105" s="15"/>
      <c r="AO105" s="15"/>
      <c r="AP105" s="15"/>
      <c r="AQ105" s="15"/>
      <c r="AR105" s="15"/>
      <c r="AS105" s="15"/>
      <c r="AT105" s="15"/>
      <c r="AU105" s="15"/>
      <c r="AV105" s="15"/>
      <c r="AW105" s="15"/>
      <c r="AX105" s="15"/>
      <c r="AY105" s="15"/>
      <c r="AZ105" s="15"/>
      <c r="BA105" s="15"/>
      <c r="BB105" s="15"/>
      <c r="BC105" s="15"/>
      <c r="BD105" s="15"/>
      <c r="BE105" s="15"/>
      <c r="BF105" s="15"/>
      <c r="BG105" s="15"/>
      <c r="BH105" s="15"/>
      <c r="BI105" s="15"/>
      <c r="BJ105" s="15"/>
      <c r="BK105" s="15"/>
      <c r="BL105" s="15"/>
      <c r="BM105" s="15"/>
      <c r="BN105" s="15"/>
      <c r="BO105" s="15"/>
      <c r="BP105" s="15"/>
      <c r="BQ105" s="15"/>
      <c r="BR105" s="15"/>
      <c r="BS105" s="15"/>
      <c r="BT105" s="15"/>
      <c r="BU105" s="15"/>
      <c r="BV105" s="15"/>
      <c r="BW105" s="15"/>
      <c r="BX105" s="15"/>
      <c r="BY105" s="15"/>
      <c r="BZ105" s="15"/>
      <c r="CA105" s="15"/>
      <c r="CB105" s="15"/>
      <c r="CC105" s="15"/>
      <c r="CD105" s="15"/>
      <c r="CE105" s="15"/>
      <c r="CF105" s="15"/>
      <c r="CG105" s="15"/>
      <c r="CH105" s="15"/>
      <c r="CI105" s="15"/>
      <c r="CJ105" s="15"/>
      <c r="CK105" s="15"/>
      <c r="CL105" s="15"/>
      <c r="CM105" s="15"/>
      <c r="CN105" s="15"/>
      <c r="CO105" s="15"/>
      <c r="CP105" s="15"/>
      <c r="CQ105" s="15"/>
      <c r="CR105" s="15"/>
      <c r="CS105" s="15"/>
      <c r="CT105" s="15"/>
      <c r="CU105" s="15"/>
      <c r="CV105" s="15"/>
      <c r="CW105" s="15"/>
      <c r="CX105" s="15"/>
      <c r="CY105" s="15"/>
      <c r="CZ105" s="15"/>
      <c r="DA105" s="15"/>
      <c r="DB105" s="15"/>
      <c r="DC105" s="15"/>
      <c r="DD105" s="15"/>
      <c r="DE105" s="15"/>
    </row>
    <row r="106" spans="1:109" x14ac:dyDescent="0.3">
      <c r="A106" s="15"/>
      <c r="B106" s="15"/>
      <c r="C106" s="15"/>
      <c r="D106" s="15"/>
      <c r="E106" s="15"/>
      <c r="F106" s="15"/>
      <c r="G106" s="15"/>
      <c r="H106" s="15"/>
      <c r="I106" s="15"/>
      <c r="J106" s="15"/>
      <c r="K106" s="15"/>
      <c r="L106" s="15"/>
      <c r="M106" s="15"/>
      <c r="N106" s="15"/>
      <c r="O106" s="15"/>
      <c r="P106" s="15"/>
      <c r="Q106" s="15"/>
      <c r="R106" s="15"/>
      <c r="S106" s="15"/>
      <c r="T106" s="15"/>
      <c r="U106" s="15"/>
      <c r="V106" s="15"/>
      <c r="W106" s="15"/>
      <c r="X106" s="15"/>
      <c r="Y106" s="15"/>
      <c r="Z106" s="15"/>
      <c r="AA106" s="15"/>
      <c r="AB106" s="15"/>
      <c r="AC106" s="15"/>
      <c r="AD106" s="15"/>
      <c r="AE106" s="15"/>
      <c r="AF106" s="15"/>
      <c r="AG106" s="15"/>
      <c r="AH106" s="15"/>
      <c r="AI106" s="15"/>
      <c r="AJ106" s="15"/>
      <c r="AK106" s="15"/>
      <c r="AL106" s="15"/>
      <c r="AM106" s="15"/>
      <c r="AN106" s="15"/>
      <c r="AO106" s="15"/>
      <c r="AP106" s="15"/>
      <c r="AQ106" s="15"/>
      <c r="AR106" s="15"/>
      <c r="AS106" s="15"/>
      <c r="AT106" s="15"/>
      <c r="AU106" s="15"/>
      <c r="AV106" s="15"/>
      <c r="AW106" s="15"/>
      <c r="AX106" s="15"/>
      <c r="AY106" s="15"/>
      <c r="AZ106" s="15"/>
      <c r="BA106" s="15"/>
      <c r="BB106" s="15"/>
      <c r="BC106" s="15"/>
      <c r="BD106" s="15"/>
      <c r="BE106" s="15"/>
      <c r="BF106" s="15"/>
      <c r="BG106" s="15"/>
      <c r="BH106" s="15"/>
      <c r="BI106" s="15"/>
      <c r="BJ106" s="15"/>
      <c r="BK106" s="15"/>
      <c r="BL106" s="15"/>
      <c r="BM106" s="15"/>
      <c r="BN106" s="15"/>
      <c r="BO106" s="15"/>
      <c r="BP106" s="15"/>
      <c r="BQ106" s="15"/>
      <c r="BR106" s="15"/>
      <c r="BS106" s="15"/>
      <c r="BT106" s="15"/>
      <c r="BU106" s="15"/>
      <c r="BV106" s="15"/>
      <c r="BW106" s="15"/>
      <c r="BX106" s="15"/>
      <c r="BY106" s="15"/>
      <c r="BZ106" s="15"/>
      <c r="CA106" s="15"/>
      <c r="CB106" s="15"/>
      <c r="CC106" s="15"/>
      <c r="CD106" s="15"/>
      <c r="CE106" s="15"/>
      <c r="CF106" s="15"/>
      <c r="CG106" s="15"/>
      <c r="CH106" s="15"/>
      <c r="CI106" s="15"/>
      <c r="CJ106" s="15"/>
      <c r="CK106" s="15"/>
      <c r="CL106" s="15"/>
      <c r="CM106" s="15"/>
      <c r="CN106" s="15"/>
      <c r="CO106" s="15"/>
      <c r="CP106" s="15"/>
      <c r="CQ106" s="15"/>
      <c r="CR106" s="15"/>
      <c r="CS106" s="15"/>
      <c r="CT106" s="15"/>
      <c r="CU106" s="15"/>
      <c r="CV106" s="15"/>
      <c r="CW106" s="15"/>
      <c r="CX106" s="15"/>
      <c r="CY106" s="15"/>
      <c r="CZ106" s="15"/>
      <c r="DA106" s="15"/>
      <c r="DB106" s="15"/>
      <c r="DC106" s="15"/>
      <c r="DD106" s="15"/>
      <c r="DE106" s="15"/>
    </row>
    <row r="107" spans="1:109" x14ac:dyDescent="0.3">
      <c r="A107" s="15"/>
      <c r="B107" s="15"/>
      <c r="C107" s="15"/>
      <c r="D107" s="15"/>
      <c r="E107" s="15"/>
      <c r="F107" s="15"/>
      <c r="G107" s="15"/>
      <c r="H107" s="15"/>
      <c r="I107" s="15"/>
      <c r="J107" s="15"/>
      <c r="K107" s="15"/>
      <c r="L107" s="15"/>
      <c r="M107" s="15"/>
      <c r="N107" s="15"/>
      <c r="O107" s="15"/>
      <c r="P107" s="15"/>
      <c r="Q107" s="15"/>
      <c r="R107" s="15"/>
      <c r="S107" s="15"/>
      <c r="T107" s="15"/>
      <c r="U107" s="15"/>
      <c r="V107" s="15"/>
      <c r="W107" s="15"/>
      <c r="X107" s="15"/>
      <c r="Y107" s="15"/>
      <c r="Z107" s="15"/>
      <c r="AA107" s="15"/>
      <c r="AB107" s="15"/>
      <c r="AC107" s="15"/>
      <c r="AD107" s="15"/>
      <c r="AE107" s="15"/>
      <c r="AF107" s="15"/>
      <c r="AG107" s="15"/>
      <c r="AH107" s="15"/>
      <c r="AI107" s="15"/>
      <c r="AJ107" s="15"/>
      <c r="AK107" s="15"/>
      <c r="AL107" s="15"/>
      <c r="AM107" s="15"/>
      <c r="AN107" s="15"/>
      <c r="AO107" s="15"/>
      <c r="AP107" s="15"/>
      <c r="AQ107" s="15"/>
      <c r="AR107" s="15"/>
      <c r="AS107" s="15"/>
      <c r="AT107" s="15"/>
      <c r="AU107" s="15"/>
      <c r="AV107" s="15"/>
      <c r="AW107" s="15"/>
      <c r="AX107" s="15"/>
      <c r="AY107" s="15"/>
      <c r="AZ107" s="15"/>
      <c r="BA107" s="15"/>
      <c r="BB107" s="15"/>
      <c r="BC107" s="15"/>
      <c r="BD107" s="15"/>
      <c r="BE107" s="15"/>
      <c r="BF107" s="15"/>
      <c r="BG107" s="15"/>
      <c r="BH107" s="15"/>
      <c r="BI107" s="15"/>
      <c r="BJ107" s="15"/>
      <c r="BK107" s="15"/>
      <c r="BL107" s="15"/>
      <c r="BM107" s="15"/>
      <c r="BN107" s="15"/>
      <c r="BO107" s="15"/>
      <c r="BP107" s="15"/>
      <c r="BQ107" s="15"/>
      <c r="BR107" s="15"/>
      <c r="BS107" s="15"/>
      <c r="BT107" s="15"/>
      <c r="BU107" s="15"/>
      <c r="BV107" s="15"/>
      <c r="BW107" s="15"/>
      <c r="BX107" s="15"/>
      <c r="BY107" s="15"/>
      <c r="BZ107" s="15"/>
      <c r="CA107" s="15"/>
      <c r="CB107" s="15"/>
      <c r="CC107" s="15"/>
      <c r="CD107" s="15"/>
      <c r="CE107" s="15"/>
      <c r="CF107" s="15"/>
      <c r="CG107" s="15"/>
      <c r="CH107" s="15"/>
      <c r="CI107" s="15"/>
      <c r="CJ107" s="15"/>
      <c r="CK107" s="15"/>
      <c r="CL107" s="15"/>
      <c r="CM107" s="15"/>
      <c r="CN107" s="15"/>
      <c r="CO107" s="15"/>
      <c r="CP107" s="15"/>
      <c r="CQ107" s="15"/>
      <c r="CR107" s="15"/>
      <c r="CS107" s="15"/>
      <c r="CT107" s="15"/>
      <c r="CU107" s="15"/>
      <c r="CV107" s="15"/>
      <c r="CW107" s="15"/>
      <c r="CX107" s="15"/>
      <c r="CY107" s="15"/>
      <c r="CZ107" s="15"/>
      <c r="DA107" s="15"/>
      <c r="DB107" s="15"/>
      <c r="DC107" s="15"/>
      <c r="DD107" s="15"/>
      <c r="DE107" s="15"/>
    </row>
    <row r="108" spans="1:109" x14ac:dyDescent="0.3">
      <c r="A108" s="15"/>
      <c r="B108" s="15"/>
      <c r="C108" s="15"/>
      <c r="D108" s="15"/>
      <c r="E108" s="15"/>
      <c r="F108" s="15"/>
      <c r="G108" s="15"/>
      <c r="H108" s="15"/>
      <c r="I108" s="15"/>
      <c r="J108" s="15"/>
      <c r="K108" s="15"/>
      <c r="L108" s="15"/>
      <c r="M108" s="15"/>
      <c r="N108" s="15"/>
      <c r="O108" s="15"/>
      <c r="P108" s="15"/>
      <c r="Q108" s="15"/>
      <c r="R108" s="15"/>
      <c r="S108" s="15"/>
      <c r="T108" s="15"/>
      <c r="U108" s="15"/>
      <c r="V108" s="15"/>
      <c r="W108" s="15"/>
      <c r="X108" s="15"/>
      <c r="Y108" s="15"/>
      <c r="Z108" s="15"/>
      <c r="AA108" s="15"/>
      <c r="AB108" s="15"/>
      <c r="AC108" s="15"/>
      <c r="AD108" s="15"/>
      <c r="AE108" s="15"/>
      <c r="AF108" s="15"/>
      <c r="AG108" s="15"/>
      <c r="AH108" s="15"/>
      <c r="AI108" s="15"/>
      <c r="AJ108" s="15"/>
      <c r="AK108" s="15"/>
      <c r="AL108" s="15"/>
      <c r="AM108" s="15"/>
      <c r="AN108" s="15"/>
      <c r="AO108" s="15"/>
      <c r="AP108" s="15"/>
      <c r="AQ108" s="15"/>
      <c r="AR108" s="15"/>
      <c r="AS108" s="15"/>
      <c r="AT108" s="15"/>
      <c r="AU108" s="15"/>
      <c r="AV108" s="15"/>
      <c r="AW108" s="15"/>
      <c r="AX108" s="15"/>
      <c r="AY108" s="15"/>
      <c r="AZ108" s="15"/>
      <c r="BA108" s="15"/>
      <c r="BB108" s="15"/>
      <c r="BC108" s="15"/>
      <c r="BD108" s="15"/>
      <c r="BE108" s="15"/>
      <c r="BF108" s="15"/>
      <c r="BG108" s="15"/>
      <c r="BH108" s="15"/>
      <c r="BI108" s="15"/>
      <c r="BJ108" s="15"/>
      <c r="BK108" s="15"/>
      <c r="BL108" s="15"/>
      <c r="BM108" s="15"/>
      <c r="BN108" s="15"/>
      <c r="BO108" s="15"/>
      <c r="BP108" s="15"/>
      <c r="BQ108" s="15"/>
      <c r="BR108" s="15"/>
      <c r="BS108" s="15"/>
      <c r="BT108" s="15"/>
      <c r="BU108" s="15"/>
      <c r="BV108" s="15"/>
      <c r="BW108" s="15"/>
      <c r="BX108" s="15"/>
      <c r="BY108" s="15"/>
      <c r="BZ108" s="15"/>
      <c r="CA108" s="15"/>
      <c r="CB108" s="15"/>
      <c r="CC108" s="15"/>
      <c r="CD108" s="15"/>
      <c r="CE108" s="15"/>
      <c r="CF108" s="15"/>
      <c r="CG108" s="15"/>
      <c r="CH108" s="15"/>
      <c r="CI108" s="15"/>
      <c r="CJ108" s="15"/>
      <c r="CK108" s="15"/>
      <c r="CL108" s="15"/>
      <c r="CM108" s="15"/>
      <c r="CN108" s="15"/>
      <c r="CO108" s="15"/>
      <c r="CP108" s="15"/>
      <c r="CQ108" s="15"/>
      <c r="CR108" s="15"/>
      <c r="CS108" s="15"/>
      <c r="CT108" s="15"/>
      <c r="CU108" s="15"/>
      <c r="CV108" s="15"/>
      <c r="CW108" s="15"/>
      <c r="CX108" s="15"/>
      <c r="CY108" s="15"/>
      <c r="CZ108" s="15"/>
      <c r="DA108" s="15"/>
      <c r="DB108" s="15"/>
      <c r="DC108" s="15"/>
      <c r="DD108" s="15"/>
      <c r="DE108" s="15"/>
    </row>
    <row r="109" spans="1:109" x14ac:dyDescent="0.3">
      <c r="A109" s="15"/>
      <c r="B109" s="15"/>
      <c r="C109" s="15"/>
      <c r="D109" s="15"/>
      <c r="E109" s="15"/>
      <c r="F109" s="15"/>
      <c r="G109" s="15"/>
      <c r="H109" s="15"/>
      <c r="I109" s="15"/>
      <c r="J109" s="15"/>
      <c r="K109" s="15"/>
      <c r="L109" s="15"/>
      <c r="M109" s="15"/>
      <c r="N109" s="15"/>
      <c r="O109" s="15"/>
      <c r="P109" s="15"/>
      <c r="Q109" s="15"/>
      <c r="R109" s="15"/>
      <c r="S109" s="15"/>
      <c r="T109" s="15"/>
      <c r="U109" s="15"/>
      <c r="V109" s="15"/>
      <c r="W109" s="15"/>
      <c r="X109" s="15"/>
      <c r="Y109" s="15"/>
      <c r="Z109" s="15"/>
      <c r="AA109" s="15"/>
      <c r="AB109" s="15"/>
      <c r="AC109" s="15"/>
      <c r="AD109" s="15"/>
      <c r="AE109" s="15"/>
      <c r="AF109" s="15"/>
      <c r="AG109" s="15"/>
      <c r="AH109" s="15"/>
      <c r="AI109" s="15"/>
      <c r="AJ109" s="15"/>
      <c r="AK109" s="15"/>
      <c r="AL109" s="15"/>
      <c r="AM109" s="15"/>
      <c r="AN109" s="15"/>
      <c r="AO109" s="15"/>
      <c r="AP109" s="15"/>
      <c r="AQ109" s="15"/>
      <c r="AR109" s="15"/>
      <c r="AS109" s="15"/>
      <c r="AT109" s="15"/>
      <c r="AU109" s="15"/>
      <c r="AV109" s="15"/>
      <c r="AW109" s="15"/>
      <c r="AX109" s="15"/>
      <c r="AY109" s="15"/>
      <c r="AZ109" s="15"/>
      <c r="BA109" s="15"/>
      <c r="BB109" s="15"/>
      <c r="BC109" s="15"/>
      <c r="BD109" s="15"/>
      <c r="BE109" s="15"/>
      <c r="BF109" s="15"/>
      <c r="BG109" s="15"/>
      <c r="BH109" s="15"/>
      <c r="BI109" s="15"/>
      <c r="BJ109" s="15"/>
      <c r="BK109" s="15"/>
      <c r="BL109" s="15"/>
      <c r="BM109" s="15"/>
      <c r="BN109" s="15"/>
      <c r="BO109" s="15"/>
      <c r="BP109" s="15"/>
      <c r="BQ109" s="15"/>
      <c r="BR109" s="15"/>
      <c r="BS109" s="15"/>
      <c r="BT109" s="15"/>
      <c r="BU109" s="15"/>
      <c r="BV109" s="15"/>
      <c r="BW109" s="15"/>
      <c r="BX109" s="15"/>
      <c r="BY109" s="15"/>
      <c r="BZ109" s="15"/>
      <c r="CA109" s="15"/>
      <c r="CB109" s="15"/>
      <c r="CC109" s="15"/>
      <c r="CD109" s="15"/>
      <c r="CE109" s="15"/>
      <c r="CF109" s="15"/>
      <c r="CG109" s="15"/>
      <c r="CH109" s="15"/>
      <c r="CI109" s="15"/>
      <c r="CJ109" s="15"/>
      <c r="CK109" s="15"/>
      <c r="CL109" s="15"/>
      <c r="CM109" s="15"/>
      <c r="CN109" s="15"/>
      <c r="CO109" s="15"/>
      <c r="CP109" s="15"/>
      <c r="CQ109" s="15"/>
      <c r="CR109" s="15"/>
      <c r="CS109" s="15"/>
      <c r="CT109" s="15"/>
      <c r="CU109" s="15"/>
      <c r="CV109" s="15"/>
      <c r="CW109" s="15"/>
      <c r="CX109" s="15"/>
      <c r="CY109" s="15"/>
      <c r="CZ109" s="15"/>
      <c r="DA109" s="15"/>
      <c r="DB109" s="15"/>
      <c r="DC109" s="15"/>
      <c r="DD109" s="15"/>
      <c r="DE109" s="15"/>
    </row>
    <row r="110" spans="1:109" x14ac:dyDescent="0.3">
      <c r="A110" s="15"/>
      <c r="B110" s="15"/>
      <c r="C110" s="15"/>
      <c r="D110" s="15"/>
      <c r="E110" s="15"/>
      <c r="F110" s="15"/>
      <c r="G110" s="15"/>
      <c r="H110" s="15"/>
      <c r="I110" s="15"/>
      <c r="J110" s="15"/>
      <c r="K110" s="15"/>
      <c r="L110" s="15"/>
      <c r="M110" s="15"/>
      <c r="N110" s="15"/>
      <c r="O110" s="15"/>
      <c r="P110" s="15"/>
      <c r="Q110" s="15"/>
      <c r="R110" s="15"/>
      <c r="S110" s="15"/>
      <c r="T110" s="15"/>
      <c r="U110" s="15"/>
      <c r="V110" s="15"/>
      <c r="W110" s="15"/>
      <c r="X110" s="15"/>
      <c r="Y110" s="15"/>
      <c r="Z110" s="15"/>
      <c r="AA110" s="15"/>
      <c r="AB110" s="15"/>
      <c r="AC110" s="15"/>
      <c r="AD110" s="15"/>
      <c r="AE110" s="15"/>
      <c r="AF110" s="15"/>
      <c r="AG110" s="15"/>
      <c r="AH110" s="15"/>
      <c r="AI110" s="15"/>
      <c r="AJ110" s="15"/>
      <c r="AK110" s="15"/>
      <c r="AL110" s="15"/>
      <c r="AM110" s="15"/>
      <c r="AN110" s="15"/>
      <c r="AO110" s="15"/>
      <c r="AP110" s="15"/>
      <c r="AQ110" s="15"/>
      <c r="AR110" s="15"/>
      <c r="AS110" s="15"/>
      <c r="AT110" s="15"/>
      <c r="AU110" s="15"/>
      <c r="AV110" s="15"/>
      <c r="AW110" s="15"/>
      <c r="AX110" s="15"/>
      <c r="AY110" s="15"/>
      <c r="AZ110" s="15"/>
      <c r="BA110" s="15"/>
      <c r="BB110" s="15"/>
      <c r="BC110" s="15"/>
      <c r="BD110" s="15"/>
      <c r="BE110" s="15"/>
      <c r="BF110" s="15"/>
      <c r="BG110" s="15"/>
      <c r="BH110" s="15"/>
      <c r="BI110" s="15"/>
      <c r="BJ110" s="15"/>
      <c r="BK110" s="15"/>
      <c r="BL110" s="15"/>
      <c r="BM110" s="15"/>
      <c r="BN110" s="15"/>
      <c r="BO110" s="15"/>
      <c r="BP110" s="15"/>
      <c r="BQ110" s="15"/>
      <c r="BR110" s="15"/>
      <c r="BS110" s="15"/>
      <c r="BT110" s="15"/>
      <c r="BU110" s="15"/>
      <c r="BV110" s="15"/>
      <c r="BW110" s="15"/>
      <c r="BX110" s="15"/>
      <c r="BY110" s="15"/>
      <c r="BZ110" s="15"/>
      <c r="CA110" s="15"/>
      <c r="CB110" s="15"/>
      <c r="CC110" s="15"/>
      <c r="CD110" s="15"/>
      <c r="CE110" s="15"/>
      <c r="CF110" s="15"/>
      <c r="CG110" s="15"/>
      <c r="CH110" s="15"/>
      <c r="CI110" s="15"/>
      <c r="CJ110" s="15"/>
      <c r="CK110" s="15"/>
      <c r="CL110" s="15"/>
      <c r="CM110" s="15"/>
      <c r="CN110" s="15"/>
      <c r="CO110" s="15"/>
      <c r="CP110" s="15"/>
      <c r="CQ110" s="15"/>
      <c r="CR110" s="15"/>
      <c r="CS110" s="15"/>
      <c r="CT110" s="15"/>
      <c r="CU110" s="15"/>
      <c r="CV110" s="15"/>
      <c r="CW110" s="15"/>
      <c r="CX110" s="15"/>
      <c r="CY110" s="15"/>
      <c r="CZ110" s="15"/>
      <c r="DA110" s="15"/>
      <c r="DB110" s="15"/>
      <c r="DC110" s="15"/>
      <c r="DD110" s="15"/>
      <c r="DE110" s="15"/>
    </row>
    <row r="111" spans="1:109" x14ac:dyDescent="0.3">
      <c r="A111" s="15"/>
      <c r="B111" s="15"/>
      <c r="C111" s="15"/>
      <c r="D111" s="15"/>
      <c r="E111" s="15"/>
      <c r="F111" s="15"/>
      <c r="G111" s="15"/>
      <c r="H111" s="15"/>
      <c r="I111" s="15"/>
      <c r="J111" s="15"/>
      <c r="K111" s="15"/>
      <c r="L111" s="15"/>
      <c r="M111" s="15"/>
      <c r="N111" s="15"/>
      <c r="O111" s="15"/>
      <c r="P111" s="15"/>
      <c r="Q111" s="15"/>
      <c r="R111" s="15"/>
      <c r="S111" s="15"/>
      <c r="T111" s="15"/>
      <c r="U111" s="15"/>
      <c r="V111" s="15"/>
      <c r="W111" s="15"/>
      <c r="X111" s="15"/>
      <c r="Y111" s="15"/>
      <c r="Z111" s="15"/>
      <c r="AA111" s="15"/>
      <c r="AB111" s="15"/>
      <c r="AC111" s="15"/>
      <c r="AD111" s="15"/>
      <c r="AE111" s="15"/>
      <c r="AF111" s="15"/>
      <c r="AG111" s="15"/>
      <c r="AH111" s="15"/>
      <c r="AI111" s="15"/>
      <c r="AJ111" s="15"/>
      <c r="AK111" s="15"/>
      <c r="AL111" s="15"/>
      <c r="AM111" s="15"/>
      <c r="AN111" s="15"/>
      <c r="AO111" s="15"/>
      <c r="AP111" s="15"/>
      <c r="AQ111" s="15"/>
      <c r="AR111" s="15"/>
      <c r="AS111" s="15"/>
      <c r="AT111" s="15"/>
      <c r="AU111" s="15"/>
      <c r="AV111" s="15"/>
      <c r="AW111" s="15"/>
      <c r="AX111" s="15"/>
      <c r="AY111" s="15"/>
      <c r="AZ111" s="15"/>
      <c r="BA111" s="15"/>
      <c r="BB111" s="15"/>
      <c r="BC111" s="15"/>
      <c r="BD111" s="15"/>
      <c r="BE111" s="15"/>
      <c r="BF111" s="15"/>
      <c r="BG111" s="15"/>
      <c r="BH111" s="15"/>
      <c r="BI111" s="15"/>
      <c r="BJ111" s="15"/>
      <c r="BK111" s="15"/>
      <c r="BL111" s="15"/>
      <c r="BM111" s="15"/>
      <c r="BN111" s="15"/>
      <c r="BO111" s="15"/>
      <c r="BP111" s="15"/>
      <c r="BQ111" s="15"/>
      <c r="BR111" s="15"/>
      <c r="BS111" s="15"/>
      <c r="BT111" s="15"/>
      <c r="BU111" s="15"/>
      <c r="BV111" s="15"/>
      <c r="BW111" s="15"/>
      <c r="BX111" s="15"/>
      <c r="BY111" s="15"/>
      <c r="BZ111" s="15"/>
      <c r="CA111" s="15"/>
      <c r="CB111" s="15"/>
      <c r="CC111" s="15"/>
      <c r="CD111" s="15"/>
      <c r="CE111" s="15"/>
      <c r="CF111" s="15"/>
      <c r="CG111" s="15"/>
      <c r="CH111" s="15"/>
      <c r="CI111" s="15"/>
      <c r="CJ111" s="15"/>
      <c r="CK111" s="15"/>
      <c r="CL111" s="15"/>
      <c r="CM111" s="15"/>
      <c r="CN111" s="15"/>
      <c r="CO111" s="15"/>
      <c r="CP111" s="15"/>
      <c r="CQ111" s="15"/>
      <c r="CR111" s="15"/>
      <c r="CS111" s="15"/>
      <c r="CT111" s="15"/>
      <c r="CU111" s="15"/>
      <c r="CV111" s="15"/>
      <c r="CW111" s="15"/>
      <c r="CX111" s="15"/>
      <c r="CY111" s="15"/>
      <c r="CZ111" s="15"/>
      <c r="DA111" s="15"/>
      <c r="DB111" s="15"/>
      <c r="DC111" s="15"/>
      <c r="DD111" s="15"/>
      <c r="DE111" s="15"/>
    </row>
    <row r="112" spans="1:109" x14ac:dyDescent="0.3">
      <c r="A112" s="15"/>
      <c r="B112" s="15"/>
      <c r="C112" s="15"/>
      <c r="D112" s="15"/>
      <c r="E112" s="15"/>
      <c r="F112" s="15"/>
      <c r="G112" s="15"/>
      <c r="H112" s="15"/>
      <c r="I112" s="15"/>
      <c r="J112" s="15"/>
      <c r="K112" s="15"/>
      <c r="L112" s="15"/>
      <c r="M112" s="15"/>
      <c r="N112" s="15"/>
      <c r="O112" s="15"/>
      <c r="P112" s="15"/>
      <c r="Q112" s="15"/>
      <c r="R112" s="15"/>
      <c r="S112" s="15"/>
      <c r="T112" s="15"/>
      <c r="U112" s="15"/>
      <c r="V112" s="15"/>
      <c r="W112" s="15"/>
      <c r="X112" s="15"/>
      <c r="Y112" s="15"/>
      <c r="Z112" s="15"/>
      <c r="AA112" s="15"/>
      <c r="AB112" s="15"/>
      <c r="AC112" s="15"/>
      <c r="AD112" s="15"/>
      <c r="AE112" s="15"/>
      <c r="AF112" s="15"/>
      <c r="AG112" s="15"/>
      <c r="AH112" s="15"/>
      <c r="AI112" s="15"/>
      <c r="AJ112" s="15"/>
      <c r="AK112" s="15"/>
      <c r="AL112" s="15"/>
      <c r="AM112" s="15"/>
      <c r="AN112" s="15"/>
      <c r="AO112" s="15"/>
      <c r="AP112" s="15"/>
      <c r="AQ112" s="15"/>
      <c r="AR112" s="15"/>
      <c r="AS112" s="15"/>
      <c r="AT112" s="15"/>
      <c r="AU112" s="15"/>
      <c r="AV112" s="15"/>
      <c r="AW112" s="15"/>
      <c r="AX112" s="15"/>
      <c r="AY112" s="15"/>
      <c r="AZ112" s="15"/>
      <c r="BA112" s="15"/>
      <c r="BB112" s="15"/>
      <c r="BC112" s="15"/>
      <c r="BD112" s="15"/>
      <c r="BE112" s="15"/>
      <c r="BF112" s="15"/>
      <c r="BG112" s="15"/>
      <c r="BH112" s="15"/>
      <c r="BI112" s="15"/>
      <c r="BJ112" s="15"/>
      <c r="BK112" s="15"/>
      <c r="BL112" s="15"/>
      <c r="BM112" s="15"/>
      <c r="BN112" s="15"/>
      <c r="BO112" s="15"/>
      <c r="BP112" s="15"/>
      <c r="BQ112" s="15"/>
      <c r="BR112" s="15"/>
      <c r="BS112" s="15"/>
      <c r="BT112" s="15"/>
      <c r="BU112" s="15"/>
      <c r="BV112" s="15"/>
      <c r="BW112" s="15"/>
      <c r="BX112" s="15"/>
      <c r="BY112" s="15"/>
      <c r="BZ112" s="15"/>
      <c r="CA112" s="15"/>
      <c r="CB112" s="15"/>
      <c r="CC112" s="15"/>
      <c r="CD112" s="15"/>
      <c r="CE112" s="15"/>
      <c r="CF112" s="15"/>
      <c r="CG112" s="15"/>
      <c r="CH112" s="15"/>
      <c r="CI112" s="15"/>
      <c r="CJ112" s="15"/>
      <c r="CK112" s="15"/>
      <c r="CL112" s="15"/>
      <c r="CM112" s="15"/>
      <c r="CN112" s="15"/>
      <c r="CO112" s="15"/>
      <c r="CP112" s="15"/>
      <c r="CQ112" s="15"/>
      <c r="CR112" s="15"/>
      <c r="CS112" s="15"/>
      <c r="CT112" s="15"/>
      <c r="CU112" s="15"/>
      <c r="CV112" s="15"/>
      <c r="CW112" s="15"/>
      <c r="CX112" s="15"/>
      <c r="CY112" s="15"/>
      <c r="CZ112" s="15"/>
      <c r="DA112" s="15"/>
      <c r="DB112" s="15"/>
      <c r="DC112" s="15"/>
      <c r="DD112" s="15"/>
      <c r="DE112" s="15"/>
    </row>
    <row r="113" spans="1:109" x14ac:dyDescent="0.3">
      <c r="A113" s="15"/>
      <c r="B113" s="15"/>
      <c r="C113" s="15"/>
      <c r="D113" s="15"/>
      <c r="E113" s="15"/>
      <c r="F113" s="15"/>
      <c r="G113" s="15"/>
      <c r="H113" s="15"/>
      <c r="I113" s="15"/>
      <c r="J113" s="15"/>
      <c r="K113" s="15"/>
      <c r="L113" s="15"/>
      <c r="M113" s="15"/>
      <c r="N113" s="15"/>
      <c r="O113" s="15"/>
      <c r="P113" s="15"/>
      <c r="Q113" s="15"/>
      <c r="R113" s="15"/>
      <c r="S113" s="15"/>
      <c r="T113" s="15"/>
      <c r="U113" s="15"/>
      <c r="V113" s="15"/>
      <c r="W113" s="15"/>
      <c r="X113" s="15"/>
      <c r="Y113" s="15"/>
      <c r="Z113" s="15"/>
      <c r="AA113" s="15"/>
      <c r="AB113" s="15"/>
      <c r="AC113" s="15"/>
      <c r="AD113" s="15"/>
      <c r="AE113" s="15"/>
      <c r="AF113" s="15"/>
      <c r="AG113" s="15"/>
      <c r="AH113" s="15"/>
      <c r="AI113" s="15"/>
      <c r="AJ113" s="15"/>
      <c r="AK113" s="15"/>
      <c r="AL113" s="15"/>
      <c r="AM113" s="15"/>
      <c r="AN113" s="15"/>
      <c r="AO113" s="15"/>
      <c r="AP113" s="15"/>
      <c r="AQ113" s="15"/>
      <c r="AR113" s="15"/>
      <c r="AS113" s="15"/>
      <c r="AT113" s="15"/>
      <c r="AU113" s="15"/>
      <c r="AV113" s="15"/>
      <c r="AW113" s="15"/>
      <c r="AX113" s="15"/>
      <c r="AY113" s="15"/>
      <c r="AZ113" s="15"/>
      <c r="BA113" s="15"/>
      <c r="BB113" s="15"/>
      <c r="BC113" s="15"/>
      <c r="BD113" s="15"/>
      <c r="BE113" s="15"/>
      <c r="BF113" s="15"/>
      <c r="BG113" s="15"/>
      <c r="BH113" s="15"/>
      <c r="BI113" s="15"/>
      <c r="BJ113" s="15"/>
      <c r="BK113" s="15"/>
      <c r="BL113" s="15"/>
      <c r="BM113" s="15"/>
      <c r="BN113" s="15"/>
      <c r="BO113" s="15"/>
      <c r="BP113" s="15"/>
      <c r="BQ113" s="15"/>
      <c r="BR113" s="15"/>
      <c r="BS113" s="15"/>
      <c r="BT113" s="15"/>
      <c r="BU113" s="15"/>
      <c r="BV113" s="15"/>
      <c r="BW113" s="15"/>
      <c r="BX113" s="15"/>
      <c r="BY113" s="15"/>
      <c r="BZ113" s="15"/>
      <c r="CA113" s="15"/>
      <c r="CB113" s="15"/>
      <c r="CC113" s="15"/>
      <c r="CD113" s="15"/>
      <c r="CE113" s="15"/>
      <c r="CF113" s="15"/>
      <c r="CG113" s="15"/>
      <c r="CH113" s="15"/>
      <c r="CI113" s="15"/>
      <c r="CJ113" s="15"/>
      <c r="CK113" s="15"/>
      <c r="CL113" s="15"/>
      <c r="CM113" s="15"/>
      <c r="CN113" s="15"/>
      <c r="CO113" s="15"/>
      <c r="CP113" s="15"/>
      <c r="CQ113" s="15"/>
      <c r="CR113" s="15"/>
      <c r="CS113" s="15"/>
      <c r="CT113" s="15"/>
      <c r="CU113" s="15"/>
      <c r="CV113" s="15"/>
      <c r="CW113" s="15"/>
      <c r="CX113" s="15"/>
      <c r="CY113" s="15"/>
      <c r="CZ113" s="15"/>
      <c r="DA113" s="15"/>
      <c r="DB113" s="15"/>
      <c r="DC113" s="15"/>
      <c r="DD113" s="15"/>
      <c r="DE113" s="15"/>
    </row>
    <row r="114" spans="1:109" x14ac:dyDescent="0.3">
      <c r="A114" s="15"/>
      <c r="B114" s="15"/>
      <c r="C114" s="15"/>
      <c r="D114" s="15"/>
      <c r="E114" s="15"/>
      <c r="F114" s="15"/>
      <c r="G114" s="15"/>
      <c r="H114" s="15"/>
      <c r="I114" s="15"/>
      <c r="J114" s="15"/>
      <c r="K114" s="15"/>
      <c r="L114" s="15"/>
      <c r="M114" s="15"/>
      <c r="N114" s="15"/>
      <c r="O114" s="15"/>
      <c r="P114" s="15"/>
      <c r="Q114" s="15"/>
      <c r="R114" s="15"/>
      <c r="S114" s="15"/>
      <c r="T114" s="15"/>
      <c r="U114" s="15"/>
      <c r="V114" s="15"/>
      <c r="W114" s="15"/>
      <c r="X114" s="15"/>
      <c r="Y114" s="15"/>
      <c r="Z114" s="15"/>
      <c r="AA114" s="15"/>
      <c r="AB114" s="15"/>
      <c r="AC114" s="15"/>
      <c r="AD114" s="15"/>
      <c r="AE114" s="15"/>
      <c r="AF114" s="15"/>
      <c r="AG114" s="15"/>
      <c r="AH114" s="15"/>
      <c r="AI114" s="15"/>
      <c r="AJ114" s="15"/>
      <c r="AK114" s="15"/>
      <c r="AL114" s="15"/>
      <c r="AM114" s="15"/>
      <c r="AN114" s="15"/>
      <c r="AO114" s="15"/>
      <c r="AP114" s="15"/>
      <c r="AQ114" s="15"/>
      <c r="AR114" s="15"/>
      <c r="AS114" s="15"/>
      <c r="AT114" s="15"/>
      <c r="AU114" s="15"/>
      <c r="AV114" s="15"/>
      <c r="AW114" s="15"/>
      <c r="AX114" s="15"/>
      <c r="AY114" s="15"/>
      <c r="AZ114" s="15"/>
      <c r="BA114" s="15"/>
      <c r="BB114" s="15"/>
      <c r="BC114" s="15"/>
      <c r="BD114" s="15"/>
      <c r="BE114" s="15"/>
      <c r="BF114" s="15"/>
      <c r="BG114" s="15"/>
      <c r="BH114" s="15"/>
      <c r="BI114" s="15"/>
      <c r="BJ114" s="15"/>
      <c r="BK114" s="15"/>
      <c r="BL114" s="15"/>
      <c r="BM114" s="15"/>
      <c r="BN114" s="15"/>
      <c r="BO114" s="15"/>
      <c r="BP114" s="15"/>
      <c r="BQ114" s="15"/>
      <c r="BR114" s="15"/>
      <c r="BS114" s="15"/>
      <c r="BT114" s="15"/>
      <c r="BU114" s="15"/>
      <c r="BV114" s="15"/>
      <c r="BW114" s="15"/>
      <c r="BX114" s="15"/>
      <c r="BY114" s="15"/>
      <c r="BZ114" s="15"/>
      <c r="CA114" s="15"/>
      <c r="CB114" s="15"/>
      <c r="CC114" s="15"/>
      <c r="CD114" s="15"/>
      <c r="CE114" s="15"/>
      <c r="CF114" s="15"/>
      <c r="CG114" s="15"/>
      <c r="CH114" s="15"/>
      <c r="CI114" s="15"/>
      <c r="CJ114" s="15"/>
      <c r="CK114" s="15"/>
      <c r="CL114" s="15"/>
      <c r="CM114" s="15"/>
      <c r="CN114" s="15"/>
      <c r="CO114" s="15"/>
      <c r="CP114" s="15"/>
      <c r="CQ114" s="15"/>
      <c r="CR114" s="15"/>
      <c r="CS114" s="15"/>
      <c r="CT114" s="15"/>
      <c r="CU114" s="15"/>
      <c r="CV114" s="15"/>
      <c r="CW114" s="15"/>
      <c r="CX114" s="15"/>
      <c r="CY114" s="15"/>
      <c r="CZ114" s="15"/>
      <c r="DA114" s="15"/>
      <c r="DB114" s="15"/>
      <c r="DC114" s="15"/>
      <c r="DD114" s="15"/>
      <c r="DE114" s="15"/>
    </row>
    <row r="115" spans="1:109" x14ac:dyDescent="0.3">
      <c r="A115" s="15"/>
      <c r="B115" s="15"/>
      <c r="C115" s="15"/>
      <c r="D115" s="15"/>
      <c r="E115" s="15"/>
      <c r="F115" s="15"/>
      <c r="G115" s="15"/>
      <c r="H115" s="15"/>
      <c r="I115" s="15"/>
      <c r="J115" s="15"/>
      <c r="K115" s="15"/>
      <c r="L115" s="15"/>
      <c r="M115" s="15"/>
      <c r="N115" s="15"/>
      <c r="O115" s="15"/>
      <c r="P115" s="15"/>
      <c r="Q115" s="15"/>
      <c r="R115" s="15"/>
      <c r="S115" s="15"/>
      <c r="T115" s="15"/>
      <c r="U115" s="15"/>
      <c r="V115" s="15"/>
      <c r="W115" s="15"/>
      <c r="X115" s="15"/>
      <c r="Y115" s="15"/>
      <c r="Z115" s="15"/>
      <c r="AA115" s="15"/>
      <c r="AB115" s="15"/>
      <c r="AC115" s="15"/>
      <c r="AD115" s="15"/>
      <c r="AE115" s="15"/>
      <c r="AF115" s="15"/>
      <c r="AG115" s="15"/>
      <c r="AH115" s="15"/>
      <c r="AI115" s="15"/>
      <c r="AJ115" s="15"/>
      <c r="AK115" s="15"/>
      <c r="AL115" s="15"/>
      <c r="AM115" s="15"/>
      <c r="AN115" s="15"/>
      <c r="AO115" s="15"/>
      <c r="AP115" s="15"/>
      <c r="AQ115" s="15"/>
      <c r="AR115" s="15"/>
      <c r="AS115" s="15"/>
      <c r="AT115" s="15"/>
      <c r="AU115" s="15"/>
      <c r="AV115" s="15"/>
      <c r="AW115" s="15"/>
      <c r="AX115" s="15"/>
      <c r="AY115" s="15"/>
      <c r="AZ115" s="15"/>
      <c r="BA115" s="15"/>
      <c r="BB115" s="15"/>
      <c r="BC115" s="15"/>
      <c r="BD115" s="15"/>
      <c r="BE115" s="15"/>
      <c r="BF115" s="15"/>
      <c r="BG115" s="15"/>
      <c r="BH115" s="15"/>
      <c r="BI115" s="15"/>
      <c r="BJ115" s="15"/>
      <c r="BK115" s="15"/>
      <c r="BL115" s="15"/>
      <c r="BM115" s="15"/>
      <c r="BN115" s="15"/>
      <c r="BO115" s="15"/>
      <c r="BP115" s="15"/>
      <c r="BQ115" s="15"/>
      <c r="BR115" s="15"/>
      <c r="BS115" s="15"/>
      <c r="BT115" s="15"/>
      <c r="BU115" s="15"/>
      <c r="BV115" s="15"/>
      <c r="BW115" s="15"/>
      <c r="BX115" s="15"/>
      <c r="BY115" s="15"/>
      <c r="BZ115" s="15"/>
      <c r="CA115" s="15"/>
      <c r="CB115" s="15"/>
      <c r="CC115" s="15"/>
      <c r="CD115" s="15"/>
      <c r="CE115" s="15"/>
      <c r="CF115" s="15"/>
      <c r="CG115" s="15"/>
      <c r="CH115" s="15"/>
      <c r="CI115" s="15"/>
      <c r="CJ115" s="15"/>
      <c r="CK115" s="15"/>
      <c r="CL115" s="15"/>
      <c r="CM115" s="15"/>
      <c r="CN115" s="15"/>
      <c r="CO115" s="15"/>
      <c r="CP115" s="15"/>
      <c r="CQ115" s="15"/>
      <c r="CR115" s="15"/>
      <c r="CS115" s="15"/>
      <c r="CT115" s="15"/>
      <c r="CU115" s="15"/>
      <c r="CV115" s="15"/>
      <c r="CW115" s="15"/>
      <c r="CX115" s="15"/>
      <c r="CY115" s="15"/>
      <c r="CZ115" s="15"/>
      <c r="DA115" s="15"/>
      <c r="DB115" s="15"/>
      <c r="DC115" s="15"/>
      <c r="DD115" s="15"/>
      <c r="DE115" s="15"/>
    </row>
    <row r="116" spans="1:109" x14ac:dyDescent="0.3">
      <c r="A116" s="15"/>
      <c r="B116" s="15"/>
      <c r="C116" s="15"/>
      <c r="D116" s="15"/>
      <c r="E116" s="15"/>
      <c r="F116" s="15"/>
      <c r="G116" s="15"/>
      <c r="H116" s="15"/>
      <c r="I116" s="15"/>
      <c r="J116" s="15"/>
      <c r="K116" s="15"/>
      <c r="L116" s="15"/>
      <c r="M116" s="15"/>
      <c r="N116" s="15"/>
      <c r="O116" s="15"/>
      <c r="P116" s="15"/>
      <c r="Q116" s="15"/>
      <c r="R116" s="15"/>
      <c r="S116" s="15"/>
      <c r="T116" s="15"/>
      <c r="U116" s="15"/>
      <c r="V116" s="15"/>
      <c r="W116" s="15"/>
      <c r="X116" s="15"/>
      <c r="Y116" s="15"/>
      <c r="Z116" s="15"/>
      <c r="AA116" s="15"/>
      <c r="AB116" s="15"/>
      <c r="AC116" s="15"/>
      <c r="AD116" s="15"/>
      <c r="AE116" s="15"/>
      <c r="AF116" s="15"/>
      <c r="AG116" s="15"/>
      <c r="AH116" s="15"/>
      <c r="AI116" s="15"/>
      <c r="AJ116" s="15"/>
      <c r="AK116" s="15"/>
      <c r="AL116" s="15"/>
      <c r="AM116" s="15"/>
      <c r="AN116" s="15"/>
      <c r="AO116" s="15"/>
      <c r="AP116" s="15"/>
      <c r="AQ116" s="15"/>
      <c r="AR116" s="15"/>
      <c r="AS116" s="15"/>
      <c r="AT116" s="15"/>
      <c r="AU116" s="15"/>
      <c r="AV116" s="15"/>
      <c r="AW116" s="15"/>
      <c r="AX116" s="15"/>
      <c r="AY116" s="15"/>
      <c r="AZ116" s="15"/>
      <c r="BA116" s="15"/>
      <c r="BB116" s="15"/>
      <c r="BC116" s="15"/>
      <c r="BD116" s="15"/>
      <c r="BE116" s="15"/>
      <c r="BF116" s="15"/>
      <c r="BG116" s="15"/>
      <c r="BH116" s="15"/>
      <c r="BI116" s="15"/>
      <c r="BJ116" s="15"/>
      <c r="BK116" s="15"/>
      <c r="BL116" s="15"/>
      <c r="BM116" s="15"/>
      <c r="BN116" s="15"/>
      <c r="BO116" s="15"/>
      <c r="BP116" s="15"/>
      <c r="BQ116" s="15"/>
      <c r="BR116" s="15"/>
      <c r="BS116" s="15"/>
      <c r="BT116" s="15"/>
      <c r="BU116" s="15"/>
      <c r="BV116" s="15"/>
      <c r="BW116" s="15"/>
      <c r="BX116" s="15"/>
      <c r="BY116" s="15"/>
      <c r="BZ116" s="15"/>
      <c r="CA116" s="15"/>
      <c r="CB116" s="15"/>
      <c r="CC116" s="15"/>
      <c r="CD116" s="15"/>
      <c r="CE116" s="15"/>
      <c r="CF116" s="15"/>
      <c r="CG116" s="15"/>
      <c r="CH116" s="15"/>
      <c r="CI116" s="15"/>
      <c r="CJ116" s="15"/>
      <c r="CK116" s="15"/>
      <c r="CL116" s="15"/>
      <c r="CM116" s="15"/>
      <c r="CN116" s="15"/>
      <c r="CO116" s="15"/>
      <c r="CP116" s="15"/>
      <c r="CQ116" s="15"/>
      <c r="CR116" s="15"/>
      <c r="CS116" s="15"/>
      <c r="CT116" s="15"/>
      <c r="CU116" s="15"/>
      <c r="CV116" s="15"/>
      <c r="CW116" s="15"/>
      <c r="CX116" s="15"/>
      <c r="CY116" s="15"/>
      <c r="CZ116" s="15"/>
      <c r="DA116" s="15"/>
      <c r="DB116" s="15"/>
      <c r="DC116" s="15"/>
      <c r="DD116" s="15"/>
      <c r="DE116" s="15"/>
    </row>
    <row r="117" spans="1:109" x14ac:dyDescent="0.3">
      <c r="A117" s="15"/>
      <c r="B117" s="15"/>
      <c r="C117" s="15"/>
      <c r="D117" s="15"/>
      <c r="E117" s="15"/>
      <c r="F117" s="15"/>
      <c r="G117" s="15"/>
      <c r="H117" s="15"/>
      <c r="I117" s="15"/>
      <c r="J117" s="15"/>
      <c r="K117" s="15"/>
      <c r="L117" s="15"/>
      <c r="M117" s="15"/>
      <c r="N117" s="15"/>
      <c r="O117" s="15"/>
      <c r="P117" s="15"/>
      <c r="Q117" s="15"/>
      <c r="R117" s="15"/>
      <c r="S117" s="15"/>
      <c r="T117" s="15"/>
      <c r="U117" s="15"/>
      <c r="V117" s="15"/>
      <c r="W117" s="15"/>
      <c r="X117" s="15"/>
      <c r="Y117" s="15"/>
      <c r="Z117" s="15"/>
      <c r="AA117" s="15"/>
      <c r="AB117" s="15"/>
      <c r="AC117" s="15"/>
      <c r="AD117" s="15"/>
      <c r="AE117" s="15"/>
      <c r="AF117" s="15"/>
      <c r="AG117" s="15"/>
      <c r="AH117" s="15"/>
      <c r="AI117" s="15"/>
      <c r="AJ117" s="15"/>
      <c r="AK117" s="15"/>
      <c r="AL117" s="15"/>
      <c r="AM117" s="15"/>
      <c r="AN117" s="15"/>
      <c r="AO117" s="15"/>
      <c r="AP117" s="15"/>
      <c r="AQ117" s="15"/>
      <c r="AR117" s="15"/>
      <c r="AS117" s="15"/>
      <c r="AT117" s="15"/>
      <c r="AU117" s="15"/>
      <c r="AV117" s="15"/>
      <c r="AW117" s="15"/>
      <c r="AX117" s="15"/>
      <c r="AY117" s="15"/>
      <c r="AZ117" s="15"/>
      <c r="BA117" s="15"/>
      <c r="BB117" s="15"/>
      <c r="BC117" s="15"/>
      <c r="BD117" s="15"/>
      <c r="BE117" s="15"/>
      <c r="BF117" s="15"/>
      <c r="BG117" s="15"/>
      <c r="BH117" s="15"/>
      <c r="BI117" s="15"/>
      <c r="BJ117" s="15"/>
      <c r="BK117" s="15"/>
      <c r="BL117" s="15"/>
      <c r="BM117" s="15"/>
      <c r="BN117" s="15"/>
      <c r="BO117" s="15"/>
      <c r="BP117" s="15"/>
      <c r="BQ117" s="15"/>
      <c r="BR117" s="15"/>
      <c r="BS117" s="15"/>
      <c r="BT117" s="15"/>
      <c r="BU117" s="15"/>
      <c r="BV117" s="15"/>
      <c r="BW117" s="15"/>
      <c r="BX117" s="15"/>
      <c r="BY117" s="15"/>
      <c r="BZ117" s="15"/>
      <c r="CA117" s="15"/>
      <c r="CB117" s="15"/>
      <c r="CC117" s="15"/>
      <c r="CD117" s="15"/>
      <c r="CE117" s="15"/>
      <c r="CF117" s="15"/>
      <c r="CG117" s="15"/>
      <c r="CH117" s="15"/>
      <c r="CI117" s="15"/>
      <c r="CJ117" s="15"/>
      <c r="CK117" s="15"/>
      <c r="CL117" s="15"/>
      <c r="CM117" s="15"/>
      <c r="CN117" s="15"/>
      <c r="CO117" s="15"/>
      <c r="CP117" s="15"/>
      <c r="CQ117" s="15"/>
      <c r="CR117" s="15"/>
      <c r="CS117" s="15"/>
      <c r="CT117" s="15"/>
      <c r="CU117" s="15"/>
      <c r="CV117" s="15"/>
      <c r="CW117" s="15"/>
      <c r="CX117" s="15"/>
      <c r="CY117" s="15"/>
      <c r="CZ117" s="15"/>
      <c r="DA117" s="15"/>
      <c r="DB117" s="15"/>
      <c r="DC117" s="15"/>
      <c r="DD117" s="15"/>
      <c r="DE117" s="15"/>
    </row>
    <row r="118" spans="1:109" x14ac:dyDescent="0.3">
      <c r="A118" s="15"/>
      <c r="B118" s="15"/>
      <c r="C118" s="15"/>
      <c r="D118" s="15"/>
      <c r="E118" s="15"/>
      <c r="F118" s="15"/>
      <c r="G118" s="15"/>
      <c r="H118" s="15"/>
      <c r="I118" s="15"/>
      <c r="J118" s="15"/>
      <c r="K118" s="15"/>
      <c r="L118" s="15"/>
      <c r="M118" s="15"/>
      <c r="N118" s="15"/>
      <c r="O118" s="15"/>
      <c r="P118" s="15"/>
      <c r="Q118" s="15"/>
      <c r="R118" s="15"/>
      <c r="S118" s="15"/>
      <c r="T118" s="15"/>
      <c r="U118" s="15"/>
      <c r="V118" s="15"/>
      <c r="W118" s="15"/>
      <c r="X118" s="15"/>
      <c r="Y118" s="15"/>
      <c r="Z118" s="15"/>
      <c r="AA118" s="15"/>
      <c r="AB118" s="15"/>
      <c r="AC118" s="15"/>
      <c r="AD118" s="15"/>
      <c r="AE118" s="15"/>
      <c r="AF118" s="15"/>
      <c r="AG118" s="15"/>
      <c r="AH118" s="15"/>
      <c r="AI118" s="15"/>
      <c r="AJ118" s="15"/>
      <c r="AK118" s="15"/>
      <c r="AL118" s="15"/>
      <c r="AM118" s="15"/>
      <c r="AN118" s="15"/>
      <c r="AO118" s="15"/>
      <c r="AP118" s="15"/>
      <c r="AQ118" s="15"/>
      <c r="AR118" s="15"/>
      <c r="AS118" s="15"/>
      <c r="AT118" s="15"/>
      <c r="AU118" s="15"/>
      <c r="AV118" s="15"/>
      <c r="AW118" s="15"/>
      <c r="AX118" s="15"/>
      <c r="AY118" s="15"/>
      <c r="AZ118" s="15"/>
      <c r="BA118" s="15"/>
      <c r="BB118" s="15"/>
      <c r="BC118" s="15"/>
      <c r="BD118" s="15"/>
      <c r="BE118" s="15"/>
      <c r="BF118" s="15"/>
      <c r="BG118" s="15"/>
      <c r="BH118" s="15"/>
      <c r="BI118" s="15"/>
      <c r="BJ118" s="15"/>
      <c r="BK118" s="15"/>
      <c r="BL118" s="15"/>
      <c r="BM118" s="15"/>
      <c r="BN118" s="15"/>
      <c r="BO118" s="15"/>
      <c r="BP118" s="15"/>
      <c r="BQ118" s="15"/>
      <c r="BR118" s="15"/>
      <c r="BS118" s="15"/>
      <c r="BT118" s="15"/>
      <c r="BU118" s="15"/>
      <c r="BV118" s="15"/>
      <c r="BW118" s="15"/>
      <c r="BX118" s="15"/>
      <c r="BY118" s="15"/>
      <c r="BZ118" s="15"/>
      <c r="CA118" s="15"/>
      <c r="CB118" s="15"/>
      <c r="CC118" s="15"/>
      <c r="CD118" s="15"/>
      <c r="CE118" s="15"/>
      <c r="CF118" s="15"/>
      <c r="CG118" s="15"/>
      <c r="CH118" s="15"/>
      <c r="CI118" s="15"/>
      <c r="CJ118" s="15"/>
      <c r="CK118" s="15"/>
      <c r="CL118" s="15"/>
      <c r="CM118" s="15"/>
      <c r="CN118" s="15"/>
      <c r="CO118" s="15"/>
      <c r="CP118" s="15"/>
      <c r="CQ118" s="15"/>
      <c r="CR118" s="15"/>
      <c r="CS118" s="15"/>
      <c r="CT118" s="15"/>
      <c r="CU118" s="15"/>
      <c r="CV118" s="15"/>
      <c r="CW118" s="15"/>
      <c r="CX118" s="15"/>
      <c r="CY118" s="15"/>
      <c r="CZ118" s="15"/>
      <c r="DA118" s="15"/>
      <c r="DB118" s="15"/>
      <c r="DC118" s="15"/>
      <c r="DD118" s="15"/>
      <c r="DE118" s="15"/>
    </row>
    <row r="119" spans="1:109" x14ac:dyDescent="0.3">
      <c r="A119" s="15"/>
      <c r="B119" s="15"/>
      <c r="C119" s="15"/>
      <c r="D119" s="15"/>
      <c r="E119" s="15"/>
      <c r="F119" s="15"/>
      <c r="G119" s="15"/>
      <c r="H119" s="15"/>
      <c r="I119" s="15"/>
      <c r="J119" s="15"/>
      <c r="K119" s="15"/>
      <c r="L119" s="15"/>
      <c r="M119" s="15"/>
      <c r="N119" s="15"/>
      <c r="O119" s="15"/>
      <c r="P119" s="15"/>
      <c r="Q119" s="15"/>
      <c r="R119" s="15"/>
      <c r="S119" s="15"/>
      <c r="T119" s="15"/>
      <c r="U119" s="15"/>
      <c r="V119" s="15"/>
      <c r="W119" s="15"/>
      <c r="X119" s="15"/>
      <c r="Y119" s="15"/>
      <c r="Z119" s="15"/>
      <c r="AA119" s="15"/>
      <c r="AB119" s="15"/>
      <c r="AC119" s="15"/>
      <c r="AD119" s="15"/>
      <c r="AE119" s="15"/>
      <c r="AF119" s="15"/>
      <c r="AG119" s="15"/>
      <c r="AH119" s="15"/>
      <c r="AI119" s="15"/>
      <c r="AJ119" s="15"/>
      <c r="AK119" s="15"/>
      <c r="AL119" s="15"/>
      <c r="AM119" s="15"/>
      <c r="AN119" s="15"/>
      <c r="AO119" s="15"/>
      <c r="AP119" s="15"/>
      <c r="AQ119" s="15"/>
      <c r="AR119" s="15"/>
      <c r="AS119" s="15"/>
      <c r="AT119" s="15"/>
      <c r="AU119" s="15"/>
      <c r="AV119" s="15"/>
      <c r="AW119" s="15"/>
      <c r="AX119" s="15"/>
      <c r="AY119" s="15"/>
      <c r="AZ119" s="15"/>
      <c r="BA119" s="15"/>
      <c r="BB119" s="15"/>
      <c r="BC119" s="15"/>
      <c r="BD119" s="15"/>
      <c r="BE119" s="15"/>
      <c r="BF119" s="15"/>
      <c r="BG119" s="15"/>
      <c r="BH119" s="15"/>
      <c r="BI119" s="15"/>
      <c r="BJ119" s="15"/>
      <c r="BK119" s="15"/>
      <c r="BL119" s="15"/>
      <c r="BM119" s="15"/>
      <c r="BN119" s="15"/>
      <c r="BO119" s="15"/>
      <c r="BP119" s="15"/>
      <c r="BQ119" s="15"/>
      <c r="BR119" s="15"/>
      <c r="BS119" s="15"/>
      <c r="BT119" s="15"/>
      <c r="BU119" s="15"/>
      <c r="BV119" s="15"/>
      <c r="BW119" s="15"/>
      <c r="BX119" s="15"/>
      <c r="BY119" s="15"/>
      <c r="BZ119" s="15"/>
      <c r="CA119" s="15"/>
      <c r="CB119" s="15"/>
      <c r="CC119" s="15"/>
      <c r="CD119" s="15"/>
      <c r="CE119" s="15"/>
      <c r="CF119" s="15"/>
      <c r="CG119" s="15"/>
      <c r="CH119" s="15"/>
      <c r="CI119" s="15"/>
      <c r="CJ119" s="15"/>
      <c r="CK119" s="15"/>
      <c r="CL119" s="15"/>
      <c r="CM119" s="15"/>
      <c r="CN119" s="15"/>
      <c r="CO119" s="15"/>
      <c r="CP119" s="15"/>
      <c r="CQ119" s="15"/>
      <c r="CR119" s="15"/>
      <c r="CS119" s="15"/>
      <c r="CT119" s="15"/>
      <c r="CU119" s="15"/>
      <c r="CV119" s="15"/>
      <c r="CW119" s="15"/>
      <c r="CX119" s="15"/>
      <c r="CY119" s="15"/>
      <c r="CZ119" s="15"/>
      <c r="DA119" s="15"/>
      <c r="DB119" s="15"/>
      <c r="DC119" s="15"/>
      <c r="DD119" s="15"/>
      <c r="DE119" s="15"/>
    </row>
    <row r="120" spans="1:109" x14ac:dyDescent="0.3">
      <c r="A120" s="15"/>
      <c r="B120" s="15"/>
      <c r="C120" s="15"/>
      <c r="D120" s="15"/>
      <c r="E120" s="15"/>
      <c r="F120" s="15"/>
      <c r="G120" s="15"/>
      <c r="H120" s="15"/>
      <c r="I120" s="15"/>
      <c r="J120" s="15"/>
      <c r="K120" s="15"/>
      <c r="L120" s="15"/>
      <c r="M120" s="15"/>
      <c r="N120" s="15"/>
      <c r="O120" s="15"/>
      <c r="P120" s="15"/>
      <c r="Q120" s="15"/>
      <c r="R120" s="15"/>
      <c r="S120" s="15"/>
      <c r="T120" s="15"/>
      <c r="U120" s="15"/>
      <c r="V120" s="15"/>
      <c r="W120" s="15"/>
      <c r="X120" s="15"/>
      <c r="Y120" s="15"/>
      <c r="Z120" s="15"/>
      <c r="AA120" s="15"/>
      <c r="AB120" s="15"/>
      <c r="AC120" s="15"/>
      <c r="AD120" s="15"/>
      <c r="AE120" s="15"/>
      <c r="AF120" s="15"/>
      <c r="AG120" s="15"/>
      <c r="AH120" s="15"/>
      <c r="AI120" s="15"/>
      <c r="AJ120" s="15"/>
      <c r="AK120" s="15"/>
      <c r="AL120" s="15"/>
      <c r="AM120" s="15"/>
      <c r="AN120" s="15"/>
      <c r="AO120" s="15"/>
      <c r="AP120" s="15"/>
      <c r="AQ120" s="15"/>
      <c r="AR120" s="15"/>
      <c r="AS120" s="15"/>
      <c r="AT120" s="15"/>
      <c r="AU120" s="15"/>
      <c r="AV120" s="15"/>
      <c r="AW120" s="15"/>
      <c r="AX120" s="15"/>
      <c r="AY120" s="15"/>
      <c r="AZ120" s="15"/>
      <c r="BA120" s="15"/>
      <c r="BB120" s="15"/>
      <c r="BC120" s="15"/>
      <c r="BD120" s="15"/>
      <c r="BE120" s="15"/>
      <c r="BF120" s="15"/>
      <c r="BG120" s="15"/>
      <c r="BH120" s="15"/>
      <c r="BI120" s="15"/>
      <c r="BJ120" s="15"/>
      <c r="BK120" s="15"/>
      <c r="BL120" s="15"/>
      <c r="BM120" s="15"/>
      <c r="BN120" s="15"/>
      <c r="BO120" s="15"/>
      <c r="BP120" s="15"/>
      <c r="BQ120" s="15"/>
      <c r="BR120" s="15"/>
      <c r="BS120" s="15"/>
      <c r="BT120" s="15"/>
      <c r="BU120" s="15"/>
      <c r="BV120" s="15"/>
      <c r="BW120" s="15"/>
      <c r="BX120" s="15"/>
      <c r="BY120" s="15"/>
      <c r="BZ120" s="15"/>
      <c r="CA120" s="15"/>
      <c r="CB120" s="15"/>
      <c r="CC120" s="15"/>
      <c r="CD120" s="15"/>
      <c r="CE120" s="15"/>
      <c r="CF120" s="15"/>
      <c r="CG120" s="15"/>
      <c r="CH120" s="15"/>
      <c r="CI120" s="15"/>
      <c r="CJ120" s="15"/>
      <c r="CK120" s="15"/>
      <c r="CL120" s="15"/>
      <c r="CM120" s="15"/>
      <c r="CN120" s="15"/>
      <c r="CO120" s="15"/>
      <c r="CP120" s="15"/>
      <c r="CQ120" s="15"/>
      <c r="CR120" s="15"/>
      <c r="CS120" s="15"/>
      <c r="CT120" s="15"/>
      <c r="CU120" s="15"/>
      <c r="CV120" s="15"/>
      <c r="CW120" s="15"/>
      <c r="CX120" s="15"/>
      <c r="CY120" s="15"/>
      <c r="CZ120" s="15"/>
      <c r="DA120" s="15"/>
      <c r="DB120" s="15"/>
      <c r="DC120" s="15"/>
      <c r="DD120" s="15"/>
      <c r="DE120" s="15"/>
    </row>
    <row r="121" spans="1:109" x14ac:dyDescent="0.3">
      <c r="A121" s="15"/>
      <c r="B121" s="15"/>
      <c r="C121" s="15"/>
      <c r="D121" s="15"/>
      <c r="E121" s="15"/>
      <c r="F121" s="15"/>
      <c r="G121" s="15"/>
      <c r="H121" s="15"/>
      <c r="I121" s="15"/>
      <c r="J121" s="15"/>
      <c r="K121" s="15"/>
      <c r="L121" s="15"/>
      <c r="M121" s="15"/>
      <c r="N121" s="15"/>
      <c r="O121" s="15"/>
      <c r="P121" s="15"/>
      <c r="Q121" s="15"/>
      <c r="R121" s="15"/>
      <c r="S121" s="15"/>
      <c r="T121" s="15"/>
      <c r="U121" s="15"/>
      <c r="V121" s="15"/>
      <c r="W121" s="15"/>
      <c r="X121" s="15"/>
      <c r="Y121" s="15"/>
      <c r="Z121" s="15"/>
      <c r="AA121" s="15"/>
      <c r="AB121" s="15"/>
      <c r="AC121" s="15"/>
      <c r="AD121" s="15"/>
      <c r="AE121" s="15"/>
      <c r="AF121" s="15"/>
      <c r="AG121" s="15"/>
      <c r="AH121" s="15"/>
      <c r="AI121" s="15"/>
      <c r="AJ121" s="15"/>
      <c r="AK121" s="15"/>
      <c r="AL121" s="15"/>
      <c r="AM121" s="15"/>
      <c r="AN121" s="15"/>
      <c r="AO121" s="15"/>
      <c r="AP121" s="15"/>
      <c r="AQ121" s="15"/>
      <c r="AR121" s="15"/>
      <c r="AS121" s="15"/>
      <c r="AT121" s="15"/>
      <c r="AU121" s="15"/>
      <c r="AV121" s="15"/>
      <c r="AW121" s="15"/>
      <c r="AX121" s="15"/>
      <c r="AY121" s="15"/>
      <c r="AZ121" s="15"/>
      <c r="BA121" s="15"/>
      <c r="BB121" s="15"/>
      <c r="BC121" s="15"/>
      <c r="BD121" s="15"/>
      <c r="BE121" s="15"/>
      <c r="BF121" s="15"/>
      <c r="BG121" s="15"/>
      <c r="BH121" s="15"/>
      <c r="BI121" s="15"/>
      <c r="BJ121" s="15"/>
      <c r="BK121" s="15"/>
      <c r="BL121" s="15"/>
      <c r="BM121" s="15"/>
      <c r="BN121" s="15"/>
      <c r="BO121" s="15"/>
      <c r="BP121" s="15"/>
      <c r="BQ121" s="15"/>
      <c r="BR121" s="15"/>
      <c r="BS121" s="15"/>
      <c r="BT121" s="15"/>
      <c r="BU121" s="15"/>
      <c r="BV121" s="15"/>
      <c r="BW121" s="15"/>
      <c r="BX121" s="15"/>
      <c r="BY121" s="15"/>
      <c r="BZ121" s="15"/>
      <c r="CA121" s="15"/>
      <c r="CB121" s="15"/>
      <c r="CC121" s="15"/>
      <c r="CD121" s="15"/>
      <c r="CE121" s="15"/>
      <c r="CF121" s="15"/>
      <c r="CG121" s="15"/>
      <c r="CH121" s="15"/>
      <c r="CI121" s="15"/>
      <c r="CJ121" s="15"/>
      <c r="CK121" s="15"/>
      <c r="CL121" s="15"/>
      <c r="CM121" s="15"/>
      <c r="CN121" s="15"/>
      <c r="CO121" s="15"/>
      <c r="CP121" s="15"/>
      <c r="CQ121" s="15"/>
      <c r="CR121" s="15"/>
      <c r="CS121" s="15"/>
      <c r="CT121" s="15"/>
      <c r="CU121" s="15"/>
      <c r="CV121" s="15"/>
      <c r="CW121" s="15"/>
      <c r="CX121" s="15"/>
      <c r="CY121" s="15"/>
      <c r="CZ121" s="15"/>
      <c r="DA121" s="15"/>
      <c r="DB121" s="15"/>
      <c r="DC121" s="15"/>
      <c r="DD121" s="15"/>
      <c r="DE121" s="15"/>
    </row>
    <row r="122" spans="1:109" x14ac:dyDescent="0.3">
      <c r="A122" s="15"/>
      <c r="B122" s="15"/>
      <c r="C122" s="15"/>
      <c r="D122" s="15"/>
      <c r="E122" s="15"/>
      <c r="F122" s="15"/>
      <c r="G122" s="15"/>
      <c r="H122" s="15"/>
      <c r="I122" s="15"/>
      <c r="J122" s="15"/>
      <c r="K122" s="15"/>
      <c r="L122" s="15"/>
      <c r="M122" s="15"/>
      <c r="N122" s="15"/>
      <c r="O122" s="15"/>
      <c r="P122" s="15"/>
      <c r="Q122" s="15"/>
      <c r="R122" s="15"/>
      <c r="S122" s="15"/>
      <c r="T122" s="15"/>
      <c r="U122" s="15"/>
      <c r="V122" s="15"/>
      <c r="W122" s="15"/>
      <c r="X122" s="15"/>
      <c r="Y122" s="15"/>
      <c r="Z122" s="15"/>
      <c r="AA122" s="15"/>
      <c r="AB122" s="15"/>
      <c r="AC122" s="15"/>
      <c r="AD122" s="15"/>
      <c r="AE122" s="15"/>
      <c r="AF122" s="15"/>
      <c r="AG122" s="15"/>
      <c r="AH122" s="15"/>
      <c r="AI122" s="15"/>
      <c r="AJ122" s="15"/>
      <c r="AK122" s="15"/>
      <c r="AL122" s="15"/>
      <c r="AM122" s="15"/>
      <c r="AN122" s="15"/>
      <c r="AO122" s="15"/>
      <c r="AP122" s="15"/>
      <c r="AQ122" s="15"/>
      <c r="AR122" s="15"/>
      <c r="AS122" s="15"/>
      <c r="AT122" s="15"/>
      <c r="AU122" s="15"/>
      <c r="AV122" s="15"/>
      <c r="AW122" s="15"/>
      <c r="AX122" s="15"/>
      <c r="AY122" s="15"/>
      <c r="AZ122" s="15"/>
      <c r="BA122" s="15"/>
      <c r="BB122" s="15"/>
      <c r="BC122" s="15"/>
      <c r="BD122" s="15"/>
      <c r="BE122" s="15"/>
      <c r="BF122" s="15"/>
      <c r="BG122" s="15"/>
      <c r="BH122" s="15"/>
      <c r="BI122" s="15"/>
      <c r="BJ122" s="15"/>
      <c r="BK122" s="15"/>
      <c r="BL122" s="15"/>
      <c r="BM122" s="15"/>
      <c r="BN122" s="15"/>
      <c r="BO122" s="15"/>
      <c r="BP122" s="15"/>
      <c r="BQ122" s="15"/>
      <c r="BR122" s="15"/>
      <c r="BS122" s="15"/>
      <c r="BT122" s="15"/>
      <c r="BU122" s="15"/>
      <c r="BV122" s="15"/>
      <c r="BW122" s="15"/>
      <c r="BX122" s="15"/>
      <c r="BY122" s="15"/>
      <c r="BZ122" s="15"/>
      <c r="CA122" s="15"/>
      <c r="CB122" s="15"/>
      <c r="CC122" s="15"/>
      <c r="CD122" s="15"/>
      <c r="CE122" s="15"/>
      <c r="CF122" s="15"/>
      <c r="CG122" s="15"/>
      <c r="CH122" s="15"/>
      <c r="CI122" s="15"/>
      <c r="CJ122" s="15"/>
      <c r="CK122" s="15"/>
      <c r="CL122" s="15"/>
      <c r="CM122" s="15"/>
      <c r="CN122" s="15"/>
      <c r="CO122" s="15"/>
      <c r="CP122" s="15"/>
      <c r="CQ122" s="15"/>
      <c r="CR122" s="15"/>
      <c r="CS122" s="15"/>
      <c r="CT122" s="15"/>
      <c r="CU122" s="15"/>
      <c r="CV122" s="15"/>
      <c r="CW122" s="15"/>
      <c r="CX122" s="15"/>
      <c r="CY122" s="15"/>
      <c r="CZ122" s="15"/>
      <c r="DA122" s="15"/>
      <c r="DB122" s="15"/>
      <c r="DC122" s="15"/>
      <c r="DD122" s="15"/>
      <c r="DE122" s="15"/>
    </row>
    <row r="123" spans="1:109" x14ac:dyDescent="0.3">
      <c r="A123" s="15"/>
      <c r="B123" s="15"/>
      <c r="C123" s="15"/>
      <c r="D123" s="15"/>
      <c r="E123" s="15"/>
      <c r="F123" s="15"/>
      <c r="G123" s="15"/>
      <c r="H123" s="15"/>
      <c r="I123" s="15"/>
      <c r="J123" s="15"/>
      <c r="K123" s="15"/>
      <c r="L123" s="15"/>
      <c r="M123" s="15"/>
      <c r="N123" s="15"/>
      <c r="O123" s="15"/>
      <c r="P123" s="15"/>
      <c r="Q123" s="15"/>
      <c r="R123" s="15"/>
      <c r="S123" s="15"/>
      <c r="T123" s="15"/>
      <c r="U123" s="15"/>
      <c r="V123" s="15"/>
      <c r="W123" s="15"/>
      <c r="X123" s="15"/>
      <c r="Y123" s="15"/>
      <c r="Z123" s="15"/>
      <c r="AA123" s="15"/>
      <c r="AB123" s="15"/>
      <c r="AC123" s="15"/>
      <c r="AD123" s="15"/>
      <c r="AE123" s="15"/>
      <c r="AF123" s="15"/>
      <c r="AG123" s="15"/>
      <c r="AH123" s="15"/>
      <c r="AI123" s="15"/>
      <c r="AJ123" s="15"/>
      <c r="AK123" s="15"/>
      <c r="AL123" s="15"/>
      <c r="AM123" s="15"/>
      <c r="AN123" s="15"/>
      <c r="AO123" s="15"/>
      <c r="AP123" s="15"/>
      <c r="AQ123" s="15"/>
      <c r="AR123" s="15"/>
      <c r="AS123" s="15"/>
      <c r="AT123" s="15"/>
      <c r="AU123" s="15"/>
      <c r="AV123" s="15"/>
      <c r="AW123" s="15"/>
      <c r="AX123" s="15"/>
      <c r="AY123" s="15"/>
      <c r="AZ123" s="15"/>
      <c r="BA123" s="15"/>
      <c r="BB123" s="15"/>
      <c r="BC123" s="15"/>
      <c r="BD123" s="15"/>
      <c r="BE123" s="15"/>
      <c r="BF123" s="15"/>
      <c r="BG123" s="15"/>
      <c r="BH123" s="15"/>
      <c r="BI123" s="15"/>
      <c r="BJ123" s="15"/>
      <c r="BK123" s="15"/>
      <c r="BL123" s="15"/>
      <c r="BM123" s="15"/>
      <c r="BN123" s="15"/>
      <c r="BO123" s="15"/>
      <c r="BP123" s="15"/>
      <c r="BQ123" s="15"/>
      <c r="BR123" s="15"/>
      <c r="BS123" s="15"/>
      <c r="BT123" s="15"/>
      <c r="BU123" s="15"/>
      <c r="BV123" s="15"/>
      <c r="BW123" s="15"/>
      <c r="BX123" s="15"/>
      <c r="BY123" s="15"/>
      <c r="BZ123" s="15"/>
      <c r="CA123" s="15"/>
      <c r="CB123" s="15"/>
      <c r="CC123" s="15"/>
      <c r="CD123" s="15"/>
      <c r="CE123" s="15"/>
      <c r="CF123" s="15"/>
      <c r="CG123" s="15"/>
      <c r="CH123" s="15"/>
      <c r="CI123" s="15"/>
      <c r="CJ123" s="15"/>
      <c r="CK123" s="15"/>
      <c r="CL123" s="15"/>
      <c r="CM123" s="15"/>
      <c r="CN123" s="15"/>
      <c r="CO123" s="15"/>
      <c r="CP123" s="15"/>
      <c r="CQ123" s="15"/>
      <c r="CR123" s="15"/>
      <c r="CS123" s="15"/>
      <c r="CT123" s="15"/>
      <c r="CU123" s="15"/>
      <c r="CV123" s="15"/>
      <c r="CW123" s="15"/>
      <c r="CX123" s="15"/>
      <c r="CY123" s="15"/>
      <c r="CZ123" s="15"/>
      <c r="DA123" s="15"/>
      <c r="DB123" s="15"/>
      <c r="DC123" s="15"/>
      <c r="DD123" s="15"/>
      <c r="DE123" s="15"/>
    </row>
    <row r="124" spans="1:109" x14ac:dyDescent="0.3">
      <c r="A124" s="15"/>
      <c r="B124" s="15"/>
      <c r="C124" s="15"/>
      <c r="D124" s="15"/>
      <c r="E124" s="15"/>
      <c r="F124" s="15"/>
      <c r="G124" s="15"/>
      <c r="H124" s="15"/>
      <c r="I124" s="15"/>
      <c r="J124" s="15"/>
      <c r="K124" s="15"/>
      <c r="L124" s="15"/>
      <c r="M124" s="15"/>
      <c r="N124" s="15"/>
      <c r="O124" s="15"/>
      <c r="P124" s="15"/>
      <c r="Q124" s="15"/>
      <c r="R124" s="15"/>
      <c r="S124" s="15"/>
      <c r="T124" s="15"/>
      <c r="U124" s="15"/>
      <c r="V124" s="15"/>
      <c r="W124" s="15"/>
      <c r="X124" s="15"/>
      <c r="Y124" s="15"/>
      <c r="Z124" s="15"/>
      <c r="AA124" s="15"/>
      <c r="AB124" s="15"/>
      <c r="AC124" s="15"/>
      <c r="AD124" s="15"/>
      <c r="AE124" s="15"/>
      <c r="AF124" s="15"/>
      <c r="AG124" s="15"/>
      <c r="AH124" s="15"/>
      <c r="AI124" s="15"/>
      <c r="AJ124" s="15"/>
      <c r="AK124" s="15"/>
      <c r="AL124" s="15"/>
      <c r="AM124" s="15"/>
      <c r="AN124" s="15"/>
      <c r="AO124" s="15"/>
      <c r="AP124" s="15"/>
      <c r="AQ124" s="15"/>
      <c r="AR124" s="15"/>
      <c r="AS124" s="15"/>
      <c r="AT124" s="15"/>
      <c r="AU124" s="15"/>
      <c r="AV124" s="15"/>
      <c r="AW124" s="15"/>
      <c r="AX124" s="15"/>
      <c r="AY124" s="15"/>
      <c r="AZ124" s="15"/>
      <c r="BA124" s="15"/>
      <c r="BB124" s="15"/>
      <c r="BC124" s="15"/>
      <c r="BD124" s="15"/>
      <c r="BE124" s="15"/>
      <c r="BF124" s="15"/>
      <c r="BG124" s="15"/>
      <c r="BH124" s="15"/>
      <c r="BI124" s="15"/>
      <c r="BJ124" s="15"/>
      <c r="BK124" s="15"/>
      <c r="BL124" s="15"/>
      <c r="BM124" s="15"/>
      <c r="BN124" s="15"/>
      <c r="BO124" s="15"/>
      <c r="BP124" s="15"/>
      <c r="BQ124" s="15"/>
      <c r="BR124" s="15"/>
      <c r="BS124" s="15"/>
      <c r="BT124" s="15"/>
      <c r="BU124" s="15"/>
      <c r="BV124" s="15"/>
      <c r="BW124" s="15"/>
      <c r="BX124" s="15"/>
      <c r="BY124" s="15"/>
      <c r="BZ124" s="15"/>
      <c r="CA124" s="15"/>
      <c r="CB124" s="15"/>
      <c r="CC124" s="15"/>
      <c r="CD124" s="15"/>
      <c r="CE124" s="15"/>
      <c r="CF124" s="15"/>
      <c r="CG124" s="15"/>
      <c r="CH124" s="15"/>
      <c r="CI124" s="15"/>
      <c r="CJ124" s="15"/>
      <c r="CK124" s="15"/>
      <c r="CL124" s="15"/>
      <c r="CM124" s="15"/>
      <c r="CN124" s="15"/>
      <c r="CO124" s="15"/>
      <c r="CP124" s="15"/>
      <c r="CQ124" s="15"/>
      <c r="CR124" s="15"/>
      <c r="CS124" s="15"/>
      <c r="CT124" s="15"/>
      <c r="CU124" s="15"/>
      <c r="CV124" s="15"/>
      <c r="CW124" s="15"/>
      <c r="CX124" s="15"/>
      <c r="CY124" s="15"/>
      <c r="CZ124" s="15"/>
      <c r="DA124" s="15"/>
      <c r="DB124" s="15"/>
      <c r="DC124" s="15"/>
      <c r="DD124" s="15"/>
      <c r="DE124" s="15"/>
    </row>
    <row r="125" spans="1:109" x14ac:dyDescent="0.3">
      <c r="A125" s="15"/>
      <c r="B125" s="15"/>
      <c r="C125" s="15"/>
      <c r="D125" s="15"/>
      <c r="E125" s="15"/>
      <c r="F125" s="15"/>
      <c r="G125" s="15"/>
      <c r="H125" s="15"/>
      <c r="I125" s="15"/>
      <c r="J125" s="15"/>
      <c r="K125" s="15"/>
      <c r="L125" s="15"/>
      <c r="M125" s="15"/>
      <c r="N125" s="15"/>
      <c r="O125" s="15"/>
      <c r="P125" s="15"/>
      <c r="Q125" s="15"/>
      <c r="R125" s="15"/>
      <c r="S125" s="15"/>
      <c r="T125" s="15"/>
      <c r="U125" s="15"/>
      <c r="V125" s="15"/>
      <c r="W125" s="15"/>
      <c r="X125" s="15"/>
      <c r="Y125" s="15"/>
      <c r="Z125" s="15"/>
      <c r="AA125" s="15"/>
      <c r="AB125" s="15"/>
      <c r="AC125" s="15"/>
      <c r="AD125" s="15"/>
      <c r="AE125" s="15"/>
      <c r="AF125" s="15"/>
      <c r="AG125" s="15"/>
      <c r="AH125" s="15"/>
      <c r="AI125" s="15"/>
      <c r="AJ125" s="15"/>
      <c r="AK125" s="15"/>
      <c r="AL125" s="15"/>
      <c r="AM125" s="15"/>
      <c r="AN125" s="15"/>
      <c r="AO125" s="15"/>
      <c r="AP125" s="15"/>
      <c r="AQ125" s="15"/>
      <c r="AR125" s="15"/>
      <c r="AS125" s="15"/>
      <c r="AT125" s="15"/>
      <c r="AU125" s="15"/>
      <c r="AV125" s="15"/>
      <c r="AW125" s="15"/>
      <c r="AX125" s="15"/>
      <c r="AY125" s="15"/>
      <c r="AZ125" s="15"/>
      <c r="BA125" s="15"/>
      <c r="BB125" s="15"/>
      <c r="BC125" s="15"/>
      <c r="BD125" s="15"/>
      <c r="BE125" s="15"/>
      <c r="BF125" s="15"/>
      <c r="BG125" s="15"/>
      <c r="BH125" s="15"/>
      <c r="BI125" s="15"/>
      <c r="BJ125" s="15"/>
      <c r="BK125" s="15"/>
      <c r="BL125" s="15"/>
      <c r="BM125" s="15"/>
      <c r="BN125" s="15"/>
      <c r="BO125" s="15"/>
      <c r="BP125" s="15"/>
      <c r="BQ125" s="15"/>
      <c r="BR125" s="15"/>
      <c r="BS125" s="15"/>
      <c r="BT125" s="15"/>
      <c r="BU125" s="15"/>
      <c r="BV125" s="15"/>
      <c r="BW125" s="15"/>
      <c r="BX125" s="15"/>
      <c r="BY125" s="15"/>
      <c r="BZ125" s="15"/>
      <c r="CA125" s="15"/>
      <c r="CB125" s="15"/>
      <c r="CC125" s="15"/>
      <c r="CD125" s="15"/>
      <c r="CE125" s="15"/>
      <c r="CF125" s="15"/>
      <c r="CG125" s="15"/>
      <c r="CH125" s="15"/>
      <c r="CI125" s="15"/>
      <c r="CJ125" s="15"/>
      <c r="CK125" s="15"/>
      <c r="CL125" s="15"/>
      <c r="CM125" s="15"/>
      <c r="CN125" s="15"/>
      <c r="CO125" s="15"/>
      <c r="CP125" s="15"/>
      <c r="CQ125" s="15"/>
      <c r="CR125" s="15"/>
      <c r="CS125" s="15"/>
      <c r="CT125" s="15"/>
      <c r="CU125" s="15"/>
      <c r="CV125" s="15"/>
      <c r="CW125" s="15"/>
      <c r="CX125" s="15"/>
      <c r="CY125" s="15"/>
      <c r="CZ125" s="15"/>
      <c r="DA125" s="15"/>
      <c r="DB125" s="15"/>
      <c r="DC125" s="15"/>
      <c r="DD125" s="15"/>
      <c r="DE125" s="15"/>
    </row>
    <row r="126" spans="1:109" x14ac:dyDescent="0.3">
      <c r="A126" s="15"/>
      <c r="B126" s="15"/>
      <c r="C126" s="15"/>
      <c r="D126" s="15"/>
      <c r="E126" s="15"/>
      <c r="F126" s="15"/>
      <c r="G126" s="15"/>
      <c r="H126" s="15"/>
      <c r="I126" s="15"/>
      <c r="J126" s="15"/>
      <c r="K126" s="15"/>
      <c r="L126" s="15"/>
      <c r="M126" s="15"/>
      <c r="N126" s="15"/>
      <c r="O126" s="15"/>
      <c r="P126" s="15"/>
      <c r="Q126" s="15"/>
      <c r="R126" s="15"/>
      <c r="S126" s="15"/>
      <c r="T126" s="15"/>
      <c r="U126" s="15"/>
      <c r="V126" s="15"/>
      <c r="W126" s="15"/>
      <c r="X126" s="15"/>
      <c r="Y126" s="15"/>
      <c r="Z126" s="15"/>
      <c r="AA126" s="15"/>
      <c r="AB126" s="15"/>
      <c r="AC126" s="15"/>
      <c r="AD126" s="15"/>
      <c r="AE126" s="15"/>
      <c r="AF126" s="15"/>
      <c r="AG126" s="15"/>
      <c r="AH126" s="15"/>
      <c r="AI126" s="15"/>
      <c r="AJ126" s="15"/>
      <c r="AK126" s="15"/>
      <c r="AL126" s="15"/>
      <c r="AM126" s="15"/>
      <c r="AN126" s="15"/>
      <c r="AO126" s="15"/>
      <c r="AP126" s="15"/>
      <c r="AQ126" s="15"/>
      <c r="AR126" s="15"/>
      <c r="AS126" s="15"/>
      <c r="AT126" s="15"/>
      <c r="AU126" s="15"/>
      <c r="AV126" s="15"/>
      <c r="AW126" s="15"/>
      <c r="AX126" s="15"/>
      <c r="AY126" s="15"/>
      <c r="AZ126" s="15"/>
      <c r="BA126" s="15"/>
      <c r="BB126" s="15"/>
      <c r="BC126" s="15"/>
      <c r="BD126" s="15"/>
      <c r="BE126" s="15"/>
      <c r="BF126" s="15"/>
      <c r="BG126" s="15"/>
      <c r="BH126" s="15"/>
      <c r="BI126" s="15"/>
      <c r="BJ126" s="15"/>
      <c r="BK126" s="15"/>
      <c r="BL126" s="15"/>
      <c r="BM126" s="15"/>
      <c r="BN126" s="15"/>
      <c r="BO126" s="15"/>
      <c r="BP126" s="15"/>
      <c r="BQ126" s="15"/>
      <c r="BR126" s="15"/>
      <c r="BS126" s="15"/>
      <c r="BT126" s="15"/>
      <c r="BU126" s="15"/>
      <c r="BV126" s="15"/>
      <c r="BW126" s="15"/>
      <c r="BX126" s="15"/>
      <c r="BY126" s="15"/>
      <c r="BZ126" s="15"/>
      <c r="CA126" s="15"/>
      <c r="CB126" s="15"/>
      <c r="CC126" s="15"/>
      <c r="CD126" s="15"/>
      <c r="CE126" s="15"/>
      <c r="CF126" s="15"/>
      <c r="CG126" s="15"/>
      <c r="CH126" s="15"/>
      <c r="CI126" s="15"/>
      <c r="CJ126" s="15"/>
      <c r="CK126" s="15"/>
      <c r="CL126" s="15"/>
      <c r="CM126" s="15"/>
      <c r="CN126" s="15"/>
      <c r="CO126" s="15"/>
      <c r="CP126" s="15"/>
      <c r="CQ126" s="15"/>
      <c r="CR126" s="15"/>
      <c r="CS126" s="15"/>
      <c r="CT126" s="15"/>
      <c r="CU126" s="15"/>
      <c r="CV126" s="15"/>
      <c r="CW126" s="15"/>
      <c r="CX126" s="15"/>
      <c r="CY126" s="15"/>
      <c r="CZ126" s="15"/>
      <c r="DA126" s="15"/>
      <c r="DB126" s="15"/>
      <c r="DC126" s="15"/>
      <c r="DD126" s="15"/>
      <c r="DE126" s="15"/>
    </row>
    <row r="127" spans="1:109" x14ac:dyDescent="0.3">
      <c r="A127" s="15"/>
      <c r="B127" s="15"/>
      <c r="C127" s="15"/>
      <c r="D127" s="15"/>
      <c r="E127" s="15"/>
      <c r="F127" s="15"/>
      <c r="G127" s="15"/>
      <c r="H127" s="15"/>
      <c r="I127" s="15"/>
      <c r="J127" s="15"/>
      <c r="K127" s="15"/>
      <c r="L127" s="15"/>
      <c r="M127" s="15"/>
      <c r="N127" s="15"/>
      <c r="O127" s="15"/>
      <c r="P127" s="15"/>
      <c r="Q127" s="15"/>
      <c r="R127" s="15"/>
      <c r="S127" s="15"/>
      <c r="T127" s="15"/>
      <c r="U127" s="15"/>
      <c r="V127" s="15"/>
      <c r="W127" s="15"/>
      <c r="X127" s="15"/>
      <c r="Y127" s="15"/>
      <c r="Z127" s="15"/>
      <c r="AA127" s="15"/>
      <c r="AB127" s="15"/>
      <c r="AC127" s="15"/>
      <c r="AD127" s="15"/>
      <c r="AE127" s="15"/>
      <c r="AF127" s="15"/>
      <c r="AG127" s="15"/>
      <c r="AH127" s="15"/>
      <c r="AI127" s="15"/>
      <c r="AJ127" s="15"/>
      <c r="AK127" s="15"/>
      <c r="AL127" s="15"/>
      <c r="AM127" s="15"/>
      <c r="AN127" s="15"/>
      <c r="AO127" s="15"/>
      <c r="AP127" s="15"/>
      <c r="AQ127" s="15"/>
      <c r="AR127" s="15"/>
      <c r="AS127" s="15"/>
      <c r="AT127" s="15"/>
      <c r="AU127" s="15"/>
      <c r="AV127" s="15"/>
      <c r="AW127" s="15"/>
      <c r="AX127" s="15"/>
      <c r="AY127" s="15"/>
      <c r="AZ127" s="15"/>
      <c r="BA127" s="15"/>
      <c r="BB127" s="15"/>
      <c r="BC127" s="15"/>
      <c r="BD127" s="15"/>
      <c r="BE127" s="15"/>
      <c r="BF127" s="15"/>
      <c r="BG127" s="15"/>
      <c r="BH127" s="15"/>
      <c r="BI127" s="15"/>
      <c r="BJ127" s="15"/>
      <c r="BK127" s="15"/>
      <c r="BL127" s="15"/>
      <c r="BM127" s="15"/>
      <c r="BN127" s="15"/>
      <c r="BO127" s="15"/>
      <c r="BP127" s="15"/>
      <c r="BQ127" s="15"/>
      <c r="BR127" s="15"/>
      <c r="BS127" s="15"/>
      <c r="BT127" s="15"/>
      <c r="BU127" s="15"/>
      <c r="BV127" s="15"/>
      <c r="BW127" s="15"/>
      <c r="BX127" s="15"/>
      <c r="BY127" s="15"/>
      <c r="BZ127" s="15"/>
      <c r="CA127" s="15"/>
      <c r="CB127" s="15"/>
      <c r="CC127" s="15"/>
      <c r="CD127" s="15"/>
      <c r="CE127" s="15"/>
      <c r="CF127" s="15"/>
      <c r="CG127" s="15"/>
      <c r="CH127" s="15"/>
      <c r="CI127" s="15"/>
      <c r="CJ127" s="15"/>
      <c r="CK127" s="15"/>
      <c r="CL127" s="15"/>
      <c r="CM127" s="15"/>
      <c r="CN127" s="15"/>
      <c r="CO127" s="15"/>
      <c r="CP127" s="15"/>
      <c r="CQ127" s="15"/>
      <c r="CR127" s="15"/>
      <c r="CS127" s="15"/>
      <c r="CT127" s="15"/>
      <c r="CU127" s="15"/>
      <c r="CV127" s="15"/>
      <c r="CW127" s="15"/>
      <c r="CX127" s="15"/>
      <c r="CY127" s="15"/>
      <c r="CZ127" s="15"/>
      <c r="DA127" s="15"/>
      <c r="DB127" s="15"/>
      <c r="DC127" s="15"/>
      <c r="DD127" s="15"/>
      <c r="DE127" s="15"/>
    </row>
    <row r="128" spans="1:109" x14ac:dyDescent="0.3">
      <c r="A128" s="15"/>
      <c r="B128" s="15"/>
      <c r="C128" s="15"/>
      <c r="D128" s="15"/>
      <c r="E128" s="15"/>
      <c r="F128" s="15"/>
      <c r="G128" s="15"/>
      <c r="H128" s="15"/>
      <c r="I128" s="15"/>
      <c r="J128" s="15"/>
      <c r="K128" s="15"/>
      <c r="L128" s="15"/>
      <c r="M128" s="15"/>
      <c r="N128" s="15"/>
      <c r="O128" s="15"/>
      <c r="P128" s="15"/>
      <c r="Q128" s="15"/>
      <c r="R128" s="15"/>
      <c r="S128" s="15"/>
      <c r="T128" s="15"/>
      <c r="U128" s="15"/>
      <c r="V128" s="15"/>
      <c r="W128" s="15"/>
      <c r="X128" s="15"/>
      <c r="Y128" s="15"/>
      <c r="Z128" s="15"/>
      <c r="AA128" s="15"/>
      <c r="AB128" s="15"/>
      <c r="AC128" s="15"/>
      <c r="AD128" s="15"/>
      <c r="AE128" s="15"/>
      <c r="AF128" s="15"/>
      <c r="AG128" s="15"/>
      <c r="AH128" s="15"/>
      <c r="AI128" s="15"/>
      <c r="AJ128" s="15"/>
      <c r="AK128" s="15"/>
      <c r="AL128" s="15"/>
      <c r="AM128" s="15"/>
      <c r="AN128" s="15"/>
      <c r="AO128" s="15"/>
      <c r="AP128" s="15"/>
      <c r="AQ128" s="15"/>
      <c r="AR128" s="15"/>
      <c r="AS128" s="15"/>
      <c r="AT128" s="15"/>
      <c r="AU128" s="15"/>
      <c r="AV128" s="15"/>
      <c r="AW128" s="15"/>
      <c r="AX128" s="15"/>
      <c r="AY128" s="15"/>
      <c r="AZ128" s="15"/>
      <c r="BA128" s="15"/>
      <c r="BB128" s="15"/>
      <c r="BC128" s="15"/>
      <c r="BD128" s="15"/>
      <c r="BE128" s="15"/>
      <c r="BF128" s="15"/>
      <c r="BG128" s="15"/>
      <c r="BH128" s="15"/>
      <c r="BI128" s="15"/>
      <c r="BJ128" s="15"/>
      <c r="BK128" s="15"/>
      <c r="BL128" s="15"/>
      <c r="BM128" s="15"/>
      <c r="BN128" s="15"/>
      <c r="BO128" s="15"/>
      <c r="BP128" s="15"/>
      <c r="BQ128" s="15"/>
      <c r="BR128" s="15"/>
      <c r="BS128" s="15"/>
      <c r="BT128" s="15"/>
      <c r="BU128" s="15"/>
      <c r="BV128" s="15"/>
      <c r="BW128" s="15"/>
      <c r="BX128" s="15"/>
      <c r="BY128" s="15"/>
      <c r="BZ128" s="15"/>
      <c r="CA128" s="15"/>
      <c r="CB128" s="15"/>
      <c r="CC128" s="15"/>
      <c r="CD128" s="15"/>
      <c r="CE128" s="15"/>
      <c r="CF128" s="15"/>
      <c r="CG128" s="15"/>
      <c r="CH128" s="15"/>
      <c r="CI128" s="15"/>
      <c r="CJ128" s="15"/>
      <c r="CK128" s="15"/>
      <c r="CL128" s="15"/>
      <c r="CM128" s="15"/>
      <c r="CN128" s="15"/>
      <c r="CO128" s="15"/>
      <c r="CP128" s="15"/>
      <c r="CQ128" s="15"/>
      <c r="CR128" s="15"/>
      <c r="CS128" s="15"/>
      <c r="CT128" s="15"/>
      <c r="CU128" s="15"/>
      <c r="CV128" s="15"/>
      <c r="CW128" s="15"/>
      <c r="CX128" s="15"/>
      <c r="CY128" s="15"/>
      <c r="CZ128" s="15"/>
      <c r="DA128" s="15"/>
      <c r="DB128" s="15"/>
      <c r="DC128" s="15"/>
      <c r="DD128" s="15"/>
      <c r="DE128" s="15"/>
    </row>
    <row r="129" spans="1:109" x14ac:dyDescent="0.3">
      <c r="A129" s="15"/>
      <c r="B129" s="15"/>
      <c r="C129" s="15"/>
      <c r="D129" s="15"/>
      <c r="E129" s="15"/>
      <c r="F129" s="15"/>
      <c r="G129" s="15"/>
      <c r="H129" s="15"/>
      <c r="I129" s="15"/>
      <c r="J129" s="15"/>
      <c r="K129" s="15"/>
      <c r="L129" s="15"/>
      <c r="M129" s="15"/>
      <c r="N129" s="15"/>
      <c r="O129" s="15"/>
      <c r="P129" s="15"/>
      <c r="Q129" s="15"/>
      <c r="R129" s="15"/>
      <c r="S129" s="15"/>
      <c r="T129" s="15"/>
      <c r="U129" s="15"/>
      <c r="V129" s="15"/>
      <c r="W129" s="15"/>
      <c r="X129" s="15"/>
      <c r="Y129" s="15"/>
      <c r="Z129" s="15"/>
      <c r="AA129" s="15"/>
      <c r="AB129" s="15"/>
      <c r="AC129" s="15"/>
      <c r="AD129" s="15"/>
      <c r="AE129" s="15"/>
      <c r="AF129" s="15"/>
      <c r="AG129" s="15"/>
      <c r="AH129" s="15"/>
      <c r="AI129" s="15"/>
      <c r="AJ129" s="15"/>
      <c r="AK129" s="15"/>
      <c r="AL129" s="15"/>
      <c r="AM129" s="15"/>
      <c r="AN129" s="15"/>
      <c r="AO129" s="15"/>
      <c r="AP129" s="15"/>
      <c r="AQ129" s="15"/>
      <c r="AR129" s="15"/>
      <c r="AS129" s="15"/>
      <c r="AT129" s="15"/>
      <c r="AU129" s="15"/>
      <c r="AV129" s="15"/>
      <c r="AW129" s="15"/>
      <c r="AX129" s="15"/>
      <c r="AY129" s="15"/>
      <c r="AZ129" s="15"/>
      <c r="BA129" s="15"/>
      <c r="BB129" s="15"/>
      <c r="BC129" s="15"/>
      <c r="BD129" s="15"/>
      <c r="BE129" s="15"/>
      <c r="BF129" s="15"/>
      <c r="BG129" s="15"/>
      <c r="BH129" s="15"/>
      <c r="BI129" s="15"/>
      <c r="BJ129" s="15"/>
      <c r="BK129" s="15"/>
      <c r="BL129" s="15"/>
      <c r="BM129" s="15"/>
      <c r="BN129" s="15"/>
      <c r="BO129" s="15"/>
      <c r="BP129" s="15"/>
      <c r="BQ129" s="15"/>
      <c r="BR129" s="15"/>
      <c r="BS129" s="15"/>
      <c r="BT129" s="15"/>
      <c r="BU129" s="15"/>
      <c r="BV129" s="15"/>
      <c r="BW129" s="15"/>
      <c r="BX129" s="15"/>
      <c r="BY129" s="15"/>
      <c r="BZ129" s="15"/>
      <c r="CA129" s="15"/>
      <c r="CB129" s="15"/>
      <c r="CC129" s="15"/>
      <c r="CD129" s="15"/>
      <c r="CE129" s="15"/>
      <c r="CF129" s="15"/>
      <c r="CG129" s="15"/>
      <c r="CH129" s="15"/>
      <c r="CI129" s="15"/>
      <c r="CJ129" s="15"/>
      <c r="CK129" s="15"/>
      <c r="CL129" s="15"/>
      <c r="CM129" s="15"/>
      <c r="CN129" s="15"/>
      <c r="CO129" s="15"/>
      <c r="CP129" s="15"/>
      <c r="CQ129" s="15"/>
      <c r="CR129" s="15"/>
      <c r="CS129" s="15"/>
      <c r="CT129" s="15"/>
      <c r="CU129" s="15"/>
      <c r="CV129" s="15"/>
      <c r="CW129" s="15"/>
      <c r="CX129" s="15"/>
      <c r="CY129" s="15"/>
      <c r="CZ129" s="15"/>
      <c r="DA129" s="15"/>
      <c r="DB129" s="15"/>
      <c r="DC129" s="15"/>
      <c r="DD129" s="15"/>
      <c r="DE129" s="15"/>
    </row>
    <row r="130" spans="1:109" x14ac:dyDescent="0.3">
      <c r="A130" s="15"/>
      <c r="B130" s="15"/>
      <c r="C130" s="15"/>
      <c r="D130" s="15"/>
      <c r="E130" s="15"/>
      <c r="F130" s="15"/>
      <c r="G130" s="15"/>
      <c r="H130" s="15"/>
      <c r="I130" s="15"/>
      <c r="J130" s="15"/>
      <c r="K130" s="15"/>
      <c r="L130" s="15"/>
      <c r="M130" s="15"/>
      <c r="N130" s="15"/>
      <c r="O130" s="15"/>
      <c r="P130" s="15"/>
      <c r="Q130" s="15"/>
      <c r="R130" s="15"/>
      <c r="S130" s="15"/>
      <c r="T130" s="15"/>
      <c r="U130" s="15"/>
      <c r="V130" s="15"/>
      <c r="W130" s="15"/>
      <c r="X130" s="15"/>
      <c r="Y130" s="15"/>
      <c r="Z130" s="15"/>
      <c r="AA130" s="15"/>
      <c r="AB130" s="15"/>
      <c r="AC130" s="15"/>
      <c r="AD130" s="15"/>
      <c r="AE130" s="15"/>
      <c r="AF130" s="15"/>
      <c r="AG130" s="15"/>
      <c r="AH130" s="15"/>
      <c r="AI130" s="15"/>
      <c r="AJ130" s="15"/>
      <c r="AK130" s="15"/>
      <c r="AL130" s="15"/>
      <c r="AM130" s="15"/>
      <c r="AN130" s="15"/>
      <c r="AO130" s="15"/>
      <c r="AP130" s="15"/>
      <c r="AQ130" s="15"/>
      <c r="AR130" s="15"/>
      <c r="AS130" s="15"/>
      <c r="AT130" s="15"/>
      <c r="AU130" s="15"/>
      <c r="AV130" s="15"/>
      <c r="AW130" s="15"/>
      <c r="AX130" s="15"/>
      <c r="AY130" s="15"/>
      <c r="AZ130" s="15"/>
      <c r="BA130" s="15"/>
      <c r="BB130" s="15"/>
      <c r="BC130" s="15"/>
      <c r="BD130" s="15"/>
      <c r="BE130" s="15"/>
      <c r="BF130" s="15"/>
      <c r="BG130" s="15"/>
      <c r="BH130" s="15"/>
      <c r="BI130" s="15"/>
      <c r="BJ130" s="15"/>
      <c r="BK130" s="15"/>
      <c r="BL130" s="15"/>
      <c r="BM130" s="15"/>
      <c r="BN130" s="15"/>
      <c r="BO130" s="15"/>
      <c r="BP130" s="15"/>
      <c r="BQ130" s="15"/>
      <c r="BR130" s="15"/>
      <c r="BS130" s="15"/>
      <c r="BT130" s="15"/>
      <c r="BU130" s="15"/>
      <c r="BV130" s="15"/>
      <c r="BW130" s="15"/>
      <c r="BX130" s="15"/>
      <c r="BY130" s="15"/>
      <c r="BZ130" s="15"/>
      <c r="CA130" s="15"/>
      <c r="CB130" s="15"/>
      <c r="CC130" s="15"/>
      <c r="CD130" s="15"/>
      <c r="CE130" s="15"/>
      <c r="CF130" s="15"/>
      <c r="CG130" s="15"/>
      <c r="CH130" s="15"/>
      <c r="CI130" s="15"/>
      <c r="CJ130" s="15"/>
      <c r="CK130" s="15"/>
      <c r="CL130" s="15"/>
      <c r="CM130" s="15"/>
      <c r="CN130" s="15"/>
      <c r="CO130" s="15"/>
      <c r="CP130" s="15"/>
      <c r="CQ130" s="15"/>
      <c r="CR130" s="15"/>
      <c r="CS130" s="15"/>
      <c r="CT130" s="15"/>
      <c r="CU130" s="15"/>
      <c r="CV130" s="15"/>
      <c r="CW130" s="15"/>
      <c r="CX130" s="15"/>
      <c r="CY130" s="15"/>
      <c r="CZ130" s="15"/>
      <c r="DA130" s="15"/>
      <c r="DB130" s="15"/>
      <c r="DC130" s="15"/>
      <c r="DD130" s="15"/>
      <c r="DE130" s="15"/>
    </row>
    <row r="131" spans="1:109" x14ac:dyDescent="0.3">
      <c r="A131" s="15"/>
      <c r="B131" s="15"/>
      <c r="C131" s="15"/>
      <c r="D131" s="15"/>
      <c r="E131" s="15"/>
      <c r="F131" s="15"/>
      <c r="G131" s="15"/>
      <c r="H131" s="15"/>
      <c r="I131" s="15"/>
      <c r="J131" s="15"/>
      <c r="K131" s="15"/>
      <c r="L131" s="15"/>
      <c r="M131" s="15"/>
      <c r="N131" s="15"/>
      <c r="O131" s="15"/>
      <c r="P131" s="15"/>
      <c r="Q131" s="15"/>
      <c r="R131" s="15"/>
      <c r="S131" s="15"/>
      <c r="T131" s="15"/>
      <c r="U131" s="15"/>
      <c r="V131" s="15"/>
      <c r="W131" s="15"/>
      <c r="X131" s="15"/>
      <c r="Y131" s="15"/>
      <c r="Z131" s="15"/>
      <c r="AA131" s="15"/>
      <c r="AB131" s="15"/>
      <c r="AC131" s="15"/>
      <c r="AD131" s="15"/>
      <c r="AE131" s="15"/>
      <c r="AF131" s="15"/>
      <c r="AG131" s="15"/>
      <c r="AH131" s="15"/>
      <c r="AI131" s="15"/>
      <c r="AJ131" s="15"/>
      <c r="AK131" s="15"/>
      <c r="AL131" s="15"/>
      <c r="AM131" s="15"/>
      <c r="AN131" s="15"/>
      <c r="AO131" s="15"/>
      <c r="AP131" s="15"/>
      <c r="AQ131" s="15"/>
      <c r="AR131" s="15"/>
      <c r="AS131" s="15"/>
      <c r="AT131" s="15"/>
      <c r="AU131" s="15"/>
      <c r="AV131" s="15"/>
      <c r="AW131" s="15"/>
      <c r="AX131" s="15"/>
      <c r="AY131" s="15"/>
      <c r="AZ131" s="15"/>
      <c r="BA131" s="15"/>
      <c r="BB131" s="15"/>
      <c r="BC131" s="15"/>
      <c r="BD131" s="15"/>
      <c r="BE131" s="15"/>
      <c r="BF131" s="15"/>
      <c r="BG131" s="15"/>
      <c r="BH131" s="15"/>
      <c r="BI131" s="15"/>
      <c r="BJ131" s="15"/>
      <c r="BK131" s="15"/>
      <c r="BL131" s="15"/>
      <c r="BM131" s="15"/>
      <c r="BN131" s="15"/>
      <c r="BO131" s="15"/>
      <c r="BP131" s="15"/>
      <c r="BQ131" s="15"/>
      <c r="BR131" s="15"/>
      <c r="BS131" s="15"/>
      <c r="BT131" s="15"/>
      <c r="BU131" s="15"/>
      <c r="BV131" s="15"/>
      <c r="BW131" s="15"/>
      <c r="BX131" s="15"/>
      <c r="BY131" s="15"/>
      <c r="BZ131" s="15"/>
      <c r="CA131" s="15"/>
      <c r="CB131" s="15"/>
      <c r="CC131" s="15"/>
      <c r="CD131" s="15"/>
      <c r="CE131" s="15"/>
      <c r="CF131" s="15"/>
      <c r="CG131" s="15"/>
      <c r="CH131" s="15"/>
      <c r="CI131" s="15"/>
      <c r="CJ131" s="15"/>
      <c r="CK131" s="15"/>
      <c r="CL131" s="15"/>
      <c r="CM131" s="15"/>
      <c r="CN131" s="15"/>
      <c r="CO131" s="15"/>
      <c r="CP131" s="15"/>
      <c r="CQ131" s="15"/>
      <c r="CR131" s="15"/>
      <c r="CS131" s="15"/>
      <c r="CT131" s="15"/>
      <c r="CU131" s="15"/>
      <c r="CV131" s="15"/>
      <c r="CW131" s="15"/>
      <c r="CX131" s="15"/>
      <c r="CY131" s="15"/>
      <c r="CZ131" s="15"/>
      <c r="DA131" s="15"/>
      <c r="DB131" s="15"/>
      <c r="DC131" s="15"/>
      <c r="DD131" s="15"/>
      <c r="DE131" s="15"/>
    </row>
    <row r="132" spans="1:109" x14ac:dyDescent="0.3">
      <c r="A132" s="15"/>
      <c r="B132" s="15"/>
      <c r="C132" s="15"/>
      <c r="D132" s="15"/>
      <c r="E132" s="15"/>
      <c r="F132" s="15"/>
      <c r="G132" s="15"/>
      <c r="H132" s="15"/>
      <c r="I132" s="15"/>
      <c r="J132" s="15"/>
      <c r="K132" s="15"/>
      <c r="L132" s="15"/>
      <c r="M132" s="15"/>
      <c r="N132" s="15"/>
      <c r="O132" s="15"/>
      <c r="P132" s="15"/>
      <c r="Q132" s="15"/>
      <c r="R132" s="15"/>
      <c r="S132" s="15"/>
      <c r="T132" s="15"/>
      <c r="U132" s="15"/>
      <c r="V132" s="15"/>
      <c r="W132" s="15"/>
      <c r="X132" s="15"/>
      <c r="Y132" s="15"/>
      <c r="Z132" s="15"/>
      <c r="AA132" s="15"/>
      <c r="AB132" s="15"/>
      <c r="AC132" s="15"/>
      <c r="AD132" s="15"/>
      <c r="AE132" s="15"/>
      <c r="AF132" s="15"/>
      <c r="AG132" s="15"/>
      <c r="AH132" s="15"/>
      <c r="AI132" s="15"/>
      <c r="AJ132" s="15"/>
      <c r="AK132" s="15"/>
      <c r="AL132" s="15"/>
      <c r="AM132" s="15"/>
      <c r="AN132" s="15"/>
      <c r="AO132" s="15"/>
      <c r="AP132" s="15"/>
      <c r="AQ132" s="15"/>
      <c r="AR132" s="15"/>
      <c r="AS132" s="15"/>
      <c r="AT132" s="15"/>
      <c r="AU132" s="15"/>
      <c r="AV132" s="15"/>
      <c r="AW132" s="15"/>
      <c r="AX132" s="15"/>
      <c r="AY132" s="15"/>
      <c r="AZ132" s="15"/>
      <c r="BA132" s="15"/>
      <c r="BB132" s="15"/>
      <c r="BC132" s="15"/>
      <c r="BD132" s="15"/>
      <c r="BE132" s="15"/>
      <c r="BF132" s="15"/>
      <c r="BG132" s="15"/>
      <c r="BH132" s="15"/>
      <c r="BI132" s="15"/>
      <c r="BJ132" s="15"/>
      <c r="BK132" s="15"/>
      <c r="BL132" s="15"/>
      <c r="BM132" s="15"/>
      <c r="BN132" s="15"/>
      <c r="BO132" s="15"/>
      <c r="BP132" s="15"/>
      <c r="BQ132" s="15"/>
      <c r="BR132" s="15"/>
      <c r="BS132" s="15"/>
      <c r="BT132" s="15"/>
      <c r="BU132" s="15"/>
      <c r="BV132" s="15"/>
      <c r="BW132" s="15"/>
      <c r="BX132" s="15"/>
      <c r="BY132" s="15"/>
      <c r="BZ132" s="15"/>
      <c r="CA132" s="15"/>
      <c r="CB132" s="15"/>
      <c r="CC132" s="15"/>
      <c r="CD132" s="15"/>
      <c r="CE132" s="15"/>
      <c r="CF132" s="15"/>
      <c r="CG132" s="15"/>
      <c r="CH132" s="15"/>
      <c r="CI132" s="15"/>
      <c r="CJ132" s="15"/>
      <c r="CK132" s="15"/>
      <c r="CL132" s="15"/>
      <c r="CM132" s="15"/>
      <c r="CN132" s="15"/>
      <c r="CO132" s="15"/>
      <c r="CP132" s="15"/>
      <c r="CQ132" s="15"/>
      <c r="CR132" s="15"/>
      <c r="CS132" s="15"/>
      <c r="CT132" s="15"/>
      <c r="CU132" s="15"/>
      <c r="CV132" s="15"/>
      <c r="CW132" s="15"/>
      <c r="CX132" s="15"/>
      <c r="CY132" s="15"/>
      <c r="CZ132" s="15"/>
      <c r="DA132" s="15"/>
      <c r="DB132" s="15"/>
      <c r="DC132" s="15"/>
      <c r="DD132" s="15"/>
      <c r="DE132" s="15"/>
    </row>
    <row r="133" spans="1:109" x14ac:dyDescent="0.3">
      <c r="A133" s="15"/>
      <c r="B133" s="15"/>
      <c r="C133" s="15"/>
      <c r="D133" s="15"/>
      <c r="E133" s="15"/>
      <c r="F133" s="15"/>
      <c r="G133" s="15"/>
      <c r="H133" s="15"/>
      <c r="I133" s="15"/>
      <c r="J133" s="15"/>
      <c r="K133" s="15"/>
      <c r="L133" s="15"/>
      <c r="M133" s="15"/>
      <c r="N133" s="15"/>
      <c r="O133" s="15"/>
      <c r="P133" s="15"/>
      <c r="Q133" s="15"/>
      <c r="R133" s="15"/>
      <c r="S133" s="15"/>
      <c r="T133" s="15"/>
      <c r="U133" s="15"/>
      <c r="V133" s="15"/>
      <c r="W133" s="15"/>
      <c r="X133" s="15"/>
      <c r="Y133" s="15"/>
      <c r="Z133" s="15"/>
      <c r="AA133" s="15"/>
      <c r="AB133" s="15"/>
      <c r="AC133" s="15"/>
      <c r="AD133" s="15"/>
      <c r="AE133" s="15"/>
      <c r="AF133" s="15"/>
      <c r="AG133" s="15"/>
      <c r="AH133" s="15"/>
      <c r="AI133" s="15"/>
      <c r="AJ133" s="15"/>
      <c r="AK133" s="15"/>
      <c r="AL133" s="15"/>
      <c r="AM133" s="15"/>
      <c r="AN133" s="15"/>
      <c r="AO133" s="15"/>
      <c r="AP133" s="15"/>
      <c r="AQ133" s="15"/>
      <c r="AR133" s="15"/>
      <c r="AS133" s="15"/>
      <c r="AT133" s="15"/>
      <c r="AU133" s="15"/>
      <c r="AV133" s="15"/>
      <c r="AW133" s="15"/>
      <c r="AX133" s="15"/>
      <c r="AY133" s="15"/>
      <c r="AZ133" s="15"/>
      <c r="BA133" s="15"/>
      <c r="BB133" s="15"/>
      <c r="BC133" s="15"/>
      <c r="BD133" s="15"/>
      <c r="BE133" s="15"/>
      <c r="BF133" s="15"/>
      <c r="BG133" s="15"/>
      <c r="BH133" s="15"/>
      <c r="BI133" s="15"/>
      <c r="BJ133" s="15"/>
      <c r="BK133" s="15"/>
      <c r="BL133" s="15"/>
      <c r="BM133" s="15"/>
      <c r="BN133" s="15"/>
      <c r="BO133" s="15"/>
      <c r="BP133" s="15"/>
      <c r="BQ133" s="15"/>
      <c r="BR133" s="15"/>
      <c r="BS133" s="15"/>
      <c r="BT133" s="15"/>
      <c r="BU133" s="15"/>
      <c r="BV133" s="15"/>
      <c r="BW133" s="15"/>
      <c r="BX133" s="15"/>
      <c r="BY133" s="15"/>
      <c r="BZ133" s="15"/>
      <c r="CA133" s="15"/>
      <c r="CB133" s="15"/>
      <c r="CC133" s="15"/>
      <c r="CD133" s="15"/>
      <c r="CE133" s="15"/>
      <c r="CF133" s="15"/>
      <c r="CG133" s="15"/>
      <c r="CH133" s="15"/>
      <c r="CI133" s="15"/>
      <c r="CJ133" s="15"/>
      <c r="CK133" s="15"/>
      <c r="CL133" s="15"/>
      <c r="CM133" s="15"/>
      <c r="CN133" s="15"/>
      <c r="CO133" s="15"/>
      <c r="CP133" s="15"/>
      <c r="CQ133" s="15"/>
      <c r="CR133" s="15"/>
      <c r="CS133" s="15"/>
      <c r="CT133" s="15"/>
      <c r="CU133" s="15"/>
      <c r="CV133" s="15"/>
      <c r="CW133" s="15"/>
      <c r="CX133" s="15"/>
      <c r="CY133" s="15"/>
      <c r="CZ133" s="15"/>
      <c r="DA133" s="15"/>
      <c r="DB133" s="15"/>
      <c r="DC133" s="15"/>
      <c r="DD133" s="15"/>
      <c r="DE133" s="15"/>
    </row>
    <row r="134" spans="1:109" x14ac:dyDescent="0.3">
      <c r="A134" s="15"/>
      <c r="B134" s="15"/>
      <c r="C134" s="15"/>
      <c r="D134" s="15"/>
      <c r="E134" s="15"/>
      <c r="F134" s="15"/>
      <c r="G134" s="15"/>
      <c r="H134" s="15"/>
      <c r="I134" s="15"/>
      <c r="J134" s="15"/>
      <c r="K134" s="15"/>
      <c r="L134" s="15"/>
      <c r="M134" s="15"/>
      <c r="N134" s="15"/>
      <c r="O134" s="15"/>
      <c r="P134" s="15"/>
      <c r="Q134" s="15"/>
      <c r="R134" s="15"/>
      <c r="S134" s="15"/>
      <c r="T134" s="15"/>
      <c r="U134" s="15"/>
      <c r="V134" s="15"/>
      <c r="W134" s="15"/>
      <c r="X134" s="15"/>
      <c r="Y134" s="15"/>
      <c r="Z134" s="15"/>
      <c r="AA134" s="15"/>
      <c r="AB134" s="15"/>
      <c r="AC134" s="15"/>
      <c r="AD134" s="15"/>
      <c r="AE134" s="15"/>
      <c r="AF134" s="15"/>
      <c r="AG134" s="15"/>
      <c r="AH134" s="15"/>
      <c r="AI134" s="15"/>
      <c r="AJ134" s="15"/>
      <c r="AK134" s="15"/>
      <c r="AL134" s="15"/>
      <c r="AM134" s="15"/>
      <c r="AN134" s="15"/>
      <c r="AO134" s="15"/>
      <c r="AP134" s="15"/>
      <c r="AQ134" s="15"/>
      <c r="AR134" s="15"/>
      <c r="AS134" s="15"/>
      <c r="AT134" s="15"/>
      <c r="AU134" s="15"/>
      <c r="AV134" s="15"/>
      <c r="AW134" s="15"/>
      <c r="AX134" s="15"/>
      <c r="AY134" s="15"/>
      <c r="AZ134" s="15"/>
      <c r="BA134" s="15"/>
      <c r="BB134" s="15"/>
      <c r="BC134" s="15"/>
      <c r="BD134" s="15"/>
      <c r="BE134" s="15"/>
      <c r="BF134" s="15"/>
      <c r="BG134" s="15"/>
      <c r="BH134" s="15"/>
      <c r="BI134" s="15"/>
      <c r="BJ134" s="15"/>
      <c r="BK134" s="15"/>
      <c r="BL134" s="15"/>
      <c r="BM134" s="15"/>
      <c r="BN134" s="15"/>
      <c r="BO134" s="15"/>
      <c r="BP134" s="15"/>
      <c r="BQ134" s="15"/>
      <c r="BR134" s="15"/>
      <c r="BS134" s="15"/>
      <c r="BT134" s="15"/>
      <c r="BU134" s="15"/>
      <c r="BV134" s="15"/>
      <c r="BW134" s="15"/>
      <c r="BX134" s="15"/>
      <c r="BY134" s="15"/>
      <c r="BZ134" s="15"/>
      <c r="CA134" s="15"/>
      <c r="CB134" s="15"/>
      <c r="CC134" s="15"/>
      <c r="CD134" s="15"/>
      <c r="CE134" s="15"/>
      <c r="CF134" s="15"/>
      <c r="CG134" s="15"/>
      <c r="CH134" s="15"/>
      <c r="CI134" s="15"/>
      <c r="CJ134" s="15"/>
      <c r="CK134" s="15"/>
      <c r="CL134" s="15"/>
      <c r="CM134" s="15"/>
      <c r="CN134" s="15"/>
      <c r="CO134" s="15"/>
      <c r="CP134" s="15"/>
      <c r="CQ134" s="15"/>
      <c r="CR134" s="15"/>
      <c r="CS134" s="15"/>
      <c r="CT134" s="15"/>
      <c r="CU134" s="15"/>
      <c r="CV134" s="15"/>
      <c r="CW134" s="15"/>
      <c r="CX134" s="15"/>
      <c r="CY134" s="15"/>
      <c r="CZ134" s="15"/>
      <c r="DA134" s="15"/>
      <c r="DB134" s="15"/>
      <c r="DC134" s="15"/>
      <c r="DD134" s="15"/>
      <c r="DE134" s="15"/>
    </row>
    <row r="135" spans="1:109" x14ac:dyDescent="0.3">
      <c r="A135" s="15"/>
      <c r="B135" s="15"/>
      <c r="C135" s="15"/>
      <c r="D135" s="15"/>
      <c r="E135" s="15"/>
      <c r="F135" s="15"/>
      <c r="G135" s="15"/>
      <c r="H135" s="15"/>
      <c r="I135" s="15"/>
      <c r="J135" s="15"/>
      <c r="K135" s="15"/>
      <c r="L135" s="15"/>
      <c r="M135" s="15"/>
      <c r="N135" s="15"/>
      <c r="O135" s="15"/>
      <c r="P135" s="15"/>
      <c r="Q135" s="15"/>
      <c r="R135" s="15"/>
      <c r="S135" s="15"/>
      <c r="T135" s="15"/>
      <c r="U135" s="15"/>
      <c r="V135" s="15"/>
      <c r="W135" s="15"/>
      <c r="X135" s="15"/>
      <c r="Y135" s="15"/>
      <c r="Z135" s="15"/>
      <c r="AA135" s="15"/>
      <c r="AB135" s="15"/>
      <c r="AC135" s="15"/>
      <c r="AD135" s="15"/>
      <c r="AE135" s="15"/>
      <c r="AF135" s="15"/>
      <c r="AG135" s="15"/>
      <c r="AH135" s="15"/>
      <c r="AI135" s="15"/>
      <c r="AJ135" s="15"/>
      <c r="AK135" s="15"/>
      <c r="AL135" s="15"/>
      <c r="AM135" s="15"/>
      <c r="AN135" s="15"/>
      <c r="AO135" s="15"/>
      <c r="AP135" s="15"/>
      <c r="AQ135" s="15"/>
      <c r="AR135" s="15"/>
      <c r="AS135" s="15"/>
      <c r="AT135" s="15"/>
      <c r="AU135" s="15"/>
      <c r="AV135" s="15"/>
      <c r="AW135" s="15"/>
      <c r="AX135" s="15"/>
      <c r="AY135" s="15"/>
      <c r="AZ135" s="15"/>
      <c r="BA135" s="15"/>
      <c r="BB135" s="15"/>
      <c r="BC135" s="15"/>
      <c r="BD135" s="15"/>
      <c r="BE135" s="15"/>
      <c r="BF135" s="15"/>
      <c r="BG135" s="15"/>
      <c r="BH135" s="15"/>
      <c r="BI135" s="15"/>
      <c r="BJ135" s="15"/>
      <c r="BK135" s="15"/>
      <c r="BL135" s="15"/>
      <c r="BM135" s="15"/>
      <c r="BN135" s="15"/>
      <c r="BO135" s="15"/>
      <c r="BP135" s="15"/>
      <c r="BQ135" s="15"/>
      <c r="BR135" s="15"/>
      <c r="BS135" s="15"/>
      <c r="BT135" s="15"/>
      <c r="BU135" s="15"/>
      <c r="BV135" s="15"/>
      <c r="BW135" s="15"/>
      <c r="BX135" s="15"/>
      <c r="BY135" s="15"/>
      <c r="BZ135" s="15"/>
      <c r="CA135" s="15"/>
      <c r="CB135" s="15"/>
      <c r="CC135" s="15"/>
      <c r="CD135" s="15"/>
      <c r="CE135" s="15"/>
      <c r="CF135" s="15"/>
      <c r="CG135" s="15"/>
      <c r="CH135" s="15"/>
      <c r="CI135" s="15"/>
      <c r="CJ135" s="15"/>
      <c r="CK135" s="15"/>
      <c r="CL135" s="15"/>
      <c r="CM135" s="15"/>
      <c r="CN135" s="15"/>
      <c r="CO135" s="15"/>
      <c r="CP135" s="15"/>
      <c r="CQ135" s="15"/>
      <c r="CR135" s="15"/>
      <c r="CS135" s="15"/>
      <c r="CT135" s="15"/>
      <c r="CU135" s="15"/>
      <c r="CV135" s="15"/>
      <c r="CW135" s="15"/>
      <c r="CX135" s="15"/>
      <c r="CY135" s="15"/>
      <c r="CZ135" s="15"/>
      <c r="DA135" s="15"/>
      <c r="DB135" s="15"/>
      <c r="DC135" s="15"/>
      <c r="DD135" s="15"/>
      <c r="DE135" s="15"/>
    </row>
    <row r="136" spans="1:109" x14ac:dyDescent="0.3">
      <c r="A136" s="15"/>
      <c r="B136" s="15"/>
      <c r="C136" s="15"/>
      <c r="D136" s="15"/>
      <c r="E136" s="15"/>
      <c r="F136" s="15"/>
      <c r="G136" s="15"/>
      <c r="H136" s="15"/>
      <c r="I136" s="15"/>
      <c r="J136" s="15"/>
      <c r="K136" s="15"/>
      <c r="L136" s="15"/>
      <c r="M136" s="15"/>
      <c r="N136" s="15"/>
      <c r="O136" s="15"/>
      <c r="P136" s="15"/>
      <c r="Q136" s="15"/>
      <c r="R136" s="15"/>
      <c r="S136" s="15"/>
      <c r="T136" s="15"/>
      <c r="U136" s="15"/>
      <c r="V136" s="15"/>
      <c r="W136" s="15"/>
      <c r="X136" s="15"/>
      <c r="Y136" s="15"/>
      <c r="Z136" s="15"/>
      <c r="AA136" s="15"/>
      <c r="AB136" s="15"/>
      <c r="AC136" s="15"/>
      <c r="AD136" s="15"/>
      <c r="AE136" s="15"/>
      <c r="AF136" s="15"/>
      <c r="AG136" s="15"/>
      <c r="AH136" s="15"/>
      <c r="AI136" s="15"/>
      <c r="AJ136" s="15"/>
      <c r="AK136" s="15"/>
      <c r="AL136" s="15"/>
      <c r="AM136" s="15"/>
      <c r="AN136" s="15"/>
      <c r="AO136" s="15"/>
      <c r="AP136" s="15"/>
      <c r="AQ136" s="15"/>
      <c r="AR136" s="15"/>
      <c r="AS136" s="15"/>
      <c r="AT136" s="15"/>
      <c r="AU136" s="15"/>
      <c r="AV136" s="15"/>
      <c r="AW136" s="15"/>
      <c r="AX136" s="15"/>
      <c r="AY136" s="15"/>
      <c r="AZ136" s="15"/>
      <c r="BA136" s="15"/>
      <c r="BB136" s="15"/>
      <c r="BC136" s="15"/>
      <c r="BD136" s="15"/>
      <c r="BE136" s="15"/>
      <c r="BF136" s="15"/>
      <c r="BG136" s="15"/>
      <c r="BH136" s="15"/>
      <c r="BI136" s="15"/>
      <c r="BJ136" s="15"/>
      <c r="BK136" s="15"/>
      <c r="BL136" s="15"/>
      <c r="BM136" s="15"/>
      <c r="BN136" s="15"/>
      <c r="BO136" s="15"/>
      <c r="BP136" s="15"/>
      <c r="BQ136" s="15"/>
      <c r="BR136" s="15"/>
      <c r="BS136" s="15"/>
      <c r="BT136" s="15"/>
      <c r="BU136" s="15"/>
      <c r="BV136" s="15"/>
      <c r="BW136" s="15"/>
      <c r="BX136" s="15"/>
      <c r="BY136" s="15"/>
      <c r="BZ136" s="15"/>
      <c r="CA136" s="15"/>
      <c r="CB136" s="15"/>
      <c r="CC136" s="15"/>
      <c r="CD136" s="15"/>
      <c r="CE136" s="15"/>
      <c r="CF136" s="15"/>
      <c r="CG136" s="15"/>
      <c r="CH136" s="15"/>
      <c r="CI136" s="15"/>
      <c r="CJ136" s="15"/>
      <c r="CK136" s="15"/>
      <c r="CL136" s="15"/>
      <c r="CM136" s="15"/>
      <c r="CN136" s="15"/>
      <c r="CO136" s="15"/>
      <c r="CP136" s="15"/>
      <c r="CQ136" s="15"/>
      <c r="CR136" s="15"/>
      <c r="CS136" s="15"/>
      <c r="CT136" s="15"/>
      <c r="CU136" s="15"/>
      <c r="CV136" s="15"/>
      <c r="CW136" s="15"/>
      <c r="CX136" s="15"/>
      <c r="CY136" s="15"/>
      <c r="CZ136" s="15"/>
      <c r="DA136" s="15"/>
      <c r="DB136" s="15"/>
      <c r="DC136" s="15"/>
      <c r="DD136" s="15"/>
      <c r="DE136" s="15"/>
    </row>
    <row r="137" spans="1:109" x14ac:dyDescent="0.3">
      <c r="A137" s="15"/>
      <c r="B137" s="15"/>
      <c r="C137" s="15"/>
      <c r="D137" s="15"/>
      <c r="E137" s="15"/>
      <c r="F137" s="15"/>
      <c r="G137" s="15"/>
      <c r="H137" s="15"/>
      <c r="I137" s="15"/>
      <c r="J137" s="15"/>
      <c r="K137" s="15"/>
      <c r="L137" s="15"/>
      <c r="M137" s="15"/>
      <c r="N137" s="15"/>
      <c r="O137" s="15"/>
      <c r="P137" s="15"/>
      <c r="Q137" s="15"/>
      <c r="R137" s="15"/>
      <c r="S137" s="15"/>
      <c r="T137" s="15"/>
      <c r="U137" s="15"/>
      <c r="V137" s="15"/>
      <c r="W137" s="15"/>
      <c r="X137" s="15"/>
      <c r="Y137" s="15"/>
      <c r="Z137" s="15"/>
      <c r="AA137" s="15"/>
      <c r="AB137" s="15"/>
      <c r="AC137" s="15"/>
      <c r="AD137" s="15"/>
      <c r="AE137" s="15"/>
      <c r="AF137" s="15"/>
      <c r="AG137" s="15"/>
      <c r="AH137" s="15"/>
      <c r="AI137" s="15"/>
      <c r="AJ137" s="15"/>
      <c r="AK137" s="15"/>
      <c r="AL137" s="15"/>
      <c r="AM137" s="15"/>
      <c r="AN137" s="15"/>
      <c r="AO137" s="15"/>
      <c r="AP137" s="15"/>
      <c r="AQ137" s="15"/>
      <c r="AR137" s="15"/>
      <c r="AS137" s="15"/>
      <c r="AT137" s="15"/>
      <c r="AU137" s="15"/>
      <c r="AV137" s="15"/>
      <c r="AW137" s="15"/>
      <c r="AX137" s="15"/>
      <c r="AY137" s="15"/>
      <c r="AZ137" s="15"/>
      <c r="BA137" s="15"/>
      <c r="BB137" s="15"/>
      <c r="BC137" s="15"/>
      <c r="BD137" s="15"/>
      <c r="BE137" s="15"/>
      <c r="BF137" s="15"/>
      <c r="BG137" s="15"/>
      <c r="BH137" s="15"/>
      <c r="BI137" s="15"/>
      <c r="BJ137" s="15"/>
      <c r="BK137" s="15"/>
      <c r="BL137" s="15"/>
      <c r="BM137" s="15"/>
      <c r="BN137" s="15"/>
      <c r="BO137" s="15"/>
      <c r="BP137" s="15"/>
      <c r="BQ137" s="15"/>
      <c r="BR137" s="15"/>
      <c r="BS137" s="15"/>
      <c r="BT137" s="15"/>
      <c r="BU137" s="15"/>
      <c r="BV137" s="15"/>
      <c r="BW137" s="15"/>
      <c r="BX137" s="15"/>
      <c r="BY137" s="15"/>
      <c r="BZ137" s="15"/>
      <c r="CA137" s="15"/>
      <c r="CB137" s="15"/>
      <c r="CC137" s="15"/>
      <c r="CD137" s="15"/>
      <c r="CE137" s="15"/>
      <c r="CF137" s="15"/>
      <c r="CG137" s="15"/>
      <c r="CH137" s="15"/>
      <c r="CI137" s="15"/>
      <c r="CJ137" s="15"/>
      <c r="CK137" s="15"/>
      <c r="CL137" s="15"/>
      <c r="CM137" s="15"/>
      <c r="CN137" s="15"/>
      <c r="CO137" s="15"/>
      <c r="CP137" s="15"/>
      <c r="CQ137" s="15"/>
      <c r="CR137" s="15"/>
      <c r="CS137" s="15"/>
      <c r="CT137" s="15"/>
      <c r="CU137" s="15"/>
      <c r="CV137" s="15"/>
      <c r="CW137" s="15"/>
      <c r="CX137" s="15"/>
      <c r="CY137" s="15"/>
      <c r="CZ137" s="15"/>
      <c r="DA137" s="15"/>
      <c r="DB137" s="15"/>
      <c r="DC137" s="15"/>
      <c r="DD137" s="15"/>
      <c r="DE137" s="15"/>
    </row>
    <row r="138" spans="1:109" x14ac:dyDescent="0.3">
      <c r="A138" s="15"/>
      <c r="B138" s="15"/>
      <c r="C138" s="15"/>
      <c r="D138" s="15"/>
      <c r="E138" s="15"/>
      <c r="F138" s="15"/>
      <c r="G138" s="15"/>
      <c r="H138" s="15"/>
      <c r="I138" s="15"/>
      <c r="J138" s="15"/>
      <c r="K138" s="15"/>
      <c r="L138" s="15"/>
      <c r="M138" s="15"/>
      <c r="N138" s="15"/>
      <c r="O138" s="15"/>
      <c r="P138" s="15"/>
      <c r="Q138" s="15"/>
      <c r="R138" s="15"/>
      <c r="S138" s="15"/>
      <c r="T138" s="15"/>
      <c r="U138" s="15"/>
      <c r="V138" s="15"/>
      <c r="W138" s="15"/>
      <c r="X138" s="15"/>
      <c r="Y138" s="15"/>
      <c r="Z138" s="15"/>
      <c r="AA138" s="15"/>
      <c r="AB138" s="15"/>
      <c r="AC138" s="15"/>
      <c r="AD138" s="15"/>
      <c r="AE138" s="15"/>
      <c r="AF138" s="15"/>
      <c r="AG138" s="15"/>
      <c r="AH138" s="15"/>
      <c r="AI138" s="15"/>
      <c r="AJ138" s="15"/>
      <c r="AK138" s="15"/>
      <c r="AL138" s="15"/>
      <c r="AM138" s="15"/>
      <c r="AN138" s="15"/>
      <c r="AO138" s="15"/>
      <c r="AP138" s="15"/>
      <c r="AQ138" s="15"/>
      <c r="AR138" s="15"/>
      <c r="AS138" s="15"/>
      <c r="AT138" s="15"/>
      <c r="AU138" s="15"/>
      <c r="AV138" s="15"/>
      <c r="AW138" s="15"/>
      <c r="AX138" s="15"/>
      <c r="AY138" s="15"/>
      <c r="AZ138" s="15"/>
      <c r="BA138" s="15"/>
      <c r="BB138" s="15"/>
      <c r="BC138" s="15"/>
      <c r="BD138" s="15"/>
      <c r="BE138" s="15"/>
      <c r="BF138" s="15"/>
      <c r="BG138" s="15"/>
      <c r="BH138" s="15"/>
      <c r="BI138" s="15"/>
      <c r="BJ138" s="15"/>
      <c r="BK138" s="15"/>
      <c r="BL138" s="15"/>
      <c r="BM138" s="15"/>
      <c r="BN138" s="15"/>
      <c r="BO138" s="15"/>
      <c r="BP138" s="15"/>
      <c r="BQ138" s="15"/>
      <c r="BR138" s="15"/>
      <c r="BS138" s="15"/>
      <c r="BT138" s="15"/>
      <c r="BU138" s="15"/>
      <c r="BV138" s="15"/>
      <c r="BW138" s="15"/>
      <c r="BX138" s="15"/>
      <c r="BY138" s="15"/>
      <c r="BZ138" s="15"/>
      <c r="CA138" s="15"/>
      <c r="CB138" s="15"/>
      <c r="CC138" s="15"/>
      <c r="CD138" s="15"/>
      <c r="CE138" s="15"/>
      <c r="CF138" s="15"/>
      <c r="CG138" s="15"/>
      <c r="CH138" s="15"/>
      <c r="CI138" s="15"/>
      <c r="CJ138" s="15"/>
      <c r="CK138" s="15"/>
      <c r="CL138" s="15"/>
      <c r="CM138" s="15"/>
      <c r="CN138" s="15"/>
      <c r="CO138" s="15"/>
      <c r="CP138" s="15"/>
      <c r="CQ138" s="15"/>
      <c r="CR138" s="15"/>
      <c r="CS138" s="15"/>
      <c r="CT138" s="15"/>
      <c r="CU138" s="15"/>
      <c r="CV138" s="15"/>
      <c r="CW138" s="15"/>
      <c r="CX138" s="15"/>
      <c r="CY138" s="15"/>
      <c r="CZ138" s="15"/>
      <c r="DA138" s="15"/>
      <c r="DB138" s="15"/>
      <c r="DC138" s="15"/>
      <c r="DD138" s="15"/>
      <c r="DE138" s="15"/>
    </row>
    <row r="139" spans="1:109" x14ac:dyDescent="0.3">
      <c r="A139" s="15"/>
      <c r="B139" s="15"/>
      <c r="C139" s="15"/>
      <c r="D139" s="15"/>
      <c r="E139" s="15"/>
      <c r="F139" s="15"/>
      <c r="G139" s="15"/>
      <c r="H139" s="15"/>
      <c r="I139" s="15"/>
      <c r="J139" s="15"/>
      <c r="K139" s="15"/>
      <c r="L139" s="15"/>
      <c r="M139" s="15"/>
      <c r="N139" s="15"/>
      <c r="O139" s="15"/>
      <c r="P139" s="15"/>
      <c r="Q139" s="15"/>
      <c r="R139" s="15"/>
      <c r="S139" s="15"/>
      <c r="T139" s="15"/>
      <c r="U139" s="15"/>
      <c r="V139" s="15"/>
      <c r="W139" s="15"/>
      <c r="X139" s="15"/>
      <c r="Y139" s="15"/>
      <c r="Z139" s="15"/>
      <c r="AA139" s="15"/>
      <c r="AB139" s="15"/>
      <c r="AC139" s="15"/>
      <c r="AD139" s="15"/>
      <c r="AE139" s="15"/>
      <c r="AF139" s="15"/>
      <c r="AG139" s="15"/>
      <c r="AH139" s="15"/>
      <c r="AI139" s="15"/>
      <c r="AJ139" s="15"/>
      <c r="AK139" s="15"/>
      <c r="AL139" s="15"/>
      <c r="AM139" s="15"/>
      <c r="AN139" s="15"/>
      <c r="AO139" s="15"/>
      <c r="AP139" s="15"/>
      <c r="AQ139" s="15"/>
      <c r="AR139" s="15"/>
      <c r="AS139" s="15"/>
      <c r="AT139" s="15"/>
      <c r="AU139" s="15"/>
      <c r="AV139" s="15"/>
      <c r="AW139" s="15"/>
      <c r="AX139" s="15"/>
      <c r="AY139" s="15"/>
      <c r="AZ139" s="15"/>
      <c r="BA139" s="15"/>
      <c r="BB139" s="15"/>
      <c r="BC139" s="15"/>
      <c r="BD139" s="15"/>
      <c r="BE139" s="15"/>
      <c r="BF139" s="15"/>
      <c r="BG139" s="15"/>
      <c r="BH139" s="15"/>
      <c r="BI139" s="15"/>
      <c r="BJ139" s="15"/>
      <c r="BK139" s="15"/>
      <c r="BL139" s="15"/>
      <c r="BM139" s="15"/>
      <c r="BN139" s="15"/>
      <c r="BO139" s="15"/>
      <c r="BP139" s="15"/>
      <c r="BQ139" s="15"/>
      <c r="BR139" s="15"/>
      <c r="BS139" s="15"/>
      <c r="BT139" s="15"/>
      <c r="BU139" s="15"/>
      <c r="BV139" s="15"/>
      <c r="BW139" s="15"/>
      <c r="BX139" s="15"/>
      <c r="BY139" s="15"/>
      <c r="BZ139" s="15"/>
      <c r="CA139" s="15"/>
      <c r="CB139" s="15"/>
      <c r="CC139" s="15"/>
      <c r="CD139" s="15"/>
      <c r="CE139" s="15"/>
      <c r="CF139" s="15"/>
      <c r="CG139" s="15"/>
      <c r="CH139" s="15"/>
      <c r="CI139" s="15"/>
      <c r="CJ139" s="15"/>
      <c r="CK139" s="15"/>
      <c r="CL139" s="15"/>
      <c r="CM139" s="15"/>
      <c r="CN139" s="15"/>
      <c r="CO139" s="15"/>
      <c r="CP139" s="15"/>
      <c r="CQ139" s="15"/>
      <c r="CR139" s="15"/>
      <c r="CS139" s="15"/>
      <c r="CT139" s="15"/>
      <c r="CU139" s="15"/>
      <c r="CV139" s="15"/>
      <c r="CW139" s="15"/>
      <c r="CX139" s="15"/>
      <c r="CY139" s="15"/>
      <c r="CZ139" s="15"/>
      <c r="DA139" s="15"/>
      <c r="DB139" s="15"/>
      <c r="DC139" s="15"/>
      <c r="DD139" s="15"/>
      <c r="DE139" s="15"/>
    </row>
    <row r="140" spans="1:109" x14ac:dyDescent="0.3">
      <c r="A140" s="15"/>
      <c r="B140" s="15"/>
      <c r="C140" s="15"/>
      <c r="D140" s="15"/>
      <c r="E140" s="15"/>
      <c r="F140" s="15"/>
      <c r="G140" s="15"/>
      <c r="H140" s="15"/>
      <c r="I140" s="15"/>
      <c r="J140" s="15"/>
      <c r="K140" s="15"/>
      <c r="L140" s="15"/>
      <c r="M140" s="15"/>
      <c r="N140" s="15"/>
      <c r="O140" s="15"/>
      <c r="P140" s="15"/>
      <c r="Q140" s="15"/>
      <c r="R140" s="15"/>
      <c r="S140" s="15"/>
      <c r="T140" s="15"/>
      <c r="U140" s="15"/>
      <c r="V140" s="15"/>
      <c r="W140" s="15"/>
      <c r="X140" s="15"/>
      <c r="Y140" s="15"/>
      <c r="Z140" s="15"/>
      <c r="AA140" s="15"/>
      <c r="AB140" s="15"/>
      <c r="AC140" s="15"/>
      <c r="AD140" s="15"/>
      <c r="AE140" s="15"/>
      <c r="AF140" s="15"/>
      <c r="AG140" s="15"/>
      <c r="AH140" s="15"/>
      <c r="AI140" s="15"/>
      <c r="AJ140" s="15"/>
      <c r="AK140" s="15"/>
      <c r="AL140" s="15"/>
      <c r="AM140" s="15"/>
      <c r="AN140" s="15"/>
      <c r="AO140" s="15"/>
      <c r="AP140" s="15"/>
      <c r="AQ140" s="15"/>
      <c r="AR140" s="15"/>
      <c r="AS140" s="15"/>
      <c r="AT140" s="15"/>
      <c r="AU140" s="15"/>
      <c r="AV140" s="15"/>
      <c r="AW140" s="15"/>
      <c r="AX140" s="15"/>
      <c r="AY140" s="15"/>
      <c r="AZ140" s="15"/>
      <c r="BA140" s="15"/>
      <c r="BB140" s="15"/>
      <c r="BC140" s="15"/>
      <c r="BD140" s="15"/>
      <c r="BE140" s="15"/>
      <c r="BF140" s="15"/>
      <c r="BG140" s="15"/>
      <c r="BH140" s="15"/>
      <c r="BI140" s="15"/>
      <c r="BJ140" s="15"/>
      <c r="BK140" s="15"/>
      <c r="BL140" s="15"/>
      <c r="BM140" s="15"/>
      <c r="BN140" s="15"/>
      <c r="BO140" s="15"/>
      <c r="BP140" s="15"/>
      <c r="BQ140" s="15"/>
      <c r="BR140" s="15"/>
      <c r="BS140" s="15"/>
      <c r="BT140" s="15"/>
      <c r="BU140" s="15"/>
      <c r="BV140" s="15"/>
      <c r="BW140" s="15"/>
      <c r="BX140" s="15"/>
      <c r="BY140" s="15"/>
      <c r="BZ140" s="15"/>
      <c r="CA140" s="15"/>
      <c r="CB140" s="15"/>
      <c r="CC140" s="15"/>
      <c r="CD140" s="15"/>
      <c r="CE140" s="15"/>
      <c r="CF140" s="15"/>
      <c r="CG140" s="15"/>
      <c r="CH140" s="15"/>
      <c r="CI140" s="15"/>
      <c r="CJ140" s="15"/>
      <c r="CK140" s="15"/>
      <c r="CL140" s="15"/>
      <c r="CM140" s="15"/>
      <c r="CN140" s="15"/>
      <c r="CO140" s="15"/>
      <c r="CP140" s="15"/>
      <c r="CQ140" s="15"/>
      <c r="CR140" s="15"/>
      <c r="CS140" s="15"/>
      <c r="CT140" s="15"/>
      <c r="CU140" s="15"/>
      <c r="CV140" s="15"/>
      <c r="CW140" s="15"/>
      <c r="CX140" s="15"/>
      <c r="CY140" s="15"/>
      <c r="CZ140" s="15"/>
      <c r="DA140" s="15"/>
      <c r="DB140" s="15"/>
      <c r="DC140" s="15"/>
      <c r="DD140" s="15"/>
      <c r="DE140" s="15"/>
    </row>
    <row r="141" spans="1:109" x14ac:dyDescent="0.3">
      <c r="A141" s="15"/>
      <c r="B141" s="15"/>
      <c r="C141" s="15"/>
      <c r="D141" s="15"/>
      <c r="E141" s="15"/>
      <c r="F141" s="15"/>
      <c r="G141" s="15"/>
      <c r="H141" s="15"/>
      <c r="I141" s="15"/>
      <c r="J141" s="15"/>
      <c r="K141" s="15"/>
      <c r="L141" s="15"/>
      <c r="M141" s="15"/>
      <c r="N141" s="15"/>
      <c r="O141" s="15"/>
      <c r="P141" s="15"/>
      <c r="Q141" s="15"/>
      <c r="R141" s="15"/>
      <c r="S141" s="15"/>
      <c r="T141" s="15"/>
      <c r="U141" s="15"/>
      <c r="V141" s="15"/>
      <c r="W141" s="15"/>
      <c r="X141" s="15"/>
      <c r="Y141" s="15"/>
      <c r="Z141" s="15"/>
      <c r="AA141" s="15"/>
      <c r="AB141" s="15"/>
      <c r="AC141" s="15"/>
      <c r="AD141" s="15"/>
      <c r="AE141" s="15"/>
      <c r="AF141" s="15"/>
      <c r="AG141" s="15"/>
      <c r="AH141" s="15"/>
      <c r="AI141" s="15"/>
      <c r="AJ141" s="15"/>
      <c r="AK141" s="15"/>
      <c r="AL141" s="15"/>
      <c r="AM141" s="15"/>
      <c r="AN141" s="15"/>
      <c r="AO141" s="15"/>
      <c r="AP141" s="15"/>
      <c r="AQ141" s="15"/>
      <c r="AR141" s="15"/>
      <c r="AS141" s="15"/>
      <c r="AT141" s="15"/>
      <c r="AU141" s="15"/>
      <c r="AV141" s="15"/>
      <c r="AW141" s="15"/>
      <c r="AX141" s="15"/>
      <c r="AY141" s="15"/>
      <c r="AZ141" s="15"/>
      <c r="BA141" s="15"/>
      <c r="BB141" s="15"/>
      <c r="BC141" s="15"/>
      <c r="BD141" s="15"/>
      <c r="BE141" s="15"/>
      <c r="BF141" s="15"/>
      <c r="BG141" s="15"/>
      <c r="BH141" s="15"/>
      <c r="BI141" s="15"/>
      <c r="BJ141" s="15"/>
      <c r="BK141" s="15"/>
      <c r="BL141" s="15"/>
      <c r="BM141" s="15"/>
      <c r="BN141" s="15"/>
      <c r="BO141" s="15"/>
      <c r="BP141" s="15"/>
      <c r="BQ141" s="15"/>
      <c r="BR141" s="15"/>
      <c r="BS141" s="15"/>
      <c r="BT141" s="15"/>
      <c r="BU141" s="15"/>
      <c r="BV141" s="15"/>
      <c r="BW141" s="15"/>
      <c r="BX141" s="15"/>
      <c r="BY141" s="15"/>
      <c r="BZ141" s="15"/>
      <c r="CA141" s="15"/>
      <c r="CB141" s="15"/>
      <c r="CC141" s="15"/>
      <c r="CD141" s="15"/>
      <c r="CE141" s="15"/>
      <c r="CF141" s="15"/>
      <c r="CG141" s="15"/>
      <c r="CH141" s="15"/>
      <c r="CI141" s="15"/>
      <c r="CJ141" s="15"/>
      <c r="CK141" s="15"/>
      <c r="CL141" s="15"/>
      <c r="CM141" s="15"/>
      <c r="CN141" s="15"/>
      <c r="CO141" s="15"/>
      <c r="CP141" s="15"/>
      <c r="CQ141" s="15"/>
      <c r="CR141" s="15"/>
      <c r="CS141" s="15"/>
      <c r="CT141" s="15"/>
      <c r="CU141" s="15"/>
      <c r="CV141" s="15"/>
      <c r="CW141" s="15"/>
      <c r="CX141" s="15"/>
      <c r="CY141" s="15"/>
      <c r="CZ141" s="15"/>
      <c r="DA141" s="15"/>
      <c r="DB141" s="15"/>
      <c r="DC141" s="15"/>
      <c r="DD141" s="15"/>
      <c r="DE141" s="15"/>
    </row>
    <row r="142" spans="1:109" x14ac:dyDescent="0.3">
      <c r="A142" s="15"/>
      <c r="B142" s="15"/>
      <c r="C142" s="15"/>
      <c r="D142" s="15"/>
      <c r="E142" s="15"/>
      <c r="F142" s="15"/>
      <c r="G142" s="15"/>
      <c r="H142" s="15"/>
      <c r="I142" s="15"/>
      <c r="J142" s="15"/>
      <c r="K142" s="15"/>
      <c r="L142" s="15"/>
      <c r="M142" s="15"/>
      <c r="N142" s="15"/>
      <c r="O142" s="15"/>
      <c r="P142" s="15"/>
      <c r="Q142" s="15"/>
      <c r="R142" s="15"/>
      <c r="S142" s="15"/>
      <c r="T142" s="15"/>
      <c r="U142" s="15"/>
      <c r="V142" s="15"/>
      <c r="W142" s="15"/>
      <c r="X142" s="15"/>
      <c r="Y142" s="15"/>
      <c r="Z142" s="15"/>
      <c r="AA142" s="15"/>
      <c r="AB142" s="15"/>
      <c r="AC142" s="15"/>
      <c r="AD142" s="15"/>
      <c r="AE142" s="15"/>
      <c r="AF142" s="15"/>
      <c r="AG142" s="15"/>
      <c r="AH142" s="15"/>
      <c r="AI142" s="15"/>
      <c r="AJ142" s="15"/>
      <c r="AK142" s="15"/>
      <c r="AL142" s="15"/>
      <c r="AM142" s="15"/>
      <c r="AN142" s="15"/>
      <c r="AO142" s="15"/>
      <c r="AP142" s="15"/>
      <c r="AQ142" s="15"/>
      <c r="AR142" s="15"/>
      <c r="AS142" s="15"/>
      <c r="AT142" s="15"/>
      <c r="AU142" s="15"/>
      <c r="AV142" s="15"/>
      <c r="AW142" s="15"/>
      <c r="AX142" s="15"/>
      <c r="AY142" s="15"/>
      <c r="AZ142" s="15"/>
      <c r="BA142" s="15"/>
      <c r="BB142" s="15"/>
      <c r="BC142" s="15"/>
      <c r="BD142" s="15"/>
      <c r="BE142" s="15"/>
      <c r="BF142" s="15"/>
      <c r="BG142" s="15"/>
      <c r="BH142" s="15"/>
      <c r="BI142" s="15"/>
      <c r="BJ142" s="15"/>
      <c r="BK142" s="15"/>
      <c r="BL142" s="15"/>
      <c r="BM142" s="15"/>
      <c r="BN142" s="15"/>
      <c r="BO142" s="15"/>
      <c r="BP142" s="15"/>
      <c r="BQ142" s="15"/>
      <c r="BR142" s="15"/>
      <c r="BS142" s="15"/>
      <c r="BT142" s="15"/>
      <c r="BU142" s="15"/>
      <c r="BV142" s="15"/>
      <c r="BW142" s="15"/>
      <c r="BX142" s="15"/>
      <c r="BY142" s="15"/>
      <c r="BZ142" s="15"/>
      <c r="CA142" s="15"/>
      <c r="CB142" s="15"/>
      <c r="CC142" s="15"/>
      <c r="CD142" s="15"/>
      <c r="CE142" s="15"/>
      <c r="CF142" s="15"/>
      <c r="CG142" s="15"/>
      <c r="CH142" s="15"/>
      <c r="CI142" s="15"/>
      <c r="CJ142" s="15"/>
      <c r="CK142" s="15"/>
      <c r="CL142" s="15"/>
      <c r="CM142" s="15"/>
      <c r="CN142" s="15"/>
      <c r="CO142" s="15"/>
      <c r="CP142" s="15"/>
      <c r="CQ142" s="15"/>
      <c r="CR142" s="15"/>
      <c r="CS142" s="15"/>
      <c r="CT142" s="15"/>
      <c r="CU142" s="15"/>
      <c r="CV142" s="15"/>
      <c r="CW142" s="15"/>
      <c r="CX142" s="15"/>
      <c r="CY142" s="15"/>
      <c r="CZ142" s="15"/>
      <c r="DA142" s="15"/>
      <c r="DB142" s="15"/>
      <c r="DC142" s="15"/>
      <c r="DD142" s="15"/>
      <c r="DE142" s="15"/>
    </row>
    <row r="143" spans="1:109" x14ac:dyDescent="0.3">
      <c r="A143" s="15"/>
      <c r="B143" s="15"/>
      <c r="C143" s="15"/>
      <c r="D143" s="15"/>
      <c r="E143" s="15"/>
      <c r="F143" s="15"/>
      <c r="G143" s="15"/>
      <c r="H143" s="15"/>
      <c r="I143" s="15"/>
      <c r="J143" s="15"/>
      <c r="K143" s="15"/>
      <c r="L143" s="15"/>
      <c r="M143" s="15"/>
      <c r="N143" s="15"/>
      <c r="O143" s="15"/>
      <c r="P143" s="15"/>
      <c r="Q143" s="15"/>
      <c r="R143" s="15"/>
      <c r="S143" s="15"/>
      <c r="T143" s="15"/>
      <c r="U143" s="15"/>
      <c r="V143" s="15"/>
      <c r="W143" s="15"/>
      <c r="X143" s="15"/>
      <c r="Y143" s="15"/>
      <c r="Z143" s="15"/>
      <c r="AA143" s="15"/>
      <c r="AB143" s="15"/>
      <c r="AC143" s="15"/>
      <c r="AD143" s="15"/>
      <c r="AE143" s="15"/>
      <c r="AF143" s="15"/>
      <c r="AG143" s="15"/>
      <c r="AH143" s="15"/>
      <c r="AI143" s="15"/>
      <c r="AJ143" s="15"/>
      <c r="AK143" s="15"/>
      <c r="AL143" s="15"/>
      <c r="AM143" s="15"/>
      <c r="AN143" s="15"/>
      <c r="AO143" s="15"/>
      <c r="AP143" s="15"/>
      <c r="AQ143" s="15"/>
      <c r="AR143" s="15"/>
      <c r="AS143" s="15"/>
      <c r="AT143" s="15"/>
      <c r="AU143" s="15"/>
      <c r="AV143" s="15"/>
      <c r="AW143" s="15"/>
      <c r="AX143" s="15"/>
      <c r="AY143" s="15"/>
      <c r="AZ143" s="15"/>
      <c r="BA143" s="15"/>
      <c r="BB143" s="15"/>
      <c r="BC143" s="15"/>
      <c r="BD143" s="15"/>
      <c r="BE143" s="15"/>
      <c r="BF143" s="15"/>
      <c r="BG143" s="15"/>
      <c r="BH143" s="15"/>
      <c r="BI143" s="15"/>
      <c r="BJ143" s="15"/>
      <c r="BK143" s="15"/>
      <c r="BL143" s="15"/>
      <c r="BM143" s="15"/>
      <c r="BN143" s="15"/>
      <c r="BO143" s="15"/>
      <c r="BP143" s="15"/>
      <c r="BQ143" s="15"/>
      <c r="BR143" s="15"/>
      <c r="BS143" s="15"/>
      <c r="BT143" s="15"/>
      <c r="BU143" s="15"/>
      <c r="BV143" s="15"/>
      <c r="BW143" s="15"/>
      <c r="BX143" s="15"/>
      <c r="BY143" s="15"/>
      <c r="BZ143" s="15"/>
      <c r="CA143" s="15"/>
      <c r="CB143" s="15"/>
      <c r="CC143" s="15"/>
      <c r="CD143" s="15"/>
      <c r="CE143" s="15"/>
      <c r="CF143" s="15"/>
      <c r="CG143" s="15"/>
      <c r="CH143" s="15"/>
      <c r="CI143" s="15"/>
      <c r="CJ143" s="15"/>
      <c r="CK143" s="15"/>
      <c r="CL143" s="15"/>
      <c r="CM143" s="15"/>
      <c r="CN143" s="15"/>
      <c r="CO143" s="15"/>
      <c r="CP143" s="15"/>
      <c r="CQ143" s="15"/>
      <c r="CR143" s="15"/>
      <c r="CS143" s="15"/>
      <c r="CT143" s="15"/>
      <c r="CU143" s="15"/>
      <c r="CV143" s="15"/>
      <c r="CW143" s="15"/>
      <c r="CX143" s="15"/>
      <c r="CY143" s="15"/>
      <c r="CZ143" s="15"/>
      <c r="DA143" s="15"/>
      <c r="DB143" s="15"/>
      <c r="DC143" s="15"/>
      <c r="DD143" s="15"/>
      <c r="DE143" s="15"/>
    </row>
    <row r="144" spans="1:109" x14ac:dyDescent="0.3">
      <c r="A144" s="15"/>
      <c r="B144" s="15"/>
      <c r="C144" s="15"/>
      <c r="D144" s="15"/>
      <c r="E144" s="15"/>
      <c r="F144" s="15"/>
      <c r="G144" s="15"/>
      <c r="H144" s="15"/>
      <c r="I144" s="15"/>
      <c r="J144" s="15"/>
      <c r="K144" s="15"/>
      <c r="L144" s="15"/>
      <c r="M144" s="15"/>
      <c r="N144" s="15"/>
      <c r="O144" s="15"/>
      <c r="P144" s="15"/>
      <c r="Q144" s="15"/>
      <c r="R144" s="15"/>
      <c r="S144" s="15"/>
      <c r="T144" s="15"/>
      <c r="U144" s="15"/>
      <c r="V144" s="15"/>
      <c r="W144" s="15"/>
      <c r="X144" s="15"/>
      <c r="Y144" s="15"/>
      <c r="Z144" s="15"/>
      <c r="AA144" s="15"/>
      <c r="AB144" s="15"/>
      <c r="AC144" s="15"/>
      <c r="AD144" s="15"/>
      <c r="AE144" s="15"/>
      <c r="AF144" s="15"/>
      <c r="AG144" s="15"/>
      <c r="AH144" s="15"/>
      <c r="AI144" s="15"/>
      <c r="AJ144" s="15"/>
      <c r="AK144" s="15"/>
      <c r="AL144" s="15"/>
      <c r="AM144" s="15"/>
      <c r="AN144" s="15"/>
      <c r="AO144" s="15"/>
      <c r="AP144" s="15"/>
      <c r="AQ144" s="15"/>
      <c r="AR144" s="15"/>
      <c r="AS144" s="15"/>
      <c r="AT144" s="15"/>
      <c r="AU144" s="15"/>
      <c r="AV144" s="15"/>
      <c r="AW144" s="15"/>
      <c r="AX144" s="15"/>
      <c r="AY144" s="15"/>
      <c r="AZ144" s="15"/>
      <c r="BA144" s="15"/>
      <c r="BB144" s="15"/>
      <c r="BC144" s="15"/>
      <c r="BD144" s="15"/>
      <c r="BE144" s="15"/>
      <c r="BF144" s="15"/>
      <c r="BG144" s="15"/>
      <c r="BH144" s="15"/>
      <c r="BI144" s="15"/>
      <c r="BJ144" s="15"/>
      <c r="BK144" s="15"/>
      <c r="BL144" s="15"/>
      <c r="BM144" s="15"/>
      <c r="BN144" s="15"/>
      <c r="BO144" s="15"/>
      <c r="BP144" s="15"/>
      <c r="BQ144" s="15"/>
      <c r="BR144" s="15"/>
      <c r="BS144" s="15"/>
      <c r="BT144" s="15"/>
      <c r="BU144" s="15"/>
      <c r="BV144" s="15"/>
      <c r="BW144" s="15"/>
      <c r="BX144" s="15"/>
      <c r="BY144" s="15"/>
      <c r="BZ144" s="15"/>
      <c r="CA144" s="15"/>
      <c r="CB144" s="15"/>
      <c r="CC144" s="15"/>
      <c r="CD144" s="15"/>
      <c r="CE144" s="15"/>
      <c r="CF144" s="15"/>
      <c r="CG144" s="15"/>
      <c r="CH144" s="15"/>
      <c r="CI144" s="15"/>
      <c r="CJ144" s="15"/>
      <c r="CK144" s="15"/>
      <c r="CL144" s="15"/>
      <c r="CM144" s="15"/>
      <c r="CN144" s="15"/>
      <c r="CO144" s="15"/>
      <c r="CP144" s="15"/>
      <c r="CQ144" s="15"/>
      <c r="CR144" s="15"/>
      <c r="CS144" s="15"/>
      <c r="CT144" s="15"/>
      <c r="CU144" s="15"/>
      <c r="CV144" s="15"/>
      <c r="CW144" s="15"/>
      <c r="CX144" s="15"/>
      <c r="CY144" s="15"/>
      <c r="CZ144" s="15"/>
      <c r="DA144" s="15"/>
      <c r="DB144" s="15"/>
      <c r="DC144" s="15"/>
      <c r="DD144" s="15"/>
      <c r="DE144" s="15"/>
    </row>
    <row r="145" spans="1:109" x14ac:dyDescent="0.3">
      <c r="A145" s="15"/>
      <c r="B145" s="15"/>
      <c r="C145" s="15"/>
      <c r="D145" s="15"/>
      <c r="E145" s="15"/>
      <c r="F145" s="15"/>
      <c r="G145" s="15"/>
      <c r="H145" s="15"/>
      <c r="I145" s="15"/>
      <c r="J145" s="15"/>
      <c r="K145" s="15"/>
      <c r="L145" s="15"/>
      <c r="M145" s="15"/>
      <c r="N145" s="15"/>
      <c r="O145" s="15"/>
      <c r="P145" s="15"/>
      <c r="Q145" s="15"/>
      <c r="R145" s="15"/>
      <c r="S145" s="15"/>
      <c r="T145" s="15"/>
      <c r="U145" s="15"/>
      <c r="V145" s="15"/>
      <c r="W145" s="15"/>
      <c r="X145" s="15"/>
      <c r="Y145" s="15"/>
      <c r="Z145" s="15"/>
      <c r="AA145" s="15"/>
      <c r="AB145" s="15"/>
      <c r="AC145" s="15"/>
      <c r="AD145" s="15"/>
      <c r="AE145" s="15"/>
      <c r="AF145" s="15"/>
      <c r="AG145" s="15"/>
      <c r="AH145" s="15"/>
      <c r="AI145" s="15"/>
      <c r="AJ145" s="15"/>
      <c r="AK145" s="15"/>
      <c r="AL145" s="15"/>
      <c r="AM145" s="15"/>
      <c r="AN145" s="15"/>
      <c r="AO145" s="15"/>
      <c r="AP145" s="15"/>
      <c r="AQ145" s="15"/>
      <c r="AR145" s="15"/>
      <c r="AS145" s="15"/>
      <c r="AT145" s="15"/>
      <c r="AU145" s="15"/>
      <c r="AV145" s="15"/>
      <c r="AW145" s="15"/>
      <c r="AX145" s="15"/>
      <c r="AY145" s="15"/>
      <c r="AZ145" s="15"/>
      <c r="BA145" s="15"/>
      <c r="BB145" s="15"/>
      <c r="BC145" s="15"/>
      <c r="BD145" s="15"/>
      <c r="BE145" s="15"/>
      <c r="BF145" s="15"/>
      <c r="BG145" s="15"/>
      <c r="BH145" s="15"/>
      <c r="BI145" s="15"/>
      <c r="BJ145" s="15"/>
      <c r="BK145" s="15"/>
      <c r="BL145" s="15"/>
      <c r="BM145" s="15"/>
      <c r="BN145" s="15"/>
      <c r="BO145" s="15"/>
      <c r="BP145" s="15"/>
      <c r="BQ145" s="15"/>
      <c r="BR145" s="15"/>
      <c r="BS145" s="15"/>
      <c r="BT145" s="15"/>
      <c r="BU145" s="15"/>
      <c r="BV145" s="15"/>
      <c r="BW145" s="15"/>
      <c r="BX145" s="15"/>
      <c r="BY145" s="15"/>
      <c r="BZ145" s="15"/>
      <c r="CA145" s="15"/>
      <c r="CB145" s="15"/>
      <c r="CC145" s="15"/>
      <c r="CD145" s="15"/>
      <c r="CE145" s="15"/>
      <c r="CF145" s="15"/>
      <c r="CG145" s="15"/>
      <c r="CH145" s="15"/>
      <c r="CI145" s="15"/>
      <c r="CJ145" s="15"/>
      <c r="CK145" s="15"/>
      <c r="CL145" s="15"/>
      <c r="CM145" s="15"/>
      <c r="CN145" s="15"/>
      <c r="CO145" s="15"/>
      <c r="CP145" s="15"/>
      <c r="CQ145" s="15"/>
      <c r="CR145" s="15"/>
      <c r="CS145" s="15"/>
      <c r="CT145" s="15"/>
      <c r="CU145" s="15"/>
      <c r="CV145" s="15"/>
      <c r="CW145" s="15"/>
      <c r="CX145" s="15"/>
      <c r="CY145" s="15"/>
      <c r="CZ145" s="15"/>
      <c r="DA145" s="15"/>
      <c r="DB145" s="15"/>
      <c r="DC145" s="15"/>
      <c r="DD145" s="15"/>
      <c r="DE145" s="15"/>
    </row>
    <row r="146" spans="1:109" x14ac:dyDescent="0.3">
      <c r="A146" s="15"/>
      <c r="B146" s="15"/>
      <c r="C146" s="15"/>
      <c r="D146" s="15"/>
      <c r="E146" s="15"/>
      <c r="F146" s="15"/>
      <c r="G146" s="15"/>
      <c r="H146" s="15"/>
      <c r="I146" s="15"/>
      <c r="J146" s="15"/>
      <c r="K146" s="15"/>
      <c r="L146" s="15"/>
      <c r="M146" s="15"/>
      <c r="N146" s="15"/>
      <c r="O146" s="15"/>
      <c r="P146" s="15"/>
      <c r="Q146" s="15"/>
      <c r="R146" s="15"/>
      <c r="S146" s="15"/>
      <c r="T146" s="15"/>
      <c r="U146" s="15"/>
      <c r="V146" s="15"/>
      <c r="W146" s="15"/>
      <c r="X146" s="15"/>
      <c r="Y146" s="15"/>
      <c r="Z146" s="15"/>
      <c r="AA146" s="15"/>
      <c r="AB146" s="15"/>
      <c r="AC146" s="15"/>
      <c r="AD146" s="15"/>
      <c r="AE146" s="15"/>
      <c r="AF146" s="15"/>
      <c r="AG146" s="15"/>
      <c r="AH146" s="15"/>
      <c r="AI146" s="15"/>
      <c r="AJ146" s="15"/>
      <c r="AK146" s="15"/>
      <c r="AL146" s="15"/>
      <c r="AM146" s="15"/>
      <c r="AN146" s="15"/>
      <c r="AO146" s="15"/>
      <c r="AP146" s="15"/>
      <c r="AQ146" s="15"/>
      <c r="AR146" s="15"/>
      <c r="AS146" s="15"/>
      <c r="AT146" s="15"/>
      <c r="AU146" s="15"/>
      <c r="AV146" s="15"/>
      <c r="AW146" s="15"/>
      <c r="AX146" s="15"/>
      <c r="AY146" s="15"/>
      <c r="AZ146" s="15"/>
      <c r="BA146" s="15"/>
      <c r="BB146" s="15"/>
      <c r="BC146" s="15"/>
      <c r="BD146" s="15"/>
      <c r="BE146" s="15"/>
      <c r="BF146" s="15"/>
      <c r="BG146" s="15"/>
      <c r="BH146" s="15"/>
      <c r="BI146" s="15"/>
      <c r="BJ146" s="15"/>
      <c r="BK146" s="15"/>
      <c r="BL146" s="15"/>
      <c r="BM146" s="15"/>
      <c r="BN146" s="15"/>
      <c r="BO146" s="15"/>
      <c r="BP146" s="15"/>
      <c r="BQ146" s="15"/>
      <c r="BR146" s="15"/>
      <c r="BS146" s="15"/>
      <c r="BT146" s="15"/>
      <c r="BU146" s="15"/>
      <c r="BV146" s="15"/>
      <c r="BW146" s="15"/>
      <c r="BX146" s="15"/>
      <c r="BY146" s="15"/>
      <c r="BZ146" s="15"/>
      <c r="CA146" s="15"/>
      <c r="CB146" s="15"/>
      <c r="CC146" s="15"/>
      <c r="CD146" s="15"/>
      <c r="CE146" s="15"/>
      <c r="CF146" s="15"/>
      <c r="CG146" s="15"/>
      <c r="CH146" s="15"/>
      <c r="CI146" s="15"/>
      <c r="CJ146" s="15"/>
      <c r="CK146" s="15"/>
      <c r="CL146" s="15"/>
      <c r="CM146" s="15"/>
      <c r="CN146" s="15"/>
      <c r="CO146" s="15"/>
      <c r="CP146" s="15"/>
      <c r="CQ146" s="15"/>
      <c r="CR146" s="15"/>
      <c r="CS146" s="15"/>
      <c r="CT146" s="15"/>
      <c r="CU146" s="15"/>
      <c r="CV146" s="15"/>
      <c r="CW146" s="15"/>
      <c r="CX146" s="15"/>
      <c r="CY146" s="15"/>
      <c r="CZ146" s="15"/>
      <c r="DA146" s="15"/>
      <c r="DB146" s="15"/>
      <c r="DC146" s="15"/>
      <c r="DD146" s="15"/>
      <c r="DE146" s="15"/>
    </row>
    <row r="147" spans="1:109" x14ac:dyDescent="0.3">
      <c r="A147" s="15"/>
      <c r="B147" s="15"/>
      <c r="C147" s="15"/>
      <c r="D147" s="15"/>
      <c r="E147" s="15"/>
      <c r="F147" s="15"/>
      <c r="G147" s="15"/>
      <c r="H147" s="15"/>
      <c r="I147" s="15"/>
      <c r="J147" s="15"/>
      <c r="K147" s="15"/>
      <c r="L147" s="15"/>
      <c r="M147" s="15"/>
      <c r="N147" s="15"/>
      <c r="O147" s="15"/>
      <c r="P147" s="15"/>
      <c r="Q147" s="15"/>
      <c r="R147" s="15"/>
      <c r="S147" s="15"/>
      <c r="T147" s="15"/>
      <c r="U147" s="15"/>
      <c r="V147" s="15"/>
      <c r="W147" s="15"/>
      <c r="X147" s="15"/>
      <c r="Y147" s="15"/>
      <c r="Z147" s="15"/>
      <c r="AA147" s="15"/>
      <c r="AB147" s="15"/>
      <c r="AC147" s="15"/>
      <c r="AD147" s="15"/>
      <c r="AE147" s="15"/>
      <c r="AF147" s="15"/>
      <c r="AG147" s="15"/>
      <c r="AH147" s="15"/>
      <c r="AI147" s="15"/>
      <c r="AJ147" s="15"/>
      <c r="AK147" s="15"/>
      <c r="AL147" s="15"/>
      <c r="AM147" s="15"/>
      <c r="AN147" s="15"/>
      <c r="AO147" s="15"/>
      <c r="AP147" s="15"/>
      <c r="AQ147" s="15"/>
      <c r="AR147" s="15"/>
      <c r="AS147" s="15"/>
      <c r="AT147" s="15"/>
      <c r="AU147" s="15"/>
      <c r="AV147" s="15"/>
      <c r="AW147" s="15"/>
      <c r="AX147" s="15"/>
      <c r="AY147" s="15"/>
      <c r="AZ147" s="15"/>
      <c r="BA147" s="15"/>
      <c r="BB147" s="15"/>
      <c r="BC147" s="15"/>
      <c r="BD147" s="15"/>
      <c r="BE147" s="15"/>
      <c r="BF147" s="15"/>
      <c r="BG147" s="15"/>
      <c r="BH147" s="15"/>
      <c r="BI147" s="15"/>
      <c r="BJ147" s="15"/>
      <c r="BK147" s="15"/>
      <c r="BL147" s="15"/>
      <c r="BM147" s="15"/>
      <c r="BN147" s="15"/>
      <c r="BO147" s="15"/>
      <c r="BP147" s="15"/>
      <c r="BQ147" s="15"/>
      <c r="BR147" s="15"/>
      <c r="BS147" s="15"/>
      <c r="BT147" s="15"/>
      <c r="BU147" s="15"/>
      <c r="BV147" s="15"/>
      <c r="BW147" s="15"/>
      <c r="BX147" s="15"/>
      <c r="BY147" s="15"/>
      <c r="BZ147" s="15"/>
      <c r="CA147" s="15"/>
      <c r="CB147" s="15"/>
      <c r="CC147" s="15"/>
      <c r="CD147" s="15"/>
      <c r="CE147" s="15"/>
      <c r="CF147" s="15"/>
      <c r="CG147" s="15"/>
      <c r="CH147" s="15"/>
      <c r="CI147" s="15"/>
      <c r="CJ147" s="15"/>
      <c r="CK147" s="15"/>
      <c r="CL147" s="15"/>
      <c r="CM147" s="15"/>
      <c r="CN147" s="15"/>
      <c r="CO147" s="15"/>
      <c r="CP147" s="15"/>
      <c r="CQ147" s="15"/>
      <c r="CR147" s="15"/>
      <c r="CS147" s="15"/>
      <c r="CT147" s="15"/>
      <c r="CU147" s="15"/>
      <c r="CV147" s="15"/>
      <c r="CW147" s="15"/>
      <c r="CX147" s="15"/>
      <c r="CY147" s="15"/>
      <c r="CZ147" s="15"/>
      <c r="DA147" s="15"/>
      <c r="DB147" s="15"/>
      <c r="DC147" s="15"/>
      <c r="DD147" s="15"/>
      <c r="DE147" s="15"/>
    </row>
    <row r="148" spans="1:109" x14ac:dyDescent="0.3">
      <c r="A148" s="15"/>
      <c r="B148" s="15"/>
      <c r="C148" s="15"/>
      <c r="D148" s="15"/>
      <c r="E148" s="15"/>
      <c r="F148" s="15"/>
      <c r="G148" s="15"/>
      <c r="H148" s="15"/>
      <c r="I148" s="15"/>
      <c r="J148" s="15"/>
      <c r="K148" s="15"/>
      <c r="L148" s="15"/>
      <c r="M148" s="15"/>
      <c r="N148" s="15"/>
      <c r="O148" s="15"/>
      <c r="P148" s="15"/>
      <c r="Q148" s="15"/>
      <c r="R148" s="15"/>
      <c r="S148" s="15"/>
      <c r="T148" s="15"/>
      <c r="U148" s="15"/>
      <c r="V148" s="15"/>
      <c r="W148" s="15"/>
      <c r="X148" s="15"/>
      <c r="Y148" s="15"/>
      <c r="Z148" s="15"/>
      <c r="AA148" s="15"/>
      <c r="AB148" s="15"/>
      <c r="AC148" s="15"/>
      <c r="AD148" s="15"/>
      <c r="AE148" s="15"/>
      <c r="AF148" s="15"/>
      <c r="AG148" s="15"/>
      <c r="AH148" s="15"/>
      <c r="AI148" s="15"/>
      <c r="AJ148" s="15"/>
      <c r="AK148" s="15"/>
      <c r="AL148" s="15"/>
      <c r="AM148" s="15"/>
      <c r="AN148" s="15"/>
      <c r="AO148" s="15"/>
      <c r="AP148" s="15"/>
      <c r="AQ148" s="15"/>
      <c r="AR148" s="15"/>
      <c r="AS148" s="15"/>
      <c r="AT148" s="15"/>
      <c r="AU148" s="15"/>
      <c r="AV148" s="15"/>
      <c r="AW148" s="15"/>
      <c r="AX148" s="15"/>
      <c r="AY148" s="15"/>
      <c r="AZ148" s="15"/>
      <c r="BA148" s="15"/>
      <c r="BB148" s="15"/>
      <c r="BC148" s="15"/>
      <c r="BD148" s="15"/>
      <c r="BE148" s="15"/>
      <c r="BF148" s="15"/>
      <c r="BG148" s="15"/>
      <c r="BH148" s="15"/>
      <c r="BI148" s="15"/>
      <c r="BJ148" s="15"/>
      <c r="BK148" s="15"/>
      <c r="BL148" s="15"/>
      <c r="BM148" s="15"/>
      <c r="BN148" s="15"/>
      <c r="BO148" s="15"/>
      <c r="BP148" s="15"/>
      <c r="BQ148" s="15"/>
      <c r="BR148" s="15"/>
      <c r="BS148" s="15"/>
      <c r="BT148" s="15"/>
      <c r="BU148" s="15"/>
      <c r="BV148" s="15"/>
      <c r="BW148" s="15"/>
      <c r="BX148" s="15"/>
      <c r="BY148" s="15"/>
      <c r="BZ148" s="15"/>
      <c r="CA148" s="15"/>
      <c r="CB148" s="15"/>
      <c r="CC148" s="15"/>
      <c r="CD148" s="15"/>
      <c r="CE148" s="15"/>
      <c r="CF148" s="15"/>
      <c r="CG148" s="15"/>
      <c r="CH148" s="15"/>
      <c r="CI148" s="15"/>
      <c r="CJ148" s="15"/>
      <c r="CK148" s="15"/>
      <c r="CL148" s="15"/>
      <c r="CM148" s="15"/>
      <c r="CN148" s="15"/>
      <c r="CO148" s="15"/>
      <c r="CP148" s="15"/>
      <c r="CQ148" s="15"/>
      <c r="CR148" s="15"/>
      <c r="CS148" s="15"/>
      <c r="CT148" s="15"/>
      <c r="CU148" s="15"/>
      <c r="CV148" s="15"/>
      <c r="CW148" s="15"/>
      <c r="CX148" s="15"/>
      <c r="CY148" s="15"/>
      <c r="CZ148" s="15"/>
      <c r="DA148" s="15"/>
      <c r="DB148" s="15"/>
      <c r="DC148" s="15"/>
      <c r="DD148" s="15"/>
      <c r="DE148" s="15"/>
    </row>
    <row r="149" spans="1:109" x14ac:dyDescent="0.3">
      <c r="A149" s="15"/>
      <c r="B149" s="15"/>
      <c r="C149" s="15"/>
      <c r="D149" s="15"/>
      <c r="E149" s="15"/>
      <c r="F149" s="15"/>
      <c r="G149" s="15"/>
      <c r="H149" s="15"/>
      <c r="I149" s="15"/>
      <c r="J149" s="15"/>
      <c r="K149" s="15"/>
      <c r="L149" s="15"/>
      <c r="M149" s="15"/>
      <c r="N149" s="15"/>
      <c r="O149" s="15"/>
      <c r="P149" s="15"/>
      <c r="Q149" s="15"/>
      <c r="R149" s="15"/>
      <c r="S149" s="15"/>
      <c r="T149" s="15"/>
      <c r="U149" s="15"/>
      <c r="V149" s="15"/>
      <c r="W149" s="15"/>
      <c r="X149" s="15"/>
      <c r="Y149" s="15"/>
      <c r="Z149" s="15"/>
      <c r="AA149" s="15"/>
      <c r="AB149" s="15"/>
      <c r="AC149" s="15"/>
      <c r="AD149" s="15"/>
      <c r="AE149" s="15"/>
      <c r="AF149" s="15"/>
      <c r="AG149" s="15"/>
      <c r="AH149" s="15"/>
      <c r="AI149" s="15"/>
      <c r="AJ149" s="15"/>
      <c r="AK149" s="15"/>
      <c r="AL149" s="15"/>
      <c r="AM149" s="15"/>
      <c r="AN149" s="15"/>
      <c r="AO149" s="15"/>
      <c r="AP149" s="15"/>
      <c r="AQ149" s="15"/>
      <c r="AR149" s="15"/>
      <c r="AS149" s="15"/>
      <c r="AT149" s="15"/>
      <c r="AU149" s="15"/>
      <c r="AV149" s="15"/>
      <c r="AW149" s="15"/>
      <c r="AX149" s="15"/>
      <c r="AY149" s="15"/>
      <c r="AZ149" s="15"/>
      <c r="BA149" s="15"/>
      <c r="BB149" s="15"/>
      <c r="BC149" s="15"/>
      <c r="BD149" s="15"/>
      <c r="BE149" s="15"/>
      <c r="BF149" s="15"/>
      <c r="BG149" s="15"/>
      <c r="BH149" s="15"/>
      <c r="BI149" s="15"/>
      <c r="BJ149" s="15"/>
      <c r="BK149" s="15"/>
      <c r="BL149" s="15"/>
      <c r="BM149" s="15"/>
      <c r="BN149" s="15"/>
      <c r="BO149" s="15"/>
      <c r="BP149" s="15"/>
      <c r="BQ149" s="15"/>
      <c r="BR149" s="15"/>
      <c r="BS149" s="15"/>
      <c r="BT149" s="15"/>
      <c r="BU149" s="15"/>
      <c r="BV149" s="15"/>
      <c r="BW149" s="15"/>
      <c r="BX149" s="15"/>
      <c r="BY149" s="15"/>
      <c r="BZ149" s="15"/>
      <c r="CA149" s="15"/>
      <c r="CB149" s="15"/>
      <c r="CC149" s="15"/>
      <c r="CD149" s="15"/>
      <c r="CE149" s="15"/>
      <c r="CF149" s="15"/>
      <c r="CG149" s="15"/>
      <c r="CH149" s="15"/>
      <c r="CI149" s="15"/>
      <c r="CJ149" s="15"/>
      <c r="CK149" s="15"/>
      <c r="CL149" s="15"/>
      <c r="CM149" s="15"/>
      <c r="CN149" s="15"/>
      <c r="CO149" s="15"/>
      <c r="CP149" s="15"/>
      <c r="CQ149" s="15"/>
      <c r="CR149" s="15"/>
      <c r="CS149" s="15"/>
      <c r="CT149" s="15"/>
      <c r="CU149" s="15"/>
      <c r="CV149" s="15"/>
      <c r="CW149" s="15"/>
      <c r="CX149" s="15"/>
      <c r="CY149" s="15"/>
      <c r="CZ149" s="15"/>
      <c r="DA149" s="15"/>
      <c r="DB149" s="15"/>
      <c r="DC149" s="15"/>
      <c r="DD149" s="15"/>
      <c r="DE149" s="15"/>
    </row>
    <row r="150" spans="1:109" x14ac:dyDescent="0.3">
      <c r="A150" s="15"/>
      <c r="B150" s="15"/>
      <c r="C150" s="15"/>
      <c r="D150" s="15"/>
      <c r="E150" s="15"/>
      <c r="F150" s="15"/>
      <c r="G150" s="15"/>
      <c r="H150" s="15"/>
      <c r="I150" s="15"/>
      <c r="J150" s="15"/>
      <c r="K150" s="15"/>
      <c r="L150" s="15"/>
      <c r="M150" s="15"/>
      <c r="N150" s="15"/>
      <c r="O150" s="15"/>
      <c r="P150" s="15"/>
      <c r="Q150" s="15"/>
      <c r="R150" s="15"/>
      <c r="S150" s="15"/>
      <c r="T150" s="15"/>
      <c r="U150" s="15"/>
      <c r="V150" s="15"/>
      <c r="W150" s="15"/>
      <c r="X150" s="15"/>
      <c r="Y150" s="15"/>
      <c r="Z150" s="15"/>
      <c r="AA150" s="15"/>
      <c r="AB150" s="15"/>
      <c r="AC150" s="15"/>
      <c r="AD150" s="15"/>
      <c r="AE150" s="15"/>
      <c r="AF150" s="15"/>
      <c r="AG150" s="15"/>
      <c r="AH150" s="15"/>
      <c r="AI150" s="15"/>
      <c r="AJ150" s="15"/>
      <c r="AK150" s="15"/>
      <c r="AL150" s="15"/>
      <c r="AM150" s="15"/>
      <c r="AN150" s="15"/>
      <c r="AO150" s="15"/>
      <c r="AP150" s="15"/>
      <c r="AQ150" s="15"/>
      <c r="AR150" s="15"/>
      <c r="AS150" s="15"/>
      <c r="AT150" s="15"/>
      <c r="AU150" s="15"/>
      <c r="AV150" s="15"/>
      <c r="AW150" s="15"/>
      <c r="AX150" s="15"/>
      <c r="AY150" s="15"/>
      <c r="AZ150" s="15"/>
      <c r="BA150" s="15"/>
      <c r="BB150" s="15"/>
      <c r="BC150" s="15"/>
      <c r="BD150" s="15"/>
      <c r="BE150" s="15"/>
      <c r="BF150" s="15"/>
      <c r="BG150" s="15"/>
      <c r="BH150" s="15"/>
      <c r="BI150" s="15"/>
      <c r="BJ150" s="15"/>
      <c r="BK150" s="15"/>
      <c r="BL150" s="15"/>
      <c r="BM150" s="15"/>
      <c r="BN150" s="15"/>
      <c r="BO150" s="15"/>
      <c r="BP150" s="15"/>
      <c r="BQ150" s="15"/>
      <c r="BR150" s="15"/>
      <c r="BS150" s="15"/>
      <c r="BT150" s="15"/>
      <c r="BU150" s="15"/>
      <c r="BV150" s="15"/>
      <c r="BW150" s="15"/>
      <c r="BX150" s="15"/>
      <c r="BY150" s="15"/>
      <c r="BZ150" s="15"/>
      <c r="CA150" s="15"/>
      <c r="CB150" s="15"/>
      <c r="CC150" s="15"/>
      <c r="CD150" s="15"/>
      <c r="CE150" s="15"/>
      <c r="CF150" s="15"/>
      <c r="CG150" s="15"/>
      <c r="CH150" s="15"/>
      <c r="CI150" s="15"/>
      <c r="CJ150" s="15"/>
      <c r="CK150" s="15"/>
      <c r="CL150" s="15"/>
      <c r="CM150" s="15"/>
      <c r="CN150" s="15"/>
      <c r="CO150" s="15"/>
      <c r="CP150" s="15"/>
      <c r="CQ150" s="15"/>
      <c r="CR150" s="15"/>
      <c r="CS150" s="15"/>
      <c r="CT150" s="15"/>
      <c r="CU150" s="15"/>
      <c r="CV150" s="15"/>
      <c r="CW150" s="15"/>
      <c r="CX150" s="15"/>
      <c r="CY150" s="15"/>
      <c r="CZ150" s="15"/>
      <c r="DA150" s="15"/>
      <c r="DB150" s="15"/>
      <c r="DC150" s="15"/>
      <c r="DD150" s="15"/>
      <c r="DE150" s="15"/>
    </row>
    <row r="151" spans="1:109" x14ac:dyDescent="0.3">
      <c r="A151" s="15"/>
      <c r="B151" s="15"/>
      <c r="C151" s="15"/>
      <c r="D151" s="15"/>
      <c r="E151" s="15"/>
      <c r="F151" s="15"/>
      <c r="G151" s="15"/>
      <c r="H151" s="15"/>
      <c r="I151" s="15"/>
      <c r="J151" s="15"/>
      <c r="K151" s="15"/>
      <c r="L151" s="15"/>
      <c r="M151" s="15"/>
      <c r="N151" s="15"/>
      <c r="O151" s="15"/>
      <c r="P151" s="15"/>
      <c r="Q151" s="15"/>
      <c r="R151" s="15"/>
      <c r="S151" s="15"/>
      <c r="T151" s="15"/>
      <c r="U151" s="15"/>
      <c r="V151" s="15"/>
      <c r="W151" s="15"/>
      <c r="X151" s="15"/>
      <c r="Y151" s="15"/>
      <c r="Z151" s="15"/>
      <c r="AA151" s="15"/>
      <c r="AB151" s="15"/>
      <c r="AC151" s="15"/>
      <c r="AD151" s="15"/>
      <c r="AE151" s="15"/>
      <c r="AF151" s="15"/>
      <c r="AG151" s="15"/>
      <c r="AH151" s="15"/>
      <c r="AI151" s="15"/>
      <c r="AJ151" s="15"/>
      <c r="AK151" s="15"/>
      <c r="AL151" s="15"/>
      <c r="AM151" s="15"/>
      <c r="AN151" s="15"/>
      <c r="AO151" s="15"/>
      <c r="AP151" s="15"/>
      <c r="AQ151" s="15"/>
      <c r="AR151" s="15"/>
      <c r="AS151" s="15"/>
      <c r="AT151" s="15"/>
      <c r="AU151" s="15"/>
      <c r="AV151" s="15"/>
      <c r="AW151" s="15"/>
      <c r="AX151" s="15"/>
      <c r="AY151" s="15"/>
      <c r="AZ151" s="15"/>
      <c r="BA151" s="15"/>
      <c r="BB151" s="15"/>
      <c r="BC151" s="15"/>
      <c r="BD151" s="15"/>
      <c r="BE151" s="15"/>
      <c r="BF151" s="15"/>
      <c r="BG151" s="15"/>
      <c r="BH151" s="15"/>
      <c r="BI151" s="15"/>
      <c r="BJ151" s="15"/>
      <c r="BK151" s="15"/>
      <c r="BL151" s="15"/>
      <c r="BM151" s="15"/>
      <c r="BN151" s="15"/>
      <c r="BO151" s="15"/>
      <c r="BP151" s="15"/>
      <c r="BQ151" s="15"/>
      <c r="BR151" s="15"/>
      <c r="BS151" s="15"/>
      <c r="BT151" s="15"/>
      <c r="BU151" s="15"/>
      <c r="BV151" s="15"/>
      <c r="BW151" s="15"/>
      <c r="BX151" s="15"/>
      <c r="BY151" s="15"/>
      <c r="BZ151" s="15"/>
      <c r="CA151" s="15"/>
      <c r="CB151" s="15"/>
      <c r="CC151" s="15"/>
      <c r="CD151" s="15"/>
      <c r="CE151" s="15"/>
      <c r="CF151" s="15"/>
      <c r="CG151" s="15"/>
      <c r="CH151" s="15"/>
      <c r="CI151" s="15"/>
      <c r="CJ151" s="15"/>
      <c r="CK151" s="15"/>
      <c r="CL151" s="15"/>
      <c r="CM151" s="15"/>
      <c r="CN151" s="15"/>
      <c r="CO151" s="15"/>
      <c r="CP151" s="15"/>
      <c r="CQ151" s="15"/>
      <c r="CR151" s="15"/>
      <c r="CS151" s="15"/>
      <c r="CT151" s="15"/>
      <c r="CU151" s="15"/>
      <c r="CV151" s="15"/>
      <c r="CW151" s="15"/>
      <c r="CX151" s="15"/>
      <c r="CY151" s="15"/>
      <c r="CZ151" s="15"/>
      <c r="DA151" s="15"/>
      <c r="DB151" s="15"/>
      <c r="DC151" s="15"/>
      <c r="DD151" s="15"/>
      <c r="DE151" s="15"/>
    </row>
    <row r="152" spans="1:109" x14ac:dyDescent="0.3">
      <c r="A152" s="15"/>
      <c r="B152" s="15"/>
      <c r="C152" s="15"/>
      <c r="D152" s="15"/>
      <c r="E152" s="15"/>
      <c r="F152" s="15"/>
      <c r="G152" s="15"/>
      <c r="H152" s="15"/>
      <c r="I152" s="15"/>
      <c r="J152" s="15"/>
      <c r="K152" s="15"/>
      <c r="L152" s="15"/>
      <c r="M152" s="15"/>
      <c r="N152" s="15"/>
      <c r="O152" s="15"/>
      <c r="P152" s="15"/>
      <c r="Q152" s="15"/>
      <c r="R152" s="15"/>
      <c r="S152" s="15"/>
      <c r="T152" s="15"/>
      <c r="U152" s="15"/>
      <c r="V152" s="15"/>
      <c r="W152" s="15"/>
      <c r="X152" s="15"/>
      <c r="Y152" s="15"/>
      <c r="Z152" s="15"/>
      <c r="AA152" s="15"/>
      <c r="AB152" s="15"/>
      <c r="AC152" s="15"/>
      <c r="AD152" s="15"/>
      <c r="AE152" s="15"/>
      <c r="AF152" s="15"/>
      <c r="AG152" s="15"/>
      <c r="AH152" s="15"/>
      <c r="AI152" s="15"/>
      <c r="AJ152" s="15"/>
      <c r="AK152" s="15"/>
      <c r="AL152" s="15"/>
      <c r="AM152" s="15"/>
      <c r="AN152" s="15"/>
      <c r="AO152" s="15"/>
      <c r="AP152" s="15"/>
      <c r="AQ152" s="15"/>
      <c r="AR152" s="15"/>
      <c r="AS152" s="15"/>
      <c r="AT152" s="15"/>
      <c r="AU152" s="15"/>
      <c r="AV152" s="15"/>
      <c r="AW152" s="15"/>
      <c r="AX152" s="15"/>
      <c r="AY152" s="15"/>
      <c r="AZ152" s="15"/>
      <c r="BA152" s="15"/>
      <c r="BB152" s="15"/>
      <c r="BC152" s="15"/>
      <c r="BD152" s="15"/>
      <c r="BE152" s="15"/>
      <c r="BF152" s="15"/>
      <c r="BG152" s="15"/>
      <c r="BH152" s="15"/>
      <c r="BI152" s="15"/>
      <c r="BJ152" s="15"/>
      <c r="BK152" s="15"/>
      <c r="BL152" s="15"/>
      <c r="BM152" s="15"/>
      <c r="BN152" s="15"/>
      <c r="BO152" s="15"/>
      <c r="BP152" s="15"/>
      <c r="BQ152" s="15"/>
      <c r="BR152" s="15"/>
      <c r="BS152" s="15"/>
      <c r="BT152" s="15"/>
      <c r="BU152" s="15"/>
      <c r="BV152" s="15"/>
      <c r="BW152" s="15"/>
      <c r="BX152" s="15"/>
      <c r="BY152" s="15"/>
      <c r="BZ152" s="15"/>
      <c r="CA152" s="15"/>
      <c r="CB152" s="15"/>
      <c r="CC152" s="15"/>
      <c r="CD152" s="15"/>
      <c r="CE152" s="15"/>
      <c r="CF152" s="15"/>
      <c r="CG152" s="15"/>
      <c r="CH152" s="15"/>
      <c r="CI152" s="15"/>
      <c r="CJ152" s="15"/>
      <c r="CK152" s="15"/>
      <c r="CL152" s="15"/>
      <c r="CM152" s="15"/>
      <c r="CN152" s="15"/>
      <c r="CO152" s="15"/>
      <c r="CP152" s="15"/>
      <c r="CQ152" s="15"/>
      <c r="CR152" s="15"/>
      <c r="CS152" s="15"/>
      <c r="CT152" s="15"/>
      <c r="CU152" s="15"/>
      <c r="CV152" s="15"/>
      <c r="CW152" s="15"/>
      <c r="CX152" s="15"/>
      <c r="CY152" s="15"/>
      <c r="CZ152" s="15"/>
      <c r="DA152" s="15"/>
      <c r="DB152" s="15"/>
      <c r="DC152" s="15"/>
      <c r="DD152" s="15"/>
      <c r="DE152" s="15"/>
    </row>
    <row r="153" spans="1:109" x14ac:dyDescent="0.3">
      <c r="A153" s="15"/>
      <c r="B153" s="15"/>
      <c r="C153" s="15"/>
      <c r="D153" s="15"/>
      <c r="E153" s="15"/>
      <c r="F153" s="15"/>
      <c r="G153" s="15"/>
      <c r="H153" s="15"/>
      <c r="I153" s="15"/>
      <c r="J153" s="15"/>
      <c r="K153" s="15"/>
      <c r="L153" s="15"/>
      <c r="M153" s="15"/>
      <c r="N153" s="15"/>
      <c r="O153" s="15"/>
      <c r="P153" s="15"/>
      <c r="Q153" s="15"/>
      <c r="R153" s="15"/>
      <c r="S153" s="15"/>
      <c r="T153" s="15"/>
      <c r="U153" s="15"/>
      <c r="V153" s="15"/>
      <c r="W153" s="15"/>
      <c r="X153" s="15"/>
      <c r="Y153" s="15"/>
      <c r="Z153" s="15"/>
      <c r="AA153" s="15"/>
      <c r="AB153" s="15"/>
      <c r="AC153" s="15"/>
      <c r="AD153" s="15"/>
      <c r="AE153" s="15"/>
      <c r="AF153" s="15"/>
      <c r="AG153" s="15"/>
      <c r="AH153" s="15"/>
      <c r="AI153" s="15"/>
      <c r="AJ153" s="15"/>
      <c r="AK153" s="15"/>
      <c r="AL153" s="15"/>
      <c r="AM153" s="15"/>
      <c r="AN153" s="15"/>
      <c r="AO153" s="15"/>
      <c r="AP153" s="15"/>
      <c r="AQ153" s="15"/>
      <c r="AR153" s="15"/>
      <c r="AS153" s="15"/>
      <c r="AT153" s="15"/>
      <c r="AU153" s="15"/>
      <c r="AV153" s="15"/>
      <c r="AW153" s="15"/>
      <c r="AX153" s="15"/>
      <c r="AY153" s="15"/>
      <c r="AZ153" s="15"/>
      <c r="BA153" s="15"/>
      <c r="BB153" s="15"/>
      <c r="BC153" s="15"/>
      <c r="BD153" s="15"/>
      <c r="BE153" s="15"/>
      <c r="BF153" s="15"/>
      <c r="BG153" s="15"/>
      <c r="BH153" s="15"/>
      <c r="BI153" s="15"/>
      <c r="BJ153" s="15"/>
      <c r="BK153" s="15"/>
      <c r="BL153" s="15"/>
      <c r="BM153" s="15"/>
      <c r="BN153" s="15"/>
      <c r="BO153" s="15"/>
      <c r="BP153" s="15"/>
      <c r="BQ153" s="15"/>
      <c r="BR153" s="15"/>
      <c r="BS153" s="15"/>
      <c r="BT153" s="15"/>
      <c r="BU153" s="15"/>
      <c r="BV153" s="15"/>
      <c r="BW153" s="15"/>
      <c r="BX153" s="15"/>
      <c r="BY153" s="15"/>
      <c r="BZ153" s="15"/>
      <c r="CA153" s="15"/>
      <c r="CB153" s="15"/>
      <c r="CC153" s="15"/>
      <c r="CD153" s="15"/>
      <c r="CE153" s="15"/>
      <c r="CF153" s="15"/>
      <c r="CG153" s="15"/>
      <c r="CH153" s="15"/>
      <c r="CI153" s="15"/>
      <c r="CJ153" s="15"/>
      <c r="CK153" s="15"/>
      <c r="CL153" s="15"/>
      <c r="CM153" s="15"/>
      <c r="CN153" s="15"/>
      <c r="CO153" s="15"/>
      <c r="CP153" s="15"/>
      <c r="CQ153" s="15"/>
      <c r="CR153" s="15"/>
      <c r="CS153" s="15"/>
      <c r="CT153" s="15"/>
      <c r="CU153" s="15"/>
      <c r="CV153" s="15"/>
      <c r="CW153" s="15"/>
      <c r="CX153" s="15"/>
      <c r="CY153" s="15"/>
      <c r="CZ153" s="15"/>
      <c r="DA153" s="15"/>
      <c r="DB153" s="15"/>
      <c r="DC153" s="15"/>
      <c r="DD153" s="15"/>
      <c r="DE153" s="15"/>
    </row>
    <row r="154" spans="1:109" x14ac:dyDescent="0.3">
      <c r="A154" s="15"/>
      <c r="B154" s="15"/>
      <c r="C154" s="15"/>
      <c r="D154" s="15"/>
      <c r="E154" s="15"/>
      <c r="F154" s="15"/>
      <c r="G154" s="15"/>
      <c r="H154" s="15"/>
      <c r="I154" s="15"/>
      <c r="J154" s="15"/>
      <c r="K154" s="15"/>
      <c r="L154" s="15"/>
      <c r="M154" s="15"/>
      <c r="N154" s="15"/>
      <c r="O154" s="15"/>
      <c r="P154" s="15"/>
      <c r="Q154" s="15"/>
      <c r="R154" s="15"/>
      <c r="S154" s="15"/>
      <c r="T154" s="15"/>
      <c r="U154" s="15"/>
      <c r="V154" s="15"/>
      <c r="W154" s="15"/>
      <c r="X154" s="15"/>
      <c r="Y154" s="15"/>
      <c r="Z154" s="15"/>
      <c r="AA154" s="15"/>
      <c r="AB154" s="15"/>
      <c r="AC154" s="15"/>
      <c r="AD154" s="15"/>
      <c r="AE154" s="15"/>
      <c r="AF154" s="15"/>
      <c r="AG154" s="15"/>
      <c r="AH154" s="15"/>
      <c r="AI154" s="15"/>
      <c r="AJ154" s="15"/>
      <c r="AK154" s="15"/>
      <c r="AL154" s="15"/>
      <c r="AM154" s="15"/>
      <c r="AN154" s="15"/>
      <c r="AO154" s="15"/>
      <c r="AP154" s="15"/>
      <c r="AQ154" s="15"/>
      <c r="AR154" s="15"/>
      <c r="AS154" s="15"/>
      <c r="AT154" s="15"/>
      <c r="AU154" s="15"/>
      <c r="AV154" s="15"/>
      <c r="AW154" s="15"/>
      <c r="AX154" s="15"/>
      <c r="AY154" s="15"/>
      <c r="AZ154" s="15"/>
      <c r="BA154" s="15"/>
      <c r="BB154" s="15"/>
      <c r="BC154" s="15"/>
      <c r="BD154" s="15"/>
      <c r="BE154" s="15"/>
      <c r="BF154" s="15"/>
      <c r="BG154" s="15"/>
      <c r="BH154" s="15"/>
      <c r="BI154" s="15"/>
      <c r="BJ154" s="15"/>
      <c r="BK154" s="15"/>
      <c r="BL154" s="15"/>
      <c r="BM154" s="15"/>
      <c r="BN154" s="15"/>
      <c r="BO154" s="15"/>
      <c r="BP154" s="15"/>
      <c r="BQ154" s="15"/>
      <c r="BR154" s="15"/>
      <c r="BS154" s="15"/>
      <c r="BT154" s="15"/>
      <c r="BU154" s="15"/>
      <c r="BV154" s="15"/>
      <c r="BW154" s="15"/>
      <c r="BX154" s="15"/>
      <c r="BY154" s="15"/>
      <c r="BZ154" s="15"/>
      <c r="CA154" s="15"/>
      <c r="CB154" s="15"/>
      <c r="CC154" s="15"/>
      <c r="CD154" s="15"/>
      <c r="CE154" s="15"/>
      <c r="CF154" s="15"/>
      <c r="CG154" s="15"/>
      <c r="CH154" s="15"/>
      <c r="CI154" s="15"/>
      <c r="CJ154" s="15"/>
      <c r="CK154" s="15"/>
      <c r="CL154" s="15"/>
      <c r="CM154" s="15"/>
      <c r="CN154" s="15"/>
      <c r="CO154" s="15"/>
      <c r="CP154" s="15"/>
      <c r="CQ154" s="15"/>
      <c r="CR154" s="15"/>
      <c r="CS154" s="15"/>
      <c r="CT154" s="15"/>
      <c r="CU154" s="15"/>
      <c r="CV154" s="15"/>
      <c r="CW154" s="15"/>
      <c r="CX154" s="15"/>
      <c r="CY154" s="15"/>
      <c r="CZ154" s="15"/>
      <c r="DA154" s="15"/>
      <c r="DB154" s="15"/>
      <c r="DC154" s="15"/>
      <c r="DD154" s="15"/>
      <c r="DE154" s="15"/>
    </row>
    <row r="155" spans="1:109" x14ac:dyDescent="0.3">
      <c r="A155" s="15"/>
      <c r="B155" s="15"/>
      <c r="C155" s="15"/>
      <c r="D155" s="15"/>
      <c r="E155" s="15"/>
      <c r="F155" s="15"/>
      <c r="G155" s="15"/>
      <c r="H155" s="15"/>
      <c r="I155" s="15"/>
      <c r="J155" s="15"/>
      <c r="K155" s="15"/>
      <c r="L155" s="15"/>
      <c r="M155" s="15"/>
      <c r="N155" s="15"/>
      <c r="O155" s="15"/>
      <c r="P155" s="15"/>
      <c r="Q155" s="15"/>
      <c r="R155" s="15"/>
      <c r="S155" s="15"/>
      <c r="T155" s="15"/>
      <c r="U155" s="15"/>
      <c r="V155" s="15"/>
      <c r="W155" s="15"/>
      <c r="X155" s="15"/>
      <c r="Y155" s="15"/>
      <c r="Z155" s="15"/>
      <c r="AA155" s="15"/>
      <c r="AB155" s="15"/>
      <c r="AC155" s="15"/>
      <c r="AD155" s="15"/>
      <c r="AE155" s="15"/>
      <c r="AF155" s="15"/>
      <c r="AG155" s="15"/>
      <c r="AH155" s="15"/>
      <c r="AI155" s="15"/>
      <c r="AJ155" s="15"/>
      <c r="AK155" s="15"/>
      <c r="AL155" s="15"/>
      <c r="AM155" s="15"/>
      <c r="AN155" s="15"/>
      <c r="AO155" s="15"/>
      <c r="AP155" s="15"/>
      <c r="AQ155" s="15"/>
      <c r="AR155" s="15"/>
      <c r="AS155" s="15"/>
      <c r="AT155" s="15"/>
      <c r="AU155" s="15"/>
      <c r="AV155" s="15"/>
      <c r="AW155" s="15"/>
      <c r="AX155" s="15"/>
      <c r="AY155" s="15"/>
      <c r="AZ155" s="15"/>
      <c r="BA155" s="15"/>
      <c r="BB155" s="15"/>
      <c r="BC155" s="15"/>
      <c r="BD155" s="15"/>
      <c r="BE155" s="15"/>
      <c r="BF155" s="15"/>
      <c r="BG155" s="15"/>
      <c r="BH155" s="15"/>
      <c r="BI155" s="15"/>
      <c r="BJ155" s="15"/>
      <c r="BK155" s="15"/>
      <c r="BL155" s="15"/>
      <c r="BM155" s="15"/>
      <c r="BN155" s="15"/>
      <c r="BO155" s="15"/>
      <c r="BP155" s="15"/>
      <c r="BQ155" s="15"/>
      <c r="BR155" s="15"/>
      <c r="BS155" s="15"/>
      <c r="BT155" s="15"/>
      <c r="BU155" s="15"/>
      <c r="BV155" s="15"/>
      <c r="BW155" s="15"/>
      <c r="BX155" s="15"/>
      <c r="BY155" s="15"/>
      <c r="BZ155" s="15"/>
      <c r="CA155" s="15"/>
      <c r="CB155" s="15"/>
      <c r="CC155" s="15"/>
      <c r="CD155" s="15"/>
      <c r="CE155" s="15"/>
      <c r="CF155" s="15"/>
      <c r="CG155" s="15"/>
      <c r="CH155" s="15"/>
      <c r="CI155" s="15"/>
      <c r="CJ155" s="15"/>
      <c r="CK155" s="15"/>
      <c r="CL155" s="15"/>
      <c r="CM155" s="15"/>
      <c r="CN155" s="15"/>
      <c r="CO155" s="15"/>
      <c r="CP155" s="15"/>
      <c r="CQ155" s="15"/>
      <c r="CR155" s="15"/>
      <c r="CS155" s="15"/>
      <c r="CT155" s="15"/>
      <c r="CU155" s="15"/>
      <c r="CV155" s="15"/>
      <c r="CW155" s="15"/>
      <c r="CX155" s="15"/>
      <c r="CY155" s="15"/>
      <c r="CZ155" s="15"/>
      <c r="DA155" s="15"/>
      <c r="DB155" s="15"/>
      <c r="DC155" s="15"/>
      <c r="DD155" s="15"/>
      <c r="DE155" s="15"/>
    </row>
    <row r="156" spans="1:109" x14ac:dyDescent="0.3">
      <c r="A156" s="15"/>
      <c r="B156" s="15"/>
      <c r="C156" s="15"/>
      <c r="D156" s="15"/>
      <c r="E156" s="15"/>
      <c r="F156" s="15"/>
      <c r="G156" s="15"/>
      <c r="H156" s="15"/>
      <c r="I156" s="15"/>
      <c r="J156" s="15"/>
      <c r="K156" s="15"/>
      <c r="L156" s="15"/>
      <c r="M156" s="15"/>
      <c r="N156" s="15"/>
      <c r="O156" s="15"/>
      <c r="P156" s="15"/>
      <c r="Q156" s="15"/>
      <c r="R156" s="15"/>
      <c r="S156" s="15"/>
      <c r="T156" s="15"/>
      <c r="U156" s="15"/>
      <c r="V156" s="15"/>
      <c r="W156" s="15"/>
      <c r="X156" s="15"/>
      <c r="Y156" s="15"/>
      <c r="Z156" s="15"/>
      <c r="AA156" s="15"/>
      <c r="AB156" s="15"/>
      <c r="AC156" s="15"/>
      <c r="AD156" s="15"/>
      <c r="AE156" s="15"/>
      <c r="AF156" s="15"/>
      <c r="AG156" s="15"/>
      <c r="AH156" s="15"/>
      <c r="AI156" s="15"/>
      <c r="AJ156" s="15"/>
      <c r="AK156" s="15"/>
      <c r="AL156" s="15"/>
      <c r="AM156" s="15"/>
      <c r="AN156" s="15"/>
      <c r="AO156" s="15"/>
      <c r="AP156" s="15"/>
      <c r="AQ156" s="15"/>
      <c r="AR156" s="15"/>
      <c r="AS156" s="15"/>
      <c r="AT156" s="15"/>
      <c r="AU156" s="15"/>
      <c r="AV156" s="15"/>
      <c r="AW156" s="15"/>
      <c r="AX156" s="15"/>
      <c r="AY156" s="15"/>
      <c r="AZ156" s="15"/>
      <c r="BA156" s="15"/>
      <c r="BB156" s="15"/>
      <c r="BC156" s="15"/>
      <c r="BD156" s="15"/>
      <c r="BE156" s="15"/>
      <c r="BF156" s="15"/>
      <c r="BG156" s="15"/>
      <c r="BH156" s="15"/>
      <c r="BI156" s="15"/>
      <c r="BJ156" s="15"/>
      <c r="BK156" s="15"/>
      <c r="BL156" s="15"/>
      <c r="BM156" s="15"/>
      <c r="BN156" s="15"/>
      <c r="BO156" s="15"/>
      <c r="BP156" s="15"/>
      <c r="BQ156" s="15"/>
      <c r="BR156" s="15"/>
      <c r="BS156" s="15"/>
      <c r="BT156" s="15"/>
      <c r="BU156" s="15"/>
      <c r="BV156" s="15"/>
      <c r="BW156" s="15"/>
      <c r="BX156" s="15"/>
      <c r="BY156" s="15"/>
      <c r="BZ156" s="15"/>
      <c r="CA156" s="15"/>
      <c r="CB156" s="15"/>
      <c r="CC156" s="15"/>
      <c r="CD156" s="15"/>
      <c r="CE156" s="15"/>
      <c r="CF156" s="15"/>
      <c r="CG156" s="15"/>
      <c r="CH156" s="15"/>
      <c r="CI156" s="15"/>
      <c r="CJ156" s="15"/>
      <c r="CK156" s="15"/>
      <c r="CL156" s="15"/>
      <c r="CM156" s="15"/>
      <c r="CN156" s="15"/>
      <c r="CO156" s="15"/>
      <c r="CP156" s="15"/>
      <c r="CQ156" s="15"/>
      <c r="CR156" s="15"/>
      <c r="CS156" s="15"/>
      <c r="CT156" s="15"/>
      <c r="CU156" s="15"/>
      <c r="CV156" s="15"/>
      <c r="CW156" s="15"/>
      <c r="CX156" s="15"/>
      <c r="CY156" s="15"/>
      <c r="CZ156" s="15"/>
      <c r="DA156" s="15"/>
      <c r="DB156" s="15"/>
      <c r="DC156" s="15"/>
      <c r="DD156" s="15"/>
      <c r="DE156" s="15"/>
    </row>
    <row r="157" spans="1:109" x14ac:dyDescent="0.3">
      <c r="A157" s="15"/>
      <c r="B157" s="15"/>
      <c r="C157" s="15"/>
      <c r="D157" s="15"/>
      <c r="E157" s="15"/>
      <c r="F157" s="15"/>
      <c r="G157" s="15"/>
      <c r="H157" s="15"/>
      <c r="I157" s="15"/>
      <c r="J157" s="15"/>
      <c r="K157" s="15"/>
      <c r="L157" s="15"/>
      <c r="M157" s="15"/>
      <c r="N157" s="15"/>
      <c r="O157" s="15"/>
      <c r="P157" s="15"/>
      <c r="Q157" s="15"/>
      <c r="R157" s="15"/>
      <c r="S157" s="15"/>
      <c r="T157" s="15"/>
      <c r="U157" s="15"/>
      <c r="V157" s="15"/>
      <c r="W157" s="15"/>
      <c r="X157" s="15"/>
      <c r="Y157" s="15"/>
      <c r="Z157" s="15"/>
      <c r="AA157" s="15"/>
      <c r="AB157" s="15"/>
      <c r="AC157" s="15"/>
      <c r="AD157" s="15"/>
      <c r="AE157" s="15"/>
      <c r="AF157" s="15"/>
      <c r="AG157" s="15"/>
      <c r="AH157" s="15"/>
      <c r="AI157" s="15"/>
      <c r="AJ157" s="15"/>
      <c r="AK157" s="15"/>
      <c r="AL157" s="15"/>
      <c r="AM157" s="15"/>
      <c r="AN157" s="15"/>
      <c r="AO157" s="15"/>
      <c r="AP157" s="15"/>
      <c r="AQ157" s="15"/>
      <c r="AR157" s="15"/>
      <c r="AS157" s="15"/>
      <c r="AT157" s="15"/>
      <c r="AU157" s="15"/>
      <c r="AV157" s="15"/>
      <c r="AW157" s="15"/>
      <c r="AX157" s="15"/>
      <c r="AY157" s="15"/>
      <c r="AZ157" s="15"/>
      <c r="BA157" s="15"/>
      <c r="BB157" s="15"/>
      <c r="BC157" s="15"/>
      <c r="BD157" s="15"/>
      <c r="BE157" s="15"/>
      <c r="BF157" s="15"/>
      <c r="BG157" s="15"/>
      <c r="BH157" s="15"/>
      <c r="BI157" s="15"/>
      <c r="BJ157" s="15"/>
      <c r="BK157" s="15"/>
      <c r="BL157" s="15"/>
      <c r="BM157" s="15"/>
      <c r="BN157" s="15"/>
      <c r="BO157" s="15"/>
      <c r="BP157" s="15"/>
      <c r="BQ157" s="15"/>
      <c r="BR157" s="15"/>
      <c r="BS157" s="15"/>
      <c r="BT157" s="15"/>
      <c r="BU157" s="15"/>
      <c r="BV157" s="15"/>
      <c r="BW157" s="15"/>
      <c r="BX157" s="15"/>
      <c r="BY157" s="15"/>
      <c r="BZ157" s="15"/>
      <c r="CA157" s="15"/>
      <c r="CB157" s="15"/>
      <c r="CC157" s="15"/>
      <c r="CD157" s="15"/>
      <c r="CE157" s="15"/>
      <c r="CF157" s="15"/>
      <c r="CG157" s="15"/>
      <c r="CH157" s="15"/>
      <c r="CI157" s="15"/>
      <c r="CJ157" s="15"/>
      <c r="CK157" s="15"/>
      <c r="CL157" s="15"/>
      <c r="CM157" s="15"/>
      <c r="CN157" s="15"/>
      <c r="CO157" s="15"/>
      <c r="CP157" s="15"/>
      <c r="CQ157" s="15"/>
      <c r="CR157" s="15"/>
      <c r="CS157" s="15"/>
      <c r="CT157" s="15"/>
      <c r="CU157" s="15"/>
      <c r="CV157" s="15"/>
      <c r="CW157" s="15"/>
      <c r="CX157" s="15"/>
      <c r="CY157" s="15"/>
      <c r="CZ157" s="15"/>
      <c r="DA157" s="15"/>
      <c r="DB157" s="15"/>
      <c r="DC157" s="15"/>
      <c r="DD157" s="15"/>
      <c r="DE157" s="15"/>
    </row>
    <row r="158" spans="1:109" x14ac:dyDescent="0.3">
      <c r="A158" s="15"/>
      <c r="B158" s="15"/>
      <c r="C158" s="15"/>
      <c r="D158" s="15"/>
      <c r="E158" s="15"/>
      <c r="F158" s="15"/>
      <c r="G158" s="15"/>
      <c r="H158" s="15"/>
      <c r="I158" s="15"/>
      <c r="J158" s="15"/>
      <c r="K158" s="15"/>
      <c r="L158" s="15"/>
      <c r="M158" s="15"/>
      <c r="N158" s="15"/>
      <c r="O158" s="15"/>
      <c r="P158" s="15"/>
      <c r="Q158" s="15"/>
      <c r="R158" s="15"/>
      <c r="S158" s="15"/>
      <c r="T158" s="15"/>
      <c r="U158" s="15"/>
      <c r="V158" s="15"/>
      <c r="W158" s="15"/>
      <c r="X158" s="15"/>
      <c r="Y158" s="15"/>
      <c r="Z158" s="15"/>
      <c r="AA158" s="15"/>
      <c r="AB158" s="15"/>
      <c r="AC158" s="15"/>
      <c r="AD158" s="15"/>
      <c r="AE158" s="15"/>
      <c r="AF158" s="15"/>
      <c r="AG158" s="15"/>
      <c r="AH158" s="15"/>
      <c r="AI158" s="15"/>
      <c r="AJ158" s="15"/>
      <c r="AK158" s="15"/>
      <c r="AL158" s="15"/>
      <c r="AM158" s="15"/>
      <c r="AN158" s="15"/>
      <c r="AO158" s="15"/>
      <c r="AP158" s="15"/>
      <c r="AQ158" s="15"/>
      <c r="AR158" s="15"/>
      <c r="AS158" s="15"/>
      <c r="AT158" s="15"/>
      <c r="AU158" s="15"/>
      <c r="AV158" s="15"/>
      <c r="AW158" s="15"/>
      <c r="AX158" s="15"/>
      <c r="AY158" s="15"/>
      <c r="AZ158" s="15"/>
      <c r="BA158" s="15"/>
      <c r="BB158" s="15"/>
      <c r="BC158" s="15"/>
      <c r="BD158" s="15"/>
      <c r="BE158" s="15"/>
      <c r="BF158" s="15"/>
      <c r="BG158" s="15"/>
      <c r="BH158" s="15"/>
      <c r="BI158" s="15"/>
      <c r="BJ158" s="15"/>
      <c r="BK158" s="15"/>
      <c r="BL158" s="15"/>
      <c r="BM158" s="15"/>
      <c r="BN158" s="15"/>
      <c r="BO158" s="15"/>
      <c r="BP158" s="15"/>
      <c r="BQ158" s="15"/>
      <c r="BR158" s="15"/>
      <c r="BS158" s="15"/>
      <c r="BT158" s="15"/>
      <c r="BU158" s="15"/>
      <c r="BV158" s="15"/>
      <c r="BW158" s="15"/>
      <c r="BX158" s="15"/>
      <c r="BY158" s="15"/>
      <c r="BZ158" s="15"/>
      <c r="CA158" s="15"/>
      <c r="CB158" s="15"/>
      <c r="CC158" s="15"/>
      <c r="CD158" s="15"/>
      <c r="CE158" s="15"/>
      <c r="CF158" s="15"/>
      <c r="CG158" s="15"/>
      <c r="CH158" s="15"/>
      <c r="CI158" s="15"/>
      <c r="CJ158" s="15"/>
      <c r="CK158" s="15"/>
      <c r="CL158" s="15"/>
      <c r="CM158" s="15"/>
      <c r="CN158" s="15"/>
      <c r="CO158" s="15"/>
      <c r="CP158" s="15"/>
      <c r="CQ158" s="15"/>
      <c r="CR158" s="15"/>
      <c r="CS158" s="15"/>
      <c r="CT158" s="15"/>
      <c r="CU158" s="15"/>
      <c r="CV158" s="15"/>
      <c r="CW158" s="15"/>
      <c r="CX158" s="15"/>
      <c r="CY158" s="15"/>
      <c r="CZ158" s="15"/>
      <c r="DA158" s="15"/>
      <c r="DB158" s="15"/>
      <c r="DC158" s="15"/>
      <c r="DD158" s="15"/>
      <c r="DE158" s="15"/>
    </row>
    <row r="159" spans="1:109" x14ac:dyDescent="0.3">
      <c r="A159" s="15"/>
      <c r="B159" s="15"/>
      <c r="C159" s="15"/>
      <c r="D159" s="15"/>
      <c r="E159" s="15"/>
      <c r="F159" s="15"/>
      <c r="G159" s="15"/>
      <c r="H159" s="15"/>
      <c r="I159" s="15"/>
      <c r="J159" s="15"/>
      <c r="K159" s="15"/>
      <c r="L159" s="15"/>
      <c r="M159" s="15"/>
      <c r="N159" s="15"/>
      <c r="O159" s="15"/>
      <c r="P159" s="15"/>
      <c r="Q159" s="15"/>
      <c r="R159" s="15"/>
      <c r="S159" s="15"/>
      <c r="T159" s="15"/>
      <c r="U159" s="15"/>
      <c r="V159" s="15"/>
      <c r="W159" s="15"/>
      <c r="X159" s="15"/>
      <c r="Y159" s="15"/>
      <c r="Z159" s="15"/>
      <c r="AA159" s="15"/>
      <c r="AB159" s="15"/>
      <c r="AC159" s="15"/>
      <c r="AD159" s="15"/>
      <c r="AE159" s="15"/>
      <c r="AF159" s="15"/>
      <c r="AG159" s="15"/>
      <c r="AH159" s="15"/>
      <c r="AI159" s="15"/>
      <c r="AJ159" s="15"/>
      <c r="AK159" s="15"/>
      <c r="AL159" s="15"/>
      <c r="AM159" s="15"/>
      <c r="AN159" s="15"/>
      <c r="AO159" s="15"/>
      <c r="AP159" s="15"/>
      <c r="AQ159" s="15"/>
      <c r="AR159" s="15"/>
      <c r="AS159" s="15"/>
      <c r="AT159" s="15"/>
      <c r="AU159" s="15"/>
      <c r="AV159" s="15"/>
      <c r="AW159" s="15"/>
      <c r="AX159" s="15"/>
      <c r="AY159" s="15"/>
      <c r="AZ159" s="15"/>
      <c r="BA159" s="15"/>
      <c r="BB159" s="15"/>
      <c r="BC159" s="15"/>
      <c r="BD159" s="15"/>
      <c r="BE159" s="15"/>
      <c r="BF159" s="15"/>
      <c r="BG159" s="15"/>
      <c r="BH159" s="15"/>
      <c r="BI159" s="15"/>
      <c r="BJ159" s="15"/>
      <c r="BK159" s="15"/>
      <c r="BL159" s="15"/>
      <c r="BM159" s="15"/>
      <c r="BN159" s="15"/>
      <c r="BO159" s="15"/>
      <c r="BP159" s="15"/>
      <c r="BQ159" s="15"/>
      <c r="BR159" s="15"/>
      <c r="BS159" s="15"/>
      <c r="BT159" s="15"/>
      <c r="BU159" s="15"/>
      <c r="BV159" s="15"/>
      <c r="BW159" s="15"/>
      <c r="BX159" s="15"/>
      <c r="BY159" s="15"/>
      <c r="BZ159" s="15"/>
      <c r="CA159" s="15"/>
      <c r="CB159" s="15"/>
      <c r="CC159" s="15"/>
      <c r="CD159" s="15"/>
      <c r="CE159" s="15"/>
      <c r="CF159" s="15"/>
      <c r="CG159" s="15"/>
      <c r="CH159" s="15"/>
      <c r="CI159" s="15"/>
      <c r="CJ159" s="15"/>
      <c r="CK159" s="15"/>
      <c r="CL159" s="15"/>
      <c r="CM159" s="15"/>
      <c r="CN159" s="15"/>
      <c r="CO159" s="15"/>
      <c r="CP159" s="15"/>
      <c r="CQ159" s="15"/>
      <c r="CR159" s="15"/>
      <c r="CS159" s="15"/>
      <c r="CT159" s="15"/>
      <c r="CU159" s="15"/>
      <c r="CV159" s="15"/>
      <c r="CW159" s="15"/>
      <c r="CX159" s="15"/>
      <c r="CY159" s="15"/>
      <c r="CZ159" s="15"/>
      <c r="DA159" s="15"/>
      <c r="DB159" s="15"/>
      <c r="DC159" s="15"/>
      <c r="DD159" s="15"/>
      <c r="DE159" s="15"/>
    </row>
    <row r="160" spans="1:109" x14ac:dyDescent="0.3">
      <c r="A160" s="15"/>
      <c r="B160" s="15"/>
      <c r="C160" s="15"/>
      <c r="D160" s="15"/>
      <c r="E160" s="15"/>
      <c r="F160" s="15"/>
      <c r="G160" s="15"/>
      <c r="H160" s="15"/>
      <c r="I160" s="15"/>
      <c r="J160" s="15"/>
      <c r="K160" s="15"/>
      <c r="L160" s="15"/>
      <c r="M160" s="15"/>
      <c r="N160" s="15"/>
      <c r="O160" s="15"/>
      <c r="P160" s="15"/>
      <c r="Q160" s="15"/>
      <c r="R160" s="15"/>
      <c r="S160" s="15"/>
      <c r="T160" s="15"/>
      <c r="U160" s="15"/>
      <c r="V160" s="15"/>
      <c r="W160" s="15"/>
      <c r="X160" s="15"/>
      <c r="Y160" s="15"/>
      <c r="Z160" s="15"/>
      <c r="AA160" s="15"/>
      <c r="AB160" s="15"/>
      <c r="AC160" s="15"/>
      <c r="AD160" s="15"/>
      <c r="AE160" s="15"/>
      <c r="AF160" s="15"/>
      <c r="AG160" s="15"/>
      <c r="AH160" s="15"/>
      <c r="AI160" s="15"/>
      <c r="AJ160" s="15"/>
      <c r="AK160" s="15"/>
      <c r="AL160" s="15"/>
      <c r="AM160" s="15"/>
      <c r="AN160" s="15"/>
      <c r="AO160" s="15"/>
      <c r="AP160" s="15"/>
      <c r="AQ160" s="15"/>
      <c r="AR160" s="15"/>
      <c r="AS160" s="15"/>
      <c r="AT160" s="15"/>
      <c r="AU160" s="15"/>
      <c r="AV160" s="15"/>
      <c r="AW160" s="15"/>
      <c r="AX160" s="15"/>
      <c r="AY160" s="15"/>
      <c r="AZ160" s="15"/>
      <c r="BA160" s="15"/>
      <c r="BB160" s="15"/>
      <c r="BC160" s="15"/>
      <c r="BD160" s="15"/>
      <c r="BE160" s="15"/>
      <c r="BF160" s="15"/>
      <c r="BG160" s="15"/>
      <c r="BH160" s="15"/>
      <c r="BI160" s="15"/>
      <c r="BJ160" s="15"/>
      <c r="BK160" s="15"/>
      <c r="BL160" s="15"/>
      <c r="BM160" s="15"/>
      <c r="BN160" s="15"/>
      <c r="BO160" s="15"/>
      <c r="BP160" s="15"/>
      <c r="BQ160" s="15"/>
      <c r="BR160" s="15"/>
      <c r="BS160" s="15"/>
      <c r="BT160" s="15"/>
      <c r="BU160" s="15"/>
      <c r="BV160" s="15"/>
      <c r="BW160" s="15"/>
      <c r="BX160" s="15"/>
      <c r="BY160" s="15"/>
      <c r="BZ160" s="15"/>
      <c r="CA160" s="15"/>
      <c r="CB160" s="15"/>
      <c r="CC160" s="15"/>
      <c r="CD160" s="15"/>
      <c r="CE160" s="15"/>
      <c r="CF160" s="15"/>
      <c r="CG160" s="15"/>
      <c r="CH160" s="15"/>
      <c r="CI160" s="15"/>
      <c r="CJ160" s="15"/>
      <c r="CK160" s="15"/>
      <c r="CL160" s="15"/>
      <c r="CM160" s="15"/>
      <c r="CN160" s="15"/>
      <c r="CO160" s="15"/>
      <c r="CP160" s="15"/>
      <c r="CQ160" s="15"/>
      <c r="CR160" s="15"/>
      <c r="CS160" s="15"/>
      <c r="CT160" s="15"/>
      <c r="CU160" s="15"/>
      <c r="CV160" s="15"/>
      <c r="CW160" s="15"/>
      <c r="CX160" s="15"/>
      <c r="CY160" s="15"/>
      <c r="CZ160" s="15"/>
      <c r="DA160" s="15"/>
      <c r="DB160" s="15"/>
      <c r="DC160" s="15"/>
      <c r="DD160" s="15"/>
      <c r="DE160" s="15"/>
    </row>
    <row r="161" spans="1:109" x14ac:dyDescent="0.3">
      <c r="A161" s="15"/>
      <c r="B161" s="15"/>
      <c r="C161" s="15"/>
      <c r="D161" s="15"/>
      <c r="E161" s="15"/>
      <c r="F161" s="15"/>
      <c r="G161" s="15"/>
      <c r="H161" s="15"/>
      <c r="I161" s="15"/>
      <c r="J161" s="15"/>
      <c r="K161" s="15"/>
      <c r="L161" s="15"/>
      <c r="M161" s="15"/>
      <c r="N161" s="15"/>
      <c r="O161" s="15"/>
      <c r="P161" s="15"/>
      <c r="Q161" s="15"/>
      <c r="R161" s="15"/>
      <c r="S161" s="15"/>
      <c r="T161" s="15"/>
      <c r="U161" s="15"/>
      <c r="V161" s="15"/>
      <c r="W161" s="15"/>
      <c r="X161" s="15"/>
      <c r="Y161" s="15"/>
      <c r="Z161" s="15"/>
      <c r="AA161" s="15"/>
      <c r="AB161" s="15"/>
      <c r="AC161" s="15"/>
      <c r="AD161" s="15"/>
      <c r="AE161" s="15"/>
      <c r="AF161" s="15"/>
      <c r="AG161" s="15"/>
      <c r="AH161" s="15"/>
      <c r="AI161" s="15"/>
      <c r="AJ161" s="15"/>
      <c r="AK161" s="15"/>
      <c r="AL161" s="15"/>
      <c r="AM161" s="15"/>
      <c r="AN161" s="15"/>
      <c r="AO161" s="15"/>
      <c r="AP161" s="15"/>
      <c r="AQ161" s="15"/>
      <c r="AR161" s="15"/>
      <c r="AS161" s="15"/>
      <c r="AT161" s="15"/>
      <c r="AU161" s="15"/>
      <c r="AV161" s="15"/>
      <c r="AW161" s="15"/>
      <c r="AX161" s="15"/>
      <c r="AY161" s="15"/>
      <c r="AZ161" s="15"/>
      <c r="BA161" s="15"/>
      <c r="BB161" s="15"/>
      <c r="BC161" s="15"/>
      <c r="BD161" s="15"/>
      <c r="BE161" s="15"/>
      <c r="BF161" s="15"/>
      <c r="BG161" s="15"/>
      <c r="BH161" s="15"/>
      <c r="BI161" s="15"/>
      <c r="BJ161" s="15"/>
      <c r="BK161" s="15"/>
      <c r="BL161" s="15"/>
      <c r="BM161" s="15"/>
      <c r="BN161" s="15"/>
      <c r="BO161" s="15"/>
      <c r="BP161" s="15"/>
      <c r="BQ161" s="15"/>
      <c r="BR161" s="15"/>
      <c r="BS161" s="15"/>
      <c r="BT161" s="15"/>
      <c r="BU161" s="15"/>
      <c r="BV161" s="15"/>
      <c r="BW161" s="15"/>
      <c r="BX161" s="15"/>
      <c r="BY161" s="15"/>
      <c r="BZ161" s="15"/>
      <c r="CA161" s="15"/>
      <c r="CB161" s="15"/>
      <c r="CC161" s="15"/>
      <c r="CD161" s="15"/>
      <c r="CE161" s="15"/>
      <c r="CF161" s="15"/>
      <c r="CG161" s="15"/>
      <c r="CH161" s="15"/>
      <c r="CI161" s="15"/>
      <c r="CJ161" s="15"/>
      <c r="CK161" s="15"/>
      <c r="CL161" s="15"/>
      <c r="CM161" s="15"/>
      <c r="CN161" s="15"/>
      <c r="CO161" s="15"/>
      <c r="CP161" s="15"/>
      <c r="CQ161" s="15"/>
      <c r="CR161" s="15"/>
      <c r="CS161" s="15"/>
      <c r="CT161" s="15"/>
      <c r="CU161" s="15"/>
      <c r="CV161" s="15"/>
      <c r="CW161" s="15"/>
      <c r="CX161" s="15"/>
      <c r="CY161" s="15"/>
      <c r="CZ161" s="15"/>
      <c r="DA161" s="15"/>
      <c r="DB161" s="15"/>
      <c r="DC161" s="15"/>
      <c r="DD161" s="15"/>
      <c r="DE161" s="15"/>
    </row>
    <row r="162" spans="1:109" x14ac:dyDescent="0.3">
      <c r="A162" s="15"/>
      <c r="B162" s="15"/>
      <c r="C162" s="15"/>
      <c r="D162" s="15"/>
      <c r="E162" s="15"/>
      <c r="F162" s="15"/>
      <c r="G162" s="15"/>
      <c r="H162" s="15"/>
      <c r="I162" s="15"/>
      <c r="J162" s="15"/>
      <c r="K162" s="15"/>
      <c r="L162" s="15"/>
      <c r="M162" s="15"/>
      <c r="N162" s="15"/>
      <c r="O162" s="15"/>
      <c r="P162" s="15"/>
      <c r="Q162" s="15"/>
      <c r="R162" s="15"/>
      <c r="S162" s="15"/>
      <c r="T162" s="15"/>
      <c r="U162" s="15"/>
      <c r="V162" s="15"/>
      <c r="W162" s="15"/>
      <c r="X162" s="15"/>
      <c r="Y162" s="15"/>
      <c r="Z162" s="15"/>
      <c r="AA162" s="15"/>
      <c r="AB162" s="15"/>
      <c r="AC162" s="15"/>
      <c r="AD162" s="15"/>
      <c r="AE162" s="15"/>
      <c r="AF162" s="15"/>
      <c r="AG162" s="15"/>
      <c r="AH162" s="15"/>
      <c r="AI162" s="15"/>
      <c r="AJ162" s="15"/>
      <c r="AK162" s="15"/>
      <c r="AL162" s="15"/>
      <c r="AM162" s="15"/>
      <c r="AN162" s="15"/>
      <c r="AO162" s="15"/>
      <c r="AP162" s="15"/>
      <c r="AQ162" s="15"/>
      <c r="AR162" s="15"/>
      <c r="AS162" s="15"/>
      <c r="AT162" s="15"/>
      <c r="AU162" s="15"/>
      <c r="AV162" s="15"/>
      <c r="AW162" s="15"/>
      <c r="AX162" s="15"/>
      <c r="AY162" s="15"/>
      <c r="AZ162" s="15"/>
      <c r="BA162" s="15"/>
      <c r="BB162" s="15"/>
      <c r="BC162" s="15"/>
      <c r="BD162" s="15"/>
      <c r="BE162" s="15"/>
      <c r="BF162" s="15"/>
      <c r="BG162" s="15"/>
      <c r="BH162" s="15"/>
      <c r="BI162" s="15"/>
      <c r="BJ162" s="15"/>
      <c r="BK162" s="15"/>
      <c r="BL162" s="15"/>
      <c r="BM162" s="15"/>
      <c r="BN162" s="15"/>
      <c r="BO162" s="15"/>
      <c r="BP162" s="15"/>
      <c r="BQ162" s="15"/>
      <c r="BR162" s="15"/>
      <c r="BS162" s="15"/>
      <c r="BT162" s="15"/>
      <c r="BU162" s="15"/>
      <c r="BV162" s="15"/>
      <c r="BW162" s="15"/>
      <c r="BX162" s="15"/>
      <c r="BY162" s="15"/>
      <c r="BZ162" s="15"/>
      <c r="CA162" s="15"/>
      <c r="CB162" s="15"/>
      <c r="CC162" s="15"/>
      <c r="CD162" s="15"/>
      <c r="CE162" s="15"/>
      <c r="CF162" s="15"/>
      <c r="CG162" s="15"/>
      <c r="CH162" s="15"/>
      <c r="CI162" s="15"/>
      <c r="CJ162" s="15"/>
      <c r="CK162" s="15"/>
      <c r="CL162" s="15"/>
      <c r="CM162" s="15"/>
      <c r="CN162" s="15"/>
      <c r="CO162" s="15"/>
      <c r="CP162" s="15"/>
      <c r="CQ162" s="15"/>
      <c r="CR162" s="15"/>
      <c r="CS162" s="15"/>
      <c r="CT162" s="15"/>
      <c r="CU162" s="15"/>
      <c r="CV162" s="15"/>
      <c r="CW162" s="15"/>
      <c r="CX162" s="15"/>
      <c r="CY162" s="15"/>
      <c r="CZ162" s="15"/>
      <c r="DA162" s="15"/>
      <c r="DB162" s="15"/>
      <c r="DC162" s="15"/>
      <c r="DD162" s="15"/>
      <c r="DE162" s="15"/>
    </row>
    <row r="163" spans="1:109" x14ac:dyDescent="0.3">
      <c r="A163" s="15"/>
      <c r="B163" s="15"/>
      <c r="C163" s="15"/>
      <c r="D163" s="15"/>
      <c r="E163" s="15"/>
      <c r="F163" s="15"/>
      <c r="G163" s="15"/>
      <c r="H163" s="15"/>
      <c r="I163" s="15"/>
      <c r="J163" s="15"/>
      <c r="K163" s="15"/>
      <c r="L163" s="15"/>
      <c r="M163" s="15"/>
      <c r="N163" s="15"/>
      <c r="O163" s="15"/>
      <c r="P163" s="15"/>
      <c r="Q163" s="15"/>
      <c r="R163" s="15"/>
      <c r="S163" s="15"/>
      <c r="T163" s="15"/>
      <c r="U163" s="15"/>
      <c r="V163" s="15"/>
      <c r="W163" s="15"/>
      <c r="X163" s="15"/>
      <c r="Y163" s="15"/>
      <c r="Z163" s="15"/>
      <c r="AA163" s="15"/>
      <c r="AB163" s="15"/>
      <c r="AC163" s="15"/>
      <c r="AD163" s="15"/>
      <c r="AE163" s="15"/>
      <c r="AF163" s="15"/>
      <c r="AG163" s="15"/>
      <c r="AH163" s="15"/>
      <c r="AI163" s="15"/>
      <c r="AJ163" s="15"/>
      <c r="AK163" s="15"/>
      <c r="AL163" s="15"/>
      <c r="AM163" s="15"/>
      <c r="AN163" s="15"/>
      <c r="AO163" s="15"/>
      <c r="AP163" s="15"/>
      <c r="AQ163" s="15"/>
      <c r="AR163" s="15"/>
      <c r="AS163" s="15"/>
      <c r="AT163" s="15"/>
      <c r="AU163" s="15"/>
      <c r="AV163" s="15"/>
      <c r="AW163" s="15"/>
      <c r="AX163" s="15"/>
      <c r="AY163" s="15"/>
      <c r="AZ163" s="15"/>
      <c r="BA163" s="15"/>
      <c r="BB163" s="15"/>
      <c r="BC163" s="15"/>
      <c r="BD163" s="15"/>
      <c r="BE163" s="15"/>
      <c r="BF163" s="15"/>
      <c r="BG163" s="15"/>
      <c r="BH163" s="15"/>
      <c r="BI163" s="15"/>
      <c r="BJ163" s="15"/>
      <c r="BK163" s="15"/>
      <c r="BL163" s="15"/>
      <c r="BM163" s="15"/>
      <c r="BN163" s="15"/>
      <c r="BO163" s="15"/>
      <c r="BP163" s="15"/>
      <c r="BQ163" s="15"/>
      <c r="BR163" s="15"/>
      <c r="BS163" s="15"/>
      <c r="BT163" s="15"/>
      <c r="BU163" s="15"/>
      <c r="BV163" s="15"/>
      <c r="BW163" s="15"/>
      <c r="BX163" s="15"/>
      <c r="BY163" s="15"/>
      <c r="BZ163" s="15"/>
      <c r="CA163" s="15"/>
      <c r="CB163" s="15"/>
      <c r="CC163" s="15"/>
      <c r="CD163" s="15"/>
      <c r="CE163" s="15"/>
      <c r="CF163" s="15"/>
      <c r="CG163" s="15"/>
      <c r="CH163" s="15"/>
      <c r="CI163" s="15"/>
      <c r="CJ163" s="15"/>
      <c r="CK163" s="15"/>
      <c r="CL163" s="15"/>
      <c r="CM163" s="15"/>
      <c r="CN163" s="15"/>
      <c r="CO163" s="15"/>
      <c r="CP163" s="15"/>
      <c r="CQ163" s="15"/>
      <c r="CR163" s="15"/>
      <c r="CS163" s="15"/>
      <c r="CT163" s="15"/>
      <c r="CU163" s="15"/>
      <c r="CV163" s="15"/>
      <c r="CW163" s="15"/>
      <c r="CX163" s="15"/>
      <c r="CY163" s="15"/>
      <c r="CZ163" s="15"/>
      <c r="DA163" s="15"/>
      <c r="DB163" s="15"/>
      <c r="DC163" s="15"/>
      <c r="DD163" s="15"/>
      <c r="DE163" s="15"/>
    </row>
    <row r="164" spans="1:109" x14ac:dyDescent="0.3">
      <c r="A164" s="15"/>
      <c r="B164" s="15"/>
      <c r="C164" s="15"/>
      <c r="D164" s="15"/>
      <c r="E164" s="15"/>
      <c r="F164" s="15"/>
      <c r="G164" s="15"/>
      <c r="H164" s="15"/>
      <c r="I164" s="15"/>
      <c r="J164" s="15"/>
      <c r="K164" s="15"/>
      <c r="L164" s="15"/>
      <c r="M164" s="15"/>
      <c r="N164" s="15"/>
      <c r="O164" s="15"/>
      <c r="P164" s="15"/>
      <c r="Q164" s="15"/>
      <c r="R164" s="15"/>
      <c r="S164" s="15"/>
      <c r="T164" s="15"/>
      <c r="U164" s="15"/>
      <c r="V164" s="15"/>
      <c r="W164" s="15"/>
      <c r="X164" s="15"/>
      <c r="Y164" s="15"/>
      <c r="Z164" s="15"/>
      <c r="AA164" s="15"/>
      <c r="AB164" s="15"/>
      <c r="AC164" s="15"/>
      <c r="AD164" s="15"/>
      <c r="AE164" s="15"/>
      <c r="AF164" s="15"/>
      <c r="AG164" s="15"/>
      <c r="AH164" s="15"/>
      <c r="AI164" s="15"/>
      <c r="AJ164" s="15"/>
      <c r="AK164" s="15"/>
      <c r="AL164" s="15"/>
      <c r="AM164" s="15"/>
      <c r="AN164" s="15"/>
      <c r="AO164" s="15"/>
      <c r="AP164" s="15"/>
      <c r="AQ164" s="15"/>
      <c r="AR164" s="15"/>
      <c r="AS164" s="15"/>
      <c r="AT164" s="15"/>
      <c r="AU164" s="15"/>
      <c r="AV164" s="15"/>
      <c r="AW164" s="15"/>
      <c r="AX164" s="15"/>
      <c r="AY164" s="15"/>
      <c r="AZ164" s="15"/>
      <c r="BA164" s="15"/>
      <c r="BB164" s="15"/>
      <c r="BC164" s="15"/>
      <c r="BD164" s="15"/>
      <c r="BE164" s="15"/>
      <c r="BF164" s="15"/>
      <c r="BG164" s="15"/>
      <c r="BH164" s="15"/>
      <c r="BI164" s="15"/>
      <c r="BJ164" s="15"/>
      <c r="BK164" s="15"/>
      <c r="BL164" s="15"/>
      <c r="BM164" s="15"/>
      <c r="BN164" s="15"/>
      <c r="BO164" s="15"/>
      <c r="BP164" s="15"/>
      <c r="BQ164" s="15"/>
      <c r="BR164" s="15"/>
      <c r="BS164" s="15"/>
      <c r="BT164" s="15"/>
      <c r="BU164" s="15"/>
      <c r="BV164" s="15"/>
      <c r="BW164" s="15"/>
      <c r="BX164" s="15"/>
      <c r="BY164" s="15"/>
      <c r="BZ164" s="15"/>
      <c r="CA164" s="15"/>
      <c r="CB164" s="15"/>
      <c r="CC164" s="15"/>
      <c r="CD164" s="15"/>
      <c r="CE164" s="15"/>
      <c r="CF164" s="15"/>
      <c r="CG164" s="15"/>
      <c r="CH164" s="15"/>
      <c r="CI164" s="15"/>
      <c r="CJ164" s="15"/>
      <c r="CK164" s="15"/>
      <c r="CL164" s="15"/>
      <c r="CM164" s="15"/>
      <c r="CN164" s="15"/>
      <c r="CO164" s="15"/>
      <c r="CP164" s="15"/>
      <c r="CQ164" s="15"/>
      <c r="CR164" s="15"/>
      <c r="CS164" s="15"/>
      <c r="CT164" s="15"/>
      <c r="CU164" s="15"/>
      <c r="CV164" s="15"/>
      <c r="CW164" s="15"/>
      <c r="CX164" s="15"/>
      <c r="CY164" s="15"/>
      <c r="CZ164" s="15"/>
      <c r="DA164" s="15"/>
      <c r="DB164" s="15"/>
      <c r="DC164" s="15"/>
      <c r="DD164" s="15"/>
      <c r="DE164" s="15"/>
    </row>
    <row r="165" spans="1:109" x14ac:dyDescent="0.3">
      <c r="A165" s="15"/>
      <c r="B165" s="15"/>
      <c r="C165" s="15"/>
      <c r="D165" s="15"/>
      <c r="E165" s="15"/>
      <c r="F165" s="15"/>
      <c r="G165" s="15"/>
      <c r="H165" s="15"/>
      <c r="I165" s="15"/>
      <c r="J165" s="15"/>
      <c r="K165" s="15"/>
      <c r="L165" s="15"/>
      <c r="M165" s="15"/>
      <c r="N165" s="15"/>
      <c r="O165" s="15"/>
      <c r="P165" s="15"/>
      <c r="Q165" s="15"/>
      <c r="R165" s="15"/>
      <c r="S165" s="15"/>
      <c r="T165" s="15"/>
      <c r="U165" s="15"/>
      <c r="V165" s="15"/>
      <c r="W165" s="15"/>
      <c r="X165" s="15"/>
      <c r="Y165" s="15"/>
      <c r="Z165" s="15"/>
      <c r="AA165" s="15"/>
      <c r="AB165" s="15"/>
      <c r="AC165" s="15"/>
      <c r="AD165" s="15"/>
      <c r="AE165" s="15"/>
      <c r="AF165" s="15"/>
      <c r="AG165" s="15"/>
      <c r="AH165" s="15"/>
      <c r="AI165" s="15"/>
      <c r="AJ165" s="15"/>
      <c r="AK165" s="15"/>
      <c r="AL165" s="15"/>
      <c r="AM165" s="15"/>
      <c r="AN165" s="15"/>
      <c r="AO165" s="15"/>
      <c r="AP165" s="15"/>
      <c r="AQ165" s="15"/>
      <c r="AR165" s="15"/>
      <c r="AS165" s="15"/>
      <c r="AT165" s="15"/>
      <c r="AU165" s="15"/>
      <c r="AV165" s="15"/>
      <c r="AW165" s="15"/>
      <c r="AX165" s="15"/>
      <c r="AY165" s="15"/>
      <c r="AZ165" s="15"/>
      <c r="BA165" s="15"/>
      <c r="BB165" s="15"/>
      <c r="BC165" s="15"/>
      <c r="BD165" s="15"/>
      <c r="BE165" s="15"/>
      <c r="BF165" s="15"/>
      <c r="BG165" s="15"/>
      <c r="BH165" s="15"/>
      <c r="BI165" s="15"/>
      <c r="BJ165" s="15"/>
      <c r="BK165" s="15"/>
      <c r="BL165" s="15"/>
      <c r="BM165" s="15"/>
      <c r="BN165" s="15"/>
      <c r="BO165" s="15"/>
      <c r="BP165" s="15"/>
      <c r="BQ165" s="15"/>
      <c r="BR165" s="15"/>
      <c r="BS165" s="15"/>
      <c r="BT165" s="15"/>
      <c r="BU165" s="15"/>
      <c r="BV165" s="15"/>
      <c r="BW165" s="15"/>
      <c r="BX165" s="15"/>
      <c r="BY165" s="15"/>
      <c r="BZ165" s="15"/>
      <c r="CA165" s="15"/>
      <c r="CB165" s="15"/>
      <c r="CC165" s="15"/>
      <c r="CD165" s="15"/>
      <c r="CE165" s="15"/>
      <c r="CF165" s="15"/>
      <c r="CG165" s="15"/>
      <c r="CH165" s="15"/>
      <c r="CI165" s="15"/>
      <c r="CJ165" s="15"/>
      <c r="CK165" s="15"/>
      <c r="CL165" s="15"/>
      <c r="CM165" s="15"/>
      <c r="CN165" s="15"/>
      <c r="CO165" s="15"/>
      <c r="CP165" s="15"/>
      <c r="CQ165" s="15"/>
      <c r="CR165" s="15"/>
      <c r="CS165" s="15"/>
      <c r="CT165" s="15"/>
      <c r="CU165" s="15"/>
      <c r="CV165" s="15"/>
      <c r="CW165" s="15"/>
      <c r="CX165" s="15"/>
      <c r="CY165" s="15"/>
      <c r="CZ165" s="15"/>
      <c r="DA165" s="15"/>
      <c r="DB165" s="15"/>
      <c r="DC165" s="15"/>
      <c r="DD165" s="15"/>
      <c r="DE165" s="15"/>
    </row>
    <row r="166" spans="1:109" x14ac:dyDescent="0.3">
      <c r="A166" s="15"/>
      <c r="B166" s="15"/>
      <c r="C166" s="15"/>
      <c r="D166" s="15"/>
      <c r="E166" s="15"/>
      <c r="F166" s="15"/>
      <c r="G166" s="15"/>
      <c r="H166" s="15"/>
      <c r="I166" s="15"/>
      <c r="J166" s="15"/>
      <c r="K166" s="15"/>
      <c r="L166" s="15"/>
      <c r="M166" s="15"/>
      <c r="N166" s="15"/>
      <c r="O166" s="15"/>
      <c r="P166" s="15"/>
      <c r="Q166" s="15"/>
      <c r="R166" s="15"/>
      <c r="S166" s="15"/>
      <c r="T166" s="15"/>
      <c r="U166" s="15"/>
      <c r="V166" s="15"/>
      <c r="W166" s="15"/>
      <c r="X166" s="15"/>
      <c r="Y166" s="15"/>
      <c r="Z166" s="15"/>
      <c r="AA166" s="15"/>
      <c r="AB166" s="15"/>
      <c r="AC166" s="15"/>
      <c r="AD166" s="15"/>
      <c r="AE166" s="15"/>
      <c r="AF166" s="15"/>
      <c r="AG166" s="15"/>
      <c r="AH166" s="15"/>
      <c r="AI166" s="15"/>
      <c r="AJ166" s="15"/>
      <c r="AK166" s="15"/>
      <c r="AL166" s="15"/>
      <c r="AM166" s="15"/>
      <c r="AN166" s="15"/>
      <c r="AO166" s="15"/>
      <c r="AP166" s="15"/>
      <c r="AQ166" s="15"/>
      <c r="AR166" s="15"/>
      <c r="AS166" s="15"/>
      <c r="AT166" s="15"/>
      <c r="AU166" s="15"/>
      <c r="AV166" s="15"/>
      <c r="AW166" s="15"/>
      <c r="AX166" s="15"/>
      <c r="AY166" s="15"/>
      <c r="AZ166" s="15"/>
      <c r="BA166" s="15"/>
      <c r="BB166" s="15"/>
      <c r="BC166" s="15"/>
      <c r="BD166" s="15"/>
      <c r="BE166" s="15"/>
      <c r="BF166" s="15"/>
      <c r="BG166" s="15"/>
      <c r="BH166" s="15"/>
      <c r="BI166" s="15"/>
      <c r="BJ166" s="15"/>
      <c r="BK166" s="15"/>
      <c r="BL166" s="15"/>
      <c r="BM166" s="15"/>
      <c r="BN166" s="15"/>
      <c r="BO166" s="15"/>
      <c r="BP166" s="15"/>
      <c r="BQ166" s="15"/>
      <c r="BR166" s="15"/>
      <c r="BS166" s="15"/>
      <c r="BT166" s="15"/>
      <c r="BU166" s="15"/>
      <c r="BV166" s="15"/>
      <c r="BW166" s="15"/>
      <c r="BX166" s="15"/>
      <c r="BY166" s="15"/>
      <c r="BZ166" s="15"/>
      <c r="CA166" s="15"/>
      <c r="CB166" s="15"/>
      <c r="CC166" s="15"/>
      <c r="CD166" s="15"/>
      <c r="CE166" s="15"/>
      <c r="CF166" s="15"/>
      <c r="CG166" s="15"/>
      <c r="CH166" s="15"/>
      <c r="CI166" s="15"/>
      <c r="CJ166" s="15"/>
      <c r="CK166" s="15"/>
      <c r="CL166" s="15"/>
      <c r="CM166" s="15"/>
      <c r="CN166" s="15"/>
      <c r="CO166" s="15"/>
      <c r="CP166" s="15"/>
      <c r="CQ166" s="15"/>
      <c r="CR166" s="15"/>
      <c r="CS166" s="15"/>
      <c r="CT166" s="15"/>
      <c r="CU166" s="15"/>
      <c r="CV166" s="15"/>
      <c r="CW166" s="15"/>
      <c r="CX166" s="15"/>
      <c r="CY166" s="15"/>
      <c r="CZ166" s="15"/>
      <c r="DA166" s="15"/>
      <c r="DB166" s="15"/>
      <c r="DC166" s="15"/>
      <c r="DD166" s="15"/>
      <c r="DE166" s="15"/>
    </row>
    <row r="167" spans="1:109" x14ac:dyDescent="0.3">
      <c r="A167" s="15"/>
      <c r="B167" s="15"/>
      <c r="C167" s="15"/>
      <c r="D167" s="15"/>
      <c r="E167" s="15"/>
      <c r="F167" s="15"/>
      <c r="G167" s="15"/>
      <c r="H167" s="15"/>
      <c r="I167" s="15"/>
      <c r="J167" s="15"/>
      <c r="K167" s="15"/>
      <c r="L167" s="15"/>
      <c r="M167" s="15"/>
      <c r="N167" s="15"/>
      <c r="O167" s="15"/>
      <c r="P167" s="15"/>
      <c r="Q167" s="15"/>
      <c r="R167" s="15"/>
      <c r="S167" s="15"/>
      <c r="T167" s="15"/>
      <c r="U167" s="15"/>
      <c r="V167" s="15"/>
      <c r="W167" s="15"/>
      <c r="X167" s="15"/>
      <c r="Y167" s="15"/>
      <c r="Z167" s="15"/>
      <c r="AA167" s="15"/>
      <c r="AB167" s="15"/>
      <c r="AC167" s="15"/>
      <c r="AD167" s="15"/>
      <c r="AE167" s="15"/>
      <c r="AF167" s="15"/>
      <c r="AG167" s="15"/>
      <c r="AH167" s="15"/>
      <c r="AI167" s="15"/>
      <c r="AJ167" s="15"/>
      <c r="AK167" s="15"/>
      <c r="AL167" s="15"/>
      <c r="AM167" s="15"/>
      <c r="AN167" s="15"/>
      <c r="AO167" s="15"/>
      <c r="AP167" s="15"/>
      <c r="AQ167" s="15"/>
      <c r="AR167" s="15"/>
      <c r="AS167" s="15"/>
      <c r="AT167" s="15"/>
      <c r="AU167" s="15"/>
      <c r="AV167" s="15"/>
      <c r="AW167" s="15"/>
      <c r="AX167" s="15"/>
      <c r="AY167" s="15"/>
      <c r="AZ167" s="15"/>
      <c r="BA167" s="15"/>
      <c r="BB167" s="15"/>
      <c r="BC167" s="15"/>
      <c r="BD167" s="15"/>
      <c r="BE167" s="15"/>
      <c r="BF167" s="15"/>
      <c r="BG167" s="15"/>
      <c r="BH167" s="15"/>
      <c r="BI167" s="15"/>
      <c r="BJ167" s="15"/>
      <c r="BK167" s="15"/>
      <c r="BL167" s="15"/>
      <c r="BM167" s="15"/>
      <c r="BN167" s="15"/>
      <c r="BO167" s="15"/>
      <c r="BP167" s="15"/>
      <c r="BQ167" s="15"/>
      <c r="BR167" s="15"/>
      <c r="BS167" s="15"/>
      <c r="BT167" s="15"/>
      <c r="BU167" s="15"/>
      <c r="BV167" s="15"/>
      <c r="BW167" s="15"/>
      <c r="BX167" s="15"/>
      <c r="BY167" s="15"/>
      <c r="BZ167" s="15"/>
      <c r="CA167" s="15"/>
      <c r="CB167" s="15"/>
      <c r="CC167" s="15"/>
      <c r="CD167" s="15"/>
      <c r="CE167" s="15"/>
      <c r="CF167" s="15"/>
      <c r="CG167" s="15"/>
      <c r="CH167" s="15"/>
      <c r="CI167" s="15"/>
      <c r="CJ167" s="15"/>
      <c r="CK167" s="15"/>
      <c r="CL167" s="15"/>
      <c r="CM167" s="15"/>
      <c r="CN167" s="15"/>
      <c r="CO167" s="15"/>
      <c r="CP167" s="15"/>
      <c r="CQ167" s="15"/>
      <c r="CR167" s="15"/>
      <c r="CS167" s="15"/>
      <c r="CT167" s="15"/>
      <c r="CU167" s="15"/>
      <c r="CV167" s="15"/>
      <c r="CW167" s="15"/>
      <c r="CX167" s="15"/>
      <c r="CY167" s="15"/>
      <c r="CZ167" s="15"/>
      <c r="DA167" s="15"/>
      <c r="DB167" s="15"/>
      <c r="DC167" s="15"/>
      <c r="DD167" s="15"/>
      <c r="DE167" s="15"/>
    </row>
    <row r="168" spans="1:109" x14ac:dyDescent="0.3">
      <c r="A168" s="15"/>
      <c r="B168" s="15"/>
      <c r="C168" s="15"/>
      <c r="D168" s="15"/>
      <c r="E168" s="15"/>
      <c r="F168" s="15"/>
      <c r="G168" s="15"/>
      <c r="H168" s="15"/>
      <c r="I168" s="15"/>
      <c r="J168" s="15"/>
      <c r="K168" s="15"/>
      <c r="L168" s="15"/>
      <c r="M168" s="15"/>
      <c r="N168" s="15"/>
      <c r="O168" s="15"/>
      <c r="P168" s="15"/>
      <c r="Q168" s="15"/>
      <c r="R168" s="15"/>
      <c r="S168" s="15"/>
      <c r="T168" s="15"/>
      <c r="U168" s="15"/>
      <c r="V168" s="15"/>
      <c r="W168" s="15"/>
      <c r="X168" s="15"/>
      <c r="Y168" s="15"/>
      <c r="Z168" s="15"/>
      <c r="AA168" s="15"/>
      <c r="AB168" s="15"/>
      <c r="AC168" s="15"/>
      <c r="AD168" s="15"/>
      <c r="AE168" s="15"/>
      <c r="AF168" s="15"/>
      <c r="AG168" s="15"/>
      <c r="AH168" s="15"/>
      <c r="AI168" s="15"/>
      <c r="AJ168" s="15"/>
      <c r="AK168" s="15"/>
      <c r="AL168" s="15"/>
      <c r="AM168" s="15"/>
      <c r="AN168" s="15"/>
      <c r="AO168" s="15"/>
      <c r="AP168" s="15"/>
      <c r="AQ168" s="15"/>
      <c r="AR168" s="15"/>
      <c r="AS168" s="15"/>
      <c r="AT168" s="15"/>
      <c r="AU168" s="15"/>
      <c r="AV168" s="15"/>
      <c r="AW168" s="15"/>
      <c r="AX168" s="15"/>
      <c r="AY168" s="15"/>
      <c r="AZ168" s="15"/>
      <c r="BA168" s="15"/>
      <c r="BB168" s="15"/>
      <c r="BC168" s="15"/>
      <c r="BD168" s="15"/>
      <c r="BE168" s="15"/>
      <c r="BF168" s="15"/>
      <c r="BG168" s="15"/>
      <c r="BH168" s="15"/>
      <c r="BI168" s="15"/>
      <c r="BJ168" s="15"/>
      <c r="BK168" s="15"/>
      <c r="BL168" s="15"/>
      <c r="BM168" s="15"/>
      <c r="BN168" s="15"/>
      <c r="BO168" s="15"/>
      <c r="BP168" s="15"/>
      <c r="BQ168" s="15"/>
      <c r="BR168" s="15"/>
      <c r="BS168" s="15"/>
      <c r="BT168" s="15"/>
      <c r="BU168" s="15"/>
      <c r="BV168" s="15"/>
      <c r="BW168" s="15"/>
      <c r="BX168" s="15"/>
      <c r="BY168" s="15"/>
      <c r="BZ168" s="15"/>
      <c r="CA168" s="15"/>
      <c r="CB168" s="15"/>
      <c r="CC168" s="15"/>
      <c r="CD168" s="15"/>
      <c r="CE168" s="15"/>
      <c r="CF168" s="15"/>
      <c r="CG168" s="15"/>
      <c r="CH168" s="15"/>
      <c r="CI168" s="15"/>
      <c r="CJ168" s="15"/>
      <c r="CK168" s="15"/>
      <c r="CL168" s="15"/>
      <c r="CM168" s="15"/>
      <c r="CN168" s="15"/>
      <c r="CO168" s="15"/>
      <c r="CP168" s="15"/>
      <c r="CQ168" s="15"/>
      <c r="CR168" s="15"/>
      <c r="CS168" s="15"/>
      <c r="CT168" s="15"/>
      <c r="CU168" s="15"/>
      <c r="CV168" s="15"/>
      <c r="CW168" s="15"/>
      <c r="CX168" s="15"/>
      <c r="CY168" s="15"/>
      <c r="CZ168" s="15"/>
      <c r="DA168" s="15"/>
      <c r="DB168" s="15"/>
      <c r="DC168" s="15"/>
      <c r="DD168" s="15"/>
      <c r="DE168" s="15"/>
    </row>
    <row r="169" spans="1:109" x14ac:dyDescent="0.3">
      <c r="A169" s="15"/>
      <c r="B169" s="15"/>
      <c r="C169" s="15"/>
      <c r="D169" s="15"/>
      <c r="E169" s="15"/>
      <c r="F169" s="15"/>
      <c r="G169" s="15"/>
      <c r="H169" s="15"/>
      <c r="I169" s="15"/>
      <c r="J169" s="15"/>
      <c r="K169" s="15"/>
      <c r="L169" s="15"/>
      <c r="M169" s="15"/>
      <c r="N169" s="15"/>
      <c r="O169" s="15"/>
      <c r="P169" s="15"/>
      <c r="Q169" s="15"/>
      <c r="R169" s="15"/>
      <c r="S169" s="15"/>
      <c r="T169" s="15"/>
      <c r="U169" s="15"/>
      <c r="V169" s="15"/>
      <c r="W169" s="15"/>
      <c r="X169" s="15"/>
      <c r="Y169" s="15"/>
      <c r="Z169" s="15"/>
      <c r="AA169" s="15"/>
      <c r="AB169" s="15"/>
      <c r="AC169" s="15"/>
      <c r="AD169" s="15"/>
      <c r="AE169" s="15"/>
      <c r="AF169" s="15"/>
      <c r="AG169" s="15"/>
      <c r="AH169" s="15"/>
      <c r="AI169" s="15"/>
      <c r="AJ169" s="15"/>
      <c r="AK169" s="15"/>
      <c r="AL169" s="15"/>
      <c r="AM169" s="15"/>
      <c r="AN169" s="15"/>
      <c r="AO169" s="15"/>
      <c r="AP169" s="15"/>
      <c r="AQ169" s="15"/>
      <c r="AR169" s="15"/>
      <c r="AS169" s="15"/>
      <c r="AT169" s="15"/>
      <c r="AU169" s="15"/>
      <c r="AV169" s="15"/>
      <c r="AW169" s="15"/>
      <c r="AX169" s="15"/>
      <c r="AY169" s="15"/>
      <c r="AZ169" s="15"/>
      <c r="BA169" s="15"/>
      <c r="BB169" s="15"/>
      <c r="BC169" s="15"/>
      <c r="BD169" s="15"/>
      <c r="BE169" s="15"/>
      <c r="BF169" s="15"/>
      <c r="BG169" s="15"/>
      <c r="BH169" s="15"/>
      <c r="BI169" s="15"/>
      <c r="BJ169" s="15"/>
      <c r="BK169" s="15"/>
      <c r="BL169" s="15"/>
      <c r="BM169" s="15"/>
      <c r="BN169" s="15"/>
      <c r="BO169" s="15"/>
      <c r="BP169" s="15"/>
      <c r="BQ169" s="15"/>
      <c r="BR169" s="15"/>
      <c r="BS169" s="15"/>
      <c r="BT169" s="15"/>
      <c r="BU169" s="15"/>
      <c r="BV169" s="15"/>
      <c r="BW169" s="15"/>
      <c r="BX169" s="15"/>
      <c r="BY169" s="15"/>
      <c r="BZ169" s="15"/>
      <c r="CA169" s="15"/>
      <c r="CB169" s="15"/>
      <c r="CC169" s="15"/>
      <c r="CD169" s="15"/>
      <c r="CE169" s="15"/>
      <c r="CF169" s="15"/>
      <c r="CG169" s="15"/>
      <c r="CH169" s="15"/>
      <c r="CI169" s="15"/>
      <c r="CJ169" s="15"/>
      <c r="CK169" s="15"/>
      <c r="CL169" s="15"/>
      <c r="CM169" s="15"/>
      <c r="CN169" s="15"/>
      <c r="CO169" s="15"/>
      <c r="CP169" s="15"/>
      <c r="CQ169" s="15"/>
      <c r="CR169" s="15"/>
      <c r="CS169" s="15"/>
      <c r="CT169" s="15"/>
      <c r="CU169" s="15"/>
      <c r="CV169" s="15"/>
      <c r="CW169" s="15"/>
      <c r="CX169" s="15"/>
      <c r="CY169" s="15"/>
      <c r="CZ169" s="15"/>
      <c r="DA169" s="15"/>
      <c r="DB169" s="15"/>
      <c r="DC169" s="15"/>
      <c r="DD169" s="15"/>
      <c r="DE169" s="15"/>
    </row>
    <row r="170" spans="1:109" x14ac:dyDescent="0.3">
      <c r="A170" s="15"/>
      <c r="B170" s="15"/>
      <c r="C170" s="15"/>
      <c r="D170" s="15"/>
      <c r="E170" s="15"/>
      <c r="F170" s="15"/>
      <c r="G170" s="15"/>
      <c r="H170" s="15"/>
      <c r="I170" s="15"/>
      <c r="J170" s="15"/>
      <c r="K170" s="15"/>
      <c r="L170" s="15"/>
      <c r="M170" s="15"/>
      <c r="N170" s="15"/>
      <c r="O170" s="15"/>
      <c r="P170" s="15"/>
      <c r="Q170" s="15"/>
      <c r="R170" s="15"/>
      <c r="S170" s="15"/>
      <c r="T170" s="15"/>
      <c r="U170" s="15"/>
      <c r="V170" s="15"/>
      <c r="W170" s="15"/>
      <c r="X170" s="15"/>
      <c r="Y170" s="15"/>
      <c r="Z170" s="15"/>
      <c r="AA170" s="15"/>
      <c r="AB170" s="15"/>
      <c r="AC170" s="15"/>
      <c r="AD170" s="15"/>
      <c r="AE170" s="15"/>
      <c r="AF170" s="15"/>
      <c r="AG170" s="15"/>
      <c r="AH170" s="15"/>
      <c r="AI170" s="15"/>
      <c r="AJ170" s="15"/>
      <c r="AK170" s="15"/>
      <c r="AL170" s="15"/>
      <c r="AM170" s="15"/>
      <c r="AN170" s="15"/>
      <c r="AO170" s="15"/>
      <c r="AP170" s="15"/>
      <c r="AQ170" s="15"/>
      <c r="AR170" s="15"/>
      <c r="AS170" s="15"/>
      <c r="AT170" s="15"/>
      <c r="AU170" s="15"/>
      <c r="AV170" s="15"/>
      <c r="AW170" s="15"/>
      <c r="AX170" s="15"/>
      <c r="AY170" s="15"/>
      <c r="AZ170" s="15"/>
      <c r="BA170" s="15"/>
      <c r="BB170" s="15"/>
      <c r="BC170" s="15"/>
      <c r="BD170" s="15"/>
      <c r="BE170" s="15"/>
      <c r="BF170" s="15"/>
      <c r="BG170" s="15"/>
      <c r="BH170" s="15"/>
      <c r="BI170" s="15"/>
      <c r="BJ170" s="15"/>
      <c r="BK170" s="15"/>
      <c r="BL170" s="15"/>
      <c r="BM170" s="15"/>
      <c r="BN170" s="15"/>
      <c r="BO170" s="15"/>
      <c r="BP170" s="15"/>
      <c r="BQ170" s="15"/>
      <c r="BR170" s="15"/>
      <c r="BS170" s="15"/>
      <c r="BT170" s="15"/>
      <c r="BU170" s="15"/>
      <c r="BV170" s="15"/>
      <c r="BW170" s="15"/>
      <c r="BX170" s="15"/>
      <c r="BY170" s="15"/>
      <c r="BZ170" s="15"/>
      <c r="CA170" s="15"/>
      <c r="CB170" s="15"/>
      <c r="CC170" s="15"/>
      <c r="CD170" s="15"/>
      <c r="CE170" s="15"/>
      <c r="CF170" s="15"/>
      <c r="CG170" s="15"/>
      <c r="CH170" s="15"/>
      <c r="CI170" s="15"/>
      <c r="CJ170" s="15"/>
      <c r="CK170" s="15"/>
      <c r="CL170" s="15"/>
      <c r="CM170" s="15"/>
      <c r="CN170" s="15"/>
      <c r="CO170" s="15"/>
      <c r="CP170" s="15"/>
      <c r="CQ170" s="15"/>
      <c r="CR170" s="15"/>
      <c r="CS170" s="15"/>
      <c r="CT170" s="15"/>
      <c r="CU170" s="15"/>
      <c r="CV170" s="15"/>
      <c r="CW170" s="15"/>
      <c r="CX170" s="15"/>
      <c r="CY170" s="15"/>
      <c r="CZ170" s="15"/>
      <c r="DA170" s="15"/>
      <c r="DB170" s="15"/>
      <c r="DC170" s="15"/>
      <c r="DD170" s="15"/>
      <c r="DE170" s="15"/>
    </row>
    <row r="171" spans="1:109" x14ac:dyDescent="0.3">
      <c r="A171" s="15"/>
      <c r="B171" s="15"/>
      <c r="C171" s="15"/>
      <c r="D171" s="15"/>
      <c r="E171" s="15"/>
      <c r="F171" s="15"/>
      <c r="G171" s="15"/>
      <c r="H171" s="15"/>
      <c r="I171" s="15"/>
      <c r="J171" s="15"/>
      <c r="K171" s="15"/>
      <c r="L171" s="15"/>
      <c r="M171" s="15"/>
      <c r="N171" s="15"/>
      <c r="O171" s="15"/>
      <c r="P171" s="15"/>
      <c r="Q171" s="15"/>
      <c r="R171" s="15"/>
      <c r="S171" s="15"/>
      <c r="T171" s="15"/>
      <c r="U171" s="15"/>
      <c r="V171" s="15"/>
      <c r="W171" s="15"/>
      <c r="X171" s="15"/>
      <c r="Y171" s="15"/>
      <c r="Z171" s="15"/>
      <c r="AA171" s="15"/>
      <c r="AB171" s="15"/>
      <c r="AC171" s="15"/>
      <c r="AD171" s="15"/>
      <c r="AE171" s="15"/>
      <c r="AF171" s="15"/>
      <c r="AG171" s="15"/>
      <c r="AH171" s="15"/>
      <c r="AI171" s="15"/>
      <c r="AJ171" s="15"/>
      <c r="AK171" s="15"/>
      <c r="AL171" s="15"/>
      <c r="AM171" s="15"/>
      <c r="AN171" s="15"/>
      <c r="AO171" s="15"/>
      <c r="AP171" s="15"/>
      <c r="AQ171" s="15"/>
      <c r="AR171" s="15"/>
      <c r="AS171" s="15"/>
      <c r="AT171" s="15"/>
      <c r="AU171" s="15"/>
      <c r="AV171" s="15"/>
      <c r="AW171" s="15"/>
      <c r="AX171" s="15"/>
      <c r="AY171" s="15"/>
      <c r="AZ171" s="15"/>
      <c r="BA171" s="15"/>
      <c r="BB171" s="15"/>
      <c r="BC171" s="15"/>
      <c r="BD171" s="15"/>
      <c r="BE171" s="15"/>
      <c r="BF171" s="15"/>
      <c r="BG171" s="15"/>
      <c r="BH171" s="15"/>
      <c r="BI171" s="15"/>
      <c r="BJ171" s="15"/>
      <c r="BK171" s="15"/>
      <c r="BL171" s="15"/>
      <c r="BM171" s="15"/>
      <c r="BN171" s="15"/>
      <c r="BO171" s="15"/>
      <c r="BP171" s="15"/>
      <c r="BQ171" s="15"/>
      <c r="BR171" s="15"/>
      <c r="BS171" s="15"/>
      <c r="BT171" s="15"/>
      <c r="BU171" s="15"/>
      <c r="BV171" s="15"/>
      <c r="BW171" s="15"/>
      <c r="BX171" s="15"/>
      <c r="BY171" s="15"/>
      <c r="BZ171" s="15"/>
      <c r="CA171" s="15"/>
      <c r="CB171" s="15"/>
      <c r="CC171" s="15"/>
      <c r="CD171" s="15"/>
      <c r="CE171" s="15"/>
      <c r="CF171" s="15"/>
      <c r="CG171" s="15"/>
      <c r="CH171" s="15"/>
      <c r="CI171" s="15"/>
      <c r="CJ171" s="15"/>
      <c r="CK171" s="15"/>
      <c r="CL171" s="15"/>
      <c r="CM171" s="15"/>
      <c r="CN171" s="15"/>
      <c r="CO171" s="15"/>
      <c r="CP171" s="15"/>
      <c r="CQ171" s="15"/>
      <c r="CR171" s="15"/>
      <c r="CS171" s="15"/>
      <c r="CT171" s="15"/>
      <c r="CU171" s="15"/>
      <c r="CV171" s="15"/>
      <c r="CW171" s="15"/>
      <c r="CX171" s="15"/>
      <c r="CY171" s="15"/>
      <c r="CZ171" s="15"/>
      <c r="DA171" s="15"/>
      <c r="DB171" s="15"/>
      <c r="DC171" s="15"/>
      <c r="DD171" s="15"/>
      <c r="DE171" s="15"/>
    </row>
    <row r="172" spans="1:109" x14ac:dyDescent="0.3">
      <c r="A172" s="15"/>
      <c r="B172" s="15"/>
      <c r="C172" s="15"/>
      <c r="D172" s="15"/>
      <c r="E172" s="15"/>
      <c r="F172" s="15"/>
      <c r="G172" s="15"/>
      <c r="H172" s="15"/>
      <c r="I172" s="15"/>
      <c r="J172" s="15"/>
      <c r="K172" s="15"/>
      <c r="L172" s="15"/>
      <c r="M172" s="15"/>
      <c r="N172" s="15"/>
      <c r="O172" s="15"/>
      <c r="P172" s="15"/>
      <c r="Q172" s="15"/>
      <c r="R172" s="15"/>
      <c r="S172" s="15"/>
      <c r="T172" s="15"/>
      <c r="U172" s="15"/>
      <c r="V172" s="15"/>
      <c r="W172" s="15"/>
      <c r="X172" s="15"/>
      <c r="Y172" s="15"/>
      <c r="Z172" s="15"/>
      <c r="AA172" s="15"/>
      <c r="AB172" s="15"/>
      <c r="AC172" s="15"/>
      <c r="AD172" s="15"/>
      <c r="AE172" s="15"/>
      <c r="AF172" s="15"/>
      <c r="AG172" s="15"/>
      <c r="AH172" s="15"/>
      <c r="AI172" s="15"/>
      <c r="AJ172" s="15"/>
      <c r="AK172" s="15"/>
      <c r="AL172" s="15"/>
      <c r="AM172" s="15"/>
      <c r="AN172" s="15"/>
      <c r="AO172" s="15"/>
      <c r="AP172" s="15"/>
      <c r="AQ172" s="15"/>
      <c r="AR172" s="15"/>
      <c r="AS172" s="15"/>
      <c r="AT172" s="15"/>
      <c r="AU172" s="15"/>
      <c r="AV172" s="15"/>
      <c r="AW172" s="15"/>
      <c r="AX172" s="15"/>
      <c r="AY172" s="15"/>
      <c r="AZ172" s="15"/>
      <c r="BA172" s="15"/>
      <c r="BB172" s="15"/>
      <c r="BC172" s="15"/>
      <c r="BD172" s="15"/>
      <c r="BE172" s="15"/>
      <c r="BF172" s="15"/>
      <c r="BG172" s="15"/>
      <c r="BH172" s="15"/>
      <c r="BI172" s="15"/>
      <c r="BJ172" s="15"/>
      <c r="BK172" s="15"/>
      <c r="BL172" s="15"/>
      <c r="BM172" s="15"/>
      <c r="BN172" s="15"/>
      <c r="BO172" s="15"/>
      <c r="BP172" s="15"/>
      <c r="BQ172" s="15"/>
      <c r="BR172" s="15"/>
      <c r="BS172" s="15"/>
      <c r="BT172" s="15"/>
      <c r="BU172" s="15"/>
      <c r="BV172" s="15"/>
      <c r="BW172" s="15"/>
      <c r="BX172" s="15"/>
      <c r="BY172" s="15"/>
      <c r="BZ172" s="15"/>
      <c r="CA172" s="15"/>
      <c r="CB172" s="15"/>
      <c r="CC172" s="15"/>
      <c r="CD172" s="15"/>
      <c r="CE172" s="15"/>
      <c r="CF172" s="15"/>
      <c r="CG172" s="15"/>
      <c r="CH172" s="15"/>
      <c r="CI172" s="15"/>
      <c r="CJ172" s="15"/>
      <c r="CK172" s="15"/>
      <c r="CL172" s="15"/>
      <c r="CM172" s="15"/>
      <c r="CN172" s="15"/>
      <c r="CO172" s="15"/>
      <c r="CP172" s="15"/>
      <c r="CQ172" s="15"/>
      <c r="CR172" s="15"/>
      <c r="CS172" s="15"/>
      <c r="CT172" s="15"/>
      <c r="CU172" s="15"/>
      <c r="CV172" s="15"/>
      <c r="CW172" s="15"/>
      <c r="CX172" s="15"/>
      <c r="CY172" s="15"/>
      <c r="CZ172" s="15"/>
      <c r="DA172" s="15"/>
      <c r="DB172" s="15"/>
      <c r="DC172" s="15"/>
      <c r="DD172" s="15"/>
      <c r="DE172" s="15"/>
    </row>
    <row r="173" spans="1:109" x14ac:dyDescent="0.3">
      <c r="A173" s="15"/>
      <c r="B173" s="15"/>
      <c r="C173" s="15"/>
      <c r="D173" s="15"/>
      <c r="E173" s="15"/>
      <c r="F173" s="15"/>
      <c r="G173" s="15"/>
      <c r="H173" s="15"/>
      <c r="I173" s="15"/>
      <c r="J173" s="15"/>
      <c r="K173" s="15"/>
      <c r="L173" s="15"/>
      <c r="M173" s="15"/>
      <c r="N173" s="15"/>
      <c r="O173" s="15"/>
      <c r="P173" s="15"/>
      <c r="Q173" s="15"/>
      <c r="R173" s="15"/>
      <c r="S173" s="15"/>
      <c r="T173" s="15"/>
      <c r="U173" s="15"/>
      <c r="V173" s="15"/>
      <c r="W173" s="15"/>
      <c r="X173" s="15"/>
      <c r="Y173" s="15"/>
      <c r="Z173" s="15"/>
      <c r="AA173" s="15"/>
      <c r="AB173" s="15"/>
      <c r="AC173" s="15"/>
      <c r="AD173" s="15"/>
      <c r="AE173" s="15"/>
      <c r="AF173" s="15"/>
      <c r="AG173" s="15"/>
      <c r="AH173" s="15"/>
      <c r="AI173" s="15"/>
      <c r="AJ173" s="15"/>
      <c r="AK173" s="15"/>
      <c r="AL173" s="15"/>
      <c r="AM173" s="15"/>
      <c r="AN173" s="15"/>
      <c r="AO173" s="15"/>
      <c r="AP173" s="15"/>
      <c r="AQ173" s="15"/>
      <c r="AR173" s="15"/>
      <c r="AS173" s="15"/>
      <c r="AT173" s="15"/>
      <c r="AU173" s="15"/>
      <c r="AV173" s="15"/>
      <c r="AW173" s="15"/>
      <c r="AX173" s="15"/>
      <c r="AY173" s="15"/>
      <c r="AZ173" s="15"/>
      <c r="BA173" s="15"/>
      <c r="BB173" s="15"/>
      <c r="BC173" s="15"/>
      <c r="BD173" s="15"/>
      <c r="BE173" s="15"/>
      <c r="BF173" s="15"/>
      <c r="BG173" s="15"/>
      <c r="BH173" s="15"/>
      <c r="BI173" s="15"/>
      <c r="BJ173" s="15"/>
      <c r="BK173" s="15"/>
      <c r="BL173" s="15"/>
      <c r="BM173" s="15"/>
      <c r="BN173" s="15"/>
      <c r="BO173" s="15"/>
      <c r="BP173" s="15"/>
      <c r="BQ173" s="15"/>
      <c r="BR173" s="15"/>
      <c r="BS173" s="15"/>
      <c r="BT173" s="15"/>
      <c r="BU173" s="15"/>
      <c r="BV173" s="15"/>
      <c r="BW173" s="15"/>
      <c r="BX173" s="15"/>
      <c r="BY173" s="15"/>
      <c r="BZ173" s="15"/>
      <c r="CA173" s="15"/>
      <c r="CB173" s="15"/>
      <c r="CC173" s="15"/>
      <c r="CD173" s="15"/>
      <c r="CE173" s="15"/>
      <c r="CF173" s="15"/>
      <c r="CG173" s="15"/>
      <c r="CH173" s="15"/>
      <c r="CI173" s="15"/>
      <c r="CJ173" s="15"/>
      <c r="CK173" s="15"/>
      <c r="CL173" s="15"/>
      <c r="CM173" s="15"/>
      <c r="CN173" s="15"/>
      <c r="CO173" s="15"/>
      <c r="CP173" s="15"/>
      <c r="CQ173" s="15"/>
      <c r="CR173" s="15"/>
      <c r="CS173" s="15"/>
      <c r="CT173" s="15"/>
      <c r="CU173" s="15"/>
      <c r="CV173" s="15"/>
      <c r="CW173" s="15"/>
      <c r="CX173" s="15"/>
      <c r="CY173" s="15"/>
      <c r="CZ173" s="15"/>
      <c r="DA173" s="15"/>
      <c r="DB173" s="15"/>
      <c r="DC173" s="15"/>
      <c r="DD173" s="15"/>
      <c r="DE173" s="15"/>
    </row>
    <row r="174" spans="1:109" x14ac:dyDescent="0.3">
      <c r="A174" s="15"/>
      <c r="B174" s="15"/>
      <c r="C174" s="15"/>
      <c r="D174" s="15"/>
      <c r="E174" s="15"/>
      <c r="F174" s="15"/>
      <c r="G174" s="15"/>
      <c r="H174" s="15"/>
      <c r="I174" s="15"/>
      <c r="J174" s="15"/>
      <c r="K174" s="15"/>
      <c r="L174" s="15"/>
      <c r="M174" s="15"/>
      <c r="N174" s="15"/>
      <c r="O174" s="15"/>
      <c r="P174" s="15"/>
      <c r="Q174" s="15"/>
      <c r="R174" s="15"/>
      <c r="S174" s="15"/>
      <c r="T174" s="15"/>
      <c r="U174" s="15"/>
      <c r="V174" s="15"/>
      <c r="W174" s="15"/>
      <c r="X174" s="15"/>
      <c r="Y174" s="15"/>
      <c r="Z174" s="15"/>
      <c r="AA174" s="15"/>
      <c r="AB174" s="15"/>
      <c r="AC174" s="15"/>
      <c r="AD174" s="15"/>
      <c r="AE174" s="15"/>
      <c r="AF174" s="15"/>
      <c r="AG174" s="15"/>
      <c r="AH174" s="15"/>
      <c r="AI174" s="15"/>
      <c r="AJ174" s="15"/>
      <c r="AK174" s="15"/>
      <c r="AL174" s="15"/>
      <c r="AM174" s="15"/>
      <c r="AN174" s="15"/>
      <c r="AO174" s="15"/>
      <c r="AP174" s="15"/>
      <c r="AQ174" s="15"/>
      <c r="AR174" s="15"/>
      <c r="AS174" s="15"/>
      <c r="AT174" s="15"/>
      <c r="AU174" s="15"/>
      <c r="AV174" s="15"/>
      <c r="AW174" s="15"/>
      <c r="AX174" s="15"/>
      <c r="AY174" s="15"/>
      <c r="AZ174" s="15"/>
      <c r="BA174" s="15"/>
      <c r="BB174" s="15"/>
      <c r="BC174" s="15"/>
      <c r="BD174" s="15"/>
      <c r="BE174" s="15"/>
      <c r="BF174" s="15"/>
      <c r="BG174" s="15"/>
      <c r="BH174" s="15"/>
      <c r="BI174" s="15"/>
      <c r="BJ174" s="15"/>
      <c r="BK174" s="15"/>
      <c r="BL174" s="15"/>
      <c r="BM174" s="15"/>
      <c r="BN174" s="15"/>
      <c r="BO174" s="15"/>
      <c r="BP174" s="15"/>
      <c r="BQ174" s="15"/>
      <c r="BR174" s="15"/>
      <c r="BS174" s="15"/>
      <c r="BT174" s="15"/>
      <c r="BU174" s="15"/>
      <c r="BV174" s="15"/>
      <c r="BW174" s="15"/>
      <c r="BX174" s="15"/>
      <c r="BY174" s="15"/>
      <c r="BZ174" s="15"/>
      <c r="CA174" s="15"/>
      <c r="CB174" s="15"/>
      <c r="CC174" s="15"/>
      <c r="CD174" s="15"/>
      <c r="CE174" s="15"/>
      <c r="CF174" s="15"/>
      <c r="CG174" s="15"/>
      <c r="CH174" s="15"/>
      <c r="CI174" s="15"/>
      <c r="CJ174" s="15"/>
      <c r="CK174" s="15"/>
      <c r="CL174" s="15"/>
      <c r="CM174" s="15"/>
      <c r="CN174" s="15"/>
      <c r="CO174" s="15"/>
      <c r="CP174" s="15"/>
      <c r="CQ174" s="15"/>
      <c r="CR174" s="15"/>
      <c r="CS174" s="15"/>
      <c r="CT174" s="15"/>
      <c r="CU174" s="15"/>
      <c r="CV174" s="15"/>
      <c r="CW174" s="15"/>
      <c r="CX174" s="15"/>
      <c r="CY174" s="15"/>
      <c r="CZ174" s="15"/>
      <c r="DA174" s="15"/>
      <c r="DB174" s="15"/>
      <c r="DC174" s="15"/>
      <c r="DD174" s="15"/>
      <c r="DE174" s="15"/>
    </row>
    <row r="175" spans="1:109" x14ac:dyDescent="0.3">
      <c r="A175" s="15"/>
      <c r="B175" s="15"/>
      <c r="C175" s="15"/>
      <c r="D175" s="15"/>
      <c r="E175" s="15"/>
      <c r="F175" s="15"/>
      <c r="G175" s="15"/>
      <c r="H175" s="15"/>
      <c r="I175" s="15"/>
      <c r="J175" s="15"/>
      <c r="K175" s="15"/>
      <c r="L175" s="15"/>
      <c r="M175" s="15"/>
      <c r="N175" s="15"/>
      <c r="O175" s="15"/>
      <c r="P175" s="15"/>
      <c r="Q175" s="15"/>
      <c r="R175" s="15"/>
      <c r="S175" s="15"/>
      <c r="T175" s="15"/>
      <c r="U175" s="15"/>
      <c r="V175" s="15"/>
      <c r="W175" s="15"/>
      <c r="X175" s="15"/>
      <c r="Y175" s="15"/>
      <c r="Z175" s="15"/>
      <c r="AA175" s="15"/>
      <c r="AB175" s="15"/>
      <c r="AC175" s="15"/>
      <c r="AD175" s="15"/>
      <c r="AE175" s="15"/>
      <c r="AF175" s="15"/>
      <c r="AG175" s="15"/>
      <c r="AH175" s="15"/>
      <c r="AI175" s="15"/>
      <c r="AJ175" s="15"/>
      <c r="AK175" s="15"/>
      <c r="AL175" s="15"/>
      <c r="AM175" s="15"/>
      <c r="AN175" s="15"/>
      <c r="AO175" s="15"/>
      <c r="AP175" s="15"/>
      <c r="AQ175" s="15"/>
      <c r="AR175" s="15"/>
      <c r="AS175" s="15"/>
      <c r="AT175" s="15"/>
      <c r="AU175" s="15"/>
      <c r="AV175" s="15"/>
      <c r="AW175" s="15"/>
      <c r="AX175" s="15"/>
      <c r="AY175" s="15"/>
      <c r="AZ175" s="15"/>
      <c r="BA175" s="15"/>
      <c r="BB175" s="15"/>
      <c r="BC175" s="15"/>
      <c r="BD175" s="15"/>
      <c r="BE175" s="15"/>
      <c r="BF175" s="15"/>
      <c r="BG175" s="15"/>
      <c r="BH175" s="15"/>
      <c r="BI175" s="15"/>
      <c r="BJ175" s="15"/>
      <c r="BK175" s="15"/>
      <c r="BL175" s="15"/>
      <c r="BM175" s="15"/>
      <c r="BN175" s="15"/>
      <c r="BO175" s="15"/>
      <c r="BP175" s="15"/>
      <c r="BQ175" s="15"/>
      <c r="BR175" s="15"/>
      <c r="BS175" s="15"/>
      <c r="BT175" s="15"/>
      <c r="BU175" s="15"/>
      <c r="BV175" s="15"/>
      <c r="BW175" s="15"/>
      <c r="BX175" s="15"/>
      <c r="BY175" s="15"/>
      <c r="BZ175" s="15"/>
      <c r="CA175" s="15"/>
      <c r="CB175" s="15"/>
      <c r="CC175" s="15"/>
      <c r="CD175" s="15"/>
      <c r="CE175" s="15"/>
      <c r="CF175" s="15"/>
      <c r="CG175" s="15"/>
      <c r="CH175" s="15"/>
      <c r="CI175" s="15"/>
      <c r="CJ175" s="15"/>
      <c r="CK175" s="15"/>
      <c r="CL175" s="15"/>
      <c r="CM175" s="15"/>
      <c r="CN175" s="15"/>
      <c r="CO175" s="15"/>
      <c r="CP175" s="15"/>
      <c r="CQ175" s="15"/>
      <c r="CR175" s="15"/>
      <c r="CS175" s="15"/>
      <c r="CT175" s="15"/>
      <c r="CU175" s="15"/>
      <c r="CV175" s="15"/>
      <c r="CW175" s="15"/>
      <c r="CX175" s="15"/>
      <c r="CY175" s="15"/>
      <c r="CZ175" s="15"/>
      <c r="DA175" s="15"/>
      <c r="DB175" s="15"/>
      <c r="DC175" s="15"/>
      <c r="DD175" s="15"/>
      <c r="DE175" s="15"/>
    </row>
    <row r="176" spans="1:109" x14ac:dyDescent="0.3">
      <c r="A176" s="15"/>
      <c r="B176" s="15"/>
      <c r="C176" s="15"/>
      <c r="D176" s="15"/>
      <c r="E176" s="15"/>
      <c r="F176" s="15"/>
      <c r="G176" s="15"/>
      <c r="H176" s="15"/>
      <c r="I176" s="15"/>
      <c r="J176" s="15"/>
      <c r="K176" s="15"/>
      <c r="L176" s="15"/>
      <c r="M176" s="15"/>
      <c r="N176" s="15"/>
      <c r="O176" s="15"/>
      <c r="P176" s="15"/>
      <c r="Q176" s="15"/>
      <c r="R176" s="15"/>
      <c r="S176" s="15"/>
      <c r="T176" s="15"/>
      <c r="U176" s="15"/>
      <c r="V176" s="15"/>
      <c r="W176" s="15"/>
      <c r="X176" s="15"/>
      <c r="Y176" s="15"/>
      <c r="Z176" s="15"/>
      <c r="AA176" s="15"/>
      <c r="AB176" s="15"/>
      <c r="AC176" s="15"/>
      <c r="AD176" s="15"/>
      <c r="AE176" s="15"/>
      <c r="AF176" s="15"/>
      <c r="AG176" s="15"/>
      <c r="AH176" s="15"/>
      <c r="AI176" s="15"/>
      <c r="AJ176" s="15"/>
      <c r="AK176" s="15"/>
      <c r="AL176" s="15"/>
      <c r="AM176" s="15"/>
      <c r="AN176" s="15"/>
      <c r="AO176" s="15"/>
      <c r="AP176" s="15"/>
      <c r="AQ176" s="15"/>
      <c r="AR176" s="15"/>
      <c r="AS176" s="15"/>
      <c r="AT176" s="15"/>
      <c r="AU176" s="15"/>
      <c r="AV176" s="15"/>
      <c r="AW176" s="15"/>
      <c r="AX176" s="15"/>
      <c r="AY176" s="15"/>
      <c r="AZ176" s="15"/>
      <c r="BA176" s="15"/>
      <c r="BB176" s="15"/>
      <c r="BC176" s="15"/>
      <c r="BD176" s="15"/>
      <c r="BE176" s="15"/>
      <c r="BF176" s="15"/>
      <c r="BG176" s="15"/>
      <c r="BH176" s="15"/>
      <c r="BI176" s="15"/>
      <c r="BJ176" s="15"/>
      <c r="BK176" s="15"/>
      <c r="BL176" s="15"/>
      <c r="BM176" s="15"/>
      <c r="BN176" s="15"/>
      <c r="BO176" s="15"/>
      <c r="BP176" s="15"/>
      <c r="BQ176" s="15"/>
      <c r="BR176" s="15"/>
      <c r="BS176" s="15"/>
      <c r="BT176" s="15"/>
      <c r="BU176" s="15"/>
      <c r="BV176" s="15"/>
      <c r="BW176" s="15"/>
      <c r="BX176" s="15"/>
      <c r="BY176" s="15"/>
      <c r="BZ176" s="15"/>
      <c r="CA176" s="15"/>
      <c r="CB176" s="15"/>
      <c r="CC176" s="15"/>
      <c r="CD176" s="15"/>
      <c r="CE176" s="15"/>
      <c r="CF176" s="15"/>
      <c r="CG176" s="15"/>
      <c r="CH176" s="15"/>
      <c r="CI176" s="15"/>
      <c r="CJ176" s="15"/>
      <c r="CK176" s="15"/>
      <c r="CL176" s="15"/>
      <c r="CM176" s="15"/>
      <c r="CN176" s="15"/>
      <c r="CO176" s="15"/>
      <c r="CP176" s="15"/>
      <c r="CQ176" s="15"/>
      <c r="CR176" s="15"/>
      <c r="CS176" s="15"/>
      <c r="CT176" s="15"/>
      <c r="CU176" s="15"/>
      <c r="CV176" s="15"/>
      <c r="CW176" s="15"/>
      <c r="CX176" s="15"/>
      <c r="CY176" s="15"/>
      <c r="CZ176" s="15"/>
      <c r="DA176" s="15"/>
      <c r="DB176" s="15"/>
      <c r="DC176" s="15"/>
      <c r="DD176" s="15"/>
      <c r="DE176" s="15"/>
    </row>
  </sheetData>
  <pageMargins left="0.511811024" right="0.511811024" top="0.78740157499999996" bottom="0.78740157499999996" header="0.31496062000000002" footer="0.31496062000000002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2BBC8FA-EAD9-484F-B5E1-D34822B1495F}">
  <sheetPr codeName="Sheet6">
    <tabColor rgb="FFFF0000"/>
  </sheetPr>
  <dimension ref="A1:G255"/>
  <sheetViews>
    <sheetView showGridLines="0" workbookViewId="0">
      <selection activeCell="F6" sqref="F6"/>
    </sheetView>
  </sheetViews>
  <sheetFormatPr defaultRowHeight="14.4" x14ac:dyDescent="0.3"/>
  <cols>
    <col min="1" max="1" width="10.6640625" customWidth="1"/>
    <col min="2" max="2" width="21" style="6" customWidth="1"/>
    <col min="3" max="3" width="21.44140625" style="6" customWidth="1"/>
    <col min="4" max="4" width="22.109375" style="6" customWidth="1"/>
    <col min="5" max="5" width="28.5546875" style="8" customWidth="1"/>
    <col min="6" max="6" width="27" style="8" customWidth="1"/>
    <col min="7" max="7" width="20.88671875" style="8" bestFit="1" customWidth="1"/>
  </cols>
  <sheetData>
    <row r="1" spans="1:7" ht="21.6" thickBot="1" x14ac:dyDescent="0.45">
      <c r="B1" s="19" t="s">
        <v>194</v>
      </c>
      <c r="C1" s="19" t="s">
        <v>193</v>
      </c>
      <c r="D1" s="19" t="s">
        <v>192</v>
      </c>
      <c r="F1" s="26" t="s">
        <v>197</v>
      </c>
      <c r="G1" s="27">
        <f>SUMPRODUCT($F$3:$F$125,$G$3:$G$125)</f>
        <v>0.14901921902668899</v>
      </c>
    </row>
    <row r="2" spans="1:7" x14ac:dyDescent="0.3">
      <c r="A2" s="25" t="s">
        <v>190</v>
      </c>
      <c r="B2" s="24">
        <v>43769</v>
      </c>
      <c r="C2" s="24">
        <v>43798</v>
      </c>
      <c r="D2" s="24">
        <v>43830</v>
      </c>
      <c r="E2" s="26" t="s">
        <v>202</v>
      </c>
      <c r="F2" s="26" t="s">
        <v>198</v>
      </c>
      <c r="G2" s="26" t="s">
        <v>196</v>
      </c>
    </row>
    <row r="3" spans="1:7" x14ac:dyDescent="0.3">
      <c r="A3" t="s">
        <v>14</v>
      </c>
      <c r="B3" s="31">
        <v>10.34</v>
      </c>
      <c r="C3" s="31">
        <v>14.7</v>
      </c>
      <c r="D3" s="31">
        <v>12.84</v>
      </c>
      <c r="E3" s="8">
        <v>0.42166344294003855</v>
      </c>
      <c r="F3" s="8">
        <v>-0.12653061224489792</v>
      </c>
      <c r="G3" s="8">
        <v>0.1</v>
      </c>
    </row>
    <row r="4" spans="1:7" x14ac:dyDescent="0.3">
      <c r="A4" t="s">
        <v>5</v>
      </c>
      <c r="B4" s="31">
        <v>13.371</v>
      </c>
      <c r="C4" s="31">
        <v>16.97</v>
      </c>
      <c r="D4" s="31">
        <v>19.965</v>
      </c>
      <c r="E4" s="8">
        <v>0.26916460997681546</v>
      </c>
      <c r="F4" s="8">
        <v>0.17648791985857404</v>
      </c>
      <c r="G4" s="8">
        <v>0.1</v>
      </c>
    </row>
    <row r="5" spans="1:7" x14ac:dyDescent="0.3">
      <c r="A5" t="s">
        <v>37</v>
      </c>
      <c r="B5" s="31">
        <v>6.2569999999999997</v>
      </c>
      <c r="C5" s="31">
        <v>7.78</v>
      </c>
      <c r="D5" s="31">
        <v>9.2569999999999997</v>
      </c>
      <c r="E5" s="8">
        <v>0.24340738373022219</v>
      </c>
      <c r="F5" s="8">
        <v>0.1898457583547557</v>
      </c>
      <c r="G5" s="8">
        <v>0.1</v>
      </c>
    </row>
    <row r="6" spans="1:7" x14ac:dyDescent="0.3">
      <c r="A6" t="s">
        <v>90</v>
      </c>
      <c r="B6" s="31">
        <v>25.361999999999998</v>
      </c>
      <c r="C6" s="31">
        <v>30.254999999999999</v>
      </c>
      <c r="D6" s="31">
        <v>34.511000000000003</v>
      </c>
      <c r="E6" s="8">
        <v>0.19292642536077609</v>
      </c>
      <c r="F6" s="8">
        <v>0.14067096347711128</v>
      </c>
      <c r="G6" s="8">
        <v>0.1</v>
      </c>
    </row>
    <row r="7" spans="1:7" x14ac:dyDescent="0.3">
      <c r="A7" t="s">
        <v>74</v>
      </c>
      <c r="B7" s="31">
        <v>7.42</v>
      </c>
      <c r="C7" s="31">
        <v>8.81</v>
      </c>
      <c r="D7" s="31">
        <v>11.17</v>
      </c>
      <c r="E7" s="8">
        <v>0.18733153638814026</v>
      </c>
      <c r="F7" s="8">
        <v>0.26787741203178195</v>
      </c>
      <c r="G7" s="8">
        <v>0.1</v>
      </c>
    </row>
    <row r="8" spans="1:7" x14ac:dyDescent="0.3">
      <c r="A8" t="s">
        <v>66</v>
      </c>
      <c r="B8" s="31">
        <v>11.35</v>
      </c>
      <c r="C8" s="31">
        <v>13.457000000000001</v>
      </c>
      <c r="D8" s="31">
        <v>15.574</v>
      </c>
      <c r="E8" s="8">
        <v>0.18563876651982381</v>
      </c>
      <c r="F8" s="8">
        <v>0.1573158950731961</v>
      </c>
      <c r="G8" s="8">
        <v>0.1</v>
      </c>
    </row>
    <row r="9" spans="1:7" x14ac:dyDescent="0.3">
      <c r="A9" t="s">
        <v>65</v>
      </c>
      <c r="B9" s="31">
        <v>32.64</v>
      </c>
      <c r="C9" s="31">
        <v>38.56</v>
      </c>
      <c r="D9" s="31">
        <v>39.68</v>
      </c>
      <c r="E9" s="8">
        <v>0.18137254901960786</v>
      </c>
      <c r="F9" s="8">
        <v>2.9045643153526868E-2</v>
      </c>
      <c r="G9" s="8">
        <v>0.1</v>
      </c>
    </row>
    <row r="10" spans="1:7" x14ac:dyDescent="0.3">
      <c r="A10" t="s">
        <v>183</v>
      </c>
      <c r="B10" s="31">
        <v>7.1929999999999996</v>
      </c>
      <c r="C10" s="31">
        <v>8.4309999999999992</v>
      </c>
      <c r="D10" s="31">
        <v>9.4220000000000006</v>
      </c>
      <c r="E10" s="8">
        <v>0.17211177533713329</v>
      </c>
      <c r="F10" s="8">
        <v>0.11754240303641339</v>
      </c>
      <c r="G10" s="8">
        <v>0.1</v>
      </c>
    </row>
    <row r="11" spans="1:7" x14ac:dyDescent="0.3">
      <c r="A11" t="s">
        <v>87</v>
      </c>
      <c r="B11" s="31">
        <v>5.44</v>
      </c>
      <c r="C11" s="31">
        <v>6.33</v>
      </c>
      <c r="D11" s="31">
        <v>8.67</v>
      </c>
      <c r="E11" s="8">
        <v>0.16360294117647056</v>
      </c>
      <c r="F11" s="8">
        <v>0.36966824644549767</v>
      </c>
      <c r="G11" s="8">
        <v>0.1</v>
      </c>
    </row>
    <row r="12" spans="1:7" x14ac:dyDescent="0.3">
      <c r="A12" t="s">
        <v>70</v>
      </c>
      <c r="B12" s="31">
        <v>18.634</v>
      </c>
      <c r="C12" s="31">
        <v>21.536999999999999</v>
      </c>
      <c r="D12" s="31">
        <v>25.161000000000001</v>
      </c>
      <c r="E12" s="8">
        <v>0.15579049050123417</v>
      </c>
      <c r="F12" s="8">
        <v>0.16826856108093069</v>
      </c>
      <c r="G12" s="8">
        <v>0.1</v>
      </c>
    </row>
    <row r="13" spans="1:7" x14ac:dyDescent="0.3">
      <c r="A13" t="s">
        <v>57</v>
      </c>
      <c r="B13" s="31">
        <v>31.895</v>
      </c>
      <c r="C13" s="31">
        <v>36.793999999999997</v>
      </c>
      <c r="D13" s="31">
        <v>37.094000000000001</v>
      </c>
      <c r="E13" s="8">
        <v>0.15359774259288272</v>
      </c>
      <c r="F13" s="8">
        <v>8.1535032885797776E-3</v>
      </c>
    </row>
    <row r="14" spans="1:7" x14ac:dyDescent="0.3">
      <c r="A14" t="s">
        <v>97</v>
      </c>
      <c r="B14" s="31">
        <v>15.385999999999999</v>
      </c>
      <c r="C14" s="31">
        <v>17.521000000000001</v>
      </c>
      <c r="D14" s="31">
        <v>18.39</v>
      </c>
      <c r="E14" s="8">
        <v>0.13876251137397655</v>
      </c>
      <c r="F14" s="8">
        <v>4.9597625706295334E-2</v>
      </c>
    </row>
    <row r="15" spans="1:7" x14ac:dyDescent="0.3">
      <c r="A15" t="s">
        <v>136</v>
      </c>
      <c r="B15" s="31">
        <v>53.69</v>
      </c>
      <c r="C15" s="31">
        <v>61</v>
      </c>
      <c r="D15" s="31">
        <v>69.069999999999993</v>
      </c>
      <c r="E15" s="8">
        <v>0.13615198360961078</v>
      </c>
      <c r="F15" s="8">
        <v>0.13229508196721307</v>
      </c>
    </row>
    <row r="16" spans="1:7" x14ac:dyDescent="0.3">
      <c r="A16" t="s">
        <v>35</v>
      </c>
      <c r="B16" s="31">
        <v>24.832000000000001</v>
      </c>
      <c r="C16" s="31">
        <v>27.808</v>
      </c>
      <c r="D16" s="31">
        <v>29.788</v>
      </c>
      <c r="E16" s="8">
        <v>0.11984536082474229</v>
      </c>
      <c r="F16" s="8">
        <v>7.1202531645569556E-2</v>
      </c>
    </row>
    <row r="17" spans="1:6" x14ac:dyDescent="0.3">
      <c r="A17" t="s">
        <v>150</v>
      </c>
      <c r="B17" s="31">
        <v>19.777999999999999</v>
      </c>
      <c r="C17" s="31">
        <v>22.044</v>
      </c>
      <c r="D17" s="31">
        <v>25.896000000000001</v>
      </c>
      <c r="E17" s="8">
        <v>0.11457174638487211</v>
      </c>
      <c r="F17" s="8">
        <v>0.17474142623843214</v>
      </c>
    </row>
    <row r="18" spans="1:6" x14ac:dyDescent="0.3">
      <c r="A18" t="s">
        <v>158</v>
      </c>
      <c r="B18" s="31">
        <v>16.690999999999999</v>
      </c>
      <c r="C18" s="31">
        <v>18.518999999999998</v>
      </c>
      <c r="D18" s="31">
        <v>22.376000000000001</v>
      </c>
      <c r="E18" s="8">
        <v>0.10952010065304663</v>
      </c>
      <c r="F18" s="8">
        <v>0.20827258491279244</v>
      </c>
    </row>
    <row r="19" spans="1:6" x14ac:dyDescent="0.3">
      <c r="A19" t="s">
        <v>20</v>
      </c>
      <c r="B19" s="31">
        <v>50.8</v>
      </c>
      <c r="C19" s="31">
        <v>56.34</v>
      </c>
      <c r="D19" s="31">
        <v>62.86</v>
      </c>
      <c r="E19" s="8">
        <v>0.10905511811023638</v>
      </c>
      <c r="F19" s="8">
        <v>0.11572594959176419</v>
      </c>
    </row>
    <row r="20" spans="1:6" x14ac:dyDescent="0.3">
      <c r="A20" t="s">
        <v>178</v>
      </c>
      <c r="B20" s="31">
        <v>11.185</v>
      </c>
      <c r="C20" s="31">
        <v>12.355</v>
      </c>
      <c r="D20" s="31">
        <v>15.824</v>
      </c>
      <c r="E20" s="8">
        <v>0.10460438086723278</v>
      </c>
      <c r="F20" s="8">
        <v>0.280777013354917</v>
      </c>
    </row>
    <row r="21" spans="1:6" x14ac:dyDescent="0.3">
      <c r="A21" t="s">
        <v>1</v>
      </c>
      <c r="B21" s="31">
        <v>47.715000000000003</v>
      </c>
      <c r="C21" s="31">
        <v>52.555999999999997</v>
      </c>
      <c r="D21" s="31">
        <v>59.511000000000003</v>
      </c>
      <c r="E21" s="8">
        <v>0.10145656502148159</v>
      </c>
      <c r="F21" s="8">
        <v>0.13233503310754258</v>
      </c>
    </row>
    <row r="22" spans="1:6" x14ac:dyDescent="0.3">
      <c r="A22" t="s">
        <v>114</v>
      </c>
      <c r="B22" s="31">
        <v>12.821</v>
      </c>
      <c r="C22" s="31">
        <v>14.031000000000001</v>
      </c>
      <c r="D22" s="31">
        <v>16.72</v>
      </c>
      <c r="E22" s="8">
        <v>9.4376413696279693E-2</v>
      </c>
      <c r="F22" s="8">
        <v>0.19164706720832436</v>
      </c>
    </row>
    <row r="23" spans="1:6" x14ac:dyDescent="0.3">
      <c r="A23" t="s">
        <v>15</v>
      </c>
      <c r="B23" s="31">
        <v>64.426000000000002</v>
      </c>
      <c r="C23" s="31">
        <v>69.671999999999997</v>
      </c>
      <c r="D23" s="31">
        <v>75.504000000000005</v>
      </c>
      <c r="E23" s="8">
        <v>8.1426753174184352E-2</v>
      </c>
      <c r="F23" s="8">
        <v>8.3706510506372789E-2</v>
      </c>
    </row>
    <row r="24" spans="1:6" x14ac:dyDescent="0.3">
      <c r="A24" t="s">
        <v>94</v>
      </c>
      <c r="B24" s="31">
        <v>38.524000000000001</v>
      </c>
      <c r="C24" s="31">
        <v>41.625</v>
      </c>
      <c r="D24" s="31">
        <v>46.621000000000002</v>
      </c>
      <c r="E24" s="8">
        <v>8.0495275672308075E-2</v>
      </c>
      <c r="F24" s="8">
        <v>0.12002402402402401</v>
      </c>
    </row>
    <row r="25" spans="1:6" x14ac:dyDescent="0.3">
      <c r="A25" t="s">
        <v>79</v>
      </c>
      <c r="B25" s="31">
        <v>14.587999999999999</v>
      </c>
      <c r="C25" s="31">
        <v>15.757</v>
      </c>
      <c r="D25" s="31">
        <v>16.713000000000001</v>
      </c>
      <c r="E25" s="8">
        <v>8.0134357005758217E-2</v>
      </c>
      <c r="F25" s="8">
        <v>6.0671447610585849E-2</v>
      </c>
    </row>
    <row r="26" spans="1:6" x14ac:dyDescent="0.3">
      <c r="A26" t="s">
        <v>26</v>
      </c>
      <c r="B26" s="31">
        <v>57.79</v>
      </c>
      <c r="C26" s="31">
        <v>62.1</v>
      </c>
      <c r="D26" s="31">
        <v>69.569999999999993</v>
      </c>
      <c r="E26" s="8">
        <v>7.4580377227894123E-2</v>
      </c>
      <c r="F26" s="8">
        <v>0.12028985507246359</v>
      </c>
    </row>
    <row r="27" spans="1:6" x14ac:dyDescent="0.3">
      <c r="A27" t="s">
        <v>59</v>
      </c>
      <c r="B27" s="31">
        <v>22.8</v>
      </c>
      <c r="C27" s="32">
        <v>24.43</v>
      </c>
      <c r="D27" s="31">
        <v>26.1</v>
      </c>
      <c r="E27" s="8">
        <v>7.1491228070175383E-2</v>
      </c>
      <c r="F27" s="8">
        <v>6.835857552189939E-2</v>
      </c>
    </row>
    <row r="28" spans="1:6" x14ac:dyDescent="0.3">
      <c r="A28" t="s">
        <v>16</v>
      </c>
      <c r="B28" s="31">
        <v>31.356999999999999</v>
      </c>
      <c r="C28" s="31">
        <v>33.502000000000002</v>
      </c>
      <c r="D28" s="31">
        <v>38.28</v>
      </c>
      <c r="E28" s="8">
        <v>6.8405778614025747E-2</v>
      </c>
      <c r="F28" s="8">
        <v>0.14261835114321531</v>
      </c>
    </row>
    <row r="29" spans="1:6" x14ac:dyDescent="0.3">
      <c r="A29" t="s">
        <v>52</v>
      </c>
      <c r="B29" s="31">
        <v>31.033999999999999</v>
      </c>
      <c r="C29" s="31">
        <v>33.119999999999997</v>
      </c>
      <c r="D29" s="31">
        <v>36.86</v>
      </c>
      <c r="E29" s="8">
        <v>6.7216601147128907E-2</v>
      </c>
      <c r="F29" s="8">
        <v>0.11292270531400983</v>
      </c>
    </row>
    <row r="30" spans="1:6" x14ac:dyDescent="0.3">
      <c r="A30" t="s">
        <v>76</v>
      </c>
      <c r="B30" s="31">
        <v>11.787000000000001</v>
      </c>
      <c r="C30" s="31">
        <v>12.545999999999999</v>
      </c>
      <c r="D30" s="31">
        <v>14.095000000000001</v>
      </c>
      <c r="E30" s="8">
        <v>6.4392975311784006E-2</v>
      </c>
      <c r="F30" s="8">
        <v>0.12346564642117031</v>
      </c>
    </row>
    <row r="31" spans="1:6" x14ac:dyDescent="0.3">
      <c r="A31" t="s">
        <v>7</v>
      </c>
      <c r="B31" s="31">
        <v>9.6660000000000004</v>
      </c>
      <c r="C31" s="31">
        <v>10.25</v>
      </c>
      <c r="D31" s="31">
        <v>11.43</v>
      </c>
      <c r="E31" s="8">
        <v>6.0417959859300652E-2</v>
      </c>
      <c r="F31" s="8">
        <v>0.11512195121951208</v>
      </c>
    </row>
    <row r="32" spans="1:6" x14ac:dyDescent="0.3">
      <c r="A32" t="s">
        <v>172</v>
      </c>
      <c r="B32" s="31">
        <v>17.835000000000001</v>
      </c>
      <c r="C32" s="31">
        <v>18.908000000000001</v>
      </c>
      <c r="D32" s="31">
        <v>24.422999999999998</v>
      </c>
      <c r="E32" s="8">
        <v>6.0162601626016388E-2</v>
      </c>
      <c r="F32" s="8">
        <v>0.29167548127776577</v>
      </c>
    </row>
    <row r="33" spans="1:6" x14ac:dyDescent="0.3">
      <c r="A33" t="s">
        <v>91</v>
      </c>
      <c r="B33" s="31">
        <v>52.069000000000003</v>
      </c>
      <c r="C33" s="31">
        <v>55.177999999999997</v>
      </c>
      <c r="D33" s="31">
        <v>56.875</v>
      </c>
      <c r="E33" s="8">
        <v>5.9709231980640931E-2</v>
      </c>
      <c r="F33" s="8">
        <v>3.0755011055130677E-2</v>
      </c>
    </row>
    <row r="34" spans="1:6" x14ac:dyDescent="0.3">
      <c r="A34" t="s">
        <v>72</v>
      </c>
      <c r="B34" s="31">
        <v>45.981999999999999</v>
      </c>
      <c r="C34" s="31">
        <v>48.69</v>
      </c>
      <c r="D34" s="31">
        <v>53.3</v>
      </c>
      <c r="E34" s="8">
        <v>5.8892610151798586E-2</v>
      </c>
      <c r="F34" s="8">
        <v>9.468063257342374E-2</v>
      </c>
    </row>
    <row r="35" spans="1:6" x14ac:dyDescent="0.3">
      <c r="A35" t="s">
        <v>34</v>
      </c>
      <c r="B35" s="31">
        <v>40.837000000000003</v>
      </c>
      <c r="C35" s="31">
        <v>42.957999999999998</v>
      </c>
      <c r="D35" s="31">
        <v>51.442999999999998</v>
      </c>
      <c r="E35" s="8">
        <v>5.1938193305090863E-2</v>
      </c>
      <c r="F35" s="8">
        <v>0.1975185064481586</v>
      </c>
    </row>
    <row r="36" spans="1:6" x14ac:dyDescent="0.3">
      <c r="A36" t="s">
        <v>63</v>
      </c>
      <c r="B36" s="31">
        <v>52.832999999999998</v>
      </c>
      <c r="C36" s="31">
        <v>55.523000000000003</v>
      </c>
      <c r="D36" s="31">
        <v>58.579000000000001</v>
      </c>
      <c r="E36" s="8">
        <v>5.0915147729638788E-2</v>
      </c>
      <c r="F36" s="8">
        <v>5.5040253588602761E-2</v>
      </c>
    </row>
    <row r="37" spans="1:6" x14ac:dyDescent="0.3">
      <c r="A37" t="s">
        <v>31</v>
      </c>
      <c r="B37" s="31">
        <v>18.413</v>
      </c>
      <c r="C37" s="31">
        <v>19.306000000000001</v>
      </c>
      <c r="D37" s="31">
        <v>21.451000000000001</v>
      </c>
      <c r="E37" s="8">
        <v>4.8498343561614199E-2</v>
      </c>
      <c r="F37" s="8">
        <v>0.11110535584792292</v>
      </c>
    </row>
    <row r="38" spans="1:6" x14ac:dyDescent="0.3">
      <c r="A38" t="s">
        <v>140</v>
      </c>
      <c r="B38" s="31">
        <v>11.644</v>
      </c>
      <c r="C38" s="31">
        <v>12.202</v>
      </c>
      <c r="D38" s="31">
        <v>14.157</v>
      </c>
      <c r="E38" s="8">
        <v>4.7921676399862667E-2</v>
      </c>
      <c r="F38" s="8">
        <v>0.16021963612522527</v>
      </c>
    </row>
    <row r="39" spans="1:6" x14ac:dyDescent="0.3">
      <c r="A39" t="s">
        <v>2</v>
      </c>
      <c r="B39" s="31">
        <v>13.75</v>
      </c>
      <c r="C39" s="31">
        <v>14.4</v>
      </c>
      <c r="D39" s="31">
        <v>16.3</v>
      </c>
      <c r="E39" s="8">
        <v>4.7272727272727355E-2</v>
      </c>
      <c r="F39" s="8">
        <v>0.13194444444444442</v>
      </c>
    </row>
    <row r="40" spans="1:6" x14ac:dyDescent="0.3">
      <c r="A40" t="s">
        <v>95</v>
      </c>
      <c r="B40" s="31">
        <v>16.059000000000001</v>
      </c>
      <c r="C40" s="31">
        <v>16.791</v>
      </c>
      <c r="D40" s="31">
        <v>18.54</v>
      </c>
      <c r="E40" s="8">
        <v>4.5581916682234214E-2</v>
      </c>
      <c r="F40" s="8">
        <v>0.10416294443451846</v>
      </c>
    </row>
    <row r="41" spans="1:6" x14ac:dyDescent="0.3">
      <c r="A41" t="s">
        <v>56</v>
      </c>
      <c r="B41" s="31">
        <v>56.140999999999998</v>
      </c>
      <c r="C41" s="31">
        <v>58.683999999999997</v>
      </c>
      <c r="D41" s="31">
        <v>61.363999999999997</v>
      </c>
      <c r="E41" s="8">
        <v>4.5296663757325328E-2</v>
      </c>
      <c r="F41" s="8">
        <v>4.5668325267534504E-2</v>
      </c>
    </row>
    <row r="42" spans="1:6" x14ac:dyDescent="0.3">
      <c r="A42" t="s">
        <v>61</v>
      </c>
      <c r="B42" s="31">
        <v>40.936</v>
      </c>
      <c r="C42" s="31">
        <v>42.698999999999998</v>
      </c>
      <c r="D42" s="31">
        <v>47.292999999999999</v>
      </c>
      <c r="E42" s="8">
        <v>4.306722689075615E-2</v>
      </c>
      <c r="F42" s="8">
        <v>0.1075903416941848</v>
      </c>
    </row>
    <row r="43" spans="1:6" x14ac:dyDescent="0.3">
      <c r="A43" t="s">
        <v>60</v>
      </c>
      <c r="B43" s="31">
        <v>10.2157</v>
      </c>
      <c r="C43" s="31">
        <v>10.65</v>
      </c>
      <c r="D43" s="31">
        <v>13.4</v>
      </c>
      <c r="E43" s="8">
        <v>4.2512994704229756E-2</v>
      </c>
      <c r="F43" s="8">
        <v>0.25821596244131451</v>
      </c>
    </row>
    <row r="44" spans="1:6" x14ac:dyDescent="0.3">
      <c r="A44" t="s">
        <v>181</v>
      </c>
      <c r="B44" s="31">
        <v>20.643000000000001</v>
      </c>
      <c r="C44" s="31">
        <v>21.446000000000002</v>
      </c>
      <c r="D44" s="31">
        <v>21.469000000000001</v>
      </c>
      <c r="E44" s="8">
        <v>3.8899384779344182E-2</v>
      </c>
      <c r="F44" s="8">
        <v>1.072461065000363E-3</v>
      </c>
    </row>
    <row r="45" spans="1:6" x14ac:dyDescent="0.3">
      <c r="A45" t="s">
        <v>6</v>
      </c>
      <c r="B45" s="31">
        <v>16.934999999999999</v>
      </c>
      <c r="C45" s="31">
        <v>17.588000000000001</v>
      </c>
      <c r="D45" s="31">
        <v>18.670000000000002</v>
      </c>
      <c r="E45" s="8">
        <v>3.8559196929436323E-2</v>
      </c>
      <c r="F45" s="8">
        <v>6.151921764839674E-2</v>
      </c>
    </row>
    <row r="46" spans="1:6" x14ac:dyDescent="0.3">
      <c r="A46" t="s">
        <v>22</v>
      </c>
      <c r="B46" s="31">
        <v>7.516</v>
      </c>
      <c r="C46" s="31">
        <v>7.7709999999999999</v>
      </c>
      <c r="D46" s="31">
        <v>8.3379999999999992</v>
      </c>
      <c r="E46" s="8">
        <v>3.3927621075039882E-2</v>
      </c>
      <c r="F46" s="8">
        <v>7.2963582550508166E-2</v>
      </c>
    </row>
    <row r="47" spans="1:6" x14ac:dyDescent="0.3">
      <c r="A47" t="s">
        <v>111</v>
      </c>
      <c r="B47" s="31">
        <v>43.792999999999999</v>
      </c>
      <c r="C47" s="31">
        <v>45.253999999999998</v>
      </c>
      <c r="D47" s="31">
        <v>50.8</v>
      </c>
      <c r="E47" s="8">
        <v>3.3361496129518331E-2</v>
      </c>
      <c r="F47" s="8">
        <v>0.12255270252353379</v>
      </c>
    </row>
    <row r="48" spans="1:6" x14ac:dyDescent="0.3">
      <c r="A48" t="s">
        <v>18</v>
      </c>
      <c r="B48" s="31">
        <v>35.51</v>
      </c>
      <c r="C48" s="31">
        <v>36.6</v>
      </c>
      <c r="D48" s="31">
        <v>35.200000000000003</v>
      </c>
      <c r="E48" s="8">
        <v>3.0695578710222549E-2</v>
      </c>
      <c r="F48" s="8">
        <v>-3.8251366120218511E-2</v>
      </c>
    </row>
    <row r="49" spans="1:6" x14ac:dyDescent="0.3">
      <c r="A49" t="s">
        <v>46</v>
      </c>
      <c r="B49" s="31">
        <v>19.899999999999999</v>
      </c>
      <c r="C49" s="31">
        <v>20.47</v>
      </c>
      <c r="D49" s="31">
        <v>23.76</v>
      </c>
      <c r="E49" s="8">
        <v>2.864321608040199E-2</v>
      </c>
      <c r="F49" s="8">
        <v>0.16072300928187611</v>
      </c>
    </row>
    <row r="50" spans="1:6" x14ac:dyDescent="0.3">
      <c r="A50" t="s">
        <v>58</v>
      </c>
      <c r="B50" s="31">
        <v>109.631</v>
      </c>
      <c r="C50" s="31">
        <v>112.611</v>
      </c>
      <c r="D50" s="31">
        <v>111.429</v>
      </c>
      <c r="E50" s="8">
        <v>2.7182092656274248E-2</v>
      </c>
      <c r="F50" s="8">
        <v>-1.0496310307163581E-2</v>
      </c>
    </row>
    <row r="51" spans="1:6" x14ac:dyDescent="0.3">
      <c r="A51" t="s">
        <v>30</v>
      </c>
      <c r="B51" s="31">
        <v>17.53</v>
      </c>
      <c r="C51" s="31">
        <v>18</v>
      </c>
      <c r="D51" s="31">
        <v>19.73</v>
      </c>
      <c r="E51" s="8">
        <v>2.6811180832857939E-2</v>
      </c>
      <c r="F51" s="8">
        <v>9.6111111111111036E-2</v>
      </c>
    </row>
    <row r="52" spans="1:6" x14ac:dyDescent="0.3">
      <c r="A52" t="s">
        <v>50</v>
      </c>
      <c r="B52" s="31">
        <v>16.876000000000001</v>
      </c>
      <c r="C52" s="31">
        <v>17.236999999999998</v>
      </c>
      <c r="D52" s="31">
        <v>21.55</v>
      </c>
      <c r="E52" s="8">
        <v>2.1391324958520697E-2</v>
      </c>
      <c r="F52" s="8">
        <v>0.250217555259036</v>
      </c>
    </row>
    <row r="53" spans="1:6" x14ac:dyDescent="0.3">
      <c r="A53" t="s">
        <v>47</v>
      </c>
      <c r="B53" s="31">
        <v>50.554000000000002</v>
      </c>
      <c r="C53" s="31">
        <v>51.6</v>
      </c>
      <c r="D53" s="31">
        <v>56.05</v>
      </c>
      <c r="E53" s="8">
        <v>2.0690746528464699E-2</v>
      </c>
      <c r="F53" s="8">
        <v>8.6240310077519311E-2</v>
      </c>
    </row>
    <row r="54" spans="1:6" x14ac:dyDescent="0.3">
      <c r="A54" t="s">
        <v>39</v>
      </c>
      <c r="B54" s="31">
        <v>31.367000000000001</v>
      </c>
      <c r="C54" s="31">
        <v>31.954999999999998</v>
      </c>
      <c r="D54" s="31">
        <v>34.04</v>
      </c>
      <c r="E54" s="8">
        <v>1.8745815666145971E-2</v>
      </c>
      <c r="F54" s="8">
        <v>6.5248005007041199E-2</v>
      </c>
    </row>
    <row r="55" spans="1:6" x14ac:dyDescent="0.3">
      <c r="A55" t="s">
        <v>67</v>
      </c>
      <c r="B55" s="31">
        <v>23.466000000000001</v>
      </c>
      <c r="C55" s="31">
        <v>23.83</v>
      </c>
      <c r="D55" s="31">
        <v>30.19</v>
      </c>
      <c r="E55" s="8">
        <v>1.5511804312622335E-2</v>
      </c>
      <c r="F55" s="8">
        <v>0.26689047419219492</v>
      </c>
    </row>
    <row r="56" spans="1:6" x14ac:dyDescent="0.3">
      <c r="A56" t="s">
        <v>27</v>
      </c>
      <c r="B56" s="31">
        <v>65.539000000000001</v>
      </c>
      <c r="C56" s="31">
        <v>66.510999999999996</v>
      </c>
      <c r="D56" s="31">
        <v>66.025000000000006</v>
      </c>
      <c r="E56" s="8">
        <v>1.483086406567069E-2</v>
      </c>
      <c r="F56" s="8">
        <v>-7.3070619897459554E-3</v>
      </c>
    </row>
    <row r="57" spans="1:6" x14ac:dyDescent="0.3">
      <c r="A57" t="s">
        <v>19</v>
      </c>
      <c r="B57" s="31">
        <v>15.35</v>
      </c>
      <c r="C57" s="31">
        <v>15.57</v>
      </c>
      <c r="D57" s="31">
        <v>18.059999999999999</v>
      </c>
      <c r="E57" s="8">
        <v>1.4332247557003353E-2</v>
      </c>
      <c r="F57" s="8">
        <v>0.15992292870905578</v>
      </c>
    </row>
    <row r="58" spans="1:6" x14ac:dyDescent="0.3">
      <c r="A58" t="s">
        <v>13</v>
      </c>
      <c r="B58" s="31">
        <v>31.085999999999999</v>
      </c>
      <c r="C58" s="31">
        <v>31.524999999999999</v>
      </c>
      <c r="D58" s="31">
        <v>34.499000000000002</v>
      </c>
      <c r="E58" s="8">
        <v>1.4122112848227397E-2</v>
      </c>
      <c r="F58" s="8">
        <v>9.4337827121332429E-2</v>
      </c>
    </row>
    <row r="59" spans="1:6" x14ac:dyDescent="0.3">
      <c r="A59" t="s">
        <v>4</v>
      </c>
      <c r="B59" s="31">
        <v>20.376000000000001</v>
      </c>
      <c r="C59" s="31">
        <v>20.64</v>
      </c>
      <c r="D59" s="31">
        <v>22.79</v>
      </c>
      <c r="E59" s="8">
        <v>1.2956419316843215E-2</v>
      </c>
      <c r="F59" s="8">
        <v>0.10416666666666652</v>
      </c>
    </row>
    <row r="60" spans="1:6" x14ac:dyDescent="0.3">
      <c r="A60" t="s">
        <v>21</v>
      </c>
      <c r="B60" s="31">
        <v>27.538</v>
      </c>
      <c r="C60" s="31">
        <v>27.853000000000002</v>
      </c>
      <c r="D60" s="31">
        <v>29.614999999999998</v>
      </c>
      <c r="E60" s="8">
        <v>1.1438739196746317E-2</v>
      </c>
      <c r="F60" s="8">
        <v>6.3260690051340829E-2</v>
      </c>
    </row>
    <row r="61" spans="1:6" x14ac:dyDescent="0.3">
      <c r="A61" t="s">
        <v>10</v>
      </c>
      <c r="B61" s="31">
        <v>52.52</v>
      </c>
      <c r="C61" s="31">
        <v>53.1</v>
      </c>
      <c r="D61" s="31">
        <v>58.28</v>
      </c>
      <c r="E61" s="8">
        <v>1.1043412033511002E-2</v>
      </c>
      <c r="F61" s="8">
        <v>9.7551789077212847E-2</v>
      </c>
    </row>
    <row r="62" spans="1:6" x14ac:dyDescent="0.3">
      <c r="A62" t="s">
        <v>132</v>
      </c>
      <c r="B62" s="31">
        <v>27.7</v>
      </c>
      <c r="C62" s="31">
        <v>27.99</v>
      </c>
      <c r="D62" s="31">
        <v>29.85</v>
      </c>
      <c r="E62" s="8">
        <v>1.0469314079422309E-2</v>
      </c>
      <c r="F62" s="8">
        <v>6.6452304394426731E-2</v>
      </c>
    </row>
    <row r="63" spans="1:6" x14ac:dyDescent="0.3">
      <c r="A63" t="s">
        <v>49</v>
      </c>
      <c r="B63" s="31">
        <v>44.606999999999999</v>
      </c>
      <c r="C63" s="31">
        <v>44.996000000000002</v>
      </c>
      <c r="D63" s="31">
        <v>47.664000000000001</v>
      </c>
      <c r="E63" s="8">
        <v>8.7206043894456631E-3</v>
      </c>
      <c r="F63" s="8">
        <v>5.9294159480842712E-2</v>
      </c>
    </row>
    <row r="64" spans="1:6" x14ac:dyDescent="0.3">
      <c r="A64" t="s">
        <v>43</v>
      </c>
      <c r="B64" s="31">
        <v>27.651</v>
      </c>
      <c r="C64" s="31">
        <v>27.835999999999999</v>
      </c>
      <c r="D64" s="31">
        <v>25.216999999999999</v>
      </c>
      <c r="E64" s="8">
        <v>6.6905356044988373E-3</v>
      </c>
      <c r="F64" s="8">
        <v>-9.4086794079609182E-2</v>
      </c>
    </row>
    <row r="65" spans="1:6" x14ac:dyDescent="0.3">
      <c r="A65" t="s">
        <v>62</v>
      </c>
      <c r="B65" s="31">
        <v>29.928999999999998</v>
      </c>
      <c r="C65" s="31">
        <v>30.126000000000001</v>
      </c>
      <c r="D65" s="31">
        <v>33.283000000000001</v>
      </c>
      <c r="E65" s="8">
        <v>6.5822446456615946E-3</v>
      </c>
      <c r="F65" s="8">
        <v>0.10479320188541452</v>
      </c>
    </row>
    <row r="66" spans="1:6" x14ac:dyDescent="0.3">
      <c r="A66" t="s">
        <v>45</v>
      </c>
      <c r="B66" s="31">
        <v>17.033000000000001</v>
      </c>
      <c r="C66" s="31">
        <v>17.141999999999999</v>
      </c>
      <c r="D66" s="31">
        <v>22.411999999999999</v>
      </c>
      <c r="E66" s="8">
        <v>6.3993424528854259E-3</v>
      </c>
      <c r="F66" s="8">
        <v>0.30743203826858001</v>
      </c>
    </row>
    <row r="67" spans="1:6" x14ac:dyDescent="0.3">
      <c r="A67" t="s">
        <v>17</v>
      </c>
      <c r="B67" s="31">
        <v>27.806000000000001</v>
      </c>
      <c r="C67" s="31">
        <v>27.963999999999999</v>
      </c>
      <c r="D67" s="31">
        <v>30.07</v>
      </c>
      <c r="E67" s="8">
        <v>5.6822268575127399E-3</v>
      </c>
      <c r="F67" s="8">
        <v>7.5311114289801306E-2</v>
      </c>
    </row>
    <row r="68" spans="1:6" x14ac:dyDescent="0.3">
      <c r="A68" t="s">
        <v>0</v>
      </c>
      <c r="B68" s="31">
        <v>46.933999999999997</v>
      </c>
      <c r="C68" s="31">
        <v>46.972999999999999</v>
      </c>
      <c r="D68" s="31">
        <v>52.087000000000003</v>
      </c>
      <c r="E68" s="8">
        <v>8.3095410576561335E-4</v>
      </c>
      <c r="F68" s="8">
        <v>0.10887105358397386</v>
      </c>
    </row>
    <row r="69" spans="1:6" x14ac:dyDescent="0.3">
      <c r="A69" t="s">
        <v>175</v>
      </c>
      <c r="B69" s="31">
        <v>27.977</v>
      </c>
      <c r="C69" s="31">
        <v>27.949000000000002</v>
      </c>
      <c r="D69" s="31">
        <v>30.977</v>
      </c>
      <c r="E69" s="8">
        <v>-1.0008221038709797E-3</v>
      </c>
      <c r="F69" s="8">
        <v>0.10834019106229187</v>
      </c>
    </row>
    <row r="70" spans="1:6" x14ac:dyDescent="0.3">
      <c r="A70" t="s">
        <v>89</v>
      </c>
      <c r="B70" s="31">
        <v>25.963000000000001</v>
      </c>
      <c r="C70" s="31">
        <v>25.876999999999999</v>
      </c>
      <c r="D70" s="31">
        <v>29.69</v>
      </c>
      <c r="E70" s="8">
        <v>-3.3124061163964935E-3</v>
      </c>
      <c r="F70" s="8">
        <v>0.14735092939676164</v>
      </c>
    </row>
    <row r="71" spans="1:6" x14ac:dyDescent="0.3">
      <c r="A71" t="s">
        <v>113</v>
      </c>
      <c r="B71" s="31">
        <v>10.75</v>
      </c>
      <c r="C71" s="31">
        <v>10.7</v>
      </c>
      <c r="D71" s="31">
        <v>9.9600000000000009</v>
      </c>
      <c r="E71" s="8">
        <v>-4.6511627906977715E-3</v>
      </c>
      <c r="F71" s="8">
        <v>-6.9158878504672727E-2</v>
      </c>
    </row>
    <row r="72" spans="1:6" x14ac:dyDescent="0.3">
      <c r="A72" t="s">
        <v>41</v>
      </c>
      <c r="B72" s="31">
        <v>47.718000000000004</v>
      </c>
      <c r="C72" s="31">
        <v>47.28</v>
      </c>
      <c r="D72" s="31">
        <v>52.698999999999998</v>
      </c>
      <c r="E72" s="8">
        <v>-9.1789261913743925E-3</v>
      </c>
      <c r="F72" s="8">
        <v>0.11461505922165816</v>
      </c>
    </row>
    <row r="73" spans="1:6" x14ac:dyDescent="0.3">
      <c r="A73" t="s">
        <v>51</v>
      </c>
      <c r="B73" s="31">
        <v>29.077000000000002</v>
      </c>
      <c r="C73" s="31">
        <v>28.788</v>
      </c>
      <c r="D73" s="31">
        <v>32.948999999999998</v>
      </c>
      <c r="E73" s="8">
        <v>-9.9391271451663155E-3</v>
      </c>
      <c r="F73" s="8">
        <v>0.1445393914130888</v>
      </c>
    </row>
    <row r="74" spans="1:6" x14ac:dyDescent="0.3">
      <c r="A74" t="s">
        <v>38</v>
      </c>
      <c r="B74" s="31">
        <v>56.152999999999999</v>
      </c>
      <c r="C74" s="31">
        <v>55.554000000000002</v>
      </c>
      <c r="D74" s="31">
        <v>63.732999999999997</v>
      </c>
      <c r="E74" s="8">
        <v>-1.0667284027567447E-2</v>
      </c>
      <c r="F74" s="8">
        <v>0.14722612233142529</v>
      </c>
    </row>
    <row r="75" spans="1:6" x14ac:dyDescent="0.3">
      <c r="A75" t="s">
        <v>42</v>
      </c>
      <c r="B75" s="31">
        <v>37.569000000000003</v>
      </c>
      <c r="C75" s="31">
        <v>37.130000000000003</v>
      </c>
      <c r="D75" s="31">
        <v>38.950000000000003</v>
      </c>
      <c r="E75" s="8">
        <v>-1.1685165961297872E-2</v>
      </c>
      <c r="F75" s="8">
        <v>4.9016967411796397E-2</v>
      </c>
    </row>
    <row r="76" spans="1:6" x14ac:dyDescent="0.3">
      <c r="A76" t="s">
        <v>11</v>
      </c>
      <c r="B76" s="31">
        <v>47.204999999999998</v>
      </c>
      <c r="C76" s="31">
        <v>46.561</v>
      </c>
      <c r="D76" s="31">
        <v>41.926000000000002</v>
      </c>
      <c r="E76" s="8">
        <v>-1.3642622603537768E-2</v>
      </c>
      <c r="F76" s="8">
        <v>-9.9546831038852202E-2</v>
      </c>
    </row>
    <row r="77" spans="1:6" x14ac:dyDescent="0.3">
      <c r="A77" t="s">
        <v>25</v>
      </c>
      <c r="B77" s="31">
        <v>19.11</v>
      </c>
      <c r="C77" s="31">
        <v>18.809999999999999</v>
      </c>
      <c r="D77" s="31">
        <v>23.35</v>
      </c>
      <c r="E77" s="8">
        <v>-1.5698587127158548E-2</v>
      </c>
      <c r="F77" s="8">
        <v>0.24136097820308366</v>
      </c>
    </row>
    <row r="78" spans="1:6" x14ac:dyDescent="0.3">
      <c r="A78" t="s">
        <v>23</v>
      </c>
      <c r="B78" s="31">
        <v>14.688000000000001</v>
      </c>
      <c r="C78" s="31">
        <v>14.382999999999999</v>
      </c>
      <c r="D78" s="31">
        <v>15.59</v>
      </c>
      <c r="E78" s="8">
        <v>-2.0765250544662384E-2</v>
      </c>
      <c r="F78" s="8">
        <v>8.3918514913439601E-2</v>
      </c>
    </row>
    <row r="79" spans="1:6" x14ac:dyDescent="0.3">
      <c r="A79" t="s">
        <v>171</v>
      </c>
      <c r="B79" s="31">
        <v>23.763999999999999</v>
      </c>
      <c r="C79" s="31">
        <v>23.245000000000001</v>
      </c>
      <c r="D79" s="31">
        <v>27.673000000000002</v>
      </c>
      <c r="E79" s="8">
        <v>-2.183975761656276E-2</v>
      </c>
      <c r="F79" s="8">
        <v>0.19049257904925798</v>
      </c>
    </row>
    <row r="80" spans="1:6" x14ac:dyDescent="0.3">
      <c r="A80" t="s">
        <v>68</v>
      </c>
      <c r="B80" s="31">
        <v>22.364999999999998</v>
      </c>
      <c r="C80" s="31">
        <v>21.728999999999999</v>
      </c>
      <c r="D80" s="31">
        <v>22.321999999999999</v>
      </c>
      <c r="E80" s="8">
        <v>-2.8437290409121352E-2</v>
      </c>
      <c r="F80" s="8">
        <v>2.7290717474343085E-2</v>
      </c>
    </row>
    <row r="81" spans="1:6" x14ac:dyDescent="0.3">
      <c r="A81" t="s">
        <v>40</v>
      </c>
      <c r="B81" s="31">
        <v>33.709000000000003</v>
      </c>
      <c r="C81" s="31">
        <v>32.707000000000001</v>
      </c>
      <c r="D81" s="31">
        <v>35.354999999999997</v>
      </c>
      <c r="E81" s="8">
        <v>-2.9724999258358364E-2</v>
      </c>
      <c r="F81" s="8">
        <v>8.0961262115143429E-2</v>
      </c>
    </row>
    <row r="82" spans="1:6" x14ac:dyDescent="0.3">
      <c r="A82" t="s">
        <v>146</v>
      </c>
      <c r="B82" s="31">
        <v>13.202999999999999</v>
      </c>
      <c r="C82" s="31">
        <v>12.78</v>
      </c>
      <c r="D82" s="31">
        <v>13.596</v>
      </c>
      <c r="E82" s="8">
        <v>-3.2038173142467596E-2</v>
      </c>
      <c r="F82" s="8">
        <v>6.3849765258215951E-2</v>
      </c>
    </row>
    <row r="83" spans="1:6" x14ac:dyDescent="0.3">
      <c r="A83" t="s">
        <v>54</v>
      </c>
      <c r="B83" s="31">
        <v>82.99</v>
      </c>
      <c r="C83" s="31">
        <v>80.16</v>
      </c>
      <c r="D83" s="31">
        <v>87.65</v>
      </c>
      <c r="E83" s="8">
        <v>-3.4100494035425921E-2</v>
      </c>
      <c r="F83" s="8">
        <v>9.343812375249505E-2</v>
      </c>
    </row>
    <row r="84" spans="1:6" x14ac:dyDescent="0.3">
      <c r="A84" t="s">
        <v>55</v>
      </c>
      <c r="B84" s="31">
        <v>29.777000000000001</v>
      </c>
      <c r="C84" s="31">
        <v>28.751999999999999</v>
      </c>
      <c r="D84" s="31">
        <v>30.18</v>
      </c>
      <c r="E84" s="8">
        <v>-3.4422540887262043E-2</v>
      </c>
      <c r="F84" s="8">
        <v>4.9666110183639534E-2</v>
      </c>
    </row>
    <row r="85" spans="1:6" x14ac:dyDescent="0.3">
      <c r="A85" t="s">
        <v>3</v>
      </c>
      <c r="B85" s="31">
        <v>34.997999999999998</v>
      </c>
      <c r="C85" s="31">
        <v>33.631</v>
      </c>
      <c r="D85" s="31">
        <v>35.906999999999996</v>
      </c>
      <c r="E85" s="8">
        <v>-3.9059374821418302E-2</v>
      </c>
      <c r="F85" s="8">
        <v>6.7675656388451078E-2</v>
      </c>
    </row>
    <row r="86" spans="1:6" x14ac:dyDescent="0.3">
      <c r="A86" t="s">
        <v>161</v>
      </c>
      <c r="B86" s="31">
        <v>32.502000000000002</v>
      </c>
      <c r="C86" s="31">
        <v>31.2</v>
      </c>
      <c r="D86" s="31">
        <v>32</v>
      </c>
      <c r="E86" s="8">
        <v>-4.0059073287797786E-2</v>
      </c>
      <c r="F86" s="8">
        <v>2.5641025641025772E-2</v>
      </c>
    </row>
    <row r="87" spans="1:6" x14ac:dyDescent="0.3">
      <c r="A87" t="s">
        <v>33</v>
      </c>
      <c r="B87" s="31">
        <v>47.640999999999998</v>
      </c>
      <c r="C87" s="31">
        <v>45.712000000000003</v>
      </c>
      <c r="D87" s="31">
        <v>53.219000000000001</v>
      </c>
      <c r="E87" s="8">
        <v>-4.0490333956046176E-2</v>
      </c>
      <c r="F87" s="8">
        <v>0.16422383619180958</v>
      </c>
    </row>
    <row r="88" spans="1:6" x14ac:dyDescent="0.3">
      <c r="A88" t="s">
        <v>24</v>
      </c>
      <c r="B88" s="31">
        <v>33.020000000000003</v>
      </c>
      <c r="C88" s="31">
        <v>31.59</v>
      </c>
      <c r="D88" s="31">
        <v>35.549999999999997</v>
      </c>
      <c r="E88" s="8">
        <v>-4.3307086614173373E-2</v>
      </c>
      <c r="F88" s="8">
        <v>0.12535612535612528</v>
      </c>
    </row>
    <row r="89" spans="1:6" x14ac:dyDescent="0.3">
      <c r="A89" t="s">
        <v>134</v>
      </c>
      <c r="B89" s="31">
        <v>13.378</v>
      </c>
      <c r="C89" s="31">
        <v>12.79</v>
      </c>
      <c r="D89" s="31">
        <v>13.79</v>
      </c>
      <c r="E89" s="8">
        <v>-4.3952758259829694E-2</v>
      </c>
      <c r="F89" s="8">
        <v>7.818608287724782E-2</v>
      </c>
    </row>
    <row r="90" spans="1:6" x14ac:dyDescent="0.3">
      <c r="A90" t="s">
        <v>128</v>
      </c>
      <c r="B90" s="31">
        <v>29.231000000000002</v>
      </c>
      <c r="C90" s="31">
        <v>27.821999999999999</v>
      </c>
      <c r="D90" s="31">
        <v>30.800999999999998</v>
      </c>
      <c r="E90" s="8">
        <v>-4.8202251034860311E-2</v>
      </c>
      <c r="F90" s="8">
        <v>0.10707353892602978</v>
      </c>
    </row>
    <row r="91" spans="1:6" x14ac:dyDescent="0.3">
      <c r="A91" t="s">
        <v>12</v>
      </c>
      <c r="B91" s="31">
        <v>31.274000000000001</v>
      </c>
      <c r="C91" s="31">
        <v>29.69</v>
      </c>
      <c r="D91" s="31">
        <v>32.695999999999998</v>
      </c>
      <c r="E91" s="8">
        <v>-5.0649101490055637E-2</v>
      </c>
      <c r="F91" s="8">
        <v>0.10124621084540242</v>
      </c>
    </row>
    <row r="92" spans="1:6" x14ac:dyDescent="0.3">
      <c r="A92" t="s">
        <v>36</v>
      </c>
      <c r="B92" s="31">
        <v>59.793999999999997</v>
      </c>
      <c r="C92" s="31">
        <v>56.494999999999997</v>
      </c>
      <c r="D92" s="31">
        <v>68.015000000000001</v>
      </c>
      <c r="E92" s="8">
        <v>-5.5172759808676419E-2</v>
      </c>
      <c r="F92" s="8">
        <v>0.2039118506062485</v>
      </c>
    </row>
    <row r="93" spans="1:6" x14ac:dyDescent="0.3">
      <c r="A93" t="s">
        <v>173</v>
      </c>
      <c r="B93" s="31">
        <v>36.744999999999997</v>
      </c>
      <c r="C93" s="31">
        <v>34.521000000000001</v>
      </c>
      <c r="D93" s="31">
        <v>39</v>
      </c>
      <c r="E93" s="8">
        <v>-6.0525241529459706E-2</v>
      </c>
      <c r="F93" s="8">
        <v>0.12974711045450582</v>
      </c>
    </row>
    <row r="94" spans="1:6" x14ac:dyDescent="0.3">
      <c r="A94" t="s">
        <v>110</v>
      </c>
      <c r="B94" s="31">
        <v>44.679000000000002</v>
      </c>
      <c r="C94" s="31">
        <v>41.869</v>
      </c>
      <c r="D94" s="31">
        <v>47.015000000000001</v>
      </c>
      <c r="E94" s="8">
        <v>-6.2893081761006386E-2</v>
      </c>
      <c r="F94" s="8">
        <v>0.12290716281735903</v>
      </c>
    </row>
    <row r="95" spans="1:6" x14ac:dyDescent="0.3">
      <c r="A95" t="s">
        <v>112</v>
      </c>
      <c r="B95" s="31">
        <v>36.6</v>
      </c>
      <c r="C95" s="31">
        <v>34.06</v>
      </c>
      <c r="D95" s="31">
        <v>36.799999999999997</v>
      </c>
      <c r="E95" s="8">
        <v>-6.9398907103825125E-2</v>
      </c>
      <c r="F95" s="8">
        <v>8.0446271285965709E-2</v>
      </c>
    </row>
    <row r="96" spans="1:6" x14ac:dyDescent="0.3">
      <c r="A96" t="s">
        <v>152</v>
      </c>
      <c r="B96" s="31">
        <v>34.51</v>
      </c>
      <c r="C96" s="31">
        <v>31.614999999999998</v>
      </c>
      <c r="D96" s="31">
        <v>35.237000000000002</v>
      </c>
      <c r="E96" s="8">
        <v>-8.3888727904955052E-2</v>
      </c>
      <c r="F96" s="8">
        <v>0.11456587063102974</v>
      </c>
    </row>
    <row r="97" spans="1:6" x14ac:dyDescent="0.3">
      <c r="A97" t="s">
        <v>133</v>
      </c>
      <c r="B97" s="31">
        <v>21.757000000000001</v>
      </c>
      <c r="C97" s="31">
        <v>19.826999999999998</v>
      </c>
      <c r="D97" s="31">
        <v>21.324000000000002</v>
      </c>
      <c r="E97" s="8">
        <v>-8.8707082777956692E-2</v>
      </c>
      <c r="F97" s="8">
        <v>7.5503101830836972E-2</v>
      </c>
    </row>
    <row r="98" spans="1:6" x14ac:dyDescent="0.3">
      <c r="A98" t="s">
        <v>29</v>
      </c>
      <c r="B98" s="31">
        <v>39.545000000000002</v>
      </c>
      <c r="C98" s="31">
        <v>34.83</v>
      </c>
      <c r="D98" s="31">
        <v>37.799999999999997</v>
      </c>
      <c r="E98" s="8">
        <v>-0.11923125553167291</v>
      </c>
      <c r="F98" s="8">
        <v>8.5271317829457294E-2</v>
      </c>
    </row>
    <row r="99" spans="1:6" x14ac:dyDescent="0.3">
      <c r="A99" t="s">
        <v>138</v>
      </c>
      <c r="B99" s="31">
        <v>40.99</v>
      </c>
      <c r="C99" s="31">
        <v>35.93</v>
      </c>
      <c r="D99" s="31">
        <v>38.24</v>
      </c>
      <c r="E99" s="8">
        <v>-0.12344474262015126</v>
      </c>
      <c r="F99" s="8">
        <v>6.4291678263289853E-2</v>
      </c>
    </row>
    <row r="100" spans="1:6" x14ac:dyDescent="0.3">
      <c r="A100" t="s">
        <v>48</v>
      </c>
      <c r="B100" s="31">
        <v>37.502000000000002</v>
      </c>
      <c r="C100" s="31">
        <v>32.863</v>
      </c>
      <c r="D100" s="31">
        <v>37.899000000000001</v>
      </c>
      <c r="E100" s="8">
        <v>-0.12370006932963584</v>
      </c>
      <c r="F100" s="8">
        <v>0.15324224812098719</v>
      </c>
    </row>
    <row r="101" spans="1:6" x14ac:dyDescent="0.3">
      <c r="A101" t="s">
        <v>130</v>
      </c>
      <c r="B101" s="31">
        <v>51.624000000000002</v>
      </c>
      <c r="C101" s="31">
        <v>44.847000000000001</v>
      </c>
      <c r="D101" s="31">
        <v>46.506999999999998</v>
      </c>
      <c r="E101" s="8">
        <v>-0.13127615062761511</v>
      </c>
      <c r="F101" s="8">
        <v>3.7014739001493879E-2</v>
      </c>
    </row>
    <row r="102" spans="1:6" x14ac:dyDescent="0.3">
      <c r="A102" t="s">
        <v>28</v>
      </c>
      <c r="B102" s="31">
        <v>50.738</v>
      </c>
      <c r="C102" s="31">
        <v>39.755000000000003</v>
      </c>
      <c r="D102" s="31">
        <v>43.8</v>
      </c>
      <c r="E102" s="8">
        <v>-0.21646497694036027</v>
      </c>
      <c r="F102" s="8">
        <v>0.10174820777260707</v>
      </c>
    </row>
    <row r="103" spans="1:6" x14ac:dyDescent="0.3">
      <c r="B103" s="31"/>
      <c r="C103" s="31"/>
      <c r="D103" s="31"/>
    </row>
    <row r="104" spans="1:6" x14ac:dyDescent="0.3">
      <c r="B104" s="31"/>
      <c r="C104" s="31"/>
      <c r="D104" s="31"/>
    </row>
    <row r="105" spans="1:6" x14ac:dyDescent="0.3">
      <c r="B105" s="31"/>
      <c r="C105" s="31"/>
      <c r="D105" s="31"/>
    </row>
    <row r="106" spans="1:6" x14ac:dyDescent="0.3">
      <c r="B106" s="31"/>
      <c r="C106" s="31"/>
      <c r="D106" s="31"/>
    </row>
    <row r="107" spans="1:6" x14ac:dyDescent="0.3">
      <c r="B107" s="31"/>
      <c r="C107" s="31"/>
      <c r="D107" s="31"/>
    </row>
    <row r="108" spans="1:6" x14ac:dyDescent="0.3">
      <c r="B108" s="31"/>
      <c r="C108" s="31"/>
      <c r="D108" s="31"/>
    </row>
    <row r="109" spans="1:6" x14ac:dyDescent="0.3">
      <c r="B109" s="31"/>
      <c r="C109" s="31"/>
      <c r="D109" s="31"/>
    </row>
    <row r="110" spans="1:6" x14ac:dyDescent="0.3">
      <c r="B110" s="31"/>
      <c r="C110" s="31"/>
      <c r="D110" s="31"/>
    </row>
    <row r="111" spans="1:6" x14ac:dyDescent="0.3">
      <c r="B111" s="31"/>
      <c r="C111" s="31"/>
      <c r="D111" s="31"/>
    </row>
    <row r="112" spans="1:6" x14ac:dyDescent="0.3">
      <c r="B112" s="31"/>
      <c r="C112" s="31"/>
      <c r="D112" s="31"/>
    </row>
    <row r="113" spans="2:4" x14ac:dyDescent="0.3">
      <c r="B113" s="31"/>
      <c r="C113" s="31"/>
      <c r="D113" s="31"/>
    </row>
    <row r="114" spans="2:4" x14ac:dyDescent="0.3">
      <c r="B114" s="31"/>
      <c r="C114" s="31"/>
      <c r="D114" s="31"/>
    </row>
    <row r="115" spans="2:4" x14ac:dyDescent="0.3">
      <c r="B115" s="31"/>
      <c r="C115" s="31"/>
      <c r="D115" s="31"/>
    </row>
    <row r="116" spans="2:4" x14ac:dyDescent="0.3">
      <c r="B116" s="31"/>
      <c r="C116" s="31"/>
      <c r="D116" s="31"/>
    </row>
    <row r="117" spans="2:4" x14ac:dyDescent="0.3">
      <c r="B117" s="31"/>
      <c r="C117" s="31"/>
      <c r="D117" s="31"/>
    </row>
    <row r="118" spans="2:4" x14ac:dyDescent="0.3">
      <c r="B118" s="31"/>
      <c r="C118" s="31"/>
      <c r="D118" s="31"/>
    </row>
    <row r="119" spans="2:4" x14ac:dyDescent="0.3">
      <c r="B119" s="31"/>
      <c r="C119" s="31"/>
      <c r="D119" s="31"/>
    </row>
    <row r="120" spans="2:4" x14ac:dyDescent="0.3">
      <c r="B120" s="31"/>
      <c r="C120" s="31"/>
      <c r="D120" s="31"/>
    </row>
    <row r="121" spans="2:4" x14ac:dyDescent="0.3">
      <c r="B121" s="31"/>
      <c r="C121" s="31"/>
      <c r="D121" s="31"/>
    </row>
    <row r="122" spans="2:4" x14ac:dyDescent="0.3">
      <c r="B122" s="31"/>
      <c r="C122" s="31"/>
      <c r="D122" s="31"/>
    </row>
    <row r="123" spans="2:4" x14ac:dyDescent="0.3">
      <c r="B123" s="31"/>
      <c r="C123" s="31"/>
      <c r="D123" s="31"/>
    </row>
    <row r="124" spans="2:4" x14ac:dyDescent="0.3">
      <c r="B124" s="31"/>
      <c r="C124" s="31"/>
      <c r="D124" s="31"/>
    </row>
    <row r="125" spans="2:4" x14ac:dyDescent="0.3">
      <c r="B125" s="31"/>
      <c r="C125" s="31"/>
      <c r="D125" s="31"/>
    </row>
    <row r="126" spans="2:4" x14ac:dyDescent="0.3">
      <c r="B126" s="31"/>
      <c r="C126" s="31"/>
      <c r="D126" s="31"/>
    </row>
    <row r="127" spans="2:4" x14ac:dyDescent="0.3">
      <c r="B127" s="31"/>
      <c r="C127" s="31"/>
      <c r="D127" s="31"/>
    </row>
    <row r="128" spans="2:4" x14ac:dyDescent="0.3">
      <c r="B128" s="31"/>
      <c r="C128" s="31"/>
      <c r="D128" s="31"/>
    </row>
    <row r="129" spans="2:4" x14ac:dyDescent="0.3">
      <c r="B129" s="31"/>
      <c r="C129" s="31"/>
      <c r="D129" s="31"/>
    </row>
    <row r="130" spans="2:4" x14ac:dyDescent="0.3">
      <c r="B130" s="31"/>
      <c r="C130" s="31"/>
      <c r="D130" s="31"/>
    </row>
    <row r="131" spans="2:4" x14ac:dyDescent="0.3">
      <c r="B131" s="31"/>
      <c r="C131" s="31"/>
      <c r="D131" s="31"/>
    </row>
    <row r="132" spans="2:4" x14ac:dyDescent="0.3">
      <c r="B132" s="31"/>
      <c r="C132" s="31"/>
      <c r="D132" s="31"/>
    </row>
    <row r="133" spans="2:4" x14ac:dyDescent="0.3">
      <c r="B133" s="31"/>
      <c r="C133" s="31"/>
      <c r="D133" s="31"/>
    </row>
    <row r="134" spans="2:4" x14ac:dyDescent="0.3">
      <c r="B134" s="31"/>
      <c r="C134" s="31"/>
      <c r="D134" s="31"/>
    </row>
    <row r="135" spans="2:4" x14ac:dyDescent="0.3">
      <c r="B135" s="31"/>
      <c r="C135" s="31"/>
      <c r="D135" s="31"/>
    </row>
    <row r="136" spans="2:4" x14ac:dyDescent="0.3">
      <c r="B136" s="31"/>
      <c r="C136" s="31"/>
      <c r="D136" s="31"/>
    </row>
    <row r="137" spans="2:4" x14ac:dyDescent="0.3">
      <c r="B137" s="31"/>
      <c r="C137" s="31"/>
      <c r="D137" s="31"/>
    </row>
    <row r="138" spans="2:4" x14ac:dyDescent="0.3">
      <c r="B138" s="31"/>
      <c r="C138" s="31"/>
      <c r="D138" s="31"/>
    </row>
    <row r="139" spans="2:4" x14ac:dyDescent="0.3">
      <c r="B139" s="31"/>
      <c r="C139" s="31"/>
      <c r="D139" s="31"/>
    </row>
    <row r="140" spans="2:4" x14ac:dyDescent="0.3">
      <c r="B140" s="31"/>
      <c r="C140" s="31"/>
      <c r="D140" s="31"/>
    </row>
    <row r="141" spans="2:4" x14ac:dyDescent="0.3">
      <c r="B141" s="31"/>
      <c r="C141" s="31"/>
      <c r="D141" s="31"/>
    </row>
    <row r="142" spans="2:4" x14ac:dyDescent="0.3">
      <c r="B142" s="31"/>
      <c r="C142" s="31"/>
      <c r="D142" s="31"/>
    </row>
    <row r="143" spans="2:4" x14ac:dyDescent="0.3">
      <c r="B143" s="31"/>
      <c r="C143" s="31"/>
      <c r="D143" s="31"/>
    </row>
    <row r="144" spans="2:4" x14ac:dyDescent="0.3">
      <c r="B144" s="31"/>
      <c r="C144" s="31"/>
      <c r="D144" s="31"/>
    </row>
    <row r="145" spans="2:4" x14ac:dyDescent="0.3">
      <c r="B145" s="31"/>
      <c r="C145" s="31"/>
      <c r="D145" s="31"/>
    </row>
    <row r="146" spans="2:4" x14ac:dyDescent="0.3">
      <c r="B146" s="31"/>
      <c r="C146" s="31"/>
      <c r="D146" s="31"/>
    </row>
    <row r="147" spans="2:4" x14ac:dyDescent="0.3">
      <c r="B147" s="31"/>
      <c r="C147" s="31"/>
      <c r="D147" s="31"/>
    </row>
    <row r="148" spans="2:4" x14ac:dyDescent="0.3">
      <c r="B148" s="31"/>
      <c r="C148" s="31"/>
      <c r="D148" s="31"/>
    </row>
    <row r="149" spans="2:4" x14ac:dyDescent="0.3">
      <c r="B149" s="31"/>
      <c r="C149" s="31"/>
      <c r="D149" s="31"/>
    </row>
    <row r="150" spans="2:4" x14ac:dyDescent="0.3">
      <c r="B150" s="31"/>
      <c r="C150" s="31"/>
      <c r="D150" s="31"/>
    </row>
    <row r="151" spans="2:4" x14ac:dyDescent="0.3">
      <c r="B151" s="31"/>
      <c r="C151" s="31"/>
      <c r="D151" s="31"/>
    </row>
    <row r="152" spans="2:4" x14ac:dyDescent="0.3">
      <c r="B152" s="31"/>
      <c r="C152" s="31"/>
      <c r="D152" s="31"/>
    </row>
    <row r="153" spans="2:4" x14ac:dyDescent="0.3">
      <c r="B153" s="31"/>
      <c r="C153" s="31"/>
      <c r="D153" s="31"/>
    </row>
    <row r="154" spans="2:4" x14ac:dyDescent="0.3">
      <c r="B154" s="31"/>
      <c r="C154" s="31"/>
      <c r="D154" s="31"/>
    </row>
    <row r="155" spans="2:4" x14ac:dyDescent="0.3">
      <c r="B155" s="31"/>
      <c r="C155" s="31"/>
      <c r="D155" s="31"/>
    </row>
    <row r="156" spans="2:4" x14ac:dyDescent="0.3">
      <c r="B156" s="31"/>
      <c r="C156" s="31"/>
      <c r="D156" s="31"/>
    </row>
    <row r="157" spans="2:4" x14ac:dyDescent="0.3">
      <c r="B157" s="31"/>
      <c r="C157" s="31"/>
      <c r="D157" s="31"/>
    </row>
    <row r="158" spans="2:4" x14ac:dyDescent="0.3">
      <c r="B158" s="31"/>
      <c r="C158" s="31"/>
      <c r="D158" s="31"/>
    </row>
    <row r="159" spans="2:4" x14ac:dyDescent="0.3">
      <c r="B159" s="31"/>
      <c r="C159" s="31"/>
      <c r="D159" s="31"/>
    </row>
    <row r="160" spans="2:4" x14ac:dyDescent="0.3">
      <c r="B160" s="31"/>
      <c r="C160" s="31"/>
      <c r="D160" s="31"/>
    </row>
    <row r="161" spans="2:4" x14ac:dyDescent="0.3">
      <c r="B161" s="31"/>
      <c r="C161" s="31"/>
      <c r="D161" s="31"/>
    </row>
    <row r="162" spans="2:4" x14ac:dyDescent="0.3">
      <c r="B162" s="31"/>
      <c r="C162" s="31"/>
      <c r="D162" s="31"/>
    </row>
    <row r="163" spans="2:4" x14ac:dyDescent="0.3">
      <c r="B163" s="31"/>
      <c r="C163" s="31"/>
      <c r="D163" s="31"/>
    </row>
    <row r="164" spans="2:4" x14ac:dyDescent="0.3">
      <c r="B164" s="31"/>
      <c r="C164" s="31"/>
      <c r="D164" s="31"/>
    </row>
    <row r="165" spans="2:4" x14ac:dyDescent="0.3">
      <c r="B165" s="31"/>
      <c r="C165" s="31"/>
      <c r="D165" s="31"/>
    </row>
    <row r="166" spans="2:4" x14ac:dyDescent="0.3">
      <c r="B166" s="31"/>
      <c r="C166" s="31"/>
      <c r="D166" s="31"/>
    </row>
    <row r="167" spans="2:4" x14ac:dyDescent="0.3">
      <c r="B167" s="31"/>
      <c r="C167" s="31"/>
      <c r="D167" s="31"/>
    </row>
    <row r="168" spans="2:4" x14ac:dyDescent="0.3">
      <c r="B168" s="31"/>
      <c r="C168" s="31"/>
      <c r="D168" s="31"/>
    </row>
    <row r="169" spans="2:4" x14ac:dyDescent="0.3">
      <c r="B169" s="31"/>
      <c r="C169" s="31"/>
      <c r="D169" s="31"/>
    </row>
    <row r="170" spans="2:4" x14ac:dyDescent="0.3">
      <c r="B170" s="31"/>
      <c r="C170" s="31"/>
      <c r="D170" s="31"/>
    </row>
    <row r="171" spans="2:4" x14ac:dyDescent="0.3">
      <c r="B171" s="31"/>
      <c r="C171" s="31"/>
      <c r="D171" s="31"/>
    </row>
    <row r="172" spans="2:4" x14ac:dyDescent="0.3">
      <c r="B172" s="31"/>
      <c r="C172" s="31"/>
      <c r="D172" s="31"/>
    </row>
    <row r="173" spans="2:4" x14ac:dyDescent="0.3">
      <c r="B173" s="31"/>
      <c r="C173" s="31"/>
      <c r="D173" s="31"/>
    </row>
    <row r="174" spans="2:4" x14ac:dyDescent="0.3">
      <c r="B174" s="31"/>
      <c r="C174" s="31"/>
      <c r="D174" s="31"/>
    </row>
    <row r="175" spans="2:4" x14ac:dyDescent="0.3">
      <c r="B175" s="31"/>
      <c r="C175" s="31"/>
      <c r="D175" s="31"/>
    </row>
    <row r="176" spans="2:4" x14ac:dyDescent="0.3">
      <c r="B176" s="31"/>
      <c r="C176" s="31"/>
      <c r="D176" s="31"/>
    </row>
    <row r="177" spans="2:4" x14ac:dyDescent="0.3">
      <c r="B177" s="31"/>
      <c r="C177" s="31"/>
      <c r="D177" s="31"/>
    </row>
    <row r="178" spans="2:4" x14ac:dyDescent="0.3">
      <c r="B178" s="31"/>
      <c r="C178" s="31"/>
      <c r="D178" s="31"/>
    </row>
    <row r="179" spans="2:4" x14ac:dyDescent="0.3">
      <c r="B179" s="31"/>
      <c r="C179" s="31"/>
      <c r="D179" s="31"/>
    </row>
    <row r="180" spans="2:4" x14ac:dyDescent="0.3">
      <c r="B180" s="31"/>
      <c r="C180" s="31"/>
      <c r="D180" s="31"/>
    </row>
    <row r="181" spans="2:4" x14ac:dyDescent="0.3">
      <c r="B181" s="31"/>
      <c r="C181" s="31"/>
      <c r="D181" s="31"/>
    </row>
    <row r="182" spans="2:4" x14ac:dyDescent="0.3">
      <c r="B182" s="31"/>
      <c r="C182" s="31"/>
      <c r="D182" s="31"/>
    </row>
    <row r="183" spans="2:4" x14ac:dyDescent="0.3">
      <c r="B183" s="31"/>
      <c r="C183" s="31"/>
      <c r="D183" s="31"/>
    </row>
    <row r="184" spans="2:4" x14ac:dyDescent="0.3">
      <c r="B184" s="31"/>
      <c r="C184" s="31"/>
      <c r="D184" s="31"/>
    </row>
    <row r="185" spans="2:4" x14ac:dyDescent="0.3">
      <c r="B185" s="31"/>
      <c r="C185" s="31"/>
      <c r="D185" s="31"/>
    </row>
    <row r="186" spans="2:4" x14ac:dyDescent="0.3">
      <c r="B186" s="31"/>
      <c r="C186" s="31"/>
      <c r="D186" s="31"/>
    </row>
    <row r="187" spans="2:4" x14ac:dyDescent="0.3">
      <c r="B187" s="31"/>
      <c r="C187" s="31"/>
      <c r="D187" s="31"/>
    </row>
    <row r="188" spans="2:4" x14ac:dyDescent="0.3">
      <c r="B188" s="31"/>
      <c r="C188" s="31"/>
      <c r="D188" s="31"/>
    </row>
    <row r="189" spans="2:4" x14ac:dyDescent="0.3">
      <c r="B189" s="31"/>
      <c r="C189" s="31"/>
      <c r="D189" s="31"/>
    </row>
    <row r="190" spans="2:4" x14ac:dyDescent="0.3">
      <c r="B190" s="31"/>
      <c r="C190" s="31"/>
      <c r="D190" s="31"/>
    </row>
    <row r="191" spans="2:4" x14ac:dyDescent="0.3">
      <c r="B191" s="31"/>
      <c r="C191" s="31"/>
      <c r="D191" s="31"/>
    </row>
    <row r="192" spans="2:4" x14ac:dyDescent="0.3">
      <c r="B192" s="31"/>
      <c r="C192" s="31"/>
      <c r="D192" s="31"/>
    </row>
    <row r="193" spans="2:4" x14ac:dyDescent="0.3">
      <c r="B193" s="31"/>
      <c r="C193" s="31"/>
      <c r="D193" s="31"/>
    </row>
    <row r="194" spans="2:4" x14ac:dyDescent="0.3">
      <c r="B194" s="31"/>
      <c r="C194" s="31"/>
      <c r="D194" s="31"/>
    </row>
    <row r="195" spans="2:4" x14ac:dyDescent="0.3">
      <c r="B195" s="31"/>
      <c r="C195" s="31"/>
      <c r="D195" s="31"/>
    </row>
    <row r="196" spans="2:4" x14ac:dyDescent="0.3">
      <c r="B196" s="31"/>
      <c r="C196" s="31"/>
      <c r="D196" s="31"/>
    </row>
    <row r="197" spans="2:4" x14ac:dyDescent="0.3">
      <c r="B197" s="31"/>
      <c r="C197" s="31"/>
      <c r="D197" s="31"/>
    </row>
    <row r="198" spans="2:4" x14ac:dyDescent="0.3">
      <c r="B198" s="31"/>
      <c r="C198" s="31"/>
      <c r="D198" s="31"/>
    </row>
    <row r="199" spans="2:4" x14ac:dyDescent="0.3">
      <c r="B199" s="31"/>
      <c r="C199" s="31"/>
      <c r="D199" s="31"/>
    </row>
    <row r="200" spans="2:4" x14ac:dyDescent="0.3">
      <c r="B200" s="31"/>
      <c r="C200" s="31"/>
      <c r="D200" s="31"/>
    </row>
    <row r="201" spans="2:4" x14ac:dyDescent="0.3">
      <c r="B201" s="31"/>
      <c r="C201" s="31"/>
      <c r="D201" s="31"/>
    </row>
    <row r="202" spans="2:4" x14ac:dyDescent="0.3">
      <c r="B202" s="31"/>
      <c r="C202" s="31"/>
      <c r="D202" s="31"/>
    </row>
    <row r="203" spans="2:4" x14ac:dyDescent="0.3">
      <c r="B203" s="31"/>
      <c r="C203" s="31"/>
      <c r="D203" s="31"/>
    </row>
    <row r="204" spans="2:4" x14ac:dyDescent="0.3">
      <c r="B204" s="31"/>
      <c r="C204" s="31"/>
      <c r="D204" s="31"/>
    </row>
    <row r="205" spans="2:4" x14ac:dyDescent="0.3">
      <c r="B205" s="31"/>
      <c r="C205" s="31"/>
      <c r="D205" s="31"/>
    </row>
    <row r="206" spans="2:4" x14ac:dyDescent="0.3">
      <c r="B206" s="31"/>
      <c r="C206" s="31"/>
      <c r="D206" s="31"/>
    </row>
    <row r="207" spans="2:4" x14ac:dyDescent="0.3">
      <c r="B207" s="31"/>
      <c r="C207" s="31"/>
      <c r="D207" s="31"/>
    </row>
    <row r="208" spans="2:4" x14ac:dyDescent="0.3">
      <c r="B208" s="31"/>
      <c r="C208" s="31"/>
      <c r="D208" s="31"/>
    </row>
    <row r="209" spans="2:4" x14ac:dyDescent="0.3">
      <c r="B209" s="31"/>
      <c r="C209" s="31"/>
      <c r="D209" s="31"/>
    </row>
    <row r="210" spans="2:4" x14ac:dyDescent="0.3">
      <c r="B210" s="31"/>
      <c r="C210" s="31"/>
      <c r="D210" s="31"/>
    </row>
    <row r="211" spans="2:4" x14ac:dyDescent="0.3">
      <c r="B211" s="31"/>
      <c r="C211" s="31"/>
      <c r="D211" s="31"/>
    </row>
    <row r="212" spans="2:4" x14ac:dyDescent="0.3">
      <c r="B212" s="31"/>
      <c r="C212" s="31"/>
      <c r="D212" s="31"/>
    </row>
    <row r="213" spans="2:4" x14ac:dyDescent="0.3">
      <c r="B213" s="31"/>
      <c r="C213" s="31"/>
      <c r="D213" s="31"/>
    </row>
    <row r="214" spans="2:4" x14ac:dyDescent="0.3">
      <c r="B214" s="31"/>
      <c r="C214" s="31"/>
      <c r="D214" s="31"/>
    </row>
    <row r="215" spans="2:4" x14ac:dyDescent="0.3">
      <c r="B215" s="31"/>
      <c r="C215" s="31"/>
      <c r="D215" s="31"/>
    </row>
    <row r="216" spans="2:4" x14ac:dyDescent="0.3">
      <c r="B216" s="31"/>
      <c r="C216" s="31"/>
      <c r="D216" s="31"/>
    </row>
    <row r="217" spans="2:4" x14ac:dyDescent="0.3">
      <c r="B217" s="31"/>
      <c r="C217" s="31"/>
      <c r="D217" s="31"/>
    </row>
    <row r="218" spans="2:4" x14ac:dyDescent="0.3">
      <c r="B218" s="31"/>
      <c r="C218" s="31"/>
      <c r="D218" s="31"/>
    </row>
    <row r="219" spans="2:4" x14ac:dyDescent="0.3">
      <c r="B219" s="31"/>
      <c r="C219" s="31"/>
      <c r="D219" s="31"/>
    </row>
    <row r="220" spans="2:4" x14ac:dyDescent="0.3">
      <c r="B220" s="31"/>
      <c r="C220" s="31"/>
      <c r="D220" s="31"/>
    </row>
    <row r="221" spans="2:4" x14ac:dyDescent="0.3">
      <c r="B221" s="31"/>
      <c r="C221" s="31"/>
      <c r="D221" s="31"/>
    </row>
    <row r="222" spans="2:4" x14ac:dyDescent="0.3">
      <c r="B222" s="31"/>
      <c r="C222" s="31"/>
      <c r="D222" s="31"/>
    </row>
    <row r="223" spans="2:4" x14ac:dyDescent="0.3">
      <c r="B223" s="31"/>
      <c r="C223" s="31"/>
      <c r="D223" s="31"/>
    </row>
    <row r="224" spans="2:4" x14ac:dyDescent="0.3">
      <c r="B224" s="31"/>
      <c r="C224" s="31"/>
      <c r="D224" s="31"/>
    </row>
    <row r="225" spans="2:4" x14ac:dyDescent="0.3">
      <c r="B225" s="31"/>
      <c r="C225" s="31"/>
      <c r="D225" s="31"/>
    </row>
    <row r="226" spans="2:4" x14ac:dyDescent="0.3">
      <c r="B226" s="31"/>
      <c r="C226" s="31"/>
      <c r="D226" s="31"/>
    </row>
    <row r="227" spans="2:4" x14ac:dyDescent="0.3">
      <c r="B227" s="31"/>
      <c r="C227" s="31"/>
      <c r="D227" s="31"/>
    </row>
    <row r="228" spans="2:4" x14ac:dyDescent="0.3">
      <c r="B228" s="31"/>
      <c r="C228" s="31"/>
      <c r="D228" s="31"/>
    </row>
    <row r="229" spans="2:4" x14ac:dyDescent="0.3">
      <c r="B229" s="31"/>
      <c r="C229" s="31"/>
      <c r="D229" s="31"/>
    </row>
    <row r="230" spans="2:4" x14ac:dyDescent="0.3">
      <c r="B230" s="31"/>
      <c r="C230" s="31"/>
      <c r="D230" s="31"/>
    </row>
    <row r="231" spans="2:4" x14ac:dyDescent="0.3">
      <c r="B231" s="31"/>
      <c r="C231" s="31"/>
      <c r="D231" s="31"/>
    </row>
    <row r="232" spans="2:4" x14ac:dyDescent="0.3">
      <c r="B232" s="31"/>
      <c r="C232" s="31"/>
      <c r="D232" s="31"/>
    </row>
    <row r="233" spans="2:4" x14ac:dyDescent="0.3">
      <c r="B233" s="31"/>
      <c r="C233" s="31"/>
      <c r="D233" s="31"/>
    </row>
    <row r="234" spans="2:4" x14ac:dyDescent="0.3">
      <c r="B234" s="31"/>
      <c r="C234" s="31"/>
      <c r="D234" s="31"/>
    </row>
    <row r="235" spans="2:4" x14ac:dyDescent="0.3">
      <c r="B235" s="31"/>
      <c r="C235" s="31"/>
      <c r="D235" s="31"/>
    </row>
    <row r="236" spans="2:4" x14ac:dyDescent="0.3">
      <c r="B236" s="31"/>
      <c r="C236" s="31"/>
      <c r="D236" s="31"/>
    </row>
    <row r="237" spans="2:4" x14ac:dyDescent="0.3">
      <c r="B237" s="31"/>
      <c r="C237" s="31"/>
      <c r="D237" s="31"/>
    </row>
    <row r="238" spans="2:4" x14ac:dyDescent="0.3">
      <c r="B238" s="31"/>
      <c r="C238" s="31"/>
      <c r="D238" s="31"/>
    </row>
    <row r="239" spans="2:4" x14ac:dyDescent="0.3">
      <c r="B239" s="31"/>
      <c r="C239" s="31"/>
      <c r="D239" s="31"/>
    </row>
    <row r="240" spans="2:4" x14ac:dyDescent="0.3">
      <c r="B240" s="31"/>
      <c r="C240" s="31"/>
      <c r="D240" s="31"/>
    </row>
    <row r="241" spans="2:4" x14ac:dyDescent="0.3">
      <c r="B241" s="31"/>
      <c r="C241" s="31"/>
      <c r="D241" s="31"/>
    </row>
    <row r="242" spans="2:4" x14ac:dyDescent="0.3">
      <c r="B242" s="31"/>
      <c r="C242" s="31"/>
      <c r="D242" s="31"/>
    </row>
    <row r="243" spans="2:4" x14ac:dyDescent="0.3">
      <c r="B243" s="31"/>
      <c r="C243" s="31"/>
      <c r="D243" s="31"/>
    </row>
    <row r="244" spans="2:4" x14ac:dyDescent="0.3">
      <c r="B244" s="31"/>
      <c r="C244" s="31"/>
      <c r="D244" s="31"/>
    </row>
    <row r="245" spans="2:4" x14ac:dyDescent="0.3">
      <c r="B245" s="31"/>
      <c r="C245" s="31"/>
      <c r="D245" s="31"/>
    </row>
    <row r="246" spans="2:4" x14ac:dyDescent="0.3">
      <c r="B246" s="31"/>
      <c r="C246" s="31"/>
      <c r="D246" s="31"/>
    </row>
    <row r="247" spans="2:4" x14ac:dyDescent="0.3">
      <c r="B247" s="31"/>
      <c r="C247" s="31"/>
      <c r="D247" s="31"/>
    </row>
    <row r="248" spans="2:4" x14ac:dyDescent="0.3">
      <c r="B248" s="31"/>
      <c r="C248" s="31"/>
      <c r="D248" s="31"/>
    </row>
    <row r="249" spans="2:4" x14ac:dyDescent="0.3">
      <c r="B249" s="31"/>
      <c r="C249" s="31"/>
      <c r="D249" s="31"/>
    </row>
    <row r="250" spans="2:4" x14ac:dyDescent="0.3">
      <c r="B250" s="31"/>
      <c r="C250" s="31"/>
      <c r="D250" s="31"/>
    </row>
    <row r="251" spans="2:4" x14ac:dyDescent="0.3">
      <c r="B251" s="31"/>
      <c r="C251" s="31"/>
      <c r="D251" s="31"/>
    </row>
    <row r="252" spans="2:4" x14ac:dyDescent="0.3">
      <c r="B252" s="31"/>
      <c r="C252" s="31"/>
      <c r="D252" s="31"/>
    </row>
    <row r="253" spans="2:4" x14ac:dyDescent="0.3">
      <c r="B253" s="31"/>
      <c r="C253" s="31"/>
      <c r="D253" s="31"/>
    </row>
    <row r="254" spans="2:4" x14ac:dyDescent="0.3">
      <c r="B254" s="31"/>
      <c r="C254" s="31"/>
      <c r="D254" s="31"/>
    </row>
    <row r="255" spans="2:4" x14ac:dyDescent="0.3">
      <c r="B255" s="31"/>
      <c r="C255" s="31"/>
      <c r="D255" s="31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3" name="Button 1">
              <controlPr defaultSize="0" print="0" autoFill="0" autoPict="0" macro="[0]!go_Back">
                <anchor moveWithCells="1" sizeWithCells="1">
                  <from>
                    <xdr:col>8</xdr:col>
                    <xdr:colOff>373380</xdr:colOff>
                    <xdr:row>0</xdr:row>
                    <xdr:rowOff>144780</xdr:rowOff>
                  </from>
                  <to>
                    <xdr:col>10</xdr:col>
                    <xdr:colOff>144780</xdr:colOff>
                    <xdr:row>3</xdr:row>
                    <xdr:rowOff>175260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F553A87-B65E-423F-B50C-70C3F189372C}">
  <sheetPr codeName="Sheet5"/>
  <dimension ref="C1:AB59"/>
  <sheetViews>
    <sheetView zoomScaleNormal="100" workbookViewId="0">
      <selection activeCell="F38" sqref="F38"/>
    </sheetView>
  </sheetViews>
  <sheetFormatPr defaultRowHeight="14.4" x14ac:dyDescent="0.3"/>
  <cols>
    <col min="4" max="4" width="35.44140625" bestFit="1" customWidth="1"/>
    <col min="5" max="5" width="11" customWidth="1"/>
    <col min="6" max="6" width="10.6640625" style="6" bestFit="1" customWidth="1"/>
    <col min="7" max="13" width="10.88671875" style="6" bestFit="1" customWidth="1"/>
    <col min="14" max="14" width="10.6640625" style="6" bestFit="1" customWidth="1"/>
    <col min="15" max="15" width="9.109375" style="6"/>
    <col min="16" max="16" width="10" style="6" bestFit="1" customWidth="1"/>
    <col min="17" max="26" width="9.109375" style="6"/>
    <col min="27" max="27" width="9.109375" style="1"/>
  </cols>
  <sheetData>
    <row r="1" spans="3:28" x14ac:dyDescent="0.3">
      <c r="F1" s="7">
        <f>DATE(F6,1,1)</f>
        <v>40544</v>
      </c>
      <c r="G1" s="7">
        <f t="shared" ref="G1:N1" si="0">DATE(G6,1,1)</f>
        <v>40909</v>
      </c>
      <c r="H1" s="7">
        <f t="shared" si="0"/>
        <v>41275</v>
      </c>
      <c r="I1" s="7">
        <f t="shared" si="0"/>
        <v>41640</v>
      </c>
      <c r="J1" s="7">
        <f t="shared" si="0"/>
        <v>42005</v>
      </c>
      <c r="K1" s="7">
        <f t="shared" si="0"/>
        <v>42370</v>
      </c>
      <c r="L1" s="7">
        <f t="shared" si="0"/>
        <v>42736</v>
      </c>
      <c r="M1" s="7">
        <f t="shared" si="0"/>
        <v>43101</v>
      </c>
      <c r="N1" s="7">
        <f t="shared" si="0"/>
        <v>43466</v>
      </c>
    </row>
    <row r="2" spans="3:28" s="1" customFormat="1" x14ac:dyDescent="0.3">
      <c r="F2" s="7">
        <f>DATE(F6+1,1,1)-1</f>
        <v>40908</v>
      </c>
      <c r="G2" s="7">
        <f t="shared" ref="G2:N2" si="1">DATE(G6+1,1,1)-1</f>
        <v>41274</v>
      </c>
      <c r="H2" s="7">
        <f t="shared" si="1"/>
        <v>41639</v>
      </c>
      <c r="I2" s="7">
        <f t="shared" si="1"/>
        <v>42004</v>
      </c>
      <c r="J2" s="7">
        <f t="shared" si="1"/>
        <v>42369</v>
      </c>
      <c r="K2" s="7">
        <f t="shared" si="1"/>
        <v>42735</v>
      </c>
      <c r="L2" s="7">
        <f t="shared" si="1"/>
        <v>43100</v>
      </c>
      <c r="M2" s="7">
        <f t="shared" si="1"/>
        <v>43465</v>
      </c>
      <c r="N2" s="7">
        <f t="shared" si="1"/>
        <v>43830</v>
      </c>
      <c r="O2" s="6"/>
      <c r="P2" s="6"/>
      <c r="Q2" s="6"/>
      <c r="R2" s="6"/>
      <c r="S2" s="6"/>
      <c r="T2" s="6"/>
      <c r="U2" s="6"/>
      <c r="V2" s="6"/>
      <c r="W2" s="6"/>
      <c r="X2" s="6"/>
      <c r="Y2" s="6"/>
      <c r="Z2" s="6"/>
    </row>
    <row r="3" spans="3:28" s="1" customFormat="1" x14ac:dyDescent="0.3">
      <c r="C3" s="3"/>
      <c r="D3" s="3" t="e">
        <f t="array" ref="D3">PRODUCT(F3:I3+1)-1</f>
        <v>#REF!</v>
      </c>
      <c r="E3" s="1" t="s">
        <v>75</v>
      </c>
      <c r="F3" s="5" t="e">
        <f>EXP(SUMIFS(#REF!,#REF!,"&gt;="&amp; F1,#REF!,"&lt;=" &amp; F2))-1</f>
        <v>#REF!</v>
      </c>
      <c r="G3" s="5" t="e">
        <f>EXP(SUMIFS(#REF!,#REF!,"&gt;="&amp; G1,#REF!,"&lt;=" &amp; G2))-1</f>
        <v>#REF!</v>
      </c>
      <c r="H3" s="5" t="e">
        <f>EXP(SUMIFS(#REF!,#REF!,"&gt;="&amp; H1,#REF!,"&lt;=" &amp; H2))-1</f>
        <v>#REF!</v>
      </c>
      <c r="I3" s="5" t="e">
        <f>EXP(SUMIFS(#REF!,#REF!,"&gt;="&amp; I1,#REF!,"&lt;=" &amp; I2))-1</f>
        <v>#REF!</v>
      </c>
      <c r="J3" s="5" t="e">
        <f>EXP(SUMIFS(#REF!,#REF!,"&gt;="&amp; J1,#REF!,"&lt;=" &amp; J2))-1</f>
        <v>#REF!</v>
      </c>
      <c r="K3" s="5" t="e">
        <f>EXP(SUMIFS(#REF!,#REF!,"&gt;="&amp; K1,#REF!,"&lt;=" &amp; K2))-1</f>
        <v>#REF!</v>
      </c>
      <c r="L3" s="5" t="e">
        <f>EXP(SUMIFS(#REF!,#REF!,"&gt;="&amp; L1,#REF!,"&lt;=" &amp; L2))-1</f>
        <v>#REF!</v>
      </c>
      <c r="M3" s="5" t="e">
        <f>EXP(SUMIFS(#REF!,#REF!,"&gt;="&amp; M1,#REF!,"&lt;=" &amp; M2))-1</f>
        <v>#REF!</v>
      </c>
      <c r="N3" s="5" t="e">
        <f>EXP(SUMIFS(#REF!,#REF!,"&gt;="&amp; N1,#REF!,"&lt;=" &amp; N2))-1</f>
        <v>#REF!</v>
      </c>
      <c r="O3" s="6"/>
      <c r="P3" s="5" t="e">
        <f t="array" ref="P3">PRODUCT(F3:N3+1)-1</f>
        <v>#REF!</v>
      </c>
      <c r="Q3" s="6"/>
      <c r="R3" s="6"/>
      <c r="S3" s="6"/>
      <c r="T3" s="6"/>
      <c r="U3" s="6"/>
      <c r="V3" s="6"/>
      <c r="W3" s="6"/>
      <c r="X3" s="6"/>
      <c r="Y3" s="6"/>
      <c r="Z3" s="6"/>
    </row>
    <row r="4" spans="3:28" s="1" customFormat="1" x14ac:dyDescent="0.3">
      <c r="C4" s="3"/>
      <c r="D4" s="3" t="e">
        <f t="array" ref="D4">PRODUCT(F4:I4+1)-1</f>
        <v>#REF!</v>
      </c>
      <c r="E4" s="1" t="s">
        <v>105</v>
      </c>
      <c r="F4" s="5" t="e">
        <f>EXP(SUMIFS(#REF!,#REF!,"&gt;="&amp; F1,#REF!,"&lt;=" &amp; F2))-1</f>
        <v>#REF!</v>
      </c>
      <c r="G4" s="5" t="e">
        <f>EXP(SUMIFS(#REF!,#REF!,"&gt;="&amp; G1,#REF!,"&lt;=" &amp; G2))-1</f>
        <v>#REF!</v>
      </c>
      <c r="H4" s="5" t="e">
        <f>EXP(SUMIFS(#REF!,#REF!,"&gt;="&amp; H1,#REF!,"&lt;=" &amp; H2))-1</f>
        <v>#REF!</v>
      </c>
      <c r="I4" s="5" t="e">
        <f>EXP(SUMIFS(#REF!,#REF!,"&gt;="&amp; I1,#REF!,"&lt;=" &amp; I2))-1</f>
        <v>#REF!</v>
      </c>
      <c r="J4" s="5" t="e">
        <f>EXP(SUMIFS(#REF!,#REF!,"&gt;="&amp; J1,#REF!,"&lt;=" &amp; J2))-1</f>
        <v>#REF!</v>
      </c>
      <c r="K4" s="5" t="e">
        <f>EXP(SUMIFS(#REF!,#REF!,"&gt;="&amp; K1,#REF!,"&lt;=" &amp; K2))-1</f>
        <v>#REF!</v>
      </c>
      <c r="L4" s="5" t="e">
        <f>EXP(SUMIFS(#REF!,#REF!,"&gt;="&amp; L1,#REF!,"&lt;=" &amp; L2))-1</f>
        <v>#REF!</v>
      </c>
      <c r="M4" s="5" t="e">
        <f>EXP(SUMIFS(#REF!,#REF!,"&gt;="&amp; M1,#REF!,"&lt;=" &amp; M2))-1</f>
        <v>#REF!</v>
      </c>
      <c r="N4" s="5" t="e">
        <f>EXP(SUMIFS(#REF!,#REF!,"&gt;="&amp; N1,#REF!,"&lt;=" &amp; N2))-1</f>
        <v>#REF!</v>
      </c>
      <c r="O4" s="6"/>
      <c r="P4" s="5" t="e">
        <f t="array" ref="P4">PRODUCT(F4:N4+1)-1</f>
        <v>#REF!</v>
      </c>
      <c r="Q4" s="6"/>
      <c r="R4" s="10" t="e">
        <f t="shared" ref="R4:Z4" si="2">AVERAGE(R7:R49)</f>
        <v>#REF!</v>
      </c>
      <c r="S4" s="10" t="e">
        <f t="shared" si="2"/>
        <v>#REF!</v>
      </c>
      <c r="T4" s="10" t="e">
        <f t="shared" si="2"/>
        <v>#REF!</v>
      </c>
      <c r="U4" s="10" t="e">
        <f t="shared" si="2"/>
        <v>#REF!</v>
      </c>
      <c r="V4" s="10" t="e">
        <f t="shared" si="2"/>
        <v>#REF!</v>
      </c>
      <c r="W4" s="10" t="e">
        <f t="shared" si="2"/>
        <v>#REF!</v>
      </c>
      <c r="X4" s="10" t="e">
        <f t="shared" si="2"/>
        <v>#REF!</v>
      </c>
      <c r="Y4" s="10" t="e">
        <f t="shared" si="2"/>
        <v>#REF!</v>
      </c>
      <c r="Z4" s="10" t="e">
        <f t="shared" si="2"/>
        <v>#REF!</v>
      </c>
      <c r="AA4" s="4"/>
      <c r="AB4" s="2"/>
    </row>
    <row r="5" spans="3:28" s="1" customFormat="1" x14ac:dyDescent="0.3">
      <c r="D5" s="4" t="e">
        <f>D4-D3</f>
        <v>#REF!</v>
      </c>
      <c r="F5" s="5"/>
      <c r="G5" s="5"/>
      <c r="H5" s="5"/>
      <c r="I5" s="5"/>
      <c r="J5" s="5"/>
      <c r="K5" s="5"/>
      <c r="L5" s="5"/>
      <c r="M5" s="5"/>
      <c r="N5" s="5"/>
      <c r="O5" s="6"/>
      <c r="P5" s="6"/>
      <c r="Q5" s="6"/>
      <c r="R5" s="10">
        <f t="shared" ref="R5:Z5" si="3">COUNTIFS(R7:R49,"&gt;0")/COUNTA(R7:R49)</f>
        <v>0</v>
      </c>
      <c r="S5" s="10">
        <f t="shared" si="3"/>
        <v>0</v>
      </c>
      <c r="T5" s="10">
        <f t="shared" si="3"/>
        <v>0</v>
      </c>
      <c r="U5" s="10">
        <f t="shared" si="3"/>
        <v>0</v>
      </c>
      <c r="V5" s="10">
        <f t="shared" si="3"/>
        <v>0</v>
      </c>
      <c r="W5" s="10">
        <f t="shared" si="3"/>
        <v>0</v>
      </c>
      <c r="X5" s="10">
        <f t="shared" si="3"/>
        <v>0</v>
      </c>
      <c r="Y5" s="10">
        <f>COUNTIFS(Y7:Y49,"&gt;0")/COUNTA(Y7:Y49)</f>
        <v>0</v>
      </c>
      <c r="Z5" s="10">
        <f t="shared" si="3"/>
        <v>0</v>
      </c>
      <c r="AA5" s="4"/>
    </row>
    <row r="6" spans="3:28" ht="21.6" thickBot="1" x14ac:dyDescent="0.35">
      <c r="F6" s="11">
        <v>2011</v>
      </c>
      <c r="G6" s="11">
        <v>2012</v>
      </c>
      <c r="H6" s="11">
        <v>2013</v>
      </c>
      <c r="I6" s="11">
        <v>2014</v>
      </c>
      <c r="J6" s="11">
        <v>2015</v>
      </c>
      <c r="K6" s="11">
        <v>2016</v>
      </c>
      <c r="L6" s="11">
        <v>2017</v>
      </c>
      <c r="M6" s="11">
        <v>2018</v>
      </c>
      <c r="N6" s="11">
        <v>2019</v>
      </c>
      <c r="R6" s="11">
        <v>2011</v>
      </c>
      <c r="S6" s="11">
        <v>2012</v>
      </c>
      <c r="T6" s="11">
        <v>2013</v>
      </c>
      <c r="U6" s="11">
        <v>2014</v>
      </c>
      <c r="V6" s="11">
        <v>2015</v>
      </c>
      <c r="W6" s="11">
        <v>2016</v>
      </c>
      <c r="X6" s="11">
        <v>2017</v>
      </c>
      <c r="Y6" s="11">
        <v>2018</v>
      </c>
      <c r="Z6" s="11">
        <v>2019</v>
      </c>
      <c r="AA6" s="9"/>
    </row>
    <row r="7" spans="3:28" ht="15" thickTop="1" x14ac:dyDescent="0.3">
      <c r="D7" t="s">
        <v>98</v>
      </c>
      <c r="E7" t="s">
        <v>99</v>
      </c>
      <c r="F7" s="10" t="e">
        <f>EXP(SUMIFS(#REF!,#REF!,"&gt;="&amp; F1,#REF!,"&lt;=" &amp; F2))-1</f>
        <v>#REF!</v>
      </c>
      <c r="G7" s="10" t="e">
        <f>EXP(SUMIFS(#REF!,#REF!,"&gt;="&amp; G1,#REF!,"&lt;=" &amp; G2))-1</f>
        <v>#REF!</v>
      </c>
      <c r="H7" s="10" t="e">
        <f>EXP(SUMIFS(#REF!,#REF!,"&gt;="&amp; H1,#REF!,"&lt;=" &amp; H2))-1</f>
        <v>#REF!</v>
      </c>
      <c r="I7" s="10" t="e">
        <f>EXP(SUMIFS(#REF!,#REF!,"&gt;="&amp; I1,#REF!,"&lt;=" &amp; I2))-1</f>
        <v>#REF!</v>
      </c>
      <c r="J7" s="10" t="e">
        <f>EXP(SUMIFS(#REF!,#REF!,"&gt;="&amp; J1,#REF!,"&lt;=" &amp; J2))-1</f>
        <v>#REF!</v>
      </c>
      <c r="K7" s="10" t="e">
        <f>EXP(SUMIFS(#REF!,#REF!,"&gt;="&amp; K1,#REF!,"&lt;=" &amp; K2))-1</f>
        <v>#REF!</v>
      </c>
      <c r="L7" s="10" t="e">
        <f>EXP(SUMIFS(#REF!,#REF!,"&gt;="&amp; L1,#REF!,"&lt;=" &amp; L2))-1</f>
        <v>#REF!</v>
      </c>
      <c r="M7" s="10" t="e">
        <f>EXP(SUMIFS(#REF!,#REF!,"&gt;="&amp; M1,#REF!,"&lt;=" &amp; M2))-1</f>
        <v>#REF!</v>
      </c>
      <c r="N7" s="10" t="e">
        <f>EXP(SUMIFS(#REF!,#REF!,"&gt;="&amp; N1,#REF!,"&lt;=" &amp; N2))-1</f>
        <v>#REF!</v>
      </c>
      <c r="P7" s="5" t="e">
        <f t="array" ref="P7">PRODUCT(F7:N7+1)-1</f>
        <v>#REF!</v>
      </c>
      <c r="Q7" s="6">
        <f>COUNTIFS(R7:Z7,"&gt;=0")</f>
        <v>0</v>
      </c>
      <c r="R7" s="10" t="e">
        <f t="shared" ref="R7:R11" si="4">F7-F$3</f>
        <v>#REF!</v>
      </c>
      <c r="S7" s="10" t="e">
        <f t="shared" ref="S7:S12" si="5">G7-G$3</f>
        <v>#REF!</v>
      </c>
      <c r="T7" s="10" t="e">
        <f t="shared" ref="T7:T12" si="6">H7-H$3</f>
        <v>#REF!</v>
      </c>
      <c r="U7" s="10" t="e">
        <f t="shared" ref="U7:U12" si="7">I7-I$3</f>
        <v>#REF!</v>
      </c>
      <c r="V7" s="10" t="e">
        <f t="shared" ref="V7:V12" si="8">J7-J$3</f>
        <v>#REF!</v>
      </c>
      <c r="W7" s="10" t="e">
        <f t="shared" ref="W7:W12" si="9">K7-K$3</f>
        <v>#REF!</v>
      </c>
      <c r="X7" s="10" t="e">
        <f t="shared" ref="X7:X12" si="10">L7-L$3</f>
        <v>#REF!</v>
      </c>
      <c r="Y7" s="10" t="e">
        <f t="shared" ref="Y7:Y12" si="11">M7-M$3</f>
        <v>#REF!</v>
      </c>
      <c r="Z7" s="10" t="e">
        <f t="shared" ref="Z7:Z12" si="12">N7-N$3</f>
        <v>#REF!</v>
      </c>
      <c r="AA7" s="4"/>
      <c r="AB7" s="5" t="e">
        <f t="array" ref="AB7">PRODUCT(R7:Z7+1)-1</f>
        <v>#REF!</v>
      </c>
    </row>
    <row r="8" spans="3:28" x14ac:dyDescent="0.3">
      <c r="E8" t="s">
        <v>100</v>
      </c>
      <c r="F8" s="10" t="e">
        <f>EXP(SUMIFS(#REF!,#REF!,"&gt;="&amp; F1,#REF!,"&lt;=" &amp; F2))-1</f>
        <v>#REF!</v>
      </c>
      <c r="G8" s="10" t="e">
        <f>EXP(SUMIFS(#REF!,#REF!,"&gt;="&amp; G1,#REF!,"&lt;=" &amp; G2))-1</f>
        <v>#REF!</v>
      </c>
      <c r="H8" s="10" t="e">
        <f>EXP(SUMIFS(#REF!,#REF!,"&gt;="&amp; H1,#REF!,"&lt;=" &amp; H2))-1</f>
        <v>#REF!</v>
      </c>
      <c r="I8" s="10" t="e">
        <f>EXP(SUMIFS(#REF!,#REF!,"&gt;="&amp; I1,#REF!,"&lt;=" &amp; I2))-1</f>
        <v>#REF!</v>
      </c>
      <c r="J8" s="10" t="e">
        <f>EXP(SUMIFS(#REF!,#REF!,"&gt;="&amp; J1,#REF!,"&lt;=" &amp; J2))-1</f>
        <v>#REF!</v>
      </c>
      <c r="K8" s="10" t="e">
        <f>EXP(SUMIFS(#REF!,#REF!,"&gt;="&amp; K1,#REF!,"&lt;=" &amp; K2))-1</f>
        <v>#REF!</v>
      </c>
      <c r="L8" s="10" t="e">
        <f>EXP(SUMIFS(#REF!,#REF!,"&gt;="&amp; L1,#REF!,"&lt;=" &amp; L2))-1</f>
        <v>#REF!</v>
      </c>
      <c r="M8" s="10" t="e">
        <f>EXP(SUMIFS(#REF!,#REF!,"&gt;="&amp; M1,#REF!,"&lt;=" &amp; M2))-1</f>
        <v>#REF!</v>
      </c>
      <c r="N8" s="10" t="e">
        <f>EXP(SUMIFS(#REF!,#REF!,"&gt;="&amp; N1,#REF!,"&lt;=" &amp; N2))-1</f>
        <v>#REF!</v>
      </c>
      <c r="P8" s="5" t="e">
        <f t="array" ref="P8">PRODUCT(F8:N8+1)-1</f>
        <v>#REF!</v>
      </c>
      <c r="Q8" s="6">
        <f t="shared" ref="Q8:Q12" si="13">COUNTIFS(R8:Z8,"&gt;=0")</f>
        <v>0</v>
      </c>
      <c r="R8" s="10" t="e">
        <f t="shared" si="4"/>
        <v>#REF!</v>
      </c>
      <c r="S8" s="10" t="e">
        <f t="shared" si="5"/>
        <v>#REF!</v>
      </c>
      <c r="T8" s="10" t="e">
        <f t="shared" si="6"/>
        <v>#REF!</v>
      </c>
      <c r="U8" s="10" t="e">
        <f t="shared" si="7"/>
        <v>#REF!</v>
      </c>
      <c r="V8" s="10" t="e">
        <f t="shared" si="8"/>
        <v>#REF!</v>
      </c>
      <c r="W8" s="10" t="e">
        <f t="shared" si="9"/>
        <v>#REF!</v>
      </c>
      <c r="X8" s="10" t="e">
        <f t="shared" si="10"/>
        <v>#REF!</v>
      </c>
      <c r="Y8" s="10" t="e">
        <f t="shared" si="11"/>
        <v>#REF!</v>
      </c>
      <c r="Z8" s="10" t="e">
        <f t="shared" si="12"/>
        <v>#REF!</v>
      </c>
      <c r="AA8" s="4"/>
      <c r="AB8" s="5" t="e">
        <f t="array" ref="AB8">PRODUCT(R8:Z8+1)-1</f>
        <v>#REF!</v>
      </c>
    </row>
    <row r="9" spans="3:28" x14ac:dyDescent="0.3">
      <c r="E9" t="s">
        <v>101</v>
      </c>
      <c r="F9" s="10" t="e">
        <f>EXP(SUMIFS(#REF!,#REF!,"&gt;="&amp; F1,#REF!,"&lt;=" &amp; F2))-1</f>
        <v>#REF!</v>
      </c>
      <c r="G9" s="10" t="e">
        <f>EXP(SUMIFS(#REF!,#REF!,"&gt;="&amp; G1,#REF!,"&lt;=" &amp; G2))-1</f>
        <v>#REF!</v>
      </c>
      <c r="H9" s="10" t="e">
        <f>EXP(SUMIFS(#REF!,#REF!,"&gt;="&amp; H1,#REF!,"&lt;=" &amp; H2))-1</f>
        <v>#REF!</v>
      </c>
      <c r="I9" s="10" t="e">
        <f>EXP(SUMIFS(#REF!,#REF!,"&gt;="&amp; I1,#REF!,"&lt;=" &amp; I2))-1</f>
        <v>#REF!</v>
      </c>
      <c r="J9" s="10" t="e">
        <f>EXP(SUMIFS(#REF!,#REF!,"&gt;="&amp; J1,#REF!,"&lt;=" &amp; J2))-1</f>
        <v>#REF!</v>
      </c>
      <c r="K9" s="10" t="e">
        <f>EXP(SUMIFS(#REF!,#REF!,"&gt;="&amp; K1,#REF!,"&lt;=" &amp; K2))-1</f>
        <v>#REF!</v>
      </c>
      <c r="L9" s="10" t="e">
        <f>EXP(SUMIFS(#REF!,#REF!,"&gt;="&amp; L1,#REF!,"&lt;=" &amp; L2))-1</f>
        <v>#REF!</v>
      </c>
      <c r="M9" s="10" t="e">
        <f>EXP(SUMIFS(#REF!,#REF!,"&gt;="&amp; M1,#REF!,"&lt;=" &amp; M2))-1</f>
        <v>#REF!</v>
      </c>
      <c r="N9" s="10" t="e">
        <f>EXP(SUMIFS(#REF!,#REF!,"&gt;="&amp; N1,#REF!,"&lt;=" &amp; N2))-1</f>
        <v>#REF!</v>
      </c>
      <c r="P9" s="5" t="e">
        <f t="array" ref="P9">PRODUCT(F9:N9+1)-1</f>
        <v>#REF!</v>
      </c>
      <c r="Q9" s="6">
        <f t="shared" si="13"/>
        <v>0</v>
      </c>
      <c r="R9" s="10" t="e">
        <f t="shared" si="4"/>
        <v>#REF!</v>
      </c>
      <c r="S9" s="10" t="e">
        <f t="shared" si="5"/>
        <v>#REF!</v>
      </c>
      <c r="T9" s="10" t="e">
        <f t="shared" si="6"/>
        <v>#REF!</v>
      </c>
      <c r="U9" s="10" t="e">
        <f t="shared" si="7"/>
        <v>#REF!</v>
      </c>
      <c r="V9" s="10" t="e">
        <f t="shared" si="8"/>
        <v>#REF!</v>
      </c>
      <c r="W9" s="10" t="e">
        <f t="shared" si="9"/>
        <v>#REF!</v>
      </c>
      <c r="X9" s="10" t="e">
        <f t="shared" si="10"/>
        <v>#REF!</v>
      </c>
      <c r="Y9" s="10" t="e">
        <f t="shared" si="11"/>
        <v>#REF!</v>
      </c>
      <c r="Z9" s="10" t="e">
        <f t="shared" si="12"/>
        <v>#REF!</v>
      </c>
      <c r="AA9" s="4"/>
      <c r="AB9" s="5" t="e">
        <f t="array" ref="AB9">PRODUCT(R9:Z9+1)-1</f>
        <v>#REF!</v>
      </c>
    </row>
    <row r="10" spans="3:28" x14ac:dyDescent="0.3">
      <c r="E10" t="s">
        <v>102</v>
      </c>
      <c r="F10" s="10" t="e">
        <f>EXP(SUMIFS(#REF!,#REF!,"&gt;="&amp; F1,#REF!,"&lt;=" &amp; F2))-1</f>
        <v>#REF!</v>
      </c>
      <c r="G10" s="10" t="e">
        <f>EXP(SUMIFS(#REF!,#REF!,"&gt;="&amp; G1,#REF!,"&lt;=" &amp; G2))-1</f>
        <v>#REF!</v>
      </c>
      <c r="H10" s="10" t="e">
        <f>EXP(SUMIFS(#REF!,#REF!,"&gt;="&amp; H1,#REF!,"&lt;=" &amp; H2))-1</f>
        <v>#REF!</v>
      </c>
      <c r="I10" s="10" t="e">
        <f>EXP(SUMIFS(#REF!,#REF!,"&gt;="&amp; I1,#REF!,"&lt;=" &amp; I2))-1</f>
        <v>#REF!</v>
      </c>
      <c r="J10" s="10" t="e">
        <f>EXP(SUMIFS(#REF!,#REF!,"&gt;="&amp; J1,#REF!,"&lt;=" &amp; J2))-1</f>
        <v>#REF!</v>
      </c>
      <c r="K10" s="10" t="e">
        <f>EXP(SUMIFS(#REF!,#REF!,"&gt;="&amp; K1,#REF!,"&lt;=" &amp; K2))-1</f>
        <v>#REF!</v>
      </c>
      <c r="L10" s="10" t="e">
        <f>EXP(SUMIFS(#REF!,#REF!,"&gt;="&amp; L1,#REF!,"&lt;=" &amp; L2))-1</f>
        <v>#REF!</v>
      </c>
      <c r="M10" s="10" t="e">
        <f>EXP(SUMIFS(#REF!,#REF!,"&gt;="&amp; M1,#REF!,"&lt;=" &amp; M2))-1</f>
        <v>#REF!</v>
      </c>
      <c r="N10" s="10" t="e">
        <f>EXP(SUMIFS(#REF!,#REF!,"&gt;="&amp; N1,#REF!,"&lt;=" &amp; N2))-1</f>
        <v>#REF!</v>
      </c>
      <c r="P10" s="5" t="e">
        <f t="array" ref="P10">PRODUCT(F10:N10+1)-1</f>
        <v>#REF!</v>
      </c>
      <c r="Q10" s="6">
        <f t="shared" si="13"/>
        <v>0</v>
      </c>
      <c r="R10" s="10" t="e">
        <f t="shared" si="4"/>
        <v>#REF!</v>
      </c>
      <c r="S10" s="10" t="e">
        <f t="shared" si="5"/>
        <v>#REF!</v>
      </c>
      <c r="T10" s="10" t="e">
        <f t="shared" si="6"/>
        <v>#REF!</v>
      </c>
      <c r="U10" s="10" t="e">
        <f t="shared" si="7"/>
        <v>#REF!</v>
      </c>
      <c r="V10" s="10" t="e">
        <f t="shared" si="8"/>
        <v>#REF!</v>
      </c>
      <c r="W10" s="10" t="e">
        <f t="shared" si="9"/>
        <v>#REF!</v>
      </c>
      <c r="X10" s="10" t="e">
        <f t="shared" si="10"/>
        <v>#REF!</v>
      </c>
      <c r="Y10" s="10" t="e">
        <f t="shared" si="11"/>
        <v>#REF!</v>
      </c>
      <c r="Z10" s="10" t="e">
        <f t="shared" si="12"/>
        <v>#REF!</v>
      </c>
      <c r="AA10" s="4"/>
      <c r="AB10" s="5" t="e">
        <f t="array" ref="AB10">PRODUCT(R10:Z10+1)-1</f>
        <v>#REF!</v>
      </c>
    </row>
    <row r="11" spans="3:28" x14ac:dyDescent="0.3">
      <c r="E11" t="s">
        <v>103</v>
      </c>
      <c r="F11" s="10" t="e">
        <f>EXP(SUMIFS(#REF!,#REF!,"&gt;="&amp; F1,#REF!,"&lt;=" &amp; F2))-1</f>
        <v>#REF!</v>
      </c>
      <c r="G11" s="10" t="e">
        <f>EXP(SUMIFS(#REF!,#REF!,"&gt;="&amp; G1,#REF!,"&lt;=" &amp; G2))-1</f>
        <v>#REF!</v>
      </c>
      <c r="H11" s="10" t="e">
        <f>EXP(SUMIFS(#REF!,#REF!,"&gt;="&amp; H1,#REF!,"&lt;=" &amp; H2))-1</f>
        <v>#REF!</v>
      </c>
      <c r="I11" s="10" t="e">
        <f>EXP(SUMIFS(#REF!,#REF!,"&gt;="&amp; I1,#REF!,"&lt;=" &amp; I2))-1</f>
        <v>#REF!</v>
      </c>
      <c r="J11" s="10" t="e">
        <f>EXP(SUMIFS(#REF!,#REF!,"&gt;="&amp; J1,#REF!,"&lt;=" &amp; J2))-1</f>
        <v>#REF!</v>
      </c>
      <c r="K11" s="10" t="e">
        <f>EXP(SUMIFS(#REF!,#REF!,"&gt;="&amp; K1,#REF!,"&lt;=" &amp; K2))-1</f>
        <v>#REF!</v>
      </c>
      <c r="L11" s="10" t="e">
        <f>EXP(SUMIFS(#REF!,#REF!,"&gt;="&amp; L1,#REF!,"&lt;=" &amp; L2))-1</f>
        <v>#REF!</v>
      </c>
      <c r="M11" s="10" t="e">
        <f>EXP(SUMIFS(#REF!,#REF!,"&gt;="&amp; M1,#REF!,"&lt;=" &amp; M2))-1</f>
        <v>#REF!</v>
      </c>
      <c r="N11" s="10" t="e">
        <f>EXP(SUMIFS(#REF!,#REF!,"&gt;="&amp; N1,#REF!,"&lt;=" &amp; N2))-1</f>
        <v>#REF!</v>
      </c>
      <c r="P11" s="5" t="e">
        <f t="array" ref="P11">PRODUCT(F11:N11+1)-1</f>
        <v>#REF!</v>
      </c>
      <c r="Q11" s="6">
        <f t="shared" si="13"/>
        <v>0</v>
      </c>
      <c r="R11" s="10" t="e">
        <f t="shared" si="4"/>
        <v>#REF!</v>
      </c>
      <c r="S11" s="10" t="e">
        <f t="shared" si="5"/>
        <v>#REF!</v>
      </c>
      <c r="T11" s="10" t="e">
        <f t="shared" si="6"/>
        <v>#REF!</v>
      </c>
      <c r="U11" s="10" t="e">
        <f t="shared" si="7"/>
        <v>#REF!</v>
      </c>
      <c r="V11" s="10" t="e">
        <f t="shared" si="8"/>
        <v>#REF!</v>
      </c>
      <c r="W11" s="10" t="e">
        <f t="shared" si="9"/>
        <v>#REF!</v>
      </c>
      <c r="X11" s="10" t="e">
        <f t="shared" si="10"/>
        <v>#REF!</v>
      </c>
      <c r="Y11" s="10" t="e">
        <f t="shared" si="11"/>
        <v>#REF!</v>
      </c>
      <c r="Z11" s="10" t="e">
        <f t="shared" si="12"/>
        <v>#REF!</v>
      </c>
      <c r="AA11" s="4"/>
      <c r="AB11" s="5" t="e">
        <f t="array" ref="AB11">PRODUCT(R11:Z11+1)-1</f>
        <v>#REF!</v>
      </c>
    </row>
    <row r="12" spans="3:28" x14ac:dyDescent="0.3">
      <c r="E12" t="s">
        <v>104</v>
      </c>
      <c r="F12" s="10" t="e">
        <f>EXP(SUMIFS(#REF!,#REF!,"&gt;="&amp; F1,#REF!,"&lt;=" &amp; F2))-1</f>
        <v>#REF!</v>
      </c>
      <c r="G12" s="10" t="e">
        <f>EXP(SUMIFS(#REF!,#REF!,"&gt;="&amp; G1,#REF!,"&lt;=" &amp; G2))-1</f>
        <v>#REF!</v>
      </c>
      <c r="H12" s="10" t="e">
        <f>EXP(SUMIFS(#REF!,#REF!,"&gt;="&amp; H1,#REF!,"&lt;=" &amp; H2))-1</f>
        <v>#REF!</v>
      </c>
      <c r="I12" s="10" t="e">
        <f>EXP(SUMIFS(#REF!,#REF!,"&gt;="&amp; I1,#REF!,"&lt;=" &amp; I2))-1</f>
        <v>#REF!</v>
      </c>
      <c r="J12" s="10" t="e">
        <f>EXP(SUMIFS(#REF!,#REF!,"&gt;="&amp; J1,#REF!,"&lt;=" &amp; J2))-1</f>
        <v>#REF!</v>
      </c>
      <c r="K12" s="10" t="e">
        <f>EXP(SUMIFS(#REF!,#REF!,"&gt;="&amp; K1,#REF!,"&lt;=" &amp; K2))-1</f>
        <v>#REF!</v>
      </c>
      <c r="L12" s="10" t="e">
        <f>EXP(SUMIFS(#REF!,#REF!,"&gt;="&amp; L1,#REF!,"&lt;=" &amp; L2))-1</f>
        <v>#REF!</v>
      </c>
      <c r="M12" s="10" t="e">
        <f>EXP(SUMIFS(#REF!,#REF!,"&gt;="&amp; M1,#REF!,"&lt;=" &amp; M2))-1</f>
        <v>#REF!</v>
      </c>
      <c r="N12" s="10" t="e">
        <f>EXP(SUMIFS(#REF!,#REF!,"&gt;="&amp; N1,#REF!,"&lt;=" &amp; N2))-1</f>
        <v>#REF!</v>
      </c>
      <c r="P12" s="5" t="e">
        <f t="array" ref="P12">PRODUCT(F12:N12+1)-1</f>
        <v>#REF!</v>
      </c>
      <c r="Q12" s="6">
        <f t="shared" si="13"/>
        <v>0</v>
      </c>
      <c r="R12" s="10" t="e">
        <f>F12-F$3</f>
        <v>#REF!</v>
      </c>
      <c r="S12" s="10" t="e">
        <f t="shared" si="5"/>
        <v>#REF!</v>
      </c>
      <c r="T12" s="10" t="e">
        <f t="shared" si="6"/>
        <v>#REF!</v>
      </c>
      <c r="U12" s="10" t="e">
        <f t="shared" si="7"/>
        <v>#REF!</v>
      </c>
      <c r="V12" s="10" t="e">
        <f t="shared" si="8"/>
        <v>#REF!</v>
      </c>
      <c r="W12" s="10" t="e">
        <f t="shared" si="9"/>
        <v>#REF!</v>
      </c>
      <c r="X12" s="10" t="e">
        <f t="shared" si="10"/>
        <v>#REF!</v>
      </c>
      <c r="Y12" s="10" t="e">
        <f t="shared" si="11"/>
        <v>#REF!</v>
      </c>
      <c r="Z12" s="10" t="e">
        <f t="shared" si="12"/>
        <v>#REF!</v>
      </c>
      <c r="AA12" s="4"/>
      <c r="AB12" s="5" t="e">
        <f t="array" ref="AB12">PRODUCT(R12:Z12+1)-1</f>
        <v>#REF!</v>
      </c>
    </row>
    <row r="13" spans="3:28" s="1" customFormat="1" x14ac:dyDescent="0.3">
      <c r="F13" s="6"/>
      <c r="G13" s="6"/>
      <c r="H13" s="6"/>
      <c r="I13" s="6"/>
      <c r="J13" s="6"/>
      <c r="K13" s="6"/>
      <c r="L13" s="6"/>
      <c r="M13" s="6"/>
      <c r="N13" s="6"/>
      <c r="O13" s="6"/>
      <c r="P13" s="6"/>
      <c r="Q13" s="6"/>
      <c r="R13" s="6"/>
      <c r="S13" s="6"/>
      <c r="T13" s="6"/>
      <c r="U13" s="6"/>
      <c r="V13" s="6"/>
      <c r="W13" s="6"/>
      <c r="X13" s="6"/>
      <c r="Y13" s="6"/>
      <c r="Z13" s="6"/>
      <c r="AB13" s="5"/>
    </row>
    <row r="14" spans="3:28" x14ac:dyDescent="0.3">
      <c r="D14" t="s">
        <v>108</v>
      </c>
      <c r="E14" t="s">
        <v>99</v>
      </c>
      <c r="F14" s="10" t="e">
        <f>EXP(SUMIFS(#REF!,#REF!,"&gt;="&amp; F$1,#REF!,"&lt;=" &amp; F$2))-1</f>
        <v>#REF!</v>
      </c>
      <c r="G14" s="10" t="e">
        <f>EXP(SUMIFS(#REF!,#REF!,"&gt;="&amp; G$1,#REF!,"&lt;=" &amp; G$2))-1</f>
        <v>#REF!</v>
      </c>
      <c r="H14" s="10" t="e">
        <f>EXP(SUMIFS(#REF!,#REF!,"&gt;="&amp; H$1,#REF!,"&lt;=" &amp; H$2))-1</f>
        <v>#REF!</v>
      </c>
      <c r="I14" s="10" t="e">
        <f>EXP(SUMIFS(#REF!,#REF!,"&gt;="&amp; I$1,#REF!,"&lt;=" &amp; I$2))-1</f>
        <v>#REF!</v>
      </c>
      <c r="J14" s="10" t="e">
        <f>EXP(SUMIFS(#REF!,#REF!,"&gt;="&amp; J$1,#REF!,"&lt;=" &amp; J$2))-1</f>
        <v>#REF!</v>
      </c>
      <c r="K14" s="10" t="e">
        <f>EXP(SUMIFS(#REF!,#REF!,"&gt;="&amp; K$1,#REF!,"&lt;=" &amp; K$2))-1</f>
        <v>#REF!</v>
      </c>
      <c r="L14" s="10" t="e">
        <f>EXP(SUMIFS(#REF!,#REF!,"&gt;="&amp; L$1,#REF!,"&lt;=" &amp; L$2))-1</f>
        <v>#REF!</v>
      </c>
      <c r="M14" s="10" t="e">
        <f>EXP(SUMIFS(#REF!,#REF!,"&gt;="&amp; M$1,#REF!,"&lt;=" &amp; M$2))-1</f>
        <v>#REF!</v>
      </c>
      <c r="N14" s="10" t="e">
        <f>EXP(SUMIFS(#REF!,#REF!,"&gt;="&amp; N$1,#REF!,"&lt;=" &amp; N$2))-1</f>
        <v>#REF!</v>
      </c>
      <c r="P14" s="5" t="e">
        <f t="array" ref="P14">PRODUCT(F14:N14+1)-1</f>
        <v>#REF!</v>
      </c>
      <c r="Q14" s="6">
        <f>COUNTIFS(R14:Z14,"&gt;=0")</f>
        <v>0</v>
      </c>
      <c r="R14" s="10" t="e">
        <f t="shared" ref="R14:R18" si="14">F14-F$3</f>
        <v>#REF!</v>
      </c>
      <c r="S14" s="10" t="e">
        <f t="shared" ref="S14:S19" si="15">G14-G$3</f>
        <v>#REF!</v>
      </c>
      <c r="T14" s="10" t="e">
        <f t="shared" ref="T14:T19" si="16">H14-H$3</f>
        <v>#REF!</v>
      </c>
      <c r="U14" s="10" t="e">
        <f t="shared" ref="U14:U19" si="17">I14-I$3</f>
        <v>#REF!</v>
      </c>
      <c r="V14" s="10" t="e">
        <f t="shared" ref="V14:V19" si="18">J14-J$3</f>
        <v>#REF!</v>
      </c>
      <c r="W14" s="10" t="e">
        <f t="shared" ref="W14:W19" si="19">K14-K$3</f>
        <v>#REF!</v>
      </c>
      <c r="X14" s="10" t="e">
        <f t="shared" ref="X14:X19" si="20">L14-L$3</f>
        <v>#REF!</v>
      </c>
      <c r="Y14" s="10" t="e">
        <f t="shared" ref="Y14:Y19" si="21">M14-M$3</f>
        <v>#REF!</v>
      </c>
      <c r="Z14" s="10" t="e">
        <f t="shared" ref="Z14:Z19" si="22">N14-N$3</f>
        <v>#REF!</v>
      </c>
      <c r="AA14" s="4"/>
      <c r="AB14" s="5" t="e">
        <f t="array" ref="AB14">PRODUCT(R14:Z14+1)-1</f>
        <v>#REF!</v>
      </c>
    </row>
    <row r="15" spans="3:28" x14ac:dyDescent="0.3">
      <c r="E15" t="s">
        <v>100</v>
      </c>
      <c r="F15" s="10" t="e">
        <f>EXP(SUMIFS(#REF!,#REF!,"&gt;="&amp; F$1,#REF!,"&lt;=" &amp; F$2))-1</f>
        <v>#REF!</v>
      </c>
      <c r="G15" s="10" t="e">
        <f>EXP(SUMIFS(#REF!,#REF!,"&gt;="&amp; G$1,#REF!,"&lt;=" &amp; G$2))-1</f>
        <v>#REF!</v>
      </c>
      <c r="H15" s="10" t="e">
        <f>EXP(SUMIFS(#REF!,#REF!,"&gt;="&amp; H$1,#REF!,"&lt;=" &amp; H$2))-1</f>
        <v>#REF!</v>
      </c>
      <c r="I15" s="10" t="e">
        <f>EXP(SUMIFS(#REF!,#REF!,"&gt;="&amp; I$1,#REF!,"&lt;=" &amp; I$2))-1</f>
        <v>#REF!</v>
      </c>
      <c r="J15" s="10" t="e">
        <f>EXP(SUMIFS(#REF!,#REF!,"&gt;="&amp; J$1,#REF!,"&lt;=" &amp; J$2))-1</f>
        <v>#REF!</v>
      </c>
      <c r="K15" s="10" t="e">
        <f>EXP(SUMIFS(#REF!,#REF!,"&gt;="&amp; K$1,#REF!,"&lt;=" &amp; K$2))-1</f>
        <v>#REF!</v>
      </c>
      <c r="L15" s="10" t="e">
        <f>EXP(SUMIFS(#REF!,#REF!,"&gt;="&amp; L$1,#REF!,"&lt;=" &amp; L$2))-1</f>
        <v>#REF!</v>
      </c>
      <c r="M15" s="10" t="e">
        <f>EXP(SUMIFS(#REF!,#REF!,"&gt;="&amp; M$1,#REF!,"&lt;=" &amp; M$2))-1</f>
        <v>#REF!</v>
      </c>
      <c r="N15" s="10" t="e">
        <f>EXP(SUMIFS(#REF!,#REF!,"&gt;="&amp; N$1,#REF!,"&lt;=" &amp; N$2))-1</f>
        <v>#REF!</v>
      </c>
      <c r="P15" s="5" t="e">
        <f t="array" ref="P15">PRODUCT(F15:N15+1)-1</f>
        <v>#REF!</v>
      </c>
      <c r="Q15" s="6">
        <f t="shared" ref="Q15:Q19" si="23">COUNTIFS(R15:Z15,"&gt;=0")</f>
        <v>0</v>
      </c>
      <c r="R15" s="10" t="e">
        <f t="shared" si="14"/>
        <v>#REF!</v>
      </c>
      <c r="S15" s="10" t="e">
        <f t="shared" si="15"/>
        <v>#REF!</v>
      </c>
      <c r="T15" s="10" t="e">
        <f t="shared" si="16"/>
        <v>#REF!</v>
      </c>
      <c r="U15" s="10" t="e">
        <f t="shared" si="17"/>
        <v>#REF!</v>
      </c>
      <c r="V15" s="10" t="e">
        <f t="shared" si="18"/>
        <v>#REF!</v>
      </c>
      <c r="W15" s="10" t="e">
        <f t="shared" si="19"/>
        <v>#REF!</v>
      </c>
      <c r="X15" s="10" t="e">
        <f t="shared" si="20"/>
        <v>#REF!</v>
      </c>
      <c r="Y15" s="10" t="e">
        <f t="shared" si="21"/>
        <v>#REF!</v>
      </c>
      <c r="Z15" s="10" t="e">
        <f t="shared" si="22"/>
        <v>#REF!</v>
      </c>
      <c r="AA15" s="4"/>
      <c r="AB15" s="5" t="e">
        <f t="array" ref="AB15">PRODUCT(R15:Z15+1)-1</f>
        <v>#REF!</v>
      </c>
    </row>
    <row r="16" spans="3:28" x14ac:dyDescent="0.3">
      <c r="E16" t="s">
        <v>101</v>
      </c>
      <c r="F16" s="10" t="e">
        <f>EXP(SUMIFS(#REF!,#REF!,"&gt;="&amp; F$1,#REF!,"&lt;=" &amp; F$2))-1</f>
        <v>#REF!</v>
      </c>
      <c r="G16" s="10" t="e">
        <f>EXP(SUMIFS(#REF!,#REF!,"&gt;="&amp; G$1,#REF!,"&lt;=" &amp; G$2))-1</f>
        <v>#REF!</v>
      </c>
      <c r="H16" s="10" t="e">
        <f>EXP(SUMIFS(#REF!,#REF!,"&gt;="&amp; H$1,#REF!,"&lt;=" &amp; H$2))-1</f>
        <v>#REF!</v>
      </c>
      <c r="I16" s="10" t="e">
        <f>EXP(SUMIFS(#REF!,#REF!,"&gt;="&amp; I$1,#REF!,"&lt;=" &amp; I$2))-1</f>
        <v>#REF!</v>
      </c>
      <c r="J16" s="10" t="e">
        <f>EXP(SUMIFS(#REF!,#REF!,"&gt;="&amp; J$1,#REF!,"&lt;=" &amp; J$2))-1</f>
        <v>#REF!</v>
      </c>
      <c r="K16" s="10" t="e">
        <f>EXP(SUMIFS(#REF!,#REF!,"&gt;="&amp; K$1,#REF!,"&lt;=" &amp; K$2))-1</f>
        <v>#REF!</v>
      </c>
      <c r="L16" s="10" t="e">
        <f>EXP(SUMIFS(#REF!,#REF!,"&gt;="&amp; L$1,#REF!,"&lt;=" &amp; L$2))-1</f>
        <v>#REF!</v>
      </c>
      <c r="M16" s="10" t="e">
        <f>EXP(SUMIFS(#REF!,#REF!,"&gt;="&amp; M$1,#REF!,"&lt;=" &amp; M$2))-1</f>
        <v>#REF!</v>
      </c>
      <c r="N16" s="10" t="e">
        <f>EXP(SUMIFS(#REF!,#REF!,"&gt;="&amp; N$1,#REF!,"&lt;=" &amp; N$2))-1</f>
        <v>#REF!</v>
      </c>
      <c r="P16" s="5" t="e">
        <f t="array" ref="P16">PRODUCT(F16:N16+1)-1</f>
        <v>#REF!</v>
      </c>
      <c r="Q16" s="6">
        <f t="shared" si="23"/>
        <v>0</v>
      </c>
      <c r="R16" s="10" t="e">
        <f t="shared" si="14"/>
        <v>#REF!</v>
      </c>
      <c r="S16" s="10" t="e">
        <f t="shared" si="15"/>
        <v>#REF!</v>
      </c>
      <c r="T16" s="10" t="e">
        <f t="shared" si="16"/>
        <v>#REF!</v>
      </c>
      <c r="U16" s="10" t="e">
        <f t="shared" si="17"/>
        <v>#REF!</v>
      </c>
      <c r="V16" s="10" t="e">
        <f t="shared" si="18"/>
        <v>#REF!</v>
      </c>
      <c r="W16" s="10" t="e">
        <f t="shared" si="19"/>
        <v>#REF!</v>
      </c>
      <c r="X16" s="10" t="e">
        <f t="shared" si="20"/>
        <v>#REF!</v>
      </c>
      <c r="Y16" s="10" t="e">
        <f t="shared" si="21"/>
        <v>#REF!</v>
      </c>
      <c r="Z16" s="10" t="e">
        <f t="shared" si="22"/>
        <v>#REF!</v>
      </c>
      <c r="AA16" s="4"/>
      <c r="AB16" s="5" t="e">
        <f t="array" ref="AB16">PRODUCT(R16:Z16+1)-1</f>
        <v>#REF!</v>
      </c>
    </row>
    <row r="17" spans="4:28" x14ac:dyDescent="0.3">
      <c r="E17" t="s">
        <v>102</v>
      </c>
      <c r="F17" s="10" t="e">
        <f>EXP(SUMIFS(#REF!,#REF!,"&gt;="&amp; F$1,#REF!,"&lt;=" &amp; F$2))-1</f>
        <v>#REF!</v>
      </c>
      <c r="G17" s="10" t="e">
        <f>EXP(SUMIFS(#REF!,#REF!,"&gt;="&amp; G$1,#REF!,"&lt;=" &amp; G$2))-1</f>
        <v>#REF!</v>
      </c>
      <c r="H17" s="10" t="e">
        <f>EXP(SUMIFS(#REF!,#REF!,"&gt;="&amp; H$1,#REF!,"&lt;=" &amp; H$2))-1</f>
        <v>#REF!</v>
      </c>
      <c r="I17" s="10" t="e">
        <f>EXP(SUMIFS(#REF!,#REF!,"&gt;="&amp; I$1,#REF!,"&lt;=" &amp; I$2))-1</f>
        <v>#REF!</v>
      </c>
      <c r="J17" s="10" t="e">
        <f>EXP(SUMIFS(#REF!,#REF!,"&gt;="&amp; J$1,#REF!,"&lt;=" &amp; J$2))-1</f>
        <v>#REF!</v>
      </c>
      <c r="K17" s="10" t="e">
        <f>EXP(SUMIFS(#REF!,#REF!,"&gt;="&amp; K$1,#REF!,"&lt;=" &amp; K$2))-1</f>
        <v>#REF!</v>
      </c>
      <c r="L17" s="10" t="e">
        <f>EXP(SUMIFS(#REF!,#REF!,"&gt;="&amp; L$1,#REF!,"&lt;=" &amp; L$2))-1</f>
        <v>#REF!</v>
      </c>
      <c r="M17" s="10" t="e">
        <f>EXP(SUMIFS(#REF!,#REF!,"&gt;="&amp; M$1,#REF!,"&lt;=" &amp; M$2))-1</f>
        <v>#REF!</v>
      </c>
      <c r="N17" s="10" t="e">
        <f>EXP(SUMIFS(#REF!,#REF!,"&gt;="&amp; N$1,#REF!,"&lt;=" &amp; N$2))-1</f>
        <v>#REF!</v>
      </c>
      <c r="P17" s="5" t="e">
        <f t="array" ref="P17">PRODUCT(F17:N17+1)-1</f>
        <v>#REF!</v>
      </c>
      <c r="Q17" s="6">
        <f t="shared" si="23"/>
        <v>0</v>
      </c>
      <c r="R17" s="10" t="e">
        <f t="shared" si="14"/>
        <v>#REF!</v>
      </c>
      <c r="S17" s="10" t="e">
        <f t="shared" si="15"/>
        <v>#REF!</v>
      </c>
      <c r="T17" s="10" t="e">
        <f t="shared" si="16"/>
        <v>#REF!</v>
      </c>
      <c r="U17" s="10" t="e">
        <f t="shared" si="17"/>
        <v>#REF!</v>
      </c>
      <c r="V17" s="10" t="e">
        <f t="shared" si="18"/>
        <v>#REF!</v>
      </c>
      <c r="W17" s="10" t="e">
        <f t="shared" si="19"/>
        <v>#REF!</v>
      </c>
      <c r="X17" s="10" t="e">
        <f t="shared" si="20"/>
        <v>#REF!</v>
      </c>
      <c r="Y17" s="10" t="e">
        <f t="shared" si="21"/>
        <v>#REF!</v>
      </c>
      <c r="Z17" s="10" t="e">
        <f t="shared" si="22"/>
        <v>#REF!</v>
      </c>
      <c r="AA17" s="4"/>
      <c r="AB17" s="5" t="e">
        <f t="array" ref="AB17">PRODUCT(R17:Z17+1)-1</f>
        <v>#REF!</v>
      </c>
    </row>
    <row r="18" spans="4:28" x14ac:dyDescent="0.3">
      <c r="E18" t="s">
        <v>103</v>
      </c>
      <c r="F18" s="10" t="e">
        <f>EXP(SUMIFS(#REF!,#REF!,"&gt;="&amp; F$1,#REF!,"&lt;=" &amp; F$2))-1</f>
        <v>#REF!</v>
      </c>
      <c r="G18" s="10" t="e">
        <f>EXP(SUMIFS(#REF!,#REF!,"&gt;="&amp; G$1,#REF!,"&lt;=" &amp; G$2))-1</f>
        <v>#REF!</v>
      </c>
      <c r="H18" s="10" t="e">
        <f>EXP(SUMIFS(#REF!,#REF!,"&gt;="&amp; H$1,#REF!,"&lt;=" &amp; H$2))-1</f>
        <v>#REF!</v>
      </c>
      <c r="I18" s="10" t="e">
        <f>EXP(SUMIFS(#REF!,#REF!,"&gt;="&amp; I$1,#REF!,"&lt;=" &amp; I$2))-1</f>
        <v>#REF!</v>
      </c>
      <c r="J18" s="10" t="e">
        <f>EXP(SUMIFS(#REF!,#REF!,"&gt;="&amp; J$1,#REF!,"&lt;=" &amp; J$2))-1</f>
        <v>#REF!</v>
      </c>
      <c r="K18" s="10" t="e">
        <f>EXP(SUMIFS(#REF!,#REF!,"&gt;="&amp; K$1,#REF!,"&lt;=" &amp; K$2))-1</f>
        <v>#REF!</v>
      </c>
      <c r="L18" s="10" t="e">
        <f>EXP(SUMIFS(#REF!,#REF!,"&gt;="&amp; L$1,#REF!,"&lt;=" &amp; L$2))-1</f>
        <v>#REF!</v>
      </c>
      <c r="M18" s="10" t="e">
        <f>EXP(SUMIFS(#REF!,#REF!,"&gt;="&amp; M$1,#REF!,"&lt;=" &amp; M$2))-1</f>
        <v>#REF!</v>
      </c>
      <c r="N18" s="10" t="e">
        <f>EXP(SUMIFS(#REF!,#REF!,"&gt;="&amp; N$1,#REF!,"&lt;=" &amp; N$2))-1</f>
        <v>#REF!</v>
      </c>
      <c r="P18" s="5" t="e">
        <f t="array" ref="P18">PRODUCT(F18:N18+1)-1</f>
        <v>#REF!</v>
      </c>
      <c r="Q18" s="6">
        <f t="shared" si="23"/>
        <v>0</v>
      </c>
      <c r="R18" s="10" t="e">
        <f t="shared" si="14"/>
        <v>#REF!</v>
      </c>
      <c r="S18" s="10" t="e">
        <f t="shared" si="15"/>
        <v>#REF!</v>
      </c>
      <c r="T18" s="10" t="e">
        <f t="shared" si="16"/>
        <v>#REF!</v>
      </c>
      <c r="U18" s="10" t="e">
        <f t="shared" si="17"/>
        <v>#REF!</v>
      </c>
      <c r="V18" s="10" t="e">
        <f t="shared" si="18"/>
        <v>#REF!</v>
      </c>
      <c r="W18" s="10" t="e">
        <f t="shared" si="19"/>
        <v>#REF!</v>
      </c>
      <c r="X18" s="10" t="e">
        <f t="shared" si="20"/>
        <v>#REF!</v>
      </c>
      <c r="Y18" s="10" t="e">
        <f t="shared" si="21"/>
        <v>#REF!</v>
      </c>
      <c r="Z18" s="10" t="e">
        <f t="shared" si="22"/>
        <v>#REF!</v>
      </c>
      <c r="AA18" s="4"/>
      <c r="AB18" s="5" t="e">
        <f t="array" ref="AB18">PRODUCT(R18:Z18+1)-1</f>
        <v>#REF!</v>
      </c>
    </row>
    <row r="19" spans="4:28" x14ac:dyDescent="0.3">
      <c r="E19" t="s">
        <v>104</v>
      </c>
      <c r="F19" s="10" t="e">
        <f>EXP(SUMIFS(#REF!,#REF!,"&gt;="&amp; F$1,#REF!,"&lt;=" &amp; F$2))-1</f>
        <v>#REF!</v>
      </c>
      <c r="G19" s="10" t="e">
        <f>EXP(SUMIFS(#REF!,#REF!,"&gt;="&amp; G$1,#REF!,"&lt;=" &amp; G$2))-1</f>
        <v>#REF!</v>
      </c>
      <c r="H19" s="10" t="e">
        <f>EXP(SUMIFS(#REF!,#REF!,"&gt;="&amp; H$1,#REF!,"&lt;=" &amp; H$2))-1</f>
        <v>#REF!</v>
      </c>
      <c r="I19" s="10" t="e">
        <f>EXP(SUMIFS(#REF!,#REF!,"&gt;="&amp; I$1,#REF!,"&lt;=" &amp; I$2))-1</f>
        <v>#REF!</v>
      </c>
      <c r="J19" s="10" t="e">
        <f>EXP(SUMIFS(#REF!,#REF!,"&gt;="&amp; J$1,#REF!,"&lt;=" &amp; J$2))-1</f>
        <v>#REF!</v>
      </c>
      <c r="K19" s="10" t="e">
        <f>EXP(SUMIFS(#REF!,#REF!,"&gt;="&amp; K$1,#REF!,"&lt;=" &amp; K$2))-1</f>
        <v>#REF!</v>
      </c>
      <c r="L19" s="10" t="e">
        <f>EXP(SUMIFS(#REF!,#REF!,"&gt;="&amp; L$1,#REF!,"&lt;=" &amp; L$2))-1</f>
        <v>#REF!</v>
      </c>
      <c r="M19" s="10" t="e">
        <f>EXP(SUMIFS(#REF!,#REF!,"&gt;="&amp; M$1,#REF!,"&lt;=" &amp; M$2))-1</f>
        <v>#REF!</v>
      </c>
      <c r="N19" s="10" t="e">
        <f>EXP(SUMIFS(#REF!,#REF!,"&gt;="&amp; N$1,#REF!,"&lt;=" &amp; N$2))-1</f>
        <v>#REF!</v>
      </c>
      <c r="P19" s="5" t="e">
        <f t="array" ref="P19">PRODUCT(F19:N19+1)-1</f>
        <v>#REF!</v>
      </c>
      <c r="Q19" s="6">
        <f t="shared" si="23"/>
        <v>0</v>
      </c>
      <c r="R19" s="10" t="e">
        <f>F19-F$3</f>
        <v>#REF!</v>
      </c>
      <c r="S19" s="10" t="e">
        <f t="shared" si="15"/>
        <v>#REF!</v>
      </c>
      <c r="T19" s="10" t="e">
        <f t="shared" si="16"/>
        <v>#REF!</v>
      </c>
      <c r="U19" s="10" t="e">
        <f t="shared" si="17"/>
        <v>#REF!</v>
      </c>
      <c r="V19" s="10" t="e">
        <f t="shared" si="18"/>
        <v>#REF!</v>
      </c>
      <c r="W19" s="10" t="e">
        <f t="shared" si="19"/>
        <v>#REF!</v>
      </c>
      <c r="X19" s="10" t="e">
        <f t="shared" si="20"/>
        <v>#REF!</v>
      </c>
      <c r="Y19" s="10" t="e">
        <f t="shared" si="21"/>
        <v>#REF!</v>
      </c>
      <c r="Z19" s="10" t="e">
        <f t="shared" si="22"/>
        <v>#REF!</v>
      </c>
      <c r="AA19" s="4"/>
      <c r="AB19" s="5" t="e">
        <f t="array" ref="AB19">PRODUCT(R19:Z19+1)-1</f>
        <v>#REF!</v>
      </c>
    </row>
    <row r="20" spans="4:28" s="1" customFormat="1" x14ac:dyDescent="0.3">
      <c r="F20" s="6"/>
      <c r="G20" s="6"/>
      <c r="H20" s="6"/>
      <c r="I20" s="6"/>
      <c r="J20" s="6"/>
      <c r="K20" s="6"/>
      <c r="L20" s="6"/>
      <c r="M20" s="6"/>
      <c r="N20" s="6"/>
      <c r="O20" s="6"/>
      <c r="P20" s="6"/>
      <c r="Q20" s="6"/>
      <c r="R20" s="6"/>
      <c r="S20" s="6"/>
      <c r="T20" s="6"/>
      <c r="U20" s="6"/>
      <c r="V20" s="6"/>
      <c r="W20" s="6"/>
      <c r="X20" s="6"/>
      <c r="Y20" s="6"/>
      <c r="Z20" s="6"/>
      <c r="AB20" s="5"/>
    </row>
    <row r="21" spans="4:28" x14ac:dyDescent="0.3">
      <c r="D21" t="s">
        <v>106</v>
      </c>
      <c r="E21" t="s">
        <v>99</v>
      </c>
      <c r="F21" s="10" t="e">
        <f>EXP(SUMIFS(#REF!,#REF!,"&gt;="&amp; F$1,#REF!,"&lt;=" &amp; F$2))-1</f>
        <v>#REF!</v>
      </c>
      <c r="G21" s="10" t="e">
        <f>EXP(SUMIFS(#REF!,#REF!,"&gt;="&amp; G$1,#REF!,"&lt;=" &amp; G$2))-1</f>
        <v>#REF!</v>
      </c>
      <c r="H21" s="10" t="e">
        <f>EXP(SUMIFS(#REF!,#REF!,"&gt;="&amp; H$1,#REF!,"&lt;=" &amp; H$2))-1</f>
        <v>#REF!</v>
      </c>
      <c r="I21" s="10" t="e">
        <f>EXP(SUMIFS(#REF!,#REF!,"&gt;="&amp; I$1,#REF!,"&lt;=" &amp; I$2))-1</f>
        <v>#REF!</v>
      </c>
      <c r="J21" s="10" t="e">
        <f>EXP(SUMIFS(#REF!,#REF!,"&gt;="&amp; J$1,#REF!,"&lt;=" &amp; J$2))-1</f>
        <v>#REF!</v>
      </c>
      <c r="K21" s="10" t="e">
        <f>EXP(SUMIFS(#REF!,#REF!,"&gt;="&amp; K$1,#REF!,"&lt;=" &amp; K$2))-1</f>
        <v>#REF!</v>
      </c>
      <c r="L21" s="10" t="e">
        <f>EXP(SUMIFS(#REF!,#REF!,"&gt;="&amp; L$1,#REF!,"&lt;=" &amp; L$2))-1</f>
        <v>#REF!</v>
      </c>
      <c r="M21" s="10" t="e">
        <f>EXP(SUMIFS(#REF!,#REF!,"&gt;="&amp; M$1,#REF!,"&lt;=" &amp; M$2))-1</f>
        <v>#REF!</v>
      </c>
      <c r="N21" s="10" t="e">
        <f>EXP(SUMIFS(#REF!,#REF!,"&gt;="&amp; N$1,#REF!,"&lt;=" &amp; N$2))-1</f>
        <v>#REF!</v>
      </c>
      <c r="P21" s="5" t="e">
        <f t="array" ref="P21">PRODUCT(F21:N21+1)-1</f>
        <v>#REF!</v>
      </c>
      <c r="Q21" s="6">
        <f>COUNTIFS(R21:Z21,"&gt;=0")</f>
        <v>0</v>
      </c>
      <c r="R21" s="10" t="e">
        <f t="shared" ref="R21:R25" si="24">F21-F$3</f>
        <v>#REF!</v>
      </c>
      <c r="S21" s="10" t="e">
        <f t="shared" ref="S21:S26" si="25">G21-G$3</f>
        <v>#REF!</v>
      </c>
      <c r="T21" s="10" t="e">
        <f t="shared" ref="T21:T26" si="26">H21-H$3</f>
        <v>#REF!</v>
      </c>
      <c r="U21" s="10" t="e">
        <f t="shared" ref="U21:U26" si="27">I21-I$3</f>
        <v>#REF!</v>
      </c>
      <c r="V21" s="10" t="e">
        <f t="shared" ref="V21:V26" si="28">J21-J$3</f>
        <v>#REF!</v>
      </c>
      <c r="W21" s="10" t="e">
        <f t="shared" ref="W21:W26" si="29">K21-K$3</f>
        <v>#REF!</v>
      </c>
      <c r="X21" s="10" t="e">
        <f t="shared" ref="X21:X26" si="30">L21-L$3</f>
        <v>#REF!</v>
      </c>
      <c r="Y21" s="10" t="e">
        <f t="shared" ref="Y21:Y26" si="31">M21-M$3</f>
        <v>#REF!</v>
      </c>
      <c r="Z21" s="10" t="e">
        <f t="shared" ref="Z21:Z26" si="32">N21-N$3</f>
        <v>#REF!</v>
      </c>
      <c r="AA21" s="4"/>
      <c r="AB21" s="5" t="e">
        <f t="array" ref="AB21">PRODUCT(R21:Z21+1)-1</f>
        <v>#REF!</v>
      </c>
    </row>
    <row r="22" spans="4:28" x14ac:dyDescent="0.3">
      <c r="E22" t="s">
        <v>100</v>
      </c>
      <c r="F22" s="10" t="e">
        <f>EXP(SUMIFS(#REF!,#REF!,"&gt;="&amp; F$1,#REF!,"&lt;=" &amp; F$2))-1</f>
        <v>#REF!</v>
      </c>
      <c r="G22" s="10" t="e">
        <f>EXP(SUMIFS(#REF!,#REF!,"&gt;="&amp; G$1,#REF!,"&lt;=" &amp; G$2))-1</f>
        <v>#REF!</v>
      </c>
      <c r="H22" s="10" t="e">
        <f>EXP(SUMIFS(#REF!,#REF!,"&gt;="&amp; H$1,#REF!,"&lt;=" &amp; H$2))-1</f>
        <v>#REF!</v>
      </c>
      <c r="I22" s="10" t="e">
        <f>EXP(SUMIFS(#REF!,#REF!,"&gt;="&amp; I$1,#REF!,"&lt;=" &amp; I$2))-1</f>
        <v>#REF!</v>
      </c>
      <c r="J22" s="10" t="e">
        <f>EXP(SUMIFS(#REF!,#REF!,"&gt;="&amp; J$1,#REF!,"&lt;=" &amp; J$2))-1</f>
        <v>#REF!</v>
      </c>
      <c r="K22" s="10" t="e">
        <f>EXP(SUMIFS(#REF!,#REF!,"&gt;="&amp; K$1,#REF!,"&lt;=" &amp; K$2))-1</f>
        <v>#REF!</v>
      </c>
      <c r="L22" s="10" t="e">
        <f>EXP(SUMIFS(#REF!,#REF!,"&gt;="&amp; L$1,#REF!,"&lt;=" &amp; L$2))-1</f>
        <v>#REF!</v>
      </c>
      <c r="M22" s="10" t="e">
        <f>EXP(SUMIFS(#REF!,#REF!,"&gt;="&amp; M$1,#REF!,"&lt;=" &amp; M$2))-1</f>
        <v>#REF!</v>
      </c>
      <c r="N22" s="10" t="e">
        <f>EXP(SUMIFS(#REF!,#REF!,"&gt;="&amp; N$1,#REF!,"&lt;=" &amp; N$2))-1</f>
        <v>#REF!</v>
      </c>
      <c r="P22" s="5" t="e">
        <f t="array" ref="P22">PRODUCT(F22:N22+1)-1</f>
        <v>#REF!</v>
      </c>
      <c r="Q22" s="6">
        <f t="shared" ref="Q22:Q26" si="33">COUNTIFS(R22:Z22,"&gt;=0")</f>
        <v>0</v>
      </c>
      <c r="R22" s="10" t="e">
        <f t="shared" si="24"/>
        <v>#REF!</v>
      </c>
      <c r="S22" s="10" t="e">
        <f t="shared" si="25"/>
        <v>#REF!</v>
      </c>
      <c r="T22" s="10" t="e">
        <f t="shared" si="26"/>
        <v>#REF!</v>
      </c>
      <c r="U22" s="10" t="e">
        <f t="shared" si="27"/>
        <v>#REF!</v>
      </c>
      <c r="V22" s="10" t="e">
        <f t="shared" si="28"/>
        <v>#REF!</v>
      </c>
      <c r="W22" s="10" t="e">
        <f t="shared" si="29"/>
        <v>#REF!</v>
      </c>
      <c r="X22" s="10" t="e">
        <f t="shared" si="30"/>
        <v>#REF!</v>
      </c>
      <c r="Y22" s="10" t="e">
        <f t="shared" si="31"/>
        <v>#REF!</v>
      </c>
      <c r="Z22" s="10" t="e">
        <f t="shared" si="32"/>
        <v>#REF!</v>
      </c>
      <c r="AA22" s="4"/>
      <c r="AB22" s="5" t="e">
        <f t="array" ref="AB22">PRODUCT(R22:Z22+1)-1</f>
        <v>#REF!</v>
      </c>
    </row>
    <row r="23" spans="4:28" x14ac:dyDescent="0.3">
      <c r="E23" t="s">
        <v>101</v>
      </c>
      <c r="F23" s="10" t="e">
        <f>EXP(SUMIFS(#REF!,#REF!,"&gt;="&amp; F$1,#REF!,"&lt;=" &amp; F$2))-1</f>
        <v>#REF!</v>
      </c>
      <c r="G23" s="10" t="e">
        <f>EXP(SUMIFS(#REF!,#REF!,"&gt;="&amp; G$1,#REF!,"&lt;=" &amp; G$2))-1</f>
        <v>#REF!</v>
      </c>
      <c r="H23" s="10" t="e">
        <f>EXP(SUMIFS(#REF!,#REF!,"&gt;="&amp; H$1,#REF!,"&lt;=" &amp; H$2))-1</f>
        <v>#REF!</v>
      </c>
      <c r="I23" s="10" t="e">
        <f>EXP(SUMIFS(#REF!,#REF!,"&gt;="&amp; I$1,#REF!,"&lt;=" &amp; I$2))-1</f>
        <v>#REF!</v>
      </c>
      <c r="J23" s="10" t="e">
        <f>EXP(SUMIFS(#REF!,#REF!,"&gt;="&amp; J$1,#REF!,"&lt;=" &amp; J$2))-1</f>
        <v>#REF!</v>
      </c>
      <c r="K23" s="10" t="e">
        <f>EXP(SUMIFS(#REF!,#REF!,"&gt;="&amp; K$1,#REF!,"&lt;=" &amp; K$2))-1</f>
        <v>#REF!</v>
      </c>
      <c r="L23" s="10" t="e">
        <f>EXP(SUMIFS(#REF!,#REF!,"&gt;="&amp; L$1,#REF!,"&lt;=" &amp; L$2))-1</f>
        <v>#REF!</v>
      </c>
      <c r="M23" s="10" t="e">
        <f>EXP(SUMIFS(#REF!,#REF!,"&gt;="&amp; M$1,#REF!,"&lt;=" &amp; M$2))-1</f>
        <v>#REF!</v>
      </c>
      <c r="N23" s="10" t="e">
        <f>EXP(SUMIFS(#REF!,#REF!,"&gt;="&amp; N$1,#REF!,"&lt;=" &amp; N$2))-1</f>
        <v>#REF!</v>
      </c>
      <c r="P23" s="5" t="e">
        <f t="array" ref="P23">PRODUCT(F23:N23+1)-1</f>
        <v>#REF!</v>
      </c>
      <c r="Q23" s="6">
        <f t="shared" si="33"/>
        <v>0</v>
      </c>
      <c r="R23" s="10" t="e">
        <f t="shared" si="24"/>
        <v>#REF!</v>
      </c>
      <c r="S23" s="10" t="e">
        <f t="shared" si="25"/>
        <v>#REF!</v>
      </c>
      <c r="T23" s="10" t="e">
        <f t="shared" si="26"/>
        <v>#REF!</v>
      </c>
      <c r="U23" s="10" t="e">
        <f t="shared" si="27"/>
        <v>#REF!</v>
      </c>
      <c r="V23" s="10" t="e">
        <f t="shared" si="28"/>
        <v>#REF!</v>
      </c>
      <c r="W23" s="10" t="e">
        <f t="shared" si="29"/>
        <v>#REF!</v>
      </c>
      <c r="X23" s="10" t="e">
        <f t="shared" si="30"/>
        <v>#REF!</v>
      </c>
      <c r="Y23" s="10" t="e">
        <f t="shared" si="31"/>
        <v>#REF!</v>
      </c>
      <c r="Z23" s="10" t="e">
        <f t="shared" si="32"/>
        <v>#REF!</v>
      </c>
      <c r="AA23" s="4"/>
      <c r="AB23" s="5" t="e">
        <f t="array" ref="AB23">PRODUCT(R23:Z23+1)-1</f>
        <v>#REF!</v>
      </c>
    </row>
    <row r="24" spans="4:28" x14ac:dyDescent="0.3">
      <c r="E24" t="s">
        <v>102</v>
      </c>
      <c r="F24" s="10" t="e">
        <f>EXP(SUMIFS(#REF!,#REF!,"&gt;="&amp; F$1,#REF!,"&lt;=" &amp; F$2))-1</f>
        <v>#REF!</v>
      </c>
      <c r="G24" s="10" t="e">
        <f>EXP(SUMIFS(#REF!,#REF!,"&gt;="&amp; G$1,#REF!,"&lt;=" &amp; G$2))-1</f>
        <v>#REF!</v>
      </c>
      <c r="H24" s="10" t="e">
        <f>EXP(SUMIFS(#REF!,#REF!,"&gt;="&amp; H$1,#REF!,"&lt;=" &amp; H$2))-1</f>
        <v>#REF!</v>
      </c>
      <c r="I24" s="10" t="e">
        <f>EXP(SUMIFS(#REF!,#REF!,"&gt;="&amp; I$1,#REF!,"&lt;=" &amp; I$2))-1</f>
        <v>#REF!</v>
      </c>
      <c r="J24" s="10" t="e">
        <f>EXP(SUMIFS(#REF!,#REF!,"&gt;="&amp; J$1,#REF!,"&lt;=" &amp; J$2))-1</f>
        <v>#REF!</v>
      </c>
      <c r="K24" s="10" t="e">
        <f>EXP(SUMIFS(#REF!,#REF!,"&gt;="&amp; K$1,#REF!,"&lt;=" &amp; K$2))-1</f>
        <v>#REF!</v>
      </c>
      <c r="L24" s="10" t="e">
        <f>EXP(SUMIFS(#REF!,#REF!,"&gt;="&amp; L$1,#REF!,"&lt;=" &amp; L$2))-1</f>
        <v>#REF!</v>
      </c>
      <c r="M24" s="10" t="e">
        <f>EXP(SUMIFS(#REF!,#REF!,"&gt;="&amp; M$1,#REF!,"&lt;=" &amp; M$2))-1</f>
        <v>#REF!</v>
      </c>
      <c r="N24" s="10" t="e">
        <f>EXP(SUMIFS(#REF!,#REF!,"&gt;="&amp; N$1,#REF!,"&lt;=" &amp; N$2))-1</f>
        <v>#REF!</v>
      </c>
      <c r="P24" s="5" t="e">
        <f t="array" ref="P24">PRODUCT(F24:N24+1)-1</f>
        <v>#REF!</v>
      </c>
      <c r="Q24" s="6">
        <f t="shared" si="33"/>
        <v>0</v>
      </c>
      <c r="R24" s="10" t="e">
        <f t="shared" si="24"/>
        <v>#REF!</v>
      </c>
      <c r="S24" s="10" t="e">
        <f t="shared" si="25"/>
        <v>#REF!</v>
      </c>
      <c r="T24" s="10" t="e">
        <f t="shared" si="26"/>
        <v>#REF!</v>
      </c>
      <c r="U24" s="10" t="e">
        <f t="shared" si="27"/>
        <v>#REF!</v>
      </c>
      <c r="V24" s="10" t="e">
        <f t="shared" si="28"/>
        <v>#REF!</v>
      </c>
      <c r="W24" s="10" t="e">
        <f t="shared" si="29"/>
        <v>#REF!</v>
      </c>
      <c r="X24" s="10" t="e">
        <f t="shared" si="30"/>
        <v>#REF!</v>
      </c>
      <c r="Y24" s="10" t="e">
        <f t="shared" si="31"/>
        <v>#REF!</v>
      </c>
      <c r="Z24" s="10" t="e">
        <f t="shared" si="32"/>
        <v>#REF!</v>
      </c>
      <c r="AA24" s="4"/>
      <c r="AB24" s="5" t="e">
        <f t="array" ref="AB24">PRODUCT(R24:Z24+1)-1</f>
        <v>#REF!</v>
      </c>
    </row>
    <row r="25" spans="4:28" x14ac:dyDescent="0.3">
      <c r="E25" t="s">
        <v>103</v>
      </c>
      <c r="F25" s="10" t="e">
        <f>EXP(SUMIFS(#REF!,#REF!,"&gt;="&amp; F$1,#REF!,"&lt;=" &amp; F$2))-1</f>
        <v>#REF!</v>
      </c>
      <c r="G25" s="10" t="e">
        <f>EXP(SUMIFS(#REF!,#REF!,"&gt;="&amp; G$1,#REF!,"&lt;=" &amp; G$2))-1</f>
        <v>#REF!</v>
      </c>
      <c r="H25" s="10" t="e">
        <f>EXP(SUMIFS(#REF!,#REF!,"&gt;="&amp; H$1,#REF!,"&lt;=" &amp; H$2))-1</f>
        <v>#REF!</v>
      </c>
      <c r="I25" s="10" t="e">
        <f>EXP(SUMIFS(#REF!,#REF!,"&gt;="&amp; I$1,#REF!,"&lt;=" &amp; I$2))-1</f>
        <v>#REF!</v>
      </c>
      <c r="J25" s="10" t="e">
        <f>EXP(SUMIFS(#REF!,#REF!,"&gt;="&amp; J$1,#REF!,"&lt;=" &amp; J$2))-1</f>
        <v>#REF!</v>
      </c>
      <c r="K25" s="10" t="e">
        <f>EXP(SUMIFS(#REF!,#REF!,"&gt;="&amp; K$1,#REF!,"&lt;=" &amp; K$2))-1</f>
        <v>#REF!</v>
      </c>
      <c r="L25" s="10" t="e">
        <f>EXP(SUMIFS(#REF!,#REF!,"&gt;="&amp; L$1,#REF!,"&lt;=" &amp; L$2))-1</f>
        <v>#REF!</v>
      </c>
      <c r="M25" s="10" t="e">
        <f>EXP(SUMIFS(#REF!,#REF!,"&gt;="&amp; M$1,#REF!,"&lt;=" &amp; M$2))-1</f>
        <v>#REF!</v>
      </c>
      <c r="N25" s="10" t="e">
        <f>EXP(SUMIFS(#REF!,#REF!,"&gt;="&amp; N$1,#REF!,"&lt;=" &amp; N$2))-1</f>
        <v>#REF!</v>
      </c>
      <c r="P25" s="5" t="e">
        <f t="array" ref="P25">PRODUCT(F25:N25+1)-1</f>
        <v>#REF!</v>
      </c>
      <c r="Q25" s="6">
        <f t="shared" si="33"/>
        <v>0</v>
      </c>
      <c r="R25" s="10" t="e">
        <f t="shared" si="24"/>
        <v>#REF!</v>
      </c>
      <c r="S25" s="10" t="e">
        <f t="shared" si="25"/>
        <v>#REF!</v>
      </c>
      <c r="T25" s="10" t="e">
        <f t="shared" si="26"/>
        <v>#REF!</v>
      </c>
      <c r="U25" s="10" t="e">
        <f t="shared" si="27"/>
        <v>#REF!</v>
      </c>
      <c r="V25" s="10" t="e">
        <f t="shared" si="28"/>
        <v>#REF!</v>
      </c>
      <c r="W25" s="10" t="e">
        <f t="shared" si="29"/>
        <v>#REF!</v>
      </c>
      <c r="X25" s="10" t="e">
        <f t="shared" si="30"/>
        <v>#REF!</v>
      </c>
      <c r="Y25" s="10" t="e">
        <f t="shared" si="31"/>
        <v>#REF!</v>
      </c>
      <c r="Z25" s="10" t="e">
        <f t="shared" si="32"/>
        <v>#REF!</v>
      </c>
      <c r="AA25" s="4"/>
      <c r="AB25" s="5" t="e">
        <f t="array" ref="AB25">PRODUCT(R25:Z25+1)-1</f>
        <v>#REF!</v>
      </c>
    </row>
    <row r="26" spans="4:28" x14ac:dyDescent="0.3">
      <c r="E26" t="s">
        <v>104</v>
      </c>
      <c r="F26" s="10" t="e">
        <f>EXP(SUMIFS(#REF!,#REF!,"&gt;="&amp; F$1,#REF!,"&lt;=" &amp; F$2))-1</f>
        <v>#REF!</v>
      </c>
      <c r="G26" s="10" t="e">
        <f>EXP(SUMIFS(#REF!,#REF!,"&gt;="&amp; G$1,#REF!,"&lt;=" &amp; G$2))-1</f>
        <v>#REF!</v>
      </c>
      <c r="H26" s="10" t="e">
        <f>EXP(SUMIFS(#REF!,#REF!,"&gt;="&amp; H$1,#REF!,"&lt;=" &amp; H$2))-1</f>
        <v>#REF!</v>
      </c>
      <c r="I26" s="10" t="e">
        <f>EXP(SUMIFS(#REF!,#REF!,"&gt;="&amp; I$1,#REF!,"&lt;=" &amp; I$2))-1</f>
        <v>#REF!</v>
      </c>
      <c r="J26" s="10" t="e">
        <f>EXP(SUMIFS(#REF!,#REF!,"&gt;="&amp; J$1,#REF!,"&lt;=" &amp; J$2))-1</f>
        <v>#REF!</v>
      </c>
      <c r="K26" s="10" t="e">
        <f>EXP(SUMIFS(#REF!,#REF!,"&gt;="&amp; K$1,#REF!,"&lt;=" &amp; K$2))-1</f>
        <v>#REF!</v>
      </c>
      <c r="L26" s="10" t="e">
        <f>EXP(SUMIFS(#REF!,#REF!,"&gt;="&amp; L$1,#REF!,"&lt;=" &amp; L$2))-1</f>
        <v>#REF!</v>
      </c>
      <c r="M26" s="10" t="e">
        <f>EXP(SUMIFS(#REF!,#REF!,"&gt;="&amp; M$1,#REF!,"&lt;=" &amp; M$2))-1</f>
        <v>#REF!</v>
      </c>
      <c r="N26" s="10" t="e">
        <f>EXP(SUMIFS(#REF!,#REF!,"&gt;="&amp; N$1,#REF!,"&lt;=" &amp; N$2))-1</f>
        <v>#REF!</v>
      </c>
      <c r="P26" s="5" t="e">
        <f t="array" ref="P26">PRODUCT(F26:N26+1)-1</f>
        <v>#REF!</v>
      </c>
      <c r="Q26" s="6">
        <f t="shared" si="33"/>
        <v>0</v>
      </c>
      <c r="R26" s="10" t="e">
        <f>F26-F$3</f>
        <v>#REF!</v>
      </c>
      <c r="S26" s="10" t="e">
        <f t="shared" si="25"/>
        <v>#REF!</v>
      </c>
      <c r="T26" s="10" t="e">
        <f t="shared" si="26"/>
        <v>#REF!</v>
      </c>
      <c r="U26" s="10" t="e">
        <f t="shared" si="27"/>
        <v>#REF!</v>
      </c>
      <c r="V26" s="10" t="e">
        <f t="shared" si="28"/>
        <v>#REF!</v>
      </c>
      <c r="W26" s="10" t="e">
        <f t="shared" si="29"/>
        <v>#REF!</v>
      </c>
      <c r="X26" s="10" t="e">
        <f t="shared" si="30"/>
        <v>#REF!</v>
      </c>
      <c r="Y26" s="10" t="e">
        <f t="shared" si="31"/>
        <v>#REF!</v>
      </c>
      <c r="Z26" s="10" t="e">
        <f t="shared" si="32"/>
        <v>#REF!</v>
      </c>
      <c r="AA26" s="4"/>
      <c r="AB26" s="5" t="e">
        <f t="array" ref="AB26">PRODUCT(R26:Z26+1)-1</f>
        <v>#REF!</v>
      </c>
    </row>
    <row r="27" spans="4:28" s="1" customFormat="1" x14ac:dyDescent="0.3">
      <c r="F27" s="10"/>
      <c r="G27" s="10"/>
      <c r="H27" s="10"/>
      <c r="I27" s="10"/>
      <c r="J27" s="10"/>
      <c r="K27" s="10"/>
      <c r="L27" s="10"/>
      <c r="M27" s="10"/>
      <c r="N27" s="10"/>
      <c r="O27" s="6"/>
      <c r="P27" s="8"/>
      <c r="Q27" s="6"/>
      <c r="R27" s="10"/>
      <c r="S27" s="10"/>
      <c r="T27" s="10"/>
      <c r="U27" s="10"/>
      <c r="V27" s="10"/>
      <c r="W27" s="10"/>
      <c r="X27" s="10"/>
      <c r="Y27" s="10"/>
      <c r="Z27" s="10"/>
      <c r="AA27" s="4"/>
      <c r="AB27" s="8"/>
    </row>
    <row r="28" spans="4:28" x14ac:dyDescent="0.3">
      <c r="F28" s="10" t="e">
        <f t="shared" ref="F28:N28" si="34">F23-F26</f>
        <v>#REF!</v>
      </c>
      <c r="G28" s="10" t="e">
        <f t="shared" si="34"/>
        <v>#REF!</v>
      </c>
      <c r="H28" s="10" t="e">
        <f t="shared" si="34"/>
        <v>#REF!</v>
      </c>
      <c r="I28" s="10" t="e">
        <f t="shared" si="34"/>
        <v>#REF!</v>
      </c>
      <c r="J28" s="10" t="e">
        <f t="shared" si="34"/>
        <v>#REF!</v>
      </c>
      <c r="K28" s="10" t="e">
        <f t="shared" si="34"/>
        <v>#REF!</v>
      </c>
      <c r="L28" s="10" t="e">
        <f t="shared" si="34"/>
        <v>#REF!</v>
      </c>
      <c r="M28" s="10" t="e">
        <f t="shared" si="34"/>
        <v>#REF!</v>
      </c>
      <c r="N28" s="10" t="e">
        <f t="shared" si="34"/>
        <v>#REF!</v>
      </c>
      <c r="AB28" s="5"/>
    </row>
    <row r="29" spans="4:28" s="1" customFormat="1" x14ac:dyDescent="0.3">
      <c r="F29" s="10"/>
      <c r="G29" s="10"/>
      <c r="H29" s="10"/>
      <c r="I29" s="10"/>
      <c r="J29" s="10"/>
      <c r="K29" s="10"/>
      <c r="L29" s="10"/>
      <c r="M29" s="10"/>
      <c r="N29" s="10"/>
      <c r="O29" s="6"/>
      <c r="P29" s="6"/>
      <c r="Q29" s="6"/>
      <c r="R29" s="6"/>
      <c r="S29" s="6"/>
      <c r="T29" s="6"/>
      <c r="U29" s="6"/>
      <c r="V29" s="6"/>
      <c r="W29" s="6"/>
      <c r="X29" s="6"/>
      <c r="Y29" s="6"/>
      <c r="Z29" s="6"/>
      <c r="AB29" s="8"/>
    </row>
    <row r="30" spans="4:28" x14ac:dyDescent="0.3">
      <c r="D30" t="s">
        <v>107</v>
      </c>
      <c r="E30" t="s">
        <v>99</v>
      </c>
      <c r="F30" s="10" t="e">
        <f>EXP(SUMIFS(#REF!,#REF!,"&gt;="&amp; F$1,#REF!,"&lt;=" &amp; F$2))-1</f>
        <v>#REF!</v>
      </c>
      <c r="G30" s="10" t="e">
        <f>EXP(SUMIFS(#REF!,#REF!,"&gt;="&amp; G$1,#REF!,"&lt;=" &amp; G$2))-1</f>
        <v>#REF!</v>
      </c>
      <c r="H30" s="10" t="e">
        <f>EXP(SUMIFS(#REF!,#REF!,"&gt;="&amp; H$1,#REF!,"&lt;=" &amp; H$2))-1</f>
        <v>#REF!</v>
      </c>
      <c r="I30" s="10" t="e">
        <f>EXP(SUMIFS(#REF!,#REF!,"&gt;="&amp; I$1,#REF!,"&lt;=" &amp; I$2))-1</f>
        <v>#REF!</v>
      </c>
      <c r="J30" s="10" t="e">
        <f>EXP(SUMIFS(#REF!,#REF!,"&gt;="&amp; J$1,#REF!,"&lt;=" &amp; J$2))-1</f>
        <v>#REF!</v>
      </c>
      <c r="K30" s="10" t="e">
        <f>EXP(SUMIFS(#REF!,#REF!,"&gt;="&amp; K$1,#REF!,"&lt;=" &amp; K$2))-1</f>
        <v>#REF!</v>
      </c>
      <c r="L30" s="10" t="e">
        <f>EXP(SUMIFS(#REF!,#REF!,"&gt;="&amp; L$1,#REF!,"&lt;=" &amp; L$2))-1</f>
        <v>#REF!</v>
      </c>
      <c r="M30" s="10" t="e">
        <f>EXP(SUMIFS(#REF!,#REF!,"&gt;="&amp; M$1,#REF!,"&lt;=" &amp; M$2))-1</f>
        <v>#REF!</v>
      </c>
      <c r="N30" s="10" t="e">
        <f>EXP(SUMIFS(#REF!,#REF!,"&gt;="&amp; N$1,#REF!,"&lt;=" &amp; N$2))-1</f>
        <v>#REF!</v>
      </c>
      <c r="P30" s="5" t="e">
        <f t="array" ref="P30">PRODUCT(F30:N30+1)-1</f>
        <v>#REF!</v>
      </c>
      <c r="Q30" s="6">
        <f>COUNTIFS(R30:Z30,"&gt;=0")</f>
        <v>0</v>
      </c>
      <c r="R30" s="10" t="e">
        <f t="shared" ref="R30:R34" si="35">F30-F$3</f>
        <v>#REF!</v>
      </c>
      <c r="S30" s="10" t="e">
        <f t="shared" ref="S30:S35" si="36">G30-G$3</f>
        <v>#REF!</v>
      </c>
      <c r="T30" s="10" t="e">
        <f t="shared" ref="T30:T35" si="37">H30-H$3</f>
        <v>#REF!</v>
      </c>
      <c r="U30" s="10" t="e">
        <f t="shared" ref="U30:U35" si="38">I30-I$3</f>
        <v>#REF!</v>
      </c>
      <c r="V30" s="10" t="e">
        <f t="shared" ref="V30:V35" si="39">J30-J$3</f>
        <v>#REF!</v>
      </c>
      <c r="W30" s="10" t="e">
        <f t="shared" ref="W30:W35" si="40">K30-K$3</f>
        <v>#REF!</v>
      </c>
      <c r="X30" s="10" t="e">
        <f t="shared" ref="X30:X35" si="41">L30-L$3</f>
        <v>#REF!</v>
      </c>
      <c r="Y30" s="10" t="e">
        <f t="shared" ref="Y30:Y35" si="42">M30-M$3</f>
        <v>#REF!</v>
      </c>
      <c r="Z30" s="10" t="e">
        <f t="shared" ref="Z30:Z35" si="43">N30-N$3</f>
        <v>#REF!</v>
      </c>
      <c r="AA30" s="4"/>
      <c r="AB30" s="5" t="e">
        <f t="array" ref="AB30">PRODUCT(R30:Z30+1)-1</f>
        <v>#REF!</v>
      </c>
    </row>
    <row r="31" spans="4:28" x14ac:dyDescent="0.3">
      <c r="E31" t="s">
        <v>100</v>
      </c>
      <c r="F31" s="10" t="e">
        <f>EXP(SUMIFS(#REF!,#REF!,"&gt;="&amp; F$1,#REF!,"&lt;=" &amp; F$2))-1</f>
        <v>#REF!</v>
      </c>
      <c r="G31" s="10" t="e">
        <f>EXP(SUMIFS(#REF!,#REF!,"&gt;="&amp; G$1,#REF!,"&lt;=" &amp; G$2))-1</f>
        <v>#REF!</v>
      </c>
      <c r="H31" s="10" t="e">
        <f>EXP(SUMIFS(#REF!,#REF!,"&gt;="&amp; H$1,#REF!,"&lt;=" &amp; H$2))-1</f>
        <v>#REF!</v>
      </c>
      <c r="I31" s="10" t="e">
        <f>EXP(SUMIFS(#REF!,#REF!,"&gt;="&amp; I$1,#REF!,"&lt;=" &amp; I$2))-1</f>
        <v>#REF!</v>
      </c>
      <c r="J31" s="10" t="e">
        <f>EXP(SUMIFS(#REF!,#REF!,"&gt;="&amp; J$1,#REF!,"&lt;=" &amp; J$2))-1</f>
        <v>#REF!</v>
      </c>
      <c r="K31" s="10" t="e">
        <f>EXP(SUMIFS(#REF!,#REF!,"&gt;="&amp; K$1,#REF!,"&lt;=" &amp; K$2))-1</f>
        <v>#REF!</v>
      </c>
      <c r="L31" s="10" t="e">
        <f>EXP(SUMIFS(#REF!,#REF!,"&gt;="&amp; L$1,#REF!,"&lt;=" &amp; L$2))-1</f>
        <v>#REF!</v>
      </c>
      <c r="M31" s="10" t="e">
        <f>EXP(SUMIFS(#REF!,#REF!,"&gt;="&amp; M$1,#REF!,"&lt;=" &amp; M$2))-1</f>
        <v>#REF!</v>
      </c>
      <c r="N31" s="10" t="e">
        <f>EXP(SUMIFS(#REF!,#REF!,"&gt;="&amp; N$1,#REF!,"&lt;=" &amp; N$2))-1</f>
        <v>#REF!</v>
      </c>
      <c r="P31" s="5" t="e">
        <f t="array" ref="P31">PRODUCT(F31:N31+1)-1</f>
        <v>#REF!</v>
      </c>
      <c r="Q31" s="6">
        <f t="shared" ref="Q31:Q35" si="44">COUNTIFS(R31:Z31,"&gt;=0")</f>
        <v>0</v>
      </c>
      <c r="R31" s="10" t="e">
        <f t="shared" si="35"/>
        <v>#REF!</v>
      </c>
      <c r="S31" s="10" t="e">
        <f t="shared" si="36"/>
        <v>#REF!</v>
      </c>
      <c r="T31" s="10" t="e">
        <f t="shared" si="37"/>
        <v>#REF!</v>
      </c>
      <c r="U31" s="10" t="e">
        <f t="shared" si="38"/>
        <v>#REF!</v>
      </c>
      <c r="V31" s="10" t="e">
        <f t="shared" si="39"/>
        <v>#REF!</v>
      </c>
      <c r="W31" s="10" t="e">
        <f t="shared" si="40"/>
        <v>#REF!</v>
      </c>
      <c r="X31" s="10" t="e">
        <f t="shared" si="41"/>
        <v>#REF!</v>
      </c>
      <c r="Y31" s="10" t="e">
        <f t="shared" si="42"/>
        <v>#REF!</v>
      </c>
      <c r="Z31" s="10" t="e">
        <f t="shared" si="43"/>
        <v>#REF!</v>
      </c>
      <c r="AA31" s="4"/>
      <c r="AB31" s="5" t="e">
        <f t="array" ref="AB31">PRODUCT(R31:Z31+1)-1</f>
        <v>#REF!</v>
      </c>
    </row>
    <row r="32" spans="4:28" x14ac:dyDescent="0.3">
      <c r="E32" t="s">
        <v>101</v>
      </c>
      <c r="F32" s="10" t="e">
        <f>EXP(SUMIFS(#REF!,#REF!,"&gt;="&amp; F$1,#REF!,"&lt;=" &amp; F$2))-1</f>
        <v>#REF!</v>
      </c>
      <c r="G32" s="10" t="e">
        <f>EXP(SUMIFS(#REF!,#REF!,"&gt;="&amp; G$1,#REF!,"&lt;=" &amp; G$2))-1</f>
        <v>#REF!</v>
      </c>
      <c r="H32" s="10" t="e">
        <f>EXP(SUMIFS(#REF!,#REF!,"&gt;="&amp; H$1,#REF!,"&lt;=" &amp; H$2))-1</f>
        <v>#REF!</v>
      </c>
      <c r="I32" s="10" t="e">
        <f>EXP(SUMIFS(#REF!,#REF!,"&gt;="&amp; I$1,#REF!,"&lt;=" &amp; I$2))-1</f>
        <v>#REF!</v>
      </c>
      <c r="J32" s="10" t="e">
        <f>EXP(SUMIFS(#REF!,#REF!,"&gt;="&amp; J$1,#REF!,"&lt;=" &amp; J$2))-1</f>
        <v>#REF!</v>
      </c>
      <c r="K32" s="10" t="e">
        <f>EXP(SUMIFS(#REF!,#REF!,"&gt;="&amp; K$1,#REF!,"&lt;=" &amp; K$2))-1</f>
        <v>#REF!</v>
      </c>
      <c r="L32" s="10" t="e">
        <f>EXP(SUMIFS(#REF!,#REF!,"&gt;="&amp; L$1,#REF!,"&lt;=" &amp; L$2))-1</f>
        <v>#REF!</v>
      </c>
      <c r="M32" s="10" t="e">
        <f>EXP(SUMIFS(#REF!,#REF!,"&gt;="&amp; M$1,#REF!,"&lt;=" &amp; M$2))-1</f>
        <v>#REF!</v>
      </c>
      <c r="N32" s="10" t="e">
        <f>EXP(SUMIFS(#REF!,#REF!,"&gt;="&amp; N$1,#REF!,"&lt;=" &amp; N$2))-1</f>
        <v>#REF!</v>
      </c>
      <c r="P32" s="5" t="e">
        <f t="array" ref="P32">PRODUCT(F32:N32+1)-1</f>
        <v>#REF!</v>
      </c>
      <c r="Q32" s="6">
        <f t="shared" si="44"/>
        <v>0</v>
      </c>
      <c r="R32" s="10" t="e">
        <f t="shared" si="35"/>
        <v>#REF!</v>
      </c>
      <c r="S32" s="10" t="e">
        <f t="shared" si="36"/>
        <v>#REF!</v>
      </c>
      <c r="T32" s="10" t="e">
        <f t="shared" si="37"/>
        <v>#REF!</v>
      </c>
      <c r="U32" s="10" t="e">
        <f t="shared" si="38"/>
        <v>#REF!</v>
      </c>
      <c r="V32" s="10" t="e">
        <f t="shared" si="39"/>
        <v>#REF!</v>
      </c>
      <c r="W32" s="10" t="e">
        <f t="shared" si="40"/>
        <v>#REF!</v>
      </c>
      <c r="X32" s="10" t="e">
        <f t="shared" si="41"/>
        <v>#REF!</v>
      </c>
      <c r="Y32" s="10" t="e">
        <f t="shared" si="42"/>
        <v>#REF!</v>
      </c>
      <c r="Z32" s="10" t="e">
        <f t="shared" si="43"/>
        <v>#REF!</v>
      </c>
      <c r="AA32" s="4"/>
      <c r="AB32" s="5" t="e">
        <f t="array" ref="AB32">PRODUCT(R32:Z32+1)-1</f>
        <v>#REF!</v>
      </c>
    </row>
    <row r="33" spans="4:28" x14ac:dyDescent="0.3">
      <c r="E33" t="s">
        <v>102</v>
      </c>
      <c r="F33" s="10" t="e">
        <f>EXP(SUMIFS(#REF!,#REF!,"&gt;="&amp; F$1,#REF!,"&lt;=" &amp; F$2))-1</f>
        <v>#REF!</v>
      </c>
      <c r="G33" s="10" t="e">
        <f>EXP(SUMIFS(#REF!,#REF!,"&gt;="&amp; G$1,#REF!,"&lt;=" &amp; G$2))-1</f>
        <v>#REF!</v>
      </c>
      <c r="H33" s="10" t="e">
        <f>EXP(SUMIFS(#REF!,#REF!,"&gt;="&amp; H$1,#REF!,"&lt;=" &amp; H$2))-1</f>
        <v>#REF!</v>
      </c>
      <c r="I33" s="10" t="e">
        <f>EXP(SUMIFS(#REF!,#REF!,"&gt;="&amp; I$1,#REF!,"&lt;=" &amp; I$2))-1</f>
        <v>#REF!</v>
      </c>
      <c r="J33" s="10" t="e">
        <f>EXP(SUMIFS(#REF!,#REF!,"&gt;="&amp; J$1,#REF!,"&lt;=" &amp; J$2))-1</f>
        <v>#REF!</v>
      </c>
      <c r="K33" s="10" t="e">
        <f>EXP(SUMIFS(#REF!,#REF!,"&gt;="&amp; K$1,#REF!,"&lt;=" &amp; K$2))-1</f>
        <v>#REF!</v>
      </c>
      <c r="L33" s="10" t="e">
        <f>EXP(SUMIFS(#REF!,#REF!,"&gt;="&amp; L$1,#REF!,"&lt;=" &amp; L$2))-1</f>
        <v>#REF!</v>
      </c>
      <c r="M33" s="10" t="e">
        <f>EXP(SUMIFS(#REF!,#REF!,"&gt;="&amp; M$1,#REF!,"&lt;=" &amp; M$2))-1</f>
        <v>#REF!</v>
      </c>
      <c r="N33" s="10" t="e">
        <f>EXP(SUMIFS(#REF!,#REF!,"&gt;="&amp; N$1,#REF!,"&lt;=" &amp; N$2))-1</f>
        <v>#REF!</v>
      </c>
      <c r="P33" s="5" t="e">
        <f t="array" ref="P33">PRODUCT(F33:N33+1)-1</f>
        <v>#REF!</v>
      </c>
      <c r="Q33" s="6">
        <f t="shared" si="44"/>
        <v>0</v>
      </c>
      <c r="R33" s="10" t="e">
        <f t="shared" si="35"/>
        <v>#REF!</v>
      </c>
      <c r="S33" s="10" t="e">
        <f t="shared" si="36"/>
        <v>#REF!</v>
      </c>
      <c r="T33" s="10" t="e">
        <f t="shared" si="37"/>
        <v>#REF!</v>
      </c>
      <c r="U33" s="10" t="e">
        <f t="shared" si="38"/>
        <v>#REF!</v>
      </c>
      <c r="V33" s="10" t="e">
        <f t="shared" si="39"/>
        <v>#REF!</v>
      </c>
      <c r="W33" s="10" t="e">
        <f t="shared" si="40"/>
        <v>#REF!</v>
      </c>
      <c r="X33" s="10" t="e">
        <f t="shared" si="41"/>
        <v>#REF!</v>
      </c>
      <c r="Y33" s="10" t="e">
        <f t="shared" si="42"/>
        <v>#REF!</v>
      </c>
      <c r="Z33" s="10" t="e">
        <f t="shared" si="43"/>
        <v>#REF!</v>
      </c>
      <c r="AA33" s="4"/>
      <c r="AB33" s="5" t="e">
        <f t="array" ref="AB33">PRODUCT(R33:Z33+1)-1</f>
        <v>#REF!</v>
      </c>
    </row>
    <row r="34" spans="4:28" x14ac:dyDescent="0.3">
      <c r="E34" t="s">
        <v>103</v>
      </c>
      <c r="F34" s="10" t="e">
        <f>EXP(SUMIFS(#REF!,#REF!,"&gt;="&amp; F$1,#REF!,"&lt;=" &amp; F$2))-1</f>
        <v>#REF!</v>
      </c>
      <c r="G34" s="10" t="e">
        <f>EXP(SUMIFS(#REF!,#REF!,"&gt;="&amp; G$1,#REF!,"&lt;=" &amp; G$2))-1</f>
        <v>#REF!</v>
      </c>
      <c r="H34" s="10" t="e">
        <f>EXP(SUMIFS(#REF!,#REF!,"&gt;="&amp; H$1,#REF!,"&lt;=" &amp; H$2))-1</f>
        <v>#REF!</v>
      </c>
      <c r="I34" s="10" t="e">
        <f>EXP(SUMIFS(#REF!,#REF!,"&gt;="&amp; I$1,#REF!,"&lt;=" &amp; I$2))-1</f>
        <v>#REF!</v>
      </c>
      <c r="J34" s="10" t="e">
        <f>EXP(SUMIFS(#REF!,#REF!,"&gt;="&amp; J$1,#REF!,"&lt;=" &amp; J$2))-1</f>
        <v>#REF!</v>
      </c>
      <c r="K34" s="10" t="e">
        <f>EXP(SUMIFS(#REF!,#REF!,"&gt;="&amp; K$1,#REF!,"&lt;=" &amp; K$2))-1</f>
        <v>#REF!</v>
      </c>
      <c r="L34" s="10" t="e">
        <f>EXP(SUMIFS(#REF!,#REF!,"&gt;="&amp; L$1,#REF!,"&lt;=" &amp; L$2))-1</f>
        <v>#REF!</v>
      </c>
      <c r="M34" s="10" t="e">
        <f>EXP(SUMIFS(#REF!,#REF!,"&gt;="&amp; M$1,#REF!,"&lt;=" &amp; M$2))-1</f>
        <v>#REF!</v>
      </c>
      <c r="N34" s="10" t="e">
        <f>EXP(SUMIFS(#REF!,#REF!,"&gt;="&amp; N$1,#REF!,"&lt;=" &amp; N$2))-1</f>
        <v>#REF!</v>
      </c>
      <c r="P34" s="5" t="e">
        <f t="array" ref="P34">PRODUCT(F34:N34+1)-1</f>
        <v>#REF!</v>
      </c>
      <c r="Q34" s="6">
        <f t="shared" si="44"/>
        <v>0</v>
      </c>
      <c r="R34" s="10" t="e">
        <f t="shared" si="35"/>
        <v>#REF!</v>
      </c>
      <c r="S34" s="10" t="e">
        <f t="shared" si="36"/>
        <v>#REF!</v>
      </c>
      <c r="T34" s="10" t="e">
        <f t="shared" si="37"/>
        <v>#REF!</v>
      </c>
      <c r="U34" s="10" t="e">
        <f t="shared" si="38"/>
        <v>#REF!</v>
      </c>
      <c r="V34" s="10" t="e">
        <f t="shared" si="39"/>
        <v>#REF!</v>
      </c>
      <c r="W34" s="10" t="e">
        <f t="shared" si="40"/>
        <v>#REF!</v>
      </c>
      <c r="X34" s="10" t="e">
        <f t="shared" si="41"/>
        <v>#REF!</v>
      </c>
      <c r="Y34" s="10" t="e">
        <f t="shared" si="42"/>
        <v>#REF!</v>
      </c>
      <c r="Z34" s="10" t="e">
        <f t="shared" si="43"/>
        <v>#REF!</v>
      </c>
      <c r="AA34" s="4"/>
      <c r="AB34" s="5" t="e">
        <f t="array" ref="AB34">PRODUCT(R34:Z34+1)-1</f>
        <v>#REF!</v>
      </c>
    </row>
    <row r="35" spans="4:28" x14ac:dyDescent="0.3">
      <c r="E35" t="s">
        <v>104</v>
      </c>
      <c r="F35" s="10" t="e">
        <f>EXP(SUMIFS(#REF!,#REF!,"&gt;="&amp; F$1,#REF!,"&lt;=" &amp; F$2))-1</f>
        <v>#REF!</v>
      </c>
      <c r="G35" s="10" t="e">
        <f>EXP(SUMIFS(#REF!,#REF!,"&gt;="&amp; G$1,#REF!,"&lt;=" &amp; G$2))-1</f>
        <v>#REF!</v>
      </c>
      <c r="H35" s="10" t="e">
        <f>EXP(SUMIFS(#REF!,#REF!,"&gt;="&amp; H$1,#REF!,"&lt;=" &amp; H$2))-1</f>
        <v>#REF!</v>
      </c>
      <c r="I35" s="10" t="e">
        <f>EXP(SUMIFS(#REF!,#REF!,"&gt;="&amp; I$1,#REF!,"&lt;=" &amp; I$2))-1</f>
        <v>#REF!</v>
      </c>
      <c r="J35" s="10" t="e">
        <f>EXP(SUMIFS(#REF!,#REF!,"&gt;="&amp; J$1,#REF!,"&lt;=" &amp; J$2))-1</f>
        <v>#REF!</v>
      </c>
      <c r="K35" s="10" t="e">
        <f>EXP(SUMIFS(#REF!,#REF!,"&gt;="&amp; K$1,#REF!,"&lt;=" &amp; K$2))-1</f>
        <v>#REF!</v>
      </c>
      <c r="L35" s="10" t="e">
        <f>EXP(SUMIFS(#REF!,#REF!,"&gt;="&amp; L$1,#REF!,"&lt;=" &amp; L$2))-1</f>
        <v>#REF!</v>
      </c>
      <c r="M35" s="10" t="e">
        <f>EXP(SUMIFS(#REF!,#REF!,"&gt;="&amp; M$1,#REF!,"&lt;=" &amp; M$2))-1</f>
        <v>#REF!</v>
      </c>
      <c r="N35" s="10" t="e">
        <f>EXP(SUMIFS(#REF!,#REF!,"&gt;="&amp; N$1,#REF!,"&lt;=" &amp; N$2))-1</f>
        <v>#REF!</v>
      </c>
      <c r="P35" s="5" t="e">
        <f t="array" ref="P35">PRODUCT(F35:N35+1)-1</f>
        <v>#REF!</v>
      </c>
      <c r="Q35" s="6">
        <f t="shared" si="44"/>
        <v>0</v>
      </c>
      <c r="R35" s="10" t="e">
        <f>F35-F$3</f>
        <v>#REF!</v>
      </c>
      <c r="S35" s="10" t="e">
        <f t="shared" si="36"/>
        <v>#REF!</v>
      </c>
      <c r="T35" s="10" t="e">
        <f t="shared" si="37"/>
        <v>#REF!</v>
      </c>
      <c r="U35" s="10" t="e">
        <f t="shared" si="38"/>
        <v>#REF!</v>
      </c>
      <c r="V35" s="10" t="e">
        <f t="shared" si="39"/>
        <v>#REF!</v>
      </c>
      <c r="W35" s="10" t="e">
        <f t="shared" si="40"/>
        <v>#REF!</v>
      </c>
      <c r="X35" s="10" t="e">
        <f t="shared" si="41"/>
        <v>#REF!</v>
      </c>
      <c r="Y35" s="10" t="e">
        <f t="shared" si="42"/>
        <v>#REF!</v>
      </c>
      <c r="Z35" s="10" t="e">
        <f t="shared" si="43"/>
        <v>#REF!</v>
      </c>
      <c r="AA35" s="4"/>
      <c r="AB35" s="5" t="e">
        <f t="array" ref="AB35">PRODUCT(R35:Z35+1)-1</f>
        <v>#REF!</v>
      </c>
    </row>
    <row r="36" spans="4:28" x14ac:dyDescent="0.3">
      <c r="AB36" s="5"/>
    </row>
    <row r="37" spans="4:28" x14ac:dyDescent="0.3">
      <c r="D37" s="1" t="s">
        <v>106</v>
      </c>
      <c r="E37" s="1" t="s">
        <v>99</v>
      </c>
      <c r="F37" s="10" t="e">
        <f>EXP(SUMIFS(#REF!,#REF!,"&gt;="&amp; F$1,#REF!,"&lt;=" &amp; F$2))-1</f>
        <v>#REF!</v>
      </c>
      <c r="G37" s="10" t="e">
        <f>EXP(SUMIFS(#REF!,#REF!,"&gt;="&amp; G$1,#REF!,"&lt;=" &amp; G$2))-1</f>
        <v>#REF!</v>
      </c>
      <c r="H37" s="10" t="e">
        <f>EXP(SUMIFS(#REF!,#REF!,"&gt;="&amp; H$1,#REF!,"&lt;=" &amp; H$2))-1</f>
        <v>#REF!</v>
      </c>
      <c r="I37" s="10" t="e">
        <f>EXP(SUMIFS(#REF!,#REF!,"&gt;="&amp; I$1,#REF!,"&lt;=" &amp; I$2))-1</f>
        <v>#REF!</v>
      </c>
      <c r="J37" s="10" t="e">
        <f>EXP(SUMIFS(#REF!,#REF!,"&gt;="&amp; J$1,#REF!,"&lt;=" &amp; J$2))-1</f>
        <v>#REF!</v>
      </c>
      <c r="K37" s="10" t="e">
        <f>EXP(SUMIFS(#REF!,#REF!,"&gt;="&amp; K$1,#REF!,"&lt;=" &amp; K$2))-1</f>
        <v>#REF!</v>
      </c>
      <c r="L37" s="10" t="e">
        <f>EXP(SUMIFS(#REF!,#REF!,"&gt;="&amp; L$1,#REF!,"&lt;=" &amp; L$2))-1</f>
        <v>#REF!</v>
      </c>
      <c r="M37" s="10" t="e">
        <f>EXP(SUMIFS(#REF!,#REF!,"&gt;="&amp; M$1,#REF!,"&lt;=" &amp; M$2))-1</f>
        <v>#REF!</v>
      </c>
      <c r="N37" s="10" t="e">
        <f>EXP(SUMIFS(#REF!,#REF!,"&gt;="&amp; N$1,#REF!,"&lt;=" &amp; N$2))-1</f>
        <v>#REF!</v>
      </c>
      <c r="P37" s="5" t="e">
        <f t="array" ref="P37">PRODUCT(F37:N37+1)-1</f>
        <v>#REF!</v>
      </c>
      <c r="Q37" s="6">
        <f>COUNTIFS(R37:Z37,"&gt;=0")</f>
        <v>0</v>
      </c>
      <c r="R37" s="10" t="e">
        <f t="shared" ref="R37:R41" si="45">F37-F$3</f>
        <v>#REF!</v>
      </c>
      <c r="S37" s="10" t="e">
        <f t="shared" ref="S37:S42" si="46">G37-G$3</f>
        <v>#REF!</v>
      </c>
      <c r="T37" s="10" t="e">
        <f t="shared" ref="T37:T42" si="47">H37-H$3</f>
        <v>#REF!</v>
      </c>
      <c r="U37" s="10" t="e">
        <f t="shared" ref="U37:U42" si="48">I37-I$3</f>
        <v>#REF!</v>
      </c>
      <c r="V37" s="10" t="e">
        <f t="shared" ref="V37:V42" si="49">J37-J$3</f>
        <v>#REF!</v>
      </c>
      <c r="W37" s="10" t="e">
        <f t="shared" ref="W37:W42" si="50">K37-K$3</f>
        <v>#REF!</v>
      </c>
      <c r="X37" s="10" t="e">
        <f t="shared" ref="X37:X42" si="51">L37-L$3</f>
        <v>#REF!</v>
      </c>
      <c r="Y37" s="10" t="e">
        <f t="shared" ref="Y37:Y42" si="52">M37-M$3</f>
        <v>#REF!</v>
      </c>
      <c r="Z37" s="10" t="e">
        <f t="shared" ref="Z37:Z42" si="53">N37-N$3</f>
        <v>#REF!</v>
      </c>
      <c r="AA37" s="4"/>
      <c r="AB37" s="5" t="e">
        <f t="array" ref="AB37">PRODUCT(R37:Z37+1)-1</f>
        <v>#REF!</v>
      </c>
    </row>
    <row r="38" spans="4:28" x14ac:dyDescent="0.3">
      <c r="D38" s="1"/>
      <c r="E38" s="1" t="s">
        <v>100</v>
      </c>
      <c r="F38" s="10" t="e">
        <f>EXP(SUMIFS(#REF!,#REF!,"&gt;="&amp; F$1,#REF!,"&lt;=" &amp; F$2))-1</f>
        <v>#REF!</v>
      </c>
      <c r="G38" s="10" t="e">
        <f>EXP(SUMIFS(#REF!,#REF!,"&gt;="&amp; G$1,#REF!,"&lt;=" &amp; G$2))-1</f>
        <v>#REF!</v>
      </c>
      <c r="H38" s="10" t="e">
        <f>EXP(SUMIFS(#REF!,#REF!,"&gt;="&amp; H$1,#REF!,"&lt;=" &amp; H$2))-1</f>
        <v>#REF!</v>
      </c>
      <c r="I38" s="10" t="e">
        <f>EXP(SUMIFS(#REF!,#REF!,"&gt;="&amp; I$1,#REF!,"&lt;=" &amp; I$2))-1</f>
        <v>#REF!</v>
      </c>
      <c r="J38" s="10" t="e">
        <f>EXP(SUMIFS(#REF!,#REF!,"&gt;="&amp; J$1,#REF!,"&lt;=" &amp; J$2))-1</f>
        <v>#REF!</v>
      </c>
      <c r="K38" s="10" t="e">
        <f>EXP(SUMIFS(#REF!,#REF!,"&gt;="&amp; K$1,#REF!,"&lt;=" &amp; K$2))-1</f>
        <v>#REF!</v>
      </c>
      <c r="L38" s="10" t="e">
        <f>EXP(SUMIFS(#REF!,#REF!,"&gt;="&amp; L$1,#REF!,"&lt;=" &amp; L$2))-1</f>
        <v>#REF!</v>
      </c>
      <c r="M38" s="10" t="e">
        <f>EXP(SUMIFS(#REF!,#REF!,"&gt;="&amp; M$1,#REF!,"&lt;=" &amp; M$2))-1</f>
        <v>#REF!</v>
      </c>
      <c r="N38" s="10" t="e">
        <f>EXP(SUMIFS(#REF!,#REF!,"&gt;="&amp; N$1,#REF!,"&lt;=" &amp; N$2))-1</f>
        <v>#REF!</v>
      </c>
      <c r="P38" s="5" t="e">
        <f t="array" ref="P38">PRODUCT(F38:N38+1)-1</f>
        <v>#REF!</v>
      </c>
      <c r="Q38" s="6">
        <f t="shared" ref="Q38:Q42" si="54">COUNTIFS(R38:Z38,"&gt;=0")</f>
        <v>0</v>
      </c>
      <c r="R38" s="10" t="e">
        <f t="shared" si="45"/>
        <v>#REF!</v>
      </c>
      <c r="S38" s="10" t="e">
        <f t="shared" si="46"/>
        <v>#REF!</v>
      </c>
      <c r="T38" s="10" t="e">
        <f t="shared" si="47"/>
        <v>#REF!</v>
      </c>
      <c r="U38" s="10" t="e">
        <f t="shared" si="48"/>
        <v>#REF!</v>
      </c>
      <c r="V38" s="10" t="e">
        <f t="shared" si="49"/>
        <v>#REF!</v>
      </c>
      <c r="W38" s="10" t="e">
        <f t="shared" si="50"/>
        <v>#REF!</v>
      </c>
      <c r="X38" s="10" t="e">
        <f t="shared" si="51"/>
        <v>#REF!</v>
      </c>
      <c r="Y38" s="10" t="e">
        <f t="shared" si="52"/>
        <v>#REF!</v>
      </c>
      <c r="Z38" s="10" t="e">
        <f t="shared" si="53"/>
        <v>#REF!</v>
      </c>
      <c r="AA38" s="4"/>
      <c r="AB38" s="5" t="e">
        <f t="array" ref="AB38">PRODUCT(R38:Z38+1)-1</f>
        <v>#REF!</v>
      </c>
    </row>
    <row r="39" spans="4:28" x14ac:dyDescent="0.3">
      <c r="D39" s="1"/>
      <c r="E39" s="1" t="s">
        <v>101</v>
      </c>
      <c r="F39" s="10" t="e">
        <f>EXP(SUMIFS(#REF!,#REF!,"&gt;="&amp; F$1,#REF!,"&lt;=" &amp; F$2))-1</f>
        <v>#REF!</v>
      </c>
      <c r="G39" s="10" t="e">
        <f>EXP(SUMIFS(#REF!,#REF!,"&gt;="&amp; G$1,#REF!,"&lt;=" &amp; G$2))-1</f>
        <v>#REF!</v>
      </c>
      <c r="H39" s="10" t="e">
        <f>EXP(SUMIFS(#REF!,#REF!,"&gt;="&amp; H$1,#REF!,"&lt;=" &amp; H$2))-1</f>
        <v>#REF!</v>
      </c>
      <c r="I39" s="10" t="e">
        <f>EXP(SUMIFS(#REF!,#REF!,"&gt;="&amp; I$1,#REF!,"&lt;=" &amp; I$2))-1</f>
        <v>#REF!</v>
      </c>
      <c r="J39" s="10" t="e">
        <f>EXP(SUMIFS(#REF!,#REF!,"&gt;="&amp; J$1,#REF!,"&lt;=" &amp; J$2))-1</f>
        <v>#REF!</v>
      </c>
      <c r="K39" s="10" t="e">
        <f>EXP(SUMIFS(#REF!,#REF!,"&gt;="&amp; K$1,#REF!,"&lt;=" &amp; K$2))-1</f>
        <v>#REF!</v>
      </c>
      <c r="L39" s="10" t="e">
        <f>EXP(SUMIFS(#REF!,#REF!,"&gt;="&amp; L$1,#REF!,"&lt;=" &amp; L$2))-1</f>
        <v>#REF!</v>
      </c>
      <c r="M39" s="10" t="e">
        <f>EXP(SUMIFS(#REF!,#REF!,"&gt;="&amp; M$1,#REF!,"&lt;=" &amp; M$2))-1</f>
        <v>#REF!</v>
      </c>
      <c r="N39" s="10" t="e">
        <f>EXP(SUMIFS(#REF!,#REF!,"&gt;="&amp; N$1,#REF!,"&lt;=" &amp; N$2))-1</f>
        <v>#REF!</v>
      </c>
      <c r="P39" s="5" t="e">
        <f t="array" ref="P39">PRODUCT(F39:N39+1)-1</f>
        <v>#REF!</v>
      </c>
      <c r="Q39" s="6">
        <f t="shared" si="54"/>
        <v>0</v>
      </c>
      <c r="R39" s="10" t="e">
        <f t="shared" si="45"/>
        <v>#REF!</v>
      </c>
      <c r="S39" s="10" t="e">
        <f t="shared" si="46"/>
        <v>#REF!</v>
      </c>
      <c r="T39" s="10" t="e">
        <f t="shared" si="47"/>
        <v>#REF!</v>
      </c>
      <c r="U39" s="10" t="e">
        <f t="shared" si="48"/>
        <v>#REF!</v>
      </c>
      <c r="V39" s="10" t="e">
        <f t="shared" si="49"/>
        <v>#REF!</v>
      </c>
      <c r="W39" s="10" t="e">
        <f t="shared" si="50"/>
        <v>#REF!</v>
      </c>
      <c r="X39" s="10" t="e">
        <f t="shared" si="51"/>
        <v>#REF!</v>
      </c>
      <c r="Y39" s="10" t="e">
        <f t="shared" si="52"/>
        <v>#REF!</v>
      </c>
      <c r="Z39" s="10" t="e">
        <f t="shared" si="53"/>
        <v>#REF!</v>
      </c>
      <c r="AA39" s="4"/>
      <c r="AB39" s="5" t="e" cm="1">
        <f t="array" ref="AB39">PRODUCT(R39:Z39+1)-1</f>
        <v>#REF!</v>
      </c>
    </row>
    <row r="40" spans="4:28" x14ac:dyDescent="0.3">
      <c r="D40" s="1"/>
      <c r="E40" s="1" t="s">
        <v>102</v>
      </c>
      <c r="F40" s="10" t="e">
        <f>EXP(SUMIFS(#REF!,#REF!,"&gt;="&amp; F$1,#REF!,"&lt;=" &amp; F$2))-1</f>
        <v>#REF!</v>
      </c>
      <c r="G40" s="10" t="e">
        <f>EXP(SUMIFS(#REF!,#REF!,"&gt;="&amp; G$1,#REF!,"&lt;=" &amp; G$2))-1</f>
        <v>#REF!</v>
      </c>
      <c r="H40" s="10" t="e">
        <f>EXP(SUMIFS(#REF!,#REF!,"&gt;="&amp; H$1,#REF!,"&lt;=" &amp; H$2))-1</f>
        <v>#REF!</v>
      </c>
      <c r="I40" s="10" t="e">
        <f>EXP(SUMIFS(#REF!,#REF!,"&gt;="&amp; I$1,#REF!,"&lt;=" &amp; I$2))-1</f>
        <v>#REF!</v>
      </c>
      <c r="J40" s="10" t="e">
        <f>EXP(SUMIFS(#REF!,#REF!,"&gt;="&amp; J$1,#REF!,"&lt;=" &amp; J$2))-1</f>
        <v>#REF!</v>
      </c>
      <c r="K40" s="10" t="e">
        <f>EXP(SUMIFS(#REF!,#REF!,"&gt;="&amp; K$1,#REF!,"&lt;=" &amp; K$2))-1</f>
        <v>#REF!</v>
      </c>
      <c r="L40" s="10" t="e">
        <f>EXP(SUMIFS(#REF!,#REF!,"&gt;="&amp; L$1,#REF!,"&lt;=" &amp; L$2))-1</f>
        <v>#REF!</v>
      </c>
      <c r="M40" s="10" t="e">
        <f>EXP(SUMIFS(#REF!,#REF!,"&gt;="&amp; M$1,#REF!,"&lt;=" &amp; M$2))-1</f>
        <v>#REF!</v>
      </c>
      <c r="N40" s="10" t="e">
        <f>EXP(SUMIFS(#REF!,#REF!,"&gt;="&amp; N$1,#REF!,"&lt;=" &amp; N$2))-1</f>
        <v>#REF!</v>
      </c>
      <c r="P40" s="5" t="e">
        <f t="array" ref="P40">PRODUCT(F40:N40+1)-1</f>
        <v>#REF!</v>
      </c>
      <c r="Q40" s="6">
        <f t="shared" si="54"/>
        <v>0</v>
      </c>
      <c r="R40" s="10" t="e">
        <f t="shared" si="45"/>
        <v>#REF!</v>
      </c>
      <c r="S40" s="10" t="e">
        <f t="shared" si="46"/>
        <v>#REF!</v>
      </c>
      <c r="T40" s="10" t="e">
        <f t="shared" si="47"/>
        <v>#REF!</v>
      </c>
      <c r="U40" s="10" t="e">
        <f t="shared" si="48"/>
        <v>#REF!</v>
      </c>
      <c r="V40" s="10" t="e">
        <f t="shared" si="49"/>
        <v>#REF!</v>
      </c>
      <c r="W40" s="10" t="e">
        <f t="shared" si="50"/>
        <v>#REF!</v>
      </c>
      <c r="X40" s="10" t="e">
        <f t="shared" si="51"/>
        <v>#REF!</v>
      </c>
      <c r="Y40" s="10" t="e">
        <f t="shared" si="52"/>
        <v>#REF!</v>
      </c>
      <c r="Z40" s="10" t="e">
        <f t="shared" si="53"/>
        <v>#REF!</v>
      </c>
      <c r="AA40" s="4"/>
      <c r="AB40" s="5" t="e">
        <f t="array" ref="AB40">PRODUCT(R40:Z40+1)-1</f>
        <v>#REF!</v>
      </c>
    </row>
    <row r="41" spans="4:28" x14ac:dyDescent="0.3">
      <c r="D41" s="1"/>
      <c r="E41" s="1" t="s">
        <v>103</v>
      </c>
      <c r="F41" s="10" t="e">
        <f>EXP(SUMIFS(#REF!,#REF!,"&gt;="&amp; F$1,#REF!,"&lt;=" &amp; F$2))-1</f>
        <v>#REF!</v>
      </c>
      <c r="G41" s="10" t="e">
        <f>EXP(SUMIFS(#REF!,#REF!,"&gt;="&amp; G$1,#REF!,"&lt;=" &amp; G$2))-1</f>
        <v>#REF!</v>
      </c>
      <c r="H41" s="10" t="e">
        <f>EXP(SUMIFS(#REF!,#REF!,"&gt;="&amp; H$1,#REF!,"&lt;=" &amp; H$2))-1</f>
        <v>#REF!</v>
      </c>
      <c r="I41" s="10" t="e">
        <f>EXP(SUMIFS(#REF!,#REF!,"&gt;="&amp; I$1,#REF!,"&lt;=" &amp; I$2))-1</f>
        <v>#REF!</v>
      </c>
      <c r="J41" s="10" t="e">
        <f>EXP(SUMIFS(#REF!,#REF!,"&gt;="&amp; J$1,#REF!,"&lt;=" &amp; J$2))-1</f>
        <v>#REF!</v>
      </c>
      <c r="K41" s="10" t="e">
        <f>EXP(SUMIFS(#REF!,#REF!,"&gt;="&amp; K$1,#REF!,"&lt;=" &amp; K$2))-1</f>
        <v>#REF!</v>
      </c>
      <c r="L41" s="10" t="e">
        <f>EXP(SUMIFS(#REF!,#REF!,"&gt;="&amp; L$1,#REF!,"&lt;=" &amp; L$2))-1</f>
        <v>#REF!</v>
      </c>
      <c r="M41" s="10" t="e">
        <f>EXP(SUMIFS(#REF!,#REF!,"&gt;="&amp; M$1,#REF!,"&lt;=" &amp; M$2))-1</f>
        <v>#REF!</v>
      </c>
      <c r="N41" s="10" t="e">
        <f>EXP(SUMIFS(#REF!,#REF!,"&gt;="&amp; N$1,#REF!,"&lt;=" &amp; N$2))-1</f>
        <v>#REF!</v>
      </c>
      <c r="P41" s="5" t="e">
        <f t="array" ref="P41">PRODUCT(F41:N41+1)-1</f>
        <v>#REF!</v>
      </c>
      <c r="Q41" s="6">
        <f t="shared" si="54"/>
        <v>0</v>
      </c>
      <c r="R41" s="10" t="e">
        <f t="shared" si="45"/>
        <v>#REF!</v>
      </c>
      <c r="S41" s="10" t="e">
        <f t="shared" si="46"/>
        <v>#REF!</v>
      </c>
      <c r="T41" s="10" t="e">
        <f t="shared" si="47"/>
        <v>#REF!</v>
      </c>
      <c r="U41" s="10" t="e">
        <f t="shared" si="48"/>
        <v>#REF!</v>
      </c>
      <c r="V41" s="10" t="e">
        <f t="shared" si="49"/>
        <v>#REF!</v>
      </c>
      <c r="W41" s="10" t="e">
        <f t="shared" si="50"/>
        <v>#REF!</v>
      </c>
      <c r="X41" s="10" t="e">
        <f t="shared" si="51"/>
        <v>#REF!</v>
      </c>
      <c r="Y41" s="10" t="e">
        <f t="shared" si="52"/>
        <v>#REF!</v>
      </c>
      <c r="Z41" s="10" t="e">
        <f t="shared" si="53"/>
        <v>#REF!</v>
      </c>
      <c r="AA41" s="4"/>
      <c r="AB41" s="5" t="e">
        <f t="array" ref="AB41">PRODUCT(R41:Z41+1)-1</f>
        <v>#REF!</v>
      </c>
    </row>
    <row r="42" spans="4:28" x14ac:dyDescent="0.3">
      <c r="D42" s="1"/>
      <c r="E42" s="1" t="s">
        <v>104</v>
      </c>
      <c r="F42" s="10" t="e">
        <f>EXP(SUMIFS(#REF!,#REF!,"&gt;="&amp; F$1,#REF!,"&lt;=" &amp; F$2))-1</f>
        <v>#REF!</v>
      </c>
      <c r="G42" s="10" t="e">
        <f>EXP(SUMIFS(#REF!,#REF!,"&gt;="&amp; G$1,#REF!,"&lt;=" &amp; G$2))-1</f>
        <v>#REF!</v>
      </c>
      <c r="H42" s="10" t="e">
        <f>EXP(SUMIFS(#REF!,#REF!,"&gt;="&amp; H$1,#REF!,"&lt;=" &amp; H$2))-1</f>
        <v>#REF!</v>
      </c>
      <c r="I42" s="10" t="e">
        <f>EXP(SUMIFS(#REF!,#REF!,"&gt;="&amp; I$1,#REF!,"&lt;=" &amp; I$2))-1</f>
        <v>#REF!</v>
      </c>
      <c r="J42" s="10" t="e">
        <f>EXP(SUMIFS(#REF!,#REF!,"&gt;="&amp; J$1,#REF!,"&lt;=" &amp; J$2))-1</f>
        <v>#REF!</v>
      </c>
      <c r="K42" s="10" t="e">
        <f>EXP(SUMIFS(#REF!,#REF!,"&gt;="&amp; K$1,#REF!,"&lt;=" &amp; K$2))-1</f>
        <v>#REF!</v>
      </c>
      <c r="L42" s="10" t="e">
        <f>EXP(SUMIFS(#REF!,#REF!,"&gt;="&amp; L$1,#REF!,"&lt;=" &amp; L$2))-1</f>
        <v>#REF!</v>
      </c>
      <c r="M42" s="10" t="e">
        <f>EXP(SUMIFS(#REF!,#REF!,"&gt;="&amp; M$1,#REF!,"&lt;=" &amp; M$2))-1</f>
        <v>#REF!</v>
      </c>
      <c r="N42" s="10" t="e">
        <f>EXP(SUMIFS(#REF!,#REF!,"&gt;="&amp; N$1,#REF!,"&lt;=" &amp; N$2))-1</f>
        <v>#REF!</v>
      </c>
      <c r="P42" s="5" t="e">
        <f t="array" ref="P42">PRODUCT(F42:N42+1)-1</f>
        <v>#REF!</v>
      </c>
      <c r="Q42" s="6">
        <f t="shared" si="54"/>
        <v>0</v>
      </c>
      <c r="R42" s="10" t="e">
        <f>F42-F$3</f>
        <v>#REF!</v>
      </c>
      <c r="S42" s="10" t="e">
        <f t="shared" si="46"/>
        <v>#REF!</v>
      </c>
      <c r="T42" s="10" t="e">
        <f t="shared" si="47"/>
        <v>#REF!</v>
      </c>
      <c r="U42" s="10" t="e">
        <f t="shared" si="48"/>
        <v>#REF!</v>
      </c>
      <c r="V42" s="10" t="e">
        <f t="shared" si="49"/>
        <v>#REF!</v>
      </c>
      <c r="W42" s="10" t="e">
        <f t="shared" si="50"/>
        <v>#REF!</v>
      </c>
      <c r="X42" s="10" t="e">
        <f t="shared" si="51"/>
        <v>#REF!</v>
      </c>
      <c r="Y42" s="10" t="e">
        <f t="shared" si="52"/>
        <v>#REF!</v>
      </c>
      <c r="Z42" s="10" t="e">
        <f t="shared" si="53"/>
        <v>#REF!</v>
      </c>
      <c r="AA42" s="4"/>
      <c r="AB42" s="5" t="e">
        <f t="array" ref="AB42">PRODUCT(R42:Z42+1)-1</f>
        <v>#REF!</v>
      </c>
    </row>
    <row r="43" spans="4:28" x14ac:dyDescent="0.3">
      <c r="AB43" s="5"/>
    </row>
    <row r="44" spans="4:28" x14ac:dyDescent="0.3">
      <c r="D44" t="s">
        <v>109</v>
      </c>
      <c r="E44" s="1" t="s">
        <v>99</v>
      </c>
      <c r="F44" s="10">
        <v>-7.758220786649106E-2</v>
      </c>
      <c r="G44" s="10">
        <v>0.16047608713964667</v>
      </c>
      <c r="H44" s="10">
        <v>0.10674411200697609</v>
      </c>
      <c r="I44" s="10">
        <v>0.17348522699194313</v>
      </c>
      <c r="J44" s="10">
        <v>-5.2149936453877666E-2</v>
      </c>
      <c r="K44" s="10">
        <v>0.40871724657518849</v>
      </c>
      <c r="L44" s="10">
        <v>0.2273799803205212</v>
      </c>
      <c r="M44" s="10">
        <v>0.29889053257391285</v>
      </c>
      <c r="N44" s="10">
        <v>0.28486201556900403</v>
      </c>
      <c r="P44" s="5">
        <f t="array" ref="P44">PRODUCT(F44:N44+1)-1</f>
        <v>2.8024215778475181</v>
      </c>
      <c r="Q44" s="6">
        <f>COUNTIFS(R44:Z44,"&gt;=0")</f>
        <v>0</v>
      </c>
      <c r="R44" s="10" t="e">
        <f t="shared" ref="R44:R48" si="55">F44-F$3</f>
        <v>#REF!</v>
      </c>
      <c r="S44" s="10" t="e">
        <f t="shared" ref="S44:S49" si="56">G44-G$3</f>
        <v>#REF!</v>
      </c>
      <c r="T44" s="10" t="e">
        <f t="shared" ref="T44:T49" si="57">H44-H$3</f>
        <v>#REF!</v>
      </c>
      <c r="U44" s="10" t="e">
        <f t="shared" ref="U44:U49" si="58">I44-I$3</f>
        <v>#REF!</v>
      </c>
      <c r="V44" s="10" t="e">
        <f t="shared" ref="V44:V49" si="59">J44-J$3</f>
        <v>#REF!</v>
      </c>
      <c r="W44" s="10" t="e">
        <f t="shared" ref="W44:W49" si="60">K44-K$3</f>
        <v>#REF!</v>
      </c>
      <c r="X44" s="10" t="e">
        <f t="shared" ref="X44:X49" si="61">L44-L$3</f>
        <v>#REF!</v>
      </c>
      <c r="Y44" s="10" t="e">
        <f t="shared" ref="Y44:Y49" si="62">M44-M$3</f>
        <v>#REF!</v>
      </c>
      <c r="Z44" s="10" t="e">
        <f t="shared" ref="Z44:Z49" si="63">N44-N$3</f>
        <v>#REF!</v>
      </c>
      <c r="AA44" s="4"/>
      <c r="AB44" s="5" t="e">
        <f t="array" ref="AB44">PRODUCT(R44:Z44+1)-1</f>
        <v>#REF!</v>
      </c>
    </row>
    <row r="45" spans="4:28" x14ac:dyDescent="0.3">
      <c r="E45" s="1" t="s">
        <v>100</v>
      </c>
      <c r="F45" s="10">
        <v>-6.2588694882860674E-2</v>
      </c>
      <c r="G45" s="10">
        <v>0.20084106269155666</v>
      </c>
      <c r="H45" s="10">
        <v>9.9258814909226833E-2</v>
      </c>
      <c r="I45" s="10">
        <v>0.13749564740371523</v>
      </c>
      <c r="J45" s="10">
        <v>-4.6513796598361523E-2</v>
      </c>
      <c r="K45" s="10">
        <v>0.37254047260174561</v>
      </c>
      <c r="L45" s="10">
        <v>0.26350731927246174</v>
      </c>
      <c r="M45" s="10">
        <v>0.28711233044916162</v>
      </c>
      <c r="N45" s="10">
        <v>0.35429270258247203</v>
      </c>
      <c r="P45" s="5">
        <f t="array" ref="P45">PRODUCT(F45:N45+1)-1</f>
        <v>3.0570629042510165</v>
      </c>
      <c r="Q45" s="6">
        <f t="shared" ref="Q45:Q49" si="64">COUNTIFS(R45:Z45,"&gt;=0")</f>
        <v>0</v>
      </c>
      <c r="R45" s="10" t="e">
        <f t="shared" si="55"/>
        <v>#REF!</v>
      </c>
      <c r="S45" s="10" t="e">
        <f t="shared" si="56"/>
        <v>#REF!</v>
      </c>
      <c r="T45" s="10" t="e">
        <f t="shared" si="57"/>
        <v>#REF!</v>
      </c>
      <c r="U45" s="10" t="e">
        <f t="shared" si="58"/>
        <v>#REF!</v>
      </c>
      <c r="V45" s="10" t="e">
        <f t="shared" si="59"/>
        <v>#REF!</v>
      </c>
      <c r="W45" s="10" t="e">
        <f t="shared" si="60"/>
        <v>#REF!</v>
      </c>
      <c r="X45" s="10" t="e">
        <f t="shared" si="61"/>
        <v>#REF!</v>
      </c>
      <c r="Y45" s="10" t="e">
        <f t="shared" si="62"/>
        <v>#REF!</v>
      </c>
      <c r="Z45" s="10" t="e">
        <f t="shared" si="63"/>
        <v>#REF!</v>
      </c>
      <c r="AA45" s="4"/>
      <c r="AB45" s="5" t="e">
        <f t="array" ref="AB45">PRODUCT(R45:Z45+1)-1</f>
        <v>#REF!</v>
      </c>
    </row>
    <row r="46" spans="4:28" x14ac:dyDescent="0.3">
      <c r="E46" s="1" t="s">
        <v>101</v>
      </c>
      <c r="F46" s="10">
        <v>-3.5796067947511334E-2</v>
      </c>
      <c r="G46" s="10">
        <v>0.27807964363752391</v>
      </c>
      <c r="H46" s="10">
        <v>8.9364998128340867E-2</v>
      </c>
      <c r="I46" s="10">
        <v>6.3303121955900155E-2</v>
      </c>
      <c r="J46" s="10">
        <v>-5.4002509725266878E-2</v>
      </c>
      <c r="K46" s="10">
        <v>0.31712471920393259</v>
      </c>
      <c r="L46" s="10">
        <v>0.25900949735588252</v>
      </c>
      <c r="M46" s="10">
        <v>0.23019375805951126</v>
      </c>
      <c r="N46" s="10">
        <v>0.37298830081740686</v>
      </c>
      <c r="P46" s="5">
        <f t="array" ref="P46">PRODUCT(F46:N46+1)-1</f>
        <v>2.7821919740723042</v>
      </c>
      <c r="Q46" s="6">
        <f t="shared" si="64"/>
        <v>0</v>
      </c>
      <c r="R46" s="10" t="e">
        <f t="shared" si="55"/>
        <v>#REF!</v>
      </c>
      <c r="S46" s="10" t="e">
        <f t="shared" si="56"/>
        <v>#REF!</v>
      </c>
      <c r="T46" s="10" t="e">
        <f t="shared" si="57"/>
        <v>#REF!</v>
      </c>
      <c r="U46" s="10" t="e">
        <f t="shared" si="58"/>
        <v>#REF!</v>
      </c>
      <c r="V46" s="10" t="e">
        <f t="shared" si="59"/>
        <v>#REF!</v>
      </c>
      <c r="W46" s="10" t="e">
        <f t="shared" si="60"/>
        <v>#REF!</v>
      </c>
      <c r="X46" s="10" t="e">
        <f t="shared" si="61"/>
        <v>#REF!</v>
      </c>
      <c r="Y46" s="10" t="e">
        <f t="shared" si="62"/>
        <v>#REF!</v>
      </c>
      <c r="Z46" s="10" t="e">
        <f t="shared" si="63"/>
        <v>#REF!</v>
      </c>
      <c r="AA46" s="4"/>
      <c r="AB46" s="5" t="e">
        <f t="array" ref="AB46">PRODUCT(R46:Z46+1)-1</f>
        <v>#REF!</v>
      </c>
    </row>
    <row r="47" spans="4:28" x14ac:dyDescent="0.3">
      <c r="E47" s="1" t="s">
        <v>102</v>
      </c>
      <c r="F47" s="10">
        <v>-4.6944877594648604E-2</v>
      </c>
      <c r="G47" s="10">
        <v>0.23034262869637212</v>
      </c>
      <c r="H47" s="10">
        <v>9.4406329276190304E-2</v>
      </c>
      <c r="I47" s="10">
        <v>0.11802313475117243</v>
      </c>
      <c r="J47" s="10">
        <v>-4.6714347802989664E-2</v>
      </c>
      <c r="K47" s="10">
        <v>0.38402605848980542</v>
      </c>
      <c r="L47" s="10">
        <v>0.27079594786493266</v>
      </c>
      <c r="M47" s="10">
        <v>0.2556076934872209</v>
      </c>
      <c r="N47" s="10">
        <v>0.36745992803047089</v>
      </c>
      <c r="P47" s="5">
        <f t="array" ref="P47">PRODUCT(F47:N47+1)-1</f>
        <v>3.130334259252642</v>
      </c>
      <c r="Q47" s="6">
        <f t="shared" si="64"/>
        <v>0</v>
      </c>
      <c r="R47" s="10" t="e">
        <f t="shared" si="55"/>
        <v>#REF!</v>
      </c>
      <c r="S47" s="10" t="e">
        <f t="shared" si="56"/>
        <v>#REF!</v>
      </c>
      <c r="T47" s="10" t="e">
        <f t="shared" si="57"/>
        <v>#REF!</v>
      </c>
      <c r="U47" s="10" t="e">
        <f t="shared" si="58"/>
        <v>#REF!</v>
      </c>
      <c r="V47" s="10" t="e">
        <f t="shared" si="59"/>
        <v>#REF!</v>
      </c>
      <c r="W47" s="10" t="e">
        <f t="shared" si="60"/>
        <v>#REF!</v>
      </c>
      <c r="X47" s="10" t="e">
        <f t="shared" si="61"/>
        <v>#REF!</v>
      </c>
      <c r="Y47" s="10" t="e">
        <f t="shared" si="62"/>
        <v>#REF!</v>
      </c>
      <c r="Z47" s="10" t="e">
        <f t="shared" si="63"/>
        <v>#REF!</v>
      </c>
      <c r="AA47" s="4"/>
      <c r="AB47" s="5" t="e">
        <f t="array" ref="AB47">PRODUCT(R47:Z47+1)-1</f>
        <v>#REF!</v>
      </c>
    </row>
    <row r="48" spans="4:28" x14ac:dyDescent="0.3">
      <c r="E48" s="1" t="s">
        <v>103</v>
      </c>
      <c r="F48" s="10">
        <v>-2.4653907365868588E-2</v>
      </c>
      <c r="G48" s="10">
        <v>0.33816790271352937</v>
      </c>
      <c r="H48" s="10">
        <v>0.11081389890865312</v>
      </c>
      <c r="I48" s="10">
        <v>9.7172927826123745E-2</v>
      </c>
      <c r="J48" s="10">
        <v>-3.6814507293353005E-2</v>
      </c>
      <c r="K48" s="10">
        <v>0.28513675536891392</v>
      </c>
      <c r="L48" s="10">
        <v>0.28664224849776154</v>
      </c>
      <c r="M48" s="10">
        <v>0.27197604269596853</v>
      </c>
      <c r="N48" s="10">
        <v>0.44062744378245822</v>
      </c>
      <c r="P48" s="5">
        <f t="array" ref="P48">PRODUCT(F48:N48+1)-1</f>
        <v>3.6423026038856667</v>
      </c>
      <c r="Q48" s="6">
        <f t="shared" si="64"/>
        <v>0</v>
      </c>
      <c r="R48" s="10" t="e">
        <f t="shared" si="55"/>
        <v>#REF!</v>
      </c>
      <c r="S48" s="10" t="e">
        <f t="shared" si="56"/>
        <v>#REF!</v>
      </c>
      <c r="T48" s="10" t="e">
        <f t="shared" si="57"/>
        <v>#REF!</v>
      </c>
      <c r="U48" s="10" t="e">
        <f t="shared" si="58"/>
        <v>#REF!</v>
      </c>
      <c r="V48" s="10" t="e">
        <f t="shared" si="59"/>
        <v>#REF!</v>
      </c>
      <c r="W48" s="10" t="e">
        <f t="shared" si="60"/>
        <v>#REF!</v>
      </c>
      <c r="X48" s="10" t="e">
        <f t="shared" si="61"/>
        <v>#REF!</v>
      </c>
      <c r="Y48" s="10" t="e">
        <f t="shared" si="62"/>
        <v>#REF!</v>
      </c>
      <c r="Z48" s="10" t="e">
        <f t="shared" si="63"/>
        <v>#REF!</v>
      </c>
      <c r="AA48" s="4"/>
      <c r="AB48" s="5" t="e">
        <f t="array" ref="AB48">PRODUCT(R48:Z48+1)-1</f>
        <v>#REF!</v>
      </c>
    </row>
    <row r="49" spans="5:28" x14ac:dyDescent="0.3">
      <c r="E49" s="1" t="s">
        <v>104</v>
      </c>
      <c r="F49" s="10">
        <v>3.2803621282022632E-3</v>
      </c>
      <c r="G49" s="10">
        <v>0.40185514177595949</v>
      </c>
      <c r="H49" s="10">
        <v>9.8543622713019419E-2</v>
      </c>
      <c r="I49" s="10">
        <v>4.394767386336218E-2</v>
      </c>
      <c r="J49" s="10">
        <v>-3.7388243970175594E-2</v>
      </c>
      <c r="K49" s="10">
        <v>0.33250410288038035</v>
      </c>
      <c r="L49" s="10">
        <v>0.29997167965653571</v>
      </c>
      <c r="M49" s="10">
        <v>0.21314545201665758</v>
      </c>
      <c r="N49" s="10">
        <v>0.46217724145767258</v>
      </c>
      <c r="P49" s="5">
        <f t="array" ref="P49">PRODUCT(F49:N49+1)-1</f>
        <v>3.7707646250391322</v>
      </c>
      <c r="Q49" s="6">
        <f t="shared" si="64"/>
        <v>0</v>
      </c>
      <c r="R49" s="10" t="e">
        <f>F49-F$3</f>
        <v>#REF!</v>
      </c>
      <c r="S49" s="10" t="e">
        <f t="shared" si="56"/>
        <v>#REF!</v>
      </c>
      <c r="T49" s="10" t="e">
        <f t="shared" si="57"/>
        <v>#REF!</v>
      </c>
      <c r="U49" s="10" t="e">
        <f t="shared" si="58"/>
        <v>#REF!</v>
      </c>
      <c r="V49" s="10" t="e">
        <f t="shared" si="59"/>
        <v>#REF!</v>
      </c>
      <c r="W49" s="10" t="e">
        <f t="shared" si="60"/>
        <v>#REF!</v>
      </c>
      <c r="X49" s="10" t="e">
        <f t="shared" si="61"/>
        <v>#REF!</v>
      </c>
      <c r="Y49" s="10" t="e">
        <f t="shared" si="62"/>
        <v>#REF!</v>
      </c>
      <c r="Z49" s="10" t="e">
        <f t="shared" si="63"/>
        <v>#REF!</v>
      </c>
      <c r="AA49" s="4"/>
      <c r="AB49" s="5" t="e">
        <f t="array" ref="AB49">PRODUCT(R49:Z49+1)-1</f>
        <v>#REF!</v>
      </c>
    </row>
    <row r="51" spans="5:28" x14ac:dyDescent="0.3">
      <c r="V51" s="5" t="e">
        <f t="array" ref="V51">PRODUCT(R46:V46+1)-1</f>
        <v>#REF!</v>
      </c>
    </row>
    <row r="52" spans="5:28" x14ac:dyDescent="0.3">
      <c r="F52" s="10">
        <v>-7.2523916095121321E-2</v>
      </c>
      <c r="G52" s="10">
        <v>0.19572785917340396</v>
      </c>
      <c r="H52" s="10">
        <v>0.18190268603220394</v>
      </c>
      <c r="I52" s="10">
        <v>0.17206860546414293</v>
      </c>
      <c r="J52" s="10">
        <v>-5.3902196804774372E-2</v>
      </c>
      <c r="K52" s="10">
        <v>0.3335878328003079</v>
      </c>
      <c r="L52" s="10">
        <v>0.26080340615522934</v>
      </c>
      <c r="M52" s="10">
        <v>0.25248795142932989</v>
      </c>
      <c r="N52" s="10">
        <v>0.30847561531256251</v>
      </c>
    </row>
    <row r="53" spans="5:28" x14ac:dyDescent="0.3">
      <c r="F53" s="10">
        <v>-3.5402263093515463E-2</v>
      </c>
      <c r="G53" s="10">
        <v>0.22562255365930151</v>
      </c>
      <c r="H53" s="10">
        <v>0.15028658438682507</v>
      </c>
      <c r="I53" s="10">
        <v>0.14156848155971824</v>
      </c>
      <c r="J53" s="10">
        <v>-2.3966530922502005E-2</v>
      </c>
      <c r="K53" s="10">
        <v>0.32622727437365473</v>
      </c>
      <c r="L53" s="10">
        <v>0.21788332505773433</v>
      </c>
      <c r="M53" s="10">
        <v>0.26643047595181413</v>
      </c>
      <c r="N53" s="10">
        <v>0.36454807282095714</v>
      </c>
      <c r="V53" s="5" t="e">
        <f t="array" ref="V53">PRODUCT(R49:V49+1)-1</f>
        <v>#REF!</v>
      </c>
    </row>
    <row r="54" spans="5:28" x14ac:dyDescent="0.3">
      <c r="F54" s="10">
        <v>-1.5060448659436121E-2</v>
      </c>
      <c r="G54" s="10">
        <v>0.26705070035436163</v>
      </c>
      <c r="H54" s="10">
        <v>0.11884670685269016</v>
      </c>
      <c r="I54" s="10">
        <v>0.10878631042460007</v>
      </c>
      <c r="J54" s="10">
        <v>-2.7296246657107393E-2</v>
      </c>
      <c r="K54" s="10">
        <v>0.32201050921311936</v>
      </c>
      <c r="L54" s="10">
        <v>0.29794048453712896</v>
      </c>
      <c r="M54" s="10">
        <v>0.21936632567571213</v>
      </c>
      <c r="N54" s="10">
        <v>0.38441558770566098</v>
      </c>
    </row>
    <row r="55" spans="5:28" x14ac:dyDescent="0.3">
      <c r="F55" s="10">
        <v>-7.3043566736680665E-2</v>
      </c>
      <c r="G55" s="10">
        <v>0.30750809003472068</v>
      </c>
      <c r="H55" s="10">
        <v>0.1879268706652002</v>
      </c>
      <c r="I55" s="10">
        <v>0.13586784929853879</v>
      </c>
      <c r="J55" s="10">
        <v>-6.8341014594712424E-2</v>
      </c>
      <c r="K55" s="10">
        <v>0.25694093877028834</v>
      </c>
      <c r="L55" s="10">
        <v>0.29144748121798281</v>
      </c>
      <c r="M55" s="10">
        <v>0.28877143281748552</v>
      </c>
      <c r="N55" s="10">
        <v>0.33348527084021429</v>
      </c>
    </row>
    <row r="56" spans="5:28" x14ac:dyDescent="0.3">
      <c r="F56" s="10">
        <v>3.5644021298320006E-3</v>
      </c>
      <c r="G56" s="10">
        <v>0.33296238778139364</v>
      </c>
      <c r="H56" s="10">
        <v>0.13293523693603104</v>
      </c>
      <c r="I56" s="10">
        <v>8.0885680715784503E-2</v>
      </c>
      <c r="J56" s="10">
        <v>1.6733398964376978E-3</v>
      </c>
      <c r="K56" s="10">
        <v>0.26116791114974136</v>
      </c>
      <c r="L56" s="10">
        <v>0.19981096871796233</v>
      </c>
      <c r="M56" s="10">
        <v>0.29145540864934905</v>
      </c>
      <c r="N56" s="10">
        <v>0.42543380562174127</v>
      </c>
    </row>
    <row r="57" spans="5:28" x14ac:dyDescent="0.3">
      <c r="F57" s="10">
        <v>3.6027955991157823E-2</v>
      </c>
      <c r="G57" s="10">
        <v>0.41273054280641941</v>
      </c>
      <c r="H57" s="10">
        <v>8.738870659195408E-2</v>
      </c>
      <c r="I57" s="10">
        <v>1.8138911866554919E-2</v>
      </c>
      <c r="J57" s="10">
        <v>-1.5909219940466124E-2</v>
      </c>
      <c r="K57" s="10">
        <v>0.27786638418458121</v>
      </c>
      <c r="L57" s="10">
        <v>0.37224048396974774</v>
      </c>
      <c r="M57" s="10">
        <v>0.20129640540145299</v>
      </c>
      <c r="N57" s="10">
        <v>0.44706407486653732</v>
      </c>
    </row>
    <row r="58" spans="5:28" x14ac:dyDescent="0.3">
      <c r="F58" s="5"/>
      <c r="G58" s="5"/>
      <c r="H58" s="5"/>
      <c r="I58" s="5"/>
      <c r="J58" s="5"/>
      <c r="K58" s="5"/>
      <c r="L58" s="5"/>
      <c r="M58" s="5"/>
      <c r="N58" s="5"/>
    </row>
    <row r="59" spans="5:28" x14ac:dyDescent="0.3">
      <c r="F59" s="5"/>
      <c r="G59" s="5"/>
      <c r="H59" s="5"/>
      <c r="I59" s="5"/>
      <c r="J59" s="5"/>
      <c r="K59" s="5"/>
      <c r="L59" s="5"/>
      <c r="M59" s="5"/>
      <c r="N59" s="5"/>
    </row>
  </sheetData>
  <conditionalFormatting sqref="F7:F49 G28:N29">
    <cfRule type="colorScale" priority="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G7:G27 G30:G49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7:H27 H30:H49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7:I27 I30:I49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7:J27 J30:J49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7:K27 K30:K49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7:L27 L30:L49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M7:M27 M30:M49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7:N27 N30:N49">
    <cfRule type="colorScale" priority="1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52:F57">
    <cfRule type="colorScale" priority="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G52:G57"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52:H57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52:I57">
    <cfRule type="colorScale" priority="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52:J57">
    <cfRule type="colorScale" priority="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52:K57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52:L57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M52:M57"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52:N57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7</vt:i4>
      </vt:variant>
    </vt:vector>
  </HeadingPairs>
  <TitlesOfParts>
    <vt:vector size="14" baseType="lpstr">
      <vt:lpstr>Backtest</vt:lpstr>
      <vt:lpstr>Analisando_Resultados</vt:lpstr>
      <vt:lpstr>Analisando_Resultados_LS</vt:lpstr>
      <vt:lpstr>Precos</vt:lpstr>
      <vt:lpstr>Composicao_IBX</vt:lpstr>
      <vt:lpstr>Auxiliar</vt:lpstr>
      <vt:lpstr>Sheet7</vt:lpstr>
      <vt:lpstr>data_anterior</vt:lpstr>
      <vt:lpstr>data_composicao</vt:lpstr>
      <vt:lpstr>data_mes_seguinte</vt:lpstr>
      <vt:lpstr>Linha_Backtest</vt:lpstr>
      <vt:lpstr>N_Acoes</vt:lpstr>
      <vt:lpstr>Range_Resultados</vt:lpstr>
      <vt:lpstr>resultado_mes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Rafael Lavrado</dc:creator>
  <cp:lastModifiedBy>USER</cp:lastModifiedBy>
  <dcterms:created xsi:type="dcterms:W3CDTF">2020-02-14T17:27:01Z</dcterms:created>
  <dcterms:modified xsi:type="dcterms:W3CDTF">2020-06-29T10:44:26Z</dcterms:modified>
</cp:coreProperties>
</file>