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Quantamental Dropbox\Rafael Lavrado\Fundos Investimento Expert\"/>
    </mc:Choice>
  </mc:AlternateContent>
  <xr:revisionPtr revIDLastSave="0" documentId="13_ncr:1_{747EC7AF-2319-4923-A16D-C86EABDEB171}" xr6:coauthVersionLast="45" xr6:coauthVersionMax="45" xr10:uidLastSave="{00000000-0000-0000-0000-000000000000}"/>
  <bookViews>
    <workbookView xWindow="-108" yWindow="-108" windowWidth="23256" windowHeight="13176" activeTab="1" xr2:uid="{00000000-000D-0000-FFFF-FFFF00000000}"/>
  </bookViews>
  <sheets>
    <sheet name="MDD" sheetId="2" r:id="rId1"/>
    <sheet name="MDD_Detalhado" sheetId="5" r:id="rId2"/>
    <sheet name="Underwater" sheetId="3" r:id="rId3"/>
    <sheet name="Bitcoi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8" i="5" l="1"/>
  <c r="F69" i="5" a="1"/>
  <c r="F69" i="5" s="1"/>
  <c r="F70" i="5" a="1"/>
  <c r="F70" i="5" s="1"/>
  <c r="F71" i="5" a="1"/>
  <c r="F71" i="5" s="1"/>
  <c r="F72" i="5"/>
  <c r="F73" i="5" a="1"/>
  <c r="F73" i="5" s="1"/>
  <c r="F74" i="5" a="1"/>
  <c r="F74" i="5" s="1"/>
  <c r="F75" i="5" a="1"/>
  <c r="F75" i="5" s="1"/>
  <c r="F76" i="5"/>
  <c r="F77" i="5" a="1"/>
  <c r="F77" i="5" s="1"/>
  <c r="F78" i="5" a="1"/>
  <c r="F78" i="5" s="1"/>
  <c r="F79" i="5" a="1"/>
  <c r="F79" i="5" s="1"/>
  <c r="F80" i="5"/>
  <c r="F81" i="5" a="1"/>
  <c r="F81" i="5" s="1"/>
  <c r="F82" i="5" a="1"/>
  <c r="F82" i="5" s="1"/>
  <c r="F83" i="5" a="1"/>
  <c r="F83" i="5" s="1"/>
  <c r="F84" i="5"/>
  <c r="F85" i="5" a="1"/>
  <c r="F85" i="5" s="1"/>
  <c r="F86" i="5" a="1"/>
  <c r="F86" i="5" s="1"/>
  <c r="F87" i="5" a="1"/>
  <c r="F87" i="5" s="1"/>
  <c r="F88" i="5"/>
  <c r="F89" i="5" a="1"/>
  <c r="F89" i="5" s="1"/>
  <c r="F90" i="5" a="1"/>
  <c r="F90" i="5" s="1"/>
  <c r="F91" i="5" a="1"/>
  <c r="F91" i="5" s="1"/>
  <c r="F92" i="5"/>
  <c r="F93" i="5" a="1"/>
  <c r="F93" i="5" s="1"/>
  <c r="F94" i="5" a="1"/>
  <c r="F94" i="5" s="1"/>
  <c r="F95" i="5" a="1"/>
  <c r="F95" i="5" s="1"/>
  <c r="F96" i="5"/>
  <c r="F97" i="5" a="1"/>
  <c r="F97" i="5" s="1"/>
  <c r="F98" i="5" a="1"/>
  <c r="F98" i="5" s="1"/>
  <c r="F99" i="5" a="1"/>
  <c r="F99" i="5" s="1"/>
  <c r="F100" i="5"/>
  <c r="F101" i="5" a="1"/>
  <c r="F101" i="5" s="1"/>
  <c r="F102" i="5" a="1"/>
  <c r="F102" i="5" s="1"/>
  <c r="F103" i="5" a="1"/>
  <c r="F103" i="5" s="1"/>
  <c r="F104" i="5"/>
  <c r="F105" i="5" a="1"/>
  <c r="F105" i="5" s="1"/>
  <c r="F106" i="5" a="1"/>
  <c r="F106" i="5" s="1"/>
  <c r="F107" i="5" a="1"/>
  <c r="F107" i="5" s="1"/>
  <c r="F108" i="5"/>
  <c r="F109" i="5" a="1"/>
  <c r="F109" i="5" s="1"/>
  <c r="F110" i="5" a="1"/>
  <c r="F110" i="5" s="1"/>
  <c r="F111" i="5" a="1"/>
  <c r="F111" i="5" s="1"/>
  <c r="F112" i="5"/>
  <c r="F113" i="5" a="1"/>
  <c r="F113" i="5" s="1"/>
  <c r="F114" i="5" a="1"/>
  <c r="F114" i="5" s="1"/>
  <c r="F115" i="5" a="1"/>
  <c r="F115" i="5" s="1"/>
  <c r="F116" i="5"/>
  <c r="F117" i="5" a="1"/>
  <c r="F117" i="5" s="1"/>
  <c r="F118" i="5" a="1"/>
  <c r="F118" i="5" s="1"/>
  <c r="F119" i="5" a="1"/>
  <c r="F119" i="5" s="1"/>
  <c r="F120" i="5"/>
  <c r="F121" i="5" a="1"/>
  <c r="F121" i="5" s="1"/>
  <c r="F122" i="5" a="1"/>
  <c r="F122" i="5" s="1"/>
  <c r="F123" i="5" a="1"/>
  <c r="F123" i="5" s="1"/>
  <c r="F124" i="5"/>
  <c r="F125" i="5" a="1"/>
  <c r="F125" i="5" s="1"/>
  <c r="F126" i="5" a="1"/>
  <c r="F126" i="5" s="1"/>
  <c r="F127" i="5" a="1"/>
  <c r="F127" i="5" s="1"/>
  <c r="F128" i="5"/>
  <c r="F129" i="5" a="1"/>
  <c r="F129" i="5" s="1"/>
  <c r="F130" i="5" a="1"/>
  <c r="F130" i="5" s="1"/>
  <c r="F131" i="5" a="1"/>
  <c r="F131" i="5" s="1"/>
  <c r="F132" i="5"/>
  <c r="F133" i="5" a="1"/>
  <c r="F133" i="5" s="1"/>
  <c r="F134" i="5" a="1"/>
  <c r="F134" i="5" s="1"/>
  <c r="F135" i="5" a="1"/>
  <c r="F135" i="5" s="1"/>
  <c r="F136" i="5"/>
  <c r="F137" i="5" a="1"/>
  <c r="F137" i="5" s="1"/>
  <c r="F138" i="5" a="1"/>
  <c r="F138" i="5" s="1"/>
  <c r="F139" i="5" a="1"/>
  <c r="F139" i="5" s="1"/>
  <c r="F140" i="5"/>
  <c r="F141" i="5" a="1"/>
  <c r="F141" i="5" s="1"/>
  <c r="F142" i="5" a="1"/>
  <c r="F142" i="5" s="1"/>
  <c r="F143" i="5" a="1"/>
  <c r="F143" i="5" s="1"/>
  <c r="F144" i="5"/>
  <c r="F145" i="5" a="1"/>
  <c r="F145" i="5" s="1"/>
  <c r="F146" i="5" a="1"/>
  <c r="F146" i="5" s="1"/>
  <c r="F147" i="5" a="1"/>
  <c r="F147" i="5" s="1"/>
  <c r="F148" i="5"/>
  <c r="F149" i="5" a="1"/>
  <c r="F149" i="5" s="1"/>
  <c r="F150" i="5" a="1"/>
  <c r="F150" i="5" s="1"/>
  <c r="F151" i="5" a="1"/>
  <c r="F151" i="5" s="1"/>
  <c r="F152" i="5"/>
  <c r="F153" i="5" a="1"/>
  <c r="F153" i="5" s="1"/>
  <c r="F154" i="5" a="1"/>
  <c r="F154" i="5" s="1"/>
  <c r="F155" i="5" a="1"/>
  <c r="F155" i="5" s="1"/>
  <c r="F156" i="5"/>
  <c r="F157" i="5" a="1"/>
  <c r="F157" i="5" s="1"/>
  <c r="F158" i="5" a="1"/>
  <c r="F158" i="5" s="1"/>
  <c r="F159" i="5" a="1"/>
  <c r="F159" i="5" s="1"/>
  <c r="F160" i="5"/>
  <c r="F161" i="5" a="1"/>
  <c r="F161" i="5" s="1"/>
  <c r="F162" i="5" a="1"/>
  <c r="F162" i="5" s="1"/>
  <c r="F163" i="5" a="1"/>
  <c r="F163" i="5" s="1"/>
  <c r="F164" i="5"/>
  <c r="F165" i="5" a="1"/>
  <c r="F165" i="5" s="1"/>
  <c r="F166" i="5" a="1"/>
  <c r="F166" i="5" s="1"/>
  <c r="F167" i="5" a="1"/>
  <c r="F167" i="5" s="1"/>
  <c r="F168" i="5"/>
  <c r="F169" i="5" a="1"/>
  <c r="F169" i="5" s="1"/>
  <c r="F170" i="5" a="1"/>
  <c r="F170" i="5" s="1"/>
  <c r="F171" i="5" a="1"/>
  <c r="F171" i="5" s="1"/>
  <c r="F172" i="5"/>
  <c r="F173" i="5" a="1"/>
  <c r="F173" i="5" s="1"/>
  <c r="F174" i="5" a="1"/>
  <c r="F174" i="5" s="1"/>
  <c r="F175" i="5" a="1"/>
  <c r="F175" i="5" s="1"/>
  <c r="F176" i="5"/>
  <c r="F177" i="5" a="1"/>
  <c r="F177" i="5" s="1"/>
  <c r="F178" i="5" a="1"/>
  <c r="F178" i="5" s="1"/>
  <c r="F179" i="5" a="1"/>
  <c r="F179" i="5" s="1"/>
  <c r="F180" i="5"/>
  <c r="F181" i="5" a="1"/>
  <c r="F181" i="5" s="1"/>
  <c r="F182" i="5" a="1"/>
  <c r="F182" i="5" s="1"/>
  <c r="F183" i="5" a="1"/>
  <c r="F183" i="5" s="1"/>
  <c r="F184" i="5"/>
  <c r="F185" i="5" a="1"/>
  <c r="F185" i="5" s="1"/>
  <c r="F186" i="5" a="1"/>
  <c r="F186" i="5" s="1"/>
  <c r="F187" i="5" a="1"/>
  <c r="F187" i="5" s="1"/>
  <c r="F188" i="5"/>
  <c r="F189" i="5" a="1"/>
  <c r="F189" i="5" s="1"/>
  <c r="F190" i="5" a="1"/>
  <c r="F190" i="5" s="1"/>
  <c r="F191" i="5" a="1"/>
  <c r="F191" i="5" s="1"/>
  <c r="F192" i="5"/>
  <c r="F193" i="5" a="1"/>
  <c r="F193" i="5" s="1"/>
  <c r="F194" i="5" a="1"/>
  <c r="F194" i="5" s="1"/>
  <c r="F195" i="5" a="1"/>
  <c r="F195" i="5" s="1"/>
  <c r="F196" i="5"/>
  <c r="F197" i="5" a="1"/>
  <c r="F197" i="5" s="1"/>
  <c r="F198" i="5" a="1"/>
  <c r="F198" i="5" s="1"/>
  <c r="F199" i="5" a="1"/>
  <c r="F199" i="5" s="1"/>
  <c r="F200" i="5"/>
  <c r="F201" i="5" a="1"/>
  <c r="F201" i="5" s="1"/>
  <c r="F202" i="5" a="1"/>
  <c r="F202" i="5" s="1"/>
  <c r="F203" i="5" a="1"/>
  <c r="F203" i="5" s="1"/>
  <c r="F204" i="5"/>
  <c r="F205" i="5" a="1"/>
  <c r="F205" i="5" s="1"/>
  <c r="F206" i="5" a="1"/>
  <c r="F206" i="5" s="1"/>
  <c r="F207" i="5" a="1"/>
  <c r="F207" i="5" s="1"/>
  <c r="F208" i="5"/>
  <c r="F209" i="5" a="1"/>
  <c r="F209" i="5" s="1"/>
  <c r="F210" i="5" a="1"/>
  <c r="F210" i="5" s="1"/>
  <c r="F211" i="5" a="1"/>
  <c r="F211" i="5" s="1"/>
  <c r="F212" i="5"/>
  <c r="F213" i="5" a="1"/>
  <c r="F213" i="5" s="1"/>
  <c r="F214" i="5" a="1"/>
  <c r="F214" i="5" s="1"/>
  <c r="F215" i="5" a="1"/>
  <c r="F215" i="5" s="1"/>
  <c r="F216" i="5"/>
  <c r="F217" i="5" a="1"/>
  <c r="F217" i="5" s="1"/>
  <c r="F218" i="5" a="1"/>
  <c r="F218" i="5" s="1"/>
  <c r="F219" i="5" a="1"/>
  <c r="F219" i="5" s="1"/>
  <c r="F220" i="5"/>
  <c r="F221" i="5" a="1"/>
  <c r="F221" i="5" s="1"/>
  <c r="F222" i="5" a="1"/>
  <c r="F222" i="5" s="1"/>
  <c r="F223" i="5" a="1"/>
  <c r="F223" i="5" s="1"/>
  <c r="F224" i="5"/>
  <c r="F225" i="5" a="1"/>
  <c r="F225" i="5" s="1"/>
  <c r="F226" i="5" a="1"/>
  <c r="F226" i="5" s="1"/>
  <c r="F227" i="5" a="1"/>
  <c r="F227" i="5" s="1"/>
  <c r="F228" i="5"/>
  <c r="F229" i="5" a="1"/>
  <c r="F229" i="5" s="1"/>
  <c r="F230" i="5" a="1"/>
  <c r="F230" i="5" s="1"/>
  <c r="F231" i="5" a="1"/>
  <c r="F231" i="5" s="1"/>
  <c r="F232" i="5"/>
  <c r="F233" i="5" a="1"/>
  <c r="F233" i="5" s="1"/>
  <c r="F234" i="5" a="1"/>
  <c r="F234" i="5" s="1"/>
  <c r="F235" i="5" a="1"/>
  <c r="F235" i="5" s="1"/>
  <c r="F236" i="5"/>
  <c r="F237" i="5" a="1"/>
  <c r="F237" i="5" s="1"/>
  <c r="F238" i="5" a="1"/>
  <c r="F238" i="5" s="1"/>
  <c r="F239" i="5" a="1"/>
  <c r="F239" i="5" s="1"/>
  <c r="F240" i="5"/>
  <c r="F241" i="5" a="1"/>
  <c r="F241" i="5" s="1"/>
  <c r="F242" i="5" a="1"/>
  <c r="F242" i="5" s="1"/>
  <c r="F243" i="5" a="1"/>
  <c r="F243" i="5" s="1"/>
  <c r="F244" i="5"/>
  <c r="F245" i="5" a="1"/>
  <c r="F245" i="5" s="1"/>
  <c r="F246" i="5" a="1"/>
  <c r="F246" i="5" s="1"/>
  <c r="F247" i="5" a="1"/>
  <c r="F247" i="5" s="1"/>
  <c r="F248" i="5"/>
  <c r="F249" i="5" a="1"/>
  <c r="F249" i="5" s="1"/>
  <c r="F250" i="5" a="1"/>
  <c r="F250" i="5" s="1"/>
  <c r="F251" i="5" a="1"/>
  <c r="F251" i="5" s="1"/>
  <c r="F252" i="5"/>
  <c r="F253" i="5" a="1"/>
  <c r="F253" i="5" s="1"/>
  <c r="F254" i="5" a="1"/>
  <c r="F254" i="5" s="1"/>
  <c r="F255" i="5" a="1"/>
  <c r="F255" i="5" s="1"/>
  <c r="F256" i="5"/>
  <c r="F257" i="5" a="1"/>
  <c r="F257" i="5" s="1"/>
  <c r="F258" i="5" a="1"/>
  <c r="F258" i="5" s="1"/>
  <c r="F259" i="5" a="1"/>
  <c r="F259" i="5" s="1"/>
  <c r="F260" i="5"/>
  <c r="F261" i="5" a="1"/>
  <c r="F261" i="5" s="1"/>
  <c r="F262" i="5" a="1"/>
  <c r="F262" i="5" s="1"/>
  <c r="F263" i="5" a="1"/>
  <c r="F263" i="5" s="1"/>
  <c r="F264" i="5"/>
  <c r="F265" i="5" a="1"/>
  <c r="F265" i="5" s="1"/>
  <c r="F266" i="5" a="1"/>
  <c r="F266" i="5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" i="5"/>
  <c r="F1" i="5" a="1"/>
  <c r="E4" i="2"/>
  <c r="U3" i="5" a="1"/>
  <c r="S8" i="5" a="1"/>
  <c r="F29" i="5" l="1" a="1"/>
  <c r="F29" i="5" s="1"/>
  <c r="F33" i="5" a="1"/>
  <c r="F33" i="5" s="1"/>
  <c r="F37" i="5" a="1"/>
  <c r="F37" i="5" s="1"/>
  <c r="F41" i="5" a="1"/>
  <c r="F41" i="5" s="1"/>
  <c r="F45" i="5" a="1"/>
  <c r="F45" i="5" s="1"/>
  <c r="F49" i="5" a="1"/>
  <c r="F49" i="5" s="1"/>
  <c r="F53" i="5" a="1"/>
  <c r="F53" i="5" s="1"/>
  <c r="F57" i="5" a="1"/>
  <c r="F57" i="5" s="1"/>
  <c r="F61" i="5" a="1"/>
  <c r="F61" i="5" s="1"/>
  <c r="F65" i="5" a="1"/>
  <c r="F65" i="5" s="1"/>
  <c r="F34" i="5" a="1"/>
  <c r="F34" i="5" s="1"/>
  <c r="F38" i="5" a="1"/>
  <c r="F38" i="5" s="1"/>
  <c r="F46" i="5" a="1"/>
  <c r="F46" i="5" s="1"/>
  <c r="F54" i="5" a="1"/>
  <c r="F54" i="5" s="1"/>
  <c r="F62" i="5" a="1"/>
  <c r="F62" i="5" s="1"/>
  <c r="F35" i="5" a="1"/>
  <c r="F35" i="5" s="1"/>
  <c r="F55" i="5" a="1"/>
  <c r="F55" i="5" s="1"/>
  <c r="F63" i="5" a="1"/>
  <c r="F63" i="5" s="1"/>
  <c r="S8" i="5"/>
  <c r="F28" i="5"/>
  <c r="F32" i="5"/>
  <c r="F36" i="5"/>
  <c r="F40" i="5"/>
  <c r="F44" i="5"/>
  <c r="F48" i="5"/>
  <c r="F52" i="5"/>
  <c r="F56" i="5"/>
  <c r="F60" i="5"/>
  <c r="F64" i="5"/>
  <c r="F30" i="5" a="1"/>
  <c r="F30" i="5" s="1"/>
  <c r="F42" i="5" a="1"/>
  <c r="F42" i="5" s="1"/>
  <c r="F50" i="5" a="1"/>
  <c r="F50" i="5" s="1"/>
  <c r="F58" i="5" a="1"/>
  <c r="F58" i="5" s="1"/>
  <c r="F66" i="5" a="1"/>
  <c r="F66" i="5" s="1"/>
  <c r="F31" i="5" a="1"/>
  <c r="F31" i="5" s="1"/>
  <c r="F39" i="5" a="1"/>
  <c r="F39" i="5" s="1"/>
  <c r="F43" i="5" a="1"/>
  <c r="F43" i="5" s="1"/>
  <c r="F47" i="5" a="1"/>
  <c r="F47" i="5" s="1"/>
  <c r="F51" i="5" a="1"/>
  <c r="F51" i="5" s="1"/>
  <c r="F59" i="5" a="1"/>
  <c r="F59" i="5" s="1"/>
  <c r="F67" i="5" a="1"/>
  <c r="F67" i="5" s="1"/>
  <c r="U3" i="5"/>
  <c r="F1" i="5"/>
  <c r="F12" i="5"/>
  <c r="F16" i="5"/>
  <c r="F21" i="5" a="1"/>
  <c r="F21" i="5" s="1"/>
  <c r="F25" i="5" a="1"/>
  <c r="F25" i="5" s="1"/>
  <c r="F27" i="5" a="1"/>
  <c r="F27" i="5" s="1"/>
  <c r="F13" i="5" a="1"/>
  <c r="F13" i="5" s="1"/>
  <c r="F17" i="5" a="1"/>
  <c r="F17" i="5" s="1"/>
  <c r="F19" i="5" a="1"/>
  <c r="F19" i="5" s="1"/>
  <c r="F22" i="5" a="1"/>
  <c r="F22" i="5" s="1"/>
  <c r="F9" i="5" a="1"/>
  <c r="F9" i="5" s="1"/>
  <c r="F14" i="5" a="1"/>
  <c r="F14" i="5" s="1"/>
  <c r="F23" i="5" a="1"/>
  <c r="F23" i="5" s="1"/>
  <c r="F26" i="5" a="1"/>
  <c r="F26" i="5" s="1"/>
  <c r="F10" i="5" a="1"/>
  <c r="F10" i="5" s="1"/>
  <c r="F15" i="5" a="1"/>
  <c r="F15" i="5" s="1"/>
  <c r="F18" i="5" a="1"/>
  <c r="F18" i="5" s="1"/>
  <c r="F20" i="5"/>
  <c r="F24" i="5"/>
  <c r="F11" i="5" a="1"/>
  <c r="F11" i="5" s="1"/>
  <c r="F8" i="5"/>
  <c r="C8" i="3" l="1"/>
  <c r="C9" i="3"/>
  <c r="C10" i="3"/>
  <c r="C11" i="3"/>
  <c r="C12" i="3"/>
  <c r="C13" i="3"/>
  <c r="C14" i="3"/>
  <c r="C15" i="3"/>
  <c r="C16" i="3"/>
  <c r="C7" i="3"/>
  <c r="C14" i="2"/>
  <c r="C718" i="4" l="1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E4" i="4" s="1"/>
  <c r="C6" i="4"/>
  <c r="A9" i="3"/>
  <c r="A10" i="3" s="1"/>
  <c r="A11" i="3" s="1"/>
  <c r="A12" i="3" s="1"/>
  <c r="A13" i="3" s="1"/>
  <c r="A14" i="3" s="1"/>
  <c r="C6" i="3"/>
  <c r="F4" i="3" s="1"/>
  <c r="A9" i="2" l="1"/>
  <c r="A10" i="2" s="1"/>
  <c r="A11" i="2" s="1"/>
  <c r="A12" i="2" s="1"/>
  <c r="A13" i="2" s="1"/>
  <c r="A1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<sst xmlns="http://schemas.openxmlformats.org/spreadsheetml/2006/main" count="280" uniqueCount="20">
  <si>
    <t>Data</t>
  </si>
  <si>
    <t>Máximo Drawdown:</t>
  </si>
  <si>
    <t>Preço</t>
  </si>
  <si>
    <t>Underwater</t>
  </si>
  <si>
    <t>MDD</t>
  </si>
  <si>
    <t>Date</t>
  </si>
  <si>
    <t>Retornos</t>
  </si>
  <si>
    <t>cota</t>
  </si>
  <si>
    <t>Fim</t>
  </si>
  <si>
    <t>DD</t>
  </si>
  <si>
    <t>ANÁLISE DRAWDOWNS</t>
  </si>
  <si>
    <t>Máximo Drawdown</t>
  </si>
  <si>
    <t>Número de Drawdowns Calcular</t>
  </si>
  <si>
    <t>Usar Cota ou Retorno</t>
  </si>
  <si>
    <t>Ínicio</t>
  </si>
  <si>
    <t>Recuperação Drawdown</t>
  </si>
  <si>
    <t>IBOVESPA</t>
  </si>
  <si>
    <t>Limite de Dias Utéis para Acontecer</t>
  </si>
  <si>
    <t>Início</t>
  </si>
  <si>
    <t>Drawdown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</si>
</sst>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[$-416]dd\-mmm\-yy;@"/>
    <numFmt numFmtId="166" formatCode="[$-416]d\-mmm\-yy;@"/>
    <numFmt numFmtId="167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505050"/>
      <name val="Verdana"/>
      <family val="2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26B0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43" fontId="0" fillId="0" borderId="0" xfId="1" applyFont="1"/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vertical="center"/>
    </xf>
    <xf numFmtId="4" fontId="0" fillId="0" borderId="0" xfId="0" applyNumberFormat="1"/>
    <xf numFmtId="9" fontId="0" fillId="0" borderId="0" xfId="2" applyNumberFormat="1" applyFont="1"/>
    <xf numFmtId="164" fontId="0" fillId="0" borderId="0" xfId="2" applyNumberFormat="1" applyFont="1" applyAlignment="1">
      <alignment horizontal="center"/>
    </xf>
    <xf numFmtId="0" fontId="2" fillId="0" borderId="0" xfId="3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10" fontId="4" fillId="0" borderId="3" xfId="2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5" fontId="0" fillId="0" borderId="0" xfId="0" applyNumberFormat="1"/>
    <xf numFmtId="43" fontId="0" fillId="0" borderId="0" xfId="1" applyFont="1" applyAlignment="1">
      <alignment horizontal="center"/>
    </xf>
    <xf numFmtId="165" fontId="0" fillId="2" borderId="1" xfId="0" applyNumberFormat="1" applyFill="1" applyBorder="1"/>
    <xf numFmtId="43" fontId="0" fillId="2" borderId="1" xfId="1" applyFon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165" fontId="0" fillId="0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2" applyFont="1"/>
    <xf numFmtId="14" fontId="0" fillId="0" borderId="0" xfId="0" applyNumberFormat="1"/>
    <xf numFmtId="10" fontId="0" fillId="0" borderId="0" xfId="2" applyNumberFormat="1" applyFont="1"/>
    <xf numFmtId="166" fontId="0" fillId="0" borderId="7" xfId="0" applyNumberFormat="1" applyBorder="1"/>
    <xf numFmtId="0" fontId="9" fillId="5" borderId="12" xfId="0" applyFont="1" applyFill="1" applyBorder="1"/>
    <xf numFmtId="1" fontId="10" fillId="6" borderId="15" xfId="0" applyNumberFormat="1" applyFont="1" applyFill="1" applyBorder="1" applyAlignment="1">
      <alignment horizontal="center" vertical="center"/>
    </xf>
    <xf numFmtId="0" fontId="9" fillId="5" borderId="13" xfId="0" applyFont="1" applyFill="1" applyBorder="1"/>
    <xf numFmtId="0" fontId="9" fillId="5" borderId="14" xfId="0" applyFont="1" applyFill="1" applyBorder="1"/>
    <xf numFmtId="167" fontId="0" fillId="3" borderId="2" xfId="1" applyNumberFormat="1" applyFont="1" applyFill="1" applyBorder="1" applyAlignment="1">
      <alignment horizontal="center" vertical="center"/>
    </xf>
    <xf numFmtId="167" fontId="0" fillId="0" borderId="0" xfId="1" applyNumberFormat="1" applyFont="1"/>
    <xf numFmtId="10" fontId="11" fillId="7" borderId="10" xfId="0" applyNumberFormat="1" applyFont="1" applyFill="1" applyBorder="1" applyAlignment="1">
      <alignment horizontal="center"/>
    </xf>
    <xf numFmtId="166" fontId="7" fillId="0" borderId="7" xfId="0" applyNumberFormat="1" applyFont="1" applyBorder="1"/>
    <xf numFmtId="10" fontId="4" fillId="6" borderId="3" xfId="2" applyNumberFormat="1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vertical="center"/>
    </xf>
    <xf numFmtId="0" fontId="11" fillId="7" borderId="9" xfId="0" applyFont="1" applyFill="1" applyBorder="1"/>
    <xf numFmtId="0" fontId="7" fillId="0" borderId="6" xfId="0" applyFont="1" applyBorder="1"/>
    <xf numFmtId="0" fontId="7" fillId="0" borderId="8" xfId="0" applyFont="1" applyBorder="1"/>
    <xf numFmtId="0" fontId="8" fillId="4" borderId="1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505050"/>
      <color rgb="FF005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ysClr val="windowText" lastClr="0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Preço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MDD!$B$4</c:f>
              <c:strCache>
                <c:ptCount val="1"/>
                <c:pt idx="0">
                  <c:v>Preço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MDD!$A$5:$A$16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MDD!$B$5:$B$16</c:f>
              <c:numCache>
                <c:formatCode>0</c:formatCode>
                <c:ptCount val="12"/>
                <c:pt idx="0">
                  <c:v>100</c:v>
                </c:pt>
                <c:pt idx="1">
                  <c:v>102</c:v>
                </c:pt>
                <c:pt idx="2">
                  <c:v>101</c:v>
                </c:pt>
                <c:pt idx="3">
                  <c:v>90</c:v>
                </c:pt>
                <c:pt idx="4">
                  <c:v>82</c:v>
                </c:pt>
                <c:pt idx="5">
                  <c:v>110</c:v>
                </c:pt>
                <c:pt idx="6">
                  <c:v>103</c:v>
                </c:pt>
                <c:pt idx="7">
                  <c:v>109</c:v>
                </c:pt>
                <c:pt idx="8">
                  <c:v>92</c:v>
                </c:pt>
                <c:pt idx="9">
                  <c:v>88</c:v>
                </c:pt>
                <c:pt idx="10">
                  <c:v>95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AE1-9F7E-2FF7E8881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70256"/>
        <c:axId val="371471040"/>
      </c:lineChart>
      <c:catAx>
        <c:axId val="3714702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50505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71040"/>
        <c:crossesAt val="100"/>
        <c:auto val="1"/>
        <c:lblAlgn val="ctr"/>
        <c:lblOffset val="100"/>
        <c:noMultiLvlLbl val="1"/>
      </c:catAx>
      <c:valAx>
        <c:axId val="371471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7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solidFill>
        <a:schemeClr val="tx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100" baseline="0">
              <a:solidFill>
                <a:srgbClr val="FFC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MDD_Detalhado!$B$1</c:f>
              <c:strCache>
                <c:ptCount val="1"/>
                <c:pt idx="0">
                  <c:v> IBOVESPA 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MDD_Detalhado!$A$2:$A$3574</c:f>
              <c:numCache>
                <c:formatCode>m/d/yyyy</c:formatCode>
                <c:ptCount val="3573"/>
                <c:pt idx="0">
                  <c:v>38719</c:v>
                </c:pt>
                <c:pt idx="1">
                  <c:v>38720</c:v>
                </c:pt>
                <c:pt idx="2">
                  <c:v>38721</c:v>
                </c:pt>
                <c:pt idx="3">
                  <c:v>38722</c:v>
                </c:pt>
                <c:pt idx="4">
                  <c:v>38723</c:v>
                </c:pt>
                <c:pt idx="5">
                  <c:v>38726</c:v>
                </c:pt>
                <c:pt idx="6">
                  <c:v>38727</c:v>
                </c:pt>
                <c:pt idx="7">
                  <c:v>38728</c:v>
                </c:pt>
                <c:pt idx="8">
                  <c:v>38729</c:v>
                </c:pt>
                <c:pt idx="9">
                  <c:v>38730</c:v>
                </c:pt>
                <c:pt idx="10">
                  <c:v>38733</c:v>
                </c:pt>
                <c:pt idx="11">
                  <c:v>38734</c:v>
                </c:pt>
                <c:pt idx="12">
                  <c:v>38735</c:v>
                </c:pt>
                <c:pt idx="13">
                  <c:v>38736</c:v>
                </c:pt>
                <c:pt idx="14">
                  <c:v>38737</c:v>
                </c:pt>
                <c:pt idx="15">
                  <c:v>38740</c:v>
                </c:pt>
                <c:pt idx="16">
                  <c:v>38741</c:v>
                </c:pt>
                <c:pt idx="17">
                  <c:v>38743</c:v>
                </c:pt>
                <c:pt idx="18">
                  <c:v>38744</c:v>
                </c:pt>
                <c:pt idx="19">
                  <c:v>38747</c:v>
                </c:pt>
                <c:pt idx="20">
                  <c:v>38748</c:v>
                </c:pt>
                <c:pt idx="21">
                  <c:v>38749</c:v>
                </c:pt>
                <c:pt idx="22">
                  <c:v>38750</c:v>
                </c:pt>
                <c:pt idx="23">
                  <c:v>38751</c:v>
                </c:pt>
                <c:pt idx="24">
                  <c:v>38754</c:v>
                </c:pt>
                <c:pt idx="25">
                  <c:v>38755</c:v>
                </c:pt>
                <c:pt idx="26">
                  <c:v>38756</c:v>
                </c:pt>
                <c:pt idx="27">
                  <c:v>38757</c:v>
                </c:pt>
                <c:pt idx="28">
                  <c:v>38758</c:v>
                </c:pt>
                <c:pt idx="29">
                  <c:v>38761</c:v>
                </c:pt>
                <c:pt idx="30">
                  <c:v>38762</c:v>
                </c:pt>
                <c:pt idx="31">
                  <c:v>38763</c:v>
                </c:pt>
                <c:pt idx="32">
                  <c:v>38764</c:v>
                </c:pt>
                <c:pt idx="33">
                  <c:v>38765</c:v>
                </c:pt>
                <c:pt idx="34">
                  <c:v>38768</c:v>
                </c:pt>
                <c:pt idx="35">
                  <c:v>38769</c:v>
                </c:pt>
                <c:pt idx="36">
                  <c:v>38770</c:v>
                </c:pt>
                <c:pt idx="37">
                  <c:v>38771</c:v>
                </c:pt>
                <c:pt idx="38">
                  <c:v>38772</c:v>
                </c:pt>
                <c:pt idx="39">
                  <c:v>38777</c:v>
                </c:pt>
                <c:pt idx="40">
                  <c:v>38778</c:v>
                </c:pt>
                <c:pt idx="41">
                  <c:v>38779</c:v>
                </c:pt>
                <c:pt idx="42">
                  <c:v>38782</c:v>
                </c:pt>
                <c:pt idx="43">
                  <c:v>38783</c:v>
                </c:pt>
                <c:pt idx="44">
                  <c:v>38784</c:v>
                </c:pt>
                <c:pt idx="45">
                  <c:v>38785</c:v>
                </c:pt>
                <c:pt idx="46">
                  <c:v>38786</c:v>
                </c:pt>
                <c:pt idx="47">
                  <c:v>38789</c:v>
                </c:pt>
                <c:pt idx="48">
                  <c:v>38790</c:v>
                </c:pt>
                <c:pt idx="49">
                  <c:v>38791</c:v>
                </c:pt>
                <c:pt idx="50">
                  <c:v>38792</c:v>
                </c:pt>
                <c:pt idx="51">
                  <c:v>38793</c:v>
                </c:pt>
                <c:pt idx="52">
                  <c:v>38796</c:v>
                </c:pt>
                <c:pt idx="53">
                  <c:v>38797</c:v>
                </c:pt>
                <c:pt idx="54">
                  <c:v>38798</c:v>
                </c:pt>
                <c:pt idx="55">
                  <c:v>38799</c:v>
                </c:pt>
                <c:pt idx="56">
                  <c:v>38800</c:v>
                </c:pt>
                <c:pt idx="57">
                  <c:v>38803</c:v>
                </c:pt>
                <c:pt idx="58">
                  <c:v>38804</c:v>
                </c:pt>
                <c:pt idx="59">
                  <c:v>38805</c:v>
                </c:pt>
                <c:pt idx="60">
                  <c:v>38806</c:v>
                </c:pt>
                <c:pt idx="61">
                  <c:v>38807</c:v>
                </c:pt>
                <c:pt idx="62">
                  <c:v>38810</c:v>
                </c:pt>
                <c:pt idx="63">
                  <c:v>38811</c:v>
                </c:pt>
                <c:pt idx="64">
                  <c:v>38812</c:v>
                </c:pt>
                <c:pt idx="65">
                  <c:v>38813</c:v>
                </c:pt>
                <c:pt idx="66">
                  <c:v>38814</c:v>
                </c:pt>
                <c:pt idx="67">
                  <c:v>38817</c:v>
                </c:pt>
                <c:pt idx="68">
                  <c:v>38818</c:v>
                </c:pt>
                <c:pt idx="69">
                  <c:v>38819</c:v>
                </c:pt>
                <c:pt idx="70">
                  <c:v>38820</c:v>
                </c:pt>
                <c:pt idx="71">
                  <c:v>38824</c:v>
                </c:pt>
                <c:pt idx="72">
                  <c:v>38825</c:v>
                </c:pt>
                <c:pt idx="73">
                  <c:v>38826</c:v>
                </c:pt>
                <c:pt idx="74">
                  <c:v>38827</c:v>
                </c:pt>
                <c:pt idx="75">
                  <c:v>38831</c:v>
                </c:pt>
                <c:pt idx="76">
                  <c:v>38832</c:v>
                </c:pt>
                <c:pt idx="77">
                  <c:v>38833</c:v>
                </c:pt>
                <c:pt idx="78">
                  <c:v>38834</c:v>
                </c:pt>
                <c:pt idx="79">
                  <c:v>38835</c:v>
                </c:pt>
                <c:pt idx="80">
                  <c:v>38839</c:v>
                </c:pt>
                <c:pt idx="81">
                  <c:v>38840</c:v>
                </c:pt>
                <c:pt idx="82">
                  <c:v>38841</c:v>
                </c:pt>
                <c:pt idx="83">
                  <c:v>38842</c:v>
                </c:pt>
                <c:pt idx="84">
                  <c:v>38845</c:v>
                </c:pt>
                <c:pt idx="85">
                  <c:v>38846</c:v>
                </c:pt>
                <c:pt idx="86">
                  <c:v>38847</c:v>
                </c:pt>
                <c:pt idx="87">
                  <c:v>38848</c:v>
                </c:pt>
                <c:pt idx="88">
                  <c:v>38849</c:v>
                </c:pt>
                <c:pt idx="89">
                  <c:v>38852</c:v>
                </c:pt>
                <c:pt idx="90">
                  <c:v>38853</c:v>
                </c:pt>
                <c:pt idx="91">
                  <c:v>38854</c:v>
                </c:pt>
                <c:pt idx="92">
                  <c:v>38855</c:v>
                </c:pt>
                <c:pt idx="93">
                  <c:v>38856</c:v>
                </c:pt>
                <c:pt idx="94">
                  <c:v>38859</c:v>
                </c:pt>
                <c:pt idx="95">
                  <c:v>38860</c:v>
                </c:pt>
                <c:pt idx="96">
                  <c:v>38861</c:v>
                </c:pt>
                <c:pt idx="97">
                  <c:v>38862</c:v>
                </c:pt>
                <c:pt idx="98">
                  <c:v>38863</c:v>
                </c:pt>
                <c:pt idx="99">
                  <c:v>38866</c:v>
                </c:pt>
                <c:pt idx="100">
                  <c:v>38867</c:v>
                </c:pt>
                <c:pt idx="101">
                  <c:v>38868</c:v>
                </c:pt>
                <c:pt idx="102">
                  <c:v>38869</c:v>
                </c:pt>
                <c:pt idx="103">
                  <c:v>38870</c:v>
                </c:pt>
                <c:pt idx="104">
                  <c:v>38873</c:v>
                </c:pt>
                <c:pt idx="105">
                  <c:v>38874</c:v>
                </c:pt>
                <c:pt idx="106">
                  <c:v>38875</c:v>
                </c:pt>
                <c:pt idx="107">
                  <c:v>38876</c:v>
                </c:pt>
                <c:pt idx="108">
                  <c:v>38877</c:v>
                </c:pt>
                <c:pt idx="109">
                  <c:v>38880</c:v>
                </c:pt>
                <c:pt idx="110">
                  <c:v>38881</c:v>
                </c:pt>
                <c:pt idx="111">
                  <c:v>38882</c:v>
                </c:pt>
                <c:pt idx="112">
                  <c:v>38884</c:v>
                </c:pt>
                <c:pt idx="113">
                  <c:v>38887</c:v>
                </c:pt>
                <c:pt idx="114">
                  <c:v>38888</c:v>
                </c:pt>
                <c:pt idx="115">
                  <c:v>38889</c:v>
                </c:pt>
                <c:pt idx="116">
                  <c:v>38890</c:v>
                </c:pt>
                <c:pt idx="117">
                  <c:v>38891</c:v>
                </c:pt>
                <c:pt idx="118">
                  <c:v>38894</c:v>
                </c:pt>
                <c:pt idx="119">
                  <c:v>38895</c:v>
                </c:pt>
                <c:pt idx="120">
                  <c:v>38896</c:v>
                </c:pt>
                <c:pt idx="121">
                  <c:v>38897</c:v>
                </c:pt>
                <c:pt idx="122">
                  <c:v>38898</c:v>
                </c:pt>
                <c:pt idx="123">
                  <c:v>38901</c:v>
                </c:pt>
                <c:pt idx="124">
                  <c:v>38902</c:v>
                </c:pt>
                <c:pt idx="125">
                  <c:v>38903</c:v>
                </c:pt>
                <c:pt idx="126">
                  <c:v>38904</c:v>
                </c:pt>
                <c:pt idx="127">
                  <c:v>38905</c:v>
                </c:pt>
                <c:pt idx="128">
                  <c:v>38908</c:v>
                </c:pt>
                <c:pt idx="129">
                  <c:v>38909</c:v>
                </c:pt>
                <c:pt idx="130">
                  <c:v>38910</c:v>
                </c:pt>
                <c:pt idx="131">
                  <c:v>38911</c:v>
                </c:pt>
                <c:pt idx="132">
                  <c:v>38912</c:v>
                </c:pt>
                <c:pt idx="133">
                  <c:v>38915</c:v>
                </c:pt>
                <c:pt idx="134">
                  <c:v>38916</c:v>
                </c:pt>
                <c:pt idx="135">
                  <c:v>38917</c:v>
                </c:pt>
                <c:pt idx="136">
                  <c:v>38918</c:v>
                </c:pt>
                <c:pt idx="137">
                  <c:v>38919</c:v>
                </c:pt>
                <c:pt idx="138">
                  <c:v>38922</c:v>
                </c:pt>
                <c:pt idx="139">
                  <c:v>38923</c:v>
                </c:pt>
                <c:pt idx="140">
                  <c:v>38924</c:v>
                </c:pt>
                <c:pt idx="141">
                  <c:v>38925</c:v>
                </c:pt>
                <c:pt idx="142">
                  <c:v>38926</c:v>
                </c:pt>
                <c:pt idx="143">
                  <c:v>38929</c:v>
                </c:pt>
                <c:pt idx="144">
                  <c:v>38930</c:v>
                </c:pt>
                <c:pt idx="145">
                  <c:v>38931</c:v>
                </c:pt>
                <c:pt idx="146">
                  <c:v>38932</c:v>
                </c:pt>
                <c:pt idx="147">
                  <c:v>38933</c:v>
                </c:pt>
                <c:pt idx="148">
                  <c:v>38936</c:v>
                </c:pt>
                <c:pt idx="149">
                  <c:v>38937</c:v>
                </c:pt>
                <c:pt idx="150">
                  <c:v>38938</c:v>
                </c:pt>
                <c:pt idx="151">
                  <c:v>38939</c:v>
                </c:pt>
                <c:pt idx="152">
                  <c:v>38940</c:v>
                </c:pt>
                <c:pt idx="153">
                  <c:v>38943</c:v>
                </c:pt>
                <c:pt idx="154">
                  <c:v>38944</c:v>
                </c:pt>
                <c:pt idx="155">
                  <c:v>38945</c:v>
                </c:pt>
                <c:pt idx="156">
                  <c:v>38946</c:v>
                </c:pt>
                <c:pt idx="157">
                  <c:v>38947</c:v>
                </c:pt>
                <c:pt idx="158">
                  <c:v>38950</c:v>
                </c:pt>
                <c:pt idx="159">
                  <c:v>38951</c:v>
                </c:pt>
                <c:pt idx="160">
                  <c:v>38952</c:v>
                </c:pt>
                <c:pt idx="161">
                  <c:v>38953</c:v>
                </c:pt>
                <c:pt idx="162">
                  <c:v>38954</c:v>
                </c:pt>
                <c:pt idx="163">
                  <c:v>38957</c:v>
                </c:pt>
                <c:pt idx="164">
                  <c:v>38958</c:v>
                </c:pt>
                <c:pt idx="165">
                  <c:v>38959</c:v>
                </c:pt>
                <c:pt idx="166">
                  <c:v>38960</c:v>
                </c:pt>
                <c:pt idx="167">
                  <c:v>38961</c:v>
                </c:pt>
                <c:pt idx="168">
                  <c:v>38964</c:v>
                </c:pt>
                <c:pt idx="169">
                  <c:v>38965</c:v>
                </c:pt>
                <c:pt idx="170">
                  <c:v>38966</c:v>
                </c:pt>
                <c:pt idx="171">
                  <c:v>38968</c:v>
                </c:pt>
                <c:pt idx="172">
                  <c:v>38971</c:v>
                </c:pt>
                <c:pt idx="173">
                  <c:v>38972</c:v>
                </c:pt>
                <c:pt idx="174">
                  <c:v>38973</c:v>
                </c:pt>
                <c:pt idx="175">
                  <c:v>38974</c:v>
                </c:pt>
                <c:pt idx="176">
                  <c:v>38975</c:v>
                </c:pt>
                <c:pt idx="177">
                  <c:v>38978</c:v>
                </c:pt>
                <c:pt idx="178">
                  <c:v>38979</c:v>
                </c:pt>
                <c:pt idx="179">
                  <c:v>38980</c:v>
                </c:pt>
                <c:pt idx="180">
                  <c:v>38981</c:v>
                </c:pt>
                <c:pt idx="181">
                  <c:v>38982</c:v>
                </c:pt>
                <c:pt idx="182">
                  <c:v>38985</c:v>
                </c:pt>
                <c:pt idx="183">
                  <c:v>38986</c:v>
                </c:pt>
                <c:pt idx="184">
                  <c:v>38987</c:v>
                </c:pt>
                <c:pt idx="185">
                  <c:v>38988</c:v>
                </c:pt>
                <c:pt idx="186">
                  <c:v>38989</c:v>
                </c:pt>
                <c:pt idx="187">
                  <c:v>38992</c:v>
                </c:pt>
                <c:pt idx="188">
                  <c:v>38993</c:v>
                </c:pt>
                <c:pt idx="189">
                  <c:v>38994</c:v>
                </c:pt>
                <c:pt idx="190">
                  <c:v>38995</c:v>
                </c:pt>
                <c:pt idx="191">
                  <c:v>38996</c:v>
                </c:pt>
                <c:pt idx="192">
                  <c:v>38999</c:v>
                </c:pt>
                <c:pt idx="193">
                  <c:v>39000</c:v>
                </c:pt>
                <c:pt idx="194">
                  <c:v>39001</c:v>
                </c:pt>
                <c:pt idx="195">
                  <c:v>39003</c:v>
                </c:pt>
                <c:pt idx="196">
                  <c:v>39006</c:v>
                </c:pt>
                <c:pt idx="197">
                  <c:v>39007</c:v>
                </c:pt>
                <c:pt idx="198">
                  <c:v>39008</c:v>
                </c:pt>
                <c:pt idx="199">
                  <c:v>39009</c:v>
                </c:pt>
                <c:pt idx="200">
                  <c:v>39010</c:v>
                </c:pt>
                <c:pt idx="201">
                  <c:v>39013</c:v>
                </c:pt>
                <c:pt idx="202">
                  <c:v>39014</c:v>
                </c:pt>
                <c:pt idx="203">
                  <c:v>39015</c:v>
                </c:pt>
                <c:pt idx="204">
                  <c:v>39016</c:v>
                </c:pt>
                <c:pt idx="205">
                  <c:v>39017</c:v>
                </c:pt>
                <c:pt idx="206">
                  <c:v>39020</c:v>
                </c:pt>
                <c:pt idx="207">
                  <c:v>39021</c:v>
                </c:pt>
                <c:pt idx="208">
                  <c:v>39022</c:v>
                </c:pt>
                <c:pt idx="209">
                  <c:v>39024</c:v>
                </c:pt>
                <c:pt idx="210">
                  <c:v>39027</c:v>
                </c:pt>
                <c:pt idx="211">
                  <c:v>39028</c:v>
                </c:pt>
                <c:pt idx="212">
                  <c:v>39029</c:v>
                </c:pt>
                <c:pt idx="213">
                  <c:v>39030</c:v>
                </c:pt>
                <c:pt idx="214">
                  <c:v>39031</c:v>
                </c:pt>
                <c:pt idx="215">
                  <c:v>39034</c:v>
                </c:pt>
                <c:pt idx="216">
                  <c:v>39035</c:v>
                </c:pt>
                <c:pt idx="217">
                  <c:v>39037</c:v>
                </c:pt>
                <c:pt idx="218">
                  <c:v>39038</c:v>
                </c:pt>
                <c:pt idx="219">
                  <c:v>39042</c:v>
                </c:pt>
                <c:pt idx="220">
                  <c:v>39043</c:v>
                </c:pt>
                <c:pt idx="221">
                  <c:v>39044</c:v>
                </c:pt>
                <c:pt idx="222">
                  <c:v>39045</c:v>
                </c:pt>
                <c:pt idx="223">
                  <c:v>39048</c:v>
                </c:pt>
                <c:pt idx="224">
                  <c:v>39049</c:v>
                </c:pt>
                <c:pt idx="225">
                  <c:v>39050</c:v>
                </c:pt>
                <c:pt idx="226">
                  <c:v>39051</c:v>
                </c:pt>
                <c:pt idx="227">
                  <c:v>39052</c:v>
                </c:pt>
                <c:pt idx="228">
                  <c:v>39055</c:v>
                </c:pt>
                <c:pt idx="229">
                  <c:v>39056</c:v>
                </c:pt>
                <c:pt idx="230">
                  <c:v>39057</c:v>
                </c:pt>
                <c:pt idx="231">
                  <c:v>39058</c:v>
                </c:pt>
                <c:pt idx="232">
                  <c:v>39059</c:v>
                </c:pt>
                <c:pt idx="233">
                  <c:v>39062</c:v>
                </c:pt>
                <c:pt idx="234">
                  <c:v>39063</c:v>
                </c:pt>
                <c:pt idx="235">
                  <c:v>39064</c:v>
                </c:pt>
                <c:pt idx="236">
                  <c:v>39065</c:v>
                </c:pt>
                <c:pt idx="237">
                  <c:v>39066</c:v>
                </c:pt>
                <c:pt idx="238">
                  <c:v>39069</c:v>
                </c:pt>
                <c:pt idx="239">
                  <c:v>39070</c:v>
                </c:pt>
                <c:pt idx="240">
                  <c:v>39071</c:v>
                </c:pt>
                <c:pt idx="241">
                  <c:v>39072</c:v>
                </c:pt>
                <c:pt idx="242">
                  <c:v>39073</c:v>
                </c:pt>
                <c:pt idx="243">
                  <c:v>39077</c:v>
                </c:pt>
                <c:pt idx="244">
                  <c:v>39078</c:v>
                </c:pt>
                <c:pt idx="245">
                  <c:v>39079</c:v>
                </c:pt>
                <c:pt idx="246">
                  <c:v>39084</c:v>
                </c:pt>
                <c:pt idx="247">
                  <c:v>39085</c:v>
                </c:pt>
                <c:pt idx="248">
                  <c:v>39086</c:v>
                </c:pt>
                <c:pt idx="249">
                  <c:v>39087</c:v>
                </c:pt>
                <c:pt idx="250">
                  <c:v>39090</c:v>
                </c:pt>
                <c:pt idx="251">
                  <c:v>39091</c:v>
                </c:pt>
                <c:pt idx="252">
                  <c:v>39092</c:v>
                </c:pt>
                <c:pt idx="253">
                  <c:v>39093</c:v>
                </c:pt>
                <c:pt idx="254">
                  <c:v>39094</c:v>
                </c:pt>
                <c:pt idx="255">
                  <c:v>39097</c:v>
                </c:pt>
                <c:pt idx="256">
                  <c:v>39098</c:v>
                </c:pt>
                <c:pt idx="257">
                  <c:v>39099</c:v>
                </c:pt>
                <c:pt idx="258">
                  <c:v>39100</c:v>
                </c:pt>
                <c:pt idx="259">
                  <c:v>39101</c:v>
                </c:pt>
                <c:pt idx="260">
                  <c:v>39104</c:v>
                </c:pt>
                <c:pt idx="261">
                  <c:v>39105</c:v>
                </c:pt>
                <c:pt idx="262">
                  <c:v>39106</c:v>
                </c:pt>
                <c:pt idx="263">
                  <c:v>39108</c:v>
                </c:pt>
                <c:pt idx="264">
                  <c:v>39111</c:v>
                </c:pt>
                <c:pt idx="265">
                  <c:v>39112</c:v>
                </c:pt>
                <c:pt idx="266">
                  <c:v>39113</c:v>
                </c:pt>
                <c:pt idx="267">
                  <c:v>39114</c:v>
                </c:pt>
                <c:pt idx="268">
                  <c:v>39115</c:v>
                </c:pt>
                <c:pt idx="269">
                  <c:v>39118</c:v>
                </c:pt>
                <c:pt idx="270">
                  <c:v>39119</c:v>
                </c:pt>
                <c:pt idx="271">
                  <c:v>39120</c:v>
                </c:pt>
                <c:pt idx="272">
                  <c:v>39121</c:v>
                </c:pt>
                <c:pt idx="273">
                  <c:v>39122</c:v>
                </c:pt>
                <c:pt idx="274">
                  <c:v>39125</c:v>
                </c:pt>
                <c:pt idx="275">
                  <c:v>39126</c:v>
                </c:pt>
                <c:pt idx="276">
                  <c:v>39127</c:v>
                </c:pt>
                <c:pt idx="277">
                  <c:v>39128</c:v>
                </c:pt>
                <c:pt idx="278">
                  <c:v>39129</c:v>
                </c:pt>
                <c:pt idx="279">
                  <c:v>39134</c:v>
                </c:pt>
                <c:pt idx="280">
                  <c:v>39135</c:v>
                </c:pt>
                <c:pt idx="281">
                  <c:v>39136</c:v>
                </c:pt>
                <c:pt idx="282">
                  <c:v>39139</c:v>
                </c:pt>
                <c:pt idx="283">
                  <c:v>39140</c:v>
                </c:pt>
                <c:pt idx="284">
                  <c:v>39141</c:v>
                </c:pt>
                <c:pt idx="285">
                  <c:v>39142</c:v>
                </c:pt>
                <c:pt idx="286">
                  <c:v>39143</c:v>
                </c:pt>
                <c:pt idx="287">
                  <c:v>39146</c:v>
                </c:pt>
                <c:pt idx="288">
                  <c:v>39147</c:v>
                </c:pt>
                <c:pt idx="289">
                  <c:v>39148</c:v>
                </c:pt>
                <c:pt idx="290">
                  <c:v>39149</c:v>
                </c:pt>
                <c:pt idx="291">
                  <c:v>39150</c:v>
                </c:pt>
                <c:pt idx="292">
                  <c:v>39153</c:v>
                </c:pt>
                <c:pt idx="293">
                  <c:v>39154</c:v>
                </c:pt>
                <c:pt idx="294">
                  <c:v>39155</c:v>
                </c:pt>
                <c:pt idx="295">
                  <c:v>39156</c:v>
                </c:pt>
                <c:pt idx="296">
                  <c:v>39157</c:v>
                </c:pt>
                <c:pt idx="297">
                  <c:v>39160</c:v>
                </c:pt>
                <c:pt idx="298">
                  <c:v>39161</c:v>
                </c:pt>
                <c:pt idx="299">
                  <c:v>39162</c:v>
                </c:pt>
                <c:pt idx="300">
                  <c:v>39163</c:v>
                </c:pt>
                <c:pt idx="301">
                  <c:v>39164</c:v>
                </c:pt>
                <c:pt idx="302">
                  <c:v>39167</c:v>
                </c:pt>
                <c:pt idx="303">
                  <c:v>39168</c:v>
                </c:pt>
                <c:pt idx="304">
                  <c:v>39169</c:v>
                </c:pt>
                <c:pt idx="305">
                  <c:v>39170</c:v>
                </c:pt>
                <c:pt idx="306">
                  <c:v>39171</c:v>
                </c:pt>
                <c:pt idx="307">
                  <c:v>39174</c:v>
                </c:pt>
                <c:pt idx="308">
                  <c:v>39175</c:v>
                </c:pt>
                <c:pt idx="309">
                  <c:v>39176</c:v>
                </c:pt>
                <c:pt idx="310">
                  <c:v>39177</c:v>
                </c:pt>
                <c:pt idx="311">
                  <c:v>39181</c:v>
                </c:pt>
                <c:pt idx="312">
                  <c:v>39182</c:v>
                </c:pt>
                <c:pt idx="313">
                  <c:v>39183</c:v>
                </c:pt>
                <c:pt idx="314">
                  <c:v>39184</c:v>
                </c:pt>
                <c:pt idx="315">
                  <c:v>39185</c:v>
                </c:pt>
                <c:pt idx="316">
                  <c:v>39188</c:v>
                </c:pt>
                <c:pt idx="317">
                  <c:v>39189</c:v>
                </c:pt>
                <c:pt idx="318">
                  <c:v>39190</c:v>
                </c:pt>
                <c:pt idx="319">
                  <c:v>39191</c:v>
                </c:pt>
                <c:pt idx="320">
                  <c:v>39192</c:v>
                </c:pt>
                <c:pt idx="321">
                  <c:v>39195</c:v>
                </c:pt>
                <c:pt idx="322">
                  <c:v>39196</c:v>
                </c:pt>
                <c:pt idx="323">
                  <c:v>39197</c:v>
                </c:pt>
                <c:pt idx="324">
                  <c:v>39198</c:v>
                </c:pt>
                <c:pt idx="325">
                  <c:v>39199</c:v>
                </c:pt>
                <c:pt idx="326">
                  <c:v>39202</c:v>
                </c:pt>
                <c:pt idx="327">
                  <c:v>39204</c:v>
                </c:pt>
                <c:pt idx="328">
                  <c:v>39205</c:v>
                </c:pt>
                <c:pt idx="329">
                  <c:v>39206</c:v>
                </c:pt>
                <c:pt idx="330">
                  <c:v>39209</c:v>
                </c:pt>
                <c:pt idx="331">
                  <c:v>39210</c:v>
                </c:pt>
                <c:pt idx="332">
                  <c:v>39211</c:v>
                </c:pt>
                <c:pt idx="333">
                  <c:v>39212</c:v>
                </c:pt>
                <c:pt idx="334">
                  <c:v>39213</c:v>
                </c:pt>
                <c:pt idx="335">
                  <c:v>39216</c:v>
                </c:pt>
                <c:pt idx="336">
                  <c:v>39217</c:v>
                </c:pt>
                <c:pt idx="337">
                  <c:v>39218</c:v>
                </c:pt>
                <c:pt idx="338">
                  <c:v>39219</c:v>
                </c:pt>
                <c:pt idx="339">
                  <c:v>39220</c:v>
                </c:pt>
                <c:pt idx="340">
                  <c:v>39223</c:v>
                </c:pt>
                <c:pt idx="341">
                  <c:v>39224</c:v>
                </c:pt>
                <c:pt idx="342">
                  <c:v>39225</c:v>
                </c:pt>
                <c:pt idx="343">
                  <c:v>39226</c:v>
                </c:pt>
                <c:pt idx="344">
                  <c:v>39227</c:v>
                </c:pt>
                <c:pt idx="345">
                  <c:v>39230</c:v>
                </c:pt>
                <c:pt idx="346">
                  <c:v>39231</c:v>
                </c:pt>
                <c:pt idx="347">
                  <c:v>39232</c:v>
                </c:pt>
                <c:pt idx="348">
                  <c:v>39233</c:v>
                </c:pt>
                <c:pt idx="349">
                  <c:v>39234</c:v>
                </c:pt>
                <c:pt idx="350">
                  <c:v>39237</c:v>
                </c:pt>
                <c:pt idx="351">
                  <c:v>39238</c:v>
                </c:pt>
                <c:pt idx="352">
                  <c:v>39239</c:v>
                </c:pt>
                <c:pt idx="353">
                  <c:v>39241</c:v>
                </c:pt>
                <c:pt idx="354">
                  <c:v>39244</c:v>
                </c:pt>
                <c:pt idx="355">
                  <c:v>39245</c:v>
                </c:pt>
                <c:pt idx="356">
                  <c:v>39246</c:v>
                </c:pt>
                <c:pt idx="357">
                  <c:v>39247</c:v>
                </c:pt>
                <c:pt idx="358">
                  <c:v>39248</c:v>
                </c:pt>
                <c:pt idx="359">
                  <c:v>39251</c:v>
                </c:pt>
                <c:pt idx="360">
                  <c:v>39252</c:v>
                </c:pt>
                <c:pt idx="361">
                  <c:v>39253</c:v>
                </c:pt>
                <c:pt idx="362">
                  <c:v>39254</c:v>
                </c:pt>
                <c:pt idx="363">
                  <c:v>39255</c:v>
                </c:pt>
                <c:pt idx="364">
                  <c:v>39258</c:v>
                </c:pt>
                <c:pt idx="365">
                  <c:v>39259</c:v>
                </c:pt>
                <c:pt idx="366">
                  <c:v>39260</c:v>
                </c:pt>
                <c:pt idx="367">
                  <c:v>39261</c:v>
                </c:pt>
                <c:pt idx="368">
                  <c:v>39262</c:v>
                </c:pt>
                <c:pt idx="369">
                  <c:v>39265</c:v>
                </c:pt>
                <c:pt idx="370">
                  <c:v>39266</c:v>
                </c:pt>
                <c:pt idx="371">
                  <c:v>39267</c:v>
                </c:pt>
                <c:pt idx="372">
                  <c:v>39268</c:v>
                </c:pt>
                <c:pt idx="373">
                  <c:v>39269</c:v>
                </c:pt>
                <c:pt idx="374">
                  <c:v>39273</c:v>
                </c:pt>
                <c:pt idx="375">
                  <c:v>39274</c:v>
                </c:pt>
                <c:pt idx="376">
                  <c:v>39275</c:v>
                </c:pt>
                <c:pt idx="377">
                  <c:v>39276</c:v>
                </c:pt>
                <c:pt idx="378">
                  <c:v>39279</c:v>
                </c:pt>
                <c:pt idx="379">
                  <c:v>39280</c:v>
                </c:pt>
                <c:pt idx="380">
                  <c:v>39281</c:v>
                </c:pt>
                <c:pt idx="381">
                  <c:v>39282</c:v>
                </c:pt>
                <c:pt idx="382">
                  <c:v>39283</c:v>
                </c:pt>
                <c:pt idx="383">
                  <c:v>39286</c:v>
                </c:pt>
                <c:pt idx="384">
                  <c:v>39287</c:v>
                </c:pt>
                <c:pt idx="385">
                  <c:v>39288</c:v>
                </c:pt>
                <c:pt idx="386">
                  <c:v>39289</c:v>
                </c:pt>
                <c:pt idx="387">
                  <c:v>39290</c:v>
                </c:pt>
                <c:pt idx="388">
                  <c:v>39293</c:v>
                </c:pt>
                <c:pt idx="389">
                  <c:v>39294</c:v>
                </c:pt>
                <c:pt idx="390">
                  <c:v>39295</c:v>
                </c:pt>
                <c:pt idx="391">
                  <c:v>39296</c:v>
                </c:pt>
                <c:pt idx="392">
                  <c:v>39297</c:v>
                </c:pt>
                <c:pt idx="393">
                  <c:v>39300</c:v>
                </c:pt>
                <c:pt idx="394">
                  <c:v>39301</c:v>
                </c:pt>
                <c:pt idx="395">
                  <c:v>39302</c:v>
                </c:pt>
                <c:pt idx="396">
                  <c:v>39303</c:v>
                </c:pt>
                <c:pt idx="397">
                  <c:v>39304</c:v>
                </c:pt>
                <c:pt idx="398">
                  <c:v>39307</c:v>
                </c:pt>
                <c:pt idx="399">
                  <c:v>39308</c:v>
                </c:pt>
                <c:pt idx="400">
                  <c:v>39309</c:v>
                </c:pt>
                <c:pt idx="401">
                  <c:v>39310</c:v>
                </c:pt>
                <c:pt idx="402">
                  <c:v>39311</c:v>
                </c:pt>
                <c:pt idx="403">
                  <c:v>39314</c:v>
                </c:pt>
                <c:pt idx="404">
                  <c:v>39315</c:v>
                </c:pt>
                <c:pt idx="405">
                  <c:v>39316</c:v>
                </c:pt>
                <c:pt idx="406">
                  <c:v>39317</c:v>
                </c:pt>
                <c:pt idx="407">
                  <c:v>39318</c:v>
                </c:pt>
                <c:pt idx="408">
                  <c:v>39321</c:v>
                </c:pt>
                <c:pt idx="409">
                  <c:v>39322</c:v>
                </c:pt>
                <c:pt idx="410">
                  <c:v>39323</c:v>
                </c:pt>
                <c:pt idx="411">
                  <c:v>39324</c:v>
                </c:pt>
                <c:pt idx="412">
                  <c:v>39325</c:v>
                </c:pt>
                <c:pt idx="413">
                  <c:v>39328</c:v>
                </c:pt>
                <c:pt idx="414">
                  <c:v>39329</c:v>
                </c:pt>
                <c:pt idx="415">
                  <c:v>39330</c:v>
                </c:pt>
                <c:pt idx="416">
                  <c:v>39331</c:v>
                </c:pt>
                <c:pt idx="417">
                  <c:v>39335</c:v>
                </c:pt>
                <c:pt idx="418">
                  <c:v>39336</c:v>
                </c:pt>
                <c:pt idx="419">
                  <c:v>39337</c:v>
                </c:pt>
                <c:pt idx="420">
                  <c:v>39338</c:v>
                </c:pt>
                <c:pt idx="421">
                  <c:v>39339</c:v>
                </c:pt>
                <c:pt idx="422">
                  <c:v>39342</c:v>
                </c:pt>
                <c:pt idx="423">
                  <c:v>39343</c:v>
                </c:pt>
                <c:pt idx="424">
                  <c:v>39344</c:v>
                </c:pt>
                <c:pt idx="425">
                  <c:v>39345</c:v>
                </c:pt>
                <c:pt idx="426">
                  <c:v>39346</c:v>
                </c:pt>
                <c:pt idx="427">
                  <c:v>39349</c:v>
                </c:pt>
                <c:pt idx="428">
                  <c:v>39350</c:v>
                </c:pt>
                <c:pt idx="429">
                  <c:v>39351</c:v>
                </c:pt>
                <c:pt idx="430">
                  <c:v>39352</c:v>
                </c:pt>
                <c:pt idx="431">
                  <c:v>39353</c:v>
                </c:pt>
                <c:pt idx="432">
                  <c:v>39356</c:v>
                </c:pt>
                <c:pt idx="433">
                  <c:v>39357</c:v>
                </c:pt>
                <c:pt idx="434">
                  <c:v>39358</c:v>
                </c:pt>
                <c:pt idx="435">
                  <c:v>39359</c:v>
                </c:pt>
                <c:pt idx="436">
                  <c:v>39360</c:v>
                </c:pt>
                <c:pt idx="437">
                  <c:v>39363</c:v>
                </c:pt>
                <c:pt idx="438">
                  <c:v>39364</c:v>
                </c:pt>
                <c:pt idx="439">
                  <c:v>39365</c:v>
                </c:pt>
                <c:pt idx="440">
                  <c:v>39366</c:v>
                </c:pt>
                <c:pt idx="441">
                  <c:v>39370</c:v>
                </c:pt>
                <c:pt idx="442">
                  <c:v>39371</c:v>
                </c:pt>
                <c:pt idx="443">
                  <c:v>39372</c:v>
                </c:pt>
                <c:pt idx="444">
                  <c:v>39373</c:v>
                </c:pt>
                <c:pt idx="445">
                  <c:v>39374</c:v>
                </c:pt>
                <c:pt idx="446">
                  <c:v>39377</c:v>
                </c:pt>
                <c:pt idx="447">
                  <c:v>39378</c:v>
                </c:pt>
                <c:pt idx="448">
                  <c:v>39379</c:v>
                </c:pt>
                <c:pt idx="449">
                  <c:v>39380</c:v>
                </c:pt>
                <c:pt idx="450">
                  <c:v>39381</c:v>
                </c:pt>
                <c:pt idx="451">
                  <c:v>39384</c:v>
                </c:pt>
                <c:pt idx="452">
                  <c:v>39385</c:v>
                </c:pt>
                <c:pt idx="453">
                  <c:v>39386</c:v>
                </c:pt>
                <c:pt idx="454">
                  <c:v>39387</c:v>
                </c:pt>
                <c:pt idx="455">
                  <c:v>39391</c:v>
                </c:pt>
                <c:pt idx="456">
                  <c:v>39392</c:v>
                </c:pt>
                <c:pt idx="457">
                  <c:v>39393</c:v>
                </c:pt>
                <c:pt idx="458">
                  <c:v>39394</c:v>
                </c:pt>
                <c:pt idx="459">
                  <c:v>39395</c:v>
                </c:pt>
                <c:pt idx="460">
                  <c:v>39398</c:v>
                </c:pt>
                <c:pt idx="461">
                  <c:v>39399</c:v>
                </c:pt>
                <c:pt idx="462">
                  <c:v>39400</c:v>
                </c:pt>
                <c:pt idx="463">
                  <c:v>39402</c:v>
                </c:pt>
                <c:pt idx="464">
                  <c:v>39405</c:v>
                </c:pt>
                <c:pt idx="465">
                  <c:v>39407</c:v>
                </c:pt>
                <c:pt idx="466">
                  <c:v>39408</c:v>
                </c:pt>
                <c:pt idx="467">
                  <c:v>39409</c:v>
                </c:pt>
                <c:pt idx="468">
                  <c:v>39412</c:v>
                </c:pt>
                <c:pt idx="469">
                  <c:v>39413</c:v>
                </c:pt>
                <c:pt idx="470">
                  <c:v>39414</c:v>
                </c:pt>
                <c:pt idx="471">
                  <c:v>39415</c:v>
                </c:pt>
                <c:pt idx="472">
                  <c:v>39416</c:v>
                </c:pt>
                <c:pt idx="473">
                  <c:v>39419</c:v>
                </c:pt>
                <c:pt idx="474">
                  <c:v>39420</c:v>
                </c:pt>
                <c:pt idx="475">
                  <c:v>39421</c:v>
                </c:pt>
                <c:pt idx="476">
                  <c:v>39422</c:v>
                </c:pt>
                <c:pt idx="477">
                  <c:v>39423</c:v>
                </c:pt>
                <c:pt idx="478">
                  <c:v>39426</c:v>
                </c:pt>
                <c:pt idx="479">
                  <c:v>39427</c:v>
                </c:pt>
                <c:pt idx="480">
                  <c:v>39428</c:v>
                </c:pt>
                <c:pt idx="481">
                  <c:v>39429</c:v>
                </c:pt>
                <c:pt idx="482">
                  <c:v>39430</c:v>
                </c:pt>
                <c:pt idx="483">
                  <c:v>39433</c:v>
                </c:pt>
                <c:pt idx="484">
                  <c:v>39434</c:v>
                </c:pt>
                <c:pt idx="485">
                  <c:v>39435</c:v>
                </c:pt>
                <c:pt idx="486">
                  <c:v>39436</c:v>
                </c:pt>
                <c:pt idx="487">
                  <c:v>39437</c:v>
                </c:pt>
                <c:pt idx="488">
                  <c:v>39442</c:v>
                </c:pt>
                <c:pt idx="489">
                  <c:v>39443</c:v>
                </c:pt>
                <c:pt idx="490">
                  <c:v>39444</c:v>
                </c:pt>
                <c:pt idx="491">
                  <c:v>39449</c:v>
                </c:pt>
                <c:pt idx="492">
                  <c:v>39450</c:v>
                </c:pt>
                <c:pt idx="493">
                  <c:v>39451</c:v>
                </c:pt>
                <c:pt idx="494">
                  <c:v>39454</c:v>
                </c:pt>
                <c:pt idx="495">
                  <c:v>39455</c:v>
                </c:pt>
                <c:pt idx="496">
                  <c:v>39456</c:v>
                </c:pt>
                <c:pt idx="497">
                  <c:v>39457</c:v>
                </c:pt>
                <c:pt idx="498">
                  <c:v>39458</c:v>
                </c:pt>
                <c:pt idx="499">
                  <c:v>39461</c:v>
                </c:pt>
                <c:pt idx="500">
                  <c:v>39462</c:v>
                </c:pt>
                <c:pt idx="501">
                  <c:v>39463</c:v>
                </c:pt>
                <c:pt idx="502">
                  <c:v>39464</c:v>
                </c:pt>
                <c:pt idx="503">
                  <c:v>39465</c:v>
                </c:pt>
                <c:pt idx="504">
                  <c:v>39468</c:v>
                </c:pt>
                <c:pt idx="505">
                  <c:v>39469</c:v>
                </c:pt>
                <c:pt idx="506">
                  <c:v>39470</c:v>
                </c:pt>
                <c:pt idx="507">
                  <c:v>39471</c:v>
                </c:pt>
                <c:pt idx="508">
                  <c:v>39475</c:v>
                </c:pt>
                <c:pt idx="509">
                  <c:v>39476</c:v>
                </c:pt>
                <c:pt idx="510">
                  <c:v>39477</c:v>
                </c:pt>
                <c:pt idx="511">
                  <c:v>39478</c:v>
                </c:pt>
                <c:pt idx="512">
                  <c:v>39479</c:v>
                </c:pt>
                <c:pt idx="513">
                  <c:v>39484</c:v>
                </c:pt>
                <c:pt idx="514">
                  <c:v>39485</c:v>
                </c:pt>
                <c:pt idx="515">
                  <c:v>39486</c:v>
                </c:pt>
                <c:pt idx="516">
                  <c:v>39489</c:v>
                </c:pt>
                <c:pt idx="517">
                  <c:v>39490</c:v>
                </c:pt>
                <c:pt idx="518">
                  <c:v>39491</c:v>
                </c:pt>
                <c:pt idx="519">
                  <c:v>39492</c:v>
                </c:pt>
                <c:pt idx="520">
                  <c:v>39493</c:v>
                </c:pt>
                <c:pt idx="521">
                  <c:v>39496</c:v>
                </c:pt>
                <c:pt idx="522">
                  <c:v>39497</c:v>
                </c:pt>
                <c:pt idx="523">
                  <c:v>39498</c:v>
                </c:pt>
                <c:pt idx="524">
                  <c:v>39499</c:v>
                </c:pt>
                <c:pt idx="525">
                  <c:v>39500</c:v>
                </c:pt>
                <c:pt idx="526">
                  <c:v>39503</c:v>
                </c:pt>
                <c:pt idx="527">
                  <c:v>39504</c:v>
                </c:pt>
                <c:pt idx="528">
                  <c:v>39505</c:v>
                </c:pt>
                <c:pt idx="529">
                  <c:v>39506</c:v>
                </c:pt>
                <c:pt idx="530">
                  <c:v>39507</c:v>
                </c:pt>
                <c:pt idx="531">
                  <c:v>39510</c:v>
                </c:pt>
                <c:pt idx="532">
                  <c:v>39511</c:v>
                </c:pt>
                <c:pt idx="533">
                  <c:v>39512</c:v>
                </c:pt>
                <c:pt idx="534">
                  <c:v>39513</c:v>
                </c:pt>
                <c:pt idx="535">
                  <c:v>39514</c:v>
                </c:pt>
                <c:pt idx="536">
                  <c:v>39517</c:v>
                </c:pt>
                <c:pt idx="537">
                  <c:v>39518</c:v>
                </c:pt>
                <c:pt idx="538">
                  <c:v>39519</c:v>
                </c:pt>
                <c:pt idx="539">
                  <c:v>39520</c:v>
                </c:pt>
                <c:pt idx="540">
                  <c:v>39521</c:v>
                </c:pt>
                <c:pt idx="541">
                  <c:v>39524</c:v>
                </c:pt>
                <c:pt idx="542">
                  <c:v>39525</c:v>
                </c:pt>
                <c:pt idx="543">
                  <c:v>39526</c:v>
                </c:pt>
                <c:pt idx="544">
                  <c:v>39527</c:v>
                </c:pt>
                <c:pt idx="545">
                  <c:v>39531</c:v>
                </c:pt>
                <c:pt idx="546">
                  <c:v>39532</c:v>
                </c:pt>
                <c:pt idx="547">
                  <c:v>39533</c:v>
                </c:pt>
                <c:pt idx="548">
                  <c:v>39534</c:v>
                </c:pt>
                <c:pt idx="549">
                  <c:v>39535</c:v>
                </c:pt>
                <c:pt idx="550">
                  <c:v>39538</c:v>
                </c:pt>
                <c:pt idx="551">
                  <c:v>39539</c:v>
                </c:pt>
                <c:pt idx="552">
                  <c:v>39540</c:v>
                </c:pt>
                <c:pt idx="553">
                  <c:v>39541</c:v>
                </c:pt>
                <c:pt idx="554">
                  <c:v>39542</c:v>
                </c:pt>
                <c:pt idx="555">
                  <c:v>39545</c:v>
                </c:pt>
                <c:pt idx="556">
                  <c:v>39546</c:v>
                </c:pt>
                <c:pt idx="557">
                  <c:v>39547</c:v>
                </c:pt>
                <c:pt idx="558">
                  <c:v>39548</c:v>
                </c:pt>
                <c:pt idx="559">
                  <c:v>39549</c:v>
                </c:pt>
                <c:pt idx="560">
                  <c:v>39552</c:v>
                </c:pt>
                <c:pt idx="561">
                  <c:v>39553</c:v>
                </c:pt>
                <c:pt idx="562">
                  <c:v>39554</c:v>
                </c:pt>
                <c:pt idx="563">
                  <c:v>39555</c:v>
                </c:pt>
                <c:pt idx="564">
                  <c:v>39556</c:v>
                </c:pt>
                <c:pt idx="565">
                  <c:v>39560</c:v>
                </c:pt>
                <c:pt idx="566">
                  <c:v>39561</c:v>
                </c:pt>
                <c:pt idx="567">
                  <c:v>39562</c:v>
                </c:pt>
                <c:pt idx="568">
                  <c:v>39563</c:v>
                </c:pt>
                <c:pt idx="569">
                  <c:v>39566</c:v>
                </c:pt>
                <c:pt idx="570">
                  <c:v>39567</c:v>
                </c:pt>
                <c:pt idx="571">
                  <c:v>39568</c:v>
                </c:pt>
                <c:pt idx="572">
                  <c:v>39570</c:v>
                </c:pt>
                <c:pt idx="573">
                  <c:v>39573</c:v>
                </c:pt>
                <c:pt idx="574">
                  <c:v>39574</c:v>
                </c:pt>
                <c:pt idx="575">
                  <c:v>39575</c:v>
                </c:pt>
                <c:pt idx="576">
                  <c:v>39576</c:v>
                </c:pt>
                <c:pt idx="577">
                  <c:v>39577</c:v>
                </c:pt>
                <c:pt idx="578">
                  <c:v>39580</c:v>
                </c:pt>
                <c:pt idx="579">
                  <c:v>39581</c:v>
                </c:pt>
                <c:pt idx="580">
                  <c:v>39582</c:v>
                </c:pt>
                <c:pt idx="581">
                  <c:v>39583</c:v>
                </c:pt>
                <c:pt idx="582">
                  <c:v>39584</c:v>
                </c:pt>
                <c:pt idx="583">
                  <c:v>39587</c:v>
                </c:pt>
                <c:pt idx="584">
                  <c:v>39588</c:v>
                </c:pt>
                <c:pt idx="585">
                  <c:v>39589</c:v>
                </c:pt>
                <c:pt idx="586">
                  <c:v>39591</c:v>
                </c:pt>
                <c:pt idx="587">
                  <c:v>39594</c:v>
                </c:pt>
                <c:pt idx="588">
                  <c:v>39595</c:v>
                </c:pt>
                <c:pt idx="589">
                  <c:v>39596</c:v>
                </c:pt>
                <c:pt idx="590">
                  <c:v>39597</c:v>
                </c:pt>
                <c:pt idx="591">
                  <c:v>39598</c:v>
                </c:pt>
                <c:pt idx="592">
                  <c:v>39601</c:v>
                </c:pt>
                <c:pt idx="593">
                  <c:v>39602</c:v>
                </c:pt>
                <c:pt idx="594">
                  <c:v>39603</c:v>
                </c:pt>
                <c:pt idx="595">
                  <c:v>39604</c:v>
                </c:pt>
                <c:pt idx="596">
                  <c:v>39605</c:v>
                </c:pt>
                <c:pt idx="597">
                  <c:v>39608</c:v>
                </c:pt>
                <c:pt idx="598">
                  <c:v>39609</c:v>
                </c:pt>
                <c:pt idx="599">
                  <c:v>39610</c:v>
                </c:pt>
                <c:pt idx="600">
                  <c:v>39611</c:v>
                </c:pt>
                <c:pt idx="601">
                  <c:v>39612</c:v>
                </c:pt>
                <c:pt idx="602">
                  <c:v>39615</c:v>
                </c:pt>
                <c:pt idx="603">
                  <c:v>39616</c:v>
                </c:pt>
                <c:pt idx="604">
                  <c:v>39617</c:v>
                </c:pt>
                <c:pt idx="605">
                  <c:v>39618</c:v>
                </c:pt>
                <c:pt idx="606">
                  <c:v>39619</c:v>
                </c:pt>
                <c:pt idx="607">
                  <c:v>39622</c:v>
                </c:pt>
                <c:pt idx="608">
                  <c:v>39623</c:v>
                </c:pt>
                <c:pt idx="609">
                  <c:v>39624</c:v>
                </c:pt>
                <c:pt idx="610">
                  <c:v>39625</c:v>
                </c:pt>
                <c:pt idx="611">
                  <c:v>39626</c:v>
                </c:pt>
                <c:pt idx="612">
                  <c:v>39629</c:v>
                </c:pt>
                <c:pt idx="613">
                  <c:v>39630</c:v>
                </c:pt>
                <c:pt idx="614">
                  <c:v>39631</c:v>
                </c:pt>
                <c:pt idx="615">
                  <c:v>39632</c:v>
                </c:pt>
                <c:pt idx="616">
                  <c:v>39633</c:v>
                </c:pt>
                <c:pt idx="617">
                  <c:v>39636</c:v>
                </c:pt>
                <c:pt idx="618">
                  <c:v>39637</c:v>
                </c:pt>
                <c:pt idx="619">
                  <c:v>39639</c:v>
                </c:pt>
                <c:pt idx="620">
                  <c:v>39640</c:v>
                </c:pt>
                <c:pt idx="621">
                  <c:v>39643</c:v>
                </c:pt>
                <c:pt idx="622">
                  <c:v>39644</c:v>
                </c:pt>
                <c:pt idx="623">
                  <c:v>39645</c:v>
                </c:pt>
                <c:pt idx="624">
                  <c:v>39646</c:v>
                </c:pt>
                <c:pt idx="625">
                  <c:v>39647</c:v>
                </c:pt>
                <c:pt idx="626">
                  <c:v>39650</c:v>
                </c:pt>
                <c:pt idx="627">
                  <c:v>39651</c:v>
                </c:pt>
                <c:pt idx="628">
                  <c:v>39652</c:v>
                </c:pt>
                <c:pt idx="629">
                  <c:v>39653</c:v>
                </c:pt>
                <c:pt idx="630">
                  <c:v>39654</c:v>
                </c:pt>
                <c:pt idx="631">
                  <c:v>39657</c:v>
                </c:pt>
                <c:pt idx="632">
                  <c:v>39658</c:v>
                </c:pt>
                <c:pt idx="633">
                  <c:v>39659</c:v>
                </c:pt>
                <c:pt idx="634">
                  <c:v>39660</c:v>
                </c:pt>
                <c:pt idx="635">
                  <c:v>39661</c:v>
                </c:pt>
                <c:pt idx="636">
                  <c:v>39664</c:v>
                </c:pt>
                <c:pt idx="637">
                  <c:v>39665</c:v>
                </c:pt>
                <c:pt idx="638">
                  <c:v>39666</c:v>
                </c:pt>
                <c:pt idx="639">
                  <c:v>39667</c:v>
                </c:pt>
                <c:pt idx="640">
                  <c:v>39668</c:v>
                </c:pt>
                <c:pt idx="641">
                  <c:v>39671</c:v>
                </c:pt>
                <c:pt idx="642">
                  <c:v>39672</c:v>
                </c:pt>
                <c:pt idx="643">
                  <c:v>39673</c:v>
                </c:pt>
                <c:pt idx="644">
                  <c:v>39674</c:v>
                </c:pt>
                <c:pt idx="645">
                  <c:v>39675</c:v>
                </c:pt>
                <c:pt idx="646">
                  <c:v>39678</c:v>
                </c:pt>
                <c:pt idx="647">
                  <c:v>39679</c:v>
                </c:pt>
                <c:pt idx="648">
                  <c:v>39680</c:v>
                </c:pt>
                <c:pt idx="649">
                  <c:v>39681</c:v>
                </c:pt>
                <c:pt idx="650">
                  <c:v>39682</c:v>
                </c:pt>
                <c:pt idx="651">
                  <c:v>39685</c:v>
                </c:pt>
                <c:pt idx="652">
                  <c:v>39686</c:v>
                </c:pt>
                <c:pt idx="653">
                  <c:v>39687</c:v>
                </c:pt>
                <c:pt idx="654">
                  <c:v>39688</c:v>
                </c:pt>
                <c:pt idx="655">
                  <c:v>39689</c:v>
                </c:pt>
                <c:pt idx="656">
                  <c:v>39692</c:v>
                </c:pt>
                <c:pt idx="657">
                  <c:v>39693</c:v>
                </c:pt>
                <c:pt idx="658">
                  <c:v>39694</c:v>
                </c:pt>
                <c:pt idx="659">
                  <c:v>39695</c:v>
                </c:pt>
                <c:pt idx="660">
                  <c:v>39696</c:v>
                </c:pt>
                <c:pt idx="661">
                  <c:v>39699</c:v>
                </c:pt>
                <c:pt idx="662">
                  <c:v>39700</c:v>
                </c:pt>
                <c:pt idx="663">
                  <c:v>39701</c:v>
                </c:pt>
                <c:pt idx="664">
                  <c:v>39702</c:v>
                </c:pt>
                <c:pt idx="665">
                  <c:v>39703</c:v>
                </c:pt>
                <c:pt idx="666">
                  <c:v>39706</c:v>
                </c:pt>
                <c:pt idx="667">
                  <c:v>39707</c:v>
                </c:pt>
                <c:pt idx="668">
                  <c:v>39708</c:v>
                </c:pt>
                <c:pt idx="669">
                  <c:v>39709</c:v>
                </c:pt>
                <c:pt idx="670">
                  <c:v>39710</c:v>
                </c:pt>
                <c:pt idx="671">
                  <c:v>39713</c:v>
                </c:pt>
                <c:pt idx="672">
                  <c:v>39714</c:v>
                </c:pt>
                <c:pt idx="673">
                  <c:v>39715</c:v>
                </c:pt>
                <c:pt idx="674">
                  <c:v>39716</c:v>
                </c:pt>
                <c:pt idx="675">
                  <c:v>39717</c:v>
                </c:pt>
                <c:pt idx="676">
                  <c:v>39720</c:v>
                </c:pt>
                <c:pt idx="677">
                  <c:v>39721</c:v>
                </c:pt>
                <c:pt idx="678">
                  <c:v>39722</c:v>
                </c:pt>
                <c:pt idx="679">
                  <c:v>39723</c:v>
                </c:pt>
                <c:pt idx="680">
                  <c:v>39724</c:v>
                </c:pt>
                <c:pt idx="681">
                  <c:v>39727</c:v>
                </c:pt>
                <c:pt idx="682">
                  <c:v>39728</c:v>
                </c:pt>
                <c:pt idx="683">
                  <c:v>39729</c:v>
                </c:pt>
                <c:pt idx="684">
                  <c:v>39730</c:v>
                </c:pt>
                <c:pt idx="685">
                  <c:v>39731</c:v>
                </c:pt>
                <c:pt idx="686">
                  <c:v>39734</c:v>
                </c:pt>
                <c:pt idx="687">
                  <c:v>39735</c:v>
                </c:pt>
                <c:pt idx="688">
                  <c:v>39736</c:v>
                </c:pt>
                <c:pt idx="689">
                  <c:v>39737</c:v>
                </c:pt>
                <c:pt idx="690">
                  <c:v>39738</c:v>
                </c:pt>
                <c:pt idx="691">
                  <c:v>39741</c:v>
                </c:pt>
                <c:pt idx="692">
                  <c:v>39742</c:v>
                </c:pt>
                <c:pt idx="693">
                  <c:v>39743</c:v>
                </c:pt>
                <c:pt idx="694">
                  <c:v>39744</c:v>
                </c:pt>
                <c:pt idx="695">
                  <c:v>39745</c:v>
                </c:pt>
                <c:pt idx="696">
                  <c:v>39748</c:v>
                </c:pt>
                <c:pt idx="697">
                  <c:v>39749</c:v>
                </c:pt>
                <c:pt idx="698">
                  <c:v>39750</c:v>
                </c:pt>
                <c:pt idx="699">
                  <c:v>39751</c:v>
                </c:pt>
                <c:pt idx="700">
                  <c:v>39752</c:v>
                </c:pt>
                <c:pt idx="701">
                  <c:v>39755</c:v>
                </c:pt>
                <c:pt idx="702">
                  <c:v>39756</c:v>
                </c:pt>
                <c:pt idx="703">
                  <c:v>39757</c:v>
                </c:pt>
                <c:pt idx="704">
                  <c:v>39758</c:v>
                </c:pt>
                <c:pt idx="705">
                  <c:v>39759</c:v>
                </c:pt>
                <c:pt idx="706">
                  <c:v>39762</c:v>
                </c:pt>
                <c:pt idx="707">
                  <c:v>39763</c:v>
                </c:pt>
                <c:pt idx="708">
                  <c:v>39764</c:v>
                </c:pt>
                <c:pt idx="709">
                  <c:v>39765</c:v>
                </c:pt>
                <c:pt idx="710">
                  <c:v>39766</c:v>
                </c:pt>
                <c:pt idx="711">
                  <c:v>39769</c:v>
                </c:pt>
                <c:pt idx="712">
                  <c:v>39770</c:v>
                </c:pt>
                <c:pt idx="713">
                  <c:v>39771</c:v>
                </c:pt>
                <c:pt idx="714">
                  <c:v>39773</c:v>
                </c:pt>
                <c:pt idx="715">
                  <c:v>39776</c:v>
                </c:pt>
                <c:pt idx="716">
                  <c:v>39777</c:v>
                </c:pt>
                <c:pt idx="717">
                  <c:v>39778</c:v>
                </c:pt>
                <c:pt idx="718">
                  <c:v>39779</c:v>
                </c:pt>
                <c:pt idx="719">
                  <c:v>39780</c:v>
                </c:pt>
                <c:pt idx="720">
                  <c:v>39783</c:v>
                </c:pt>
                <c:pt idx="721">
                  <c:v>39784</c:v>
                </c:pt>
                <c:pt idx="722">
                  <c:v>39785</c:v>
                </c:pt>
                <c:pt idx="723">
                  <c:v>39786</c:v>
                </c:pt>
                <c:pt idx="724">
                  <c:v>39787</c:v>
                </c:pt>
                <c:pt idx="725">
                  <c:v>39790</c:v>
                </c:pt>
                <c:pt idx="726">
                  <c:v>39791</c:v>
                </c:pt>
                <c:pt idx="727">
                  <c:v>39792</c:v>
                </c:pt>
                <c:pt idx="728">
                  <c:v>39793</c:v>
                </c:pt>
                <c:pt idx="729">
                  <c:v>39794</c:v>
                </c:pt>
                <c:pt idx="730">
                  <c:v>39797</c:v>
                </c:pt>
                <c:pt idx="731">
                  <c:v>39798</c:v>
                </c:pt>
                <c:pt idx="732">
                  <c:v>39799</c:v>
                </c:pt>
                <c:pt idx="733">
                  <c:v>39800</c:v>
                </c:pt>
                <c:pt idx="734">
                  <c:v>39801</c:v>
                </c:pt>
                <c:pt idx="735">
                  <c:v>39804</c:v>
                </c:pt>
                <c:pt idx="736">
                  <c:v>39805</c:v>
                </c:pt>
                <c:pt idx="737">
                  <c:v>39808</c:v>
                </c:pt>
                <c:pt idx="738">
                  <c:v>39811</c:v>
                </c:pt>
                <c:pt idx="739">
                  <c:v>39812</c:v>
                </c:pt>
                <c:pt idx="740">
                  <c:v>39815</c:v>
                </c:pt>
                <c:pt idx="741">
                  <c:v>39818</c:v>
                </c:pt>
                <c:pt idx="742">
                  <c:v>39819</c:v>
                </c:pt>
                <c:pt idx="743">
                  <c:v>39820</c:v>
                </c:pt>
                <c:pt idx="744">
                  <c:v>39821</c:v>
                </c:pt>
                <c:pt idx="745">
                  <c:v>39822</c:v>
                </c:pt>
                <c:pt idx="746">
                  <c:v>39825</c:v>
                </c:pt>
                <c:pt idx="747">
                  <c:v>39826</c:v>
                </c:pt>
                <c:pt idx="748">
                  <c:v>39827</c:v>
                </c:pt>
                <c:pt idx="749">
                  <c:v>39828</c:v>
                </c:pt>
                <c:pt idx="750">
                  <c:v>39829</c:v>
                </c:pt>
                <c:pt idx="751">
                  <c:v>39832</c:v>
                </c:pt>
                <c:pt idx="752">
                  <c:v>39833</c:v>
                </c:pt>
                <c:pt idx="753">
                  <c:v>39834</c:v>
                </c:pt>
                <c:pt idx="754">
                  <c:v>39835</c:v>
                </c:pt>
                <c:pt idx="755">
                  <c:v>39836</c:v>
                </c:pt>
                <c:pt idx="756">
                  <c:v>39839</c:v>
                </c:pt>
                <c:pt idx="757">
                  <c:v>39840</c:v>
                </c:pt>
                <c:pt idx="758">
                  <c:v>39841</c:v>
                </c:pt>
                <c:pt idx="759">
                  <c:v>39842</c:v>
                </c:pt>
                <c:pt idx="760">
                  <c:v>39843</c:v>
                </c:pt>
                <c:pt idx="761">
                  <c:v>39846</c:v>
                </c:pt>
                <c:pt idx="762">
                  <c:v>39847</c:v>
                </c:pt>
                <c:pt idx="763">
                  <c:v>39848</c:v>
                </c:pt>
                <c:pt idx="764">
                  <c:v>39849</c:v>
                </c:pt>
                <c:pt idx="765">
                  <c:v>39850</c:v>
                </c:pt>
                <c:pt idx="766">
                  <c:v>39853</c:v>
                </c:pt>
                <c:pt idx="767">
                  <c:v>39854</c:v>
                </c:pt>
                <c:pt idx="768">
                  <c:v>39855</c:v>
                </c:pt>
                <c:pt idx="769">
                  <c:v>39856</c:v>
                </c:pt>
                <c:pt idx="770">
                  <c:v>39857</c:v>
                </c:pt>
                <c:pt idx="771">
                  <c:v>39860</c:v>
                </c:pt>
                <c:pt idx="772">
                  <c:v>39861</c:v>
                </c:pt>
                <c:pt idx="773">
                  <c:v>39862</c:v>
                </c:pt>
                <c:pt idx="774">
                  <c:v>39863</c:v>
                </c:pt>
                <c:pt idx="775">
                  <c:v>39864</c:v>
                </c:pt>
                <c:pt idx="776">
                  <c:v>39869</c:v>
                </c:pt>
                <c:pt idx="777">
                  <c:v>39870</c:v>
                </c:pt>
                <c:pt idx="778">
                  <c:v>39871</c:v>
                </c:pt>
                <c:pt idx="779">
                  <c:v>39874</c:v>
                </c:pt>
                <c:pt idx="780">
                  <c:v>39875</c:v>
                </c:pt>
                <c:pt idx="781">
                  <c:v>39876</c:v>
                </c:pt>
                <c:pt idx="782">
                  <c:v>39877</c:v>
                </c:pt>
                <c:pt idx="783">
                  <c:v>39878</c:v>
                </c:pt>
                <c:pt idx="784">
                  <c:v>39881</c:v>
                </c:pt>
                <c:pt idx="785">
                  <c:v>39882</c:v>
                </c:pt>
                <c:pt idx="786">
                  <c:v>39883</c:v>
                </c:pt>
                <c:pt idx="787">
                  <c:v>39884</c:v>
                </c:pt>
                <c:pt idx="788">
                  <c:v>39885</c:v>
                </c:pt>
                <c:pt idx="789">
                  <c:v>39888</c:v>
                </c:pt>
                <c:pt idx="790">
                  <c:v>39889</c:v>
                </c:pt>
                <c:pt idx="791">
                  <c:v>39890</c:v>
                </c:pt>
                <c:pt idx="792">
                  <c:v>39891</c:v>
                </c:pt>
                <c:pt idx="793">
                  <c:v>39892</c:v>
                </c:pt>
                <c:pt idx="794">
                  <c:v>39895</c:v>
                </c:pt>
                <c:pt idx="795">
                  <c:v>39896</c:v>
                </c:pt>
                <c:pt idx="796">
                  <c:v>39897</c:v>
                </c:pt>
                <c:pt idx="797">
                  <c:v>39898</c:v>
                </c:pt>
                <c:pt idx="798">
                  <c:v>39899</c:v>
                </c:pt>
                <c:pt idx="799">
                  <c:v>39902</c:v>
                </c:pt>
                <c:pt idx="800">
                  <c:v>39903</c:v>
                </c:pt>
                <c:pt idx="801">
                  <c:v>39904</c:v>
                </c:pt>
                <c:pt idx="802">
                  <c:v>39905</c:v>
                </c:pt>
                <c:pt idx="803">
                  <c:v>39906</c:v>
                </c:pt>
                <c:pt idx="804">
                  <c:v>39909</c:v>
                </c:pt>
                <c:pt idx="805">
                  <c:v>39910</c:v>
                </c:pt>
                <c:pt idx="806">
                  <c:v>39911</c:v>
                </c:pt>
                <c:pt idx="807">
                  <c:v>39912</c:v>
                </c:pt>
                <c:pt idx="808">
                  <c:v>39916</c:v>
                </c:pt>
                <c:pt idx="809">
                  <c:v>39917</c:v>
                </c:pt>
                <c:pt idx="810">
                  <c:v>39918</c:v>
                </c:pt>
                <c:pt idx="811">
                  <c:v>39919</c:v>
                </c:pt>
                <c:pt idx="812">
                  <c:v>39920</c:v>
                </c:pt>
                <c:pt idx="813">
                  <c:v>39923</c:v>
                </c:pt>
                <c:pt idx="814">
                  <c:v>39925</c:v>
                </c:pt>
                <c:pt idx="815">
                  <c:v>39926</c:v>
                </c:pt>
                <c:pt idx="816">
                  <c:v>39927</c:v>
                </c:pt>
                <c:pt idx="817">
                  <c:v>39930</c:v>
                </c:pt>
                <c:pt idx="818">
                  <c:v>39931</c:v>
                </c:pt>
                <c:pt idx="819">
                  <c:v>39932</c:v>
                </c:pt>
                <c:pt idx="820">
                  <c:v>39933</c:v>
                </c:pt>
                <c:pt idx="821">
                  <c:v>39937</c:v>
                </c:pt>
                <c:pt idx="822">
                  <c:v>39938</c:v>
                </c:pt>
                <c:pt idx="823">
                  <c:v>39939</c:v>
                </c:pt>
                <c:pt idx="824">
                  <c:v>39940</c:v>
                </c:pt>
                <c:pt idx="825">
                  <c:v>39941</c:v>
                </c:pt>
                <c:pt idx="826">
                  <c:v>39944</c:v>
                </c:pt>
                <c:pt idx="827">
                  <c:v>39945</c:v>
                </c:pt>
                <c:pt idx="828">
                  <c:v>39946</c:v>
                </c:pt>
                <c:pt idx="829">
                  <c:v>39947</c:v>
                </c:pt>
                <c:pt idx="830">
                  <c:v>39948</c:v>
                </c:pt>
                <c:pt idx="831">
                  <c:v>39951</c:v>
                </c:pt>
                <c:pt idx="832">
                  <c:v>39952</c:v>
                </c:pt>
                <c:pt idx="833">
                  <c:v>39953</c:v>
                </c:pt>
                <c:pt idx="834">
                  <c:v>39954</c:v>
                </c:pt>
                <c:pt idx="835">
                  <c:v>39955</c:v>
                </c:pt>
                <c:pt idx="836">
                  <c:v>39958</c:v>
                </c:pt>
                <c:pt idx="837">
                  <c:v>39959</c:v>
                </c:pt>
                <c:pt idx="838">
                  <c:v>39960</c:v>
                </c:pt>
                <c:pt idx="839">
                  <c:v>39961</c:v>
                </c:pt>
                <c:pt idx="840">
                  <c:v>39962</c:v>
                </c:pt>
                <c:pt idx="841">
                  <c:v>39965</c:v>
                </c:pt>
                <c:pt idx="842">
                  <c:v>39966</c:v>
                </c:pt>
                <c:pt idx="843">
                  <c:v>39967</c:v>
                </c:pt>
                <c:pt idx="844">
                  <c:v>39968</c:v>
                </c:pt>
                <c:pt idx="845">
                  <c:v>39969</c:v>
                </c:pt>
                <c:pt idx="846">
                  <c:v>39972</c:v>
                </c:pt>
                <c:pt idx="847">
                  <c:v>39973</c:v>
                </c:pt>
                <c:pt idx="848">
                  <c:v>39974</c:v>
                </c:pt>
                <c:pt idx="849">
                  <c:v>39976</c:v>
                </c:pt>
                <c:pt idx="850">
                  <c:v>39979</c:v>
                </c:pt>
                <c:pt idx="851">
                  <c:v>39980</c:v>
                </c:pt>
                <c:pt idx="852">
                  <c:v>39981</c:v>
                </c:pt>
                <c:pt idx="853">
                  <c:v>39982</c:v>
                </c:pt>
                <c:pt idx="854">
                  <c:v>39983</c:v>
                </c:pt>
                <c:pt idx="855">
                  <c:v>39986</c:v>
                </c:pt>
                <c:pt idx="856">
                  <c:v>39987</c:v>
                </c:pt>
                <c:pt idx="857">
                  <c:v>39988</c:v>
                </c:pt>
                <c:pt idx="858">
                  <c:v>39989</c:v>
                </c:pt>
                <c:pt idx="859">
                  <c:v>39990</c:v>
                </c:pt>
                <c:pt idx="860">
                  <c:v>39993</c:v>
                </c:pt>
                <c:pt idx="861">
                  <c:v>39994</c:v>
                </c:pt>
                <c:pt idx="862">
                  <c:v>39995</c:v>
                </c:pt>
                <c:pt idx="863">
                  <c:v>39996</c:v>
                </c:pt>
                <c:pt idx="864">
                  <c:v>39997</c:v>
                </c:pt>
                <c:pt idx="865">
                  <c:v>40000</c:v>
                </c:pt>
                <c:pt idx="866">
                  <c:v>40001</c:v>
                </c:pt>
                <c:pt idx="867">
                  <c:v>40002</c:v>
                </c:pt>
                <c:pt idx="868">
                  <c:v>40004</c:v>
                </c:pt>
                <c:pt idx="869">
                  <c:v>40007</c:v>
                </c:pt>
                <c:pt idx="870">
                  <c:v>40008</c:v>
                </c:pt>
                <c:pt idx="871">
                  <c:v>40009</c:v>
                </c:pt>
                <c:pt idx="872">
                  <c:v>40010</c:v>
                </c:pt>
                <c:pt idx="873">
                  <c:v>40011</c:v>
                </c:pt>
                <c:pt idx="874">
                  <c:v>40014</c:v>
                </c:pt>
                <c:pt idx="875">
                  <c:v>40015</c:v>
                </c:pt>
                <c:pt idx="876">
                  <c:v>40016</c:v>
                </c:pt>
                <c:pt idx="877">
                  <c:v>40017</c:v>
                </c:pt>
                <c:pt idx="878">
                  <c:v>40018</c:v>
                </c:pt>
                <c:pt idx="879">
                  <c:v>40021</c:v>
                </c:pt>
                <c:pt idx="880">
                  <c:v>40022</c:v>
                </c:pt>
                <c:pt idx="881">
                  <c:v>40023</c:v>
                </c:pt>
                <c:pt idx="882">
                  <c:v>40024</c:v>
                </c:pt>
                <c:pt idx="883">
                  <c:v>40025</c:v>
                </c:pt>
                <c:pt idx="884">
                  <c:v>40028</c:v>
                </c:pt>
                <c:pt idx="885">
                  <c:v>40029</c:v>
                </c:pt>
                <c:pt idx="886">
                  <c:v>40030</c:v>
                </c:pt>
                <c:pt idx="887">
                  <c:v>40031</c:v>
                </c:pt>
                <c:pt idx="888">
                  <c:v>40032</c:v>
                </c:pt>
                <c:pt idx="889">
                  <c:v>40035</c:v>
                </c:pt>
                <c:pt idx="890">
                  <c:v>40036</c:v>
                </c:pt>
                <c:pt idx="891">
                  <c:v>40037</c:v>
                </c:pt>
                <c:pt idx="892">
                  <c:v>40038</c:v>
                </c:pt>
                <c:pt idx="893">
                  <c:v>40039</c:v>
                </c:pt>
                <c:pt idx="894">
                  <c:v>40042</c:v>
                </c:pt>
                <c:pt idx="895">
                  <c:v>40043</c:v>
                </c:pt>
                <c:pt idx="896">
                  <c:v>40044</c:v>
                </c:pt>
                <c:pt idx="897">
                  <c:v>40045</c:v>
                </c:pt>
                <c:pt idx="898">
                  <c:v>40046</c:v>
                </c:pt>
                <c:pt idx="899">
                  <c:v>40049</c:v>
                </c:pt>
                <c:pt idx="900">
                  <c:v>40050</c:v>
                </c:pt>
                <c:pt idx="901">
                  <c:v>40051</c:v>
                </c:pt>
                <c:pt idx="902">
                  <c:v>40052</c:v>
                </c:pt>
                <c:pt idx="903">
                  <c:v>40053</c:v>
                </c:pt>
                <c:pt idx="904">
                  <c:v>40056</c:v>
                </c:pt>
                <c:pt idx="905">
                  <c:v>40057</c:v>
                </c:pt>
                <c:pt idx="906">
                  <c:v>40058</c:v>
                </c:pt>
                <c:pt idx="907">
                  <c:v>40059</c:v>
                </c:pt>
                <c:pt idx="908">
                  <c:v>40060</c:v>
                </c:pt>
                <c:pt idx="909">
                  <c:v>40064</c:v>
                </c:pt>
                <c:pt idx="910">
                  <c:v>40065</c:v>
                </c:pt>
                <c:pt idx="911">
                  <c:v>40066</c:v>
                </c:pt>
                <c:pt idx="912">
                  <c:v>40067</c:v>
                </c:pt>
                <c:pt idx="913">
                  <c:v>40070</c:v>
                </c:pt>
                <c:pt idx="914">
                  <c:v>40071</c:v>
                </c:pt>
                <c:pt idx="915">
                  <c:v>40072</c:v>
                </c:pt>
                <c:pt idx="916">
                  <c:v>40073</c:v>
                </c:pt>
                <c:pt idx="917">
                  <c:v>40074</c:v>
                </c:pt>
                <c:pt idx="918">
                  <c:v>40077</c:v>
                </c:pt>
                <c:pt idx="919">
                  <c:v>40078</c:v>
                </c:pt>
                <c:pt idx="920">
                  <c:v>40079</c:v>
                </c:pt>
                <c:pt idx="921">
                  <c:v>40080</c:v>
                </c:pt>
                <c:pt idx="922">
                  <c:v>40081</c:v>
                </c:pt>
                <c:pt idx="923">
                  <c:v>40084</c:v>
                </c:pt>
                <c:pt idx="924">
                  <c:v>40085</c:v>
                </c:pt>
                <c:pt idx="925">
                  <c:v>40086</c:v>
                </c:pt>
                <c:pt idx="926">
                  <c:v>40087</c:v>
                </c:pt>
                <c:pt idx="927">
                  <c:v>40088</c:v>
                </c:pt>
                <c:pt idx="928">
                  <c:v>40091</c:v>
                </c:pt>
                <c:pt idx="929">
                  <c:v>40092</c:v>
                </c:pt>
                <c:pt idx="930">
                  <c:v>40093</c:v>
                </c:pt>
                <c:pt idx="931">
                  <c:v>40094</c:v>
                </c:pt>
                <c:pt idx="932">
                  <c:v>40095</c:v>
                </c:pt>
                <c:pt idx="933">
                  <c:v>40099</c:v>
                </c:pt>
                <c:pt idx="934">
                  <c:v>40100</c:v>
                </c:pt>
                <c:pt idx="935">
                  <c:v>40101</c:v>
                </c:pt>
                <c:pt idx="936">
                  <c:v>40102</c:v>
                </c:pt>
                <c:pt idx="937">
                  <c:v>40105</c:v>
                </c:pt>
                <c:pt idx="938">
                  <c:v>40106</c:v>
                </c:pt>
                <c:pt idx="939">
                  <c:v>40107</c:v>
                </c:pt>
                <c:pt idx="940">
                  <c:v>40108</c:v>
                </c:pt>
                <c:pt idx="941">
                  <c:v>40109</c:v>
                </c:pt>
                <c:pt idx="942">
                  <c:v>40112</c:v>
                </c:pt>
                <c:pt idx="943">
                  <c:v>40113</c:v>
                </c:pt>
                <c:pt idx="944">
                  <c:v>40114</c:v>
                </c:pt>
                <c:pt idx="945">
                  <c:v>40115</c:v>
                </c:pt>
                <c:pt idx="946">
                  <c:v>40116</c:v>
                </c:pt>
                <c:pt idx="947">
                  <c:v>40120</c:v>
                </c:pt>
                <c:pt idx="948">
                  <c:v>40121</c:v>
                </c:pt>
                <c:pt idx="949">
                  <c:v>40122</c:v>
                </c:pt>
                <c:pt idx="950">
                  <c:v>40123</c:v>
                </c:pt>
                <c:pt idx="951">
                  <c:v>40126</c:v>
                </c:pt>
                <c:pt idx="952">
                  <c:v>40127</c:v>
                </c:pt>
                <c:pt idx="953">
                  <c:v>40128</c:v>
                </c:pt>
                <c:pt idx="954">
                  <c:v>40129</c:v>
                </c:pt>
                <c:pt idx="955">
                  <c:v>40130</c:v>
                </c:pt>
                <c:pt idx="956">
                  <c:v>40133</c:v>
                </c:pt>
                <c:pt idx="957">
                  <c:v>40134</c:v>
                </c:pt>
                <c:pt idx="958">
                  <c:v>40135</c:v>
                </c:pt>
                <c:pt idx="959">
                  <c:v>40136</c:v>
                </c:pt>
                <c:pt idx="960">
                  <c:v>40140</c:v>
                </c:pt>
                <c:pt idx="961">
                  <c:v>40141</c:v>
                </c:pt>
                <c:pt idx="962">
                  <c:v>40142</c:v>
                </c:pt>
                <c:pt idx="963">
                  <c:v>40143</c:v>
                </c:pt>
                <c:pt idx="964">
                  <c:v>40144</c:v>
                </c:pt>
                <c:pt idx="965">
                  <c:v>40147</c:v>
                </c:pt>
                <c:pt idx="966">
                  <c:v>40148</c:v>
                </c:pt>
                <c:pt idx="967">
                  <c:v>40149</c:v>
                </c:pt>
                <c:pt idx="968">
                  <c:v>40150</c:v>
                </c:pt>
                <c:pt idx="969">
                  <c:v>40151</c:v>
                </c:pt>
                <c:pt idx="970">
                  <c:v>40154</c:v>
                </c:pt>
                <c:pt idx="971">
                  <c:v>40155</c:v>
                </c:pt>
                <c:pt idx="972">
                  <c:v>40156</c:v>
                </c:pt>
                <c:pt idx="973">
                  <c:v>40157</c:v>
                </c:pt>
                <c:pt idx="974">
                  <c:v>40158</c:v>
                </c:pt>
                <c:pt idx="975">
                  <c:v>40161</c:v>
                </c:pt>
                <c:pt idx="976">
                  <c:v>40162</c:v>
                </c:pt>
                <c:pt idx="977">
                  <c:v>40163</c:v>
                </c:pt>
                <c:pt idx="978">
                  <c:v>40164</c:v>
                </c:pt>
                <c:pt idx="979">
                  <c:v>40165</c:v>
                </c:pt>
                <c:pt idx="980">
                  <c:v>40168</c:v>
                </c:pt>
                <c:pt idx="981">
                  <c:v>40169</c:v>
                </c:pt>
                <c:pt idx="982">
                  <c:v>40170</c:v>
                </c:pt>
                <c:pt idx="983">
                  <c:v>40175</c:v>
                </c:pt>
                <c:pt idx="984">
                  <c:v>40176</c:v>
                </c:pt>
                <c:pt idx="985">
                  <c:v>40177</c:v>
                </c:pt>
                <c:pt idx="986">
                  <c:v>40182</c:v>
                </c:pt>
                <c:pt idx="987">
                  <c:v>40183</c:v>
                </c:pt>
                <c:pt idx="988">
                  <c:v>40184</c:v>
                </c:pt>
                <c:pt idx="989">
                  <c:v>40185</c:v>
                </c:pt>
                <c:pt idx="990">
                  <c:v>40186</c:v>
                </c:pt>
                <c:pt idx="991">
                  <c:v>40189</c:v>
                </c:pt>
                <c:pt idx="992">
                  <c:v>40190</c:v>
                </c:pt>
                <c:pt idx="993">
                  <c:v>40191</c:v>
                </c:pt>
                <c:pt idx="994">
                  <c:v>40192</c:v>
                </c:pt>
                <c:pt idx="995">
                  <c:v>40193</c:v>
                </c:pt>
                <c:pt idx="996">
                  <c:v>40196</c:v>
                </c:pt>
                <c:pt idx="997">
                  <c:v>40197</c:v>
                </c:pt>
                <c:pt idx="998">
                  <c:v>40198</c:v>
                </c:pt>
                <c:pt idx="999">
                  <c:v>40199</c:v>
                </c:pt>
                <c:pt idx="1000">
                  <c:v>40200</c:v>
                </c:pt>
                <c:pt idx="1001">
                  <c:v>40204</c:v>
                </c:pt>
                <c:pt idx="1002">
                  <c:v>40205</c:v>
                </c:pt>
                <c:pt idx="1003">
                  <c:v>40206</c:v>
                </c:pt>
                <c:pt idx="1004">
                  <c:v>40207</c:v>
                </c:pt>
                <c:pt idx="1005">
                  <c:v>40210</c:v>
                </c:pt>
                <c:pt idx="1006">
                  <c:v>40211</c:v>
                </c:pt>
                <c:pt idx="1007">
                  <c:v>40212</c:v>
                </c:pt>
                <c:pt idx="1008">
                  <c:v>40213</c:v>
                </c:pt>
                <c:pt idx="1009">
                  <c:v>40214</c:v>
                </c:pt>
                <c:pt idx="1010">
                  <c:v>40217</c:v>
                </c:pt>
                <c:pt idx="1011">
                  <c:v>40218</c:v>
                </c:pt>
                <c:pt idx="1012">
                  <c:v>40219</c:v>
                </c:pt>
                <c:pt idx="1013">
                  <c:v>40220</c:v>
                </c:pt>
                <c:pt idx="1014">
                  <c:v>40221</c:v>
                </c:pt>
                <c:pt idx="1015">
                  <c:v>40226</c:v>
                </c:pt>
                <c:pt idx="1016">
                  <c:v>40227</c:v>
                </c:pt>
                <c:pt idx="1017">
                  <c:v>40228</c:v>
                </c:pt>
                <c:pt idx="1018">
                  <c:v>40231</c:v>
                </c:pt>
                <c:pt idx="1019">
                  <c:v>40232</c:v>
                </c:pt>
                <c:pt idx="1020">
                  <c:v>40233</c:v>
                </c:pt>
                <c:pt idx="1021">
                  <c:v>40234</c:v>
                </c:pt>
                <c:pt idx="1022">
                  <c:v>40235</c:v>
                </c:pt>
                <c:pt idx="1023">
                  <c:v>40238</c:v>
                </c:pt>
                <c:pt idx="1024">
                  <c:v>40239</c:v>
                </c:pt>
                <c:pt idx="1025">
                  <c:v>40240</c:v>
                </c:pt>
                <c:pt idx="1026">
                  <c:v>40241</c:v>
                </c:pt>
                <c:pt idx="1027">
                  <c:v>40242</c:v>
                </c:pt>
                <c:pt idx="1028">
                  <c:v>40245</c:v>
                </c:pt>
                <c:pt idx="1029">
                  <c:v>40246</c:v>
                </c:pt>
                <c:pt idx="1030">
                  <c:v>40247</c:v>
                </c:pt>
                <c:pt idx="1031">
                  <c:v>40248</c:v>
                </c:pt>
                <c:pt idx="1032">
                  <c:v>40249</c:v>
                </c:pt>
                <c:pt idx="1033">
                  <c:v>40252</c:v>
                </c:pt>
                <c:pt idx="1034">
                  <c:v>40253</c:v>
                </c:pt>
                <c:pt idx="1035">
                  <c:v>40254</c:v>
                </c:pt>
                <c:pt idx="1036">
                  <c:v>40255</c:v>
                </c:pt>
                <c:pt idx="1037">
                  <c:v>40256</c:v>
                </c:pt>
                <c:pt idx="1038">
                  <c:v>40259</c:v>
                </c:pt>
                <c:pt idx="1039">
                  <c:v>40260</c:v>
                </c:pt>
                <c:pt idx="1040">
                  <c:v>40261</c:v>
                </c:pt>
                <c:pt idx="1041">
                  <c:v>40262</c:v>
                </c:pt>
                <c:pt idx="1042">
                  <c:v>40263</c:v>
                </c:pt>
                <c:pt idx="1043">
                  <c:v>40266</c:v>
                </c:pt>
                <c:pt idx="1044">
                  <c:v>40267</c:v>
                </c:pt>
                <c:pt idx="1045">
                  <c:v>40268</c:v>
                </c:pt>
                <c:pt idx="1046">
                  <c:v>40269</c:v>
                </c:pt>
                <c:pt idx="1047">
                  <c:v>40273</c:v>
                </c:pt>
                <c:pt idx="1048">
                  <c:v>40274</c:v>
                </c:pt>
                <c:pt idx="1049">
                  <c:v>40275</c:v>
                </c:pt>
                <c:pt idx="1050">
                  <c:v>40276</c:v>
                </c:pt>
                <c:pt idx="1051">
                  <c:v>40277</c:v>
                </c:pt>
                <c:pt idx="1052">
                  <c:v>40280</c:v>
                </c:pt>
                <c:pt idx="1053">
                  <c:v>40281</c:v>
                </c:pt>
                <c:pt idx="1054">
                  <c:v>40282</c:v>
                </c:pt>
                <c:pt idx="1055">
                  <c:v>40283</c:v>
                </c:pt>
                <c:pt idx="1056">
                  <c:v>40284</c:v>
                </c:pt>
                <c:pt idx="1057">
                  <c:v>40287</c:v>
                </c:pt>
                <c:pt idx="1058">
                  <c:v>40288</c:v>
                </c:pt>
                <c:pt idx="1059">
                  <c:v>40290</c:v>
                </c:pt>
                <c:pt idx="1060">
                  <c:v>40291</c:v>
                </c:pt>
                <c:pt idx="1061">
                  <c:v>40294</c:v>
                </c:pt>
                <c:pt idx="1062">
                  <c:v>40295</c:v>
                </c:pt>
                <c:pt idx="1063">
                  <c:v>40296</c:v>
                </c:pt>
                <c:pt idx="1064">
                  <c:v>40297</c:v>
                </c:pt>
                <c:pt idx="1065">
                  <c:v>40298</c:v>
                </c:pt>
                <c:pt idx="1066">
                  <c:v>40301</c:v>
                </c:pt>
                <c:pt idx="1067">
                  <c:v>40302</c:v>
                </c:pt>
                <c:pt idx="1068">
                  <c:v>40303</c:v>
                </c:pt>
                <c:pt idx="1069">
                  <c:v>40304</c:v>
                </c:pt>
                <c:pt idx="1070">
                  <c:v>40305</c:v>
                </c:pt>
                <c:pt idx="1071">
                  <c:v>40308</c:v>
                </c:pt>
                <c:pt idx="1072">
                  <c:v>40309</c:v>
                </c:pt>
                <c:pt idx="1073">
                  <c:v>40310</c:v>
                </c:pt>
                <c:pt idx="1074">
                  <c:v>40311</c:v>
                </c:pt>
                <c:pt idx="1075">
                  <c:v>40312</c:v>
                </c:pt>
                <c:pt idx="1076">
                  <c:v>40315</c:v>
                </c:pt>
                <c:pt idx="1077">
                  <c:v>40316</c:v>
                </c:pt>
                <c:pt idx="1078">
                  <c:v>40317</c:v>
                </c:pt>
                <c:pt idx="1079">
                  <c:v>40318</c:v>
                </c:pt>
                <c:pt idx="1080">
                  <c:v>40319</c:v>
                </c:pt>
                <c:pt idx="1081">
                  <c:v>40322</c:v>
                </c:pt>
                <c:pt idx="1082">
                  <c:v>40323</c:v>
                </c:pt>
                <c:pt idx="1083">
                  <c:v>40324</c:v>
                </c:pt>
                <c:pt idx="1084">
                  <c:v>40325</c:v>
                </c:pt>
                <c:pt idx="1085">
                  <c:v>40326</c:v>
                </c:pt>
                <c:pt idx="1086">
                  <c:v>40329</c:v>
                </c:pt>
                <c:pt idx="1087">
                  <c:v>40330</c:v>
                </c:pt>
                <c:pt idx="1088">
                  <c:v>40331</c:v>
                </c:pt>
                <c:pt idx="1089">
                  <c:v>40333</c:v>
                </c:pt>
                <c:pt idx="1090">
                  <c:v>40336</c:v>
                </c:pt>
                <c:pt idx="1091">
                  <c:v>40337</c:v>
                </c:pt>
                <c:pt idx="1092">
                  <c:v>40338</c:v>
                </c:pt>
                <c:pt idx="1093">
                  <c:v>40339</c:v>
                </c:pt>
                <c:pt idx="1094">
                  <c:v>40340</c:v>
                </c:pt>
                <c:pt idx="1095">
                  <c:v>40343</c:v>
                </c:pt>
                <c:pt idx="1096">
                  <c:v>40344</c:v>
                </c:pt>
                <c:pt idx="1097">
                  <c:v>40345</c:v>
                </c:pt>
                <c:pt idx="1098">
                  <c:v>40346</c:v>
                </c:pt>
                <c:pt idx="1099">
                  <c:v>40347</c:v>
                </c:pt>
                <c:pt idx="1100">
                  <c:v>40350</c:v>
                </c:pt>
                <c:pt idx="1101">
                  <c:v>40351</c:v>
                </c:pt>
                <c:pt idx="1102">
                  <c:v>40352</c:v>
                </c:pt>
                <c:pt idx="1103">
                  <c:v>40353</c:v>
                </c:pt>
                <c:pt idx="1104">
                  <c:v>40354</c:v>
                </c:pt>
                <c:pt idx="1105">
                  <c:v>40357</c:v>
                </c:pt>
                <c:pt idx="1106">
                  <c:v>40358</c:v>
                </c:pt>
                <c:pt idx="1107">
                  <c:v>40359</c:v>
                </c:pt>
                <c:pt idx="1108">
                  <c:v>40360</c:v>
                </c:pt>
                <c:pt idx="1109">
                  <c:v>40361</c:v>
                </c:pt>
                <c:pt idx="1110">
                  <c:v>40364</c:v>
                </c:pt>
                <c:pt idx="1111">
                  <c:v>40365</c:v>
                </c:pt>
                <c:pt idx="1112">
                  <c:v>40366</c:v>
                </c:pt>
                <c:pt idx="1113">
                  <c:v>40367</c:v>
                </c:pt>
                <c:pt idx="1114">
                  <c:v>40371</c:v>
                </c:pt>
                <c:pt idx="1115">
                  <c:v>40372</c:v>
                </c:pt>
                <c:pt idx="1116">
                  <c:v>40373</c:v>
                </c:pt>
                <c:pt idx="1117">
                  <c:v>40374</c:v>
                </c:pt>
                <c:pt idx="1118">
                  <c:v>40375</c:v>
                </c:pt>
                <c:pt idx="1119">
                  <c:v>40378</c:v>
                </c:pt>
                <c:pt idx="1120">
                  <c:v>40379</c:v>
                </c:pt>
                <c:pt idx="1121">
                  <c:v>40380</c:v>
                </c:pt>
                <c:pt idx="1122">
                  <c:v>40381</c:v>
                </c:pt>
                <c:pt idx="1123">
                  <c:v>40382</c:v>
                </c:pt>
                <c:pt idx="1124">
                  <c:v>40385</c:v>
                </c:pt>
                <c:pt idx="1125">
                  <c:v>40386</c:v>
                </c:pt>
                <c:pt idx="1126">
                  <c:v>40387</c:v>
                </c:pt>
                <c:pt idx="1127">
                  <c:v>40388</c:v>
                </c:pt>
                <c:pt idx="1128">
                  <c:v>40389</c:v>
                </c:pt>
                <c:pt idx="1129">
                  <c:v>40392</c:v>
                </c:pt>
                <c:pt idx="1130">
                  <c:v>40393</c:v>
                </c:pt>
                <c:pt idx="1131">
                  <c:v>40394</c:v>
                </c:pt>
                <c:pt idx="1132">
                  <c:v>40395</c:v>
                </c:pt>
                <c:pt idx="1133">
                  <c:v>40396</c:v>
                </c:pt>
                <c:pt idx="1134">
                  <c:v>40399</c:v>
                </c:pt>
                <c:pt idx="1135">
                  <c:v>40400</c:v>
                </c:pt>
                <c:pt idx="1136">
                  <c:v>40401</c:v>
                </c:pt>
                <c:pt idx="1137">
                  <c:v>40402</c:v>
                </c:pt>
                <c:pt idx="1138">
                  <c:v>40403</c:v>
                </c:pt>
                <c:pt idx="1139">
                  <c:v>40406</c:v>
                </c:pt>
                <c:pt idx="1140">
                  <c:v>40407</c:v>
                </c:pt>
                <c:pt idx="1141">
                  <c:v>40408</c:v>
                </c:pt>
                <c:pt idx="1142">
                  <c:v>40409</c:v>
                </c:pt>
                <c:pt idx="1143">
                  <c:v>40410</c:v>
                </c:pt>
                <c:pt idx="1144">
                  <c:v>40413</c:v>
                </c:pt>
                <c:pt idx="1145">
                  <c:v>40414</c:v>
                </c:pt>
                <c:pt idx="1146">
                  <c:v>40415</c:v>
                </c:pt>
                <c:pt idx="1147">
                  <c:v>40416</c:v>
                </c:pt>
                <c:pt idx="1148">
                  <c:v>40417</c:v>
                </c:pt>
                <c:pt idx="1149">
                  <c:v>40420</c:v>
                </c:pt>
                <c:pt idx="1150">
                  <c:v>40421</c:v>
                </c:pt>
                <c:pt idx="1151">
                  <c:v>40422</c:v>
                </c:pt>
                <c:pt idx="1152">
                  <c:v>40423</c:v>
                </c:pt>
                <c:pt idx="1153">
                  <c:v>40424</c:v>
                </c:pt>
                <c:pt idx="1154">
                  <c:v>40427</c:v>
                </c:pt>
                <c:pt idx="1155">
                  <c:v>40429</c:v>
                </c:pt>
                <c:pt idx="1156">
                  <c:v>40430</c:v>
                </c:pt>
                <c:pt idx="1157">
                  <c:v>40431</c:v>
                </c:pt>
                <c:pt idx="1158">
                  <c:v>40434</c:v>
                </c:pt>
                <c:pt idx="1159">
                  <c:v>40435</c:v>
                </c:pt>
                <c:pt idx="1160">
                  <c:v>40436</c:v>
                </c:pt>
                <c:pt idx="1161">
                  <c:v>40437</c:v>
                </c:pt>
                <c:pt idx="1162">
                  <c:v>40438</c:v>
                </c:pt>
                <c:pt idx="1163">
                  <c:v>40441</c:v>
                </c:pt>
                <c:pt idx="1164">
                  <c:v>40442</c:v>
                </c:pt>
                <c:pt idx="1165">
                  <c:v>40443</c:v>
                </c:pt>
                <c:pt idx="1166">
                  <c:v>40444</c:v>
                </c:pt>
                <c:pt idx="1167">
                  <c:v>40445</c:v>
                </c:pt>
                <c:pt idx="1168">
                  <c:v>40448</c:v>
                </c:pt>
                <c:pt idx="1169">
                  <c:v>40449</c:v>
                </c:pt>
                <c:pt idx="1170">
                  <c:v>40450</c:v>
                </c:pt>
                <c:pt idx="1171">
                  <c:v>40451</c:v>
                </c:pt>
                <c:pt idx="1172">
                  <c:v>40452</c:v>
                </c:pt>
                <c:pt idx="1173">
                  <c:v>40455</c:v>
                </c:pt>
                <c:pt idx="1174">
                  <c:v>40456</c:v>
                </c:pt>
                <c:pt idx="1175">
                  <c:v>40457</c:v>
                </c:pt>
                <c:pt idx="1176">
                  <c:v>40458</c:v>
                </c:pt>
                <c:pt idx="1177">
                  <c:v>40459</c:v>
                </c:pt>
                <c:pt idx="1178">
                  <c:v>40462</c:v>
                </c:pt>
                <c:pt idx="1179">
                  <c:v>40464</c:v>
                </c:pt>
                <c:pt idx="1180">
                  <c:v>40465</c:v>
                </c:pt>
                <c:pt idx="1181">
                  <c:v>40466</c:v>
                </c:pt>
                <c:pt idx="1182">
                  <c:v>40469</c:v>
                </c:pt>
                <c:pt idx="1183">
                  <c:v>40470</c:v>
                </c:pt>
                <c:pt idx="1184">
                  <c:v>40471</c:v>
                </c:pt>
                <c:pt idx="1185">
                  <c:v>40472</c:v>
                </c:pt>
                <c:pt idx="1186">
                  <c:v>40473</c:v>
                </c:pt>
                <c:pt idx="1187">
                  <c:v>40476</c:v>
                </c:pt>
                <c:pt idx="1188">
                  <c:v>40477</c:v>
                </c:pt>
                <c:pt idx="1189">
                  <c:v>40478</c:v>
                </c:pt>
                <c:pt idx="1190">
                  <c:v>40479</c:v>
                </c:pt>
                <c:pt idx="1191">
                  <c:v>40480</c:v>
                </c:pt>
                <c:pt idx="1192">
                  <c:v>40483</c:v>
                </c:pt>
                <c:pt idx="1193">
                  <c:v>40485</c:v>
                </c:pt>
                <c:pt idx="1194">
                  <c:v>40486</c:v>
                </c:pt>
                <c:pt idx="1195">
                  <c:v>40487</c:v>
                </c:pt>
                <c:pt idx="1196">
                  <c:v>40490</c:v>
                </c:pt>
                <c:pt idx="1197">
                  <c:v>40491</c:v>
                </c:pt>
                <c:pt idx="1198">
                  <c:v>40492</c:v>
                </c:pt>
                <c:pt idx="1199">
                  <c:v>40493</c:v>
                </c:pt>
                <c:pt idx="1200">
                  <c:v>40494</c:v>
                </c:pt>
                <c:pt idx="1201">
                  <c:v>40498</c:v>
                </c:pt>
                <c:pt idx="1202">
                  <c:v>40499</c:v>
                </c:pt>
                <c:pt idx="1203">
                  <c:v>40500</c:v>
                </c:pt>
                <c:pt idx="1204">
                  <c:v>40501</c:v>
                </c:pt>
                <c:pt idx="1205">
                  <c:v>40504</c:v>
                </c:pt>
                <c:pt idx="1206">
                  <c:v>40505</c:v>
                </c:pt>
                <c:pt idx="1207">
                  <c:v>40506</c:v>
                </c:pt>
                <c:pt idx="1208">
                  <c:v>40507</c:v>
                </c:pt>
                <c:pt idx="1209">
                  <c:v>40508</c:v>
                </c:pt>
                <c:pt idx="1210">
                  <c:v>40511</c:v>
                </c:pt>
                <c:pt idx="1211">
                  <c:v>40512</c:v>
                </c:pt>
                <c:pt idx="1212">
                  <c:v>40513</c:v>
                </c:pt>
                <c:pt idx="1213">
                  <c:v>40514</c:v>
                </c:pt>
                <c:pt idx="1214">
                  <c:v>40515</c:v>
                </c:pt>
                <c:pt idx="1215">
                  <c:v>40518</c:v>
                </c:pt>
                <c:pt idx="1216">
                  <c:v>40519</c:v>
                </c:pt>
                <c:pt idx="1217">
                  <c:v>40520</c:v>
                </c:pt>
                <c:pt idx="1218">
                  <c:v>40521</c:v>
                </c:pt>
                <c:pt idx="1219">
                  <c:v>40522</c:v>
                </c:pt>
                <c:pt idx="1220">
                  <c:v>40525</c:v>
                </c:pt>
                <c:pt idx="1221">
                  <c:v>40526</c:v>
                </c:pt>
                <c:pt idx="1222">
                  <c:v>40527</c:v>
                </c:pt>
                <c:pt idx="1223">
                  <c:v>40528</c:v>
                </c:pt>
                <c:pt idx="1224">
                  <c:v>40529</c:v>
                </c:pt>
                <c:pt idx="1225">
                  <c:v>40532</c:v>
                </c:pt>
                <c:pt idx="1226">
                  <c:v>40533</c:v>
                </c:pt>
                <c:pt idx="1227">
                  <c:v>40534</c:v>
                </c:pt>
                <c:pt idx="1228">
                  <c:v>40535</c:v>
                </c:pt>
                <c:pt idx="1229">
                  <c:v>40539</c:v>
                </c:pt>
                <c:pt idx="1230">
                  <c:v>40540</c:v>
                </c:pt>
                <c:pt idx="1231">
                  <c:v>40541</c:v>
                </c:pt>
                <c:pt idx="1232">
                  <c:v>40542</c:v>
                </c:pt>
                <c:pt idx="1233">
                  <c:v>40546</c:v>
                </c:pt>
                <c:pt idx="1234">
                  <c:v>40547</c:v>
                </c:pt>
                <c:pt idx="1235">
                  <c:v>40548</c:v>
                </c:pt>
                <c:pt idx="1236">
                  <c:v>40549</c:v>
                </c:pt>
                <c:pt idx="1237">
                  <c:v>40550</c:v>
                </c:pt>
                <c:pt idx="1238">
                  <c:v>40553</c:v>
                </c:pt>
                <c:pt idx="1239">
                  <c:v>40554</c:v>
                </c:pt>
                <c:pt idx="1240">
                  <c:v>40555</c:v>
                </c:pt>
                <c:pt idx="1241">
                  <c:v>40556</c:v>
                </c:pt>
                <c:pt idx="1242">
                  <c:v>40557</c:v>
                </c:pt>
                <c:pt idx="1243">
                  <c:v>40560</c:v>
                </c:pt>
                <c:pt idx="1244">
                  <c:v>40561</c:v>
                </c:pt>
                <c:pt idx="1245">
                  <c:v>40562</c:v>
                </c:pt>
                <c:pt idx="1246">
                  <c:v>40563</c:v>
                </c:pt>
                <c:pt idx="1247">
                  <c:v>40564</c:v>
                </c:pt>
                <c:pt idx="1248">
                  <c:v>40567</c:v>
                </c:pt>
                <c:pt idx="1249">
                  <c:v>40569</c:v>
                </c:pt>
                <c:pt idx="1250">
                  <c:v>40570</c:v>
                </c:pt>
                <c:pt idx="1251">
                  <c:v>40571</c:v>
                </c:pt>
                <c:pt idx="1252">
                  <c:v>40574</c:v>
                </c:pt>
                <c:pt idx="1253">
                  <c:v>40575</c:v>
                </c:pt>
                <c:pt idx="1254">
                  <c:v>40576</c:v>
                </c:pt>
                <c:pt idx="1255">
                  <c:v>40577</c:v>
                </c:pt>
                <c:pt idx="1256">
                  <c:v>40578</c:v>
                </c:pt>
                <c:pt idx="1257">
                  <c:v>40581</c:v>
                </c:pt>
                <c:pt idx="1258">
                  <c:v>40582</c:v>
                </c:pt>
                <c:pt idx="1259">
                  <c:v>40583</c:v>
                </c:pt>
                <c:pt idx="1260">
                  <c:v>40584</c:v>
                </c:pt>
                <c:pt idx="1261">
                  <c:v>40585</c:v>
                </c:pt>
                <c:pt idx="1262">
                  <c:v>40588</c:v>
                </c:pt>
                <c:pt idx="1263">
                  <c:v>40589</c:v>
                </c:pt>
                <c:pt idx="1264">
                  <c:v>40590</c:v>
                </c:pt>
                <c:pt idx="1265">
                  <c:v>40591</c:v>
                </c:pt>
                <c:pt idx="1266">
                  <c:v>40592</c:v>
                </c:pt>
                <c:pt idx="1267">
                  <c:v>40595</c:v>
                </c:pt>
                <c:pt idx="1268">
                  <c:v>40596</c:v>
                </c:pt>
                <c:pt idx="1269">
                  <c:v>40597</c:v>
                </c:pt>
                <c:pt idx="1270">
                  <c:v>40598</c:v>
                </c:pt>
                <c:pt idx="1271">
                  <c:v>40599</c:v>
                </c:pt>
                <c:pt idx="1272">
                  <c:v>40602</c:v>
                </c:pt>
                <c:pt idx="1273">
                  <c:v>40603</c:v>
                </c:pt>
                <c:pt idx="1274">
                  <c:v>40604</c:v>
                </c:pt>
                <c:pt idx="1275">
                  <c:v>40605</c:v>
                </c:pt>
                <c:pt idx="1276">
                  <c:v>40606</c:v>
                </c:pt>
                <c:pt idx="1277">
                  <c:v>40611</c:v>
                </c:pt>
                <c:pt idx="1278">
                  <c:v>40612</c:v>
                </c:pt>
                <c:pt idx="1279">
                  <c:v>40613</c:v>
                </c:pt>
                <c:pt idx="1280">
                  <c:v>40616</c:v>
                </c:pt>
                <c:pt idx="1281">
                  <c:v>40617</c:v>
                </c:pt>
                <c:pt idx="1282">
                  <c:v>40618</c:v>
                </c:pt>
                <c:pt idx="1283">
                  <c:v>40619</c:v>
                </c:pt>
                <c:pt idx="1284">
                  <c:v>40620</c:v>
                </c:pt>
                <c:pt idx="1285">
                  <c:v>40623</c:v>
                </c:pt>
                <c:pt idx="1286">
                  <c:v>40624</c:v>
                </c:pt>
                <c:pt idx="1287">
                  <c:v>40625</c:v>
                </c:pt>
                <c:pt idx="1288">
                  <c:v>40626</c:v>
                </c:pt>
                <c:pt idx="1289">
                  <c:v>40627</c:v>
                </c:pt>
                <c:pt idx="1290">
                  <c:v>40630</c:v>
                </c:pt>
                <c:pt idx="1291">
                  <c:v>40631</c:v>
                </c:pt>
                <c:pt idx="1292">
                  <c:v>40632</c:v>
                </c:pt>
                <c:pt idx="1293">
                  <c:v>40633</c:v>
                </c:pt>
                <c:pt idx="1294">
                  <c:v>40634</c:v>
                </c:pt>
                <c:pt idx="1295">
                  <c:v>40637</c:v>
                </c:pt>
                <c:pt idx="1296">
                  <c:v>40638</c:v>
                </c:pt>
                <c:pt idx="1297">
                  <c:v>40639</c:v>
                </c:pt>
                <c:pt idx="1298">
                  <c:v>40640</c:v>
                </c:pt>
                <c:pt idx="1299">
                  <c:v>40641</c:v>
                </c:pt>
                <c:pt idx="1300">
                  <c:v>40644</c:v>
                </c:pt>
                <c:pt idx="1301">
                  <c:v>40645</c:v>
                </c:pt>
                <c:pt idx="1302">
                  <c:v>40646</c:v>
                </c:pt>
                <c:pt idx="1303">
                  <c:v>40647</c:v>
                </c:pt>
                <c:pt idx="1304">
                  <c:v>40648</c:v>
                </c:pt>
                <c:pt idx="1305">
                  <c:v>40651</c:v>
                </c:pt>
                <c:pt idx="1306">
                  <c:v>40652</c:v>
                </c:pt>
                <c:pt idx="1307">
                  <c:v>40653</c:v>
                </c:pt>
                <c:pt idx="1308">
                  <c:v>40658</c:v>
                </c:pt>
                <c:pt idx="1309">
                  <c:v>40659</c:v>
                </c:pt>
                <c:pt idx="1310">
                  <c:v>40660</c:v>
                </c:pt>
                <c:pt idx="1311">
                  <c:v>40661</c:v>
                </c:pt>
                <c:pt idx="1312">
                  <c:v>40662</c:v>
                </c:pt>
                <c:pt idx="1313">
                  <c:v>40665</c:v>
                </c:pt>
                <c:pt idx="1314">
                  <c:v>40666</c:v>
                </c:pt>
                <c:pt idx="1315">
                  <c:v>40667</c:v>
                </c:pt>
                <c:pt idx="1316">
                  <c:v>40668</c:v>
                </c:pt>
                <c:pt idx="1317">
                  <c:v>40669</c:v>
                </c:pt>
                <c:pt idx="1318">
                  <c:v>40672</c:v>
                </c:pt>
                <c:pt idx="1319">
                  <c:v>40673</c:v>
                </c:pt>
                <c:pt idx="1320">
                  <c:v>40674</c:v>
                </c:pt>
                <c:pt idx="1321">
                  <c:v>40675</c:v>
                </c:pt>
                <c:pt idx="1322">
                  <c:v>40676</c:v>
                </c:pt>
                <c:pt idx="1323">
                  <c:v>40679</c:v>
                </c:pt>
                <c:pt idx="1324">
                  <c:v>40680</c:v>
                </c:pt>
                <c:pt idx="1325">
                  <c:v>40681</c:v>
                </c:pt>
                <c:pt idx="1326">
                  <c:v>40682</c:v>
                </c:pt>
                <c:pt idx="1327">
                  <c:v>40683</c:v>
                </c:pt>
                <c:pt idx="1328">
                  <c:v>40686</c:v>
                </c:pt>
                <c:pt idx="1329">
                  <c:v>40687</c:v>
                </c:pt>
                <c:pt idx="1330">
                  <c:v>40688</c:v>
                </c:pt>
                <c:pt idx="1331">
                  <c:v>40689</c:v>
                </c:pt>
                <c:pt idx="1332">
                  <c:v>40690</c:v>
                </c:pt>
                <c:pt idx="1333">
                  <c:v>40693</c:v>
                </c:pt>
                <c:pt idx="1334">
                  <c:v>40694</c:v>
                </c:pt>
                <c:pt idx="1335">
                  <c:v>40695</c:v>
                </c:pt>
                <c:pt idx="1336">
                  <c:v>40696</c:v>
                </c:pt>
                <c:pt idx="1337">
                  <c:v>40697</c:v>
                </c:pt>
                <c:pt idx="1338">
                  <c:v>40700</c:v>
                </c:pt>
                <c:pt idx="1339">
                  <c:v>40701</c:v>
                </c:pt>
                <c:pt idx="1340">
                  <c:v>40702</c:v>
                </c:pt>
                <c:pt idx="1341">
                  <c:v>40703</c:v>
                </c:pt>
                <c:pt idx="1342">
                  <c:v>40704</c:v>
                </c:pt>
                <c:pt idx="1343">
                  <c:v>40707</c:v>
                </c:pt>
                <c:pt idx="1344">
                  <c:v>40708</c:v>
                </c:pt>
                <c:pt idx="1345">
                  <c:v>40709</c:v>
                </c:pt>
                <c:pt idx="1346">
                  <c:v>40710</c:v>
                </c:pt>
                <c:pt idx="1347">
                  <c:v>40711</c:v>
                </c:pt>
                <c:pt idx="1348">
                  <c:v>40714</c:v>
                </c:pt>
                <c:pt idx="1349">
                  <c:v>40715</c:v>
                </c:pt>
                <c:pt idx="1350">
                  <c:v>40716</c:v>
                </c:pt>
                <c:pt idx="1351">
                  <c:v>40718</c:v>
                </c:pt>
                <c:pt idx="1352">
                  <c:v>40721</c:v>
                </c:pt>
                <c:pt idx="1353">
                  <c:v>40722</c:v>
                </c:pt>
                <c:pt idx="1354">
                  <c:v>40723</c:v>
                </c:pt>
                <c:pt idx="1355">
                  <c:v>40724</c:v>
                </c:pt>
                <c:pt idx="1356">
                  <c:v>40725</c:v>
                </c:pt>
                <c:pt idx="1357">
                  <c:v>40728</c:v>
                </c:pt>
                <c:pt idx="1358">
                  <c:v>40729</c:v>
                </c:pt>
                <c:pt idx="1359">
                  <c:v>40730</c:v>
                </c:pt>
                <c:pt idx="1360">
                  <c:v>40731</c:v>
                </c:pt>
                <c:pt idx="1361">
                  <c:v>40732</c:v>
                </c:pt>
                <c:pt idx="1362">
                  <c:v>40735</c:v>
                </c:pt>
                <c:pt idx="1363">
                  <c:v>40736</c:v>
                </c:pt>
                <c:pt idx="1364">
                  <c:v>40737</c:v>
                </c:pt>
                <c:pt idx="1365">
                  <c:v>40738</c:v>
                </c:pt>
                <c:pt idx="1366">
                  <c:v>40739</c:v>
                </c:pt>
                <c:pt idx="1367">
                  <c:v>40742</c:v>
                </c:pt>
                <c:pt idx="1368">
                  <c:v>40743</c:v>
                </c:pt>
                <c:pt idx="1369">
                  <c:v>40744</c:v>
                </c:pt>
                <c:pt idx="1370">
                  <c:v>40745</c:v>
                </c:pt>
                <c:pt idx="1371">
                  <c:v>40746</c:v>
                </c:pt>
                <c:pt idx="1372">
                  <c:v>40749</c:v>
                </c:pt>
                <c:pt idx="1373">
                  <c:v>40750</c:v>
                </c:pt>
                <c:pt idx="1374">
                  <c:v>40751</c:v>
                </c:pt>
                <c:pt idx="1375">
                  <c:v>40752</c:v>
                </c:pt>
                <c:pt idx="1376">
                  <c:v>40753</c:v>
                </c:pt>
                <c:pt idx="1377">
                  <c:v>40756</c:v>
                </c:pt>
                <c:pt idx="1378">
                  <c:v>40757</c:v>
                </c:pt>
                <c:pt idx="1379">
                  <c:v>40758</c:v>
                </c:pt>
                <c:pt idx="1380">
                  <c:v>40759</c:v>
                </c:pt>
                <c:pt idx="1381">
                  <c:v>40760</c:v>
                </c:pt>
                <c:pt idx="1382">
                  <c:v>40763</c:v>
                </c:pt>
                <c:pt idx="1383">
                  <c:v>40764</c:v>
                </c:pt>
                <c:pt idx="1384">
                  <c:v>40765</c:v>
                </c:pt>
                <c:pt idx="1385">
                  <c:v>40766</c:v>
                </c:pt>
                <c:pt idx="1386">
                  <c:v>40767</c:v>
                </c:pt>
                <c:pt idx="1387">
                  <c:v>40770</c:v>
                </c:pt>
                <c:pt idx="1388">
                  <c:v>40771</c:v>
                </c:pt>
                <c:pt idx="1389">
                  <c:v>40772</c:v>
                </c:pt>
                <c:pt idx="1390">
                  <c:v>40773</c:v>
                </c:pt>
                <c:pt idx="1391">
                  <c:v>40774</c:v>
                </c:pt>
                <c:pt idx="1392">
                  <c:v>40777</c:v>
                </c:pt>
                <c:pt idx="1393">
                  <c:v>40778</c:v>
                </c:pt>
                <c:pt idx="1394">
                  <c:v>40779</c:v>
                </c:pt>
                <c:pt idx="1395">
                  <c:v>40780</c:v>
                </c:pt>
                <c:pt idx="1396">
                  <c:v>40781</c:v>
                </c:pt>
                <c:pt idx="1397">
                  <c:v>40784</c:v>
                </c:pt>
                <c:pt idx="1398">
                  <c:v>40785</c:v>
                </c:pt>
                <c:pt idx="1399">
                  <c:v>40786</c:v>
                </c:pt>
                <c:pt idx="1400">
                  <c:v>40787</c:v>
                </c:pt>
                <c:pt idx="1401">
                  <c:v>40788</c:v>
                </c:pt>
                <c:pt idx="1402">
                  <c:v>40791</c:v>
                </c:pt>
                <c:pt idx="1403">
                  <c:v>40792</c:v>
                </c:pt>
                <c:pt idx="1404">
                  <c:v>40794</c:v>
                </c:pt>
                <c:pt idx="1405">
                  <c:v>40795</c:v>
                </c:pt>
                <c:pt idx="1406">
                  <c:v>40798</c:v>
                </c:pt>
                <c:pt idx="1407">
                  <c:v>40799</c:v>
                </c:pt>
                <c:pt idx="1408">
                  <c:v>40800</c:v>
                </c:pt>
                <c:pt idx="1409">
                  <c:v>40801</c:v>
                </c:pt>
                <c:pt idx="1410">
                  <c:v>40802</c:v>
                </c:pt>
                <c:pt idx="1411">
                  <c:v>40805</c:v>
                </c:pt>
                <c:pt idx="1412">
                  <c:v>40806</c:v>
                </c:pt>
                <c:pt idx="1413">
                  <c:v>40807</c:v>
                </c:pt>
                <c:pt idx="1414">
                  <c:v>40808</c:v>
                </c:pt>
                <c:pt idx="1415">
                  <c:v>40809</c:v>
                </c:pt>
                <c:pt idx="1416">
                  <c:v>40812</c:v>
                </c:pt>
                <c:pt idx="1417">
                  <c:v>40813</c:v>
                </c:pt>
                <c:pt idx="1418">
                  <c:v>40814</c:v>
                </c:pt>
                <c:pt idx="1419">
                  <c:v>40815</c:v>
                </c:pt>
                <c:pt idx="1420">
                  <c:v>40816</c:v>
                </c:pt>
                <c:pt idx="1421">
                  <c:v>40819</c:v>
                </c:pt>
                <c:pt idx="1422">
                  <c:v>40820</c:v>
                </c:pt>
                <c:pt idx="1423">
                  <c:v>40821</c:v>
                </c:pt>
                <c:pt idx="1424">
                  <c:v>40822</c:v>
                </c:pt>
                <c:pt idx="1425">
                  <c:v>40823</c:v>
                </c:pt>
                <c:pt idx="1426">
                  <c:v>40826</c:v>
                </c:pt>
                <c:pt idx="1427">
                  <c:v>40827</c:v>
                </c:pt>
                <c:pt idx="1428">
                  <c:v>40829</c:v>
                </c:pt>
                <c:pt idx="1429">
                  <c:v>40830</c:v>
                </c:pt>
                <c:pt idx="1430">
                  <c:v>40833</c:v>
                </c:pt>
                <c:pt idx="1431">
                  <c:v>40834</c:v>
                </c:pt>
                <c:pt idx="1432">
                  <c:v>40835</c:v>
                </c:pt>
                <c:pt idx="1433">
                  <c:v>40836</c:v>
                </c:pt>
                <c:pt idx="1434">
                  <c:v>40837</c:v>
                </c:pt>
                <c:pt idx="1435">
                  <c:v>40840</c:v>
                </c:pt>
                <c:pt idx="1436">
                  <c:v>40841</c:v>
                </c:pt>
                <c:pt idx="1437">
                  <c:v>40842</c:v>
                </c:pt>
                <c:pt idx="1438">
                  <c:v>40843</c:v>
                </c:pt>
                <c:pt idx="1439">
                  <c:v>40844</c:v>
                </c:pt>
                <c:pt idx="1440">
                  <c:v>40847</c:v>
                </c:pt>
                <c:pt idx="1441">
                  <c:v>40848</c:v>
                </c:pt>
                <c:pt idx="1442">
                  <c:v>40850</c:v>
                </c:pt>
                <c:pt idx="1443">
                  <c:v>40851</c:v>
                </c:pt>
                <c:pt idx="1444">
                  <c:v>40854</c:v>
                </c:pt>
                <c:pt idx="1445">
                  <c:v>40855</c:v>
                </c:pt>
                <c:pt idx="1446">
                  <c:v>40856</c:v>
                </c:pt>
                <c:pt idx="1447">
                  <c:v>40857</c:v>
                </c:pt>
                <c:pt idx="1448">
                  <c:v>40858</c:v>
                </c:pt>
                <c:pt idx="1449">
                  <c:v>40861</c:v>
                </c:pt>
                <c:pt idx="1450">
                  <c:v>40863</c:v>
                </c:pt>
                <c:pt idx="1451">
                  <c:v>40864</c:v>
                </c:pt>
                <c:pt idx="1452">
                  <c:v>40865</c:v>
                </c:pt>
                <c:pt idx="1453">
                  <c:v>40868</c:v>
                </c:pt>
                <c:pt idx="1454">
                  <c:v>40869</c:v>
                </c:pt>
                <c:pt idx="1455">
                  <c:v>40870</c:v>
                </c:pt>
                <c:pt idx="1456">
                  <c:v>40871</c:v>
                </c:pt>
                <c:pt idx="1457">
                  <c:v>40872</c:v>
                </c:pt>
                <c:pt idx="1458">
                  <c:v>40875</c:v>
                </c:pt>
                <c:pt idx="1459">
                  <c:v>40876</c:v>
                </c:pt>
                <c:pt idx="1460">
                  <c:v>40877</c:v>
                </c:pt>
                <c:pt idx="1461">
                  <c:v>40878</c:v>
                </c:pt>
                <c:pt idx="1462">
                  <c:v>40879</c:v>
                </c:pt>
                <c:pt idx="1463">
                  <c:v>40882</c:v>
                </c:pt>
                <c:pt idx="1464">
                  <c:v>40883</c:v>
                </c:pt>
                <c:pt idx="1465">
                  <c:v>40884</c:v>
                </c:pt>
                <c:pt idx="1466">
                  <c:v>40885</c:v>
                </c:pt>
                <c:pt idx="1467">
                  <c:v>40886</c:v>
                </c:pt>
                <c:pt idx="1468">
                  <c:v>40889</c:v>
                </c:pt>
                <c:pt idx="1469">
                  <c:v>40890</c:v>
                </c:pt>
                <c:pt idx="1470">
                  <c:v>40891</c:v>
                </c:pt>
                <c:pt idx="1471">
                  <c:v>40892</c:v>
                </c:pt>
                <c:pt idx="1472">
                  <c:v>40893</c:v>
                </c:pt>
                <c:pt idx="1473">
                  <c:v>40896</c:v>
                </c:pt>
                <c:pt idx="1474">
                  <c:v>40897</c:v>
                </c:pt>
                <c:pt idx="1475">
                  <c:v>40898</c:v>
                </c:pt>
                <c:pt idx="1476">
                  <c:v>40899</c:v>
                </c:pt>
                <c:pt idx="1477">
                  <c:v>40900</c:v>
                </c:pt>
                <c:pt idx="1478">
                  <c:v>40903</c:v>
                </c:pt>
                <c:pt idx="1479">
                  <c:v>40904</c:v>
                </c:pt>
                <c:pt idx="1480">
                  <c:v>40905</c:v>
                </c:pt>
                <c:pt idx="1481">
                  <c:v>40906</c:v>
                </c:pt>
                <c:pt idx="1482">
                  <c:v>40910</c:v>
                </c:pt>
                <c:pt idx="1483">
                  <c:v>40911</c:v>
                </c:pt>
                <c:pt idx="1484">
                  <c:v>40912</c:v>
                </c:pt>
                <c:pt idx="1485">
                  <c:v>40913</c:v>
                </c:pt>
                <c:pt idx="1486">
                  <c:v>40914</c:v>
                </c:pt>
                <c:pt idx="1487">
                  <c:v>40917</c:v>
                </c:pt>
                <c:pt idx="1488">
                  <c:v>40918</c:v>
                </c:pt>
                <c:pt idx="1489">
                  <c:v>40919</c:v>
                </c:pt>
                <c:pt idx="1490">
                  <c:v>40920</c:v>
                </c:pt>
                <c:pt idx="1491">
                  <c:v>40921</c:v>
                </c:pt>
                <c:pt idx="1492">
                  <c:v>40924</c:v>
                </c:pt>
                <c:pt idx="1493">
                  <c:v>40925</c:v>
                </c:pt>
                <c:pt idx="1494">
                  <c:v>40926</c:v>
                </c:pt>
                <c:pt idx="1495">
                  <c:v>40927</c:v>
                </c:pt>
                <c:pt idx="1496">
                  <c:v>40928</c:v>
                </c:pt>
                <c:pt idx="1497">
                  <c:v>40931</c:v>
                </c:pt>
                <c:pt idx="1498">
                  <c:v>40932</c:v>
                </c:pt>
                <c:pt idx="1499">
                  <c:v>40934</c:v>
                </c:pt>
                <c:pt idx="1500">
                  <c:v>40935</c:v>
                </c:pt>
                <c:pt idx="1501">
                  <c:v>40938</c:v>
                </c:pt>
                <c:pt idx="1502">
                  <c:v>40939</c:v>
                </c:pt>
                <c:pt idx="1503">
                  <c:v>40940</c:v>
                </c:pt>
                <c:pt idx="1504">
                  <c:v>40941</c:v>
                </c:pt>
                <c:pt idx="1505">
                  <c:v>40942</c:v>
                </c:pt>
                <c:pt idx="1506">
                  <c:v>40945</c:v>
                </c:pt>
                <c:pt idx="1507">
                  <c:v>40946</c:v>
                </c:pt>
                <c:pt idx="1508">
                  <c:v>40947</c:v>
                </c:pt>
                <c:pt idx="1509">
                  <c:v>40948</c:v>
                </c:pt>
                <c:pt idx="1510">
                  <c:v>40949</c:v>
                </c:pt>
                <c:pt idx="1511">
                  <c:v>40952</c:v>
                </c:pt>
                <c:pt idx="1512">
                  <c:v>40953</c:v>
                </c:pt>
                <c:pt idx="1513">
                  <c:v>40954</c:v>
                </c:pt>
                <c:pt idx="1514">
                  <c:v>40955</c:v>
                </c:pt>
                <c:pt idx="1515">
                  <c:v>40956</c:v>
                </c:pt>
                <c:pt idx="1516">
                  <c:v>40962</c:v>
                </c:pt>
                <c:pt idx="1517">
                  <c:v>40963</c:v>
                </c:pt>
                <c:pt idx="1518">
                  <c:v>40966</c:v>
                </c:pt>
                <c:pt idx="1519">
                  <c:v>40967</c:v>
                </c:pt>
                <c:pt idx="1520">
                  <c:v>40968</c:v>
                </c:pt>
                <c:pt idx="1521">
                  <c:v>40969</c:v>
                </c:pt>
                <c:pt idx="1522">
                  <c:v>40970</c:v>
                </c:pt>
                <c:pt idx="1523">
                  <c:v>40973</c:v>
                </c:pt>
                <c:pt idx="1524">
                  <c:v>40974</c:v>
                </c:pt>
                <c:pt idx="1525">
                  <c:v>40975</c:v>
                </c:pt>
                <c:pt idx="1526">
                  <c:v>40976</c:v>
                </c:pt>
                <c:pt idx="1527">
                  <c:v>40977</c:v>
                </c:pt>
                <c:pt idx="1528">
                  <c:v>40980</c:v>
                </c:pt>
                <c:pt idx="1529">
                  <c:v>40981</c:v>
                </c:pt>
                <c:pt idx="1530">
                  <c:v>40982</c:v>
                </c:pt>
                <c:pt idx="1531">
                  <c:v>40983</c:v>
                </c:pt>
                <c:pt idx="1532">
                  <c:v>40984</c:v>
                </c:pt>
                <c:pt idx="1533">
                  <c:v>40987</c:v>
                </c:pt>
                <c:pt idx="1534">
                  <c:v>40988</c:v>
                </c:pt>
                <c:pt idx="1535">
                  <c:v>40989</c:v>
                </c:pt>
                <c:pt idx="1536">
                  <c:v>40990</c:v>
                </c:pt>
                <c:pt idx="1537">
                  <c:v>40991</c:v>
                </c:pt>
                <c:pt idx="1538">
                  <c:v>40994</c:v>
                </c:pt>
                <c:pt idx="1539">
                  <c:v>40995</c:v>
                </c:pt>
                <c:pt idx="1540">
                  <c:v>40996</c:v>
                </c:pt>
                <c:pt idx="1541">
                  <c:v>40997</c:v>
                </c:pt>
                <c:pt idx="1542">
                  <c:v>40998</c:v>
                </c:pt>
                <c:pt idx="1543">
                  <c:v>41001</c:v>
                </c:pt>
                <c:pt idx="1544">
                  <c:v>41002</c:v>
                </c:pt>
                <c:pt idx="1545">
                  <c:v>41003</c:v>
                </c:pt>
                <c:pt idx="1546">
                  <c:v>41004</c:v>
                </c:pt>
                <c:pt idx="1547">
                  <c:v>41008</c:v>
                </c:pt>
                <c:pt idx="1548">
                  <c:v>41009</c:v>
                </c:pt>
                <c:pt idx="1549">
                  <c:v>41010</c:v>
                </c:pt>
                <c:pt idx="1550">
                  <c:v>41011</c:v>
                </c:pt>
                <c:pt idx="1551">
                  <c:v>41012</c:v>
                </c:pt>
                <c:pt idx="1552">
                  <c:v>41015</c:v>
                </c:pt>
                <c:pt idx="1553">
                  <c:v>41016</c:v>
                </c:pt>
                <c:pt idx="1554">
                  <c:v>41017</c:v>
                </c:pt>
                <c:pt idx="1555">
                  <c:v>41018</c:v>
                </c:pt>
                <c:pt idx="1556">
                  <c:v>41019</c:v>
                </c:pt>
                <c:pt idx="1557">
                  <c:v>41022</c:v>
                </c:pt>
                <c:pt idx="1558">
                  <c:v>41023</c:v>
                </c:pt>
                <c:pt idx="1559">
                  <c:v>41024</c:v>
                </c:pt>
                <c:pt idx="1560">
                  <c:v>41025</c:v>
                </c:pt>
                <c:pt idx="1561">
                  <c:v>41026</c:v>
                </c:pt>
                <c:pt idx="1562">
                  <c:v>41029</c:v>
                </c:pt>
                <c:pt idx="1563">
                  <c:v>41031</c:v>
                </c:pt>
                <c:pt idx="1564">
                  <c:v>41032</c:v>
                </c:pt>
                <c:pt idx="1565">
                  <c:v>41033</c:v>
                </c:pt>
                <c:pt idx="1566">
                  <c:v>41036</c:v>
                </c:pt>
                <c:pt idx="1567">
                  <c:v>41037</c:v>
                </c:pt>
                <c:pt idx="1568">
                  <c:v>41038</c:v>
                </c:pt>
                <c:pt idx="1569">
                  <c:v>41039</c:v>
                </c:pt>
                <c:pt idx="1570">
                  <c:v>41040</c:v>
                </c:pt>
                <c:pt idx="1571">
                  <c:v>41043</c:v>
                </c:pt>
                <c:pt idx="1572">
                  <c:v>41044</c:v>
                </c:pt>
                <c:pt idx="1573">
                  <c:v>41045</c:v>
                </c:pt>
                <c:pt idx="1574">
                  <c:v>41046</c:v>
                </c:pt>
                <c:pt idx="1575">
                  <c:v>41047</c:v>
                </c:pt>
                <c:pt idx="1576">
                  <c:v>41050</c:v>
                </c:pt>
                <c:pt idx="1577">
                  <c:v>41051</c:v>
                </c:pt>
                <c:pt idx="1578">
                  <c:v>41052</c:v>
                </c:pt>
                <c:pt idx="1579">
                  <c:v>41053</c:v>
                </c:pt>
                <c:pt idx="1580">
                  <c:v>41054</c:v>
                </c:pt>
                <c:pt idx="1581">
                  <c:v>41057</c:v>
                </c:pt>
                <c:pt idx="1582">
                  <c:v>41058</c:v>
                </c:pt>
                <c:pt idx="1583">
                  <c:v>41059</c:v>
                </c:pt>
                <c:pt idx="1584">
                  <c:v>41060</c:v>
                </c:pt>
                <c:pt idx="1585">
                  <c:v>41061</c:v>
                </c:pt>
                <c:pt idx="1586">
                  <c:v>41064</c:v>
                </c:pt>
                <c:pt idx="1587">
                  <c:v>41065</c:v>
                </c:pt>
                <c:pt idx="1588">
                  <c:v>41066</c:v>
                </c:pt>
                <c:pt idx="1589">
                  <c:v>41068</c:v>
                </c:pt>
                <c:pt idx="1590">
                  <c:v>41071</c:v>
                </c:pt>
                <c:pt idx="1591">
                  <c:v>41072</c:v>
                </c:pt>
                <c:pt idx="1592">
                  <c:v>41073</c:v>
                </c:pt>
                <c:pt idx="1593">
                  <c:v>41074</c:v>
                </c:pt>
                <c:pt idx="1594">
                  <c:v>41075</c:v>
                </c:pt>
                <c:pt idx="1595">
                  <c:v>41078</c:v>
                </c:pt>
                <c:pt idx="1596">
                  <c:v>41079</c:v>
                </c:pt>
                <c:pt idx="1597">
                  <c:v>41080</c:v>
                </c:pt>
                <c:pt idx="1598">
                  <c:v>41081</c:v>
                </c:pt>
                <c:pt idx="1599">
                  <c:v>41082</c:v>
                </c:pt>
                <c:pt idx="1600">
                  <c:v>41085</c:v>
                </c:pt>
                <c:pt idx="1601">
                  <c:v>41086</c:v>
                </c:pt>
                <c:pt idx="1602">
                  <c:v>41087</c:v>
                </c:pt>
                <c:pt idx="1603">
                  <c:v>41088</c:v>
                </c:pt>
                <c:pt idx="1604">
                  <c:v>41089</c:v>
                </c:pt>
                <c:pt idx="1605">
                  <c:v>41092</c:v>
                </c:pt>
                <c:pt idx="1606">
                  <c:v>41093</c:v>
                </c:pt>
                <c:pt idx="1607">
                  <c:v>41094</c:v>
                </c:pt>
                <c:pt idx="1608">
                  <c:v>41095</c:v>
                </c:pt>
                <c:pt idx="1609">
                  <c:v>41096</c:v>
                </c:pt>
                <c:pt idx="1610">
                  <c:v>41100</c:v>
                </c:pt>
                <c:pt idx="1611">
                  <c:v>41101</c:v>
                </c:pt>
                <c:pt idx="1612">
                  <c:v>41102</c:v>
                </c:pt>
                <c:pt idx="1613">
                  <c:v>41103</c:v>
                </c:pt>
                <c:pt idx="1614">
                  <c:v>41106</c:v>
                </c:pt>
                <c:pt idx="1615">
                  <c:v>41107</c:v>
                </c:pt>
                <c:pt idx="1616">
                  <c:v>41108</c:v>
                </c:pt>
                <c:pt idx="1617">
                  <c:v>41109</c:v>
                </c:pt>
                <c:pt idx="1618">
                  <c:v>41110</c:v>
                </c:pt>
                <c:pt idx="1619">
                  <c:v>41113</c:v>
                </c:pt>
                <c:pt idx="1620">
                  <c:v>41114</c:v>
                </c:pt>
                <c:pt idx="1621">
                  <c:v>41115</c:v>
                </c:pt>
                <c:pt idx="1622">
                  <c:v>41116</c:v>
                </c:pt>
                <c:pt idx="1623">
                  <c:v>41117</c:v>
                </c:pt>
                <c:pt idx="1624">
                  <c:v>41120</c:v>
                </c:pt>
                <c:pt idx="1625">
                  <c:v>41121</c:v>
                </c:pt>
                <c:pt idx="1626">
                  <c:v>41122</c:v>
                </c:pt>
                <c:pt idx="1627">
                  <c:v>41123</c:v>
                </c:pt>
                <c:pt idx="1628">
                  <c:v>41124</c:v>
                </c:pt>
                <c:pt idx="1629">
                  <c:v>41127</c:v>
                </c:pt>
                <c:pt idx="1630">
                  <c:v>41128</c:v>
                </c:pt>
                <c:pt idx="1631">
                  <c:v>41129</c:v>
                </c:pt>
                <c:pt idx="1632">
                  <c:v>41130</c:v>
                </c:pt>
                <c:pt idx="1633">
                  <c:v>41131</c:v>
                </c:pt>
                <c:pt idx="1634">
                  <c:v>41134</c:v>
                </c:pt>
                <c:pt idx="1635">
                  <c:v>41135</c:v>
                </c:pt>
                <c:pt idx="1636">
                  <c:v>41136</c:v>
                </c:pt>
                <c:pt idx="1637">
                  <c:v>41137</c:v>
                </c:pt>
                <c:pt idx="1638">
                  <c:v>41138</c:v>
                </c:pt>
                <c:pt idx="1639">
                  <c:v>41141</c:v>
                </c:pt>
                <c:pt idx="1640">
                  <c:v>41142</c:v>
                </c:pt>
                <c:pt idx="1641">
                  <c:v>41143</c:v>
                </c:pt>
                <c:pt idx="1642">
                  <c:v>41144</c:v>
                </c:pt>
                <c:pt idx="1643">
                  <c:v>41145</c:v>
                </c:pt>
                <c:pt idx="1644">
                  <c:v>41148</c:v>
                </c:pt>
                <c:pt idx="1645">
                  <c:v>41149</c:v>
                </c:pt>
                <c:pt idx="1646">
                  <c:v>41150</c:v>
                </c:pt>
                <c:pt idx="1647">
                  <c:v>41151</c:v>
                </c:pt>
                <c:pt idx="1648">
                  <c:v>41152</c:v>
                </c:pt>
                <c:pt idx="1649">
                  <c:v>41155</c:v>
                </c:pt>
                <c:pt idx="1650">
                  <c:v>41156</c:v>
                </c:pt>
                <c:pt idx="1651">
                  <c:v>41157</c:v>
                </c:pt>
                <c:pt idx="1652">
                  <c:v>41158</c:v>
                </c:pt>
                <c:pt idx="1653">
                  <c:v>41162</c:v>
                </c:pt>
                <c:pt idx="1654">
                  <c:v>41163</c:v>
                </c:pt>
                <c:pt idx="1655">
                  <c:v>41164</c:v>
                </c:pt>
                <c:pt idx="1656">
                  <c:v>41165</c:v>
                </c:pt>
                <c:pt idx="1657">
                  <c:v>41166</c:v>
                </c:pt>
                <c:pt idx="1658">
                  <c:v>41169</c:v>
                </c:pt>
                <c:pt idx="1659">
                  <c:v>41170</c:v>
                </c:pt>
                <c:pt idx="1660">
                  <c:v>41171</c:v>
                </c:pt>
                <c:pt idx="1661">
                  <c:v>41172</c:v>
                </c:pt>
                <c:pt idx="1662">
                  <c:v>41173</c:v>
                </c:pt>
                <c:pt idx="1663">
                  <c:v>41176</c:v>
                </c:pt>
                <c:pt idx="1664">
                  <c:v>41177</c:v>
                </c:pt>
                <c:pt idx="1665">
                  <c:v>41178</c:v>
                </c:pt>
                <c:pt idx="1666">
                  <c:v>41179</c:v>
                </c:pt>
                <c:pt idx="1667">
                  <c:v>41180</c:v>
                </c:pt>
                <c:pt idx="1668">
                  <c:v>41183</c:v>
                </c:pt>
                <c:pt idx="1669">
                  <c:v>41184</c:v>
                </c:pt>
                <c:pt idx="1670">
                  <c:v>41185</c:v>
                </c:pt>
                <c:pt idx="1671">
                  <c:v>41186</c:v>
                </c:pt>
                <c:pt idx="1672">
                  <c:v>41187</c:v>
                </c:pt>
                <c:pt idx="1673">
                  <c:v>41190</c:v>
                </c:pt>
                <c:pt idx="1674">
                  <c:v>41191</c:v>
                </c:pt>
                <c:pt idx="1675">
                  <c:v>41192</c:v>
                </c:pt>
                <c:pt idx="1676">
                  <c:v>41193</c:v>
                </c:pt>
                <c:pt idx="1677">
                  <c:v>41197</c:v>
                </c:pt>
                <c:pt idx="1678">
                  <c:v>41198</c:v>
                </c:pt>
                <c:pt idx="1679">
                  <c:v>41199</c:v>
                </c:pt>
                <c:pt idx="1680">
                  <c:v>41200</c:v>
                </c:pt>
                <c:pt idx="1681">
                  <c:v>41201</c:v>
                </c:pt>
                <c:pt idx="1682">
                  <c:v>41204</c:v>
                </c:pt>
                <c:pt idx="1683">
                  <c:v>41205</c:v>
                </c:pt>
                <c:pt idx="1684">
                  <c:v>41206</c:v>
                </c:pt>
                <c:pt idx="1685">
                  <c:v>41207</c:v>
                </c:pt>
                <c:pt idx="1686">
                  <c:v>41208</c:v>
                </c:pt>
                <c:pt idx="1687">
                  <c:v>41211</c:v>
                </c:pt>
                <c:pt idx="1688">
                  <c:v>41212</c:v>
                </c:pt>
                <c:pt idx="1689">
                  <c:v>41213</c:v>
                </c:pt>
                <c:pt idx="1690">
                  <c:v>41214</c:v>
                </c:pt>
                <c:pt idx="1691">
                  <c:v>41218</c:v>
                </c:pt>
                <c:pt idx="1692">
                  <c:v>41219</c:v>
                </c:pt>
                <c:pt idx="1693">
                  <c:v>41220</c:v>
                </c:pt>
                <c:pt idx="1694">
                  <c:v>41221</c:v>
                </c:pt>
                <c:pt idx="1695">
                  <c:v>41222</c:v>
                </c:pt>
                <c:pt idx="1696">
                  <c:v>41225</c:v>
                </c:pt>
                <c:pt idx="1697">
                  <c:v>41226</c:v>
                </c:pt>
                <c:pt idx="1698">
                  <c:v>41227</c:v>
                </c:pt>
                <c:pt idx="1699">
                  <c:v>41229</c:v>
                </c:pt>
                <c:pt idx="1700">
                  <c:v>41232</c:v>
                </c:pt>
                <c:pt idx="1701">
                  <c:v>41234</c:v>
                </c:pt>
                <c:pt idx="1702">
                  <c:v>41235</c:v>
                </c:pt>
                <c:pt idx="1703">
                  <c:v>41236</c:v>
                </c:pt>
                <c:pt idx="1704">
                  <c:v>41239</c:v>
                </c:pt>
                <c:pt idx="1705">
                  <c:v>41240</c:v>
                </c:pt>
                <c:pt idx="1706">
                  <c:v>41241</c:v>
                </c:pt>
                <c:pt idx="1707">
                  <c:v>41242</c:v>
                </c:pt>
                <c:pt idx="1708">
                  <c:v>41243</c:v>
                </c:pt>
                <c:pt idx="1709">
                  <c:v>41246</c:v>
                </c:pt>
                <c:pt idx="1710">
                  <c:v>41247</c:v>
                </c:pt>
                <c:pt idx="1711">
                  <c:v>41248</c:v>
                </c:pt>
                <c:pt idx="1712">
                  <c:v>41249</c:v>
                </c:pt>
                <c:pt idx="1713">
                  <c:v>41250</c:v>
                </c:pt>
                <c:pt idx="1714">
                  <c:v>41253</c:v>
                </c:pt>
                <c:pt idx="1715">
                  <c:v>41254</c:v>
                </c:pt>
                <c:pt idx="1716">
                  <c:v>41255</c:v>
                </c:pt>
                <c:pt idx="1717">
                  <c:v>41256</c:v>
                </c:pt>
                <c:pt idx="1718">
                  <c:v>41257</c:v>
                </c:pt>
                <c:pt idx="1719">
                  <c:v>41260</c:v>
                </c:pt>
                <c:pt idx="1720">
                  <c:v>41261</c:v>
                </c:pt>
                <c:pt idx="1721">
                  <c:v>41262</c:v>
                </c:pt>
                <c:pt idx="1722">
                  <c:v>41263</c:v>
                </c:pt>
                <c:pt idx="1723">
                  <c:v>41264</c:v>
                </c:pt>
                <c:pt idx="1724">
                  <c:v>41269</c:v>
                </c:pt>
                <c:pt idx="1725">
                  <c:v>41270</c:v>
                </c:pt>
                <c:pt idx="1726">
                  <c:v>41271</c:v>
                </c:pt>
                <c:pt idx="1727">
                  <c:v>41276</c:v>
                </c:pt>
                <c:pt idx="1728">
                  <c:v>41277</c:v>
                </c:pt>
                <c:pt idx="1729">
                  <c:v>41278</c:v>
                </c:pt>
                <c:pt idx="1730">
                  <c:v>41281</c:v>
                </c:pt>
                <c:pt idx="1731">
                  <c:v>41282</c:v>
                </c:pt>
                <c:pt idx="1732">
                  <c:v>41283</c:v>
                </c:pt>
                <c:pt idx="1733">
                  <c:v>41284</c:v>
                </c:pt>
                <c:pt idx="1734">
                  <c:v>41285</c:v>
                </c:pt>
                <c:pt idx="1735">
                  <c:v>41288</c:v>
                </c:pt>
                <c:pt idx="1736">
                  <c:v>41289</c:v>
                </c:pt>
                <c:pt idx="1737">
                  <c:v>41290</c:v>
                </c:pt>
                <c:pt idx="1738">
                  <c:v>41291</c:v>
                </c:pt>
                <c:pt idx="1739">
                  <c:v>41292</c:v>
                </c:pt>
                <c:pt idx="1740">
                  <c:v>41295</c:v>
                </c:pt>
                <c:pt idx="1741">
                  <c:v>41296</c:v>
                </c:pt>
                <c:pt idx="1742">
                  <c:v>41297</c:v>
                </c:pt>
                <c:pt idx="1743">
                  <c:v>41298</c:v>
                </c:pt>
                <c:pt idx="1744">
                  <c:v>41302</c:v>
                </c:pt>
                <c:pt idx="1745">
                  <c:v>41303</c:v>
                </c:pt>
                <c:pt idx="1746">
                  <c:v>41304</c:v>
                </c:pt>
                <c:pt idx="1747">
                  <c:v>41305</c:v>
                </c:pt>
                <c:pt idx="1748">
                  <c:v>41306</c:v>
                </c:pt>
                <c:pt idx="1749">
                  <c:v>41309</c:v>
                </c:pt>
                <c:pt idx="1750">
                  <c:v>41310</c:v>
                </c:pt>
                <c:pt idx="1751">
                  <c:v>41311</c:v>
                </c:pt>
                <c:pt idx="1752">
                  <c:v>41312</c:v>
                </c:pt>
                <c:pt idx="1753">
                  <c:v>41313</c:v>
                </c:pt>
                <c:pt idx="1754">
                  <c:v>41318</c:v>
                </c:pt>
                <c:pt idx="1755">
                  <c:v>41319</c:v>
                </c:pt>
                <c:pt idx="1756">
                  <c:v>41320</c:v>
                </c:pt>
                <c:pt idx="1757">
                  <c:v>41323</c:v>
                </c:pt>
                <c:pt idx="1758">
                  <c:v>41324</c:v>
                </c:pt>
                <c:pt idx="1759">
                  <c:v>41325</c:v>
                </c:pt>
                <c:pt idx="1760">
                  <c:v>41326</c:v>
                </c:pt>
                <c:pt idx="1761">
                  <c:v>41327</c:v>
                </c:pt>
                <c:pt idx="1762">
                  <c:v>41330</c:v>
                </c:pt>
                <c:pt idx="1763">
                  <c:v>41331</c:v>
                </c:pt>
                <c:pt idx="1764">
                  <c:v>41332</c:v>
                </c:pt>
                <c:pt idx="1765">
                  <c:v>41333</c:v>
                </c:pt>
                <c:pt idx="1766">
                  <c:v>41334</c:v>
                </c:pt>
                <c:pt idx="1767">
                  <c:v>41337</c:v>
                </c:pt>
                <c:pt idx="1768">
                  <c:v>41338</c:v>
                </c:pt>
                <c:pt idx="1769">
                  <c:v>41339</c:v>
                </c:pt>
                <c:pt idx="1770">
                  <c:v>41340</c:v>
                </c:pt>
                <c:pt idx="1771">
                  <c:v>41341</c:v>
                </c:pt>
                <c:pt idx="1772">
                  <c:v>41344</c:v>
                </c:pt>
                <c:pt idx="1773">
                  <c:v>41345</c:v>
                </c:pt>
                <c:pt idx="1774">
                  <c:v>41346</c:v>
                </c:pt>
                <c:pt idx="1775">
                  <c:v>41347</c:v>
                </c:pt>
                <c:pt idx="1776">
                  <c:v>41348</c:v>
                </c:pt>
                <c:pt idx="1777">
                  <c:v>41351</c:v>
                </c:pt>
                <c:pt idx="1778">
                  <c:v>41352</c:v>
                </c:pt>
                <c:pt idx="1779">
                  <c:v>41353</c:v>
                </c:pt>
                <c:pt idx="1780">
                  <c:v>41354</c:v>
                </c:pt>
                <c:pt idx="1781">
                  <c:v>41355</c:v>
                </c:pt>
                <c:pt idx="1782">
                  <c:v>41358</c:v>
                </c:pt>
                <c:pt idx="1783">
                  <c:v>41359</c:v>
                </c:pt>
                <c:pt idx="1784">
                  <c:v>41360</c:v>
                </c:pt>
                <c:pt idx="1785">
                  <c:v>41361</c:v>
                </c:pt>
                <c:pt idx="1786">
                  <c:v>41365</c:v>
                </c:pt>
                <c:pt idx="1787">
                  <c:v>41366</c:v>
                </c:pt>
                <c:pt idx="1788">
                  <c:v>41367</c:v>
                </c:pt>
                <c:pt idx="1789">
                  <c:v>41368</c:v>
                </c:pt>
                <c:pt idx="1790">
                  <c:v>41369</c:v>
                </c:pt>
                <c:pt idx="1791">
                  <c:v>41372</c:v>
                </c:pt>
                <c:pt idx="1792">
                  <c:v>41373</c:v>
                </c:pt>
                <c:pt idx="1793">
                  <c:v>41374</c:v>
                </c:pt>
                <c:pt idx="1794">
                  <c:v>41375</c:v>
                </c:pt>
                <c:pt idx="1795">
                  <c:v>41376</c:v>
                </c:pt>
                <c:pt idx="1796">
                  <c:v>41379</c:v>
                </c:pt>
                <c:pt idx="1797">
                  <c:v>41380</c:v>
                </c:pt>
                <c:pt idx="1798">
                  <c:v>41381</c:v>
                </c:pt>
                <c:pt idx="1799">
                  <c:v>41382</c:v>
                </c:pt>
                <c:pt idx="1800">
                  <c:v>41383</c:v>
                </c:pt>
                <c:pt idx="1801">
                  <c:v>41386</c:v>
                </c:pt>
                <c:pt idx="1802">
                  <c:v>41387</c:v>
                </c:pt>
                <c:pt idx="1803">
                  <c:v>41388</c:v>
                </c:pt>
                <c:pt idx="1804">
                  <c:v>41389</c:v>
                </c:pt>
                <c:pt idx="1805">
                  <c:v>41390</c:v>
                </c:pt>
                <c:pt idx="1806">
                  <c:v>41393</c:v>
                </c:pt>
                <c:pt idx="1807">
                  <c:v>41394</c:v>
                </c:pt>
                <c:pt idx="1808">
                  <c:v>41396</c:v>
                </c:pt>
                <c:pt idx="1809">
                  <c:v>41397</c:v>
                </c:pt>
                <c:pt idx="1810">
                  <c:v>41400</c:v>
                </c:pt>
                <c:pt idx="1811">
                  <c:v>41401</c:v>
                </c:pt>
                <c:pt idx="1812">
                  <c:v>41402</c:v>
                </c:pt>
                <c:pt idx="1813">
                  <c:v>41403</c:v>
                </c:pt>
                <c:pt idx="1814">
                  <c:v>41404</c:v>
                </c:pt>
                <c:pt idx="1815">
                  <c:v>41407</c:v>
                </c:pt>
                <c:pt idx="1816">
                  <c:v>41408</c:v>
                </c:pt>
                <c:pt idx="1817">
                  <c:v>41409</c:v>
                </c:pt>
                <c:pt idx="1818">
                  <c:v>41410</c:v>
                </c:pt>
                <c:pt idx="1819">
                  <c:v>41411</c:v>
                </c:pt>
                <c:pt idx="1820">
                  <c:v>41414</c:v>
                </c:pt>
                <c:pt idx="1821">
                  <c:v>41415</c:v>
                </c:pt>
                <c:pt idx="1822">
                  <c:v>41416</c:v>
                </c:pt>
                <c:pt idx="1823">
                  <c:v>41417</c:v>
                </c:pt>
                <c:pt idx="1824">
                  <c:v>41418</c:v>
                </c:pt>
                <c:pt idx="1825">
                  <c:v>41421</c:v>
                </c:pt>
                <c:pt idx="1826">
                  <c:v>41422</c:v>
                </c:pt>
                <c:pt idx="1827">
                  <c:v>41423</c:v>
                </c:pt>
                <c:pt idx="1828">
                  <c:v>41425</c:v>
                </c:pt>
                <c:pt idx="1829">
                  <c:v>41428</c:v>
                </c:pt>
                <c:pt idx="1830">
                  <c:v>41429</c:v>
                </c:pt>
                <c:pt idx="1831">
                  <c:v>41430</c:v>
                </c:pt>
                <c:pt idx="1832">
                  <c:v>41431</c:v>
                </c:pt>
                <c:pt idx="1833">
                  <c:v>41432</c:v>
                </c:pt>
                <c:pt idx="1834">
                  <c:v>41435</c:v>
                </c:pt>
                <c:pt idx="1835">
                  <c:v>41436</c:v>
                </c:pt>
                <c:pt idx="1836">
                  <c:v>41437</c:v>
                </c:pt>
                <c:pt idx="1837">
                  <c:v>41438</c:v>
                </c:pt>
                <c:pt idx="1838">
                  <c:v>41439</c:v>
                </c:pt>
                <c:pt idx="1839">
                  <c:v>41442</c:v>
                </c:pt>
                <c:pt idx="1840">
                  <c:v>41443</c:v>
                </c:pt>
                <c:pt idx="1841">
                  <c:v>41444</c:v>
                </c:pt>
                <c:pt idx="1842">
                  <c:v>41445</c:v>
                </c:pt>
                <c:pt idx="1843">
                  <c:v>41446</c:v>
                </c:pt>
                <c:pt idx="1844">
                  <c:v>41449</c:v>
                </c:pt>
                <c:pt idx="1845">
                  <c:v>41450</c:v>
                </c:pt>
                <c:pt idx="1846">
                  <c:v>41451</c:v>
                </c:pt>
                <c:pt idx="1847">
                  <c:v>41452</c:v>
                </c:pt>
                <c:pt idx="1848">
                  <c:v>41453</c:v>
                </c:pt>
                <c:pt idx="1849">
                  <c:v>41456</c:v>
                </c:pt>
                <c:pt idx="1850">
                  <c:v>41457</c:v>
                </c:pt>
                <c:pt idx="1851">
                  <c:v>41458</c:v>
                </c:pt>
                <c:pt idx="1852">
                  <c:v>41459</c:v>
                </c:pt>
                <c:pt idx="1853">
                  <c:v>41460</c:v>
                </c:pt>
                <c:pt idx="1854">
                  <c:v>41463</c:v>
                </c:pt>
                <c:pt idx="1855">
                  <c:v>41465</c:v>
                </c:pt>
                <c:pt idx="1856">
                  <c:v>41466</c:v>
                </c:pt>
                <c:pt idx="1857">
                  <c:v>41467</c:v>
                </c:pt>
                <c:pt idx="1858">
                  <c:v>41470</c:v>
                </c:pt>
                <c:pt idx="1859">
                  <c:v>41471</c:v>
                </c:pt>
                <c:pt idx="1860">
                  <c:v>41472</c:v>
                </c:pt>
                <c:pt idx="1861">
                  <c:v>41473</c:v>
                </c:pt>
                <c:pt idx="1862">
                  <c:v>41474</c:v>
                </c:pt>
                <c:pt idx="1863">
                  <c:v>41477</c:v>
                </c:pt>
                <c:pt idx="1864">
                  <c:v>41478</c:v>
                </c:pt>
                <c:pt idx="1865">
                  <c:v>41479</c:v>
                </c:pt>
                <c:pt idx="1866">
                  <c:v>41480</c:v>
                </c:pt>
                <c:pt idx="1867">
                  <c:v>41481</c:v>
                </c:pt>
                <c:pt idx="1868">
                  <c:v>41484</c:v>
                </c:pt>
                <c:pt idx="1869">
                  <c:v>41485</c:v>
                </c:pt>
                <c:pt idx="1870">
                  <c:v>41486</c:v>
                </c:pt>
                <c:pt idx="1871">
                  <c:v>41487</c:v>
                </c:pt>
                <c:pt idx="1872">
                  <c:v>41488</c:v>
                </c:pt>
                <c:pt idx="1873">
                  <c:v>41491</c:v>
                </c:pt>
                <c:pt idx="1874">
                  <c:v>41492</c:v>
                </c:pt>
                <c:pt idx="1875">
                  <c:v>41493</c:v>
                </c:pt>
                <c:pt idx="1876">
                  <c:v>41494</c:v>
                </c:pt>
                <c:pt idx="1877">
                  <c:v>41495</c:v>
                </c:pt>
                <c:pt idx="1878">
                  <c:v>41498</c:v>
                </c:pt>
                <c:pt idx="1879">
                  <c:v>41499</c:v>
                </c:pt>
                <c:pt idx="1880">
                  <c:v>41500</c:v>
                </c:pt>
                <c:pt idx="1881">
                  <c:v>41501</c:v>
                </c:pt>
                <c:pt idx="1882">
                  <c:v>41502</c:v>
                </c:pt>
                <c:pt idx="1883">
                  <c:v>41505</c:v>
                </c:pt>
                <c:pt idx="1884">
                  <c:v>41506</c:v>
                </c:pt>
                <c:pt idx="1885">
                  <c:v>41507</c:v>
                </c:pt>
                <c:pt idx="1886">
                  <c:v>41508</c:v>
                </c:pt>
                <c:pt idx="1887">
                  <c:v>41509</c:v>
                </c:pt>
                <c:pt idx="1888">
                  <c:v>41512</c:v>
                </c:pt>
                <c:pt idx="1889">
                  <c:v>41513</c:v>
                </c:pt>
                <c:pt idx="1890">
                  <c:v>41514</c:v>
                </c:pt>
                <c:pt idx="1891">
                  <c:v>41515</c:v>
                </c:pt>
                <c:pt idx="1892">
                  <c:v>41516</c:v>
                </c:pt>
                <c:pt idx="1893">
                  <c:v>41519</c:v>
                </c:pt>
                <c:pt idx="1894">
                  <c:v>41520</c:v>
                </c:pt>
                <c:pt idx="1895">
                  <c:v>41521</c:v>
                </c:pt>
                <c:pt idx="1896">
                  <c:v>41522</c:v>
                </c:pt>
                <c:pt idx="1897">
                  <c:v>41523</c:v>
                </c:pt>
                <c:pt idx="1898">
                  <c:v>41526</c:v>
                </c:pt>
                <c:pt idx="1899">
                  <c:v>41527</c:v>
                </c:pt>
                <c:pt idx="1900">
                  <c:v>41528</c:v>
                </c:pt>
                <c:pt idx="1901">
                  <c:v>41529</c:v>
                </c:pt>
                <c:pt idx="1902">
                  <c:v>41530</c:v>
                </c:pt>
                <c:pt idx="1903">
                  <c:v>41533</c:v>
                </c:pt>
                <c:pt idx="1904">
                  <c:v>41534</c:v>
                </c:pt>
                <c:pt idx="1905">
                  <c:v>41535</c:v>
                </c:pt>
                <c:pt idx="1906">
                  <c:v>41536</c:v>
                </c:pt>
                <c:pt idx="1907">
                  <c:v>41537</c:v>
                </c:pt>
                <c:pt idx="1908">
                  <c:v>41540</c:v>
                </c:pt>
                <c:pt idx="1909">
                  <c:v>41541</c:v>
                </c:pt>
                <c:pt idx="1910">
                  <c:v>41542</c:v>
                </c:pt>
                <c:pt idx="1911">
                  <c:v>41543</c:v>
                </c:pt>
                <c:pt idx="1912">
                  <c:v>41544</c:v>
                </c:pt>
                <c:pt idx="1913">
                  <c:v>41547</c:v>
                </c:pt>
                <c:pt idx="1914">
                  <c:v>41548</c:v>
                </c:pt>
                <c:pt idx="1915">
                  <c:v>41549</c:v>
                </c:pt>
                <c:pt idx="1916">
                  <c:v>41550</c:v>
                </c:pt>
                <c:pt idx="1917">
                  <c:v>41551</c:v>
                </c:pt>
                <c:pt idx="1918">
                  <c:v>41554</c:v>
                </c:pt>
                <c:pt idx="1919">
                  <c:v>41555</c:v>
                </c:pt>
                <c:pt idx="1920">
                  <c:v>41556</c:v>
                </c:pt>
                <c:pt idx="1921">
                  <c:v>41557</c:v>
                </c:pt>
                <c:pt idx="1922">
                  <c:v>41558</c:v>
                </c:pt>
                <c:pt idx="1923">
                  <c:v>41561</c:v>
                </c:pt>
                <c:pt idx="1924">
                  <c:v>41562</c:v>
                </c:pt>
                <c:pt idx="1925">
                  <c:v>41563</c:v>
                </c:pt>
                <c:pt idx="1926">
                  <c:v>41564</c:v>
                </c:pt>
                <c:pt idx="1927">
                  <c:v>41565</c:v>
                </c:pt>
                <c:pt idx="1928">
                  <c:v>41568</c:v>
                </c:pt>
                <c:pt idx="1929">
                  <c:v>41569</c:v>
                </c:pt>
                <c:pt idx="1930">
                  <c:v>41570</c:v>
                </c:pt>
                <c:pt idx="1931">
                  <c:v>41571</c:v>
                </c:pt>
                <c:pt idx="1932">
                  <c:v>41572</c:v>
                </c:pt>
                <c:pt idx="1933">
                  <c:v>41575</c:v>
                </c:pt>
                <c:pt idx="1934">
                  <c:v>41576</c:v>
                </c:pt>
                <c:pt idx="1935">
                  <c:v>41577</c:v>
                </c:pt>
                <c:pt idx="1936">
                  <c:v>41578</c:v>
                </c:pt>
                <c:pt idx="1937">
                  <c:v>41579</c:v>
                </c:pt>
                <c:pt idx="1938">
                  <c:v>41582</c:v>
                </c:pt>
                <c:pt idx="1939">
                  <c:v>41583</c:v>
                </c:pt>
                <c:pt idx="1940">
                  <c:v>41584</c:v>
                </c:pt>
                <c:pt idx="1941">
                  <c:v>41585</c:v>
                </c:pt>
                <c:pt idx="1942">
                  <c:v>41586</c:v>
                </c:pt>
                <c:pt idx="1943">
                  <c:v>41589</c:v>
                </c:pt>
                <c:pt idx="1944">
                  <c:v>41590</c:v>
                </c:pt>
                <c:pt idx="1945">
                  <c:v>41591</c:v>
                </c:pt>
                <c:pt idx="1946">
                  <c:v>41592</c:v>
                </c:pt>
                <c:pt idx="1947">
                  <c:v>41596</c:v>
                </c:pt>
                <c:pt idx="1948">
                  <c:v>41597</c:v>
                </c:pt>
                <c:pt idx="1949">
                  <c:v>41599</c:v>
                </c:pt>
                <c:pt idx="1950">
                  <c:v>41600</c:v>
                </c:pt>
                <c:pt idx="1951">
                  <c:v>41603</c:v>
                </c:pt>
                <c:pt idx="1952">
                  <c:v>41604</c:v>
                </c:pt>
                <c:pt idx="1953">
                  <c:v>41605</c:v>
                </c:pt>
                <c:pt idx="1954">
                  <c:v>41606</c:v>
                </c:pt>
                <c:pt idx="1955">
                  <c:v>41607</c:v>
                </c:pt>
                <c:pt idx="1956">
                  <c:v>41610</c:v>
                </c:pt>
                <c:pt idx="1957">
                  <c:v>41611</c:v>
                </c:pt>
                <c:pt idx="1958">
                  <c:v>41612</c:v>
                </c:pt>
                <c:pt idx="1959">
                  <c:v>41613</c:v>
                </c:pt>
                <c:pt idx="1960">
                  <c:v>41614</c:v>
                </c:pt>
                <c:pt idx="1961">
                  <c:v>41617</c:v>
                </c:pt>
                <c:pt idx="1962">
                  <c:v>41618</c:v>
                </c:pt>
                <c:pt idx="1963">
                  <c:v>41619</c:v>
                </c:pt>
                <c:pt idx="1964">
                  <c:v>41620</c:v>
                </c:pt>
                <c:pt idx="1965">
                  <c:v>41621</c:v>
                </c:pt>
                <c:pt idx="1966">
                  <c:v>41624</c:v>
                </c:pt>
                <c:pt idx="1967">
                  <c:v>41625</c:v>
                </c:pt>
                <c:pt idx="1968">
                  <c:v>41626</c:v>
                </c:pt>
                <c:pt idx="1969">
                  <c:v>41627</c:v>
                </c:pt>
                <c:pt idx="1970">
                  <c:v>41628</c:v>
                </c:pt>
                <c:pt idx="1971">
                  <c:v>41631</c:v>
                </c:pt>
                <c:pt idx="1972">
                  <c:v>41634</c:v>
                </c:pt>
                <c:pt idx="1973">
                  <c:v>41635</c:v>
                </c:pt>
                <c:pt idx="1974">
                  <c:v>41638</c:v>
                </c:pt>
                <c:pt idx="1975">
                  <c:v>41641</c:v>
                </c:pt>
                <c:pt idx="1976">
                  <c:v>41642</c:v>
                </c:pt>
                <c:pt idx="1977">
                  <c:v>41645</c:v>
                </c:pt>
                <c:pt idx="1978">
                  <c:v>41646</c:v>
                </c:pt>
                <c:pt idx="1979">
                  <c:v>41647</c:v>
                </c:pt>
                <c:pt idx="1980">
                  <c:v>41648</c:v>
                </c:pt>
                <c:pt idx="1981">
                  <c:v>41649</c:v>
                </c:pt>
                <c:pt idx="1982">
                  <c:v>41652</c:v>
                </c:pt>
                <c:pt idx="1983">
                  <c:v>41653</c:v>
                </c:pt>
                <c:pt idx="1984">
                  <c:v>41654</c:v>
                </c:pt>
                <c:pt idx="1985">
                  <c:v>41655</c:v>
                </c:pt>
                <c:pt idx="1986">
                  <c:v>41656</c:v>
                </c:pt>
                <c:pt idx="1987">
                  <c:v>41659</c:v>
                </c:pt>
                <c:pt idx="1988">
                  <c:v>41660</c:v>
                </c:pt>
                <c:pt idx="1989">
                  <c:v>41661</c:v>
                </c:pt>
                <c:pt idx="1990">
                  <c:v>41662</c:v>
                </c:pt>
                <c:pt idx="1991">
                  <c:v>41663</c:v>
                </c:pt>
                <c:pt idx="1992">
                  <c:v>41666</c:v>
                </c:pt>
                <c:pt idx="1993">
                  <c:v>41667</c:v>
                </c:pt>
                <c:pt idx="1994">
                  <c:v>41668</c:v>
                </c:pt>
                <c:pt idx="1995">
                  <c:v>41669</c:v>
                </c:pt>
                <c:pt idx="1996">
                  <c:v>41670</c:v>
                </c:pt>
                <c:pt idx="1997">
                  <c:v>41673</c:v>
                </c:pt>
                <c:pt idx="1998">
                  <c:v>41674</c:v>
                </c:pt>
                <c:pt idx="1999">
                  <c:v>41675</c:v>
                </c:pt>
                <c:pt idx="2000">
                  <c:v>41676</c:v>
                </c:pt>
                <c:pt idx="2001">
                  <c:v>41677</c:v>
                </c:pt>
                <c:pt idx="2002">
                  <c:v>41680</c:v>
                </c:pt>
                <c:pt idx="2003">
                  <c:v>41681</c:v>
                </c:pt>
                <c:pt idx="2004">
                  <c:v>41682</c:v>
                </c:pt>
                <c:pt idx="2005">
                  <c:v>41683</c:v>
                </c:pt>
                <c:pt idx="2006">
                  <c:v>41684</c:v>
                </c:pt>
                <c:pt idx="2007">
                  <c:v>41687</c:v>
                </c:pt>
                <c:pt idx="2008">
                  <c:v>41688</c:v>
                </c:pt>
                <c:pt idx="2009">
                  <c:v>41689</c:v>
                </c:pt>
                <c:pt idx="2010">
                  <c:v>41690</c:v>
                </c:pt>
                <c:pt idx="2011">
                  <c:v>41691</c:v>
                </c:pt>
                <c:pt idx="2012">
                  <c:v>41694</c:v>
                </c:pt>
                <c:pt idx="2013">
                  <c:v>41695</c:v>
                </c:pt>
                <c:pt idx="2014">
                  <c:v>41696</c:v>
                </c:pt>
                <c:pt idx="2015">
                  <c:v>41697</c:v>
                </c:pt>
                <c:pt idx="2016">
                  <c:v>41698</c:v>
                </c:pt>
                <c:pt idx="2017">
                  <c:v>41703</c:v>
                </c:pt>
                <c:pt idx="2018">
                  <c:v>41704</c:v>
                </c:pt>
                <c:pt idx="2019">
                  <c:v>41705</c:v>
                </c:pt>
                <c:pt idx="2020">
                  <c:v>41708</c:v>
                </c:pt>
                <c:pt idx="2021">
                  <c:v>41709</c:v>
                </c:pt>
                <c:pt idx="2022">
                  <c:v>41710</c:v>
                </c:pt>
                <c:pt idx="2023">
                  <c:v>41711</c:v>
                </c:pt>
                <c:pt idx="2024">
                  <c:v>41712</c:v>
                </c:pt>
                <c:pt idx="2025">
                  <c:v>41715</c:v>
                </c:pt>
                <c:pt idx="2026">
                  <c:v>41716</c:v>
                </c:pt>
                <c:pt idx="2027">
                  <c:v>41717</c:v>
                </c:pt>
                <c:pt idx="2028">
                  <c:v>41718</c:v>
                </c:pt>
                <c:pt idx="2029">
                  <c:v>41719</c:v>
                </c:pt>
                <c:pt idx="2030">
                  <c:v>41722</c:v>
                </c:pt>
                <c:pt idx="2031">
                  <c:v>41723</c:v>
                </c:pt>
                <c:pt idx="2032">
                  <c:v>41724</c:v>
                </c:pt>
                <c:pt idx="2033">
                  <c:v>41725</c:v>
                </c:pt>
                <c:pt idx="2034">
                  <c:v>41726</c:v>
                </c:pt>
                <c:pt idx="2035">
                  <c:v>41729</c:v>
                </c:pt>
                <c:pt idx="2036">
                  <c:v>41730</c:v>
                </c:pt>
                <c:pt idx="2037">
                  <c:v>41731</c:v>
                </c:pt>
                <c:pt idx="2038">
                  <c:v>41732</c:v>
                </c:pt>
                <c:pt idx="2039">
                  <c:v>41733</c:v>
                </c:pt>
                <c:pt idx="2040">
                  <c:v>41736</c:v>
                </c:pt>
                <c:pt idx="2041">
                  <c:v>41737</c:v>
                </c:pt>
                <c:pt idx="2042">
                  <c:v>41738</c:v>
                </c:pt>
                <c:pt idx="2043">
                  <c:v>41739</c:v>
                </c:pt>
                <c:pt idx="2044">
                  <c:v>41740</c:v>
                </c:pt>
                <c:pt idx="2045">
                  <c:v>41743</c:v>
                </c:pt>
                <c:pt idx="2046">
                  <c:v>41744</c:v>
                </c:pt>
                <c:pt idx="2047">
                  <c:v>41745</c:v>
                </c:pt>
                <c:pt idx="2048">
                  <c:v>41746</c:v>
                </c:pt>
                <c:pt idx="2049">
                  <c:v>41751</c:v>
                </c:pt>
                <c:pt idx="2050">
                  <c:v>41752</c:v>
                </c:pt>
                <c:pt idx="2051">
                  <c:v>41753</c:v>
                </c:pt>
                <c:pt idx="2052">
                  <c:v>41754</c:v>
                </c:pt>
                <c:pt idx="2053">
                  <c:v>41757</c:v>
                </c:pt>
                <c:pt idx="2054">
                  <c:v>41758</c:v>
                </c:pt>
                <c:pt idx="2055">
                  <c:v>41759</c:v>
                </c:pt>
                <c:pt idx="2056">
                  <c:v>41761</c:v>
                </c:pt>
                <c:pt idx="2057">
                  <c:v>41764</c:v>
                </c:pt>
                <c:pt idx="2058">
                  <c:v>41765</c:v>
                </c:pt>
                <c:pt idx="2059">
                  <c:v>41766</c:v>
                </c:pt>
                <c:pt idx="2060">
                  <c:v>41767</c:v>
                </c:pt>
                <c:pt idx="2061">
                  <c:v>41768</c:v>
                </c:pt>
                <c:pt idx="2062">
                  <c:v>41771</c:v>
                </c:pt>
                <c:pt idx="2063">
                  <c:v>41772</c:v>
                </c:pt>
                <c:pt idx="2064">
                  <c:v>41773</c:v>
                </c:pt>
                <c:pt idx="2065">
                  <c:v>41774</c:v>
                </c:pt>
                <c:pt idx="2066">
                  <c:v>41775</c:v>
                </c:pt>
                <c:pt idx="2067">
                  <c:v>41778</c:v>
                </c:pt>
                <c:pt idx="2068">
                  <c:v>41779</c:v>
                </c:pt>
                <c:pt idx="2069">
                  <c:v>41780</c:v>
                </c:pt>
                <c:pt idx="2070">
                  <c:v>41781</c:v>
                </c:pt>
                <c:pt idx="2071">
                  <c:v>41782</c:v>
                </c:pt>
                <c:pt idx="2072">
                  <c:v>41785</c:v>
                </c:pt>
                <c:pt idx="2073">
                  <c:v>41786</c:v>
                </c:pt>
                <c:pt idx="2074">
                  <c:v>41787</c:v>
                </c:pt>
                <c:pt idx="2075">
                  <c:v>41788</c:v>
                </c:pt>
                <c:pt idx="2076">
                  <c:v>41789</c:v>
                </c:pt>
                <c:pt idx="2077">
                  <c:v>41792</c:v>
                </c:pt>
                <c:pt idx="2078">
                  <c:v>41793</c:v>
                </c:pt>
                <c:pt idx="2079">
                  <c:v>41794</c:v>
                </c:pt>
                <c:pt idx="2080">
                  <c:v>41795</c:v>
                </c:pt>
                <c:pt idx="2081">
                  <c:v>41796</c:v>
                </c:pt>
                <c:pt idx="2082">
                  <c:v>41799</c:v>
                </c:pt>
                <c:pt idx="2083">
                  <c:v>41800</c:v>
                </c:pt>
                <c:pt idx="2084">
                  <c:v>41801</c:v>
                </c:pt>
                <c:pt idx="2085">
                  <c:v>41803</c:v>
                </c:pt>
                <c:pt idx="2086">
                  <c:v>41806</c:v>
                </c:pt>
                <c:pt idx="2087">
                  <c:v>41807</c:v>
                </c:pt>
                <c:pt idx="2088">
                  <c:v>41808</c:v>
                </c:pt>
                <c:pt idx="2089">
                  <c:v>41810</c:v>
                </c:pt>
                <c:pt idx="2090">
                  <c:v>41813</c:v>
                </c:pt>
                <c:pt idx="2091">
                  <c:v>41814</c:v>
                </c:pt>
                <c:pt idx="2092">
                  <c:v>41815</c:v>
                </c:pt>
                <c:pt idx="2093">
                  <c:v>41816</c:v>
                </c:pt>
                <c:pt idx="2094">
                  <c:v>41817</c:v>
                </c:pt>
                <c:pt idx="2095">
                  <c:v>41820</c:v>
                </c:pt>
                <c:pt idx="2096">
                  <c:v>41821</c:v>
                </c:pt>
                <c:pt idx="2097">
                  <c:v>41822</c:v>
                </c:pt>
                <c:pt idx="2098">
                  <c:v>41823</c:v>
                </c:pt>
                <c:pt idx="2099">
                  <c:v>41824</c:v>
                </c:pt>
                <c:pt idx="2100">
                  <c:v>41827</c:v>
                </c:pt>
                <c:pt idx="2101">
                  <c:v>41828</c:v>
                </c:pt>
                <c:pt idx="2102">
                  <c:v>41830</c:v>
                </c:pt>
                <c:pt idx="2103">
                  <c:v>41831</c:v>
                </c:pt>
                <c:pt idx="2104">
                  <c:v>41834</c:v>
                </c:pt>
                <c:pt idx="2105">
                  <c:v>41835</c:v>
                </c:pt>
                <c:pt idx="2106">
                  <c:v>41836</c:v>
                </c:pt>
                <c:pt idx="2107">
                  <c:v>41837</c:v>
                </c:pt>
                <c:pt idx="2108">
                  <c:v>41838</c:v>
                </c:pt>
                <c:pt idx="2109">
                  <c:v>41841</c:v>
                </c:pt>
                <c:pt idx="2110">
                  <c:v>41842</c:v>
                </c:pt>
                <c:pt idx="2111">
                  <c:v>41843</c:v>
                </c:pt>
                <c:pt idx="2112">
                  <c:v>41844</c:v>
                </c:pt>
                <c:pt idx="2113">
                  <c:v>41845</c:v>
                </c:pt>
                <c:pt idx="2114">
                  <c:v>41848</c:v>
                </c:pt>
                <c:pt idx="2115">
                  <c:v>41849</c:v>
                </c:pt>
                <c:pt idx="2116">
                  <c:v>41850</c:v>
                </c:pt>
                <c:pt idx="2117">
                  <c:v>41851</c:v>
                </c:pt>
                <c:pt idx="2118">
                  <c:v>41852</c:v>
                </c:pt>
                <c:pt idx="2119">
                  <c:v>41855</c:v>
                </c:pt>
                <c:pt idx="2120">
                  <c:v>41856</c:v>
                </c:pt>
                <c:pt idx="2121">
                  <c:v>41857</c:v>
                </c:pt>
                <c:pt idx="2122">
                  <c:v>41858</c:v>
                </c:pt>
                <c:pt idx="2123">
                  <c:v>41859</c:v>
                </c:pt>
                <c:pt idx="2124">
                  <c:v>41862</c:v>
                </c:pt>
                <c:pt idx="2125">
                  <c:v>41863</c:v>
                </c:pt>
                <c:pt idx="2126">
                  <c:v>41864</c:v>
                </c:pt>
                <c:pt idx="2127">
                  <c:v>41865</c:v>
                </c:pt>
                <c:pt idx="2128">
                  <c:v>41866</c:v>
                </c:pt>
                <c:pt idx="2129">
                  <c:v>41869</c:v>
                </c:pt>
                <c:pt idx="2130">
                  <c:v>41870</c:v>
                </c:pt>
                <c:pt idx="2131">
                  <c:v>41871</c:v>
                </c:pt>
                <c:pt idx="2132">
                  <c:v>41872</c:v>
                </c:pt>
                <c:pt idx="2133">
                  <c:v>41873</c:v>
                </c:pt>
                <c:pt idx="2134">
                  <c:v>41876</c:v>
                </c:pt>
                <c:pt idx="2135">
                  <c:v>41877</c:v>
                </c:pt>
                <c:pt idx="2136">
                  <c:v>41878</c:v>
                </c:pt>
                <c:pt idx="2137">
                  <c:v>41879</c:v>
                </c:pt>
                <c:pt idx="2138">
                  <c:v>41880</c:v>
                </c:pt>
                <c:pt idx="2139">
                  <c:v>41883</c:v>
                </c:pt>
                <c:pt idx="2140">
                  <c:v>41884</c:v>
                </c:pt>
                <c:pt idx="2141">
                  <c:v>41885</c:v>
                </c:pt>
                <c:pt idx="2142">
                  <c:v>41886</c:v>
                </c:pt>
                <c:pt idx="2143">
                  <c:v>41887</c:v>
                </c:pt>
                <c:pt idx="2144">
                  <c:v>41890</c:v>
                </c:pt>
                <c:pt idx="2145">
                  <c:v>41891</c:v>
                </c:pt>
                <c:pt idx="2146">
                  <c:v>41892</c:v>
                </c:pt>
                <c:pt idx="2147">
                  <c:v>41893</c:v>
                </c:pt>
                <c:pt idx="2148">
                  <c:v>41894</c:v>
                </c:pt>
                <c:pt idx="2149">
                  <c:v>41897</c:v>
                </c:pt>
                <c:pt idx="2150">
                  <c:v>41898</c:v>
                </c:pt>
                <c:pt idx="2151">
                  <c:v>41899</c:v>
                </c:pt>
                <c:pt idx="2152">
                  <c:v>41900</c:v>
                </c:pt>
                <c:pt idx="2153">
                  <c:v>41901</c:v>
                </c:pt>
                <c:pt idx="2154">
                  <c:v>41904</c:v>
                </c:pt>
                <c:pt idx="2155">
                  <c:v>41905</c:v>
                </c:pt>
                <c:pt idx="2156">
                  <c:v>41906</c:v>
                </c:pt>
                <c:pt idx="2157">
                  <c:v>41907</c:v>
                </c:pt>
                <c:pt idx="2158">
                  <c:v>41908</c:v>
                </c:pt>
                <c:pt idx="2159">
                  <c:v>41911</c:v>
                </c:pt>
                <c:pt idx="2160">
                  <c:v>41912</c:v>
                </c:pt>
                <c:pt idx="2161">
                  <c:v>41913</c:v>
                </c:pt>
                <c:pt idx="2162">
                  <c:v>41914</c:v>
                </c:pt>
                <c:pt idx="2163">
                  <c:v>41915</c:v>
                </c:pt>
                <c:pt idx="2164">
                  <c:v>41918</c:v>
                </c:pt>
                <c:pt idx="2165">
                  <c:v>41919</c:v>
                </c:pt>
                <c:pt idx="2166">
                  <c:v>41920</c:v>
                </c:pt>
                <c:pt idx="2167">
                  <c:v>41921</c:v>
                </c:pt>
                <c:pt idx="2168">
                  <c:v>41922</c:v>
                </c:pt>
                <c:pt idx="2169">
                  <c:v>41925</c:v>
                </c:pt>
                <c:pt idx="2170">
                  <c:v>41926</c:v>
                </c:pt>
                <c:pt idx="2171">
                  <c:v>41927</c:v>
                </c:pt>
                <c:pt idx="2172">
                  <c:v>41928</c:v>
                </c:pt>
                <c:pt idx="2173">
                  <c:v>41929</c:v>
                </c:pt>
                <c:pt idx="2174">
                  <c:v>41932</c:v>
                </c:pt>
                <c:pt idx="2175">
                  <c:v>41933</c:v>
                </c:pt>
                <c:pt idx="2176">
                  <c:v>41934</c:v>
                </c:pt>
                <c:pt idx="2177">
                  <c:v>41935</c:v>
                </c:pt>
                <c:pt idx="2178">
                  <c:v>41936</c:v>
                </c:pt>
                <c:pt idx="2179">
                  <c:v>41939</c:v>
                </c:pt>
                <c:pt idx="2180">
                  <c:v>41940</c:v>
                </c:pt>
                <c:pt idx="2181">
                  <c:v>41941</c:v>
                </c:pt>
                <c:pt idx="2182">
                  <c:v>41942</c:v>
                </c:pt>
                <c:pt idx="2183">
                  <c:v>41943</c:v>
                </c:pt>
                <c:pt idx="2184">
                  <c:v>41946</c:v>
                </c:pt>
                <c:pt idx="2185">
                  <c:v>41947</c:v>
                </c:pt>
                <c:pt idx="2186">
                  <c:v>41948</c:v>
                </c:pt>
                <c:pt idx="2187">
                  <c:v>41949</c:v>
                </c:pt>
                <c:pt idx="2188">
                  <c:v>41950</c:v>
                </c:pt>
                <c:pt idx="2189">
                  <c:v>41953</c:v>
                </c:pt>
                <c:pt idx="2190">
                  <c:v>41954</c:v>
                </c:pt>
                <c:pt idx="2191">
                  <c:v>41955</c:v>
                </c:pt>
                <c:pt idx="2192">
                  <c:v>41956</c:v>
                </c:pt>
                <c:pt idx="2193">
                  <c:v>41957</c:v>
                </c:pt>
                <c:pt idx="2194">
                  <c:v>41960</c:v>
                </c:pt>
                <c:pt idx="2195">
                  <c:v>41961</c:v>
                </c:pt>
                <c:pt idx="2196">
                  <c:v>41962</c:v>
                </c:pt>
                <c:pt idx="2197">
                  <c:v>41964</c:v>
                </c:pt>
                <c:pt idx="2198">
                  <c:v>41967</c:v>
                </c:pt>
                <c:pt idx="2199">
                  <c:v>41968</c:v>
                </c:pt>
                <c:pt idx="2200">
                  <c:v>41969</c:v>
                </c:pt>
                <c:pt idx="2201">
                  <c:v>41970</c:v>
                </c:pt>
                <c:pt idx="2202">
                  <c:v>41971</c:v>
                </c:pt>
                <c:pt idx="2203">
                  <c:v>41974</c:v>
                </c:pt>
                <c:pt idx="2204">
                  <c:v>41975</c:v>
                </c:pt>
                <c:pt idx="2205">
                  <c:v>41976</c:v>
                </c:pt>
                <c:pt idx="2206">
                  <c:v>41977</c:v>
                </c:pt>
                <c:pt idx="2207">
                  <c:v>41978</c:v>
                </c:pt>
                <c:pt idx="2208">
                  <c:v>41981</c:v>
                </c:pt>
                <c:pt idx="2209">
                  <c:v>41982</c:v>
                </c:pt>
                <c:pt idx="2210">
                  <c:v>41983</c:v>
                </c:pt>
                <c:pt idx="2211">
                  <c:v>41984</c:v>
                </c:pt>
                <c:pt idx="2212">
                  <c:v>41985</c:v>
                </c:pt>
                <c:pt idx="2213">
                  <c:v>41988</c:v>
                </c:pt>
                <c:pt idx="2214">
                  <c:v>41989</c:v>
                </c:pt>
                <c:pt idx="2215">
                  <c:v>41990</c:v>
                </c:pt>
                <c:pt idx="2216">
                  <c:v>41991</c:v>
                </c:pt>
                <c:pt idx="2217">
                  <c:v>41992</c:v>
                </c:pt>
                <c:pt idx="2218">
                  <c:v>41995</c:v>
                </c:pt>
                <c:pt idx="2219">
                  <c:v>41996</c:v>
                </c:pt>
                <c:pt idx="2220">
                  <c:v>41999</c:v>
                </c:pt>
                <c:pt idx="2221">
                  <c:v>42002</c:v>
                </c:pt>
                <c:pt idx="2222">
                  <c:v>42003</c:v>
                </c:pt>
                <c:pt idx="2223">
                  <c:v>42006</c:v>
                </c:pt>
                <c:pt idx="2224">
                  <c:v>42009</c:v>
                </c:pt>
                <c:pt idx="2225">
                  <c:v>42010</c:v>
                </c:pt>
                <c:pt idx="2226">
                  <c:v>42011</c:v>
                </c:pt>
                <c:pt idx="2227">
                  <c:v>42012</c:v>
                </c:pt>
                <c:pt idx="2228">
                  <c:v>42013</c:v>
                </c:pt>
                <c:pt idx="2229">
                  <c:v>42016</c:v>
                </c:pt>
                <c:pt idx="2230">
                  <c:v>42017</c:v>
                </c:pt>
                <c:pt idx="2231">
                  <c:v>42018</c:v>
                </c:pt>
                <c:pt idx="2232">
                  <c:v>42019</c:v>
                </c:pt>
                <c:pt idx="2233">
                  <c:v>42020</c:v>
                </c:pt>
                <c:pt idx="2234">
                  <c:v>42023</c:v>
                </c:pt>
                <c:pt idx="2235">
                  <c:v>42024</c:v>
                </c:pt>
                <c:pt idx="2236">
                  <c:v>42025</c:v>
                </c:pt>
                <c:pt idx="2237">
                  <c:v>42026</c:v>
                </c:pt>
                <c:pt idx="2238">
                  <c:v>42027</c:v>
                </c:pt>
                <c:pt idx="2239">
                  <c:v>42030</c:v>
                </c:pt>
                <c:pt idx="2240">
                  <c:v>42031</c:v>
                </c:pt>
                <c:pt idx="2241">
                  <c:v>42032</c:v>
                </c:pt>
                <c:pt idx="2242">
                  <c:v>42033</c:v>
                </c:pt>
                <c:pt idx="2243">
                  <c:v>42034</c:v>
                </c:pt>
                <c:pt idx="2244">
                  <c:v>42037</c:v>
                </c:pt>
                <c:pt idx="2245">
                  <c:v>42038</c:v>
                </c:pt>
                <c:pt idx="2246">
                  <c:v>42039</c:v>
                </c:pt>
                <c:pt idx="2247">
                  <c:v>42040</c:v>
                </c:pt>
                <c:pt idx="2248">
                  <c:v>42041</c:v>
                </c:pt>
                <c:pt idx="2249">
                  <c:v>42044</c:v>
                </c:pt>
                <c:pt idx="2250">
                  <c:v>42045</c:v>
                </c:pt>
                <c:pt idx="2251">
                  <c:v>42046</c:v>
                </c:pt>
                <c:pt idx="2252">
                  <c:v>42047</c:v>
                </c:pt>
                <c:pt idx="2253">
                  <c:v>42048</c:v>
                </c:pt>
                <c:pt idx="2254">
                  <c:v>42053</c:v>
                </c:pt>
                <c:pt idx="2255">
                  <c:v>42054</c:v>
                </c:pt>
                <c:pt idx="2256">
                  <c:v>42055</c:v>
                </c:pt>
                <c:pt idx="2257">
                  <c:v>42058</c:v>
                </c:pt>
                <c:pt idx="2258">
                  <c:v>42059</c:v>
                </c:pt>
                <c:pt idx="2259">
                  <c:v>42060</c:v>
                </c:pt>
                <c:pt idx="2260">
                  <c:v>42061</c:v>
                </c:pt>
                <c:pt idx="2261">
                  <c:v>42062</c:v>
                </c:pt>
                <c:pt idx="2262">
                  <c:v>42065</c:v>
                </c:pt>
                <c:pt idx="2263">
                  <c:v>42066</c:v>
                </c:pt>
                <c:pt idx="2264">
                  <c:v>42067</c:v>
                </c:pt>
                <c:pt idx="2265">
                  <c:v>42068</c:v>
                </c:pt>
                <c:pt idx="2266">
                  <c:v>42069</c:v>
                </c:pt>
                <c:pt idx="2267">
                  <c:v>42072</c:v>
                </c:pt>
                <c:pt idx="2268">
                  <c:v>42073</c:v>
                </c:pt>
                <c:pt idx="2269">
                  <c:v>42074</c:v>
                </c:pt>
                <c:pt idx="2270">
                  <c:v>42075</c:v>
                </c:pt>
                <c:pt idx="2271">
                  <c:v>42076</c:v>
                </c:pt>
                <c:pt idx="2272">
                  <c:v>42079</c:v>
                </c:pt>
                <c:pt idx="2273">
                  <c:v>42080</c:v>
                </c:pt>
                <c:pt idx="2274">
                  <c:v>42081</c:v>
                </c:pt>
                <c:pt idx="2275">
                  <c:v>42082</c:v>
                </c:pt>
                <c:pt idx="2276">
                  <c:v>42083</c:v>
                </c:pt>
                <c:pt idx="2277">
                  <c:v>42086</c:v>
                </c:pt>
                <c:pt idx="2278">
                  <c:v>42087</c:v>
                </c:pt>
                <c:pt idx="2279">
                  <c:v>42088</c:v>
                </c:pt>
                <c:pt idx="2280">
                  <c:v>42089</c:v>
                </c:pt>
                <c:pt idx="2281">
                  <c:v>42090</c:v>
                </c:pt>
                <c:pt idx="2282">
                  <c:v>42093</c:v>
                </c:pt>
                <c:pt idx="2283">
                  <c:v>42094</c:v>
                </c:pt>
                <c:pt idx="2284">
                  <c:v>42095</c:v>
                </c:pt>
                <c:pt idx="2285">
                  <c:v>42096</c:v>
                </c:pt>
                <c:pt idx="2286">
                  <c:v>42100</c:v>
                </c:pt>
                <c:pt idx="2287">
                  <c:v>42101</c:v>
                </c:pt>
                <c:pt idx="2288">
                  <c:v>42102</c:v>
                </c:pt>
                <c:pt idx="2289">
                  <c:v>42103</c:v>
                </c:pt>
                <c:pt idx="2290">
                  <c:v>42104</c:v>
                </c:pt>
                <c:pt idx="2291">
                  <c:v>42107</c:v>
                </c:pt>
                <c:pt idx="2292">
                  <c:v>42108</c:v>
                </c:pt>
                <c:pt idx="2293">
                  <c:v>42109</c:v>
                </c:pt>
                <c:pt idx="2294">
                  <c:v>42110</c:v>
                </c:pt>
                <c:pt idx="2295">
                  <c:v>42111</c:v>
                </c:pt>
                <c:pt idx="2296">
                  <c:v>42114</c:v>
                </c:pt>
                <c:pt idx="2297">
                  <c:v>42116</c:v>
                </c:pt>
                <c:pt idx="2298">
                  <c:v>42117</c:v>
                </c:pt>
                <c:pt idx="2299">
                  <c:v>42118</c:v>
                </c:pt>
                <c:pt idx="2300">
                  <c:v>42121</c:v>
                </c:pt>
                <c:pt idx="2301">
                  <c:v>42122</c:v>
                </c:pt>
                <c:pt idx="2302">
                  <c:v>42123</c:v>
                </c:pt>
                <c:pt idx="2303">
                  <c:v>42124</c:v>
                </c:pt>
                <c:pt idx="2304">
                  <c:v>42128</c:v>
                </c:pt>
                <c:pt idx="2305">
                  <c:v>42129</c:v>
                </c:pt>
                <c:pt idx="2306">
                  <c:v>42130</c:v>
                </c:pt>
                <c:pt idx="2307">
                  <c:v>42131</c:v>
                </c:pt>
                <c:pt idx="2308">
                  <c:v>42132</c:v>
                </c:pt>
                <c:pt idx="2309">
                  <c:v>42135</c:v>
                </c:pt>
                <c:pt idx="2310">
                  <c:v>42136</c:v>
                </c:pt>
                <c:pt idx="2311">
                  <c:v>42137</c:v>
                </c:pt>
                <c:pt idx="2312">
                  <c:v>42138</c:v>
                </c:pt>
                <c:pt idx="2313">
                  <c:v>42139</c:v>
                </c:pt>
                <c:pt idx="2314">
                  <c:v>42142</c:v>
                </c:pt>
                <c:pt idx="2315">
                  <c:v>42143</c:v>
                </c:pt>
                <c:pt idx="2316">
                  <c:v>42144</c:v>
                </c:pt>
                <c:pt idx="2317">
                  <c:v>42145</c:v>
                </c:pt>
                <c:pt idx="2318">
                  <c:v>42146</c:v>
                </c:pt>
                <c:pt idx="2319">
                  <c:v>42149</c:v>
                </c:pt>
                <c:pt idx="2320">
                  <c:v>42150</c:v>
                </c:pt>
                <c:pt idx="2321">
                  <c:v>42151</c:v>
                </c:pt>
                <c:pt idx="2322">
                  <c:v>42152</c:v>
                </c:pt>
                <c:pt idx="2323">
                  <c:v>42153</c:v>
                </c:pt>
                <c:pt idx="2324">
                  <c:v>42156</c:v>
                </c:pt>
                <c:pt idx="2325">
                  <c:v>42157</c:v>
                </c:pt>
                <c:pt idx="2326">
                  <c:v>42158</c:v>
                </c:pt>
                <c:pt idx="2327">
                  <c:v>42160</c:v>
                </c:pt>
                <c:pt idx="2328">
                  <c:v>42163</c:v>
                </c:pt>
                <c:pt idx="2329">
                  <c:v>42164</c:v>
                </c:pt>
                <c:pt idx="2330">
                  <c:v>42165</c:v>
                </c:pt>
                <c:pt idx="2331">
                  <c:v>42166</c:v>
                </c:pt>
                <c:pt idx="2332">
                  <c:v>42167</c:v>
                </c:pt>
                <c:pt idx="2333">
                  <c:v>42170</c:v>
                </c:pt>
                <c:pt idx="2334">
                  <c:v>42171</c:v>
                </c:pt>
                <c:pt idx="2335">
                  <c:v>42172</c:v>
                </c:pt>
                <c:pt idx="2336">
                  <c:v>42173</c:v>
                </c:pt>
                <c:pt idx="2337">
                  <c:v>42174</c:v>
                </c:pt>
                <c:pt idx="2338">
                  <c:v>42177</c:v>
                </c:pt>
                <c:pt idx="2339">
                  <c:v>42178</c:v>
                </c:pt>
                <c:pt idx="2340">
                  <c:v>42179</c:v>
                </c:pt>
                <c:pt idx="2341">
                  <c:v>42180</c:v>
                </c:pt>
                <c:pt idx="2342">
                  <c:v>42181</c:v>
                </c:pt>
                <c:pt idx="2343">
                  <c:v>42184</c:v>
                </c:pt>
                <c:pt idx="2344">
                  <c:v>42185</c:v>
                </c:pt>
                <c:pt idx="2345">
                  <c:v>42186</c:v>
                </c:pt>
                <c:pt idx="2346">
                  <c:v>42187</c:v>
                </c:pt>
                <c:pt idx="2347">
                  <c:v>42188</c:v>
                </c:pt>
                <c:pt idx="2348">
                  <c:v>42191</c:v>
                </c:pt>
                <c:pt idx="2349">
                  <c:v>42192</c:v>
                </c:pt>
                <c:pt idx="2350">
                  <c:v>42193</c:v>
                </c:pt>
                <c:pt idx="2351">
                  <c:v>42195</c:v>
                </c:pt>
                <c:pt idx="2352">
                  <c:v>42198</c:v>
                </c:pt>
                <c:pt idx="2353">
                  <c:v>42199</c:v>
                </c:pt>
                <c:pt idx="2354">
                  <c:v>42200</c:v>
                </c:pt>
                <c:pt idx="2355">
                  <c:v>42201</c:v>
                </c:pt>
                <c:pt idx="2356">
                  <c:v>42202</c:v>
                </c:pt>
                <c:pt idx="2357">
                  <c:v>42205</c:v>
                </c:pt>
                <c:pt idx="2358">
                  <c:v>42206</c:v>
                </c:pt>
                <c:pt idx="2359">
                  <c:v>42207</c:v>
                </c:pt>
                <c:pt idx="2360">
                  <c:v>42208</c:v>
                </c:pt>
                <c:pt idx="2361">
                  <c:v>42209</c:v>
                </c:pt>
                <c:pt idx="2362">
                  <c:v>42212</c:v>
                </c:pt>
                <c:pt idx="2363">
                  <c:v>42213</c:v>
                </c:pt>
                <c:pt idx="2364">
                  <c:v>42214</c:v>
                </c:pt>
                <c:pt idx="2365">
                  <c:v>42215</c:v>
                </c:pt>
                <c:pt idx="2366">
                  <c:v>42216</c:v>
                </c:pt>
                <c:pt idx="2367">
                  <c:v>42219</c:v>
                </c:pt>
                <c:pt idx="2368">
                  <c:v>42220</c:v>
                </c:pt>
                <c:pt idx="2369">
                  <c:v>42221</c:v>
                </c:pt>
                <c:pt idx="2370">
                  <c:v>42222</c:v>
                </c:pt>
                <c:pt idx="2371">
                  <c:v>42223</c:v>
                </c:pt>
                <c:pt idx="2372">
                  <c:v>42226</c:v>
                </c:pt>
                <c:pt idx="2373">
                  <c:v>42227</c:v>
                </c:pt>
                <c:pt idx="2374">
                  <c:v>42228</c:v>
                </c:pt>
                <c:pt idx="2375">
                  <c:v>42229</c:v>
                </c:pt>
                <c:pt idx="2376">
                  <c:v>42230</c:v>
                </c:pt>
                <c:pt idx="2377">
                  <c:v>42233</c:v>
                </c:pt>
                <c:pt idx="2378">
                  <c:v>42234</c:v>
                </c:pt>
                <c:pt idx="2379">
                  <c:v>42235</c:v>
                </c:pt>
                <c:pt idx="2380">
                  <c:v>42236</c:v>
                </c:pt>
                <c:pt idx="2381">
                  <c:v>42237</c:v>
                </c:pt>
                <c:pt idx="2382">
                  <c:v>42240</c:v>
                </c:pt>
                <c:pt idx="2383">
                  <c:v>42241</c:v>
                </c:pt>
                <c:pt idx="2384">
                  <c:v>42242</c:v>
                </c:pt>
                <c:pt idx="2385">
                  <c:v>42243</c:v>
                </c:pt>
                <c:pt idx="2386">
                  <c:v>42244</c:v>
                </c:pt>
                <c:pt idx="2387">
                  <c:v>42247</c:v>
                </c:pt>
                <c:pt idx="2388">
                  <c:v>42248</c:v>
                </c:pt>
                <c:pt idx="2389">
                  <c:v>42249</c:v>
                </c:pt>
                <c:pt idx="2390">
                  <c:v>42250</c:v>
                </c:pt>
                <c:pt idx="2391">
                  <c:v>42251</c:v>
                </c:pt>
                <c:pt idx="2392">
                  <c:v>42255</c:v>
                </c:pt>
                <c:pt idx="2393">
                  <c:v>42256</c:v>
                </c:pt>
                <c:pt idx="2394">
                  <c:v>42257</c:v>
                </c:pt>
                <c:pt idx="2395">
                  <c:v>42258</c:v>
                </c:pt>
                <c:pt idx="2396">
                  <c:v>42261</c:v>
                </c:pt>
                <c:pt idx="2397">
                  <c:v>42262</c:v>
                </c:pt>
                <c:pt idx="2398">
                  <c:v>42263</c:v>
                </c:pt>
                <c:pt idx="2399">
                  <c:v>42264</c:v>
                </c:pt>
                <c:pt idx="2400">
                  <c:v>42265</c:v>
                </c:pt>
                <c:pt idx="2401">
                  <c:v>42268</c:v>
                </c:pt>
                <c:pt idx="2402">
                  <c:v>42269</c:v>
                </c:pt>
                <c:pt idx="2403">
                  <c:v>42270</c:v>
                </c:pt>
                <c:pt idx="2404">
                  <c:v>42271</c:v>
                </c:pt>
                <c:pt idx="2405">
                  <c:v>42272</c:v>
                </c:pt>
                <c:pt idx="2406">
                  <c:v>42275</c:v>
                </c:pt>
                <c:pt idx="2407">
                  <c:v>42276</c:v>
                </c:pt>
                <c:pt idx="2408">
                  <c:v>42277</c:v>
                </c:pt>
                <c:pt idx="2409">
                  <c:v>42278</c:v>
                </c:pt>
                <c:pt idx="2410">
                  <c:v>42279</c:v>
                </c:pt>
                <c:pt idx="2411">
                  <c:v>42282</c:v>
                </c:pt>
                <c:pt idx="2412">
                  <c:v>42283</c:v>
                </c:pt>
                <c:pt idx="2413">
                  <c:v>42284</c:v>
                </c:pt>
                <c:pt idx="2414">
                  <c:v>42285</c:v>
                </c:pt>
                <c:pt idx="2415">
                  <c:v>42286</c:v>
                </c:pt>
                <c:pt idx="2416">
                  <c:v>42290</c:v>
                </c:pt>
                <c:pt idx="2417">
                  <c:v>42291</c:v>
                </c:pt>
                <c:pt idx="2418">
                  <c:v>42292</c:v>
                </c:pt>
                <c:pt idx="2419">
                  <c:v>42293</c:v>
                </c:pt>
                <c:pt idx="2420">
                  <c:v>42296</c:v>
                </c:pt>
                <c:pt idx="2421">
                  <c:v>42297</c:v>
                </c:pt>
                <c:pt idx="2422">
                  <c:v>42298</c:v>
                </c:pt>
                <c:pt idx="2423">
                  <c:v>42299</c:v>
                </c:pt>
                <c:pt idx="2424">
                  <c:v>42300</c:v>
                </c:pt>
                <c:pt idx="2425">
                  <c:v>42303</c:v>
                </c:pt>
                <c:pt idx="2426">
                  <c:v>42304</c:v>
                </c:pt>
                <c:pt idx="2427">
                  <c:v>42305</c:v>
                </c:pt>
                <c:pt idx="2428">
                  <c:v>42306</c:v>
                </c:pt>
                <c:pt idx="2429">
                  <c:v>42307</c:v>
                </c:pt>
                <c:pt idx="2430">
                  <c:v>42311</c:v>
                </c:pt>
                <c:pt idx="2431">
                  <c:v>42312</c:v>
                </c:pt>
                <c:pt idx="2432">
                  <c:v>42313</c:v>
                </c:pt>
                <c:pt idx="2433">
                  <c:v>42314</c:v>
                </c:pt>
                <c:pt idx="2434">
                  <c:v>42317</c:v>
                </c:pt>
                <c:pt idx="2435">
                  <c:v>42318</c:v>
                </c:pt>
                <c:pt idx="2436">
                  <c:v>42319</c:v>
                </c:pt>
                <c:pt idx="2437">
                  <c:v>42320</c:v>
                </c:pt>
                <c:pt idx="2438">
                  <c:v>42321</c:v>
                </c:pt>
                <c:pt idx="2439">
                  <c:v>42324</c:v>
                </c:pt>
                <c:pt idx="2440">
                  <c:v>42325</c:v>
                </c:pt>
                <c:pt idx="2441">
                  <c:v>42326</c:v>
                </c:pt>
                <c:pt idx="2442">
                  <c:v>42327</c:v>
                </c:pt>
                <c:pt idx="2443">
                  <c:v>42331</c:v>
                </c:pt>
                <c:pt idx="2444">
                  <c:v>42332</c:v>
                </c:pt>
                <c:pt idx="2445">
                  <c:v>42333</c:v>
                </c:pt>
                <c:pt idx="2446">
                  <c:v>42334</c:v>
                </c:pt>
                <c:pt idx="2447">
                  <c:v>42335</c:v>
                </c:pt>
                <c:pt idx="2448">
                  <c:v>42338</c:v>
                </c:pt>
                <c:pt idx="2449">
                  <c:v>42339</c:v>
                </c:pt>
                <c:pt idx="2450">
                  <c:v>42340</c:v>
                </c:pt>
                <c:pt idx="2451">
                  <c:v>42341</c:v>
                </c:pt>
                <c:pt idx="2452">
                  <c:v>42342</c:v>
                </c:pt>
                <c:pt idx="2453">
                  <c:v>42345</c:v>
                </c:pt>
                <c:pt idx="2454">
                  <c:v>42346</c:v>
                </c:pt>
                <c:pt idx="2455">
                  <c:v>42347</c:v>
                </c:pt>
                <c:pt idx="2456">
                  <c:v>42348</c:v>
                </c:pt>
                <c:pt idx="2457">
                  <c:v>42349</c:v>
                </c:pt>
                <c:pt idx="2458">
                  <c:v>42352</c:v>
                </c:pt>
                <c:pt idx="2459">
                  <c:v>42353</c:v>
                </c:pt>
                <c:pt idx="2460">
                  <c:v>42354</c:v>
                </c:pt>
                <c:pt idx="2461">
                  <c:v>42355</c:v>
                </c:pt>
                <c:pt idx="2462">
                  <c:v>42356</c:v>
                </c:pt>
                <c:pt idx="2463">
                  <c:v>42359</c:v>
                </c:pt>
                <c:pt idx="2464">
                  <c:v>42360</c:v>
                </c:pt>
                <c:pt idx="2465">
                  <c:v>42361</c:v>
                </c:pt>
                <c:pt idx="2466">
                  <c:v>42366</c:v>
                </c:pt>
                <c:pt idx="2467">
                  <c:v>42367</c:v>
                </c:pt>
                <c:pt idx="2468">
                  <c:v>42368</c:v>
                </c:pt>
                <c:pt idx="2469">
                  <c:v>42373</c:v>
                </c:pt>
                <c:pt idx="2470">
                  <c:v>42374</c:v>
                </c:pt>
                <c:pt idx="2471">
                  <c:v>42375</c:v>
                </c:pt>
                <c:pt idx="2472">
                  <c:v>42376</c:v>
                </c:pt>
                <c:pt idx="2473">
                  <c:v>42377</c:v>
                </c:pt>
                <c:pt idx="2474">
                  <c:v>42380</c:v>
                </c:pt>
                <c:pt idx="2475">
                  <c:v>42381</c:v>
                </c:pt>
                <c:pt idx="2476">
                  <c:v>42382</c:v>
                </c:pt>
                <c:pt idx="2477">
                  <c:v>42383</c:v>
                </c:pt>
                <c:pt idx="2478">
                  <c:v>42384</c:v>
                </c:pt>
                <c:pt idx="2479">
                  <c:v>42387</c:v>
                </c:pt>
                <c:pt idx="2480">
                  <c:v>42388</c:v>
                </c:pt>
                <c:pt idx="2481">
                  <c:v>42389</c:v>
                </c:pt>
                <c:pt idx="2482">
                  <c:v>42390</c:v>
                </c:pt>
                <c:pt idx="2483">
                  <c:v>42391</c:v>
                </c:pt>
                <c:pt idx="2484">
                  <c:v>42395</c:v>
                </c:pt>
                <c:pt idx="2485">
                  <c:v>42396</c:v>
                </c:pt>
                <c:pt idx="2486">
                  <c:v>42397</c:v>
                </c:pt>
                <c:pt idx="2487">
                  <c:v>42398</c:v>
                </c:pt>
                <c:pt idx="2488">
                  <c:v>42401</c:v>
                </c:pt>
                <c:pt idx="2489">
                  <c:v>42402</c:v>
                </c:pt>
                <c:pt idx="2490">
                  <c:v>42403</c:v>
                </c:pt>
                <c:pt idx="2491">
                  <c:v>42404</c:v>
                </c:pt>
                <c:pt idx="2492">
                  <c:v>42405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42415</c:v>
                </c:pt>
                <c:pt idx="2497">
                  <c:v>42416</c:v>
                </c:pt>
                <c:pt idx="2498">
                  <c:v>42417</c:v>
                </c:pt>
                <c:pt idx="2499">
                  <c:v>42418</c:v>
                </c:pt>
                <c:pt idx="2500">
                  <c:v>42419</c:v>
                </c:pt>
                <c:pt idx="2501">
                  <c:v>42422</c:v>
                </c:pt>
                <c:pt idx="2502">
                  <c:v>42423</c:v>
                </c:pt>
                <c:pt idx="2503">
                  <c:v>42424</c:v>
                </c:pt>
                <c:pt idx="2504">
                  <c:v>42425</c:v>
                </c:pt>
                <c:pt idx="2505">
                  <c:v>42426</c:v>
                </c:pt>
                <c:pt idx="2506">
                  <c:v>42429</c:v>
                </c:pt>
                <c:pt idx="2507">
                  <c:v>42430</c:v>
                </c:pt>
                <c:pt idx="2508">
                  <c:v>42431</c:v>
                </c:pt>
                <c:pt idx="2509">
                  <c:v>42432</c:v>
                </c:pt>
                <c:pt idx="2510">
                  <c:v>42433</c:v>
                </c:pt>
                <c:pt idx="2511">
                  <c:v>42436</c:v>
                </c:pt>
                <c:pt idx="2512">
                  <c:v>42437</c:v>
                </c:pt>
                <c:pt idx="2513">
                  <c:v>42438</c:v>
                </c:pt>
                <c:pt idx="2514">
                  <c:v>42439</c:v>
                </c:pt>
                <c:pt idx="2515">
                  <c:v>42440</c:v>
                </c:pt>
                <c:pt idx="2516">
                  <c:v>42443</c:v>
                </c:pt>
                <c:pt idx="2517">
                  <c:v>42444</c:v>
                </c:pt>
                <c:pt idx="2518">
                  <c:v>42445</c:v>
                </c:pt>
                <c:pt idx="2519">
                  <c:v>42446</c:v>
                </c:pt>
                <c:pt idx="2520">
                  <c:v>42447</c:v>
                </c:pt>
                <c:pt idx="2521">
                  <c:v>42450</c:v>
                </c:pt>
                <c:pt idx="2522">
                  <c:v>42451</c:v>
                </c:pt>
                <c:pt idx="2523">
                  <c:v>42452</c:v>
                </c:pt>
                <c:pt idx="2524">
                  <c:v>42453</c:v>
                </c:pt>
                <c:pt idx="2525">
                  <c:v>42457</c:v>
                </c:pt>
                <c:pt idx="2526">
                  <c:v>42458</c:v>
                </c:pt>
                <c:pt idx="2527">
                  <c:v>42459</c:v>
                </c:pt>
                <c:pt idx="2528">
                  <c:v>42460</c:v>
                </c:pt>
                <c:pt idx="2529">
                  <c:v>42461</c:v>
                </c:pt>
                <c:pt idx="2530">
                  <c:v>42464</c:v>
                </c:pt>
                <c:pt idx="2531">
                  <c:v>42465</c:v>
                </c:pt>
                <c:pt idx="2532">
                  <c:v>42466</c:v>
                </c:pt>
                <c:pt idx="2533">
                  <c:v>42467</c:v>
                </c:pt>
                <c:pt idx="2534">
                  <c:v>42468</c:v>
                </c:pt>
                <c:pt idx="2535">
                  <c:v>42471</c:v>
                </c:pt>
                <c:pt idx="2536">
                  <c:v>42472</c:v>
                </c:pt>
                <c:pt idx="2537">
                  <c:v>42473</c:v>
                </c:pt>
                <c:pt idx="2538">
                  <c:v>42474</c:v>
                </c:pt>
                <c:pt idx="2539">
                  <c:v>42475</c:v>
                </c:pt>
                <c:pt idx="2540">
                  <c:v>42478</c:v>
                </c:pt>
                <c:pt idx="2541">
                  <c:v>42479</c:v>
                </c:pt>
                <c:pt idx="2542">
                  <c:v>42480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42517</c:v>
                </c:pt>
                <c:pt idx="2568">
                  <c:v>42520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42555</c:v>
                </c:pt>
                <c:pt idx="2594">
                  <c:v>42556</c:v>
                </c:pt>
                <c:pt idx="2595">
                  <c:v>42557</c:v>
                </c:pt>
                <c:pt idx="2596">
                  <c:v>42558</c:v>
                </c:pt>
                <c:pt idx="2597">
                  <c:v>42559</c:v>
                </c:pt>
                <c:pt idx="2598">
                  <c:v>42562</c:v>
                </c:pt>
                <c:pt idx="2599">
                  <c:v>42563</c:v>
                </c:pt>
                <c:pt idx="2600">
                  <c:v>42564</c:v>
                </c:pt>
                <c:pt idx="2601">
                  <c:v>42565</c:v>
                </c:pt>
                <c:pt idx="2602">
                  <c:v>42566</c:v>
                </c:pt>
                <c:pt idx="2603">
                  <c:v>42569</c:v>
                </c:pt>
                <c:pt idx="2604">
                  <c:v>42570</c:v>
                </c:pt>
                <c:pt idx="2605">
                  <c:v>42571</c:v>
                </c:pt>
                <c:pt idx="2606">
                  <c:v>42572</c:v>
                </c:pt>
                <c:pt idx="2607">
                  <c:v>42573</c:v>
                </c:pt>
                <c:pt idx="2608">
                  <c:v>42576</c:v>
                </c:pt>
                <c:pt idx="2609">
                  <c:v>42577</c:v>
                </c:pt>
                <c:pt idx="2610">
                  <c:v>42578</c:v>
                </c:pt>
                <c:pt idx="2611">
                  <c:v>42579</c:v>
                </c:pt>
                <c:pt idx="2612">
                  <c:v>42580</c:v>
                </c:pt>
                <c:pt idx="2613">
                  <c:v>42583</c:v>
                </c:pt>
                <c:pt idx="2614">
                  <c:v>42584</c:v>
                </c:pt>
                <c:pt idx="2615">
                  <c:v>42585</c:v>
                </c:pt>
                <c:pt idx="2616">
                  <c:v>42586</c:v>
                </c:pt>
                <c:pt idx="2617">
                  <c:v>42587</c:v>
                </c:pt>
                <c:pt idx="2618">
                  <c:v>42590</c:v>
                </c:pt>
                <c:pt idx="2619">
                  <c:v>42591</c:v>
                </c:pt>
                <c:pt idx="2620">
                  <c:v>42592</c:v>
                </c:pt>
                <c:pt idx="2621">
                  <c:v>42593</c:v>
                </c:pt>
                <c:pt idx="2622">
                  <c:v>42594</c:v>
                </c:pt>
                <c:pt idx="2623">
                  <c:v>42597</c:v>
                </c:pt>
                <c:pt idx="2624">
                  <c:v>42598</c:v>
                </c:pt>
                <c:pt idx="2625">
                  <c:v>42599</c:v>
                </c:pt>
                <c:pt idx="2626">
                  <c:v>42600</c:v>
                </c:pt>
                <c:pt idx="2627">
                  <c:v>42601</c:v>
                </c:pt>
                <c:pt idx="2628">
                  <c:v>42604</c:v>
                </c:pt>
                <c:pt idx="2629">
                  <c:v>42605</c:v>
                </c:pt>
                <c:pt idx="2630">
                  <c:v>42606</c:v>
                </c:pt>
                <c:pt idx="2631">
                  <c:v>42607</c:v>
                </c:pt>
                <c:pt idx="2632">
                  <c:v>42608</c:v>
                </c:pt>
                <c:pt idx="2633">
                  <c:v>42611</c:v>
                </c:pt>
                <c:pt idx="2634">
                  <c:v>42612</c:v>
                </c:pt>
                <c:pt idx="2635">
                  <c:v>42613</c:v>
                </c:pt>
                <c:pt idx="2636">
                  <c:v>42614</c:v>
                </c:pt>
                <c:pt idx="2637">
                  <c:v>42615</c:v>
                </c:pt>
                <c:pt idx="2638">
                  <c:v>42618</c:v>
                </c:pt>
                <c:pt idx="2639">
                  <c:v>42619</c:v>
                </c:pt>
                <c:pt idx="2640">
                  <c:v>42621</c:v>
                </c:pt>
                <c:pt idx="2641">
                  <c:v>42622</c:v>
                </c:pt>
                <c:pt idx="2642">
                  <c:v>42625</c:v>
                </c:pt>
                <c:pt idx="2643">
                  <c:v>42626</c:v>
                </c:pt>
                <c:pt idx="2644">
                  <c:v>42627</c:v>
                </c:pt>
                <c:pt idx="2645">
                  <c:v>42628</c:v>
                </c:pt>
                <c:pt idx="2646">
                  <c:v>42629</c:v>
                </c:pt>
                <c:pt idx="2647">
                  <c:v>42632</c:v>
                </c:pt>
                <c:pt idx="2648">
                  <c:v>42633</c:v>
                </c:pt>
                <c:pt idx="2649">
                  <c:v>42634</c:v>
                </c:pt>
                <c:pt idx="2650">
                  <c:v>42635</c:v>
                </c:pt>
                <c:pt idx="2651">
                  <c:v>42636</c:v>
                </c:pt>
                <c:pt idx="2652">
                  <c:v>42639</c:v>
                </c:pt>
                <c:pt idx="2653">
                  <c:v>42640</c:v>
                </c:pt>
                <c:pt idx="2654">
                  <c:v>42641</c:v>
                </c:pt>
                <c:pt idx="2655">
                  <c:v>42642</c:v>
                </c:pt>
                <c:pt idx="2656">
                  <c:v>42643</c:v>
                </c:pt>
                <c:pt idx="2657">
                  <c:v>42646</c:v>
                </c:pt>
                <c:pt idx="2658">
                  <c:v>42647</c:v>
                </c:pt>
                <c:pt idx="2659">
                  <c:v>42648</c:v>
                </c:pt>
                <c:pt idx="2660">
                  <c:v>42649</c:v>
                </c:pt>
                <c:pt idx="2661">
                  <c:v>42650</c:v>
                </c:pt>
                <c:pt idx="2662">
                  <c:v>42653</c:v>
                </c:pt>
                <c:pt idx="2663">
                  <c:v>42654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42677</c:v>
                </c:pt>
                <c:pt idx="2679">
                  <c:v>42678</c:v>
                </c:pt>
                <c:pt idx="2680">
                  <c:v>42681</c:v>
                </c:pt>
                <c:pt idx="2681">
                  <c:v>42682</c:v>
                </c:pt>
                <c:pt idx="2682">
                  <c:v>42683</c:v>
                </c:pt>
                <c:pt idx="2683">
                  <c:v>42684</c:v>
                </c:pt>
                <c:pt idx="2684">
                  <c:v>42685</c:v>
                </c:pt>
                <c:pt idx="2685">
                  <c:v>42688</c:v>
                </c:pt>
                <c:pt idx="2686">
                  <c:v>42690</c:v>
                </c:pt>
                <c:pt idx="2687">
                  <c:v>42691</c:v>
                </c:pt>
                <c:pt idx="2688">
                  <c:v>42692</c:v>
                </c:pt>
                <c:pt idx="2689">
                  <c:v>42695</c:v>
                </c:pt>
                <c:pt idx="2690">
                  <c:v>42696</c:v>
                </c:pt>
                <c:pt idx="2691">
                  <c:v>42697</c:v>
                </c:pt>
                <c:pt idx="2692">
                  <c:v>42698</c:v>
                </c:pt>
                <c:pt idx="2693">
                  <c:v>42699</c:v>
                </c:pt>
                <c:pt idx="2694">
                  <c:v>42702</c:v>
                </c:pt>
                <c:pt idx="2695">
                  <c:v>42703</c:v>
                </c:pt>
                <c:pt idx="2696">
                  <c:v>42704</c:v>
                </c:pt>
                <c:pt idx="2697">
                  <c:v>42705</c:v>
                </c:pt>
                <c:pt idx="2698">
                  <c:v>42706</c:v>
                </c:pt>
                <c:pt idx="2699">
                  <c:v>42709</c:v>
                </c:pt>
                <c:pt idx="2700">
                  <c:v>42710</c:v>
                </c:pt>
                <c:pt idx="2701">
                  <c:v>42711</c:v>
                </c:pt>
                <c:pt idx="2702">
                  <c:v>42712</c:v>
                </c:pt>
                <c:pt idx="2703">
                  <c:v>42713</c:v>
                </c:pt>
                <c:pt idx="2704">
                  <c:v>42716</c:v>
                </c:pt>
                <c:pt idx="2705">
                  <c:v>42717</c:v>
                </c:pt>
                <c:pt idx="2706">
                  <c:v>42718</c:v>
                </c:pt>
                <c:pt idx="2707">
                  <c:v>42719</c:v>
                </c:pt>
                <c:pt idx="2708">
                  <c:v>42720</c:v>
                </c:pt>
                <c:pt idx="2709">
                  <c:v>42723</c:v>
                </c:pt>
                <c:pt idx="2710">
                  <c:v>42724</c:v>
                </c:pt>
                <c:pt idx="2711">
                  <c:v>42725</c:v>
                </c:pt>
                <c:pt idx="2712">
                  <c:v>42726</c:v>
                </c:pt>
                <c:pt idx="2713">
                  <c:v>42727</c:v>
                </c:pt>
                <c:pt idx="2714">
                  <c:v>42730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42737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42751</c:v>
                </c:pt>
                <c:pt idx="2729">
                  <c:v>42752</c:v>
                </c:pt>
                <c:pt idx="2730">
                  <c:v>42753</c:v>
                </c:pt>
                <c:pt idx="2731">
                  <c:v>42754</c:v>
                </c:pt>
                <c:pt idx="2732">
                  <c:v>42755</c:v>
                </c:pt>
                <c:pt idx="2733">
                  <c:v>42758</c:v>
                </c:pt>
                <c:pt idx="2734">
                  <c:v>42759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42786</c:v>
                </c:pt>
                <c:pt idx="2753">
                  <c:v>42787</c:v>
                </c:pt>
                <c:pt idx="2754">
                  <c:v>42788</c:v>
                </c:pt>
                <c:pt idx="2755">
                  <c:v>42789</c:v>
                </c:pt>
                <c:pt idx="2756">
                  <c:v>42790</c:v>
                </c:pt>
                <c:pt idx="2757">
                  <c:v>42795</c:v>
                </c:pt>
                <c:pt idx="2758">
                  <c:v>42796</c:v>
                </c:pt>
                <c:pt idx="2759">
                  <c:v>42797</c:v>
                </c:pt>
                <c:pt idx="2760">
                  <c:v>42800</c:v>
                </c:pt>
                <c:pt idx="2761">
                  <c:v>42801</c:v>
                </c:pt>
                <c:pt idx="2762">
                  <c:v>42802</c:v>
                </c:pt>
                <c:pt idx="2763">
                  <c:v>42803</c:v>
                </c:pt>
                <c:pt idx="2764">
                  <c:v>42804</c:v>
                </c:pt>
                <c:pt idx="2765">
                  <c:v>42807</c:v>
                </c:pt>
                <c:pt idx="2766">
                  <c:v>42808</c:v>
                </c:pt>
                <c:pt idx="2767">
                  <c:v>42809</c:v>
                </c:pt>
                <c:pt idx="2768">
                  <c:v>42810</c:v>
                </c:pt>
                <c:pt idx="2769">
                  <c:v>42811</c:v>
                </c:pt>
                <c:pt idx="2770">
                  <c:v>42814</c:v>
                </c:pt>
                <c:pt idx="2771">
                  <c:v>42815</c:v>
                </c:pt>
                <c:pt idx="2772">
                  <c:v>42816</c:v>
                </c:pt>
                <c:pt idx="2773">
                  <c:v>42817</c:v>
                </c:pt>
                <c:pt idx="2774">
                  <c:v>42818</c:v>
                </c:pt>
                <c:pt idx="2775">
                  <c:v>42821</c:v>
                </c:pt>
                <c:pt idx="2776">
                  <c:v>42822</c:v>
                </c:pt>
                <c:pt idx="2777">
                  <c:v>42823</c:v>
                </c:pt>
                <c:pt idx="2778">
                  <c:v>42824</c:v>
                </c:pt>
                <c:pt idx="2779">
                  <c:v>42825</c:v>
                </c:pt>
                <c:pt idx="2780">
                  <c:v>42828</c:v>
                </c:pt>
                <c:pt idx="2781">
                  <c:v>42829</c:v>
                </c:pt>
                <c:pt idx="2782">
                  <c:v>42830</c:v>
                </c:pt>
                <c:pt idx="2783">
                  <c:v>42831</c:v>
                </c:pt>
                <c:pt idx="2784">
                  <c:v>42832</c:v>
                </c:pt>
                <c:pt idx="2785">
                  <c:v>42835</c:v>
                </c:pt>
                <c:pt idx="2786">
                  <c:v>42836</c:v>
                </c:pt>
                <c:pt idx="2787">
                  <c:v>42837</c:v>
                </c:pt>
                <c:pt idx="2788">
                  <c:v>42838</c:v>
                </c:pt>
                <c:pt idx="2789">
                  <c:v>42842</c:v>
                </c:pt>
                <c:pt idx="2790">
                  <c:v>42843</c:v>
                </c:pt>
                <c:pt idx="2791">
                  <c:v>42844</c:v>
                </c:pt>
                <c:pt idx="2792">
                  <c:v>42845</c:v>
                </c:pt>
                <c:pt idx="2793">
                  <c:v>42849</c:v>
                </c:pt>
                <c:pt idx="2794">
                  <c:v>42850</c:v>
                </c:pt>
                <c:pt idx="2795">
                  <c:v>42851</c:v>
                </c:pt>
                <c:pt idx="2796">
                  <c:v>42852</c:v>
                </c:pt>
                <c:pt idx="2797">
                  <c:v>42853</c:v>
                </c:pt>
                <c:pt idx="2798">
                  <c:v>42857</c:v>
                </c:pt>
                <c:pt idx="2799">
                  <c:v>42858</c:v>
                </c:pt>
                <c:pt idx="2800">
                  <c:v>42859</c:v>
                </c:pt>
                <c:pt idx="2801">
                  <c:v>42860</c:v>
                </c:pt>
                <c:pt idx="2802">
                  <c:v>42863</c:v>
                </c:pt>
                <c:pt idx="2803">
                  <c:v>42864</c:v>
                </c:pt>
                <c:pt idx="2804">
                  <c:v>42865</c:v>
                </c:pt>
                <c:pt idx="2805">
                  <c:v>42866</c:v>
                </c:pt>
                <c:pt idx="2806">
                  <c:v>42867</c:v>
                </c:pt>
                <c:pt idx="2807">
                  <c:v>42870</c:v>
                </c:pt>
                <c:pt idx="2808">
                  <c:v>42871</c:v>
                </c:pt>
                <c:pt idx="2809">
                  <c:v>42872</c:v>
                </c:pt>
                <c:pt idx="2810">
                  <c:v>42873</c:v>
                </c:pt>
                <c:pt idx="2811">
                  <c:v>42874</c:v>
                </c:pt>
                <c:pt idx="2812">
                  <c:v>42877</c:v>
                </c:pt>
                <c:pt idx="2813">
                  <c:v>42878</c:v>
                </c:pt>
                <c:pt idx="2814">
                  <c:v>42879</c:v>
                </c:pt>
                <c:pt idx="2815">
                  <c:v>42880</c:v>
                </c:pt>
                <c:pt idx="2816">
                  <c:v>42881</c:v>
                </c:pt>
                <c:pt idx="2817">
                  <c:v>42884</c:v>
                </c:pt>
                <c:pt idx="2818">
                  <c:v>42885</c:v>
                </c:pt>
                <c:pt idx="2819">
                  <c:v>42886</c:v>
                </c:pt>
                <c:pt idx="2820">
                  <c:v>42887</c:v>
                </c:pt>
                <c:pt idx="2821">
                  <c:v>42888</c:v>
                </c:pt>
                <c:pt idx="2822">
                  <c:v>42891</c:v>
                </c:pt>
                <c:pt idx="2823">
                  <c:v>42892</c:v>
                </c:pt>
                <c:pt idx="2824">
                  <c:v>42893</c:v>
                </c:pt>
                <c:pt idx="2825">
                  <c:v>42894</c:v>
                </c:pt>
                <c:pt idx="2826">
                  <c:v>42895</c:v>
                </c:pt>
                <c:pt idx="2827">
                  <c:v>42898</c:v>
                </c:pt>
                <c:pt idx="2828">
                  <c:v>42899</c:v>
                </c:pt>
                <c:pt idx="2829">
                  <c:v>42900</c:v>
                </c:pt>
                <c:pt idx="2830">
                  <c:v>42902</c:v>
                </c:pt>
                <c:pt idx="2831">
                  <c:v>42905</c:v>
                </c:pt>
                <c:pt idx="2832">
                  <c:v>42906</c:v>
                </c:pt>
                <c:pt idx="2833">
                  <c:v>42907</c:v>
                </c:pt>
                <c:pt idx="2834">
                  <c:v>42908</c:v>
                </c:pt>
                <c:pt idx="2835">
                  <c:v>42909</c:v>
                </c:pt>
                <c:pt idx="2836">
                  <c:v>42912</c:v>
                </c:pt>
                <c:pt idx="2837">
                  <c:v>42913</c:v>
                </c:pt>
                <c:pt idx="2838">
                  <c:v>42914</c:v>
                </c:pt>
                <c:pt idx="2839">
                  <c:v>42915</c:v>
                </c:pt>
                <c:pt idx="2840">
                  <c:v>42916</c:v>
                </c:pt>
                <c:pt idx="2841">
                  <c:v>42919</c:v>
                </c:pt>
                <c:pt idx="2842">
                  <c:v>42920</c:v>
                </c:pt>
                <c:pt idx="2843">
                  <c:v>42921</c:v>
                </c:pt>
                <c:pt idx="2844">
                  <c:v>42922</c:v>
                </c:pt>
                <c:pt idx="2845">
                  <c:v>42923</c:v>
                </c:pt>
                <c:pt idx="2846">
                  <c:v>42926</c:v>
                </c:pt>
                <c:pt idx="2847">
                  <c:v>42927</c:v>
                </c:pt>
                <c:pt idx="2848">
                  <c:v>42928</c:v>
                </c:pt>
                <c:pt idx="2849">
                  <c:v>42929</c:v>
                </c:pt>
                <c:pt idx="2850">
                  <c:v>42930</c:v>
                </c:pt>
                <c:pt idx="2851">
                  <c:v>42933</c:v>
                </c:pt>
                <c:pt idx="2852">
                  <c:v>42934</c:v>
                </c:pt>
                <c:pt idx="2853">
                  <c:v>42935</c:v>
                </c:pt>
                <c:pt idx="2854">
                  <c:v>42936</c:v>
                </c:pt>
                <c:pt idx="2855">
                  <c:v>42937</c:v>
                </c:pt>
                <c:pt idx="2856">
                  <c:v>42940</c:v>
                </c:pt>
                <c:pt idx="2857">
                  <c:v>42941</c:v>
                </c:pt>
                <c:pt idx="2858">
                  <c:v>42942</c:v>
                </c:pt>
                <c:pt idx="2859">
                  <c:v>42943</c:v>
                </c:pt>
                <c:pt idx="2860">
                  <c:v>42944</c:v>
                </c:pt>
                <c:pt idx="2861">
                  <c:v>42947</c:v>
                </c:pt>
                <c:pt idx="2862">
                  <c:v>42948</c:v>
                </c:pt>
                <c:pt idx="2863">
                  <c:v>42949</c:v>
                </c:pt>
                <c:pt idx="2864">
                  <c:v>42950</c:v>
                </c:pt>
                <c:pt idx="2865">
                  <c:v>42951</c:v>
                </c:pt>
                <c:pt idx="2866">
                  <c:v>42954</c:v>
                </c:pt>
                <c:pt idx="2867">
                  <c:v>42955</c:v>
                </c:pt>
                <c:pt idx="2868">
                  <c:v>42956</c:v>
                </c:pt>
                <c:pt idx="2869">
                  <c:v>42957</c:v>
                </c:pt>
                <c:pt idx="2870">
                  <c:v>42958</c:v>
                </c:pt>
                <c:pt idx="2871">
                  <c:v>42961</c:v>
                </c:pt>
                <c:pt idx="2872">
                  <c:v>42962</c:v>
                </c:pt>
                <c:pt idx="2873">
                  <c:v>42963</c:v>
                </c:pt>
                <c:pt idx="2874">
                  <c:v>42964</c:v>
                </c:pt>
                <c:pt idx="2875">
                  <c:v>42965</c:v>
                </c:pt>
                <c:pt idx="2876">
                  <c:v>42968</c:v>
                </c:pt>
                <c:pt idx="2877">
                  <c:v>42969</c:v>
                </c:pt>
                <c:pt idx="2878">
                  <c:v>42970</c:v>
                </c:pt>
                <c:pt idx="2879">
                  <c:v>42971</c:v>
                </c:pt>
                <c:pt idx="2880">
                  <c:v>42972</c:v>
                </c:pt>
                <c:pt idx="2881">
                  <c:v>42975</c:v>
                </c:pt>
                <c:pt idx="2882">
                  <c:v>42976</c:v>
                </c:pt>
                <c:pt idx="2883">
                  <c:v>42977</c:v>
                </c:pt>
                <c:pt idx="2884">
                  <c:v>42978</c:v>
                </c:pt>
                <c:pt idx="2885">
                  <c:v>42979</c:v>
                </c:pt>
                <c:pt idx="2886">
                  <c:v>42982</c:v>
                </c:pt>
                <c:pt idx="2887">
                  <c:v>42983</c:v>
                </c:pt>
                <c:pt idx="2888">
                  <c:v>42984</c:v>
                </c:pt>
                <c:pt idx="2889">
                  <c:v>42986</c:v>
                </c:pt>
                <c:pt idx="2890">
                  <c:v>42989</c:v>
                </c:pt>
                <c:pt idx="2891">
                  <c:v>42990</c:v>
                </c:pt>
                <c:pt idx="2892">
                  <c:v>42991</c:v>
                </c:pt>
                <c:pt idx="2893">
                  <c:v>42992</c:v>
                </c:pt>
                <c:pt idx="2894">
                  <c:v>42993</c:v>
                </c:pt>
                <c:pt idx="2895">
                  <c:v>42996</c:v>
                </c:pt>
                <c:pt idx="2896">
                  <c:v>42997</c:v>
                </c:pt>
                <c:pt idx="2897">
                  <c:v>42998</c:v>
                </c:pt>
                <c:pt idx="2898">
                  <c:v>42999</c:v>
                </c:pt>
                <c:pt idx="2899">
                  <c:v>43000</c:v>
                </c:pt>
                <c:pt idx="2900">
                  <c:v>43003</c:v>
                </c:pt>
                <c:pt idx="2901">
                  <c:v>43004</c:v>
                </c:pt>
                <c:pt idx="2902">
                  <c:v>43005</c:v>
                </c:pt>
                <c:pt idx="2903">
                  <c:v>43006</c:v>
                </c:pt>
                <c:pt idx="2904">
                  <c:v>43007</c:v>
                </c:pt>
                <c:pt idx="2905">
                  <c:v>43010</c:v>
                </c:pt>
                <c:pt idx="2906">
                  <c:v>43011</c:v>
                </c:pt>
                <c:pt idx="2907">
                  <c:v>43012</c:v>
                </c:pt>
                <c:pt idx="2908">
                  <c:v>43013</c:v>
                </c:pt>
                <c:pt idx="2909">
                  <c:v>43014</c:v>
                </c:pt>
                <c:pt idx="2910">
                  <c:v>43017</c:v>
                </c:pt>
                <c:pt idx="2911">
                  <c:v>43018</c:v>
                </c:pt>
                <c:pt idx="2912">
                  <c:v>43019</c:v>
                </c:pt>
                <c:pt idx="2913">
                  <c:v>43021</c:v>
                </c:pt>
                <c:pt idx="2914">
                  <c:v>43024</c:v>
                </c:pt>
                <c:pt idx="2915">
                  <c:v>43025</c:v>
                </c:pt>
                <c:pt idx="2916">
                  <c:v>43026</c:v>
                </c:pt>
                <c:pt idx="2917">
                  <c:v>43027</c:v>
                </c:pt>
                <c:pt idx="2918">
                  <c:v>43028</c:v>
                </c:pt>
                <c:pt idx="2919">
                  <c:v>43031</c:v>
                </c:pt>
                <c:pt idx="2920">
                  <c:v>43032</c:v>
                </c:pt>
                <c:pt idx="2921">
                  <c:v>43033</c:v>
                </c:pt>
                <c:pt idx="2922">
                  <c:v>43034</c:v>
                </c:pt>
                <c:pt idx="2923">
                  <c:v>43035</c:v>
                </c:pt>
                <c:pt idx="2924">
                  <c:v>43038</c:v>
                </c:pt>
                <c:pt idx="2925">
                  <c:v>43039</c:v>
                </c:pt>
                <c:pt idx="2926">
                  <c:v>43040</c:v>
                </c:pt>
                <c:pt idx="2927">
                  <c:v>43042</c:v>
                </c:pt>
                <c:pt idx="2928">
                  <c:v>43045</c:v>
                </c:pt>
                <c:pt idx="2929">
                  <c:v>43046</c:v>
                </c:pt>
                <c:pt idx="2930">
                  <c:v>43047</c:v>
                </c:pt>
                <c:pt idx="2931">
                  <c:v>43048</c:v>
                </c:pt>
                <c:pt idx="2932">
                  <c:v>43049</c:v>
                </c:pt>
                <c:pt idx="2933">
                  <c:v>43052</c:v>
                </c:pt>
                <c:pt idx="2934">
                  <c:v>43053</c:v>
                </c:pt>
                <c:pt idx="2935">
                  <c:v>43054</c:v>
                </c:pt>
                <c:pt idx="2936">
                  <c:v>43055</c:v>
                </c:pt>
                <c:pt idx="2937">
                  <c:v>43056</c:v>
                </c:pt>
                <c:pt idx="2938">
                  <c:v>43060</c:v>
                </c:pt>
                <c:pt idx="2939">
                  <c:v>43061</c:v>
                </c:pt>
                <c:pt idx="2940">
                  <c:v>43062</c:v>
                </c:pt>
                <c:pt idx="2941">
                  <c:v>43063</c:v>
                </c:pt>
                <c:pt idx="2942">
                  <c:v>43066</c:v>
                </c:pt>
                <c:pt idx="2943">
                  <c:v>43067</c:v>
                </c:pt>
                <c:pt idx="2944">
                  <c:v>43068</c:v>
                </c:pt>
                <c:pt idx="2945">
                  <c:v>43069</c:v>
                </c:pt>
                <c:pt idx="2946">
                  <c:v>43070</c:v>
                </c:pt>
                <c:pt idx="2947">
                  <c:v>43073</c:v>
                </c:pt>
                <c:pt idx="2948">
                  <c:v>43074</c:v>
                </c:pt>
                <c:pt idx="2949">
                  <c:v>43075</c:v>
                </c:pt>
                <c:pt idx="2950">
                  <c:v>43076</c:v>
                </c:pt>
                <c:pt idx="2951">
                  <c:v>43077</c:v>
                </c:pt>
                <c:pt idx="2952">
                  <c:v>43080</c:v>
                </c:pt>
                <c:pt idx="2953">
                  <c:v>43081</c:v>
                </c:pt>
                <c:pt idx="2954">
                  <c:v>43082</c:v>
                </c:pt>
                <c:pt idx="2955">
                  <c:v>43083</c:v>
                </c:pt>
                <c:pt idx="2956">
                  <c:v>43084</c:v>
                </c:pt>
                <c:pt idx="2957">
                  <c:v>43087</c:v>
                </c:pt>
                <c:pt idx="2958">
                  <c:v>43088</c:v>
                </c:pt>
                <c:pt idx="2959">
                  <c:v>43089</c:v>
                </c:pt>
                <c:pt idx="2960">
                  <c:v>43090</c:v>
                </c:pt>
                <c:pt idx="2961">
                  <c:v>43091</c:v>
                </c:pt>
                <c:pt idx="2962">
                  <c:v>43095</c:v>
                </c:pt>
                <c:pt idx="2963">
                  <c:v>43096</c:v>
                </c:pt>
                <c:pt idx="2964">
                  <c:v>43097</c:v>
                </c:pt>
                <c:pt idx="2965">
                  <c:v>43098</c:v>
                </c:pt>
                <c:pt idx="2966">
                  <c:v>43102</c:v>
                </c:pt>
                <c:pt idx="2967">
                  <c:v>43103</c:v>
                </c:pt>
                <c:pt idx="2968">
                  <c:v>43104</c:v>
                </c:pt>
                <c:pt idx="2969">
                  <c:v>43105</c:v>
                </c:pt>
                <c:pt idx="2970">
                  <c:v>43108</c:v>
                </c:pt>
                <c:pt idx="2971">
                  <c:v>43109</c:v>
                </c:pt>
                <c:pt idx="2972">
                  <c:v>43110</c:v>
                </c:pt>
                <c:pt idx="2973">
                  <c:v>43111</c:v>
                </c:pt>
                <c:pt idx="2974">
                  <c:v>43112</c:v>
                </c:pt>
                <c:pt idx="2975">
                  <c:v>43115</c:v>
                </c:pt>
                <c:pt idx="2976">
                  <c:v>43116</c:v>
                </c:pt>
                <c:pt idx="2977">
                  <c:v>43117</c:v>
                </c:pt>
                <c:pt idx="2978">
                  <c:v>43118</c:v>
                </c:pt>
                <c:pt idx="2979">
                  <c:v>43119</c:v>
                </c:pt>
                <c:pt idx="2980">
                  <c:v>43122</c:v>
                </c:pt>
                <c:pt idx="2981">
                  <c:v>43123</c:v>
                </c:pt>
                <c:pt idx="2982">
                  <c:v>43124</c:v>
                </c:pt>
                <c:pt idx="2983">
                  <c:v>43125</c:v>
                </c:pt>
                <c:pt idx="2984">
                  <c:v>43126</c:v>
                </c:pt>
                <c:pt idx="2985">
                  <c:v>43129</c:v>
                </c:pt>
                <c:pt idx="2986">
                  <c:v>43130</c:v>
                </c:pt>
                <c:pt idx="2987">
                  <c:v>43131</c:v>
                </c:pt>
                <c:pt idx="2988">
                  <c:v>43132</c:v>
                </c:pt>
                <c:pt idx="2989">
                  <c:v>43133</c:v>
                </c:pt>
                <c:pt idx="2990">
                  <c:v>43136</c:v>
                </c:pt>
                <c:pt idx="2991">
                  <c:v>43137</c:v>
                </c:pt>
                <c:pt idx="2992">
                  <c:v>43138</c:v>
                </c:pt>
                <c:pt idx="2993">
                  <c:v>43139</c:v>
                </c:pt>
                <c:pt idx="2994">
                  <c:v>43140</c:v>
                </c:pt>
                <c:pt idx="2995">
                  <c:v>43146</c:v>
                </c:pt>
                <c:pt idx="2996">
                  <c:v>43147</c:v>
                </c:pt>
                <c:pt idx="2997">
                  <c:v>43150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43222</c:v>
                </c:pt>
                <c:pt idx="3048">
                  <c:v>43223</c:v>
                </c:pt>
                <c:pt idx="3049">
                  <c:v>43224</c:v>
                </c:pt>
                <c:pt idx="3050">
                  <c:v>43227</c:v>
                </c:pt>
                <c:pt idx="3051">
                  <c:v>43228</c:v>
                </c:pt>
                <c:pt idx="3052">
                  <c:v>43229</c:v>
                </c:pt>
                <c:pt idx="3053">
                  <c:v>43230</c:v>
                </c:pt>
                <c:pt idx="3054">
                  <c:v>43231</c:v>
                </c:pt>
                <c:pt idx="3055">
                  <c:v>43234</c:v>
                </c:pt>
                <c:pt idx="3056">
                  <c:v>43235</c:v>
                </c:pt>
                <c:pt idx="3057">
                  <c:v>43236</c:v>
                </c:pt>
                <c:pt idx="3058">
                  <c:v>43237</c:v>
                </c:pt>
                <c:pt idx="3059">
                  <c:v>43238</c:v>
                </c:pt>
                <c:pt idx="3060">
                  <c:v>43241</c:v>
                </c:pt>
                <c:pt idx="3061">
                  <c:v>43242</c:v>
                </c:pt>
                <c:pt idx="3062">
                  <c:v>43243</c:v>
                </c:pt>
                <c:pt idx="3063">
                  <c:v>43244</c:v>
                </c:pt>
                <c:pt idx="3064">
                  <c:v>43245</c:v>
                </c:pt>
                <c:pt idx="3065">
                  <c:v>43248</c:v>
                </c:pt>
                <c:pt idx="3066">
                  <c:v>43249</c:v>
                </c:pt>
                <c:pt idx="3067">
                  <c:v>43250</c:v>
                </c:pt>
                <c:pt idx="3068">
                  <c:v>43252</c:v>
                </c:pt>
                <c:pt idx="3069">
                  <c:v>43255</c:v>
                </c:pt>
                <c:pt idx="3070">
                  <c:v>43256</c:v>
                </c:pt>
                <c:pt idx="3071">
                  <c:v>43257</c:v>
                </c:pt>
                <c:pt idx="3072">
                  <c:v>43258</c:v>
                </c:pt>
                <c:pt idx="3073">
                  <c:v>43259</c:v>
                </c:pt>
                <c:pt idx="3074">
                  <c:v>43262</c:v>
                </c:pt>
                <c:pt idx="3075">
                  <c:v>43263</c:v>
                </c:pt>
                <c:pt idx="3076">
                  <c:v>43264</c:v>
                </c:pt>
                <c:pt idx="3077">
                  <c:v>43265</c:v>
                </c:pt>
                <c:pt idx="3078">
                  <c:v>43266</c:v>
                </c:pt>
                <c:pt idx="3079">
                  <c:v>43269</c:v>
                </c:pt>
                <c:pt idx="3080">
                  <c:v>43270</c:v>
                </c:pt>
                <c:pt idx="3081">
                  <c:v>43271</c:v>
                </c:pt>
                <c:pt idx="3082">
                  <c:v>43272</c:v>
                </c:pt>
                <c:pt idx="3083">
                  <c:v>43273</c:v>
                </c:pt>
                <c:pt idx="3084">
                  <c:v>43276</c:v>
                </c:pt>
                <c:pt idx="3085">
                  <c:v>43277</c:v>
                </c:pt>
                <c:pt idx="3086">
                  <c:v>43278</c:v>
                </c:pt>
                <c:pt idx="3087">
                  <c:v>43279</c:v>
                </c:pt>
                <c:pt idx="3088">
                  <c:v>43280</c:v>
                </c:pt>
                <c:pt idx="3089">
                  <c:v>43283</c:v>
                </c:pt>
                <c:pt idx="3090">
                  <c:v>43284</c:v>
                </c:pt>
                <c:pt idx="3091">
                  <c:v>43285</c:v>
                </c:pt>
                <c:pt idx="3092">
                  <c:v>43286</c:v>
                </c:pt>
                <c:pt idx="3093">
                  <c:v>43287</c:v>
                </c:pt>
                <c:pt idx="3094">
                  <c:v>43291</c:v>
                </c:pt>
                <c:pt idx="3095">
                  <c:v>43292</c:v>
                </c:pt>
                <c:pt idx="3096">
                  <c:v>43293</c:v>
                </c:pt>
                <c:pt idx="3097">
                  <c:v>43294</c:v>
                </c:pt>
                <c:pt idx="3098">
                  <c:v>43297</c:v>
                </c:pt>
                <c:pt idx="3099">
                  <c:v>43298</c:v>
                </c:pt>
                <c:pt idx="3100">
                  <c:v>43299</c:v>
                </c:pt>
                <c:pt idx="3101">
                  <c:v>43300</c:v>
                </c:pt>
                <c:pt idx="3102">
                  <c:v>43301</c:v>
                </c:pt>
                <c:pt idx="3103">
                  <c:v>43304</c:v>
                </c:pt>
                <c:pt idx="3104">
                  <c:v>43305</c:v>
                </c:pt>
                <c:pt idx="3105">
                  <c:v>43306</c:v>
                </c:pt>
                <c:pt idx="3106">
                  <c:v>43307</c:v>
                </c:pt>
                <c:pt idx="3107">
                  <c:v>43308</c:v>
                </c:pt>
                <c:pt idx="3108">
                  <c:v>43311</c:v>
                </c:pt>
                <c:pt idx="3109">
                  <c:v>43312</c:v>
                </c:pt>
                <c:pt idx="3110">
                  <c:v>43313</c:v>
                </c:pt>
                <c:pt idx="3111">
                  <c:v>43314</c:v>
                </c:pt>
                <c:pt idx="3112">
                  <c:v>43315</c:v>
                </c:pt>
                <c:pt idx="3113">
                  <c:v>43318</c:v>
                </c:pt>
                <c:pt idx="3114">
                  <c:v>43319</c:v>
                </c:pt>
                <c:pt idx="3115">
                  <c:v>43320</c:v>
                </c:pt>
                <c:pt idx="3116">
                  <c:v>43321</c:v>
                </c:pt>
                <c:pt idx="3117">
                  <c:v>43322</c:v>
                </c:pt>
                <c:pt idx="3118">
                  <c:v>43325</c:v>
                </c:pt>
                <c:pt idx="3119">
                  <c:v>43326</c:v>
                </c:pt>
                <c:pt idx="3120">
                  <c:v>43327</c:v>
                </c:pt>
                <c:pt idx="3121">
                  <c:v>43328</c:v>
                </c:pt>
                <c:pt idx="3122">
                  <c:v>43329</c:v>
                </c:pt>
                <c:pt idx="3123">
                  <c:v>43332</c:v>
                </c:pt>
                <c:pt idx="3124">
                  <c:v>43333</c:v>
                </c:pt>
                <c:pt idx="3125">
                  <c:v>43334</c:v>
                </c:pt>
                <c:pt idx="3126">
                  <c:v>43335</c:v>
                </c:pt>
                <c:pt idx="3127">
                  <c:v>43336</c:v>
                </c:pt>
                <c:pt idx="3128">
                  <c:v>43339</c:v>
                </c:pt>
                <c:pt idx="3129">
                  <c:v>43340</c:v>
                </c:pt>
                <c:pt idx="3130">
                  <c:v>43341</c:v>
                </c:pt>
                <c:pt idx="3131">
                  <c:v>43342</c:v>
                </c:pt>
                <c:pt idx="3132">
                  <c:v>43343</c:v>
                </c:pt>
                <c:pt idx="3133">
                  <c:v>43346</c:v>
                </c:pt>
                <c:pt idx="3134">
                  <c:v>43347</c:v>
                </c:pt>
                <c:pt idx="3135">
                  <c:v>43348</c:v>
                </c:pt>
                <c:pt idx="3136">
                  <c:v>43349</c:v>
                </c:pt>
                <c:pt idx="3137">
                  <c:v>43353</c:v>
                </c:pt>
                <c:pt idx="3138">
                  <c:v>43354</c:v>
                </c:pt>
                <c:pt idx="3139">
                  <c:v>43355</c:v>
                </c:pt>
                <c:pt idx="3140">
                  <c:v>43356</c:v>
                </c:pt>
                <c:pt idx="3141">
                  <c:v>43357</c:v>
                </c:pt>
                <c:pt idx="3142">
                  <c:v>43360</c:v>
                </c:pt>
                <c:pt idx="3143">
                  <c:v>43361</c:v>
                </c:pt>
                <c:pt idx="3144">
                  <c:v>43362</c:v>
                </c:pt>
                <c:pt idx="3145">
                  <c:v>43363</c:v>
                </c:pt>
                <c:pt idx="3146">
                  <c:v>43364</c:v>
                </c:pt>
                <c:pt idx="3147">
                  <c:v>43367</c:v>
                </c:pt>
                <c:pt idx="3148">
                  <c:v>43368</c:v>
                </c:pt>
                <c:pt idx="3149">
                  <c:v>43369</c:v>
                </c:pt>
                <c:pt idx="3150">
                  <c:v>43370</c:v>
                </c:pt>
                <c:pt idx="3151">
                  <c:v>43371</c:v>
                </c:pt>
                <c:pt idx="3152">
                  <c:v>43374</c:v>
                </c:pt>
                <c:pt idx="3153">
                  <c:v>43375</c:v>
                </c:pt>
                <c:pt idx="3154">
                  <c:v>43376</c:v>
                </c:pt>
                <c:pt idx="3155">
                  <c:v>43377</c:v>
                </c:pt>
                <c:pt idx="3156">
                  <c:v>43378</c:v>
                </c:pt>
                <c:pt idx="3157">
                  <c:v>43381</c:v>
                </c:pt>
                <c:pt idx="3158">
                  <c:v>43382</c:v>
                </c:pt>
                <c:pt idx="3159">
                  <c:v>43383</c:v>
                </c:pt>
                <c:pt idx="3160">
                  <c:v>43384</c:v>
                </c:pt>
                <c:pt idx="3161">
                  <c:v>43388</c:v>
                </c:pt>
                <c:pt idx="3162">
                  <c:v>43389</c:v>
                </c:pt>
                <c:pt idx="3163">
                  <c:v>43390</c:v>
                </c:pt>
                <c:pt idx="3164">
                  <c:v>43391</c:v>
                </c:pt>
                <c:pt idx="3165">
                  <c:v>43392</c:v>
                </c:pt>
                <c:pt idx="3166">
                  <c:v>43395</c:v>
                </c:pt>
                <c:pt idx="3167">
                  <c:v>43396</c:v>
                </c:pt>
                <c:pt idx="3168">
                  <c:v>43397</c:v>
                </c:pt>
                <c:pt idx="3169">
                  <c:v>43398</c:v>
                </c:pt>
                <c:pt idx="3170">
                  <c:v>43399</c:v>
                </c:pt>
                <c:pt idx="3171">
                  <c:v>43402</c:v>
                </c:pt>
                <c:pt idx="3172">
                  <c:v>43403</c:v>
                </c:pt>
                <c:pt idx="3173">
                  <c:v>43404</c:v>
                </c:pt>
                <c:pt idx="3174">
                  <c:v>43405</c:v>
                </c:pt>
                <c:pt idx="3175">
                  <c:v>43409</c:v>
                </c:pt>
                <c:pt idx="3176">
                  <c:v>43410</c:v>
                </c:pt>
                <c:pt idx="3177">
                  <c:v>43411</c:v>
                </c:pt>
                <c:pt idx="3178">
                  <c:v>43412</c:v>
                </c:pt>
                <c:pt idx="3179">
                  <c:v>43413</c:v>
                </c:pt>
                <c:pt idx="3180">
                  <c:v>43416</c:v>
                </c:pt>
                <c:pt idx="3181">
                  <c:v>43417</c:v>
                </c:pt>
                <c:pt idx="3182">
                  <c:v>43418</c:v>
                </c:pt>
                <c:pt idx="3183">
                  <c:v>43420</c:v>
                </c:pt>
                <c:pt idx="3184">
                  <c:v>43423</c:v>
                </c:pt>
                <c:pt idx="3185">
                  <c:v>43425</c:v>
                </c:pt>
                <c:pt idx="3186">
                  <c:v>43426</c:v>
                </c:pt>
                <c:pt idx="3187">
                  <c:v>43427</c:v>
                </c:pt>
                <c:pt idx="3188">
                  <c:v>43430</c:v>
                </c:pt>
                <c:pt idx="3189">
                  <c:v>43431</c:v>
                </c:pt>
                <c:pt idx="3190">
                  <c:v>43432</c:v>
                </c:pt>
                <c:pt idx="3191">
                  <c:v>43433</c:v>
                </c:pt>
                <c:pt idx="3192">
                  <c:v>43434</c:v>
                </c:pt>
                <c:pt idx="3193">
                  <c:v>43437</c:v>
                </c:pt>
                <c:pt idx="3194">
                  <c:v>43438</c:v>
                </c:pt>
                <c:pt idx="3195">
                  <c:v>43439</c:v>
                </c:pt>
                <c:pt idx="3196">
                  <c:v>43440</c:v>
                </c:pt>
                <c:pt idx="3197">
                  <c:v>43441</c:v>
                </c:pt>
                <c:pt idx="3198">
                  <c:v>43444</c:v>
                </c:pt>
                <c:pt idx="3199">
                  <c:v>43445</c:v>
                </c:pt>
                <c:pt idx="3200">
                  <c:v>43446</c:v>
                </c:pt>
                <c:pt idx="3201">
                  <c:v>43447</c:v>
                </c:pt>
                <c:pt idx="3202">
                  <c:v>43448</c:v>
                </c:pt>
                <c:pt idx="3203">
                  <c:v>43451</c:v>
                </c:pt>
                <c:pt idx="3204">
                  <c:v>43452</c:v>
                </c:pt>
                <c:pt idx="3205">
                  <c:v>43453</c:v>
                </c:pt>
                <c:pt idx="3206">
                  <c:v>43454</c:v>
                </c:pt>
                <c:pt idx="3207">
                  <c:v>43455</c:v>
                </c:pt>
                <c:pt idx="3208">
                  <c:v>43460</c:v>
                </c:pt>
                <c:pt idx="3209">
                  <c:v>43461</c:v>
                </c:pt>
                <c:pt idx="3210">
                  <c:v>43462</c:v>
                </c:pt>
                <c:pt idx="3211">
                  <c:v>43467</c:v>
                </c:pt>
                <c:pt idx="3212">
                  <c:v>43468</c:v>
                </c:pt>
                <c:pt idx="3213">
                  <c:v>43469</c:v>
                </c:pt>
                <c:pt idx="3214">
                  <c:v>43472</c:v>
                </c:pt>
                <c:pt idx="3215">
                  <c:v>43473</c:v>
                </c:pt>
                <c:pt idx="3216">
                  <c:v>43474</c:v>
                </c:pt>
                <c:pt idx="3217">
                  <c:v>43475</c:v>
                </c:pt>
                <c:pt idx="3218">
                  <c:v>43476</c:v>
                </c:pt>
                <c:pt idx="3219">
                  <c:v>43479</c:v>
                </c:pt>
                <c:pt idx="3220">
                  <c:v>43480</c:v>
                </c:pt>
                <c:pt idx="3221">
                  <c:v>43481</c:v>
                </c:pt>
                <c:pt idx="3222">
                  <c:v>43482</c:v>
                </c:pt>
                <c:pt idx="3223">
                  <c:v>43483</c:v>
                </c:pt>
                <c:pt idx="3224">
                  <c:v>43486</c:v>
                </c:pt>
                <c:pt idx="3225">
                  <c:v>43487</c:v>
                </c:pt>
                <c:pt idx="3226">
                  <c:v>43488</c:v>
                </c:pt>
                <c:pt idx="3227">
                  <c:v>43489</c:v>
                </c:pt>
                <c:pt idx="3228">
                  <c:v>43493</c:v>
                </c:pt>
                <c:pt idx="3229">
                  <c:v>43494</c:v>
                </c:pt>
                <c:pt idx="3230">
                  <c:v>43495</c:v>
                </c:pt>
                <c:pt idx="3231">
                  <c:v>43496</c:v>
                </c:pt>
                <c:pt idx="3232">
                  <c:v>43497</c:v>
                </c:pt>
                <c:pt idx="3233">
                  <c:v>43500</c:v>
                </c:pt>
                <c:pt idx="3234">
                  <c:v>43501</c:v>
                </c:pt>
                <c:pt idx="3235">
                  <c:v>43502</c:v>
                </c:pt>
                <c:pt idx="3236">
                  <c:v>43503</c:v>
                </c:pt>
                <c:pt idx="3237">
                  <c:v>43504</c:v>
                </c:pt>
                <c:pt idx="3238">
                  <c:v>43507</c:v>
                </c:pt>
                <c:pt idx="3239">
                  <c:v>43508</c:v>
                </c:pt>
                <c:pt idx="3240">
                  <c:v>43509</c:v>
                </c:pt>
                <c:pt idx="3241">
                  <c:v>43510</c:v>
                </c:pt>
                <c:pt idx="3242">
                  <c:v>43511</c:v>
                </c:pt>
                <c:pt idx="3243">
                  <c:v>43514</c:v>
                </c:pt>
                <c:pt idx="3244">
                  <c:v>43515</c:v>
                </c:pt>
                <c:pt idx="3245">
                  <c:v>43516</c:v>
                </c:pt>
                <c:pt idx="3246">
                  <c:v>43517</c:v>
                </c:pt>
                <c:pt idx="3247">
                  <c:v>43518</c:v>
                </c:pt>
                <c:pt idx="3248">
                  <c:v>43521</c:v>
                </c:pt>
                <c:pt idx="3249">
                  <c:v>43522</c:v>
                </c:pt>
                <c:pt idx="3250">
                  <c:v>43523</c:v>
                </c:pt>
                <c:pt idx="3251">
                  <c:v>43524</c:v>
                </c:pt>
                <c:pt idx="3252">
                  <c:v>43525</c:v>
                </c:pt>
                <c:pt idx="3253">
                  <c:v>43531</c:v>
                </c:pt>
                <c:pt idx="3254">
                  <c:v>43532</c:v>
                </c:pt>
                <c:pt idx="3255">
                  <c:v>43535</c:v>
                </c:pt>
                <c:pt idx="3256">
                  <c:v>43536</c:v>
                </c:pt>
                <c:pt idx="3257">
                  <c:v>43537</c:v>
                </c:pt>
                <c:pt idx="3258">
                  <c:v>43538</c:v>
                </c:pt>
                <c:pt idx="3259">
                  <c:v>43539</c:v>
                </c:pt>
                <c:pt idx="3260">
                  <c:v>43542</c:v>
                </c:pt>
                <c:pt idx="3261">
                  <c:v>43543</c:v>
                </c:pt>
                <c:pt idx="3262">
                  <c:v>43544</c:v>
                </c:pt>
                <c:pt idx="3263">
                  <c:v>43545</c:v>
                </c:pt>
                <c:pt idx="3264">
                  <c:v>43546</c:v>
                </c:pt>
                <c:pt idx="3265">
                  <c:v>43549</c:v>
                </c:pt>
                <c:pt idx="3266">
                  <c:v>43550</c:v>
                </c:pt>
                <c:pt idx="3267">
                  <c:v>43551</c:v>
                </c:pt>
                <c:pt idx="3268">
                  <c:v>43552</c:v>
                </c:pt>
                <c:pt idx="3269">
                  <c:v>43553</c:v>
                </c:pt>
                <c:pt idx="3270">
                  <c:v>43556</c:v>
                </c:pt>
                <c:pt idx="3271">
                  <c:v>43557</c:v>
                </c:pt>
                <c:pt idx="3272">
                  <c:v>43558</c:v>
                </c:pt>
                <c:pt idx="3273">
                  <c:v>43559</c:v>
                </c:pt>
                <c:pt idx="3274">
                  <c:v>43560</c:v>
                </c:pt>
                <c:pt idx="3275">
                  <c:v>43563</c:v>
                </c:pt>
                <c:pt idx="3276">
                  <c:v>43564</c:v>
                </c:pt>
                <c:pt idx="3277">
                  <c:v>43565</c:v>
                </c:pt>
                <c:pt idx="3278">
                  <c:v>43566</c:v>
                </c:pt>
                <c:pt idx="3279">
                  <c:v>43567</c:v>
                </c:pt>
                <c:pt idx="3280">
                  <c:v>43570</c:v>
                </c:pt>
                <c:pt idx="3281">
                  <c:v>43571</c:v>
                </c:pt>
                <c:pt idx="3282">
                  <c:v>43572</c:v>
                </c:pt>
                <c:pt idx="3283">
                  <c:v>43573</c:v>
                </c:pt>
                <c:pt idx="3284">
                  <c:v>43577</c:v>
                </c:pt>
                <c:pt idx="3285">
                  <c:v>43578</c:v>
                </c:pt>
                <c:pt idx="3286">
                  <c:v>43579</c:v>
                </c:pt>
                <c:pt idx="3287">
                  <c:v>43580</c:v>
                </c:pt>
                <c:pt idx="3288">
                  <c:v>43581</c:v>
                </c:pt>
                <c:pt idx="3289">
                  <c:v>43584</c:v>
                </c:pt>
                <c:pt idx="3290">
                  <c:v>43585</c:v>
                </c:pt>
                <c:pt idx="3291">
                  <c:v>43587</c:v>
                </c:pt>
                <c:pt idx="3292">
                  <c:v>43588</c:v>
                </c:pt>
                <c:pt idx="3293">
                  <c:v>43591</c:v>
                </c:pt>
                <c:pt idx="3294">
                  <c:v>43592</c:v>
                </c:pt>
                <c:pt idx="3295">
                  <c:v>43593</c:v>
                </c:pt>
                <c:pt idx="3296">
                  <c:v>43594</c:v>
                </c:pt>
                <c:pt idx="3297">
                  <c:v>43595</c:v>
                </c:pt>
                <c:pt idx="3298">
                  <c:v>43598</c:v>
                </c:pt>
                <c:pt idx="3299">
                  <c:v>43599</c:v>
                </c:pt>
                <c:pt idx="3300">
                  <c:v>43600</c:v>
                </c:pt>
                <c:pt idx="3301">
                  <c:v>43601</c:v>
                </c:pt>
                <c:pt idx="3302">
                  <c:v>43602</c:v>
                </c:pt>
                <c:pt idx="3303">
                  <c:v>43605</c:v>
                </c:pt>
                <c:pt idx="3304">
                  <c:v>43606</c:v>
                </c:pt>
                <c:pt idx="3305">
                  <c:v>43607</c:v>
                </c:pt>
                <c:pt idx="3306">
                  <c:v>43608</c:v>
                </c:pt>
                <c:pt idx="3307">
                  <c:v>43609</c:v>
                </c:pt>
                <c:pt idx="3308">
                  <c:v>43612</c:v>
                </c:pt>
                <c:pt idx="3309">
                  <c:v>43613</c:v>
                </c:pt>
                <c:pt idx="3310">
                  <c:v>43614</c:v>
                </c:pt>
                <c:pt idx="3311">
                  <c:v>43615</c:v>
                </c:pt>
                <c:pt idx="3312">
                  <c:v>43616</c:v>
                </c:pt>
                <c:pt idx="3313">
                  <c:v>43619</c:v>
                </c:pt>
                <c:pt idx="3314">
                  <c:v>43620</c:v>
                </c:pt>
                <c:pt idx="3315">
                  <c:v>43621</c:v>
                </c:pt>
                <c:pt idx="3316">
                  <c:v>43622</c:v>
                </c:pt>
                <c:pt idx="3317">
                  <c:v>43623</c:v>
                </c:pt>
                <c:pt idx="3318">
                  <c:v>43626</c:v>
                </c:pt>
                <c:pt idx="3319">
                  <c:v>43627</c:v>
                </c:pt>
                <c:pt idx="3320">
                  <c:v>43628</c:v>
                </c:pt>
                <c:pt idx="3321">
                  <c:v>43629</c:v>
                </c:pt>
                <c:pt idx="3322">
                  <c:v>43630</c:v>
                </c:pt>
                <c:pt idx="3323">
                  <c:v>43633</c:v>
                </c:pt>
                <c:pt idx="3324">
                  <c:v>43634</c:v>
                </c:pt>
                <c:pt idx="3325">
                  <c:v>43635</c:v>
                </c:pt>
                <c:pt idx="3326">
                  <c:v>43637</c:v>
                </c:pt>
                <c:pt idx="3327">
                  <c:v>43640</c:v>
                </c:pt>
                <c:pt idx="3328">
                  <c:v>43641</c:v>
                </c:pt>
                <c:pt idx="3329">
                  <c:v>43642</c:v>
                </c:pt>
                <c:pt idx="3330">
                  <c:v>43643</c:v>
                </c:pt>
                <c:pt idx="3331">
                  <c:v>43644</c:v>
                </c:pt>
                <c:pt idx="3332">
                  <c:v>43647</c:v>
                </c:pt>
                <c:pt idx="3333">
                  <c:v>43648</c:v>
                </c:pt>
                <c:pt idx="3334">
                  <c:v>43649</c:v>
                </c:pt>
                <c:pt idx="3335">
                  <c:v>43650</c:v>
                </c:pt>
                <c:pt idx="3336">
                  <c:v>43651</c:v>
                </c:pt>
                <c:pt idx="3337">
                  <c:v>43654</c:v>
                </c:pt>
                <c:pt idx="3338">
                  <c:v>43656</c:v>
                </c:pt>
                <c:pt idx="3339">
                  <c:v>43657</c:v>
                </c:pt>
                <c:pt idx="3340">
                  <c:v>43658</c:v>
                </c:pt>
                <c:pt idx="3341">
                  <c:v>43661</c:v>
                </c:pt>
                <c:pt idx="3342">
                  <c:v>43662</c:v>
                </c:pt>
                <c:pt idx="3343">
                  <c:v>43663</c:v>
                </c:pt>
                <c:pt idx="3344">
                  <c:v>43664</c:v>
                </c:pt>
                <c:pt idx="3345">
                  <c:v>43665</c:v>
                </c:pt>
                <c:pt idx="3346">
                  <c:v>43668</c:v>
                </c:pt>
                <c:pt idx="3347">
                  <c:v>43669</c:v>
                </c:pt>
                <c:pt idx="3348">
                  <c:v>43670</c:v>
                </c:pt>
                <c:pt idx="3349">
                  <c:v>43671</c:v>
                </c:pt>
                <c:pt idx="3350">
                  <c:v>43672</c:v>
                </c:pt>
                <c:pt idx="3351">
                  <c:v>43675</c:v>
                </c:pt>
                <c:pt idx="3352">
                  <c:v>43676</c:v>
                </c:pt>
                <c:pt idx="3353">
                  <c:v>43677</c:v>
                </c:pt>
                <c:pt idx="3354">
                  <c:v>43678</c:v>
                </c:pt>
                <c:pt idx="3355">
                  <c:v>43679</c:v>
                </c:pt>
                <c:pt idx="3356">
                  <c:v>43682</c:v>
                </c:pt>
                <c:pt idx="3357">
                  <c:v>43683</c:v>
                </c:pt>
                <c:pt idx="3358">
                  <c:v>43684</c:v>
                </c:pt>
                <c:pt idx="3359">
                  <c:v>43685</c:v>
                </c:pt>
                <c:pt idx="3360">
                  <c:v>43686</c:v>
                </c:pt>
                <c:pt idx="3361">
                  <c:v>43689</c:v>
                </c:pt>
                <c:pt idx="3362">
                  <c:v>43690</c:v>
                </c:pt>
                <c:pt idx="3363">
                  <c:v>43691</c:v>
                </c:pt>
                <c:pt idx="3364">
                  <c:v>43692</c:v>
                </c:pt>
                <c:pt idx="3365">
                  <c:v>43693</c:v>
                </c:pt>
                <c:pt idx="3366">
                  <c:v>43696</c:v>
                </c:pt>
                <c:pt idx="3367">
                  <c:v>43697</c:v>
                </c:pt>
                <c:pt idx="3368">
                  <c:v>43698</c:v>
                </c:pt>
                <c:pt idx="3369">
                  <c:v>43699</c:v>
                </c:pt>
                <c:pt idx="3370">
                  <c:v>43700</c:v>
                </c:pt>
                <c:pt idx="3371">
                  <c:v>43703</c:v>
                </c:pt>
                <c:pt idx="3372">
                  <c:v>43704</c:v>
                </c:pt>
                <c:pt idx="3373">
                  <c:v>43705</c:v>
                </c:pt>
                <c:pt idx="3374">
                  <c:v>43706</c:v>
                </c:pt>
                <c:pt idx="3375">
                  <c:v>43707</c:v>
                </c:pt>
                <c:pt idx="3376">
                  <c:v>43710</c:v>
                </c:pt>
                <c:pt idx="3377">
                  <c:v>43711</c:v>
                </c:pt>
                <c:pt idx="3378">
                  <c:v>43712</c:v>
                </c:pt>
                <c:pt idx="3379">
                  <c:v>43713</c:v>
                </c:pt>
                <c:pt idx="3380">
                  <c:v>43714</c:v>
                </c:pt>
                <c:pt idx="3381">
                  <c:v>43717</c:v>
                </c:pt>
                <c:pt idx="3382">
                  <c:v>43718</c:v>
                </c:pt>
                <c:pt idx="3383">
                  <c:v>43719</c:v>
                </c:pt>
                <c:pt idx="3384">
                  <c:v>43720</c:v>
                </c:pt>
                <c:pt idx="3385">
                  <c:v>43721</c:v>
                </c:pt>
                <c:pt idx="3386">
                  <c:v>43724</c:v>
                </c:pt>
                <c:pt idx="3387">
                  <c:v>43725</c:v>
                </c:pt>
                <c:pt idx="3388">
                  <c:v>43726</c:v>
                </c:pt>
                <c:pt idx="3389">
                  <c:v>43727</c:v>
                </c:pt>
                <c:pt idx="3390">
                  <c:v>43728</c:v>
                </c:pt>
                <c:pt idx="3391">
                  <c:v>43731</c:v>
                </c:pt>
                <c:pt idx="3392">
                  <c:v>43732</c:v>
                </c:pt>
                <c:pt idx="3393">
                  <c:v>43733</c:v>
                </c:pt>
                <c:pt idx="3394">
                  <c:v>43734</c:v>
                </c:pt>
                <c:pt idx="3395">
                  <c:v>43735</c:v>
                </c:pt>
                <c:pt idx="3396">
                  <c:v>43738</c:v>
                </c:pt>
                <c:pt idx="3397">
                  <c:v>43739</c:v>
                </c:pt>
                <c:pt idx="3398">
                  <c:v>43740</c:v>
                </c:pt>
                <c:pt idx="3399">
                  <c:v>43741</c:v>
                </c:pt>
                <c:pt idx="3400">
                  <c:v>43742</c:v>
                </c:pt>
                <c:pt idx="3401">
                  <c:v>43745</c:v>
                </c:pt>
                <c:pt idx="3402">
                  <c:v>43746</c:v>
                </c:pt>
                <c:pt idx="3403">
                  <c:v>43747</c:v>
                </c:pt>
                <c:pt idx="3404">
                  <c:v>43748</c:v>
                </c:pt>
                <c:pt idx="3405">
                  <c:v>43749</c:v>
                </c:pt>
                <c:pt idx="3406">
                  <c:v>43752</c:v>
                </c:pt>
                <c:pt idx="3407">
                  <c:v>43753</c:v>
                </c:pt>
                <c:pt idx="3408">
                  <c:v>43754</c:v>
                </c:pt>
                <c:pt idx="3409">
                  <c:v>43755</c:v>
                </c:pt>
                <c:pt idx="3410">
                  <c:v>43756</c:v>
                </c:pt>
                <c:pt idx="3411">
                  <c:v>43759</c:v>
                </c:pt>
                <c:pt idx="3412">
                  <c:v>43760</c:v>
                </c:pt>
                <c:pt idx="3413">
                  <c:v>43761</c:v>
                </c:pt>
                <c:pt idx="3414">
                  <c:v>43762</c:v>
                </c:pt>
                <c:pt idx="3415">
                  <c:v>43763</c:v>
                </c:pt>
                <c:pt idx="3416">
                  <c:v>43766</c:v>
                </c:pt>
                <c:pt idx="3417">
                  <c:v>43767</c:v>
                </c:pt>
                <c:pt idx="3418">
                  <c:v>43768</c:v>
                </c:pt>
                <c:pt idx="3419">
                  <c:v>43769</c:v>
                </c:pt>
                <c:pt idx="3420">
                  <c:v>43770</c:v>
                </c:pt>
                <c:pt idx="3421">
                  <c:v>43773</c:v>
                </c:pt>
                <c:pt idx="3422">
                  <c:v>43774</c:v>
                </c:pt>
                <c:pt idx="3423">
                  <c:v>43775</c:v>
                </c:pt>
                <c:pt idx="3424">
                  <c:v>43776</c:v>
                </c:pt>
                <c:pt idx="3425">
                  <c:v>43777</c:v>
                </c:pt>
                <c:pt idx="3426">
                  <c:v>43780</c:v>
                </c:pt>
                <c:pt idx="3427">
                  <c:v>43781</c:v>
                </c:pt>
                <c:pt idx="3428">
                  <c:v>43782</c:v>
                </c:pt>
                <c:pt idx="3429">
                  <c:v>43783</c:v>
                </c:pt>
                <c:pt idx="3430">
                  <c:v>43787</c:v>
                </c:pt>
                <c:pt idx="3431">
                  <c:v>43788</c:v>
                </c:pt>
                <c:pt idx="3432">
                  <c:v>43790</c:v>
                </c:pt>
                <c:pt idx="3433">
                  <c:v>43791</c:v>
                </c:pt>
                <c:pt idx="3434">
                  <c:v>43794</c:v>
                </c:pt>
                <c:pt idx="3435">
                  <c:v>43795</c:v>
                </c:pt>
                <c:pt idx="3436">
                  <c:v>43796</c:v>
                </c:pt>
                <c:pt idx="3437">
                  <c:v>43797</c:v>
                </c:pt>
                <c:pt idx="3438">
                  <c:v>43798</c:v>
                </c:pt>
                <c:pt idx="3439">
                  <c:v>43801</c:v>
                </c:pt>
                <c:pt idx="3440">
                  <c:v>43802</c:v>
                </c:pt>
                <c:pt idx="3441">
                  <c:v>43803</c:v>
                </c:pt>
                <c:pt idx="3442">
                  <c:v>43804</c:v>
                </c:pt>
                <c:pt idx="3443">
                  <c:v>43805</c:v>
                </c:pt>
                <c:pt idx="3444">
                  <c:v>43808</c:v>
                </c:pt>
                <c:pt idx="3445">
                  <c:v>43809</c:v>
                </c:pt>
                <c:pt idx="3446">
                  <c:v>43810</c:v>
                </c:pt>
                <c:pt idx="3447">
                  <c:v>43811</c:v>
                </c:pt>
                <c:pt idx="3448">
                  <c:v>43812</c:v>
                </c:pt>
                <c:pt idx="3449">
                  <c:v>43815</c:v>
                </c:pt>
                <c:pt idx="3450">
                  <c:v>43816</c:v>
                </c:pt>
                <c:pt idx="3451">
                  <c:v>43817</c:v>
                </c:pt>
                <c:pt idx="3452">
                  <c:v>43818</c:v>
                </c:pt>
                <c:pt idx="3453">
                  <c:v>43819</c:v>
                </c:pt>
                <c:pt idx="3454">
                  <c:v>43822</c:v>
                </c:pt>
                <c:pt idx="3455">
                  <c:v>43825</c:v>
                </c:pt>
                <c:pt idx="3456">
                  <c:v>43826</c:v>
                </c:pt>
                <c:pt idx="3457">
                  <c:v>43829</c:v>
                </c:pt>
                <c:pt idx="3458">
                  <c:v>43832</c:v>
                </c:pt>
                <c:pt idx="3459">
                  <c:v>43833</c:v>
                </c:pt>
                <c:pt idx="3460">
                  <c:v>43836</c:v>
                </c:pt>
                <c:pt idx="3461">
                  <c:v>43837</c:v>
                </c:pt>
                <c:pt idx="3462">
                  <c:v>43838</c:v>
                </c:pt>
                <c:pt idx="3463">
                  <c:v>43839</c:v>
                </c:pt>
                <c:pt idx="3464">
                  <c:v>43840</c:v>
                </c:pt>
                <c:pt idx="3465">
                  <c:v>43843</c:v>
                </c:pt>
                <c:pt idx="3466">
                  <c:v>43844</c:v>
                </c:pt>
                <c:pt idx="3467">
                  <c:v>43845</c:v>
                </c:pt>
                <c:pt idx="3468">
                  <c:v>43846</c:v>
                </c:pt>
                <c:pt idx="3469">
                  <c:v>43847</c:v>
                </c:pt>
                <c:pt idx="3470">
                  <c:v>43850</c:v>
                </c:pt>
                <c:pt idx="3471">
                  <c:v>43851</c:v>
                </c:pt>
                <c:pt idx="3472">
                  <c:v>43852</c:v>
                </c:pt>
                <c:pt idx="3473">
                  <c:v>43853</c:v>
                </c:pt>
                <c:pt idx="3474">
                  <c:v>43854</c:v>
                </c:pt>
                <c:pt idx="3475">
                  <c:v>43857</c:v>
                </c:pt>
                <c:pt idx="3476">
                  <c:v>43858</c:v>
                </c:pt>
                <c:pt idx="3477">
                  <c:v>43859</c:v>
                </c:pt>
                <c:pt idx="3478">
                  <c:v>43860</c:v>
                </c:pt>
                <c:pt idx="3479">
                  <c:v>43861</c:v>
                </c:pt>
                <c:pt idx="3480">
                  <c:v>43864</c:v>
                </c:pt>
                <c:pt idx="3481">
                  <c:v>43865</c:v>
                </c:pt>
                <c:pt idx="3482">
                  <c:v>43866</c:v>
                </c:pt>
                <c:pt idx="3483">
                  <c:v>43867</c:v>
                </c:pt>
                <c:pt idx="3484">
                  <c:v>43868</c:v>
                </c:pt>
                <c:pt idx="3485">
                  <c:v>43871</c:v>
                </c:pt>
                <c:pt idx="3486">
                  <c:v>43872</c:v>
                </c:pt>
                <c:pt idx="3487">
                  <c:v>43873</c:v>
                </c:pt>
                <c:pt idx="3488">
                  <c:v>43874</c:v>
                </c:pt>
                <c:pt idx="3489">
                  <c:v>43875</c:v>
                </c:pt>
                <c:pt idx="3490">
                  <c:v>43878</c:v>
                </c:pt>
                <c:pt idx="3491">
                  <c:v>43879</c:v>
                </c:pt>
                <c:pt idx="3492">
                  <c:v>43880</c:v>
                </c:pt>
                <c:pt idx="3493">
                  <c:v>43881</c:v>
                </c:pt>
                <c:pt idx="3494">
                  <c:v>43882</c:v>
                </c:pt>
                <c:pt idx="3495">
                  <c:v>43888</c:v>
                </c:pt>
                <c:pt idx="3496">
                  <c:v>43889</c:v>
                </c:pt>
                <c:pt idx="3497">
                  <c:v>43892</c:v>
                </c:pt>
                <c:pt idx="3498">
                  <c:v>43893</c:v>
                </c:pt>
                <c:pt idx="3499">
                  <c:v>43894</c:v>
                </c:pt>
                <c:pt idx="3500">
                  <c:v>43895</c:v>
                </c:pt>
                <c:pt idx="3501">
                  <c:v>43896</c:v>
                </c:pt>
                <c:pt idx="3502">
                  <c:v>43899</c:v>
                </c:pt>
                <c:pt idx="3503">
                  <c:v>43900</c:v>
                </c:pt>
                <c:pt idx="3504">
                  <c:v>43901</c:v>
                </c:pt>
                <c:pt idx="3505">
                  <c:v>43902</c:v>
                </c:pt>
                <c:pt idx="3506">
                  <c:v>43903</c:v>
                </c:pt>
                <c:pt idx="3507">
                  <c:v>43906</c:v>
                </c:pt>
                <c:pt idx="3508">
                  <c:v>43907</c:v>
                </c:pt>
                <c:pt idx="3509">
                  <c:v>43908</c:v>
                </c:pt>
                <c:pt idx="3510">
                  <c:v>43909</c:v>
                </c:pt>
                <c:pt idx="3511">
                  <c:v>43910</c:v>
                </c:pt>
                <c:pt idx="3512">
                  <c:v>43913</c:v>
                </c:pt>
                <c:pt idx="3513">
                  <c:v>43914</c:v>
                </c:pt>
                <c:pt idx="3514">
                  <c:v>43915</c:v>
                </c:pt>
                <c:pt idx="3515">
                  <c:v>43916</c:v>
                </c:pt>
                <c:pt idx="3516">
                  <c:v>43917</c:v>
                </c:pt>
                <c:pt idx="3517">
                  <c:v>43920</c:v>
                </c:pt>
                <c:pt idx="3518">
                  <c:v>43921</c:v>
                </c:pt>
                <c:pt idx="3519">
                  <c:v>43922</c:v>
                </c:pt>
                <c:pt idx="3520">
                  <c:v>43923</c:v>
                </c:pt>
                <c:pt idx="3521">
                  <c:v>43924</c:v>
                </c:pt>
                <c:pt idx="3522">
                  <c:v>43927</c:v>
                </c:pt>
                <c:pt idx="3523">
                  <c:v>43928</c:v>
                </c:pt>
                <c:pt idx="3524">
                  <c:v>43929</c:v>
                </c:pt>
                <c:pt idx="3525">
                  <c:v>43930</c:v>
                </c:pt>
                <c:pt idx="3526">
                  <c:v>43934</c:v>
                </c:pt>
                <c:pt idx="3527">
                  <c:v>43935</c:v>
                </c:pt>
                <c:pt idx="3528">
                  <c:v>43936</c:v>
                </c:pt>
                <c:pt idx="3529">
                  <c:v>43937</c:v>
                </c:pt>
                <c:pt idx="3530">
                  <c:v>43938</c:v>
                </c:pt>
                <c:pt idx="3531">
                  <c:v>43941</c:v>
                </c:pt>
                <c:pt idx="3532">
                  <c:v>43943</c:v>
                </c:pt>
                <c:pt idx="3533">
                  <c:v>43944</c:v>
                </c:pt>
                <c:pt idx="3534">
                  <c:v>43945</c:v>
                </c:pt>
                <c:pt idx="3535">
                  <c:v>43948</c:v>
                </c:pt>
                <c:pt idx="3536">
                  <c:v>43949</c:v>
                </c:pt>
                <c:pt idx="3537">
                  <c:v>43950</c:v>
                </c:pt>
                <c:pt idx="3538">
                  <c:v>43951</c:v>
                </c:pt>
                <c:pt idx="3539">
                  <c:v>43955</c:v>
                </c:pt>
                <c:pt idx="3540">
                  <c:v>43956</c:v>
                </c:pt>
                <c:pt idx="3541">
                  <c:v>43957</c:v>
                </c:pt>
                <c:pt idx="3542">
                  <c:v>43958</c:v>
                </c:pt>
                <c:pt idx="3543">
                  <c:v>43959</c:v>
                </c:pt>
                <c:pt idx="3544">
                  <c:v>43962</c:v>
                </c:pt>
                <c:pt idx="3545">
                  <c:v>43963</c:v>
                </c:pt>
                <c:pt idx="3546">
                  <c:v>43964</c:v>
                </c:pt>
                <c:pt idx="3547">
                  <c:v>43965</c:v>
                </c:pt>
                <c:pt idx="3548">
                  <c:v>43966</c:v>
                </c:pt>
                <c:pt idx="3549">
                  <c:v>43969</c:v>
                </c:pt>
                <c:pt idx="3550">
                  <c:v>43970</c:v>
                </c:pt>
                <c:pt idx="3551">
                  <c:v>43971</c:v>
                </c:pt>
                <c:pt idx="3552">
                  <c:v>43972</c:v>
                </c:pt>
                <c:pt idx="3553">
                  <c:v>43973</c:v>
                </c:pt>
                <c:pt idx="3554">
                  <c:v>43976</c:v>
                </c:pt>
                <c:pt idx="3555">
                  <c:v>43977</c:v>
                </c:pt>
                <c:pt idx="3556">
                  <c:v>43978</c:v>
                </c:pt>
                <c:pt idx="3557">
                  <c:v>43979</c:v>
                </c:pt>
                <c:pt idx="3558">
                  <c:v>43980</c:v>
                </c:pt>
                <c:pt idx="3559">
                  <c:v>43983</c:v>
                </c:pt>
                <c:pt idx="3560">
                  <c:v>43984</c:v>
                </c:pt>
                <c:pt idx="3561">
                  <c:v>43985</c:v>
                </c:pt>
                <c:pt idx="3562">
                  <c:v>43986</c:v>
                </c:pt>
                <c:pt idx="3563">
                  <c:v>43987</c:v>
                </c:pt>
                <c:pt idx="3564">
                  <c:v>43990</c:v>
                </c:pt>
                <c:pt idx="3565">
                  <c:v>43991</c:v>
                </c:pt>
                <c:pt idx="3566">
                  <c:v>43992</c:v>
                </c:pt>
                <c:pt idx="3567">
                  <c:v>43994</c:v>
                </c:pt>
                <c:pt idx="3568">
                  <c:v>43997</c:v>
                </c:pt>
                <c:pt idx="3569">
                  <c:v>43998</c:v>
                </c:pt>
                <c:pt idx="3570">
                  <c:v>43999</c:v>
                </c:pt>
                <c:pt idx="3571">
                  <c:v>44000</c:v>
                </c:pt>
                <c:pt idx="3572">
                  <c:v>44001</c:v>
                </c:pt>
              </c:numCache>
            </c:numRef>
          </c:cat>
          <c:val>
            <c:numRef>
              <c:f>MDD_Detalhado!$B$2:$B$3574</c:f>
              <c:numCache>
                <c:formatCode>_-* #,##0_-;\-* #,##0_-;_-* "-"??_-;_-@_-</c:formatCode>
                <c:ptCount val="3573"/>
                <c:pt idx="0">
                  <c:v>33507</c:v>
                </c:pt>
                <c:pt idx="1">
                  <c:v>34541</c:v>
                </c:pt>
                <c:pt idx="2">
                  <c:v>35002</c:v>
                </c:pt>
                <c:pt idx="3">
                  <c:v>34936</c:v>
                </c:pt>
                <c:pt idx="4">
                  <c:v>35475</c:v>
                </c:pt>
                <c:pt idx="5">
                  <c:v>35337</c:v>
                </c:pt>
                <c:pt idx="6">
                  <c:v>35049</c:v>
                </c:pt>
                <c:pt idx="7">
                  <c:v>35952</c:v>
                </c:pt>
                <c:pt idx="8">
                  <c:v>35779</c:v>
                </c:pt>
                <c:pt idx="9">
                  <c:v>35897</c:v>
                </c:pt>
                <c:pt idx="10">
                  <c:v>36534</c:v>
                </c:pt>
                <c:pt idx="11">
                  <c:v>36119</c:v>
                </c:pt>
                <c:pt idx="12">
                  <c:v>35805</c:v>
                </c:pt>
                <c:pt idx="13">
                  <c:v>36858</c:v>
                </c:pt>
                <c:pt idx="14">
                  <c:v>36695</c:v>
                </c:pt>
                <c:pt idx="15">
                  <c:v>36632</c:v>
                </c:pt>
                <c:pt idx="16">
                  <c:v>37400</c:v>
                </c:pt>
                <c:pt idx="17">
                  <c:v>38014</c:v>
                </c:pt>
                <c:pt idx="18">
                  <c:v>37822</c:v>
                </c:pt>
                <c:pt idx="19">
                  <c:v>38242</c:v>
                </c:pt>
                <c:pt idx="20">
                  <c:v>38383</c:v>
                </c:pt>
                <c:pt idx="21">
                  <c:v>38485</c:v>
                </c:pt>
                <c:pt idx="22">
                  <c:v>37304</c:v>
                </c:pt>
                <c:pt idx="23">
                  <c:v>37262</c:v>
                </c:pt>
                <c:pt idx="24">
                  <c:v>37321</c:v>
                </c:pt>
                <c:pt idx="25">
                  <c:v>36562</c:v>
                </c:pt>
                <c:pt idx="26">
                  <c:v>36499</c:v>
                </c:pt>
                <c:pt idx="27">
                  <c:v>36882</c:v>
                </c:pt>
                <c:pt idx="28">
                  <c:v>36975</c:v>
                </c:pt>
                <c:pt idx="29">
                  <c:v>36114</c:v>
                </c:pt>
                <c:pt idx="30">
                  <c:v>36627</c:v>
                </c:pt>
                <c:pt idx="31">
                  <c:v>37239</c:v>
                </c:pt>
                <c:pt idx="32">
                  <c:v>38256</c:v>
                </c:pt>
                <c:pt idx="33">
                  <c:v>38422</c:v>
                </c:pt>
                <c:pt idx="34">
                  <c:v>38539</c:v>
                </c:pt>
                <c:pt idx="35">
                  <c:v>38166</c:v>
                </c:pt>
                <c:pt idx="36">
                  <c:v>38246</c:v>
                </c:pt>
                <c:pt idx="37">
                  <c:v>38405</c:v>
                </c:pt>
                <c:pt idx="38">
                  <c:v>38610</c:v>
                </c:pt>
                <c:pt idx="39">
                  <c:v>39178</c:v>
                </c:pt>
                <c:pt idx="40">
                  <c:v>39126</c:v>
                </c:pt>
                <c:pt idx="41">
                  <c:v>39240</c:v>
                </c:pt>
                <c:pt idx="42">
                  <c:v>38354</c:v>
                </c:pt>
                <c:pt idx="43">
                  <c:v>37423</c:v>
                </c:pt>
                <c:pt idx="44">
                  <c:v>37289</c:v>
                </c:pt>
                <c:pt idx="45">
                  <c:v>36312</c:v>
                </c:pt>
                <c:pt idx="46">
                  <c:v>36891</c:v>
                </c:pt>
                <c:pt idx="47">
                  <c:v>36793</c:v>
                </c:pt>
                <c:pt idx="48">
                  <c:v>37541</c:v>
                </c:pt>
                <c:pt idx="49">
                  <c:v>38244</c:v>
                </c:pt>
                <c:pt idx="50">
                  <c:v>38157</c:v>
                </c:pt>
                <c:pt idx="51">
                  <c:v>38049</c:v>
                </c:pt>
                <c:pt idx="52">
                  <c:v>38204</c:v>
                </c:pt>
                <c:pt idx="53">
                  <c:v>37398</c:v>
                </c:pt>
                <c:pt idx="54">
                  <c:v>37851</c:v>
                </c:pt>
                <c:pt idx="55">
                  <c:v>37474</c:v>
                </c:pt>
                <c:pt idx="56">
                  <c:v>37577</c:v>
                </c:pt>
                <c:pt idx="57">
                  <c:v>37641</c:v>
                </c:pt>
                <c:pt idx="58">
                  <c:v>36682</c:v>
                </c:pt>
                <c:pt idx="59">
                  <c:v>37492</c:v>
                </c:pt>
                <c:pt idx="60">
                  <c:v>37777</c:v>
                </c:pt>
                <c:pt idx="61">
                  <c:v>37952</c:v>
                </c:pt>
                <c:pt idx="62">
                  <c:v>38717</c:v>
                </c:pt>
                <c:pt idx="63">
                  <c:v>38802</c:v>
                </c:pt>
                <c:pt idx="64">
                  <c:v>39053</c:v>
                </c:pt>
                <c:pt idx="65">
                  <c:v>39285</c:v>
                </c:pt>
                <c:pt idx="66">
                  <c:v>38926</c:v>
                </c:pt>
                <c:pt idx="67">
                  <c:v>38475</c:v>
                </c:pt>
                <c:pt idx="68">
                  <c:v>37901</c:v>
                </c:pt>
                <c:pt idx="69">
                  <c:v>38427</c:v>
                </c:pt>
                <c:pt idx="70">
                  <c:v>38082</c:v>
                </c:pt>
                <c:pt idx="71">
                  <c:v>38462</c:v>
                </c:pt>
                <c:pt idx="72">
                  <c:v>39572</c:v>
                </c:pt>
                <c:pt idx="73">
                  <c:v>39938</c:v>
                </c:pt>
                <c:pt idx="74">
                  <c:v>39775</c:v>
                </c:pt>
                <c:pt idx="75">
                  <c:v>39751</c:v>
                </c:pt>
                <c:pt idx="76">
                  <c:v>39738</c:v>
                </c:pt>
                <c:pt idx="77">
                  <c:v>40410</c:v>
                </c:pt>
                <c:pt idx="78">
                  <c:v>39751</c:v>
                </c:pt>
                <c:pt idx="79">
                  <c:v>40363</c:v>
                </c:pt>
                <c:pt idx="80">
                  <c:v>41017</c:v>
                </c:pt>
                <c:pt idx="81">
                  <c:v>40920</c:v>
                </c:pt>
                <c:pt idx="82">
                  <c:v>40976</c:v>
                </c:pt>
                <c:pt idx="83">
                  <c:v>41417</c:v>
                </c:pt>
                <c:pt idx="84">
                  <c:v>41515</c:v>
                </c:pt>
                <c:pt idx="85">
                  <c:v>41979</c:v>
                </c:pt>
                <c:pt idx="86">
                  <c:v>41752</c:v>
                </c:pt>
                <c:pt idx="87">
                  <c:v>40847</c:v>
                </c:pt>
                <c:pt idx="88">
                  <c:v>40223</c:v>
                </c:pt>
                <c:pt idx="89">
                  <c:v>39271</c:v>
                </c:pt>
                <c:pt idx="90">
                  <c:v>39416</c:v>
                </c:pt>
                <c:pt idx="91">
                  <c:v>38291</c:v>
                </c:pt>
                <c:pt idx="92">
                  <c:v>37807</c:v>
                </c:pt>
                <c:pt idx="93">
                  <c:v>37733</c:v>
                </c:pt>
                <c:pt idx="94">
                  <c:v>36497</c:v>
                </c:pt>
                <c:pt idx="95">
                  <c:v>36110</c:v>
                </c:pt>
                <c:pt idx="96">
                  <c:v>35792</c:v>
                </c:pt>
                <c:pt idx="97">
                  <c:v>37569</c:v>
                </c:pt>
                <c:pt idx="98">
                  <c:v>38506</c:v>
                </c:pt>
                <c:pt idx="99">
                  <c:v>38145</c:v>
                </c:pt>
                <c:pt idx="100">
                  <c:v>36413</c:v>
                </c:pt>
                <c:pt idx="101">
                  <c:v>36530</c:v>
                </c:pt>
                <c:pt idx="102">
                  <c:v>37748</c:v>
                </c:pt>
                <c:pt idx="103">
                  <c:v>37942</c:v>
                </c:pt>
                <c:pt idx="104">
                  <c:v>36740</c:v>
                </c:pt>
                <c:pt idx="105">
                  <c:v>36558</c:v>
                </c:pt>
                <c:pt idx="106">
                  <c:v>35264</c:v>
                </c:pt>
                <c:pt idx="107">
                  <c:v>35438</c:v>
                </c:pt>
                <c:pt idx="108">
                  <c:v>35075</c:v>
                </c:pt>
                <c:pt idx="109">
                  <c:v>33555</c:v>
                </c:pt>
                <c:pt idx="110">
                  <c:v>32848</c:v>
                </c:pt>
                <c:pt idx="111">
                  <c:v>32941</c:v>
                </c:pt>
                <c:pt idx="112">
                  <c:v>34399</c:v>
                </c:pt>
                <c:pt idx="113">
                  <c:v>33897</c:v>
                </c:pt>
                <c:pt idx="114">
                  <c:v>33632</c:v>
                </c:pt>
                <c:pt idx="115">
                  <c:v>34547</c:v>
                </c:pt>
                <c:pt idx="116">
                  <c:v>34317</c:v>
                </c:pt>
                <c:pt idx="117">
                  <c:v>34661</c:v>
                </c:pt>
                <c:pt idx="118">
                  <c:v>34631</c:v>
                </c:pt>
                <c:pt idx="119">
                  <c:v>34376</c:v>
                </c:pt>
                <c:pt idx="120">
                  <c:v>34835</c:v>
                </c:pt>
                <c:pt idx="121">
                  <c:v>36487</c:v>
                </c:pt>
                <c:pt idx="122">
                  <c:v>36631</c:v>
                </c:pt>
                <c:pt idx="123">
                  <c:v>37357</c:v>
                </c:pt>
                <c:pt idx="124">
                  <c:v>37367</c:v>
                </c:pt>
                <c:pt idx="125">
                  <c:v>36378</c:v>
                </c:pt>
                <c:pt idx="126">
                  <c:v>36533</c:v>
                </c:pt>
                <c:pt idx="127">
                  <c:v>36102</c:v>
                </c:pt>
                <c:pt idx="128">
                  <c:v>36141</c:v>
                </c:pt>
                <c:pt idx="129">
                  <c:v>36554</c:v>
                </c:pt>
                <c:pt idx="130">
                  <c:v>36230</c:v>
                </c:pt>
                <c:pt idx="131">
                  <c:v>35354</c:v>
                </c:pt>
                <c:pt idx="132">
                  <c:v>35350</c:v>
                </c:pt>
                <c:pt idx="133">
                  <c:v>34866</c:v>
                </c:pt>
                <c:pt idx="134">
                  <c:v>35130</c:v>
                </c:pt>
                <c:pt idx="135">
                  <c:v>36785</c:v>
                </c:pt>
                <c:pt idx="136">
                  <c:v>35847</c:v>
                </c:pt>
                <c:pt idx="137">
                  <c:v>35510</c:v>
                </c:pt>
                <c:pt idx="138">
                  <c:v>36224</c:v>
                </c:pt>
                <c:pt idx="139">
                  <c:v>36681</c:v>
                </c:pt>
                <c:pt idx="140">
                  <c:v>36594</c:v>
                </c:pt>
                <c:pt idx="141">
                  <c:v>36888</c:v>
                </c:pt>
                <c:pt idx="142">
                  <c:v>37381</c:v>
                </c:pt>
                <c:pt idx="143">
                  <c:v>37077</c:v>
                </c:pt>
                <c:pt idx="144">
                  <c:v>36839</c:v>
                </c:pt>
                <c:pt idx="145">
                  <c:v>37288</c:v>
                </c:pt>
                <c:pt idx="146">
                  <c:v>37451</c:v>
                </c:pt>
                <c:pt idx="147">
                  <c:v>37848</c:v>
                </c:pt>
                <c:pt idx="148">
                  <c:v>37698</c:v>
                </c:pt>
                <c:pt idx="149">
                  <c:v>37600</c:v>
                </c:pt>
                <c:pt idx="150">
                  <c:v>37255</c:v>
                </c:pt>
                <c:pt idx="151">
                  <c:v>37354</c:v>
                </c:pt>
                <c:pt idx="152">
                  <c:v>36944</c:v>
                </c:pt>
                <c:pt idx="153">
                  <c:v>36557</c:v>
                </c:pt>
                <c:pt idx="154">
                  <c:v>37296</c:v>
                </c:pt>
                <c:pt idx="155">
                  <c:v>37678</c:v>
                </c:pt>
                <c:pt idx="156">
                  <c:v>37559</c:v>
                </c:pt>
                <c:pt idx="157">
                  <c:v>37552</c:v>
                </c:pt>
                <c:pt idx="158">
                  <c:v>37161</c:v>
                </c:pt>
                <c:pt idx="159">
                  <c:v>36678</c:v>
                </c:pt>
                <c:pt idx="160">
                  <c:v>35512</c:v>
                </c:pt>
                <c:pt idx="161">
                  <c:v>35797</c:v>
                </c:pt>
                <c:pt idx="162">
                  <c:v>35958</c:v>
                </c:pt>
                <c:pt idx="163">
                  <c:v>36375</c:v>
                </c:pt>
                <c:pt idx="164">
                  <c:v>36304</c:v>
                </c:pt>
                <c:pt idx="165">
                  <c:v>36313</c:v>
                </c:pt>
                <c:pt idx="166">
                  <c:v>36232</c:v>
                </c:pt>
                <c:pt idx="167">
                  <c:v>37329</c:v>
                </c:pt>
                <c:pt idx="168">
                  <c:v>37693</c:v>
                </c:pt>
                <c:pt idx="169">
                  <c:v>37368</c:v>
                </c:pt>
                <c:pt idx="170">
                  <c:v>36710</c:v>
                </c:pt>
                <c:pt idx="171">
                  <c:v>36558</c:v>
                </c:pt>
                <c:pt idx="172">
                  <c:v>35772</c:v>
                </c:pt>
                <c:pt idx="173">
                  <c:v>36147</c:v>
                </c:pt>
                <c:pt idx="174">
                  <c:v>36550</c:v>
                </c:pt>
                <c:pt idx="175">
                  <c:v>36154</c:v>
                </c:pt>
                <c:pt idx="176">
                  <c:v>36170</c:v>
                </c:pt>
                <c:pt idx="177">
                  <c:v>36483</c:v>
                </c:pt>
                <c:pt idx="178">
                  <c:v>35886</c:v>
                </c:pt>
                <c:pt idx="179">
                  <c:v>35197</c:v>
                </c:pt>
                <c:pt idx="180">
                  <c:v>34830</c:v>
                </c:pt>
                <c:pt idx="181">
                  <c:v>34799</c:v>
                </c:pt>
                <c:pt idx="182">
                  <c:v>34973</c:v>
                </c:pt>
                <c:pt idx="183">
                  <c:v>35819</c:v>
                </c:pt>
                <c:pt idx="184">
                  <c:v>36106</c:v>
                </c:pt>
                <c:pt idx="185">
                  <c:v>36486</c:v>
                </c:pt>
                <c:pt idx="186">
                  <c:v>36449</c:v>
                </c:pt>
                <c:pt idx="187">
                  <c:v>37058</c:v>
                </c:pt>
                <c:pt idx="188">
                  <c:v>36438</c:v>
                </c:pt>
                <c:pt idx="189">
                  <c:v>37749</c:v>
                </c:pt>
                <c:pt idx="190">
                  <c:v>37977</c:v>
                </c:pt>
                <c:pt idx="191">
                  <c:v>37940</c:v>
                </c:pt>
                <c:pt idx="192">
                  <c:v>38406</c:v>
                </c:pt>
                <c:pt idx="193">
                  <c:v>38655</c:v>
                </c:pt>
                <c:pt idx="194">
                  <c:v>38322</c:v>
                </c:pt>
                <c:pt idx="195">
                  <c:v>38850</c:v>
                </c:pt>
                <c:pt idx="196">
                  <c:v>39229</c:v>
                </c:pt>
                <c:pt idx="197">
                  <c:v>38898</c:v>
                </c:pt>
                <c:pt idx="198">
                  <c:v>38686</c:v>
                </c:pt>
                <c:pt idx="199">
                  <c:v>38920</c:v>
                </c:pt>
                <c:pt idx="200">
                  <c:v>38643</c:v>
                </c:pt>
                <c:pt idx="201">
                  <c:v>39227</c:v>
                </c:pt>
                <c:pt idx="202">
                  <c:v>39499</c:v>
                </c:pt>
                <c:pt idx="203">
                  <c:v>39563</c:v>
                </c:pt>
                <c:pt idx="204">
                  <c:v>39645</c:v>
                </c:pt>
                <c:pt idx="205">
                  <c:v>39328</c:v>
                </c:pt>
                <c:pt idx="206">
                  <c:v>38900</c:v>
                </c:pt>
                <c:pt idx="207">
                  <c:v>39263</c:v>
                </c:pt>
                <c:pt idx="208">
                  <c:v>39930</c:v>
                </c:pt>
                <c:pt idx="209">
                  <c:v>40435</c:v>
                </c:pt>
                <c:pt idx="210">
                  <c:v>41247</c:v>
                </c:pt>
                <c:pt idx="211">
                  <c:v>41048</c:v>
                </c:pt>
                <c:pt idx="212">
                  <c:v>41334</c:v>
                </c:pt>
                <c:pt idx="213">
                  <c:v>40815</c:v>
                </c:pt>
                <c:pt idx="214">
                  <c:v>40720</c:v>
                </c:pt>
                <c:pt idx="215">
                  <c:v>40606</c:v>
                </c:pt>
                <c:pt idx="216">
                  <c:v>41291</c:v>
                </c:pt>
                <c:pt idx="217">
                  <c:v>41162</c:v>
                </c:pt>
                <c:pt idx="218">
                  <c:v>41029</c:v>
                </c:pt>
                <c:pt idx="219">
                  <c:v>41570</c:v>
                </c:pt>
                <c:pt idx="220">
                  <c:v>41913</c:v>
                </c:pt>
                <c:pt idx="221">
                  <c:v>42070</c:v>
                </c:pt>
                <c:pt idx="222">
                  <c:v>41758</c:v>
                </c:pt>
                <c:pt idx="223">
                  <c:v>40915</c:v>
                </c:pt>
                <c:pt idx="224">
                  <c:v>41043</c:v>
                </c:pt>
                <c:pt idx="225">
                  <c:v>41970</c:v>
                </c:pt>
                <c:pt idx="226">
                  <c:v>41932</c:v>
                </c:pt>
                <c:pt idx="227">
                  <c:v>41327</c:v>
                </c:pt>
                <c:pt idx="228">
                  <c:v>42654</c:v>
                </c:pt>
                <c:pt idx="229">
                  <c:v>43157</c:v>
                </c:pt>
                <c:pt idx="230">
                  <c:v>43096</c:v>
                </c:pt>
                <c:pt idx="231">
                  <c:v>42909</c:v>
                </c:pt>
                <c:pt idx="232">
                  <c:v>42978</c:v>
                </c:pt>
                <c:pt idx="233">
                  <c:v>43297</c:v>
                </c:pt>
                <c:pt idx="234">
                  <c:v>43018</c:v>
                </c:pt>
                <c:pt idx="235">
                  <c:v>43285</c:v>
                </c:pt>
                <c:pt idx="236">
                  <c:v>43755</c:v>
                </c:pt>
                <c:pt idx="237">
                  <c:v>43596</c:v>
                </c:pt>
                <c:pt idx="238">
                  <c:v>43509</c:v>
                </c:pt>
                <c:pt idx="239">
                  <c:v>43590</c:v>
                </c:pt>
                <c:pt idx="240">
                  <c:v>43502</c:v>
                </c:pt>
                <c:pt idx="241">
                  <c:v>43385</c:v>
                </c:pt>
                <c:pt idx="242">
                  <c:v>43356</c:v>
                </c:pt>
                <c:pt idx="243">
                  <c:v>43603</c:v>
                </c:pt>
                <c:pt idx="244">
                  <c:v>44526</c:v>
                </c:pt>
                <c:pt idx="245">
                  <c:v>44474</c:v>
                </c:pt>
                <c:pt idx="246">
                  <c:v>45383</c:v>
                </c:pt>
                <c:pt idx="247">
                  <c:v>44445</c:v>
                </c:pt>
                <c:pt idx="248">
                  <c:v>44020</c:v>
                </c:pt>
                <c:pt idx="249">
                  <c:v>42245</c:v>
                </c:pt>
                <c:pt idx="250">
                  <c:v>42830</c:v>
                </c:pt>
                <c:pt idx="251">
                  <c:v>42007</c:v>
                </c:pt>
                <c:pt idx="252">
                  <c:v>42336</c:v>
                </c:pt>
                <c:pt idx="253">
                  <c:v>42670</c:v>
                </c:pt>
                <c:pt idx="254">
                  <c:v>43095</c:v>
                </c:pt>
                <c:pt idx="255">
                  <c:v>42919</c:v>
                </c:pt>
                <c:pt idx="256">
                  <c:v>42624</c:v>
                </c:pt>
                <c:pt idx="257">
                  <c:v>42735</c:v>
                </c:pt>
                <c:pt idx="258">
                  <c:v>42478</c:v>
                </c:pt>
                <c:pt idx="259">
                  <c:v>43428</c:v>
                </c:pt>
                <c:pt idx="260">
                  <c:v>43553</c:v>
                </c:pt>
                <c:pt idx="261">
                  <c:v>44177</c:v>
                </c:pt>
                <c:pt idx="262">
                  <c:v>44687</c:v>
                </c:pt>
                <c:pt idx="263">
                  <c:v>44412</c:v>
                </c:pt>
                <c:pt idx="264">
                  <c:v>43573</c:v>
                </c:pt>
                <c:pt idx="265">
                  <c:v>44044</c:v>
                </c:pt>
                <c:pt idx="266">
                  <c:v>44642</c:v>
                </c:pt>
                <c:pt idx="267">
                  <c:v>44815</c:v>
                </c:pt>
                <c:pt idx="268">
                  <c:v>44998</c:v>
                </c:pt>
                <c:pt idx="269">
                  <c:v>45286</c:v>
                </c:pt>
                <c:pt idx="270">
                  <c:v>45352</c:v>
                </c:pt>
                <c:pt idx="271">
                  <c:v>44588</c:v>
                </c:pt>
                <c:pt idx="272">
                  <c:v>44892</c:v>
                </c:pt>
                <c:pt idx="273">
                  <c:v>44284</c:v>
                </c:pt>
                <c:pt idx="274">
                  <c:v>43935</c:v>
                </c:pt>
                <c:pt idx="275">
                  <c:v>45197</c:v>
                </c:pt>
                <c:pt idx="276">
                  <c:v>45996</c:v>
                </c:pt>
                <c:pt idx="277">
                  <c:v>45955</c:v>
                </c:pt>
                <c:pt idx="278">
                  <c:v>45849</c:v>
                </c:pt>
                <c:pt idx="279">
                  <c:v>46090</c:v>
                </c:pt>
                <c:pt idx="280">
                  <c:v>46452</c:v>
                </c:pt>
                <c:pt idx="281">
                  <c:v>46016</c:v>
                </c:pt>
                <c:pt idx="282">
                  <c:v>46207</c:v>
                </c:pt>
                <c:pt idx="283">
                  <c:v>43145</c:v>
                </c:pt>
                <c:pt idx="284">
                  <c:v>43892</c:v>
                </c:pt>
                <c:pt idx="285">
                  <c:v>43517</c:v>
                </c:pt>
                <c:pt idx="286">
                  <c:v>42370</c:v>
                </c:pt>
                <c:pt idx="287">
                  <c:v>41179</c:v>
                </c:pt>
                <c:pt idx="288">
                  <c:v>43218</c:v>
                </c:pt>
                <c:pt idx="289">
                  <c:v>42667</c:v>
                </c:pt>
                <c:pt idx="290">
                  <c:v>43466</c:v>
                </c:pt>
                <c:pt idx="291">
                  <c:v>44133</c:v>
                </c:pt>
                <c:pt idx="292">
                  <c:v>44249</c:v>
                </c:pt>
                <c:pt idx="293">
                  <c:v>42749</c:v>
                </c:pt>
                <c:pt idx="294">
                  <c:v>43288</c:v>
                </c:pt>
                <c:pt idx="295">
                  <c:v>43278</c:v>
                </c:pt>
                <c:pt idx="296">
                  <c:v>42730</c:v>
                </c:pt>
                <c:pt idx="297">
                  <c:v>43713</c:v>
                </c:pt>
                <c:pt idx="298">
                  <c:v>44351</c:v>
                </c:pt>
                <c:pt idx="299">
                  <c:v>45631</c:v>
                </c:pt>
                <c:pt idx="300">
                  <c:v>45424</c:v>
                </c:pt>
                <c:pt idx="301">
                  <c:v>45533</c:v>
                </c:pt>
                <c:pt idx="302">
                  <c:v>45645</c:v>
                </c:pt>
                <c:pt idx="303">
                  <c:v>45207</c:v>
                </c:pt>
                <c:pt idx="304">
                  <c:v>44484</c:v>
                </c:pt>
                <c:pt idx="305">
                  <c:v>45355</c:v>
                </c:pt>
                <c:pt idx="306">
                  <c:v>45805</c:v>
                </c:pt>
                <c:pt idx="307">
                  <c:v>45597</c:v>
                </c:pt>
                <c:pt idx="308">
                  <c:v>46288</c:v>
                </c:pt>
                <c:pt idx="309">
                  <c:v>46554</c:v>
                </c:pt>
                <c:pt idx="310">
                  <c:v>46647</c:v>
                </c:pt>
                <c:pt idx="311">
                  <c:v>46855</c:v>
                </c:pt>
                <c:pt idx="312">
                  <c:v>47174</c:v>
                </c:pt>
                <c:pt idx="313">
                  <c:v>46939</c:v>
                </c:pt>
                <c:pt idx="314">
                  <c:v>47347</c:v>
                </c:pt>
                <c:pt idx="315">
                  <c:v>47926</c:v>
                </c:pt>
                <c:pt idx="316">
                  <c:v>48921</c:v>
                </c:pt>
                <c:pt idx="317">
                  <c:v>48755</c:v>
                </c:pt>
                <c:pt idx="318">
                  <c:v>48710</c:v>
                </c:pt>
                <c:pt idx="319">
                  <c:v>48762</c:v>
                </c:pt>
                <c:pt idx="320">
                  <c:v>49408</c:v>
                </c:pt>
                <c:pt idx="321">
                  <c:v>49162</c:v>
                </c:pt>
                <c:pt idx="322">
                  <c:v>49071</c:v>
                </c:pt>
                <c:pt idx="323">
                  <c:v>49676</c:v>
                </c:pt>
                <c:pt idx="324">
                  <c:v>49068</c:v>
                </c:pt>
                <c:pt idx="325">
                  <c:v>49230</c:v>
                </c:pt>
                <c:pt idx="326">
                  <c:v>48956</c:v>
                </c:pt>
                <c:pt idx="327">
                  <c:v>49472</c:v>
                </c:pt>
                <c:pt idx="328">
                  <c:v>50218</c:v>
                </c:pt>
                <c:pt idx="329">
                  <c:v>50598</c:v>
                </c:pt>
                <c:pt idx="330">
                  <c:v>50282</c:v>
                </c:pt>
                <c:pt idx="331">
                  <c:v>50278</c:v>
                </c:pt>
                <c:pt idx="332">
                  <c:v>51300</c:v>
                </c:pt>
                <c:pt idx="333">
                  <c:v>50235</c:v>
                </c:pt>
                <c:pt idx="334">
                  <c:v>50902</c:v>
                </c:pt>
                <c:pt idx="335">
                  <c:v>50511</c:v>
                </c:pt>
                <c:pt idx="336">
                  <c:v>50518</c:v>
                </c:pt>
                <c:pt idx="337">
                  <c:v>51738</c:v>
                </c:pt>
                <c:pt idx="338">
                  <c:v>51631</c:v>
                </c:pt>
                <c:pt idx="339">
                  <c:v>52078</c:v>
                </c:pt>
                <c:pt idx="340">
                  <c:v>52423</c:v>
                </c:pt>
                <c:pt idx="341">
                  <c:v>52208</c:v>
                </c:pt>
                <c:pt idx="342">
                  <c:v>51813</c:v>
                </c:pt>
                <c:pt idx="343">
                  <c:v>50531</c:v>
                </c:pt>
                <c:pt idx="344">
                  <c:v>51618</c:v>
                </c:pt>
                <c:pt idx="345">
                  <c:v>52120</c:v>
                </c:pt>
                <c:pt idx="346">
                  <c:v>51713</c:v>
                </c:pt>
                <c:pt idx="347">
                  <c:v>52528</c:v>
                </c:pt>
                <c:pt idx="348">
                  <c:v>52268</c:v>
                </c:pt>
                <c:pt idx="349">
                  <c:v>53423</c:v>
                </c:pt>
                <c:pt idx="350">
                  <c:v>53243</c:v>
                </c:pt>
                <c:pt idx="351">
                  <c:v>53162</c:v>
                </c:pt>
                <c:pt idx="352">
                  <c:v>52049</c:v>
                </c:pt>
                <c:pt idx="353">
                  <c:v>52330</c:v>
                </c:pt>
                <c:pt idx="354">
                  <c:v>52777</c:v>
                </c:pt>
                <c:pt idx="355">
                  <c:v>51797</c:v>
                </c:pt>
                <c:pt idx="356">
                  <c:v>52994</c:v>
                </c:pt>
                <c:pt idx="357">
                  <c:v>53713</c:v>
                </c:pt>
                <c:pt idx="358">
                  <c:v>54519</c:v>
                </c:pt>
                <c:pt idx="359">
                  <c:v>54730</c:v>
                </c:pt>
                <c:pt idx="360">
                  <c:v>54644</c:v>
                </c:pt>
                <c:pt idx="361">
                  <c:v>54029</c:v>
                </c:pt>
                <c:pt idx="362">
                  <c:v>54657</c:v>
                </c:pt>
                <c:pt idx="363">
                  <c:v>54267</c:v>
                </c:pt>
                <c:pt idx="364">
                  <c:v>54042</c:v>
                </c:pt>
                <c:pt idx="365">
                  <c:v>53852</c:v>
                </c:pt>
                <c:pt idx="366">
                  <c:v>54143</c:v>
                </c:pt>
                <c:pt idx="367">
                  <c:v>54147</c:v>
                </c:pt>
                <c:pt idx="368">
                  <c:v>54392</c:v>
                </c:pt>
                <c:pt idx="369">
                  <c:v>55371</c:v>
                </c:pt>
                <c:pt idx="370">
                  <c:v>55700</c:v>
                </c:pt>
                <c:pt idx="371">
                  <c:v>55696</c:v>
                </c:pt>
                <c:pt idx="372">
                  <c:v>55932</c:v>
                </c:pt>
                <c:pt idx="373">
                  <c:v>56444</c:v>
                </c:pt>
                <c:pt idx="374">
                  <c:v>55883</c:v>
                </c:pt>
                <c:pt idx="375">
                  <c:v>56356</c:v>
                </c:pt>
                <c:pt idx="376">
                  <c:v>57613</c:v>
                </c:pt>
                <c:pt idx="377">
                  <c:v>57644</c:v>
                </c:pt>
                <c:pt idx="378">
                  <c:v>57374</c:v>
                </c:pt>
                <c:pt idx="379">
                  <c:v>57660</c:v>
                </c:pt>
                <c:pt idx="380">
                  <c:v>57556</c:v>
                </c:pt>
                <c:pt idx="381">
                  <c:v>58125</c:v>
                </c:pt>
                <c:pt idx="382">
                  <c:v>57443</c:v>
                </c:pt>
                <c:pt idx="383">
                  <c:v>58037</c:v>
                </c:pt>
                <c:pt idx="384">
                  <c:v>55795</c:v>
                </c:pt>
                <c:pt idx="385">
                  <c:v>56001</c:v>
                </c:pt>
                <c:pt idx="386">
                  <c:v>53893</c:v>
                </c:pt>
                <c:pt idx="387">
                  <c:v>52922</c:v>
                </c:pt>
                <c:pt idx="388">
                  <c:v>54573</c:v>
                </c:pt>
                <c:pt idx="389">
                  <c:v>54183</c:v>
                </c:pt>
                <c:pt idx="390">
                  <c:v>54234</c:v>
                </c:pt>
                <c:pt idx="391">
                  <c:v>54691</c:v>
                </c:pt>
                <c:pt idx="392">
                  <c:v>52846</c:v>
                </c:pt>
                <c:pt idx="393">
                  <c:v>53091</c:v>
                </c:pt>
                <c:pt idx="394">
                  <c:v>53802</c:v>
                </c:pt>
                <c:pt idx="395">
                  <c:v>55241</c:v>
                </c:pt>
                <c:pt idx="396">
                  <c:v>53431</c:v>
                </c:pt>
                <c:pt idx="397">
                  <c:v>52638</c:v>
                </c:pt>
                <c:pt idx="398">
                  <c:v>52434</c:v>
                </c:pt>
                <c:pt idx="399">
                  <c:v>50912</c:v>
                </c:pt>
                <c:pt idx="400">
                  <c:v>49285</c:v>
                </c:pt>
                <c:pt idx="401">
                  <c:v>48016</c:v>
                </c:pt>
                <c:pt idx="402">
                  <c:v>48559</c:v>
                </c:pt>
                <c:pt idx="403">
                  <c:v>49206</c:v>
                </c:pt>
                <c:pt idx="404">
                  <c:v>49815</c:v>
                </c:pt>
                <c:pt idx="405">
                  <c:v>51745</c:v>
                </c:pt>
                <c:pt idx="406">
                  <c:v>51848</c:v>
                </c:pt>
                <c:pt idx="407">
                  <c:v>52998</c:v>
                </c:pt>
                <c:pt idx="408">
                  <c:v>53078</c:v>
                </c:pt>
                <c:pt idx="409">
                  <c:v>51645</c:v>
                </c:pt>
                <c:pt idx="410">
                  <c:v>52735</c:v>
                </c:pt>
                <c:pt idx="411">
                  <c:v>52858</c:v>
                </c:pt>
                <c:pt idx="412">
                  <c:v>54637</c:v>
                </c:pt>
                <c:pt idx="413">
                  <c:v>54833</c:v>
                </c:pt>
                <c:pt idx="414">
                  <c:v>55250</c:v>
                </c:pt>
                <c:pt idx="415">
                  <c:v>54408</c:v>
                </c:pt>
                <c:pt idx="416">
                  <c:v>54569</c:v>
                </c:pt>
                <c:pt idx="417">
                  <c:v>52653</c:v>
                </c:pt>
                <c:pt idx="418">
                  <c:v>53921</c:v>
                </c:pt>
                <c:pt idx="419">
                  <c:v>53883</c:v>
                </c:pt>
                <c:pt idx="420">
                  <c:v>54908</c:v>
                </c:pt>
                <c:pt idx="421">
                  <c:v>54671</c:v>
                </c:pt>
                <c:pt idx="422">
                  <c:v>54341</c:v>
                </c:pt>
                <c:pt idx="423">
                  <c:v>56666</c:v>
                </c:pt>
                <c:pt idx="424">
                  <c:v>57264</c:v>
                </c:pt>
                <c:pt idx="425">
                  <c:v>56906</c:v>
                </c:pt>
                <c:pt idx="426">
                  <c:v>57799</c:v>
                </c:pt>
                <c:pt idx="427">
                  <c:v>58719</c:v>
                </c:pt>
                <c:pt idx="428">
                  <c:v>58858</c:v>
                </c:pt>
                <c:pt idx="429">
                  <c:v>59715</c:v>
                </c:pt>
                <c:pt idx="430">
                  <c:v>61052</c:v>
                </c:pt>
                <c:pt idx="431">
                  <c:v>60465</c:v>
                </c:pt>
                <c:pt idx="432">
                  <c:v>62340</c:v>
                </c:pt>
                <c:pt idx="433">
                  <c:v>62017</c:v>
                </c:pt>
                <c:pt idx="434">
                  <c:v>60099</c:v>
                </c:pt>
                <c:pt idx="435">
                  <c:v>60407</c:v>
                </c:pt>
                <c:pt idx="436">
                  <c:v>62319</c:v>
                </c:pt>
                <c:pt idx="437">
                  <c:v>62661</c:v>
                </c:pt>
                <c:pt idx="438">
                  <c:v>63549</c:v>
                </c:pt>
                <c:pt idx="439">
                  <c:v>63197</c:v>
                </c:pt>
                <c:pt idx="440">
                  <c:v>62456</c:v>
                </c:pt>
                <c:pt idx="441">
                  <c:v>62969</c:v>
                </c:pt>
                <c:pt idx="442">
                  <c:v>61718</c:v>
                </c:pt>
                <c:pt idx="443">
                  <c:v>63194</c:v>
                </c:pt>
                <c:pt idx="444">
                  <c:v>63261</c:v>
                </c:pt>
                <c:pt idx="445">
                  <c:v>60894</c:v>
                </c:pt>
                <c:pt idx="446">
                  <c:v>61215</c:v>
                </c:pt>
                <c:pt idx="447">
                  <c:v>62697</c:v>
                </c:pt>
                <c:pt idx="448">
                  <c:v>62625</c:v>
                </c:pt>
                <c:pt idx="449">
                  <c:v>62341</c:v>
                </c:pt>
                <c:pt idx="450">
                  <c:v>64276</c:v>
                </c:pt>
                <c:pt idx="451">
                  <c:v>65044</c:v>
                </c:pt>
                <c:pt idx="452">
                  <c:v>64383</c:v>
                </c:pt>
                <c:pt idx="453">
                  <c:v>65318</c:v>
                </c:pt>
                <c:pt idx="454">
                  <c:v>64050</c:v>
                </c:pt>
                <c:pt idx="455">
                  <c:v>62960</c:v>
                </c:pt>
                <c:pt idx="456">
                  <c:v>64503</c:v>
                </c:pt>
                <c:pt idx="457">
                  <c:v>63501</c:v>
                </c:pt>
                <c:pt idx="458">
                  <c:v>63562</c:v>
                </c:pt>
                <c:pt idx="459">
                  <c:v>64321</c:v>
                </c:pt>
                <c:pt idx="460">
                  <c:v>61527</c:v>
                </c:pt>
                <c:pt idx="461">
                  <c:v>62927</c:v>
                </c:pt>
                <c:pt idx="462">
                  <c:v>64631</c:v>
                </c:pt>
                <c:pt idx="463">
                  <c:v>64609</c:v>
                </c:pt>
                <c:pt idx="464">
                  <c:v>62336</c:v>
                </c:pt>
                <c:pt idx="465">
                  <c:v>60582</c:v>
                </c:pt>
                <c:pt idx="466">
                  <c:v>60653</c:v>
                </c:pt>
                <c:pt idx="467">
                  <c:v>60971</c:v>
                </c:pt>
                <c:pt idx="468">
                  <c:v>59069</c:v>
                </c:pt>
                <c:pt idx="469">
                  <c:v>59432</c:v>
                </c:pt>
                <c:pt idx="470">
                  <c:v>61715</c:v>
                </c:pt>
                <c:pt idx="471">
                  <c:v>62156</c:v>
                </c:pt>
                <c:pt idx="472">
                  <c:v>63006</c:v>
                </c:pt>
                <c:pt idx="473">
                  <c:v>63200</c:v>
                </c:pt>
                <c:pt idx="474">
                  <c:v>63482</c:v>
                </c:pt>
                <c:pt idx="475">
                  <c:v>64928</c:v>
                </c:pt>
                <c:pt idx="476">
                  <c:v>65791</c:v>
                </c:pt>
                <c:pt idx="477">
                  <c:v>65639</c:v>
                </c:pt>
                <c:pt idx="478">
                  <c:v>65446</c:v>
                </c:pt>
                <c:pt idx="479">
                  <c:v>64512</c:v>
                </c:pt>
                <c:pt idx="480">
                  <c:v>64742</c:v>
                </c:pt>
                <c:pt idx="481">
                  <c:v>62861</c:v>
                </c:pt>
                <c:pt idx="482">
                  <c:v>62445</c:v>
                </c:pt>
                <c:pt idx="483">
                  <c:v>59828</c:v>
                </c:pt>
                <c:pt idx="484">
                  <c:v>61096</c:v>
                </c:pt>
                <c:pt idx="485">
                  <c:v>61722</c:v>
                </c:pt>
                <c:pt idx="486">
                  <c:v>61716</c:v>
                </c:pt>
                <c:pt idx="487">
                  <c:v>63098</c:v>
                </c:pt>
                <c:pt idx="488">
                  <c:v>64288</c:v>
                </c:pt>
                <c:pt idx="489">
                  <c:v>63774</c:v>
                </c:pt>
                <c:pt idx="490">
                  <c:v>63886</c:v>
                </c:pt>
                <c:pt idx="491">
                  <c:v>62815</c:v>
                </c:pt>
                <c:pt idx="492">
                  <c:v>62892</c:v>
                </c:pt>
                <c:pt idx="493">
                  <c:v>61037</c:v>
                </c:pt>
                <c:pt idx="494">
                  <c:v>60772</c:v>
                </c:pt>
                <c:pt idx="495">
                  <c:v>62081</c:v>
                </c:pt>
                <c:pt idx="496">
                  <c:v>62674</c:v>
                </c:pt>
                <c:pt idx="497">
                  <c:v>63515</c:v>
                </c:pt>
                <c:pt idx="498">
                  <c:v>61942</c:v>
                </c:pt>
                <c:pt idx="499">
                  <c:v>62188</c:v>
                </c:pt>
                <c:pt idx="500">
                  <c:v>59907</c:v>
                </c:pt>
                <c:pt idx="501">
                  <c:v>58777</c:v>
                </c:pt>
                <c:pt idx="502">
                  <c:v>57037</c:v>
                </c:pt>
                <c:pt idx="503">
                  <c:v>57506</c:v>
                </c:pt>
                <c:pt idx="504">
                  <c:v>53709</c:v>
                </c:pt>
                <c:pt idx="505">
                  <c:v>56097</c:v>
                </c:pt>
                <c:pt idx="506">
                  <c:v>54235</c:v>
                </c:pt>
                <c:pt idx="507">
                  <c:v>57463</c:v>
                </c:pt>
                <c:pt idx="508">
                  <c:v>58594</c:v>
                </c:pt>
                <c:pt idx="509">
                  <c:v>59530</c:v>
                </c:pt>
                <c:pt idx="510">
                  <c:v>60289</c:v>
                </c:pt>
                <c:pt idx="511">
                  <c:v>59490</c:v>
                </c:pt>
                <c:pt idx="512">
                  <c:v>61080</c:v>
                </c:pt>
                <c:pt idx="513">
                  <c:v>58969</c:v>
                </c:pt>
                <c:pt idx="514">
                  <c:v>58965</c:v>
                </c:pt>
                <c:pt idx="515">
                  <c:v>59076</c:v>
                </c:pt>
                <c:pt idx="516">
                  <c:v>60643</c:v>
                </c:pt>
                <c:pt idx="517">
                  <c:v>61805</c:v>
                </c:pt>
                <c:pt idx="518">
                  <c:v>62591</c:v>
                </c:pt>
                <c:pt idx="519">
                  <c:v>61819</c:v>
                </c:pt>
                <c:pt idx="520">
                  <c:v>61272</c:v>
                </c:pt>
                <c:pt idx="521">
                  <c:v>62801</c:v>
                </c:pt>
                <c:pt idx="522">
                  <c:v>62297</c:v>
                </c:pt>
                <c:pt idx="523">
                  <c:v>63747</c:v>
                </c:pt>
                <c:pt idx="524">
                  <c:v>63792</c:v>
                </c:pt>
                <c:pt idx="525">
                  <c:v>64609</c:v>
                </c:pt>
                <c:pt idx="526">
                  <c:v>65001</c:v>
                </c:pt>
                <c:pt idx="527">
                  <c:v>65183</c:v>
                </c:pt>
                <c:pt idx="528">
                  <c:v>65495</c:v>
                </c:pt>
                <c:pt idx="529">
                  <c:v>65555</c:v>
                </c:pt>
                <c:pt idx="530">
                  <c:v>63489</c:v>
                </c:pt>
                <c:pt idx="531">
                  <c:v>64490</c:v>
                </c:pt>
                <c:pt idx="532">
                  <c:v>63656</c:v>
                </c:pt>
                <c:pt idx="533">
                  <c:v>64629</c:v>
                </c:pt>
                <c:pt idx="534">
                  <c:v>62975</c:v>
                </c:pt>
                <c:pt idx="535">
                  <c:v>61868</c:v>
                </c:pt>
                <c:pt idx="536">
                  <c:v>59999</c:v>
                </c:pt>
                <c:pt idx="537">
                  <c:v>62368</c:v>
                </c:pt>
                <c:pt idx="538">
                  <c:v>62177</c:v>
                </c:pt>
                <c:pt idx="539">
                  <c:v>62280</c:v>
                </c:pt>
                <c:pt idx="540">
                  <c:v>61991</c:v>
                </c:pt>
                <c:pt idx="541">
                  <c:v>60012</c:v>
                </c:pt>
                <c:pt idx="542">
                  <c:v>61933</c:v>
                </c:pt>
                <c:pt idx="543">
                  <c:v>58827</c:v>
                </c:pt>
                <c:pt idx="544">
                  <c:v>58987</c:v>
                </c:pt>
                <c:pt idx="545">
                  <c:v>59813</c:v>
                </c:pt>
                <c:pt idx="546">
                  <c:v>61234</c:v>
                </c:pt>
                <c:pt idx="547">
                  <c:v>61415</c:v>
                </c:pt>
                <c:pt idx="548">
                  <c:v>60762</c:v>
                </c:pt>
                <c:pt idx="549">
                  <c:v>60452</c:v>
                </c:pt>
                <c:pt idx="550">
                  <c:v>60968</c:v>
                </c:pt>
                <c:pt idx="551">
                  <c:v>62775</c:v>
                </c:pt>
                <c:pt idx="552">
                  <c:v>63364</c:v>
                </c:pt>
                <c:pt idx="553">
                  <c:v>64175</c:v>
                </c:pt>
                <c:pt idx="554">
                  <c:v>64446</c:v>
                </c:pt>
                <c:pt idx="555">
                  <c:v>64176</c:v>
                </c:pt>
                <c:pt idx="556">
                  <c:v>64540</c:v>
                </c:pt>
                <c:pt idx="557">
                  <c:v>63477</c:v>
                </c:pt>
                <c:pt idx="558">
                  <c:v>63527</c:v>
                </c:pt>
                <c:pt idx="559">
                  <c:v>62585</c:v>
                </c:pt>
                <c:pt idx="560">
                  <c:v>62153</c:v>
                </c:pt>
                <c:pt idx="561">
                  <c:v>62618</c:v>
                </c:pt>
                <c:pt idx="562">
                  <c:v>64152</c:v>
                </c:pt>
                <c:pt idx="563">
                  <c:v>64552</c:v>
                </c:pt>
                <c:pt idx="564">
                  <c:v>64923</c:v>
                </c:pt>
                <c:pt idx="565">
                  <c:v>65413</c:v>
                </c:pt>
                <c:pt idx="566">
                  <c:v>64948</c:v>
                </c:pt>
                <c:pt idx="567">
                  <c:v>64576</c:v>
                </c:pt>
                <c:pt idx="568">
                  <c:v>65187</c:v>
                </c:pt>
                <c:pt idx="569">
                  <c:v>65678</c:v>
                </c:pt>
                <c:pt idx="570">
                  <c:v>63826</c:v>
                </c:pt>
                <c:pt idx="571">
                  <c:v>67868</c:v>
                </c:pt>
                <c:pt idx="572">
                  <c:v>69366</c:v>
                </c:pt>
                <c:pt idx="573">
                  <c:v>70175</c:v>
                </c:pt>
                <c:pt idx="574">
                  <c:v>70195</c:v>
                </c:pt>
                <c:pt idx="575">
                  <c:v>69018</c:v>
                </c:pt>
                <c:pt idx="576">
                  <c:v>69722</c:v>
                </c:pt>
                <c:pt idx="577">
                  <c:v>69646</c:v>
                </c:pt>
                <c:pt idx="578">
                  <c:v>70416</c:v>
                </c:pt>
                <c:pt idx="579">
                  <c:v>70503</c:v>
                </c:pt>
                <c:pt idx="580">
                  <c:v>70027</c:v>
                </c:pt>
                <c:pt idx="581">
                  <c:v>71492</c:v>
                </c:pt>
                <c:pt idx="582">
                  <c:v>72767</c:v>
                </c:pt>
                <c:pt idx="583">
                  <c:v>73439</c:v>
                </c:pt>
                <c:pt idx="584">
                  <c:v>73517</c:v>
                </c:pt>
                <c:pt idx="585">
                  <c:v>72295</c:v>
                </c:pt>
                <c:pt idx="586">
                  <c:v>71452</c:v>
                </c:pt>
                <c:pt idx="587">
                  <c:v>71629</c:v>
                </c:pt>
                <c:pt idx="588">
                  <c:v>70992</c:v>
                </c:pt>
                <c:pt idx="589">
                  <c:v>73153</c:v>
                </c:pt>
                <c:pt idx="590">
                  <c:v>71798</c:v>
                </c:pt>
                <c:pt idx="591">
                  <c:v>72593</c:v>
                </c:pt>
                <c:pt idx="592">
                  <c:v>71897</c:v>
                </c:pt>
                <c:pt idx="593">
                  <c:v>70012</c:v>
                </c:pt>
                <c:pt idx="594">
                  <c:v>68673</c:v>
                </c:pt>
                <c:pt idx="595">
                  <c:v>71235</c:v>
                </c:pt>
                <c:pt idx="596">
                  <c:v>69786</c:v>
                </c:pt>
                <c:pt idx="597">
                  <c:v>69281</c:v>
                </c:pt>
                <c:pt idx="598">
                  <c:v>67775</c:v>
                </c:pt>
                <c:pt idx="599">
                  <c:v>66795</c:v>
                </c:pt>
                <c:pt idx="600">
                  <c:v>67322</c:v>
                </c:pt>
                <c:pt idx="601">
                  <c:v>67204</c:v>
                </c:pt>
                <c:pt idx="602">
                  <c:v>67285</c:v>
                </c:pt>
                <c:pt idx="603">
                  <c:v>68438</c:v>
                </c:pt>
                <c:pt idx="604">
                  <c:v>67090</c:v>
                </c:pt>
                <c:pt idx="605">
                  <c:v>66590</c:v>
                </c:pt>
                <c:pt idx="606">
                  <c:v>64614</c:v>
                </c:pt>
                <c:pt idx="607">
                  <c:v>64640</c:v>
                </c:pt>
                <c:pt idx="608">
                  <c:v>64168</c:v>
                </c:pt>
                <c:pt idx="609">
                  <c:v>65853</c:v>
                </c:pt>
                <c:pt idx="610">
                  <c:v>63947</c:v>
                </c:pt>
                <c:pt idx="611">
                  <c:v>64321</c:v>
                </c:pt>
                <c:pt idx="612">
                  <c:v>65018</c:v>
                </c:pt>
                <c:pt idx="613">
                  <c:v>63396</c:v>
                </c:pt>
                <c:pt idx="614">
                  <c:v>61106</c:v>
                </c:pt>
                <c:pt idx="615">
                  <c:v>59273</c:v>
                </c:pt>
                <c:pt idx="616">
                  <c:v>59365</c:v>
                </c:pt>
                <c:pt idx="617">
                  <c:v>59088</c:v>
                </c:pt>
                <c:pt idx="618">
                  <c:v>59536</c:v>
                </c:pt>
                <c:pt idx="619">
                  <c:v>60253</c:v>
                </c:pt>
                <c:pt idx="620">
                  <c:v>60148</c:v>
                </c:pt>
                <c:pt idx="621">
                  <c:v>60721</c:v>
                </c:pt>
                <c:pt idx="622">
                  <c:v>61015</c:v>
                </c:pt>
                <c:pt idx="623">
                  <c:v>62056</c:v>
                </c:pt>
                <c:pt idx="624">
                  <c:v>60109</c:v>
                </c:pt>
                <c:pt idx="625">
                  <c:v>59988</c:v>
                </c:pt>
                <c:pt idx="626">
                  <c:v>60772</c:v>
                </c:pt>
                <c:pt idx="627">
                  <c:v>59647</c:v>
                </c:pt>
                <c:pt idx="628">
                  <c:v>59421</c:v>
                </c:pt>
                <c:pt idx="629">
                  <c:v>57434</c:v>
                </c:pt>
                <c:pt idx="630">
                  <c:v>57199</c:v>
                </c:pt>
                <c:pt idx="631">
                  <c:v>56869</c:v>
                </c:pt>
                <c:pt idx="632">
                  <c:v>58043</c:v>
                </c:pt>
                <c:pt idx="633">
                  <c:v>59998</c:v>
                </c:pt>
                <c:pt idx="634">
                  <c:v>59505</c:v>
                </c:pt>
                <c:pt idx="635">
                  <c:v>57630</c:v>
                </c:pt>
                <c:pt idx="636">
                  <c:v>55609</c:v>
                </c:pt>
                <c:pt idx="637">
                  <c:v>56471</c:v>
                </c:pt>
                <c:pt idx="638">
                  <c:v>57542</c:v>
                </c:pt>
                <c:pt idx="639">
                  <c:v>57018</c:v>
                </c:pt>
                <c:pt idx="640">
                  <c:v>56584</c:v>
                </c:pt>
                <c:pt idx="641">
                  <c:v>54720</c:v>
                </c:pt>
                <c:pt idx="642">
                  <c:v>54503</c:v>
                </c:pt>
                <c:pt idx="643">
                  <c:v>54573</c:v>
                </c:pt>
                <c:pt idx="644">
                  <c:v>55138</c:v>
                </c:pt>
                <c:pt idx="645">
                  <c:v>54244</c:v>
                </c:pt>
                <c:pt idx="646">
                  <c:v>53327</c:v>
                </c:pt>
                <c:pt idx="647">
                  <c:v>53639</c:v>
                </c:pt>
                <c:pt idx="648">
                  <c:v>55377</c:v>
                </c:pt>
                <c:pt idx="649">
                  <c:v>55935</c:v>
                </c:pt>
                <c:pt idx="650">
                  <c:v>55850</c:v>
                </c:pt>
                <c:pt idx="651">
                  <c:v>54477</c:v>
                </c:pt>
                <c:pt idx="652">
                  <c:v>54359</c:v>
                </c:pt>
                <c:pt idx="653">
                  <c:v>55519</c:v>
                </c:pt>
                <c:pt idx="654">
                  <c:v>56382</c:v>
                </c:pt>
                <c:pt idx="655">
                  <c:v>55680</c:v>
                </c:pt>
                <c:pt idx="656">
                  <c:v>55162</c:v>
                </c:pt>
                <c:pt idx="657">
                  <c:v>54404</c:v>
                </c:pt>
                <c:pt idx="658">
                  <c:v>53527</c:v>
                </c:pt>
                <c:pt idx="659">
                  <c:v>51409</c:v>
                </c:pt>
                <c:pt idx="660">
                  <c:v>51940</c:v>
                </c:pt>
                <c:pt idx="661">
                  <c:v>50718</c:v>
                </c:pt>
                <c:pt idx="662">
                  <c:v>48435</c:v>
                </c:pt>
                <c:pt idx="663">
                  <c:v>49633</c:v>
                </c:pt>
                <c:pt idx="664">
                  <c:v>51270</c:v>
                </c:pt>
                <c:pt idx="665">
                  <c:v>52393</c:v>
                </c:pt>
                <c:pt idx="666">
                  <c:v>48416</c:v>
                </c:pt>
                <c:pt idx="667">
                  <c:v>49229</c:v>
                </c:pt>
                <c:pt idx="668">
                  <c:v>45909</c:v>
                </c:pt>
                <c:pt idx="669">
                  <c:v>48423</c:v>
                </c:pt>
                <c:pt idx="670">
                  <c:v>53055</c:v>
                </c:pt>
                <c:pt idx="671">
                  <c:v>51541</c:v>
                </c:pt>
                <c:pt idx="672">
                  <c:v>49593</c:v>
                </c:pt>
                <c:pt idx="673">
                  <c:v>49843</c:v>
                </c:pt>
                <c:pt idx="674">
                  <c:v>51828</c:v>
                </c:pt>
                <c:pt idx="675">
                  <c:v>50783</c:v>
                </c:pt>
                <c:pt idx="676">
                  <c:v>46028</c:v>
                </c:pt>
                <c:pt idx="677">
                  <c:v>49541</c:v>
                </c:pt>
                <c:pt idx="678">
                  <c:v>49799</c:v>
                </c:pt>
                <c:pt idx="679">
                  <c:v>46145</c:v>
                </c:pt>
                <c:pt idx="680">
                  <c:v>44517</c:v>
                </c:pt>
                <c:pt idx="681">
                  <c:v>42101</c:v>
                </c:pt>
                <c:pt idx="682">
                  <c:v>40140</c:v>
                </c:pt>
                <c:pt idx="683">
                  <c:v>38594</c:v>
                </c:pt>
                <c:pt idx="684">
                  <c:v>37080</c:v>
                </c:pt>
                <c:pt idx="685">
                  <c:v>35610</c:v>
                </c:pt>
                <c:pt idx="686">
                  <c:v>40829</c:v>
                </c:pt>
                <c:pt idx="687">
                  <c:v>41569</c:v>
                </c:pt>
                <c:pt idx="688">
                  <c:v>36833</c:v>
                </c:pt>
                <c:pt idx="689">
                  <c:v>36442</c:v>
                </c:pt>
                <c:pt idx="690">
                  <c:v>36399</c:v>
                </c:pt>
                <c:pt idx="691">
                  <c:v>39441</c:v>
                </c:pt>
                <c:pt idx="692">
                  <c:v>39043</c:v>
                </c:pt>
                <c:pt idx="693">
                  <c:v>35070</c:v>
                </c:pt>
                <c:pt idx="694">
                  <c:v>33818</c:v>
                </c:pt>
                <c:pt idx="695">
                  <c:v>31482</c:v>
                </c:pt>
                <c:pt idx="696">
                  <c:v>29435</c:v>
                </c:pt>
                <c:pt idx="697">
                  <c:v>33387</c:v>
                </c:pt>
                <c:pt idx="698">
                  <c:v>34845</c:v>
                </c:pt>
                <c:pt idx="699">
                  <c:v>37449</c:v>
                </c:pt>
                <c:pt idx="700">
                  <c:v>37257</c:v>
                </c:pt>
                <c:pt idx="701">
                  <c:v>38249</c:v>
                </c:pt>
                <c:pt idx="702">
                  <c:v>40255</c:v>
                </c:pt>
                <c:pt idx="703">
                  <c:v>37786</c:v>
                </c:pt>
                <c:pt idx="704">
                  <c:v>36362</c:v>
                </c:pt>
                <c:pt idx="705">
                  <c:v>36665</c:v>
                </c:pt>
                <c:pt idx="706">
                  <c:v>36776</c:v>
                </c:pt>
                <c:pt idx="707">
                  <c:v>37262</c:v>
                </c:pt>
                <c:pt idx="708">
                  <c:v>34374</c:v>
                </c:pt>
                <c:pt idx="709">
                  <c:v>35993</c:v>
                </c:pt>
                <c:pt idx="710">
                  <c:v>35789</c:v>
                </c:pt>
                <c:pt idx="711">
                  <c:v>35717</c:v>
                </c:pt>
                <c:pt idx="712">
                  <c:v>34095</c:v>
                </c:pt>
                <c:pt idx="713">
                  <c:v>33405</c:v>
                </c:pt>
                <c:pt idx="714">
                  <c:v>31251</c:v>
                </c:pt>
                <c:pt idx="715">
                  <c:v>34189</c:v>
                </c:pt>
                <c:pt idx="716">
                  <c:v>34813</c:v>
                </c:pt>
                <c:pt idx="717">
                  <c:v>36470</c:v>
                </c:pt>
                <c:pt idx="718">
                  <c:v>36213</c:v>
                </c:pt>
                <c:pt idx="719">
                  <c:v>36596</c:v>
                </c:pt>
                <c:pt idx="720">
                  <c:v>34741</c:v>
                </c:pt>
                <c:pt idx="721">
                  <c:v>35001</c:v>
                </c:pt>
                <c:pt idx="722">
                  <c:v>35297</c:v>
                </c:pt>
                <c:pt idx="723">
                  <c:v>35128</c:v>
                </c:pt>
                <c:pt idx="724">
                  <c:v>35347</c:v>
                </c:pt>
                <c:pt idx="725">
                  <c:v>38285</c:v>
                </c:pt>
                <c:pt idx="726">
                  <c:v>37968</c:v>
                </c:pt>
                <c:pt idx="727">
                  <c:v>39004</c:v>
                </c:pt>
                <c:pt idx="728">
                  <c:v>38519</c:v>
                </c:pt>
                <c:pt idx="729">
                  <c:v>39374</c:v>
                </c:pt>
                <c:pt idx="730">
                  <c:v>38320</c:v>
                </c:pt>
                <c:pt idx="731">
                  <c:v>39993</c:v>
                </c:pt>
                <c:pt idx="732">
                  <c:v>39947</c:v>
                </c:pt>
                <c:pt idx="733">
                  <c:v>39536</c:v>
                </c:pt>
                <c:pt idx="734">
                  <c:v>39131</c:v>
                </c:pt>
                <c:pt idx="735">
                  <c:v>37619</c:v>
                </c:pt>
                <c:pt idx="736">
                  <c:v>36471</c:v>
                </c:pt>
                <c:pt idx="737">
                  <c:v>36864</c:v>
                </c:pt>
                <c:pt idx="738">
                  <c:v>37060</c:v>
                </c:pt>
                <c:pt idx="739">
                  <c:v>37550</c:v>
                </c:pt>
                <c:pt idx="740">
                  <c:v>40244</c:v>
                </c:pt>
                <c:pt idx="741">
                  <c:v>41519</c:v>
                </c:pt>
                <c:pt idx="742">
                  <c:v>42312</c:v>
                </c:pt>
                <c:pt idx="743">
                  <c:v>40820</c:v>
                </c:pt>
                <c:pt idx="744">
                  <c:v>41991</c:v>
                </c:pt>
                <c:pt idx="745">
                  <c:v>41583</c:v>
                </c:pt>
                <c:pt idx="746">
                  <c:v>39403</c:v>
                </c:pt>
                <c:pt idx="747">
                  <c:v>39544</c:v>
                </c:pt>
                <c:pt idx="748">
                  <c:v>37982</c:v>
                </c:pt>
                <c:pt idx="749">
                  <c:v>39151</c:v>
                </c:pt>
                <c:pt idx="750">
                  <c:v>39342</c:v>
                </c:pt>
                <c:pt idx="751">
                  <c:v>38828</c:v>
                </c:pt>
                <c:pt idx="752">
                  <c:v>37272</c:v>
                </c:pt>
                <c:pt idx="753">
                  <c:v>38543</c:v>
                </c:pt>
                <c:pt idx="754">
                  <c:v>37894</c:v>
                </c:pt>
                <c:pt idx="755">
                  <c:v>38132</c:v>
                </c:pt>
                <c:pt idx="756">
                  <c:v>38509</c:v>
                </c:pt>
                <c:pt idx="757">
                  <c:v>38699</c:v>
                </c:pt>
                <c:pt idx="758">
                  <c:v>40227</c:v>
                </c:pt>
                <c:pt idx="759">
                  <c:v>39638</c:v>
                </c:pt>
                <c:pt idx="760">
                  <c:v>39301</c:v>
                </c:pt>
                <c:pt idx="761">
                  <c:v>38666</c:v>
                </c:pt>
                <c:pt idx="762">
                  <c:v>39747</c:v>
                </c:pt>
                <c:pt idx="763">
                  <c:v>40129</c:v>
                </c:pt>
                <c:pt idx="764">
                  <c:v>41109</c:v>
                </c:pt>
                <c:pt idx="765">
                  <c:v>42756</c:v>
                </c:pt>
                <c:pt idx="766">
                  <c:v>42100</c:v>
                </c:pt>
                <c:pt idx="767">
                  <c:v>41207</c:v>
                </c:pt>
                <c:pt idx="768">
                  <c:v>40846</c:v>
                </c:pt>
                <c:pt idx="769">
                  <c:v>40501</c:v>
                </c:pt>
                <c:pt idx="770">
                  <c:v>41674</c:v>
                </c:pt>
                <c:pt idx="771">
                  <c:v>41841</c:v>
                </c:pt>
                <c:pt idx="772">
                  <c:v>39847</c:v>
                </c:pt>
                <c:pt idx="773">
                  <c:v>39674</c:v>
                </c:pt>
                <c:pt idx="774">
                  <c:v>39730</c:v>
                </c:pt>
                <c:pt idx="775">
                  <c:v>38715</c:v>
                </c:pt>
                <c:pt idx="776">
                  <c:v>38232</c:v>
                </c:pt>
                <c:pt idx="777">
                  <c:v>38180</c:v>
                </c:pt>
                <c:pt idx="778">
                  <c:v>38183</c:v>
                </c:pt>
                <c:pt idx="779">
                  <c:v>36235</c:v>
                </c:pt>
                <c:pt idx="780">
                  <c:v>36468</c:v>
                </c:pt>
                <c:pt idx="781">
                  <c:v>38402</c:v>
                </c:pt>
                <c:pt idx="782">
                  <c:v>37369</c:v>
                </c:pt>
                <c:pt idx="783">
                  <c:v>37105</c:v>
                </c:pt>
                <c:pt idx="784">
                  <c:v>36741</c:v>
                </c:pt>
                <c:pt idx="785">
                  <c:v>38795</c:v>
                </c:pt>
                <c:pt idx="786">
                  <c:v>38805</c:v>
                </c:pt>
                <c:pt idx="787">
                  <c:v>39152</c:v>
                </c:pt>
                <c:pt idx="788">
                  <c:v>39015</c:v>
                </c:pt>
                <c:pt idx="789">
                  <c:v>38607</c:v>
                </c:pt>
                <c:pt idx="790">
                  <c:v>39511</c:v>
                </c:pt>
                <c:pt idx="791">
                  <c:v>40142</c:v>
                </c:pt>
                <c:pt idx="792">
                  <c:v>40453</c:v>
                </c:pt>
                <c:pt idx="793">
                  <c:v>40076</c:v>
                </c:pt>
                <c:pt idx="794">
                  <c:v>42439</c:v>
                </c:pt>
                <c:pt idx="795">
                  <c:v>41476</c:v>
                </c:pt>
                <c:pt idx="796">
                  <c:v>41799</c:v>
                </c:pt>
                <c:pt idx="797">
                  <c:v>42589</c:v>
                </c:pt>
                <c:pt idx="798">
                  <c:v>41907</c:v>
                </c:pt>
                <c:pt idx="799">
                  <c:v>40653</c:v>
                </c:pt>
                <c:pt idx="800">
                  <c:v>40926</c:v>
                </c:pt>
                <c:pt idx="801">
                  <c:v>41976</c:v>
                </c:pt>
                <c:pt idx="802">
                  <c:v>43736</c:v>
                </c:pt>
                <c:pt idx="803">
                  <c:v>44391</c:v>
                </c:pt>
                <c:pt idx="804">
                  <c:v>44167</c:v>
                </c:pt>
                <c:pt idx="805">
                  <c:v>43825</c:v>
                </c:pt>
                <c:pt idx="806">
                  <c:v>44182</c:v>
                </c:pt>
                <c:pt idx="807">
                  <c:v>45539</c:v>
                </c:pt>
                <c:pt idx="808">
                  <c:v>45992</c:v>
                </c:pt>
                <c:pt idx="809">
                  <c:v>45418</c:v>
                </c:pt>
                <c:pt idx="810">
                  <c:v>45273</c:v>
                </c:pt>
                <c:pt idx="811">
                  <c:v>46025</c:v>
                </c:pt>
                <c:pt idx="812">
                  <c:v>45778</c:v>
                </c:pt>
                <c:pt idx="813">
                  <c:v>44433</c:v>
                </c:pt>
                <c:pt idx="814">
                  <c:v>44888</c:v>
                </c:pt>
                <c:pt idx="815">
                  <c:v>45801</c:v>
                </c:pt>
                <c:pt idx="816">
                  <c:v>46772</c:v>
                </c:pt>
                <c:pt idx="817">
                  <c:v>45820</c:v>
                </c:pt>
                <c:pt idx="818">
                  <c:v>45821</c:v>
                </c:pt>
                <c:pt idx="819">
                  <c:v>47227</c:v>
                </c:pt>
                <c:pt idx="820">
                  <c:v>47290</c:v>
                </c:pt>
                <c:pt idx="821">
                  <c:v>50405</c:v>
                </c:pt>
                <c:pt idx="822">
                  <c:v>50670</c:v>
                </c:pt>
                <c:pt idx="823">
                  <c:v>51499</c:v>
                </c:pt>
                <c:pt idx="824">
                  <c:v>50058</c:v>
                </c:pt>
                <c:pt idx="825">
                  <c:v>51396</c:v>
                </c:pt>
                <c:pt idx="826">
                  <c:v>50976</c:v>
                </c:pt>
                <c:pt idx="827">
                  <c:v>50326</c:v>
                </c:pt>
                <c:pt idx="828">
                  <c:v>48679</c:v>
                </c:pt>
                <c:pt idx="829">
                  <c:v>49446</c:v>
                </c:pt>
                <c:pt idx="830">
                  <c:v>49007</c:v>
                </c:pt>
                <c:pt idx="831">
                  <c:v>51463</c:v>
                </c:pt>
                <c:pt idx="832">
                  <c:v>51347</c:v>
                </c:pt>
                <c:pt idx="833">
                  <c:v>51245</c:v>
                </c:pt>
                <c:pt idx="834">
                  <c:v>50087</c:v>
                </c:pt>
                <c:pt idx="835">
                  <c:v>50568</c:v>
                </c:pt>
                <c:pt idx="836">
                  <c:v>50816</c:v>
                </c:pt>
                <c:pt idx="837">
                  <c:v>51841</c:v>
                </c:pt>
                <c:pt idx="838">
                  <c:v>51792</c:v>
                </c:pt>
                <c:pt idx="839">
                  <c:v>53041</c:v>
                </c:pt>
                <c:pt idx="840">
                  <c:v>53198</c:v>
                </c:pt>
                <c:pt idx="841">
                  <c:v>54486</c:v>
                </c:pt>
                <c:pt idx="842">
                  <c:v>54000</c:v>
                </c:pt>
                <c:pt idx="843">
                  <c:v>52087</c:v>
                </c:pt>
                <c:pt idx="844">
                  <c:v>53464</c:v>
                </c:pt>
                <c:pt idx="845">
                  <c:v>53341</c:v>
                </c:pt>
                <c:pt idx="846">
                  <c:v>53630</c:v>
                </c:pt>
                <c:pt idx="847">
                  <c:v>53157</c:v>
                </c:pt>
                <c:pt idx="848">
                  <c:v>53411</c:v>
                </c:pt>
                <c:pt idx="849">
                  <c:v>53558</c:v>
                </c:pt>
                <c:pt idx="850">
                  <c:v>52034</c:v>
                </c:pt>
                <c:pt idx="851">
                  <c:v>51206</c:v>
                </c:pt>
                <c:pt idx="852">
                  <c:v>51046</c:v>
                </c:pt>
                <c:pt idx="853">
                  <c:v>50903</c:v>
                </c:pt>
                <c:pt idx="854">
                  <c:v>51374</c:v>
                </c:pt>
                <c:pt idx="855">
                  <c:v>49495</c:v>
                </c:pt>
                <c:pt idx="856">
                  <c:v>49814</c:v>
                </c:pt>
                <c:pt idx="857">
                  <c:v>49672</c:v>
                </c:pt>
                <c:pt idx="858">
                  <c:v>51515</c:v>
                </c:pt>
                <c:pt idx="859">
                  <c:v>51486</c:v>
                </c:pt>
                <c:pt idx="860">
                  <c:v>52138</c:v>
                </c:pt>
                <c:pt idx="861">
                  <c:v>51465</c:v>
                </c:pt>
                <c:pt idx="862">
                  <c:v>51544</c:v>
                </c:pt>
                <c:pt idx="863">
                  <c:v>51025</c:v>
                </c:pt>
                <c:pt idx="864">
                  <c:v>50935</c:v>
                </c:pt>
                <c:pt idx="865">
                  <c:v>50622</c:v>
                </c:pt>
                <c:pt idx="866">
                  <c:v>49457</c:v>
                </c:pt>
                <c:pt idx="867">
                  <c:v>49178</c:v>
                </c:pt>
                <c:pt idx="868">
                  <c:v>49221</c:v>
                </c:pt>
                <c:pt idx="869">
                  <c:v>49187</c:v>
                </c:pt>
                <c:pt idx="870">
                  <c:v>48873</c:v>
                </c:pt>
                <c:pt idx="871">
                  <c:v>51297</c:v>
                </c:pt>
                <c:pt idx="872">
                  <c:v>51918</c:v>
                </c:pt>
                <c:pt idx="873">
                  <c:v>52072</c:v>
                </c:pt>
                <c:pt idx="874">
                  <c:v>53155</c:v>
                </c:pt>
                <c:pt idx="875">
                  <c:v>53234</c:v>
                </c:pt>
                <c:pt idx="876">
                  <c:v>53073</c:v>
                </c:pt>
                <c:pt idx="877">
                  <c:v>54249</c:v>
                </c:pt>
                <c:pt idx="878">
                  <c:v>54457</c:v>
                </c:pt>
                <c:pt idx="879">
                  <c:v>54549</c:v>
                </c:pt>
                <c:pt idx="880">
                  <c:v>54472</c:v>
                </c:pt>
                <c:pt idx="881">
                  <c:v>53735</c:v>
                </c:pt>
                <c:pt idx="882">
                  <c:v>54478</c:v>
                </c:pt>
                <c:pt idx="883">
                  <c:v>54766</c:v>
                </c:pt>
                <c:pt idx="884">
                  <c:v>55998</c:v>
                </c:pt>
                <c:pt idx="885">
                  <c:v>56038</c:v>
                </c:pt>
                <c:pt idx="886">
                  <c:v>56384</c:v>
                </c:pt>
                <c:pt idx="887">
                  <c:v>55755</c:v>
                </c:pt>
                <c:pt idx="888">
                  <c:v>56330</c:v>
                </c:pt>
                <c:pt idx="889">
                  <c:v>56830</c:v>
                </c:pt>
                <c:pt idx="890">
                  <c:v>55761</c:v>
                </c:pt>
                <c:pt idx="891">
                  <c:v>56588</c:v>
                </c:pt>
                <c:pt idx="892">
                  <c:v>57048</c:v>
                </c:pt>
                <c:pt idx="893">
                  <c:v>56638</c:v>
                </c:pt>
                <c:pt idx="894">
                  <c:v>55218</c:v>
                </c:pt>
                <c:pt idx="895">
                  <c:v>55749</c:v>
                </c:pt>
                <c:pt idx="896">
                  <c:v>56156</c:v>
                </c:pt>
                <c:pt idx="897">
                  <c:v>56831</c:v>
                </c:pt>
                <c:pt idx="898">
                  <c:v>57729</c:v>
                </c:pt>
                <c:pt idx="899">
                  <c:v>57775</c:v>
                </c:pt>
                <c:pt idx="900">
                  <c:v>57421</c:v>
                </c:pt>
                <c:pt idx="901">
                  <c:v>57766</c:v>
                </c:pt>
                <c:pt idx="902">
                  <c:v>57704</c:v>
                </c:pt>
                <c:pt idx="903">
                  <c:v>57701</c:v>
                </c:pt>
                <c:pt idx="904">
                  <c:v>56489</c:v>
                </c:pt>
                <c:pt idx="905">
                  <c:v>55815</c:v>
                </c:pt>
                <c:pt idx="906">
                  <c:v>55386</c:v>
                </c:pt>
                <c:pt idx="907">
                  <c:v>55707</c:v>
                </c:pt>
                <c:pt idx="908">
                  <c:v>56652</c:v>
                </c:pt>
                <c:pt idx="909">
                  <c:v>57855</c:v>
                </c:pt>
                <c:pt idx="910">
                  <c:v>57910</c:v>
                </c:pt>
                <c:pt idx="911">
                  <c:v>58536</c:v>
                </c:pt>
                <c:pt idx="912">
                  <c:v>58366</c:v>
                </c:pt>
                <c:pt idx="913">
                  <c:v>58868</c:v>
                </c:pt>
                <c:pt idx="914">
                  <c:v>59264</c:v>
                </c:pt>
                <c:pt idx="915">
                  <c:v>60411</c:v>
                </c:pt>
                <c:pt idx="916">
                  <c:v>60236</c:v>
                </c:pt>
                <c:pt idx="917">
                  <c:v>60703</c:v>
                </c:pt>
                <c:pt idx="918">
                  <c:v>60928</c:v>
                </c:pt>
                <c:pt idx="919">
                  <c:v>61493</c:v>
                </c:pt>
                <c:pt idx="920">
                  <c:v>60496</c:v>
                </c:pt>
                <c:pt idx="921">
                  <c:v>60046</c:v>
                </c:pt>
                <c:pt idx="922">
                  <c:v>60356</c:v>
                </c:pt>
                <c:pt idx="923">
                  <c:v>61317</c:v>
                </c:pt>
                <c:pt idx="924">
                  <c:v>61235</c:v>
                </c:pt>
                <c:pt idx="925">
                  <c:v>61518</c:v>
                </c:pt>
                <c:pt idx="926">
                  <c:v>60459</c:v>
                </c:pt>
                <c:pt idx="927">
                  <c:v>61172</c:v>
                </c:pt>
                <c:pt idx="928">
                  <c:v>62369</c:v>
                </c:pt>
                <c:pt idx="929">
                  <c:v>62671</c:v>
                </c:pt>
                <c:pt idx="930">
                  <c:v>62638</c:v>
                </c:pt>
                <c:pt idx="931">
                  <c:v>63760</c:v>
                </c:pt>
                <c:pt idx="932">
                  <c:v>64071</c:v>
                </c:pt>
                <c:pt idx="933">
                  <c:v>64646</c:v>
                </c:pt>
                <c:pt idx="934">
                  <c:v>66201</c:v>
                </c:pt>
                <c:pt idx="935">
                  <c:v>66703</c:v>
                </c:pt>
                <c:pt idx="936">
                  <c:v>66200</c:v>
                </c:pt>
                <c:pt idx="937">
                  <c:v>67239</c:v>
                </c:pt>
                <c:pt idx="938">
                  <c:v>65303</c:v>
                </c:pt>
                <c:pt idx="939">
                  <c:v>65486</c:v>
                </c:pt>
                <c:pt idx="940">
                  <c:v>66135</c:v>
                </c:pt>
                <c:pt idx="941">
                  <c:v>65059</c:v>
                </c:pt>
                <c:pt idx="942">
                  <c:v>65086</c:v>
                </c:pt>
                <c:pt idx="943">
                  <c:v>63161</c:v>
                </c:pt>
                <c:pt idx="944">
                  <c:v>60162</c:v>
                </c:pt>
                <c:pt idx="945">
                  <c:v>63721</c:v>
                </c:pt>
                <c:pt idx="946">
                  <c:v>61546</c:v>
                </c:pt>
                <c:pt idx="947">
                  <c:v>62643</c:v>
                </c:pt>
                <c:pt idx="948">
                  <c:v>63913</c:v>
                </c:pt>
                <c:pt idx="949">
                  <c:v>64816</c:v>
                </c:pt>
                <c:pt idx="950">
                  <c:v>64466</c:v>
                </c:pt>
                <c:pt idx="951">
                  <c:v>66214</c:v>
                </c:pt>
                <c:pt idx="952">
                  <c:v>66303</c:v>
                </c:pt>
                <c:pt idx="953">
                  <c:v>66431</c:v>
                </c:pt>
                <c:pt idx="954">
                  <c:v>64448</c:v>
                </c:pt>
                <c:pt idx="955">
                  <c:v>65326</c:v>
                </c:pt>
                <c:pt idx="956">
                  <c:v>66627</c:v>
                </c:pt>
                <c:pt idx="957">
                  <c:v>67406</c:v>
                </c:pt>
                <c:pt idx="958">
                  <c:v>66516</c:v>
                </c:pt>
                <c:pt idx="959">
                  <c:v>66327</c:v>
                </c:pt>
                <c:pt idx="960">
                  <c:v>66809</c:v>
                </c:pt>
                <c:pt idx="961">
                  <c:v>67317</c:v>
                </c:pt>
                <c:pt idx="962">
                  <c:v>67917</c:v>
                </c:pt>
                <c:pt idx="963">
                  <c:v>66392</c:v>
                </c:pt>
                <c:pt idx="964">
                  <c:v>67082</c:v>
                </c:pt>
                <c:pt idx="965">
                  <c:v>67044</c:v>
                </c:pt>
                <c:pt idx="966">
                  <c:v>68546</c:v>
                </c:pt>
                <c:pt idx="967">
                  <c:v>68615</c:v>
                </c:pt>
                <c:pt idx="968">
                  <c:v>68315</c:v>
                </c:pt>
                <c:pt idx="969">
                  <c:v>67604</c:v>
                </c:pt>
                <c:pt idx="970">
                  <c:v>68512</c:v>
                </c:pt>
                <c:pt idx="971">
                  <c:v>67729</c:v>
                </c:pt>
                <c:pt idx="972">
                  <c:v>68012</c:v>
                </c:pt>
                <c:pt idx="973">
                  <c:v>68728</c:v>
                </c:pt>
                <c:pt idx="974">
                  <c:v>69267</c:v>
                </c:pt>
                <c:pt idx="975">
                  <c:v>69349</c:v>
                </c:pt>
                <c:pt idx="976">
                  <c:v>69311</c:v>
                </c:pt>
                <c:pt idx="977">
                  <c:v>68622</c:v>
                </c:pt>
                <c:pt idx="978">
                  <c:v>67068</c:v>
                </c:pt>
                <c:pt idx="979">
                  <c:v>66794</c:v>
                </c:pt>
                <c:pt idx="980">
                  <c:v>65925</c:v>
                </c:pt>
                <c:pt idx="981">
                  <c:v>67418</c:v>
                </c:pt>
                <c:pt idx="982">
                  <c:v>67589</c:v>
                </c:pt>
                <c:pt idx="983">
                  <c:v>67902</c:v>
                </c:pt>
                <c:pt idx="984">
                  <c:v>68296</c:v>
                </c:pt>
                <c:pt idx="985">
                  <c:v>68588</c:v>
                </c:pt>
                <c:pt idx="986">
                  <c:v>70045</c:v>
                </c:pt>
                <c:pt idx="987">
                  <c:v>70240</c:v>
                </c:pt>
                <c:pt idx="988">
                  <c:v>70729</c:v>
                </c:pt>
                <c:pt idx="989">
                  <c:v>70451</c:v>
                </c:pt>
                <c:pt idx="990">
                  <c:v>70263</c:v>
                </c:pt>
                <c:pt idx="991">
                  <c:v>70433</c:v>
                </c:pt>
                <c:pt idx="992">
                  <c:v>70076</c:v>
                </c:pt>
                <c:pt idx="993">
                  <c:v>70385</c:v>
                </c:pt>
                <c:pt idx="994">
                  <c:v>69801</c:v>
                </c:pt>
                <c:pt idx="995">
                  <c:v>68978</c:v>
                </c:pt>
                <c:pt idx="996">
                  <c:v>69401</c:v>
                </c:pt>
                <c:pt idx="997">
                  <c:v>69909</c:v>
                </c:pt>
                <c:pt idx="998">
                  <c:v>68200</c:v>
                </c:pt>
                <c:pt idx="999">
                  <c:v>66270</c:v>
                </c:pt>
                <c:pt idx="1000">
                  <c:v>66220</c:v>
                </c:pt>
                <c:pt idx="1001">
                  <c:v>65524</c:v>
                </c:pt>
                <c:pt idx="1002">
                  <c:v>65070</c:v>
                </c:pt>
                <c:pt idx="1003">
                  <c:v>65588</c:v>
                </c:pt>
                <c:pt idx="1004">
                  <c:v>65402</c:v>
                </c:pt>
                <c:pt idx="1005">
                  <c:v>66572</c:v>
                </c:pt>
                <c:pt idx="1006">
                  <c:v>67163</c:v>
                </c:pt>
                <c:pt idx="1007">
                  <c:v>67109</c:v>
                </c:pt>
                <c:pt idx="1008">
                  <c:v>63934</c:v>
                </c:pt>
                <c:pt idx="1009">
                  <c:v>62763</c:v>
                </c:pt>
                <c:pt idx="1010">
                  <c:v>63153</c:v>
                </c:pt>
                <c:pt idx="1011">
                  <c:v>64718</c:v>
                </c:pt>
                <c:pt idx="1012">
                  <c:v>65051</c:v>
                </c:pt>
                <c:pt idx="1013">
                  <c:v>66129</c:v>
                </c:pt>
                <c:pt idx="1014">
                  <c:v>65855</c:v>
                </c:pt>
                <c:pt idx="1015">
                  <c:v>67285</c:v>
                </c:pt>
                <c:pt idx="1016">
                  <c:v>67836</c:v>
                </c:pt>
                <c:pt idx="1017">
                  <c:v>67597</c:v>
                </c:pt>
                <c:pt idx="1018">
                  <c:v>67184</c:v>
                </c:pt>
                <c:pt idx="1019">
                  <c:v>66108</c:v>
                </c:pt>
                <c:pt idx="1020">
                  <c:v>65795</c:v>
                </c:pt>
                <c:pt idx="1021">
                  <c:v>66121</c:v>
                </c:pt>
                <c:pt idx="1022">
                  <c:v>66503</c:v>
                </c:pt>
                <c:pt idx="1023">
                  <c:v>67228</c:v>
                </c:pt>
                <c:pt idx="1024">
                  <c:v>67779</c:v>
                </c:pt>
                <c:pt idx="1025">
                  <c:v>67641</c:v>
                </c:pt>
                <c:pt idx="1026">
                  <c:v>67815</c:v>
                </c:pt>
                <c:pt idx="1027">
                  <c:v>68847</c:v>
                </c:pt>
                <c:pt idx="1028">
                  <c:v>68575</c:v>
                </c:pt>
                <c:pt idx="1029">
                  <c:v>69576</c:v>
                </c:pt>
                <c:pt idx="1030">
                  <c:v>69979</c:v>
                </c:pt>
                <c:pt idx="1031">
                  <c:v>69885</c:v>
                </c:pt>
                <c:pt idx="1032">
                  <c:v>69341</c:v>
                </c:pt>
                <c:pt idx="1033">
                  <c:v>69024</c:v>
                </c:pt>
                <c:pt idx="1034">
                  <c:v>69942</c:v>
                </c:pt>
                <c:pt idx="1035">
                  <c:v>69723</c:v>
                </c:pt>
                <c:pt idx="1036">
                  <c:v>69697</c:v>
                </c:pt>
                <c:pt idx="1037">
                  <c:v>68829</c:v>
                </c:pt>
                <c:pt idx="1038">
                  <c:v>69042</c:v>
                </c:pt>
                <c:pt idx="1039">
                  <c:v>69387</c:v>
                </c:pt>
                <c:pt idx="1040">
                  <c:v>68913</c:v>
                </c:pt>
                <c:pt idx="1041">
                  <c:v>68442</c:v>
                </c:pt>
                <c:pt idx="1042">
                  <c:v>68683</c:v>
                </c:pt>
                <c:pt idx="1043">
                  <c:v>69939</c:v>
                </c:pt>
                <c:pt idx="1044">
                  <c:v>69960</c:v>
                </c:pt>
                <c:pt idx="1045">
                  <c:v>70372</c:v>
                </c:pt>
                <c:pt idx="1046">
                  <c:v>71136</c:v>
                </c:pt>
                <c:pt idx="1047">
                  <c:v>71290</c:v>
                </c:pt>
                <c:pt idx="1048">
                  <c:v>71096</c:v>
                </c:pt>
                <c:pt idx="1049">
                  <c:v>70793</c:v>
                </c:pt>
                <c:pt idx="1050">
                  <c:v>71785</c:v>
                </c:pt>
                <c:pt idx="1051">
                  <c:v>71417</c:v>
                </c:pt>
                <c:pt idx="1052">
                  <c:v>70614</c:v>
                </c:pt>
                <c:pt idx="1053">
                  <c:v>70792</c:v>
                </c:pt>
                <c:pt idx="1054">
                  <c:v>71035</c:v>
                </c:pt>
                <c:pt idx="1055">
                  <c:v>70524</c:v>
                </c:pt>
                <c:pt idx="1056">
                  <c:v>69421</c:v>
                </c:pt>
                <c:pt idx="1057">
                  <c:v>69098</c:v>
                </c:pt>
                <c:pt idx="1058">
                  <c:v>69318</c:v>
                </c:pt>
                <c:pt idx="1059">
                  <c:v>69386</c:v>
                </c:pt>
                <c:pt idx="1060">
                  <c:v>69509</c:v>
                </c:pt>
                <c:pt idx="1061">
                  <c:v>68872</c:v>
                </c:pt>
                <c:pt idx="1062">
                  <c:v>66511</c:v>
                </c:pt>
                <c:pt idx="1063">
                  <c:v>66656</c:v>
                </c:pt>
                <c:pt idx="1064">
                  <c:v>67978</c:v>
                </c:pt>
                <c:pt idx="1065">
                  <c:v>67530</c:v>
                </c:pt>
                <c:pt idx="1066">
                  <c:v>67119</c:v>
                </c:pt>
                <c:pt idx="1067">
                  <c:v>64869</c:v>
                </c:pt>
                <c:pt idx="1068">
                  <c:v>64914</c:v>
                </c:pt>
                <c:pt idx="1069">
                  <c:v>63414</c:v>
                </c:pt>
                <c:pt idx="1070">
                  <c:v>62871</c:v>
                </c:pt>
                <c:pt idx="1071">
                  <c:v>65453</c:v>
                </c:pt>
                <c:pt idx="1072">
                  <c:v>64425</c:v>
                </c:pt>
                <c:pt idx="1073">
                  <c:v>65224</c:v>
                </c:pt>
                <c:pt idx="1074">
                  <c:v>64788</c:v>
                </c:pt>
                <c:pt idx="1075">
                  <c:v>63412</c:v>
                </c:pt>
                <c:pt idx="1076">
                  <c:v>62866</c:v>
                </c:pt>
                <c:pt idx="1077">
                  <c:v>60841</c:v>
                </c:pt>
                <c:pt idx="1078">
                  <c:v>59689</c:v>
                </c:pt>
                <c:pt idx="1079">
                  <c:v>58192</c:v>
                </c:pt>
                <c:pt idx="1080">
                  <c:v>60259</c:v>
                </c:pt>
                <c:pt idx="1081">
                  <c:v>59915</c:v>
                </c:pt>
                <c:pt idx="1082">
                  <c:v>59184</c:v>
                </c:pt>
                <c:pt idx="1083">
                  <c:v>60190</c:v>
                </c:pt>
                <c:pt idx="1084">
                  <c:v>62092</c:v>
                </c:pt>
                <c:pt idx="1085">
                  <c:v>61947</c:v>
                </c:pt>
                <c:pt idx="1086">
                  <c:v>63047</c:v>
                </c:pt>
                <c:pt idx="1087">
                  <c:v>61841</c:v>
                </c:pt>
                <c:pt idx="1088">
                  <c:v>62943</c:v>
                </c:pt>
                <c:pt idx="1089">
                  <c:v>61676</c:v>
                </c:pt>
                <c:pt idx="1090">
                  <c:v>61183</c:v>
                </c:pt>
                <c:pt idx="1091">
                  <c:v>61856</c:v>
                </c:pt>
                <c:pt idx="1092">
                  <c:v>61479</c:v>
                </c:pt>
                <c:pt idx="1093">
                  <c:v>63049</c:v>
                </c:pt>
                <c:pt idx="1094">
                  <c:v>63605</c:v>
                </c:pt>
                <c:pt idx="1095">
                  <c:v>63533</c:v>
                </c:pt>
                <c:pt idx="1096">
                  <c:v>64442</c:v>
                </c:pt>
                <c:pt idx="1097">
                  <c:v>64751</c:v>
                </c:pt>
                <c:pt idx="1098">
                  <c:v>64541</c:v>
                </c:pt>
                <c:pt idx="1099">
                  <c:v>64438</c:v>
                </c:pt>
                <c:pt idx="1100">
                  <c:v>64829</c:v>
                </c:pt>
                <c:pt idx="1101">
                  <c:v>64811</c:v>
                </c:pt>
                <c:pt idx="1102">
                  <c:v>65160</c:v>
                </c:pt>
                <c:pt idx="1103">
                  <c:v>63937</c:v>
                </c:pt>
                <c:pt idx="1104">
                  <c:v>64824</c:v>
                </c:pt>
                <c:pt idx="1105">
                  <c:v>64225</c:v>
                </c:pt>
                <c:pt idx="1106">
                  <c:v>61978</c:v>
                </c:pt>
                <c:pt idx="1107">
                  <c:v>60936</c:v>
                </c:pt>
                <c:pt idx="1108">
                  <c:v>61236</c:v>
                </c:pt>
                <c:pt idx="1109">
                  <c:v>61430</c:v>
                </c:pt>
                <c:pt idx="1110">
                  <c:v>60865</c:v>
                </c:pt>
                <c:pt idx="1111">
                  <c:v>62065</c:v>
                </c:pt>
                <c:pt idx="1112">
                  <c:v>63284</c:v>
                </c:pt>
                <c:pt idx="1113">
                  <c:v>63476</c:v>
                </c:pt>
                <c:pt idx="1114">
                  <c:v>62960</c:v>
                </c:pt>
                <c:pt idx="1115">
                  <c:v>63686</c:v>
                </c:pt>
                <c:pt idx="1116">
                  <c:v>63479</c:v>
                </c:pt>
                <c:pt idx="1117">
                  <c:v>63489</c:v>
                </c:pt>
                <c:pt idx="1118">
                  <c:v>62339</c:v>
                </c:pt>
                <c:pt idx="1119">
                  <c:v>63297</c:v>
                </c:pt>
                <c:pt idx="1120">
                  <c:v>64463</c:v>
                </c:pt>
                <c:pt idx="1121">
                  <c:v>64477</c:v>
                </c:pt>
                <c:pt idx="1122">
                  <c:v>65748</c:v>
                </c:pt>
                <c:pt idx="1123">
                  <c:v>66323</c:v>
                </c:pt>
                <c:pt idx="1124">
                  <c:v>66443</c:v>
                </c:pt>
                <c:pt idx="1125">
                  <c:v>66674</c:v>
                </c:pt>
                <c:pt idx="1126">
                  <c:v>66808</c:v>
                </c:pt>
                <c:pt idx="1127">
                  <c:v>66954</c:v>
                </c:pt>
                <c:pt idx="1128">
                  <c:v>67515</c:v>
                </c:pt>
                <c:pt idx="1129">
                  <c:v>68517</c:v>
                </c:pt>
                <c:pt idx="1130">
                  <c:v>67997</c:v>
                </c:pt>
                <c:pt idx="1131">
                  <c:v>68272</c:v>
                </c:pt>
                <c:pt idx="1132">
                  <c:v>68412</c:v>
                </c:pt>
                <c:pt idx="1133">
                  <c:v>68095</c:v>
                </c:pt>
                <c:pt idx="1134">
                  <c:v>67862</c:v>
                </c:pt>
                <c:pt idx="1135">
                  <c:v>67223</c:v>
                </c:pt>
                <c:pt idx="1136">
                  <c:v>65790</c:v>
                </c:pt>
                <c:pt idx="1137">
                  <c:v>65966</c:v>
                </c:pt>
                <c:pt idx="1138">
                  <c:v>66264</c:v>
                </c:pt>
                <c:pt idx="1139">
                  <c:v>66702</c:v>
                </c:pt>
                <c:pt idx="1140">
                  <c:v>67584</c:v>
                </c:pt>
                <c:pt idx="1141">
                  <c:v>67638</c:v>
                </c:pt>
                <c:pt idx="1142">
                  <c:v>66887</c:v>
                </c:pt>
                <c:pt idx="1143">
                  <c:v>66677</c:v>
                </c:pt>
                <c:pt idx="1144">
                  <c:v>65982</c:v>
                </c:pt>
                <c:pt idx="1145">
                  <c:v>65156</c:v>
                </c:pt>
                <c:pt idx="1146">
                  <c:v>64803</c:v>
                </c:pt>
                <c:pt idx="1147">
                  <c:v>63867</c:v>
                </c:pt>
                <c:pt idx="1148">
                  <c:v>65585</c:v>
                </c:pt>
                <c:pt idx="1149">
                  <c:v>64261</c:v>
                </c:pt>
                <c:pt idx="1150">
                  <c:v>65145</c:v>
                </c:pt>
                <c:pt idx="1151">
                  <c:v>67073</c:v>
                </c:pt>
                <c:pt idx="1152">
                  <c:v>66808</c:v>
                </c:pt>
                <c:pt idx="1153">
                  <c:v>66679</c:v>
                </c:pt>
                <c:pt idx="1154">
                  <c:v>66747</c:v>
                </c:pt>
                <c:pt idx="1155">
                  <c:v>66407</c:v>
                </c:pt>
                <c:pt idx="1156">
                  <c:v>66624</c:v>
                </c:pt>
                <c:pt idx="1157">
                  <c:v>66807</c:v>
                </c:pt>
                <c:pt idx="1158">
                  <c:v>68031</c:v>
                </c:pt>
                <c:pt idx="1159">
                  <c:v>67692</c:v>
                </c:pt>
                <c:pt idx="1160">
                  <c:v>68107</c:v>
                </c:pt>
                <c:pt idx="1161">
                  <c:v>67663</c:v>
                </c:pt>
                <c:pt idx="1162">
                  <c:v>67089</c:v>
                </c:pt>
                <c:pt idx="1163">
                  <c:v>68190</c:v>
                </c:pt>
                <c:pt idx="1164">
                  <c:v>67719</c:v>
                </c:pt>
                <c:pt idx="1165">
                  <c:v>68325</c:v>
                </c:pt>
                <c:pt idx="1166">
                  <c:v>68794</c:v>
                </c:pt>
                <c:pt idx="1167">
                  <c:v>68196</c:v>
                </c:pt>
                <c:pt idx="1168">
                  <c:v>68816</c:v>
                </c:pt>
                <c:pt idx="1169">
                  <c:v>69228</c:v>
                </c:pt>
                <c:pt idx="1170">
                  <c:v>69228</c:v>
                </c:pt>
                <c:pt idx="1171">
                  <c:v>69430</c:v>
                </c:pt>
                <c:pt idx="1172">
                  <c:v>70229</c:v>
                </c:pt>
                <c:pt idx="1173">
                  <c:v>70385</c:v>
                </c:pt>
                <c:pt idx="1174">
                  <c:v>71283</c:v>
                </c:pt>
                <c:pt idx="1175">
                  <c:v>70541</c:v>
                </c:pt>
                <c:pt idx="1176">
                  <c:v>69918</c:v>
                </c:pt>
                <c:pt idx="1177">
                  <c:v>70809</c:v>
                </c:pt>
                <c:pt idx="1178">
                  <c:v>70946</c:v>
                </c:pt>
                <c:pt idx="1179">
                  <c:v>71675</c:v>
                </c:pt>
                <c:pt idx="1180">
                  <c:v>71692</c:v>
                </c:pt>
                <c:pt idx="1181">
                  <c:v>71830</c:v>
                </c:pt>
                <c:pt idx="1182">
                  <c:v>71736</c:v>
                </c:pt>
                <c:pt idx="1183">
                  <c:v>69864</c:v>
                </c:pt>
                <c:pt idx="1184">
                  <c:v>70405</c:v>
                </c:pt>
                <c:pt idx="1185">
                  <c:v>69652</c:v>
                </c:pt>
                <c:pt idx="1186">
                  <c:v>69530</c:v>
                </c:pt>
                <c:pt idx="1187">
                  <c:v>69580</c:v>
                </c:pt>
                <c:pt idx="1188">
                  <c:v>70740</c:v>
                </c:pt>
                <c:pt idx="1189">
                  <c:v>70569</c:v>
                </c:pt>
                <c:pt idx="1190">
                  <c:v>70320</c:v>
                </c:pt>
                <c:pt idx="1191">
                  <c:v>70673</c:v>
                </c:pt>
                <c:pt idx="1192">
                  <c:v>71561</c:v>
                </c:pt>
                <c:pt idx="1193">
                  <c:v>71905</c:v>
                </c:pt>
                <c:pt idx="1194">
                  <c:v>72996</c:v>
                </c:pt>
                <c:pt idx="1195">
                  <c:v>72607</c:v>
                </c:pt>
                <c:pt idx="1196">
                  <c:v>72657</c:v>
                </c:pt>
                <c:pt idx="1197">
                  <c:v>71679</c:v>
                </c:pt>
                <c:pt idx="1198">
                  <c:v>71638</c:v>
                </c:pt>
                <c:pt idx="1199">
                  <c:v>71195</c:v>
                </c:pt>
                <c:pt idx="1200">
                  <c:v>70367</c:v>
                </c:pt>
                <c:pt idx="1201">
                  <c:v>69192</c:v>
                </c:pt>
                <c:pt idx="1202">
                  <c:v>69709</c:v>
                </c:pt>
                <c:pt idx="1203">
                  <c:v>70781</c:v>
                </c:pt>
                <c:pt idx="1204">
                  <c:v>70898</c:v>
                </c:pt>
                <c:pt idx="1205">
                  <c:v>69633</c:v>
                </c:pt>
                <c:pt idx="1206">
                  <c:v>67953</c:v>
                </c:pt>
                <c:pt idx="1207">
                  <c:v>69629</c:v>
                </c:pt>
                <c:pt idx="1208">
                  <c:v>69362</c:v>
                </c:pt>
                <c:pt idx="1209">
                  <c:v>68226</c:v>
                </c:pt>
                <c:pt idx="1210">
                  <c:v>67908</c:v>
                </c:pt>
                <c:pt idx="1211">
                  <c:v>67705</c:v>
                </c:pt>
                <c:pt idx="1212">
                  <c:v>69346</c:v>
                </c:pt>
                <c:pt idx="1213">
                  <c:v>69527</c:v>
                </c:pt>
                <c:pt idx="1214">
                  <c:v>69766</c:v>
                </c:pt>
                <c:pt idx="1215">
                  <c:v>69552</c:v>
                </c:pt>
                <c:pt idx="1216">
                  <c:v>69338</c:v>
                </c:pt>
                <c:pt idx="1217">
                  <c:v>68175</c:v>
                </c:pt>
                <c:pt idx="1218">
                  <c:v>67879</c:v>
                </c:pt>
                <c:pt idx="1219">
                  <c:v>68342</c:v>
                </c:pt>
                <c:pt idx="1220">
                  <c:v>69126</c:v>
                </c:pt>
                <c:pt idx="1221">
                  <c:v>68743</c:v>
                </c:pt>
                <c:pt idx="1222">
                  <c:v>67870</c:v>
                </c:pt>
                <c:pt idx="1223">
                  <c:v>67306</c:v>
                </c:pt>
                <c:pt idx="1224">
                  <c:v>67981</c:v>
                </c:pt>
                <c:pt idx="1225">
                  <c:v>67264</c:v>
                </c:pt>
                <c:pt idx="1226">
                  <c:v>68215</c:v>
                </c:pt>
                <c:pt idx="1227">
                  <c:v>68471</c:v>
                </c:pt>
                <c:pt idx="1228">
                  <c:v>68486</c:v>
                </c:pt>
                <c:pt idx="1229">
                  <c:v>67803</c:v>
                </c:pt>
                <c:pt idx="1230">
                  <c:v>68041</c:v>
                </c:pt>
                <c:pt idx="1231">
                  <c:v>68952</c:v>
                </c:pt>
                <c:pt idx="1232">
                  <c:v>69305</c:v>
                </c:pt>
                <c:pt idx="1233">
                  <c:v>69962</c:v>
                </c:pt>
                <c:pt idx="1234">
                  <c:v>70318</c:v>
                </c:pt>
                <c:pt idx="1235">
                  <c:v>71091</c:v>
                </c:pt>
                <c:pt idx="1236">
                  <c:v>70579</c:v>
                </c:pt>
                <c:pt idx="1237">
                  <c:v>70057</c:v>
                </c:pt>
                <c:pt idx="1238">
                  <c:v>70127</c:v>
                </c:pt>
                <c:pt idx="1239">
                  <c:v>70423</c:v>
                </c:pt>
                <c:pt idx="1240">
                  <c:v>71633</c:v>
                </c:pt>
                <c:pt idx="1241">
                  <c:v>70721</c:v>
                </c:pt>
                <c:pt idx="1242">
                  <c:v>70940</c:v>
                </c:pt>
                <c:pt idx="1243">
                  <c:v>70609</c:v>
                </c:pt>
                <c:pt idx="1244">
                  <c:v>70920</c:v>
                </c:pt>
                <c:pt idx="1245">
                  <c:v>70058</c:v>
                </c:pt>
                <c:pt idx="1246">
                  <c:v>69562</c:v>
                </c:pt>
                <c:pt idx="1247">
                  <c:v>69133</c:v>
                </c:pt>
                <c:pt idx="1248">
                  <c:v>69427</c:v>
                </c:pt>
                <c:pt idx="1249">
                  <c:v>68709</c:v>
                </c:pt>
                <c:pt idx="1250">
                  <c:v>68051</c:v>
                </c:pt>
                <c:pt idx="1251">
                  <c:v>66698</c:v>
                </c:pt>
                <c:pt idx="1252">
                  <c:v>66575</c:v>
                </c:pt>
                <c:pt idx="1253">
                  <c:v>67847</c:v>
                </c:pt>
                <c:pt idx="1254">
                  <c:v>66688</c:v>
                </c:pt>
                <c:pt idx="1255">
                  <c:v>66765</c:v>
                </c:pt>
                <c:pt idx="1256">
                  <c:v>65269</c:v>
                </c:pt>
                <c:pt idx="1257">
                  <c:v>65362</c:v>
                </c:pt>
                <c:pt idx="1258">
                  <c:v>65771</c:v>
                </c:pt>
                <c:pt idx="1259">
                  <c:v>64218</c:v>
                </c:pt>
                <c:pt idx="1260">
                  <c:v>64578</c:v>
                </c:pt>
                <c:pt idx="1261">
                  <c:v>65756</c:v>
                </c:pt>
                <c:pt idx="1262">
                  <c:v>66558</c:v>
                </c:pt>
                <c:pt idx="1263">
                  <c:v>66341</c:v>
                </c:pt>
                <c:pt idx="1264">
                  <c:v>67571</c:v>
                </c:pt>
                <c:pt idx="1265">
                  <c:v>67685</c:v>
                </c:pt>
                <c:pt idx="1266">
                  <c:v>68067</c:v>
                </c:pt>
                <c:pt idx="1267">
                  <c:v>67259</c:v>
                </c:pt>
                <c:pt idx="1268">
                  <c:v>66440</c:v>
                </c:pt>
                <c:pt idx="1269">
                  <c:v>66910</c:v>
                </c:pt>
                <c:pt idx="1270">
                  <c:v>66949</c:v>
                </c:pt>
                <c:pt idx="1271">
                  <c:v>66903</c:v>
                </c:pt>
                <c:pt idx="1272">
                  <c:v>67383</c:v>
                </c:pt>
                <c:pt idx="1273">
                  <c:v>66243</c:v>
                </c:pt>
                <c:pt idx="1274">
                  <c:v>67282</c:v>
                </c:pt>
                <c:pt idx="1275">
                  <c:v>68146</c:v>
                </c:pt>
                <c:pt idx="1276">
                  <c:v>68012</c:v>
                </c:pt>
                <c:pt idx="1277">
                  <c:v>67264</c:v>
                </c:pt>
                <c:pt idx="1278">
                  <c:v>66041</c:v>
                </c:pt>
                <c:pt idx="1279">
                  <c:v>66685</c:v>
                </c:pt>
                <c:pt idx="1280">
                  <c:v>67169</c:v>
                </c:pt>
                <c:pt idx="1281">
                  <c:v>67005</c:v>
                </c:pt>
                <c:pt idx="1282">
                  <c:v>66003</c:v>
                </c:pt>
                <c:pt idx="1283">
                  <c:v>66216</c:v>
                </c:pt>
                <c:pt idx="1284">
                  <c:v>66880</c:v>
                </c:pt>
                <c:pt idx="1285">
                  <c:v>66690</c:v>
                </c:pt>
                <c:pt idx="1286">
                  <c:v>67578</c:v>
                </c:pt>
                <c:pt idx="1287">
                  <c:v>67796</c:v>
                </c:pt>
                <c:pt idx="1288">
                  <c:v>67533</c:v>
                </c:pt>
                <c:pt idx="1289">
                  <c:v>67766</c:v>
                </c:pt>
                <c:pt idx="1290">
                  <c:v>67193</c:v>
                </c:pt>
                <c:pt idx="1291">
                  <c:v>67419</c:v>
                </c:pt>
                <c:pt idx="1292">
                  <c:v>67997</c:v>
                </c:pt>
                <c:pt idx="1293">
                  <c:v>68587</c:v>
                </c:pt>
                <c:pt idx="1294">
                  <c:v>69268</c:v>
                </c:pt>
                <c:pt idx="1295">
                  <c:v>69704</c:v>
                </c:pt>
                <c:pt idx="1296">
                  <c:v>69838</c:v>
                </c:pt>
                <c:pt idx="1297">
                  <c:v>69037</c:v>
                </c:pt>
                <c:pt idx="1298">
                  <c:v>69176</c:v>
                </c:pt>
                <c:pt idx="1299">
                  <c:v>68718</c:v>
                </c:pt>
                <c:pt idx="1300">
                  <c:v>68164</c:v>
                </c:pt>
                <c:pt idx="1301">
                  <c:v>66896</c:v>
                </c:pt>
                <c:pt idx="1302">
                  <c:v>66486</c:v>
                </c:pt>
                <c:pt idx="1303">
                  <c:v>66279</c:v>
                </c:pt>
                <c:pt idx="1304">
                  <c:v>66684</c:v>
                </c:pt>
                <c:pt idx="1305">
                  <c:v>65415</c:v>
                </c:pt>
                <c:pt idx="1306">
                  <c:v>66158</c:v>
                </c:pt>
                <c:pt idx="1307">
                  <c:v>67058</c:v>
                </c:pt>
                <c:pt idx="1308">
                  <c:v>66972</c:v>
                </c:pt>
                <c:pt idx="1309">
                  <c:v>67144</c:v>
                </c:pt>
                <c:pt idx="1310">
                  <c:v>66264</c:v>
                </c:pt>
                <c:pt idx="1311">
                  <c:v>65673</c:v>
                </c:pt>
                <c:pt idx="1312">
                  <c:v>66133</c:v>
                </c:pt>
                <c:pt idx="1313">
                  <c:v>65463</c:v>
                </c:pt>
                <c:pt idx="1314">
                  <c:v>64318</c:v>
                </c:pt>
                <c:pt idx="1315">
                  <c:v>63616</c:v>
                </c:pt>
                <c:pt idx="1316">
                  <c:v>63407</c:v>
                </c:pt>
                <c:pt idx="1317">
                  <c:v>64417</c:v>
                </c:pt>
                <c:pt idx="1318">
                  <c:v>64622</c:v>
                </c:pt>
                <c:pt idx="1319">
                  <c:v>64877</c:v>
                </c:pt>
                <c:pt idx="1320">
                  <c:v>63776</c:v>
                </c:pt>
                <c:pt idx="1321">
                  <c:v>64003</c:v>
                </c:pt>
                <c:pt idx="1322">
                  <c:v>63235</c:v>
                </c:pt>
                <c:pt idx="1323">
                  <c:v>62830</c:v>
                </c:pt>
                <c:pt idx="1324">
                  <c:v>63673</c:v>
                </c:pt>
                <c:pt idx="1325">
                  <c:v>62841</c:v>
                </c:pt>
                <c:pt idx="1326">
                  <c:v>62367</c:v>
                </c:pt>
                <c:pt idx="1327">
                  <c:v>62597</c:v>
                </c:pt>
                <c:pt idx="1328">
                  <c:v>62345</c:v>
                </c:pt>
                <c:pt idx="1329">
                  <c:v>63337</c:v>
                </c:pt>
                <c:pt idx="1330">
                  <c:v>63388</c:v>
                </c:pt>
                <c:pt idx="1331">
                  <c:v>64099</c:v>
                </c:pt>
                <c:pt idx="1332">
                  <c:v>64295</c:v>
                </c:pt>
                <c:pt idx="1333">
                  <c:v>63954</c:v>
                </c:pt>
                <c:pt idx="1334">
                  <c:v>64620</c:v>
                </c:pt>
                <c:pt idx="1335">
                  <c:v>63411</c:v>
                </c:pt>
                <c:pt idx="1336">
                  <c:v>64218</c:v>
                </c:pt>
                <c:pt idx="1337">
                  <c:v>64341</c:v>
                </c:pt>
                <c:pt idx="1338">
                  <c:v>63068</c:v>
                </c:pt>
                <c:pt idx="1339">
                  <c:v>63218</c:v>
                </c:pt>
                <c:pt idx="1340">
                  <c:v>63033</c:v>
                </c:pt>
                <c:pt idx="1341">
                  <c:v>63469</c:v>
                </c:pt>
                <c:pt idx="1342">
                  <c:v>62697</c:v>
                </c:pt>
                <c:pt idx="1343">
                  <c:v>62023</c:v>
                </c:pt>
                <c:pt idx="1344">
                  <c:v>62205</c:v>
                </c:pt>
                <c:pt idx="1345">
                  <c:v>61604</c:v>
                </c:pt>
                <c:pt idx="1346">
                  <c:v>60881</c:v>
                </c:pt>
                <c:pt idx="1347">
                  <c:v>61060</c:v>
                </c:pt>
                <c:pt idx="1348">
                  <c:v>61168</c:v>
                </c:pt>
                <c:pt idx="1349">
                  <c:v>61424</c:v>
                </c:pt>
                <c:pt idx="1350">
                  <c:v>61194</c:v>
                </c:pt>
                <c:pt idx="1351">
                  <c:v>61017</c:v>
                </c:pt>
                <c:pt idx="1352">
                  <c:v>61217</c:v>
                </c:pt>
                <c:pt idx="1353">
                  <c:v>62303</c:v>
                </c:pt>
                <c:pt idx="1354">
                  <c:v>62334</c:v>
                </c:pt>
                <c:pt idx="1355">
                  <c:v>62404</c:v>
                </c:pt>
                <c:pt idx="1356">
                  <c:v>63394</c:v>
                </c:pt>
                <c:pt idx="1357">
                  <c:v>63891</c:v>
                </c:pt>
                <c:pt idx="1358">
                  <c:v>63039</c:v>
                </c:pt>
                <c:pt idx="1359">
                  <c:v>62565</c:v>
                </c:pt>
                <c:pt idx="1360">
                  <c:v>62207</c:v>
                </c:pt>
                <c:pt idx="1361">
                  <c:v>61513</c:v>
                </c:pt>
                <c:pt idx="1362">
                  <c:v>60224</c:v>
                </c:pt>
                <c:pt idx="1363">
                  <c:v>59705</c:v>
                </c:pt>
                <c:pt idx="1364">
                  <c:v>60670</c:v>
                </c:pt>
                <c:pt idx="1365">
                  <c:v>59679</c:v>
                </c:pt>
                <c:pt idx="1366">
                  <c:v>59478</c:v>
                </c:pt>
                <c:pt idx="1367">
                  <c:v>58838</c:v>
                </c:pt>
                <c:pt idx="1368">
                  <c:v>59082</c:v>
                </c:pt>
                <c:pt idx="1369">
                  <c:v>59120</c:v>
                </c:pt>
                <c:pt idx="1370">
                  <c:v>60263</c:v>
                </c:pt>
                <c:pt idx="1371">
                  <c:v>60270</c:v>
                </c:pt>
                <c:pt idx="1372">
                  <c:v>59971</c:v>
                </c:pt>
                <c:pt idx="1373">
                  <c:v>59340</c:v>
                </c:pt>
                <c:pt idx="1374">
                  <c:v>58288</c:v>
                </c:pt>
                <c:pt idx="1375">
                  <c:v>58708</c:v>
                </c:pt>
                <c:pt idx="1376">
                  <c:v>58823</c:v>
                </c:pt>
                <c:pt idx="1377">
                  <c:v>58536</c:v>
                </c:pt>
                <c:pt idx="1378">
                  <c:v>57311</c:v>
                </c:pt>
                <c:pt idx="1379">
                  <c:v>56017</c:v>
                </c:pt>
                <c:pt idx="1380">
                  <c:v>52811</c:v>
                </c:pt>
                <c:pt idx="1381">
                  <c:v>52949</c:v>
                </c:pt>
                <c:pt idx="1382">
                  <c:v>48668</c:v>
                </c:pt>
                <c:pt idx="1383">
                  <c:v>51151</c:v>
                </c:pt>
                <c:pt idx="1384">
                  <c:v>51395</c:v>
                </c:pt>
                <c:pt idx="1385">
                  <c:v>53343</c:v>
                </c:pt>
                <c:pt idx="1386">
                  <c:v>53473</c:v>
                </c:pt>
                <c:pt idx="1387">
                  <c:v>54652</c:v>
                </c:pt>
                <c:pt idx="1388">
                  <c:v>54324</c:v>
                </c:pt>
                <c:pt idx="1389">
                  <c:v>55073</c:v>
                </c:pt>
                <c:pt idx="1390">
                  <c:v>53134</c:v>
                </c:pt>
                <c:pt idx="1391">
                  <c:v>52448</c:v>
                </c:pt>
                <c:pt idx="1392">
                  <c:v>52440</c:v>
                </c:pt>
                <c:pt idx="1393">
                  <c:v>53787</c:v>
                </c:pt>
                <c:pt idx="1394">
                  <c:v>53796</c:v>
                </c:pt>
                <c:pt idx="1395">
                  <c:v>52953</c:v>
                </c:pt>
                <c:pt idx="1396">
                  <c:v>53351</c:v>
                </c:pt>
                <c:pt idx="1397">
                  <c:v>54861</c:v>
                </c:pt>
                <c:pt idx="1398">
                  <c:v>55385</c:v>
                </c:pt>
                <c:pt idx="1399">
                  <c:v>56495</c:v>
                </c:pt>
                <c:pt idx="1400">
                  <c:v>58118</c:v>
                </c:pt>
                <c:pt idx="1401">
                  <c:v>56532</c:v>
                </c:pt>
                <c:pt idx="1402">
                  <c:v>54998</c:v>
                </c:pt>
                <c:pt idx="1403">
                  <c:v>56607</c:v>
                </c:pt>
                <c:pt idx="1404">
                  <c:v>57624</c:v>
                </c:pt>
                <c:pt idx="1405">
                  <c:v>55778</c:v>
                </c:pt>
                <c:pt idx="1406">
                  <c:v>55685</c:v>
                </c:pt>
                <c:pt idx="1407">
                  <c:v>55544</c:v>
                </c:pt>
                <c:pt idx="1408">
                  <c:v>56286</c:v>
                </c:pt>
                <c:pt idx="1409">
                  <c:v>56381</c:v>
                </c:pt>
                <c:pt idx="1410">
                  <c:v>57210</c:v>
                </c:pt>
                <c:pt idx="1411">
                  <c:v>57103</c:v>
                </c:pt>
                <c:pt idx="1412">
                  <c:v>56379</c:v>
                </c:pt>
                <c:pt idx="1413">
                  <c:v>55982</c:v>
                </c:pt>
                <c:pt idx="1414">
                  <c:v>53280</c:v>
                </c:pt>
                <c:pt idx="1415">
                  <c:v>53230</c:v>
                </c:pt>
                <c:pt idx="1416">
                  <c:v>53748</c:v>
                </c:pt>
                <c:pt idx="1417">
                  <c:v>53920</c:v>
                </c:pt>
                <c:pt idx="1418">
                  <c:v>53270</c:v>
                </c:pt>
                <c:pt idx="1419">
                  <c:v>53385</c:v>
                </c:pt>
                <c:pt idx="1420">
                  <c:v>52324</c:v>
                </c:pt>
                <c:pt idx="1421">
                  <c:v>50792</c:v>
                </c:pt>
                <c:pt idx="1422">
                  <c:v>50686</c:v>
                </c:pt>
                <c:pt idx="1423">
                  <c:v>51014</c:v>
                </c:pt>
                <c:pt idx="1424">
                  <c:v>52290</c:v>
                </c:pt>
                <c:pt idx="1425">
                  <c:v>51244</c:v>
                </c:pt>
                <c:pt idx="1426">
                  <c:v>53273</c:v>
                </c:pt>
                <c:pt idx="1427">
                  <c:v>53838</c:v>
                </c:pt>
                <c:pt idx="1428">
                  <c:v>54601</c:v>
                </c:pt>
                <c:pt idx="1429">
                  <c:v>55030</c:v>
                </c:pt>
                <c:pt idx="1430">
                  <c:v>53911</c:v>
                </c:pt>
                <c:pt idx="1431">
                  <c:v>55032</c:v>
                </c:pt>
                <c:pt idx="1432">
                  <c:v>54966</c:v>
                </c:pt>
                <c:pt idx="1433">
                  <c:v>54010</c:v>
                </c:pt>
                <c:pt idx="1434">
                  <c:v>55255</c:v>
                </c:pt>
                <c:pt idx="1435">
                  <c:v>56892</c:v>
                </c:pt>
                <c:pt idx="1436">
                  <c:v>56286</c:v>
                </c:pt>
                <c:pt idx="1437">
                  <c:v>57144</c:v>
                </c:pt>
                <c:pt idx="1438">
                  <c:v>59270</c:v>
                </c:pt>
                <c:pt idx="1439">
                  <c:v>59513</c:v>
                </c:pt>
                <c:pt idx="1440">
                  <c:v>58338</c:v>
                </c:pt>
                <c:pt idx="1441">
                  <c:v>57323</c:v>
                </c:pt>
                <c:pt idx="1442">
                  <c:v>58196</c:v>
                </c:pt>
                <c:pt idx="1443">
                  <c:v>58670</c:v>
                </c:pt>
                <c:pt idx="1444">
                  <c:v>59199</c:v>
                </c:pt>
                <c:pt idx="1445">
                  <c:v>59026</c:v>
                </c:pt>
                <c:pt idx="1446">
                  <c:v>57550</c:v>
                </c:pt>
                <c:pt idx="1447">
                  <c:v>57322</c:v>
                </c:pt>
                <c:pt idx="1448">
                  <c:v>58547</c:v>
                </c:pt>
                <c:pt idx="1449">
                  <c:v>58258</c:v>
                </c:pt>
                <c:pt idx="1450">
                  <c:v>58560</c:v>
                </c:pt>
                <c:pt idx="1451">
                  <c:v>56989</c:v>
                </c:pt>
                <c:pt idx="1452">
                  <c:v>56731</c:v>
                </c:pt>
                <c:pt idx="1453">
                  <c:v>56285</c:v>
                </c:pt>
                <c:pt idx="1454">
                  <c:v>55878</c:v>
                </c:pt>
                <c:pt idx="1455">
                  <c:v>54972</c:v>
                </c:pt>
                <c:pt idx="1456">
                  <c:v>55280</c:v>
                </c:pt>
                <c:pt idx="1457">
                  <c:v>54894</c:v>
                </c:pt>
                <c:pt idx="1458">
                  <c:v>56017</c:v>
                </c:pt>
                <c:pt idx="1459">
                  <c:v>55300</c:v>
                </c:pt>
                <c:pt idx="1460">
                  <c:v>56875</c:v>
                </c:pt>
                <c:pt idx="1461">
                  <c:v>58143</c:v>
                </c:pt>
                <c:pt idx="1462">
                  <c:v>57886</c:v>
                </c:pt>
                <c:pt idx="1463">
                  <c:v>58910</c:v>
                </c:pt>
                <c:pt idx="1464">
                  <c:v>59536</c:v>
                </c:pt>
                <c:pt idx="1465">
                  <c:v>58663</c:v>
                </c:pt>
                <c:pt idx="1466">
                  <c:v>57455</c:v>
                </c:pt>
                <c:pt idx="1467">
                  <c:v>58236</c:v>
                </c:pt>
                <c:pt idx="1468">
                  <c:v>57347</c:v>
                </c:pt>
                <c:pt idx="1469">
                  <c:v>57495</c:v>
                </c:pt>
                <c:pt idx="1470">
                  <c:v>56647</c:v>
                </c:pt>
                <c:pt idx="1471">
                  <c:v>56331</c:v>
                </c:pt>
                <c:pt idx="1472">
                  <c:v>56097</c:v>
                </c:pt>
                <c:pt idx="1473">
                  <c:v>55298</c:v>
                </c:pt>
                <c:pt idx="1474">
                  <c:v>56865</c:v>
                </c:pt>
                <c:pt idx="1475">
                  <c:v>56653</c:v>
                </c:pt>
                <c:pt idx="1476">
                  <c:v>57348</c:v>
                </c:pt>
                <c:pt idx="1477">
                  <c:v>57701</c:v>
                </c:pt>
                <c:pt idx="1478">
                  <c:v>57669</c:v>
                </c:pt>
                <c:pt idx="1479">
                  <c:v>58005</c:v>
                </c:pt>
                <c:pt idx="1480">
                  <c:v>56534</c:v>
                </c:pt>
                <c:pt idx="1481">
                  <c:v>56754</c:v>
                </c:pt>
                <c:pt idx="1482">
                  <c:v>57829</c:v>
                </c:pt>
                <c:pt idx="1483">
                  <c:v>59265</c:v>
                </c:pt>
                <c:pt idx="1484">
                  <c:v>59365</c:v>
                </c:pt>
                <c:pt idx="1485">
                  <c:v>58546</c:v>
                </c:pt>
                <c:pt idx="1486">
                  <c:v>58600</c:v>
                </c:pt>
                <c:pt idx="1487">
                  <c:v>59083</c:v>
                </c:pt>
                <c:pt idx="1488">
                  <c:v>59806</c:v>
                </c:pt>
                <c:pt idx="1489">
                  <c:v>59962</c:v>
                </c:pt>
                <c:pt idx="1490">
                  <c:v>59921</c:v>
                </c:pt>
                <c:pt idx="1491">
                  <c:v>59147</c:v>
                </c:pt>
                <c:pt idx="1492">
                  <c:v>59956</c:v>
                </c:pt>
                <c:pt idx="1493">
                  <c:v>60646</c:v>
                </c:pt>
                <c:pt idx="1494">
                  <c:v>61723</c:v>
                </c:pt>
                <c:pt idx="1495">
                  <c:v>61927</c:v>
                </c:pt>
                <c:pt idx="1496">
                  <c:v>62312</c:v>
                </c:pt>
                <c:pt idx="1497">
                  <c:v>62386</c:v>
                </c:pt>
                <c:pt idx="1498">
                  <c:v>62486</c:v>
                </c:pt>
                <c:pt idx="1499">
                  <c:v>62953</c:v>
                </c:pt>
                <c:pt idx="1500">
                  <c:v>62904</c:v>
                </c:pt>
                <c:pt idx="1501">
                  <c:v>62770</c:v>
                </c:pt>
                <c:pt idx="1502">
                  <c:v>63072</c:v>
                </c:pt>
                <c:pt idx="1503">
                  <c:v>64567</c:v>
                </c:pt>
                <c:pt idx="1504">
                  <c:v>64593</c:v>
                </c:pt>
                <c:pt idx="1505">
                  <c:v>65217</c:v>
                </c:pt>
                <c:pt idx="1506">
                  <c:v>65224</c:v>
                </c:pt>
                <c:pt idx="1507">
                  <c:v>65917</c:v>
                </c:pt>
                <c:pt idx="1508">
                  <c:v>65831</c:v>
                </c:pt>
                <c:pt idx="1509">
                  <c:v>65530</c:v>
                </c:pt>
                <c:pt idx="1510">
                  <c:v>63998</c:v>
                </c:pt>
                <c:pt idx="1511">
                  <c:v>65692</c:v>
                </c:pt>
                <c:pt idx="1512">
                  <c:v>65039</c:v>
                </c:pt>
                <c:pt idx="1513">
                  <c:v>65368</c:v>
                </c:pt>
                <c:pt idx="1514">
                  <c:v>66142</c:v>
                </c:pt>
                <c:pt idx="1515">
                  <c:v>66204</c:v>
                </c:pt>
                <c:pt idx="1516">
                  <c:v>65820</c:v>
                </c:pt>
                <c:pt idx="1517">
                  <c:v>65943</c:v>
                </c:pt>
                <c:pt idx="1518">
                  <c:v>65241</c:v>
                </c:pt>
                <c:pt idx="1519">
                  <c:v>65959</c:v>
                </c:pt>
                <c:pt idx="1520">
                  <c:v>65812</c:v>
                </c:pt>
                <c:pt idx="1521">
                  <c:v>66810</c:v>
                </c:pt>
                <c:pt idx="1522">
                  <c:v>67782</c:v>
                </c:pt>
                <c:pt idx="1523">
                  <c:v>66964</c:v>
                </c:pt>
                <c:pt idx="1524">
                  <c:v>65114</c:v>
                </c:pt>
                <c:pt idx="1525">
                  <c:v>66017</c:v>
                </c:pt>
                <c:pt idx="1526">
                  <c:v>66908</c:v>
                </c:pt>
                <c:pt idx="1527">
                  <c:v>66704</c:v>
                </c:pt>
                <c:pt idx="1528">
                  <c:v>66385</c:v>
                </c:pt>
                <c:pt idx="1529">
                  <c:v>68394</c:v>
                </c:pt>
                <c:pt idx="1530">
                  <c:v>68257</c:v>
                </c:pt>
                <c:pt idx="1531">
                  <c:v>67749</c:v>
                </c:pt>
                <c:pt idx="1532">
                  <c:v>67684</c:v>
                </c:pt>
                <c:pt idx="1533">
                  <c:v>67730</c:v>
                </c:pt>
                <c:pt idx="1534">
                  <c:v>67296</c:v>
                </c:pt>
                <c:pt idx="1535">
                  <c:v>66860</c:v>
                </c:pt>
                <c:pt idx="1536">
                  <c:v>65828</c:v>
                </c:pt>
                <c:pt idx="1537">
                  <c:v>65813</c:v>
                </c:pt>
                <c:pt idx="1538">
                  <c:v>66685</c:v>
                </c:pt>
                <c:pt idx="1539">
                  <c:v>66037</c:v>
                </c:pt>
                <c:pt idx="1540">
                  <c:v>65079</c:v>
                </c:pt>
                <c:pt idx="1541">
                  <c:v>64872</c:v>
                </c:pt>
                <c:pt idx="1542">
                  <c:v>64511</c:v>
                </c:pt>
                <c:pt idx="1543">
                  <c:v>65216</c:v>
                </c:pt>
                <c:pt idx="1544">
                  <c:v>64284</c:v>
                </c:pt>
                <c:pt idx="1545">
                  <c:v>63529</c:v>
                </c:pt>
                <c:pt idx="1546">
                  <c:v>63691</c:v>
                </c:pt>
                <c:pt idx="1547">
                  <c:v>62923</c:v>
                </c:pt>
                <c:pt idx="1548">
                  <c:v>61738</c:v>
                </c:pt>
                <c:pt idx="1549">
                  <c:v>61293</c:v>
                </c:pt>
                <c:pt idx="1550">
                  <c:v>63058</c:v>
                </c:pt>
                <c:pt idx="1551">
                  <c:v>62106</c:v>
                </c:pt>
                <c:pt idx="1552">
                  <c:v>61955</c:v>
                </c:pt>
                <c:pt idx="1553">
                  <c:v>62699</c:v>
                </c:pt>
                <c:pt idx="1554">
                  <c:v>63010</c:v>
                </c:pt>
                <c:pt idx="1555">
                  <c:v>62618</c:v>
                </c:pt>
                <c:pt idx="1556">
                  <c:v>62494</c:v>
                </c:pt>
                <c:pt idx="1557">
                  <c:v>61539</c:v>
                </c:pt>
                <c:pt idx="1558">
                  <c:v>61971</c:v>
                </c:pt>
                <c:pt idx="1559">
                  <c:v>61750</c:v>
                </c:pt>
                <c:pt idx="1560">
                  <c:v>62198</c:v>
                </c:pt>
                <c:pt idx="1561">
                  <c:v>61691</c:v>
                </c:pt>
                <c:pt idx="1562">
                  <c:v>61820</c:v>
                </c:pt>
                <c:pt idx="1563">
                  <c:v>62424</c:v>
                </c:pt>
                <c:pt idx="1564">
                  <c:v>62104</c:v>
                </c:pt>
                <c:pt idx="1565">
                  <c:v>60821</c:v>
                </c:pt>
                <c:pt idx="1566">
                  <c:v>61220</c:v>
                </c:pt>
                <c:pt idx="1567">
                  <c:v>60365</c:v>
                </c:pt>
                <c:pt idx="1568">
                  <c:v>59786</c:v>
                </c:pt>
                <c:pt idx="1569">
                  <c:v>59702</c:v>
                </c:pt>
                <c:pt idx="1570">
                  <c:v>59445</c:v>
                </c:pt>
                <c:pt idx="1571">
                  <c:v>57540</c:v>
                </c:pt>
                <c:pt idx="1572">
                  <c:v>56238</c:v>
                </c:pt>
                <c:pt idx="1573">
                  <c:v>55888</c:v>
                </c:pt>
                <c:pt idx="1574">
                  <c:v>54038</c:v>
                </c:pt>
                <c:pt idx="1575">
                  <c:v>54513</c:v>
                </c:pt>
                <c:pt idx="1576">
                  <c:v>56590</c:v>
                </c:pt>
                <c:pt idx="1577">
                  <c:v>55039</c:v>
                </c:pt>
                <c:pt idx="1578">
                  <c:v>54619</c:v>
                </c:pt>
                <c:pt idx="1579">
                  <c:v>54063</c:v>
                </c:pt>
                <c:pt idx="1580">
                  <c:v>54463</c:v>
                </c:pt>
                <c:pt idx="1581">
                  <c:v>55213</c:v>
                </c:pt>
                <c:pt idx="1582">
                  <c:v>54633</c:v>
                </c:pt>
                <c:pt idx="1583">
                  <c:v>53798</c:v>
                </c:pt>
                <c:pt idx="1584">
                  <c:v>54490</c:v>
                </c:pt>
                <c:pt idx="1585">
                  <c:v>53403</c:v>
                </c:pt>
                <c:pt idx="1586">
                  <c:v>53417</c:v>
                </c:pt>
                <c:pt idx="1587">
                  <c:v>52481</c:v>
                </c:pt>
                <c:pt idx="1588">
                  <c:v>54156</c:v>
                </c:pt>
                <c:pt idx="1589">
                  <c:v>54430</c:v>
                </c:pt>
                <c:pt idx="1590">
                  <c:v>54001</c:v>
                </c:pt>
                <c:pt idx="1591">
                  <c:v>55049</c:v>
                </c:pt>
                <c:pt idx="1592">
                  <c:v>55651</c:v>
                </c:pt>
                <c:pt idx="1593">
                  <c:v>55352</c:v>
                </c:pt>
                <c:pt idx="1594">
                  <c:v>56105</c:v>
                </c:pt>
                <c:pt idx="1595">
                  <c:v>56195</c:v>
                </c:pt>
                <c:pt idx="1596">
                  <c:v>57195</c:v>
                </c:pt>
                <c:pt idx="1597">
                  <c:v>57167</c:v>
                </c:pt>
                <c:pt idx="1598">
                  <c:v>55505</c:v>
                </c:pt>
                <c:pt idx="1599">
                  <c:v>55440</c:v>
                </c:pt>
                <c:pt idx="1600">
                  <c:v>53805</c:v>
                </c:pt>
                <c:pt idx="1601">
                  <c:v>53837</c:v>
                </c:pt>
                <c:pt idx="1602">
                  <c:v>53109</c:v>
                </c:pt>
                <c:pt idx="1603">
                  <c:v>52652</c:v>
                </c:pt>
                <c:pt idx="1604">
                  <c:v>54355</c:v>
                </c:pt>
                <c:pt idx="1605">
                  <c:v>54693</c:v>
                </c:pt>
                <c:pt idx="1606">
                  <c:v>55780</c:v>
                </c:pt>
                <c:pt idx="1607">
                  <c:v>56077</c:v>
                </c:pt>
                <c:pt idx="1608">
                  <c:v>56379</c:v>
                </c:pt>
                <c:pt idx="1609">
                  <c:v>55394</c:v>
                </c:pt>
                <c:pt idx="1610">
                  <c:v>53706</c:v>
                </c:pt>
                <c:pt idx="1611">
                  <c:v>53569</c:v>
                </c:pt>
                <c:pt idx="1612">
                  <c:v>53421</c:v>
                </c:pt>
                <c:pt idx="1613">
                  <c:v>54331</c:v>
                </c:pt>
                <c:pt idx="1614">
                  <c:v>53402</c:v>
                </c:pt>
                <c:pt idx="1615">
                  <c:v>53909</c:v>
                </c:pt>
                <c:pt idx="1616">
                  <c:v>54583</c:v>
                </c:pt>
                <c:pt idx="1617">
                  <c:v>55347</c:v>
                </c:pt>
                <c:pt idx="1618">
                  <c:v>54195</c:v>
                </c:pt>
                <c:pt idx="1619">
                  <c:v>53034</c:v>
                </c:pt>
                <c:pt idx="1620">
                  <c:v>52639</c:v>
                </c:pt>
                <c:pt idx="1621">
                  <c:v>52608</c:v>
                </c:pt>
                <c:pt idx="1622">
                  <c:v>54003</c:v>
                </c:pt>
                <c:pt idx="1623">
                  <c:v>56553</c:v>
                </c:pt>
                <c:pt idx="1624">
                  <c:v>57241</c:v>
                </c:pt>
                <c:pt idx="1625">
                  <c:v>56097</c:v>
                </c:pt>
                <c:pt idx="1626">
                  <c:v>55623</c:v>
                </c:pt>
                <c:pt idx="1627">
                  <c:v>55520</c:v>
                </c:pt>
                <c:pt idx="1628">
                  <c:v>57255</c:v>
                </c:pt>
                <c:pt idx="1629">
                  <c:v>58345</c:v>
                </c:pt>
                <c:pt idx="1630">
                  <c:v>57726</c:v>
                </c:pt>
                <c:pt idx="1631">
                  <c:v>58951</c:v>
                </c:pt>
                <c:pt idx="1632">
                  <c:v>58797</c:v>
                </c:pt>
                <c:pt idx="1633">
                  <c:v>59281</c:v>
                </c:pt>
                <c:pt idx="1634">
                  <c:v>59123</c:v>
                </c:pt>
                <c:pt idx="1635">
                  <c:v>58083</c:v>
                </c:pt>
                <c:pt idx="1636">
                  <c:v>58189</c:v>
                </c:pt>
                <c:pt idx="1637">
                  <c:v>59446</c:v>
                </c:pt>
                <c:pt idx="1638">
                  <c:v>59082</c:v>
                </c:pt>
                <c:pt idx="1639">
                  <c:v>59283</c:v>
                </c:pt>
                <c:pt idx="1640">
                  <c:v>58918</c:v>
                </c:pt>
                <c:pt idx="1641">
                  <c:v>59381</c:v>
                </c:pt>
                <c:pt idx="1642">
                  <c:v>58512</c:v>
                </c:pt>
                <c:pt idx="1643">
                  <c:v>58426</c:v>
                </c:pt>
                <c:pt idx="1644">
                  <c:v>58111</c:v>
                </c:pt>
                <c:pt idx="1645">
                  <c:v>58406</c:v>
                </c:pt>
                <c:pt idx="1646">
                  <c:v>57369</c:v>
                </c:pt>
                <c:pt idx="1647">
                  <c:v>57256</c:v>
                </c:pt>
                <c:pt idx="1648">
                  <c:v>57061</c:v>
                </c:pt>
                <c:pt idx="1649">
                  <c:v>57281</c:v>
                </c:pt>
                <c:pt idx="1650">
                  <c:v>56234</c:v>
                </c:pt>
                <c:pt idx="1651">
                  <c:v>56864</c:v>
                </c:pt>
                <c:pt idx="1652">
                  <c:v>58321</c:v>
                </c:pt>
                <c:pt idx="1653">
                  <c:v>58404</c:v>
                </c:pt>
                <c:pt idx="1654">
                  <c:v>59423</c:v>
                </c:pt>
                <c:pt idx="1655">
                  <c:v>59922</c:v>
                </c:pt>
                <c:pt idx="1656">
                  <c:v>61958</c:v>
                </c:pt>
                <c:pt idx="1657">
                  <c:v>62105</c:v>
                </c:pt>
                <c:pt idx="1658">
                  <c:v>61806</c:v>
                </c:pt>
                <c:pt idx="1659">
                  <c:v>61804</c:v>
                </c:pt>
                <c:pt idx="1660">
                  <c:v>61652</c:v>
                </c:pt>
                <c:pt idx="1661">
                  <c:v>61688</c:v>
                </c:pt>
                <c:pt idx="1662">
                  <c:v>61320</c:v>
                </c:pt>
                <c:pt idx="1663">
                  <c:v>61910</c:v>
                </c:pt>
                <c:pt idx="1664">
                  <c:v>60501</c:v>
                </c:pt>
                <c:pt idx="1665">
                  <c:v>60478</c:v>
                </c:pt>
                <c:pt idx="1666">
                  <c:v>60240</c:v>
                </c:pt>
                <c:pt idx="1667">
                  <c:v>59176</c:v>
                </c:pt>
                <c:pt idx="1668">
                  <c:v>59571</c:v>
                </c:pt>
                <c:pt idx="1669">
                  <c:v>59222</c:v>
                </c:pt>
                <c:pt idx="1670">
                  <c:v>58627</c:v>
                </c:pt>
                <c:pt idx="1671">
                  <c:v>58458</c:v>
                </c:pt>
                <c:pt idx="1672">
                  <c:v>58572</c:v>
                </c:pt>
                <c:pt idx="1673">
                  <c:v>59317</c:v>
                </c:pt>
                <c:pt idx="1674">
                  <c:v>58939</c:v>
                </c:pt>
                <c:pt idx="1675">
                  <c:v>58456</c:v>
                </c:pt>
                <c:pt idx="1676">
                  <c:v>59162</c:v>
                </c:pt>
                <c:pt idx="1677">
                  <c:v>59602</c:v>
                </c:pt>
                <c:pt idx="1678">
                  <c:v>59744</c:v>
                </c:pt>
                <c:pt idx="1679">
                  <c:v>60087</c:v>
                </c:pt>
                <c:pt idx="1680">
                  <c:v>59734</c:v>
                </c:pt>
                <c:pt idx="1681">
                  <c:v>58922</c:v>
                </c:pt>
                <c:pt idx="1682">
                  <c:v>58700</c:v>
                </c:pt>
                <c:pt idx="1683">
                  <c:v>57690</c:v>
                </c:pt>
                <c:pt idx="1684">
                  <c:v>57161</c:v>
                </c:pt>
                <c:pt idx="1685">
                  <c:v>57837</c:v>
                </c:pt>
                <c:pt idx="1686">
                  <c:v>57277</c:v>
                </c:pt>
                <c:pt idx="1687">
                  <c:v>57177</c:v>
                </c:pt>
                <c:pt idx="1688">
                  <c:v>57684</c:v>
                </c:pt>
                <c:pt idx="1689">
                  <c:v>57068</c:v>
                </c:pt>
                <c:pt idx="1690">
                  <c:v>58383</c:v>
                </c:pt>
                <c:pt idx="1691">
                  <c:v>58210</c:v>
                </c:pt>
                <c:pt idx="1692">
                  <c:v>59459</c:v>
                </c:pt>
                <c:pt idx="1693">
                  <c:v>58517</c:v>
                </c:pt>
                <c:pt idx="1694">
                  <c:v>57524</c:v>
                </c:pt>
                <c:pt idx="1695">
                  <c:v>57358</c:v>
                </c:pt>
                <c:pt idx="1696">
                  <c:v>57064</c:v>
                </c:pt>
                <c:pt idx="1697">
                  <c:v>57486</c:v>
                </c:pt>
                <c:pt idx="1698">
                  <c:v>56279</c:v>
                </c:pt>
                <c:pt idx="1699">
                  <c:v>55402</c:v>
                </c:pt>
                <c:pt idx="1700">
                  <c:v>56451</c:v>
                </c:pt>
                <c:pt idx="1701">
                  <c:v>56242</c:v>
                </c:pt>
                <c:pt idx="1702">
                  <c:v>56437</c:v>
                </c:pt>
                <c:pt idx="1703">
                  <c:v>57574</c:v>
                </c:pt>
                <c:pt idx="1704">
                  <c:v>56737</c:v>
                </c:pt>
                <c:pt idx="1705">
                  <c:v>56248</c:v>
                </c:pt>
                <c:pt idx="1706">
                  <c:v>56539</c:v>
                </c:pt>
                <c:pt idx="1707">
                  <c:v>57853</c:v>
                </c:pt>
                <c:pt idx="1708">
                  <c:v>57475</c:v>
                </c:pt>
                <c:pt idx="1709">
                  <c:v>58202</c:v>
                </c:pt>
                <c:pt idx="1710">
                  <c:v>57563</c:v>
                </c:pt>
                <c:pt idx="1711">
                  <c:v>57679</c:v>
                </c:pt>
                <c:pt idx="1712">
                  <c:v>57656</c:v>
                </c:pt>
                <c:pt idx="1713">
                  <c:v>58487</c:v>
                </c:pt>
                <c:pt idx="1714">
                  <c:v>59248</c:v>
                </c:pt>
                <c:pt idx="1715">
                  <c:v>59623</c:v>
                </c:pt>
                <c:pt idx="1716">
                  <c:v>59474</c:v>
                </c:pt>
                <c:pt idx="1717">
                  <c:v>59317</c:v>
                </c:pt>
                <c:pt idx="1718">
                  <c:v>59605</c:v>
                </c:pt>
                <c:pt idx="1719">
                  <c:v>59567</c:v>
                </c:pt>
                <c:pt idx="1720">
                  <c:v>60461</c:v>
                </c:pt>
                <c:pt idx="1721">
                  <c:v>60998</c:v>
                </c:pt>
                <c:pt idx="1722">
                  <c:v>61276</c:v>
                </c:pt>
                <c:pt idx="1723">
                  <c:v>61007</c:v>
                </c:pt>
                <c:pt idx="1724">
                  <c:v>60960</c:v>
                </c:pt>
                <c:pt idx="1725">
                  <c:v>60416</c:v>
                </c:pt>
                <c:pt idx="1726">
                  <c:v>60952</c:v>
                </c:pt>
                <c:pt idx="1727">
                  <c:v>62550</c:v>
                </c:pt>
                <c:pt idx="1728">
                  <c:v>63312</c:v>
                </c:pt>
                <c:pt idx="1729">
                  <c:v>62523</c:v>
                </c:pt>
                <c:pt idx="1730">
                  <c:v>61933</c:v>
                </c:pt>
                <c:pt idx="1731">
                  <c:v>61128</c:v>
                </c:pt>
                <c:pt idx="1732">
                  <c:v>61579</c:v>
                </c:pt>
                <c:pt idx="1733">
                  <c:v>61678</c:v>
                </c:pt>
                <c:pt idx="1734">
                  <c:v>61497</c:v>
                </c:pt>
                <c:pt idx="1735">
                  <c:v>62081</c:v>
                </c:pt>
                <c:pt idx="1736">
                  <c:v>61728</c:v>
                </c:pt>
                <c:pt idx="1737">
                  <c:v>61787</c:v>
                </c:pt>
                <c:pt idx="1738">
                  <c:v>62194</c:v>
                </c:pt>
                <c:pt idx="1739">
                  <c:v>61956</c:v>
                </c:pt>
                <c:pt idx="1740">
                  <c:v>61900</c:v>
                </c:pt>
                <c:pt idx="1741">
                  <c:v>61692</c:v>
                </c:pt>
                <c:pt idx="1742">
                  <c:v>61966</c:v>
                </c:pt>
                <c:pt idx="1743">
                  <c:v>61170</c:v>
                </c:pt>
                <c:pt idx="1744">
                  <c:v>60027</c:v>
                </c:pt>
                <c:pt idx="1745">
                  <c:v>60406</c:v>
                </c:pt>
                <c:pt idx="1746">
                  <c:v>59337</c:v>
                </c:pt>
                <c:pt idx="1747">
                  <c:v>59761</c:v>
                </c:pt>
                <c:pt idx="1748">
                  <c:v>60351</c:v>
                </c:pt>
                <c:pt idx="1749">
                  <c:v>59576</c:v>
                </c:pt>
                <c:pt idx="1750">
                  <c:v>59445</c:v>
                </c:pt>
                <c:pt idx="1751">
                  <c:v>58951</c:v>
                </c:pt>
                <c:pt idx="1752">
                  <c:v>58372</c:v>
                </c:pt>
                <c:pt idx="1753">
                  <c:v>58498</c:v>
                </c:pt>
                <c:pt idx="1754">
                  <c:v>58406</c:v>
                </c:pt>
                <c:pt idx="1755">
                  <c:v>58077</c:v>
                </c:pt>
                <c:pt idx="1756">
                  <c:v>57903</c:v>
                </c:pt>
                <c:pt idx="1757">
                  <c:v>57614</c:v>
                </c:pt>
                <c:pt idx="1758">
                  <c:v>57314</c:v>
                </c:pt>
                <c:pt idx="1759">
                  <c:v>56178</c:v>
                </c:pt>
                <c:pt idx="1760">
                  <c:v>56155</c:v>
                </c:pt>
                <c:pt idx="1761">
                  <c:v>56697</c:v>
                </c:pt>
                <c:pt idx="1762">
                  <c:v>56618</c:v>
                </c:pt>
                <c:pt idx="1763">
                  <c:v>56949</c:v>
                </c:pt>
                <c:pt idx="1764">
                  <c:v>57274</c:v>
                </c:pt>
                <c:pt idx="1765">
                  <c:v>57424</c:v>
                </c:pt>
                <c:pt idx="1766">
                  <c:v>56884</c:v>
                </c:pt>
                <c:pt idx="1767">
                  <c:v>56499</c:v>
                </c:pt>
                <c:pt idx="1768">
                  <c:v>55951</c:v>
                </c:pt>
                <c:pt idx="1769">
                  <c:v>57940</c:v>
                </c:pt>
                <c:pt idx="1770">
                  <c:v>58847</c:v>
                </c:pt>
                <c:pt idx="1771">
                  <c:v>58433</c:v>
                </c:pt>
                <c:pt idx="1772">
                  <c:v>58545</c:v>
                </c:pt>
                <c:pt idx="1773">
                  <c:v>58209</c:v>
                </c:pt>
                <c:pt idx="1774">
                  <c:v>57386</c:v>
                </c:pt>
                <c:pt idx="1775">
                  <c:v>57281</c:v>
                </c:pt>
                <c:pt idx="1776">
                  <c:v>56869</c:v>
                </c:pt>
                <c:pt idx="1777">
                  <c:v>56973</c:v>
                </c:pt>
                <c:pt idx="1778">
                  <c:v>56361</c:v>
                </c:pt>
                <c:pt idx="1779">
                  <c:v>56030</c:v>
                </c:pt>
                <c:pt idx="1780">
                  <c:v>55577</c:v>
                </c:pt>
                <c:pt idx="1781">
                  <c:v>55243</c:v>
                </c:pt>
                <c:pt idx="1782">
                  <c:v>54873</c:v>
                </c:pt>
                <c:pt idx="1783">
                  <c:v>55671</c:v>
                </c:pt>
                <c:pt idx="1784">
                  <c:v>56034</c:v>
                </c:pt>
                <c:pt idx="1785">
                  <c:v>56352</c:v>
                </c:pt>
                <c:pt idx="1786">
                  <c:v>55902</c:v>
                </c:pt>
                <c:pt idx="1787">
                  <c:v>54889</c:v>
                </c:pt>
                <c:pt idx="1788">
                  <c:v>55563</c:v>
                </c:pt>
                <c:pt idx="1789">
                  <c:v>54648</c:v>
                </c:pt>
                <c:pt idx="1790">
                  <c:v>55051</c:v>
                </c:pt>
                <c:pt idx="1791">
                  <c:v>55092</c:v>
                </c:pt>
                <c:pt idx="1792">
                  <c:v>55912</c:v>
                </c:pt>
                <c:pt idx="1793">
                  <c:v>56187</c:v>
                </c:pt>
                <c:pt idx="1794">
                  <c:v>55401</c:v>
                </c:pt>
                <c:pt idx="1795">
                  <c:v>54963</c:v>
                </c:pt>
                <c:pt idx="1796">
                  <c:v>52950</c:v>
                </c:pt>
                <c:pt idx="1797">
                  <c:v>53991</c:v>
                </c:pt>
                <c:pt idx="1798">
                  <c:v>52882</c:v>
                </c:pt>
                <c:pt idx="1799">
                  <c:v>53166</c:v>
                </c:pt>
                <c:pt idx="1800">
                  <c:v>53929</c:v>
                </c:pt>
                <c:pt idx="1801">
                  <c:v>54298</c:v>
                </c:pt>
                <c:pt idx="1802">
                  <c:v>54885</c:v>
                </c:pt>
                <c:pt idx="1803">
                  <c:v>54984</c:v>
                </c:pt>
                <c:pt idx="1804">
                  <c:v>54963</c:v>
                </c:pt>
                <c:pt idx="1805">
                  <c:v>54252</c:v>
                </c:pt>
                <c:pt idx="1806">
                  <c:v>54887</c:v>
                </c:pt>
                <c:pt idx="1807">
                  <c:v>55910</c:v>
                </c:pt>
                <c:pt idx="1808">
                  <c:v>55322</c:v>
                </c:pt>
                <c:pt idx="1809">
                  <c:v>55488</c:v>
                </c:pt>
                <c:pt idx="1810">
                  <c:v>55430</c:v>
                </c:pt>
                <c:pt idx="1811">
                  <c:v>56275</c:v>
                </c:pt>
                <c:pt idx="1812">
                  <c:v>55805</c:v>
                </c:pt>
                <c:pt idx="1813">
                  <c:v>55448</c:v>
                </c:pt>
                <c:pt idx="1814">
                  <c:v>55108</c:v>
                </c:pt>
                <c:pt idx="1815">
                  <c:v>54448</c:v>
                </c:pt>
                <c:pt idx="1816">
                  <c:v>54667</c:v>
                </c:pt>
                <c:pt idx="1817">
                  <c:v>54936</c:v>
                </c:pt>
                <c:pt idx="1818">
                  <c:v>54773</c:v>
                </c:pt>
                <c:pt idx="1819">
                  <c:v>55164</c:v>
                </c:pt>
                <c:pt idx="1820">
                  <c:v>55701</c:v>
                </c:pt>
                <c:pt idx="1821">
                  <c:v>56265</c:v>
                </c:pt>
                <c:pt idx="1822">
                  <c:v>56429</c:v>
                </c:pt>
                <c:pt idx="1823">
                  <c:v>56350</c:v>
                </c:pt>
                <c:pt idx="1824">
                  <c:v>56406</c:v>
                </c:pt>
                <c:pt idx="1825">
                  <c:v>56396</c:v>
                </c:pt>
                <c:pt idx="1826">
                  <c:v>56036</c:v>
                </c:pt>
                <c:pt idx="1827">
                  <c:v>54635</c:v>
                </c:pt>
                <c:pt idx="1828">
                  <c:v>53506</c:v>
                </c:pt>
                <c:pt idx="1829">
                  <c:v>53944</c:v>
                </c:pt>
                <c:pt idx="1830">
                  <c:v>54018</c:v>
                </c:pt>
                <c:pt idx="1831">
                  <c:v>52799</c:v>
                </c:pt>
                <c:pt idx="1832">
                  <c:v>52885</c:v>
                </c:pt>
                <c:pt idx="1833">
                  <c:v>51619</c:v>
                </c:pt>
                <c:pt idx="1834">
                  <c:v>51317</c:v>
                </c:pt>
                <c:pt idx="1835">
                  <c:v>49770</c:v>
                </c:pt>
                <c:pt idx="1836">
                  <c:v>49181</c:v>
                </c:pt>
                <c:pt idx="1837">
                  <c:v>50415</c:v>
                </c:pt>
                <c:pt idx="1838">
                  <c:v>49332</c:v>
                </c:pt>
                <c:pt idx="1839">
                  <c:v>49089</c:v>
                </c:pt>
                <c:pt idx="1840">
                  <c:v>49465</c:v>
                </c:pt>
                <c:pt idx="1841">
                  <c:v>47893</c:v>
                </c:pt>
                <c:pt idx="1842">
                  <c:v>48214</c:v>
                </c:pt>
                <c:pt idx="1843">
                  <c:v>47056</c:v>
                </c:pt>
                <c:pt idx="1844">
                  <c:v>45965</c:v>
                </c:pt>
                <c:pt idx="1845">
                  <c:v>46893</c:v>
                </c:pt>
                <c:pt idx="1846">
                  <c:v>47172</c:v>
                </c:pt>
                <c:pt idx="1847">
                  <c:v>47609</c:v>
                </c:pt>
                <c:pt idx="1848">
                  <c:v>47457</c:v>
                </c:pt>
                <c:pt idx="1849">
                  <c:v>47230</c:v>
                </c:pt>
                <c:pt idx="1850">
                  <c:v>45229</c:v>
                </c:pt>
                <c:pt idx="1851">
                  <c:v>45044</c:v>
                </c:pt>
                <c:pt idx="1852">
                  <c:v>45763</c:v>
                </c:pt>
                <c:pt idx="1853">
                  <c:v>45210</c:v>
                </c:pt>
                <c:pt idx="1854">
                  <c:v>45076</c:v>
                </c:pt>
                <c:pt idx="1855">
                  <c:v>45483</c:v>
                </c:pt>
                <c:pt idx="1856">
                  <c:v>46626</c:v>
                </c:pt>
                <c:pt idx="1857">
                  <c:v>45533</c:v>
                </c:pt>
                <c:pt idx="1858">
                  <c:v>46739</c:v>
                </c:pt>
                <c:pt idx="1859">
                  <c:v>46869</c:v>
                </c:pt>
                <c:pt idx="1860">
                  <c:v>47407</c:v>
                </c:pt>
                <c:pt idx="1861">
                  <c:v>47657</c:v>
                </c:pt>
                <c:pt idx="1862">
                  <c:v>47400</c:v>
                </c:pt>
                <c:pt idx="1863">
                  <c:v>48574</c:v>
                </c:pt>
                <c:pt idx="1864">
                  <c:v>48820</c:v>
                </c:pt>
                <c:pt idx="1865">
                  <c:v>48374</c:v>
                </c:pt>
                <c:pt idx="1866">
                  <c:v>49067</c:v>
                </c:pt>
                <c:pt idx="1867">
                  <c:v>49422</c:v>
                </c:pt>
                <c:pt idx="1868">
                  <c:v>49212</c:v>
                </c:pt>
                <c:pt idx="1869">
                  <c:v>48562</c:v>
                </c:pt>
                <c:pt idx="1870">
                  <c:v>48234</c:v>
                </c:pt>
                <c:pt idx="1871">
                  <c:v>49141</c:v>
                </c:pt>
                <c:pt idx="1872">
                  <c:v>48474</c:v>
                </c:pt>
                <c:pt idx="1873">
                  <c:v>48436</c:v>
                </c:pt>
                <c:pt idx="1874">
                  <c:v>47422</c:v>
                </c:pt>
                <c:pt idx="1875">
                  <c:v>47447</c:v>
                </c:pt>
                <c:pt idx="1876">
                  <c:v>48929</c:v>
                </c:pt>
                <c:pt idx="1877">
                  <c:v>49875</c:v>
                </c:pt>
                <c:pt idx="1878">
                  <c:v>50299</c:v>
                </c:pt>
                <c:pt idx="1879">
                  <c:v>50601</c:v>
                </c:pt>
                <c:pt idx="1880">
                  <c:v>50896</c:v>
                </c:pt>
                <c:pt idx="1881">
                  <c:v>50908</c:v>
                </c:pt>
                <c:pt idx="1882">
                  <c:v>51539</c:v>
                </c:pt>
                <c:pt idx="1883">
                  <c:v>51574</c:v>
                </c:pt>
                <c:pt idx="1884">
                  <c:v>50507</c:v>
                </c:pt>
                <c:pt idx="1885">
                  <c:v>50405</c:v>
                </c:pt>
                <c:pt idx="1886">
                  <c:v>51398</c:v>
                </c:pt>
                <c:pt idx="1887">
                  <c:v>52197</c:v>
                </c:pt>
                <c:pt idx="1888">
                  <c:v>51429</c:v>
                </c:pt>
                <c:pt idx="1889">
                  <c:v>50092</c:v>
                </c:pt>
                <c:pt idx="1890">
                  <c:v>49867</c:v>
                </c:pt>
                <c:pt idx="1891">
                  <c:v>49922</c:v>
                </c:pt>
                <c:pt idx="1892">
                  <c:v>50008</c:v>
                </c:pt>
                <c:pt idx="1893">
                  <c:v>51835</c:v>
                </c:pt>
                <c:pt idx="1894">
                  <c:v>51626</c:v>
                </c:pt>
                <c:pt idx="1895">
                  <c:v>51716</c:v>
                </c:pt>
                <c:pt idx="1896">
                  <c:v>52352</c:v>
                </c:pt>
                <c:pt idx="1897">
                  <c:v>53749</c:v>
                </c:pt>
                <c:pt idx="1898">
                  <c:v>54252</c:v>
                </c:pt>
                <c:pt idx="1899">
                  <c:v>53979</c:v>
                </c:pt>
                <c:pt idx="1900">
                  <c:v>53570</c:v>
                </c:pt>
                <c:pt idx="1901">
                  <c:v>53307</c:v>
                </c:pt>
                <c:pt idx="1902">
                  <c:v>53798</c:v>
                </c:pt>
                <c:pt idx="1903">
                  <c:v>53822</c:v>
                </c:pt>
                <c:pt idx="1904">
                  <c:v>54271</c:v>
                </c:pt>
                <c:pt idx="1905">
                  <c:v>55703</c:v>
                </c:pt>
                <c:pt idx="1906">
                  <c:v>55096</c:v>
                </c:pt>
                <c:pt idx="1907">
                  <c:v>54110</c:v>
                </c:pt>
                <c:pt idx="1908">
                  <c:v>54602</c:v>
                </c:pt>
                <c:pt idx="1909">
                  <c:v>54431</c:v>
                </c:pt>
                <c:pt idx="1910">
                  <c:v>54261</c:v>
                </c:pt>
                <c:pt idx="1911">
                  <c:v>53783</c:v>
                </c:pt>
                <c:pt idx="1912">
                  <c:v>53739</c:v>
                </c:pt>
                <c:pt idx="1913">
                  <c:v>52338</c:v>
                </c:pt>
                <c:pt idx="1914">
                  <c:v>53179</c:v>
                </c:pt>
                <c:pt idx="1915">
                  <c:v>53100</c:v>
                </c:pt>
                <c:pt idx="1916">
                  <c:v>52490</c:v>
                </c:pt>
                <c:pt idx="1917">
                  <c:v>52849</c:v>
                </c:pt>
                <c:pt idx="1918">
                  <c:v>52417</c:v>
                </c:pt>
                <c:pt idx="1919">
                  <c:v>52312</c:v>
                </c:pt>
                <c:pt idx="1920">
                  <c:v>52548</c:v>
                </c:pt>
                <c:pt idx="1921">
                  <c:v>52997</c:v>
                </c:pt>
                <c:pt idx="1922">
                  <c:v>53150</c:v>
                </c:pt>
                <c:pt idx="1923">
                  <c:v>54171</c:v>
                </c:pt>
                <c:pt idx="1924">
                  <c:v>54981</c:v>
                </c:pt>
                <c:pt idx="1925">
                  <c:v>55973</c:v>
                </c:pt>
                <c:pt idx="1926">
                  <c:v>55358</c:v>
                </c:pt>
                <c:pt idx="1927">
                  <c:v>55378</c:v>
                </c:pt>
                <c:pt idx="1928">
                  <c:v>56077</c:v>
                </c:pt>
                <c:pt idx="1929">
                  <c:v>56460</c:v>
                </c:pt>
                <c:pt idx="1930">
                  <c:v>55440</c:v>
                </c:pt>
                <c:pt idx="1931">
                  <c:v>54877</c:v>
                </c:pt>
                <c:pt idx="1932">
                  <c:v>54154</c:v>
                </c:pt>
                <c:pt idx="1933">
                  <c:v>55073</c:v>
                </c:pt>
                <c:pt idx="1934">
                  <c:v>54539</c:v>
                </c:pt>
                <c:pt idx="1935">
                  <c:v>54173</c:v>
                </c:pt>
                <c:pt idx="1936">
                  <c:v>54256</c:v>
                </c:pt>
                <c:pt idx="1937">
                  <c:v>54013</c:v>
                </c:pt>
                <c:pt idx="1938">
                  <c:v>54437</c:v>
                </c:pt>
                <c:pt idx="1939">
                  <c:v>53832</c:v>
                </c:pt>
                <c:pt idx="1940">
                  <c:v>53385</c:v>
                </c:pt>
                <c:pt idx="1941">
                  <c:v>52741</c:v>
                </c:pt>
                <c:pt idx="1942">
                  <c:v>52249</c:v>
                </c:pt>
                <c:pt idx="1943">
                  <c:v>52624</c:v>
                </c:pt>
                <c:pt idx="1944">
                  <c:v>51804</c:v>
                </c:pt>
                <c:pt idx="1945">
                  <c:v>52230</c:v>
                </c:pt>
                <c:pt idx="1946">
                  <c:v>53452</c:v>
                </c:pt>
                <c:pt idx="1947">
                  <c:v>54307</c:v>
                </c:pt>
                <c:pt idx="1948">
                  <c:v>53033</c:v>
                </c:pt>
                <c:pt idx="1949">
                  <c:v>52688</c:v>
                </c:pt>
                <c:pt idx="1950">
                  <c:v>52801</c:v>
                </c:pt>
                <c:pt idx="1951">
                  <c:v>52264</c:v>
                </c:pt>
                <c:pt idx="1952">
                  <c:v>51447</c:v>
                </c:pt>
                <c:pt idx="1953">
                  <c:v>51861</c:v>
                </c:pt>
                <c:pt idx="1954">
                  <c:v>51847</c:v>
                </c:pt>
                <c:pt idx="1955">
                  <c:v>52482</c:v>
                </c:pt>
                <c:pt idx="1956">
                  <c:v>51245</c:v>
                </c:pt>
                <c:pt idx="1957">
                  <c:v>50349</c:v>
                </c:pt>
                <c:pt idx="1958">
                  <c:v>50216</c:v>
                </c:pt>
                <c:pt idx="1959">
                  <c:v>50788</c:v>
                </c:pt>
                <c:pt idx="1960">
                  <c:v>50944</c:v>
                </c:pt>
                <c:pt idx="1961">
                  <c:v>51165</c:v>
                </c:pt>
                <c:pt idx="1962">
                  <c:v>50993</c:v>
                </c:pt>
                <c:pt idx="1963">
                  <c:v>50068</c:v>
                </c:pt>
                <c:pt idx="1964">
                  <c:v>50122</c:v>
                </c:pt>
                <c:pt idx="1965">
                  <c:v>50051</c:v>
                </c:pt>
                <c:pt idx="1966">
                  <c:v>50280</c:v>
                </c:pt>
                <c:pt idx="1967">
                  <c:v>50090</c:v>
                </c:pt>
                <c:pt idx="1968">
                  <c:v>50563</c:v>
                </c:pt>
                <c:pt idx="1969">
                  <c:v>50819</c:v>
                </c:pt>
                <c:pt idx="1970">
                  <c:v>51186</c:v>
                </c:pt>
                <c:pt idx="1971">
                  <c:v>51356</c:v>
                </c:pt>
                <c:pt idx="1972">
                  <c:v>51221</c:v>
                </c:pt>
                <c:pt idx="1973">
                  <c:v>51267</c:v>
                </c:pt>
                <c:pt idx="1974">
                  <c:v>51507</c:v>
                </c:pt>
                <c:pt idx="1975">
                  <c:v>50341</c:v>
                </c:pt>
                <c:pt idx="1976">
                  <c:v>50981</c:v>
                </c:pt>
                <c:pt idx="1977">
                  <c:v>50974</c:v>
                </c:pt>
                <c:pt idx="1978">
                  <c:v>50430</c:v>
                </c:pt>
                <c:pt idx="1979">
                  <c:v>50577</c:v>
                </c:pt>
                <c:pt idx="1980">
                  <c:v>49322</c:v>
                </c:pt>
                <c:pt idx="1981">
                  <c:v>49696</c:v>
                </c:pt>
                <c:pt idx="1982">
                  <c:v>49427</c:v>
                </c:pt>
                <c:pt idx="1983">
                  <c:v>49703</c:v>
                </c:pt>
                <c:pt idx="1984">
                  <c:v>50105</c:v>
                </c:pt>
                <c:pt idx="1985">
                  <c:v>49696</c:v>
                </c:pt>
                <c:pt idx="1986">
                  <c:v>49182</c:v>
                </c:pt>
                <c:pt idx="1987">
                  <c:v>48708</c:v>
                </c:pt>
                <c:pt idx="1988">
                  <c:v>48542</c:v>
                </c:pt>
                <c:pt idx="1989">
                  <c:v>49300</c:v>
                </c:pt>
                <c:pt idx="1990">
                  <c:v>48321</c:v>
                </c:pt>
                <c:pt idx="1991">
                  <c:v>47787</c:v>
                </c:pt>
                <c:pt idx="1992">
                  <c:v>47701</c:v>
                </c:pt>
                <c:pt idx="1993">
                  <c:v>47841</c:v>
                </c:pt>
                <c:pt idx="1994">
                  <c:v>47557</c:v>
                </c:pt>
                <c:pt idx="1995">
                  <c:v>47244</c:v>
                </c:pt>
                <c:pt idx="1996">
                  <c:v>47639</c:v>
                </c:pt>
                <c:pt idx="1997">
                  <c:v>46148</c:v>
                </c:pt>
                <c:pt idx="1998">
                  <c:v>46964</c:v>
                </c:pt>
                <c:pt idx="1999">
                  <c:v>46624</c:v>
                </c:pt>
                <c:pt idx="2000">
                  <c:v>47738</c:v>
                </c:pt>
                <c:pt idx="2001">
                  <c:v>48074</c:v>
                </c:pt>
                <c:pt idx="2002">
                  <c:v>47711</c:v>
                </c:pt>
                <c:pt idx="2003">
                  <c:v>48463</c:v>
                </c:pt>
                <c:pt idx="2004">
                  <c:v>48217</c:v>
                </c:pt>
                <c:pt idx="2005">
                  <c:v>47813</c:v>
                </c:pt>
                <c:pt idx="2006">
                  <c:v>48201</c:v>
                </c:pt>
                <c:pt idx="2007">
                  <c:v>47576</c:v>
                </c:pt>
                <c:pt idx="2008">
                  <c:v>46600</c:v>
                </c:pt>
                <c:pt idx="2009">
                  <c:v>47151</c:v>
                </c:pt>
                <c:pt idx="2010">
                  <c:v>47289</c:v>
                </c:pt>
                <c:pt idx="2011">
                  <c:v>47380</c:v>
                </c:pt>
                <c:pt idx="2012">
                  <c:v>47393</c:v>
                </c:pt>
                <c:pt idx="2013">
                  <c:v>46716</c:v>
                </c:pt>
                <c:pt idx="2014">
                  <c:v>46599</c:v>
                </c:pt>
                <c:pt idx="2015">
                  <c:v>47607</c:v>
                </c:pt>
                <c:pt idx="2016">
                  <c:v>47094</c:v>
                </c:pt>
                <c:pt idx="2017">
                  <c:v>46589</c:v>
                </c:pt>
                <c:pt idx="2018">
                  <c:v>47093</c:v>
                </c:pt>
                <c:pt idx="2019">
                  <c:v>46244</c:v>
                </c:pt>
                <c:pt idx="2020">
                  <c:v>45533</c:v>
                </c:pt>
                <c:pt idx="2021">
                  <c:v>45698</c:v>
                </c:pt>
                <c:pt idx="2022">
                  <c:v>45862</c:v>
                </c:pt>
                <c:pt idx="2023">
                  <c:v>45444</c:v>
                </c:pt>
                <c:pt idx="2024">
                  <c:v>44966</c:v>
                </c:pt>
                <c:pt idx="2025">
                  <c:v>45118</c:v>
                </c:pt>
                <c:pt idx="2026">
                  <c:v>46150</c:v>
                </c:pt>
                <c:pt idx="2027">
                  <c:v>46567</c:v>
                </c:pt>
                <c:pt idx="2028">
                  <c:v>47278</c:v>
                </c:pt>
                <c:pt idx="2029">
                  <c:v>47381</c:v>
                </c:pt>
                <c:pt idx="2030">
                  <c:v>47993</c:v>
                </c:pt>
                <c:pt idx="2031">
                  <c:v>48180</c:v>
                </c:pt>
                <c:pt idx="2032">
                  <c:v>47966</c:v>
                </c:pt>
                <c:pt idx="2033">
                  <c:v>49647</c:v>
                </c:pt>
                <c:pt idx="2034">
                  <c:v>49768</c:v>
                </c:pt>
                <c:pt idx="2035">
                  <c:v>50415</c:v>
                </c:pt>
                <c:pt idx="2036">
                  <c:v>50270</c:v>
                </c:pt>
                <c:pt idx="2037">
                  <c:v>51701</c:v>
                </c:pt>
                <c:pt idx="2038">
                  <c:v>51408</c:v>
                </c:pt>
                <c:pt idx="2039">
                  <c:v>51082</c:v>
                </c:pt>
                <c:pt idx="2040">
                  <c:v>52155</c:v>
                </c:pt>
                <c:pt idx="2041">
                  <c:v>51629</c:v>
                </c:pt>
                <c:pt idx="2042">
                  <c:v>51185</c:v>
                </c:pt>
                <c:pt idx="2043">
                  <c:v>51127</c:v>
                </c:pt>
                <c:pt idx="2044">
                  <c:v>51867</c:v>
                </c:pt>
                <c:pt idx="2045">
                  <c:v>51596</c:v>
                </c:pt>
                <c:pt idx="2046">
                  <c:v>50454</c:v>
                </c:pt>
                <c:pt idx="2047">
                  <c:v>51201</c:v>
                </c:pt>
                <c:pt idx="2048">
                  <c:v>52112</c:v>
                </c:pt>
                <c:pt idx="2049">
                  <c:v>51977</c:v>
                </c:pt>
                <c:pt idx="2050">
                  <c:v>51570</c:v>
                </c:pt>
                <c:pt idx="2051">
                  <c:v>51817</c:v>
                </c:pt>
                <c:pt idx="2052">
                  <c:v>51399</c:v>
                </c:pt>
                <c:pt idx="2053">
                  <c:v>51384</c:v>
                </c:pt>
                <c:pt idx="2054">
                  <c:v>51839</c:v>
                </c:pt>
                <c:pt idx="2055">
                  <c:v>51626</c:v>
                </c:pt>
                <c:pt idx="2056">
                  <c:v>52980</c:v>
                </c:pt>
                <c:pt idx="2057">
                  <c:v>53446</c:v>
                </c:pt>
                <c:pt idx="2058">
                  <c:v>53780</c:v>
                </c:pt>
                <c:pt idx="2059">
                  <c:v>54053</c:v>
                </c:pt>
                <c:pt idx="2060">
                  <c:v>53422</c:v>
                </c:pt>
                <c:pt idx="2061">
                  <c:v>53100</c:v>
                </c:pt>
                <c:pt idx="2062">
                  <c:v>54053</c:v>
                </c:pt>
                <c:pt idx="2063">
                  <c:v>53907</c:v>
                </c:pt>
                <c:pt idx="2064">
                  <c:v>54413</c:v>
                </c:pt>
                <c:pt idx="2065">
                  <c:v>53856</c:v>
                </c:pt>
                <c:pt idx="2066">
                  <c:v>53976</c:v>
                </c:pt>
                <c:pt idx="2067">
                  <c:v>53353</c:v>
                </c:pt>
                <c:pt idx="2068">
                  <c:v>52366</c:v>
                </c:pt>
                <c:pt idx="2069">
                  <c:v>52203</c:v>
                </c:pt>
                <c:pt idx="2070">
                  <c:v>52806</c:v>
                </c:pt>
                <c:pt idx="2071">
                  <c:v>52626</c:v>
                </c:pt>
                <c:pt idx="2072">
                  <c:v>52932</c:v>
                </c:pt>
                <c:pt idx="2073">
                  <c:v>52172</c:v>
                </c:pt>
                <c:pt idx="2074">
                  <c:v>52640</c:v>
                </c:pt>
                <c:pt idx="2075">
                  <c:v>52239</c:v>
                </c:pt>
                <c:pt idx="2076">
                  <c:v>51239</c:v>
                </c:pt>
                <c:pt idx="2077">
                  <c:v>51606</c:v>
                </c:pt>
                <c:pt idx="2078">
                  <c:v>52032</c:v>
                </c:pt>
                <c:pt idx="2079">
                  <c:v>51833</c:v>
                </c:pt>
                <c:pt idx="2080">
                  <c:v>51559</c:v>
                </c:pt>
                <c:pt idx="2081">
                  <c:v>53129</c:v>
                </c:pt>
                <c:pt idx="2082">
                  <c:v>54273</c:v>
                </c:pt>
                <c:pt idx="2083">
                  <c:v>54604</c:v>
                </c:pt>
                <c:pt idx="2084">
                  <c:v>55102</c:v>
                </c:pt>
                <c:pt idx="2085">
                  <c:v>54807</c:v>
                </c:pt>
                <c:pt idx="2086">
                  <c:v>54630</c:v>
                </c:pt>
                <c:pt idx="2087">
                  <c:v>54300</c:v>
                </c:pt>
                <c:pt idx="2088">
                  <c:v>55203</c:v>
                </c:pt>
                <c:pt idx="2089">
                  <c:v>54638</c:v>
                </c:pt>
                <c:pt idx="2090">
                  <c:v>54210</c:v>
                </c:pt>
                <c:pt idx="2091">
                  <c:v>54281</c:v>
                </c:pt>
                <c:pt idx="2092">
                  <c:v>53426</c:v>
                </c:pt>
                <c:pt idx="2093">
                  <c:v>53506</c:v>
                </c:pt>
                <c:pt idx="2094">
                  <c:v>53157</c:v>
                </c:pt>
                <c:pt idx="2095">
                  <c:v>53168</c:v>
                </c:pt>
                <c:pt idx="2096">
                  <c:v>53171</c:v>
                </c:pt>
                <c:pt idx="2097">
                  <c:v>53029</c:v>
                </c:pt>
                <c:pt idx="2098">
                  <c:v>53875</c:v>
                </c:pt>
                <c:pt idx="2099">
                  <c:v>54055</c:v>
                </c:pt>
                <c:pt idx="2100">
                  <c:v>53802</c:v>
                </c:pt>
                <c:pt idx="2101">
                  <c:v>53635</c:v>
                </c:pt>
                <c:pt idx="2102">
                  <c:v>54593</c:v>
                </c:pt>
                <c:pt idx="2103">
                  <c:v>54786</c:v>
                </c:pt>
                <c:pt idx="2104">
                  <c:v>55744</c:v>
                </c:pt>
                <c:pt idx="2105">
                  <c:v>55974</c:v>
                </c:pt>
                <c:pt idx="2106">
                  <c:v>55717</c:v>
                </c:pt>
                <c:pt idx="2107">
                  <c:v>55638</c:v>
                </c:pt>
                <c:pt idx="2108">
                  <c:v>57013</c:v>
                </c:pt>
                <c:pt idx="2109">
                  <c:v>57634</c:v>
                </c:pt>
                <c:pt idx="2110">
                  <c:v>57983</c:v>
                </c:pt>
                <c:pt idx="2111">
                  <c:v>57420</c:v>
                </c:pt>
                <c:pt idx="2112">
                  <c:v>57978</c:v>
                </c:pt>
                <c:pt idx="2113">
                  <c:v>57821</c:v>
                </c:pt>
                <c:pt idx="2114">
                  <c:v>57696</c:v>
                </c:pt>
                <c:pt idx="2115">
                  <c:v>57119</c:v>
                </c:pt>
                <c:pt idx="2116">
                  <c:v>56878</c:v>
                </c:pt>
                <c:pt idx="2117">
                  <c:v>55829</c:v>
                </c:pt>
                <c:pt idx="2118">
                  <c:v>55903</c:v>
                </c:pt>
                <c:pt idx="2119">
                  <c:v>56616</c:v>
                </c:pt>
                <c:pt idx="2120">
                  <c:v>56202</c:v>
                </c:pt>
                <c:pt idx="2121">
                  <c:v>56487</c:v>
                </c:pt>
                <c:pt idx="2122">
                  <c:v>56188</c:v>
                </c:pt>
                <c:pt idx="2123">
                  <c:v>55573</c:v>
                </c:pt>
                <c:pt idx="2124">
                  <c:v>56613</c:v>
                </c:pt>
                <c:pt idx="2125">
                  <c:v>56442</c:v>
                </c:pt>
                <c:pt idx="2126">
                  <c:v>55581</c:v>
                </c:pt>
                <c:pt idx="2127">
                  <c:v>55780</c:v>
                </c:pt>
                <c:pt idx="2128">
                  <c:v>56964</c:v>
                </c:pt>
                <c:pt idx="2129">
                  <c:v>57561</c:v>
                </c:pt>
                <c:pt idx="2130">
                  <c:v>58449</c:v>
                </c:pt>
                <c:pt idx="2131">
                  <c:v>58878</c:v>
                </c:pt>
                <c:pt idx="2132">
                  <c:v>58992</c:v>
                </c:pt>
                <c:pt idx="2133">
                  <c:v>58407</c:v>
                </c:pt>
                <c:pt idx="2134">
                  <c:v>59735</c:v>
                </c:pt>
                <c:pt idx="2135">
                  <c:v>59821</c:v>
                </c:pt>
                <c:pt idx="2136">
                  <c:v>60951</c:v>
                </c:pt>
                <c:pt idx="2137">
                  <c:v>60291</c:v>
                </c:pt>
                <c:pt idx="2138">
                  <c:v>61288</c:v>
                </c:pt>
                <c:pt idx="2139">
                  <c:v>61141</c:v>
                </c:pt>
                <c:pt idx="2140">
                  <c:v>61896</c:v>
                </c:pt>
                <c:pt idx="2141">
                  <c:v>61837</c:v>
                </c:pt>
                <c:pt idx="2142">
                  <c:v>60800</c:v>
                </c:pt>
                <c:pt idx="2143">
                  <c:v>60681</c:v>
                </c:pt>
                <c:pt idx="2144">
                  <c:v>59193</c:v>
                </c:pt>
                <c:pt idx="2145">
                  <c:v>58676</c:v>
                </c:pt>
                <c:pt idx="2146">
                  <c:v>58199</c:v>
                </c:pt>
                <c:pt idx="2147">
                  <c:v>58337</c:v>
                </c:pt>
                <c:pt idx="2148">
                  <c:v>56928</c:v>
                </c:pt>
                <c:pt idx="2149">
                  <c:v>57949</c:v>
                </c:pt>
                <c:pt idx="2150">
                  <c:v>59115</c:v>
                </c:pt>
                <c:pt idx="2151">
                  <c:v>59108</c:v>
                </c:pt>
                <c:pt idx="2152">
                  <c:v>58374</c:v>
                </c:pt>
                <c:pt idx="2153">
                  <c:v>57789</c:v>
                </c:pt>
                <c:pt idx="2154">
                  <c:v>56818</c:v>
                </c:pt>
                <c:pt idx="2155">
                  <c:v>56541</c:v>
                </c:pt>
                <c:pt idx="2156">
                  <c:v>56824</c:v>
                </c:pt>
                <c:pt idx="2157">
                  <c:v>55962</c:v>
                </c:pt>
                <c:pt idx="2158">
                  <c:v>57212</c:v>
                </c:pt>
                <c:pt idx="2159">
                  <c:v>54625</c:v>
                </c:pt>
                <c:pt idx="2160">
                  <c:v>54116</c:v>
                </c:pt>
                <c:pt idx="2161">
                  <c:v>52858</c:v>
                </c:pt>
                <c:pt idx="2162">
                  <c:v>53519</c:v>
                </c:pt>
                <c:pt idx="2163">
                  <c:v>54540</c:v>
                </c:pt>
                <c:pt idx="2164">
                  <c:v>57116</c:v>
                </c:pt>
                <c:pt idx="2165">
                  <c:v>57436</c:v>
                </c:pt>
                <c:pt idx="2166">
                  <c:v>57058</c:v>
                </c:pt>
                <c:pt idx="2167">
                  <c:v>57268</c:v>
                </c:pt>
                <c:pt idx="2168">
                  <c:v>55312</c:v>
                </c:pt>
                <c:pt idx="2169">
                  <c:v>57957</c:v>
                </c:pt>
                <c:pt idx="2170">
                  <c:v>58015</c:v>
                </c:pt>
                <c:pt idx="2171">
                  <c:v>56135</c:v>
                </c:pt>
                <c:pt idx="2172">
                  <c:v>54298</c:v>
                </c:pt>
                <c:pt idx="2173">
                  <c:v>55724</c:v>
                </c:pt>
                <c:pt idx="2174">
                  <c:v>54303</c:v>
                </c:pt>
                <c:pt idx="2175">
                  <c:v>52432</c:v>
                </c:pt>
                <c:pt idx="2176">
                  <c:v>52411</c:v>
                </c:pt>
                <c:pt idx="2177">
                  <c:v>50713</c:v>
                </c:pt>
                <c:pt idx="2178">
                  <c:v>51941</c:v>
                </c:pt>
                <c:pt idx="2179">
                  <c:v>50504</c:v>
                </c:pt>
                <c:pt idx="2180">
                  <c:v>52330</c:v>
                </c:pt>
                <c:pt idx="2181">
                  <c:v>51049</c:v>
                </c:pt>
                <c:pt idx="2182">
                  <c:v>52337</c:v>
                </c:pt>
                <c:pt idx="2183">
                  <c:v>54629</c:v>
                </c:pt>
                <c:pt idx="2184">
                  <c:v>53947</c:v>
                </c:pt>
                <c:pt idx="2185">
                  <c:v>54384</c:v>
                </c:pt>
                <c:pt idx="2186">
                  <c:v>53698</c:v>
                </c:pt>
                <c:pt idx="2187">
                  <c:v>52637</c:v>
                </c:pt>
                <c:pt idx="2188">
                  <c:v>53223</c:v>
                </c:pt>
                <c:pt idx="2189">
                  <c:v>52725</c:v>
                </c:pt>
                <c:pt idx="2190">
                  <c:v>52474</c:v>
                </c:pt>
                <c:pt idx="2191">
                  <c:v>52979</c:v>
                </c:pt>
                <c:pt idx="2192">
                  <c:v>51846</c:v>
                </c:pt>
                <c:pt idx="2193">
                  <c:v>51772</c:v>
                </c:pt>
                <c:pt idx="2194">
                  <c:v>51257</c:v>
                </c:pt>
                <c:pt idx="2195">
                  <c:v>52062</c:v>
                </c:pt>
                <c:pt idx="2196">
                  <c:v>53403</c:v>
                </c:pt>
                <c:pt idx="2197">
                  <c:v>56084</c:v>
                </c:pt>
                <c:pt idx="2198">
                  <c:v>55407</c:v>
                </c:pt>
                <c:pt idx="2199">
                  <c:v>55561</c:v>
                </c:pt>
                <c:pt idx="2200">
                  <c:v>55098</c:v>
                </c:pt>
                <c:pt idx="2201">
                  <c:v>54721</c:v>
                </c:pt>
                <c:pt idx="2202">
                  <c:v>54664</c:v>
                </c:pt>
                <c:pt idx="2203">
                  <c:v>52276</c:v>
                </c:pt>
                <c:pt idx="2204">
                  <c:v>51612</c:v>
                </c:pt>
                <c:pt idx="2205">
                  <c:v>52320</c:v>
                </c:pt>
                <c:pt idx="2206">
                  <c:v>51427</c:v>
                </c:pt>
                <c:pt idx="2207">
                  <c:v>51992</c:v>
                </c:pt>
                <c:pt idx="2208">
                  <c:v>50274</c:v>
                </c:pt>
                <c:pt idx="2209">
                  <c:v>50193</c:v>
                </c:pt>
                <c:pt idx="2210">
                  <c:v>49548</c:v>
                </c:pt>
                <c:pt idx="2211">
                  <c:v>49861</c:v>
                </c:pt>
                <c:pt idx="2212">
                  <c:v>48002</c:v>
                </c:pt>
                <c:pt idx="2213">
                  <c:v>47019</c:v>
                </c:pt>
                <c:pt idx="2214">
                  <c:v>47008</c:v>
                </c:pt>
                <c:pt idx="2215">
                  <c:v>48714</c:v>
                </c:pt>
                <c:pt idx="2216">
                  <c:v>48496</c:v>
                </c:pt>
                <c:pt idx="2217">
                  <c:v>49651</c:v>
                </c:pt>
                <c:pt idx="2218">
                  <c:v>50121</c:v>
                </c:pt>
                <c:pt idx="2219">
                  <c:v>50890</c:v>
                </c:pt>
                <c:pt idx="2220">
                  <c:v>50145</c:v>
                </c:pt>
                <c:pt idx="2221">
                  <c:v>50594</c:v>
                </c:pt>
                <c:pt idx="2222">
                  <c:v>50007</c:v>
                </c:pt>
                <c:pt idx="2223">
                  <c:v>48512</c:v>
                </c:pt>
                <c:pt idx="2224">
                  <c:v>47517</c:v>
                </c:pt>
                <c:pt idx="2225">
                  <c:v>48001</c:v>
                </c:pt>
                <c:pt idx="2226">
                  <c:v>49463</c:v>
                </c:pt>
                <c:pt idx="2227">
                  <c:v>49943</c:v>
                </c:pt>
                <c:pt idx="2228">
                  <c:v>48840</c:v>
                </c:pt>
                <c:pt idx="2229">
                  <c:v>48140</c:v>
                </c:pt>
                <c:pt idx="2230">
                  <c:v>48042</c:v>
                </c:pt>
                <c:pt idx="2231">
                  <c:v>47646</c:v>
                </c:pt>
                <c:pt idx="2232">
                  <c:v>48026</c:v>
                </c:pt>
                <c:pt idx="2233">
                  <c:v>49017</c:v>
                </c:pt>
                <c:pt idx="2234">
                  <c:v>47758</c:v>
                </c:pt>
                <c:pt idx="2235">
                  <c:v>47877</c:v>
                </c:pt>
                <c:pt idx="2236">
                  <c:v>49224</c:v>
                </c:pt>
                <c:pt idx="2237">
                  <c:v>49443</c:v>
                </c:pt>
                <c:pt idx="2238">
                  <c:v>48775</c:v>
                </c:pt>
                <c:pt idx="2239">
                  <c:v>48577</c:v>
                </c:pt>
                <c:pt idx="2240">
                  <c:v>48591</c:v>
                </c:pt>
                <c:pt idx="2241">
                  <c:v>47695</c:v>
                </c:pt>
                <c:pt idx="2242">
                  <c:v>47762</c:v>
                </c:pt>
                <c:pt idx="2243">
                  <c:v>46908</c:v>
                </c:pt>
                <c:pt idx="2244">
                  <c:v>47651</c:v>
                </c:pt>
                <c:pt idx="2245">
                  <c:v>48964</c:v>
                </c:pt>
                <c:pt idx="2246">
                  <c:v>49301</c:v>
                </c:pt>
                <c:pt idx="2247">
                  <c:v>49234</c:v>
                </c:pt>
                <c:pt idx="2248">
                  <c:v>48792</c:v>
                </c:pt>
                <c:pt idx="2249">
                  <c:v>49383</c:v>
                </c:pt>
                <c:pt idx="2250">
                  <c:v>48510</c:v>
                </c:pt>
                <c:pt idx="2251">
                  <c:v>48240</c:v>
                </c:pt>
                <c:pt idx="2252">
                  <c:v>49533</c:v>
                </c:pt>
                <c:pt idx="2253">
                  <c:v>50636</c:v>
                </c:pt>
                <c:pt idx="2254">
                  <c:v>51280</c:v>
                </c:pt>
                <c:pt idx="2255">
                  <c:v>51294</c:v>
                </c:pt>
                <c:pt idx="2256">
                  <c:v>51238</c:v>
                </c:pt>
                <c:pt idx="2257">
                  <c:v>51281</c:v>
                </c:pt>
                <c:pt idx="2258">
                  <c:v>51874</c:v>
                </c:pt>
                <c:pt idx="2259">
                  <c:v>51811</c:v>
                </c:pt>
                <c:pt idx="2260">
                  <c:v>51761</c:v>
                </c:pt>
                <c:pt idx="2261">
                  <c:v>51583</c:v>
                </c:pt>
                <c:pt idx="2262">
                  <c:v>51021</c:v>
                </c:pt>
                <c:pt idx="2263">
                  <c:v>51304</c:v>
                </c:pt>
                <c:pt idx="2264">
                  <c:v>50468</c:v>
                </c:pt>
                <c:pt idx="2265">
                  <c:v>50365</c:v>
                </c:pt>
                <c:pt idx="2266">
                  <c:v>49981</c:v>
                </c:pt>
                <c:pt idx="2267">
                  <c:v>49181</c:v>
                </c:pt>
                <c:pt idx="2268">
                  <c:v>48293</c:v>
                </c:pt>
                <c:pt idx="2269">
                  <c:v>48906</c:v>
                </c:pt>
                <c:pt idx="2270">
                  <c:v>48880</c:v>
                </c:pt>
                <c:pt idx="2271">
                  <c:v>48596</c:v>
                </c:pt>
                <c:pt idx="2272">
                  <c:v>48848</c:v>
                </c:pt>
                <c:pt idx="2273">
                  <c:v>50285</c:v>
                </c:pt>
                <c:pt idx="2274">
                  <c:v>51526</c:v>
                </c:pt>
                <c:pt idx="2275">
                  <c:v>50954</c:v>
                </c:pt>
                <c:pt idx="2276">
                  <c:v>51967</c:v>
                </c:pt>
                <c:pt idx="2277">
                  <c:v>51908</c:v>
                </c:pt>
                <c:pt idx="2278">
                  <c:v>51506</c:v>
                </c:pt>
                <c:pt idx="2279">
                  <c:v>51858</c:v>
                </c:pt>
                <c:pt idx="2280">
                  <c:v>50580</c:v>
                </c:pt>
                <c:pt idx="2281">
                  <c:v>50095</c:v>
                </c:pt>
                <c:pt idx="2282">
                  <c:v>51243</c:v>
                </c:pt>
                <c:pt idx="2283">
                  <c:v>51150</c:v>
                </c:pt>
                <c:pt idx="2284">
                  <c:v>52322</c:v>
                </c:pt>
                <c:pt idx="2285">
                  <c:v>53123</c:v>
                </c:pt>
                <c:pt idx="2286">
                  <c:v>53737</c:v>
                </c:pt>
                <c:pt idx="2287">
                  <c:v>53729</c:v>
                </c:pt>
                <c:pt idx="2288">
                  <c:v>53661</c:v>
                </c:pt>
                <c:pt idx="2289">
                  <c:v>53803</c:v>
                </c:pt>
                <c:pt idx="2290">
                  <c:v>54214</c:v>
                </c:pt>
                <c:pt idx="2291">
                  <c:v>54240</c:v>
                </c:pt>
                <c:pt idx="2292">
                  <c:v>53982</c:v>
                </c:pt>
                <c:pt idx="2293">
                  <c:v>54919</c:v>
                </c:pt>
                <c:pt idx="2294">
                  <c:v>54674</c:v>
                </c:pt>
                <c:pt idx="2295">
                  <c:v>53955</c:v>
                </c:pt>
                <c:pt idx="2296">
                  <c:v>53761</c:v>
                </c:pt>
                <c:pt idx="2297">
                  <c:v>54617</c:v>
                </c:pt>
                <c:pt idx="2298">
                  <c:v>55685</c:v>
                </c:pt>
                <c:pt idx="2299">
                  <c:v>56594</c:v>
                </c:pt>
                <c:pt idx="2300">
                  <c:v>55535</c:v>
                </c:pt>
                <c:pt idx="2301">
                  <c:v>55812</c:v>
                </c:pt>
                <c:pt idx="2302">
                  <c:v>55325</c:v>
                </c:pt>
                <c:pt idx="2303">
                  <c:v>56229</c:v>
                </c:pt>
                <c:pt idx="2304">
                  <c:v>57354</c:v>
                </c:pt>
                <c:pt idx="2305">
                  <c:v>58052</c:v>
                </c:pt>
                <c:pt idx="2306">
                  <c:v>57103</c:v>
                </c:pt>
                <c:pt idx="2307">
                  <c:v>56921</c:v>
                </c:pt>
                <c:pt idx="2308">
                  <c:v>57149</c:v>
                </c:pt>
                <c:pt idx="2309">
                  <c:v>57197</c:v>
                </c:pt>
                <c:pt idx="2310">
                  <c:v>56792</c:v>
                </c:pt>
                <c:pt idx="2311">
                  <c:v>56372</c:v>
                </c:pt>
                <c:pt idx="2312">
                  <c:v>56657</c:v>
                </c:pt>
                <c:pt idx="2313">
                  <c:v>57249</c:v>
                </c:pt>
                <c:pt idx="2314">
                  <c:v>56204</c:v>
                </c:pt>
                <c:pt idx="2315">
                  <c:v>55499</c:v>
                </c:pt>
                <c:pt idx="2316">
                  <c:v>54901</c:v>
                </c:pt>
                <c:pt idx="2317">
                  <c:v>55112</c:v>
                </c:pt>
                <c:pt idx="2318">
                  <c:v>54377</c:v>
                </c:pt>
                <c:pt idx="2319">
                  <c:v>54609</c:v>
                </c:pt>
                <c:pt idx="2320">
                  <c:v>53630</c:v>
                </c:pt>
                <c:pt idx="2321">
                  <c:v>54236</c:v>
                </c:pt>
                <c:pt idx="2322">
                  <c:v>53976</c:v>
                </c:pt>
                <c:pt idx="2323">
                  <c:v>52760</c:v>
                </c:pt>
                <c:pt idx="2324">
                  <c:v>53031</c:v>
                </c:pt>
                <c:pt idx="2325">
                  <c:v>54236</c:v>
                </c:pt>
                <c:pt idx="2326">
                  <c:v>53523</c:v>
                </c:pt>
                <c:pt idx="2327">
                  <c:v>52973</c:v>
                </c:pt>
                <c:pt idx="2328">
                  <c:v>52810</c:v>
                </c:pt>
                <c:pt idx="2329">
                  <c:v>52816</c:v>
                </c:pt>
                <c:pt idx="2330">
                  <c:v>53876</c:v>
                </c:pt>
                <c:pt idx="2331">
                  <c:v>53689</c:v>
                </c:pt>
                <c:pt idx="2332">
                  <c:v>53348</c:v>
                </c:pt>
                <c:pt idx="2333">
                  <c:v>53138</c:v>
                </c:pt>
                <c:pt idx="2334">
                  <c:v>53702</c:v>
                </c:pt>
                <c:pt idx="2335">
                  <c:v>53249</c:v>
                </c:pt>
                <c:pt idx="2336">
                  <c:v>54239</c:v>
                </c:pt>
                <c:pt idx="2337">
                  <c:v>53749</c:v>
                </c:pt>
                <c:pt idx="2338">
                  <c:v>53864</c:v>
                </c:pt>
                <c:pt idx="2339">
                  <c:v>53772</c:v>
                </c:pt>
                <c:pt idx="2340">
                  <c:v>53843</c:v>
                </c:pt>
                <c:pt idx="2341">
                  <c:v>53176</c:v>
                </c:pt>
                <c:pt idx="2342">
                  <c:v>54017</c:v>
                </c:pt>
                <c:pt idx="2343">
                  <c:v>53014</c:v>
                </c:pt>
                <c:pt idx="2344">
                  <c:v>53081</c:v>
                </c:pt>
                <c:pt idx="2345">
                  <c:v>52758</c:v>
                </c:pt>
                <c:pt idx="2346">
                  <c:v>53106</c:v>
                </c:pt>
                <c:pt idx="2347">
                  <c:v>52519</c:v>
                </c:pt>
                <c:pt idx="2348">
                  <c:v>52149</c:v>
                </c:pt>
                <c:pt idx="2349">
                  <c:v>52344</c:v>
                </c:pt>
                <c:pt idx="2350">
                  <c:v>51782</c:v>
                </c:pt>
                <c:pt idx="2351">
                  <c:v>52591</c:v>
                </c:pt>
                <c:pt idx="2352">
                  <c:v>53119</c:v>
                </c:pt>
                <c:pt idx="2353">
                  <c:v>53239</c:v>
                </c:pt>
                <c:pt idx="2354">
                  <c:v>52902</c:v>
                </c:pt>
                <c:pt idx="2355">
                  <c:v>53070</c:v>
                </c:pt>
                <c:pt idx="2356">
                  <c:v>52342</c:v>
                </c:pt>
                <c:pt idx="2357">
                  <c:v>51600</c:v>
                </c:pt>
                <c:pt idx="2358">
                  <c:v>51474</c:v>
                </c:pt>
                <c:pt idx="2359">
                  <c:v>50916</c:v>
                </c:pt>
                <c:pt idx="2360">
                  <c:v>49807</c:v>
                </c:pt>
                <c:pt idx="2361">
                  <c:v>49246</c:v>
                </c:pt>
                <c:pt idx="2362">
                  <c:v>48736</c:v>
                </c:pt>
                <c:pt idx="2363">
                  <c:v>49602</c:v>
                </c:pt>
                <c:pt idx="2364">
                  <c:v>50245</c:v>
                </c:pt>
                <c:pt idx="2365">
                  <c:v>49897</c:v>
                </c:pt>
                <c:pt idx="2366">
                  <c:v>50865</c:v>
                </c:pt>
                <c:pt idx="2367">
                  <c:v>50138</c:v>
                </c:pt>
                <c:pt idx="2368">
                  <c:v>50058</c:v>
                </c:pt>
                <c:pt idx="2369">
                  <c:v>50287</c:v>
                </c:pt>
                <c:pt idx="2370">
                  <c:v>50011</c:v>
                </c:pt>
                <c:pt idx="2371">
                  <c:v>48577</c:v>
                </c:pt>
                <c:pt idx="2372">
                  <c:v>49353</c:v>
                </c:pt>
                <c:pt idx="2373">
                  <c:v>49072</c:v>
                </c:pt>
                <c:pt idx="2374">
                  <c:v>48388</c:v>
                </c:pt>
                <c:pt idx="2375">
                  <c:v>48010</c:v>
                </c:pt>
                <c:pt idx="2376">
                  <c:v>47508</c:v>
                </c:pt>
                <c:pt idx="2377">
                  <c:v>47217</c:v>
                </c:pt>
                <c:pt idx="2378">
                  <c:v>47451</c:v>
                </c:pt>
                <c:pt idx="2379">
                  <c:v>46588</c:v>
                </c:pt>
                <c:pt idx="2380">
                  <c:v>46649</c:v>
                </c:pt>
                <c:pt idx="2381">
                  <c:v>45720</c:v>
                </c:pt>
                <c:pt idx="2382">
                  <c:v>44336</c:v>
                </c:pt>
                <c:pt idx="2383">
                  <c:v>44545</c:v>
                </c:pt>
                <c:pt idx="2384">
                  <c:v>46038</c:v>
                </c:pt>
                <c:pt idx="2385">
                  <c:v>47715</c:v>
                </c:pt>
                <c:pt idx="2386">
                  <c:v>47154</c:v>
                </c:pt>
                <c:pt idx="2387">
                  <c:v>46626</c:v>
                </c:pt>
                <c:pt idx="2388">
                  <c:v>45477</c:v>
                </c:pt>
                <c:pt idx="2389">
                  <c:v>46464</c:v>
                </c:pt>
                <c:pt idx="2390">
                  <c:v>47366</c:v>
                </c:pt>
                <c:pt idx="2391">
                  <c:v>46498</c:v>
                </c:pt>
                <c:pt idx="2392">
                  <c:v>46762</c:v>
                </c:pt>
                <c:pt idx="2393">
                  <c:v>46657</c:v>
                </c:pt>
                <c:pt idx="2394">
                  <c:v>46504</c:v>
                </c:pt>
                <c:pt idx="2395">
                  <c:v>46401</c:v>
                </c:pt>
                <c:pt idx="2396">
                  <c:v>47282</c:v>
                </c:pt>
                <c:pt idx="2397">
                  <c:v>47364</c:v>
                </c:pt>
                <c:pt idx="2398">
                  <c:v>48553</c:v>
                </c:pt>
                <c:pt idx="2399">
                  <c:v>48551</c:v>
                </c:pt>
                <c:pt idx="2400">
                  <c:v>47264</c:v>
                </c:pt>
                <c:pt idx="2401">
                  <c:v>46590</c:v>
                </c:pt>
                <c:pt idx="2402">
                  <c:v>46265</c:v>
                </c:pt>
                <c:pt idx="2403">
                  <c:v>45340</c:v>
                </c:pt>
                <c:pt idx="2404">
                  <c:v>45292</c:v>
                </c:pt>
                <c:pt idx="2405">
                  <c:v>44831</c:v>
                </c:pt>
                <c:pt idx="2406">
                  <c:v>43957</c:v>
                </c:pt>
                <c:pt idx="2407">
                  <c:v>44132</c:v>
                </c:pt>
                <c:pt idx="2408">
                  <c:v>45059</c:v>
                </c:pt>
                <c:pt idx="2409">
                  <c:v>45313</c:v>
                </c:pt>
                <c:pt idx="2410">
                  <c:v>47033</c:v>
                </c:pt>
                <c:pt idx="2411">
                  <c:v>47598</c:v>
                </c:pt>
                <c:pt idx="2412">
                  <c:v>47735</c:v>
                </c:pt>
                <c:pt idx="2413">
                  <c:v>48914</c:v>
                </c:pt>
                <c:pt idx="2414">
                  <c:v>49107</c:v>
                </c:pt>
                <c:pt idx="2415">
                  <c:v>49338</c:v>
                </c:pt>
                <c:pt idx="2416">
                  <c:v>47363</c:v>
                </c:pt>
                <c:pt idx="2417">
                  <c:v>46710</c:v>
                </c:pt>
                <c:pt idx="2418">
                  <c:v>47161</c:v>
                </c:pt>
                <c:pt idx="2419">
                  <c:v>47236</c:v>
                </c:pt>
                <c:pt idx="2420">
                  <c:v>47447</c:v>
                </c:pt>
                <c:pt idx="2421">
                  <c:v>47077</c:v>
                </c:pt>
                <c:pt idx="2422">
                  <c:v>47026</c:v>
                </c:pt>
                <c:pt idx="2423">
                  <c:v>47772</c:v>
                </c:pt>
                <c:pt idx="2424">
                  <c:v>47597</c:v>
                </c:pt>
                <c:pt idx="2425">
                  <c:v>47209</c:v>
                </c:pt>
                <c:pt idx="2426">
                  <c:v>47043</c:v>
                </c:pt>
                <c:pt idx="2427">
                  <c:v>46741</c:v>
                </c:pt>
                <c:pt idx="2428">
                  <c:v>45628</c:v>
                </c:pt>
                <c:pt idx="2429">
                  <c:v>45869</c:v>
                </c:pt>
                <c:pt idx="2430">
                  <c:v>48054</c:v>
                </c:pt>
                <c:pt idx="2431">
                  <c:v>47710</c:v>
                </c:pt>
                <c:pt idx="2432">
                  <c:v>48047</c:v>
                </c:pt>
                <c:pt idx="2433">
                  <c:v>46919</c:v>
                </c:pt>
                <c:pt idx="2434">
                  <c:v>46195</c:v>
                </c:pt>
                <c:pt idx="2435">
                  <c:v>46179</c:v>
                </c:pt>
                <c:pt idx="2436">
                  <c:v>47065</c:v>
                </c:pt>
                <c:pt idx="2437">
                  <c:v>46884</c:v>
                </c:pt>
                <c:pt idx="2438">
                  <c:v>46517</c:v>
                </c:pt>
                <c:pt idx="2439">
                  <c:v>46847</c:v>
                </c:pt>
                <c:pt idx="2440">
                  <c:v>47248</c:v>
                </c:pt>
                <c:pt idx="2441">
                  <c:v>47436</c:v>
                </c:pt>
                <c:pt idx="2442">
                  <c:v>48139</c:v>
                </c:pt>
                <c:pt idx="2443">
                  <c:v>48150</c:v>
                </c:pt>
                <c:pt idx="2444">
                  <c:v>48284</c:v>
                </c:pt>
                <c:pt idx="2445">
                  <c:v>46867</c:v>
                </c:pt>
                <c:pt idx="2446">
                  <c:v>47146</c:v>
                </c:pt>
                <c:pt idx="2447">
                  <c:v>45873</c:v>
                </c:pt>
                <c:pt idx="2448">
                  <c:v>45120</c:v>
                </c:pt>
                <c:pt idx="2449">
                  <c:v>45047</c:v>
                </c:pt>
                <c:pt idx="2450">
                  <c:v>44915</c:v>
                </c:pt>
                <c:pt idx="2451">
                  <c:v>46393</c:v>
                </c:pt>
                <c:pt idx="2452">
                  <c:v>45361</c:v>
                </c:pt>
                <c:pt idx="2453">
                  <c:v>45223</c:v>
                </c:pt>
                <c:pt idx="2454">
                  <c:v>44443</c:v>
                </c:pt>
                <c:pt idx="2455">
                  <c:v>46108</c:v>
                </c:pt>
                <c:pt idx="2456">
                  <c:v>45631</c:v>
                </c:pt>
                <c:pt idx="2457">
                  <c:v>45263</c:v>
                </c:pt>
                <c:pt idx="2458">
                  <c:v>44747</c:v>
                </c:pt>
                <c:pt idx="2459">
                  <c:v>44872</c:v>
                </c:pt>
                <c:pt idx="2460">
                  <c:v>45016</c:v>
                </c:pt>
                <c:pt idx="2461">
                  <c:v>45261</c:v>
                </c:pt>
                <c:pt idx="2462">
                  <c:v>43911</c:v>
                </c:pt>
                <c:pt idx="2463">
                  <c:v>43200</c:v>
                </c:pt>
                <c:pt idx="2464">
                  <c:v>43470</c:v>
                </c:pt>
                <c:pt idx="2465">
                  <c:v>44015</c:v>
                </c:pt>
                <c:pt idx="2466">
                  <c:v>43764</c:v>
                </c:pt>
                <c:pt idx="2467">
                  <c:v>43654</c:v>
                </c:pt>
                <c:pt idx="2468">
                  <c:v>43350</c:v>
                </c:pt>
                <c:pt idx="2469">
                  <c:v>42141</c:v>
                </c:pt>
                <c:pt idx="2470">
                  <c:v>42419</c:v>
                </c:pt>
                <c:pt idx="2471">
                  <c:v>41773</c:v>
                </c:pt>
                <c:pt idx="2472">
                  <c:v>40695</c:v>
                </c:pt>
                <c:pt idx="2473">
                  <c:v>40612</c:v>
                </c:pt>
                <c:pt idx="2474">
                  <c:v>39950</c:v>
                </c:pt>
                <c:pt idx="2475">
                  <c:v>39514</c:v>
                </c:pt>
                <c:pt idx="2476">
                  <c:v>38944</c:v>
                </c:pt>
                <c:pt idx="2477">
                  <c:v>39500</c:v>
                </c:pt>
                <c:pt idx="2478">
                  <c:v>38569</c:v>
                </c:pt>
                <c:pt idx="2479">
                  <c:v>37937</c:v>
                </c:pt>
                <c:pt idx="2480">
                  <c:v>38057</c:v>
                </c:pt>
                <c:pt idx="2481">
                  <c:v>37645</c:v>
                </c:pt>
                <c:pt idx="2482">
                  <c:v>37717</c:v>
                </c:pt>
                <c:pt idx="2483">
                  <c:v>38031</c:v>
                </c:pt>
                <c:pt idx="2484">
                  <c:v>37497</c:v>
                </c:pt>
                <c:pt idx="2485">
                  <c:v>38376</c:v>
                </c:pt>
                <c:pt idx="2486">
                  <c:v>38630</c:v>
                </c:pt>
                <c:pt idx="2487">
                  <c:v>40406</c:v>
                </c:pt>
                <c:pt idx="2488">
                  <c:v>40570</c:v>
                </c:pt>
                <c:pt idx="2489">
                  <c:v>38596</c:v>
                </c:pt>
                <c:pt idx="2490">
                  <c:v>39589</c:v>
                </c:pt>
                <c:pt idx="2491">
                  <c:v>40822</c:v>
                </c:pt>
                <c:pt idx="2492">
                  <c:v>40592</c:v>
                </c:pt>
                <c:pt idx="2493">
                  <c:v>40377</c:v>
                </c:pt>
                <c:pt idx="2494">
                  <c:v>39318</c:v>
                </c:pt>
                <c:pt idx="2495">
                  <c:v>39808</c:v>
                </c:pt>
                <c:pt idx="2496">
                  <c:v>40093</c:v>
                </c:pt>
                <c:pt idx="2497">
                  <c:v>40948</c:v>
                </c:pt>
                <c:pt idx="2498">
                  <c:v>41631</c:v>
                </c:pt>
                <c:pt idx="2499">
                  <c:v>41478</c:v>
                </c:pt>
                <c:pt idx="2500">
                  <c:v>41543</c:v>
                </c:pt>
                <c:pt idx="2501">
                  <c:v>43235</c:v>
                </c:pt>
                <c:pt idx="2502">
                  <c:v>42521</c:v>
                </c:pt>
                <c:pt idx="2503">
                  <c:v>42085</c:v>
                </c:pt>
                <c:pt idx="2504">
                  <c:v>41888</c:v>
                </c:pt>
                <c:pt idx="2505">
                  <c:v>41593</c:v>
                </c:pt>
                <c:pt idx="2506">
                  <c:v>42794</c:v>
                </c:pt>
                <c:pt idx="2507">
                  <c:v>44122</c:v>
                </c:pt>
                <c:pt idx="2508">
                  <c:v>44893</c:v>
                </c:pt>
                <c:pt idx="2509">
                  <c:v>47193</c:v>
                </c:pt>
                <c:pt idx="2510">
                  <c:v>49085</c:v>
                </c:pt>
                <c:pt idx="2511">
                  <c:v>49246</c:v>
                </c:pt>
                <c:pt idx="2512">
                  <c:v>49102</c:v>
                </c:pt>
                <c:pt idx="2513">
                  <c:v>48665</c:v>
                </c:pt>
                <c:pt idx="2514">
                  <c:v>49571</c:v>
                </c:pt>
                <c:pt idx="2515">
                  <c:v>49639</c:v>
                </c:pt>
                <c:pt idx="2516">
                  <c:v>48867</c:v>
                </c:pt>
                <c:pt idx="2517">
                  <c:v>47130</c:v>
                </c:pt>
                <c:pt idx="2518">
                  <c:v>47763</c:v>
                </c:pt>
                <c:pt idx="2519">
                  <c:v>50914</c:v>
                </c:pt>
                <c:pt idx="2520">
                  <c:v>50815</c:v>
                </c:pt>
                <c:pt idx="2521">
                  <c:v>51172</c:v>
                </c:pt>
                <c:pt idx="2522">
                  <c:v>51010</c:v>
                </c:pt>
                <c:pt idx="2523">
                  <c:v>49690</c:v>
                </c:pt>
                <c:pt idx="2524">
                  <c:v>49657</c:v>
                </c:pt>
                <c:pt idx="2525">
                  <c:v>50838</c:v>
                </c:pt>
                <c:pt idx="2526">
                  <c:v>51155</c:v>
                </c:pt>
                <c:pt idx="2527">
                  <c:v>51249</c:v>
                </c:pt>
                <c:pt idx="2528">
                  <c:v>50055</c:v>
                </c:pt>
                <c:pt idx="2529">
                  <c:v>50562</c:v>
                </c:pt>
                <c:pt idx="2530">
                  <c:v>48780</c:v>
                </c:pt>
                <c:pt idx="2531">
                  <c:v>49054</c:v>
                </c:pt>
                <c:pt idx="2532">
                  <c:v>48096</c:v>
                </c:pt>
                <c:pt idx="2533">
                  <c:v>48513</c:v>
                </c:pt>
                <c:pt idx="2534">
                  <c:v>50293</c:v>
                </c:pt>
                <c:pt idx="2535">
                  <c:v>50165</c:v>
                </c:pt>
                <c:pt idx="2536">
                  <c:v>52002</c:v>
                </c:pt>
                <c:pt idx="2537">
                  <c:v>53150</c:v>
                </c:pt>
                <c:pt idx="2538">
                  <c:v>52411</c:v>
                </c:pt>
                <c:pt idx="2539">
                  <c:v>53228</c:v>
                </c:pt>
                <c:pt idx="2540">
                  <c:v>52894</c:v>
                </c:pt>
                <c:pt idx="2541">
                  <c:v>53710</c:v>
                </c:pt>
                <c:pt idx="2542">
                  <c:v>53631</c:v>
                </c:pt>
                <c:pt idx="2543">
                  <c:v>52908</c:v>
                </c:pt>
                <c:pt idx="2544">
                  <c:v>51862</c:v>
                </c:pt>
                <c:pt idx="2545">
                  <c:v>53083</c:v>
                </c:pt>
                <c:pt idx="2546">
                  <c:v>54478</c:v>
                </c:pt>
                <c:pt idx="2547">
                  <c:v>54312</c:v>
                </c:pt>
                <c:pt idx="2548">
                  <c:v>53911</c:v>
                </c:pt>
                <c:pt idx="2549">
                  <c:v>53562</c:v>
                </c:pt>
                <c:pt idx="2550">
                  <c:v>52260</c:v>
                </c:pt>
                <c:pt idx="2551">
                  <c:v>52553</c:v>
                </c:pt>
                <c:pt idx="2552">
                  <c:v>51671</c:v>
                </c:pt>
                <c:pt idx="2553">
                  <c:v>51718</c:v>
                </c:pt>
                <c:pt idx="2554">
                  <c:v>50990</c:v>
                </c:pt>
                <c:pt idx="2555">
                  <c:v>53071</c:v>
                </c:pt>
                <c:pt idx="2556">
                  <c:v>52764</c:v>
                </c:pt>
                <c:pt idx="2557">
                  <c:v>53241</c:v>
                </c:pt>
                <c:pt idx="2558">
                  <c:v>51804</c:v>
                </c:pt>
                <c:pt idx="2559">
                  <c:v>51803</c:v>
                </c:pt>
                <c:pt idx="2560">
                  <c:v>50839</c:v>
                </c:pt>
                <c:pt idx="2561">
                  <c:v>50562</c:v>
                </c:pt>
                <c:pt idx="2562">
                  <c:v>50133</c:v>
                </c:pt>
                <c:pt idx="2563">
                  <c:v>49723</c:v>
                </c:pt>
                <c:pt idx="2564">
                  <c:v>49330</c:v>
                </c:pt>
                <c:pt idx="2565">
                  <c:v>49345</c:v>
                </c:pt>
                <c:pt idx="2566">
                  <c:v>49483</c:v>
                </c:pt>
                <c:pt idx="2567">
                  <c:v>49051</c:v>
                </c:pt>
                <c:pt idx="2568">
                  <c:v>48964</c:v>
                </c:pt>
                <c:pt idx="2569">
                  <c:v>48472</c:v>
                </c:pt>
                <c:pt idx="2570">
                  <c:v>49013</c:v>
                </c:pt>
                <c:pt idx="2571">
                  <c:v>49887</c:v>
                </c:pt>
                <c:pt idx="2572">
                  <c:v>50619</c:v>
                </c:pt>
                <c:pt idx="2573">
                  <c:v>50432</c:v>
                </c:pt>
                <c:pt idx="2574">
                  <c:v>50488</c:v>
                </c:pt>
                <c:pt idx="2575">
                  <c:v>51629</c:v>
                </c:pt>
                <c:pt idx="2576">
                  <c:v>51118</c:v>
                </c:pt>
                <c:pt idx="2577">
                  <c:v>49422</c:v>
                </c:pt>
                <c:pt idx="2578">
                  <c:v>49661</c:v>
                </c:pt>
                <c:pt idx="2579">
                  <c:v>48648</c:v>
                </c:pt>
                <c:pt idx="2580">
                  <c:v>48915</c:v>
                </c:pt>
                <c:pt idx="2581">
                  <c:v>49412</c:v>
                </c:pt>
                <c:pt idx="2582">
                  <c:v>49534</c:v>
                </c:pt>
                <c:pt idx="2583">
                  <c:v>50329</c:v>
                </c:pt>
                <c:pt idx="2584">
                  <c:v>50838</c:v>
                </c:pt>
                <c:pt idx="2585">
                  <c:v>50156</c:v>
                </c:pt>
                <c:pt idx="2586">
                  <c:v>51560</c:v>
                </c:pt>
                <c:pt idx="2587">
                  <c:v>50105</c:v>
                </c:pt>
                <c:pt idx="2588">
                  <c:v>49246</c:v>
                </c:pt>
                <c:pt idx="2589">
                  <c:v>50007</c:v>
                </c:pt>
                <c:pt idx="2590">
                  <c:v>51002</c:v>
                </c:pt>
                <c:pt idx="2591">
                  <c:v>51527</c:v>
                </c:pt>
                <c:pt idx="2592">
                  <c:v>52233</c:v>
                </c:pt>
                <c:pt idx="2593">
                  <c:v>52569</c:v>
                </c:pt>
                <c:pt idx="2594">
                  <c:v>51842</c:v>
                </c:pt>
                <c:pt idx="2595">
                  <c:v>51902</c:v>
                </c:pt>
                <c:pt idx="2596">
                  <c:v>52015</c:v>
                </c:pt>
                <c:pt idx="2597">
                  <c:v>53141</c:v>
                </c:pt>
                <c:pt idx="2598">
                  <c:v>53960</c:v>
                </c:pt>
                <c:pt idx="2599">
                  <c:v>54256</c:v>
                </c:pt>
                <c:pt idx="2600">
                  <c:v>54598</c:v>
                </c:pt>
                <c:pt idx="2601">
                  <c:v>55481</c:v>
                </c:pt>
                <c:pt idx="2602">
                  <c:v>55578</c:v>
                </c:pt>
                <c:pt idx="2603">
                  <c:v>56484</c:v>
                </c:pt>
                <c:pt idx="2604">
                  <c:v>56698</c:v>
                </c:pt>
                <c:pt idx="2605">
                  <c:v>56578</c:v>
                </c:pt>
                <c:pt idx="2606">
                  <c:v>56641</c:v>
                </c:pt>
                <c:pt idx="2607">
                  <c:v>57002</c:v>
                </c:pt>
                <c:pt idx="2608">
                  <c:v>56873</c:v>
                </c:pt>
                <c:pt idx="2609">
                  <c:v>56783</c:v>
                </c:pt>
                <c:pt idx="2610">
                  <c:v>56853</c:v>
                </c:pt>
                <c:pt idx="2611">
                  <c:v>56667</c:v>
                </c:pt>
                <c:pt idx="2612">
                  <c:v>57308</c:v>
                </c:pt>
                <c:pt idx="2613">
                  <c:v>56756</c:v>
                </c:pt>
                <c:pt idx="2614">
                  <c:v>56162</c:v>
                </c:pt>
                <c:pt idx="2615">
                  <c:v>57077</c:v>
                </c:pt>
                <c:pt idx="2616">
                  <c:v>57594</c:v>
                </c:pt>
                <c:pt idx="2617">
                  <c:v>57661</c:v>
                </c:pt>
                <c:pt idx="2618">
                  <c:v>57635</c:v>
                </c:pt>
                <c:pt idx="2619">
                  <c:v>57689</c:v>
                </c:pt>
                <c:pt idx="2620">
                  <c:v>56920</c:v>
                </c:pt>
                <c:pt idx="2621">
                  <c:v>58300</c:v>
                </c:pt>
                <c:pt idx="2622">
                  <c:v>58298</c:v>
                </c:pt>
                <c:pt idx="2623">
                  <c:v>59146</c:v>
                </c:pt>
                <c:pt idx="2624">
                  <c:v>58855</c:v>
                </c:pt>
                <c:pt idx="2625">
                  <c:v>59324</c:v>
                </c:pt>
                <c:pt idx="2626">
                  <c:v>59166</c:v>
                </c:pt>
                <c:pt idx="2627">
                  <c:v>59099</c:v>
                </c:pt>
                <c:pt idx="2628">
                  <c:v>57781</c:v>
                </c:pt>
                <c:pt idx="2629">
                  <c:v>58020</c:v>
                </c:pt>
                <c:pt idx="2630">
                  <c:v>57718</c:v>
                </c:pt>
                <c:pt idx="2631">
                  <c:v>57722</c:v>
                </c:pt>
                <c:pt idx="2632">
                  <c:v>57716</c:v>
                </c:pt>
                <c:pt idx="2633">
                  <c:v>58610</c:v>
                </c:pt>
                <c:pt idx="2634">
                  <c:v>58575</c:v>
                </c:pt>
                <c:pt idx="2635">
                  <c:v>57901</c:v>
                </c:pt>
                <c:pt idx="2636">
                  <c:v>58236</c:v>
                </c:pt>
                <c:pt idx="2637">
                  <c:v>59616</c:v>
                </c:pt>
                <c:pt idx="2638">
                  <c:v>59566</c:v>
                </c:pt>
                <c:pt idx="2639">
                  <c:v>60129</c:v>
                </c:pt>
                <c:pt idx="2640">
                  <c:v>60232</c:v>
                </c:pt>
                <c:pt idx="2641">
                  <c:v>58000</c:v>
                </c:pt>
                <c:pt idx="2642">
                  <c:v>58586</c:v>
                </c:pt>
                <c:pt idx="2643">
                  <c:v>56821</c:v>
                </c:pt>
                <c:pt idx="2644">
                  <c:v>57059</c:v>
                </c:pt>
                <c:pt idx="2645">
                  <c:v>57909</c:v>
                </c:pt>
                <c:pt idx="2646">
                  <c:v>57080</c:v>
                </c:pt>
                <c:pt idx="2647">
                  <c:v>57350</c:v>
                </c:pt>
                <c:pt idx="2648">
                  <c:v>57736</c:v>
                </c:pt>
                <c:pt idx="2649">
                  <c:v>58394</c:v>
                </c:pt>
                <c:pt idx="2650">
                  <c:v>58994</c:v>
                </c:pt>
                <c:pt idx="2651">
                  <c:v>58697</c:v>
                </c:pt>
                <c:pt idx="2652">
                  <c:v>58054</c:v>
                </c:pt>
                <c:pt idx="2653">
                  <c:v>58382</c:v>
                </c:pt>
                <c:pt idx="2654">
                  <c:v>59356</c:v>
                </c:pt>
                <c:pt idx="2655">
                  <c:v>58351</c:v>
                </c:pt>
                <c:pt idx="2656">
                  <c:v>58367</c:v>
                </c:pt>
                <c:pt idx="2657">
                  <c:v>59461</c:v>
                </c:pt>
                <c:pt idx="2658">
                  <c:v>59339</c:v>
                </c:pt>
                <c:pt idx="2659">
                  <c:v>60254</c:v>
                </c:pt>
                <c:pt idx="2660">
                  <c:v>60644</c:v>
                </c:pt>
                <c:pt idx="2661">
                  <c:v>61109</c:v>
                </c:pt>
                <c:pt idx="2662">
                  <c:v>61668</c:v>
                </c:pt>
                <c:pt idx="2663">
                  <c:v>61022</c:v>
                </c:pt>
                <c:pt idx="2664">
                  <c:v>61119</c:v>
                </c:pt>
                <c:pt idx="2665">
                  <c:v>61767</c:v>
                </c:pt>
                <c:pt idx="2666">
                  <c:v>62696</c:v>
                </c:pt>
                <c:pt idx="2667">
                  <c:v>63782</c:v>
                </c:pt>
                <c:pt idx="2668">
                  <c:v>63506</c:v>
                </c:pt>
                <c:pt idx="2669">
                  <c:v>63838</c:v>
                </c:pt>
                <c:pt idx="2670">
                  <c:v>64108</c:v>
                </c:pt>
                <c:pt idx="2671">
                  <c:v>64060</c:v>
                </c:pt>
                <c:pt idx="2672">
                  <c:v>63866</c:v>
                </c:pt>
                <c:pt idx="2673">
                  <c:v>63826</c:v>
                </c:pt>
                <c:pt idx="2674">
                  <c:v>64250</c:v>
                </c:pt>
                <c:pt idx="2675">
                  <c:v>64308</c:v>
                </c:pt>
                <c:pt idx="2676">
                  <c:v>64925</c:v>
                </c:pt>
                <c:pt idx="2677">
                  <c:v>63326</c:v>
                </c:pt>
                <c:pt idx="2678">
                  <c:v>61750</c:v>
                </c:pt>
                <c:pt idx="2679">
                  <c:v>61598</c:v>
                </c:pt>
                <c:pt idx="2680">
                  <c:v>64052</c:v>
                </c:pt>
                <c:pt idx="2681">
                  <c:v>64158</c:v>
                </c:pt>
                <c:pt idx="2682">
                  <c:v>63258</c:v>
                </c:pt>
                <c:pt idx="2683">
                  <c:v>61201</c:v>
                </c:pt>
                <c:pt idx="2684">
                  <c:v>59184</c:v>
                </c:pt>
                <c:pt idx="2685">
                  <c:v>59657</c:v>
                </c:pt>
                <c:pt idx="2686">
                  <c:v>60759</c:v>
                </c:pt>
                <c:pt idx="2687">
                  <c:v>59770</c:v>
                </c:pt>
                <c:pt idx="2688">
                  <c:v>59962</c:v>
                </c:pt>
                <c:pt idx="2689">
                  <c:v>61070</c:v>
                </c:pt>
                <c:pt idx="2690">
                  <c:v>61954</c:v>
                </c:pt>
                <c:pt idx="2691">
                  <c:v>61986</c:v>
                </c:pt>
                <c:pt idx="2692">
                  <c:v>61396</c:v>
                </c:pt>
                <c:pt idx="2693">
                  <c:v>61559</c:v>
                </c:pt>
                <c:pt idx="2694">
                  <c:v>62855</c:v>
                </c:pt>
                <c:pt idx="2695">
                  <c:v>60987</c:v>
                </c:pt>
                <c:pt idx="2696">
                  <c:v>61906</c:v>
                </c:pt>
                <c:pt idx="2697">
                  <c:v>59507</c:v>
                </c:pt>
                <c:pt idx="2698">
                  <c:v>60316</c:v>
                </c:pt>
                <c:pt idx="2699">
                  <c:v>59832</c:v>
                </c:pt>
                <c:pt idx="2700">
                  <c:v>61088</c:v>
                </c:pt>
                <c:pt idx="2701">
                  <c:v>61414</c:v>
                </c:pt>
                <c:pt idx="2702">
                  <c:v>60677</c:v>
                </c:pt>
                <c:pt idx="2703">
                  <c:v>60501</c:v>
                </c:pt>
                <c:pt idx="2704">
                  <c:v>59179</c:v>
                </c:pt>
                <c:pt idx="2705">
                  <c:v>59281</c:v>
                </c:pt>
                <c:pt idx="2706">
                  <c:v>58212</c:v>
                </c:pt>
                <c:pt idx="2707">
                  <c:v>58396</c:v>
                </c:pt>
                <c:pt idx="2708">
                  <c:v>58389</c:v>
                </c:pt>
                <c:pt idx="2709">
                  <c:v>57111</c:v>
                </c:pt>
                <c:pt idx="2710">
                  <c:v>57583</c:v>
                </c:pt>
                <c:pt idx="2711">
                  <c:v>57647</c:v>
                </c:pt>
                <c:pt idx="2712">
                  <c:v>57255</c:v>
                </c:pt>
                <c:pt idx="2713">
                  <c:v>57937</c:v>
                </c:pt>
                <c:pt idx="2714">
                  <c:v>58620</c:v>
                </c:pt>
                <c:pt idx="2715">
                  <c:v>58697</c:v>
                </c:pt>
                <c:pt idx="2716">
                  <c:v>59782</c:v>
                </c:pt>
                <c:pt idx="2717">
                  <c:v>60227</c:v>
                </c:pt>
                <c:pt idx="2718">
                  <c:v>59589</c:v>
                </c:pt>
                <c:pt idx="2719">
                  <c:v>61814</c:v>
                </c:pt>
                <c:pt idx="2720">
                  <c:v>61589</c:v>
                </c:pt>
                <c:pt idx="2721">
                  <c:v>62071</c:v>
                </c:pt>
                <c:pt idx="2722">
                  <c:v>61665</c:v>
                </c:pt>
                <c:pt idx="2723">
                  <c:v>61700</c:v>
                </c:pt>
                <c:pt idx="2724">
                  <c:v>62132</c:v>
                </c:pt>
                <c:pt idx="2725">
                  <c:v>62446</c:v>
                </c:pt>
                <c:pt idx="2726">
                  <c:v>63954</c:v>
                </c:pt>
                <c:pt idx="2727">
                  <c:v>63652</c:v>
                </c:pt>
                <c:pt idx="2728">
                  <c:v>63831</c:v>
                </c:pt>
                <c:pt idx="2729">
                  <c:v>64354</c:v>
                </c:pt>
                <c:pt idx="2730">
                  <c:v>64150</c:v>
                </c:pt>
                <c:pt idx="2731">
                  <c:v>63951</c:v>
                </c:pt>
                <c:pt idx="2732">
                  <c:v>64521</c:v>
                </c:pt>
                <c:pt idx="2733">
                  <c:v>65749</c:v>
                </c:pt>
                <c:pt idx="2734">
                  <c:v>65840</c:v>
                </c:pt>
                <c:pt idx="2735">
                  <c:v>66191</c:v>
                </c:pt>
                <c:pt idx="2736">
                  <c:v>66034</c:v>
                </c:pt>
                <c:pt idx="2737">
                  <c:v>64302</c:v>
                </c:pt>
                <c:pt idx="2738">
                  <c:v>64671</c:v>
                </c:pt>
                <c:pt idx="2739">
                  <c:v>64836</c:v>
                </c:pt>
                <c:pt idx="2740">
                  <c:v>64578</c:v>
                </c:pt>
                <c:pt idx="2741">
                  <c:v>64954</c:v>
                </c:pt>
                <c:pt idx="2742">
                  <c:v>63993</c:v>
                </c:pt>
                <c:pt idx="2743">
                  <c:v>64199</c:v>
                </c:pt>
                <c:pt idx="2744">
                  <c:v>64835</c:v>
                </c:pt>
                <c:pt idx="2745">
                  <c:v>64965</c:v>
                </c:pt>
                <c:pt idx="2746">
                  <c:v>66125</c:v>
                </c:pt>
                <c:pt idx="2747">
                  <c:v>66968</c:v>
                </c:pt>
                <c:pt idx="2748">
                  <c:v>66713</c:v>
                </c:pt>
                <c:pt idx="2749">
                  <c:v>67976</c:v>
                </c:pt>
                <c:pt idx="2750">
                  <c:v>67814</c:v>
                </c:pt>
                <c:pt idx="2751">
                  <c:v>67748</c:v>
                </c:pt>
                <c:pt idx="2752">
                  <c:v>68533</c:v>
                </c:pt>
                <c:pt idx="2753">
                  <c:v>69052</c:v>
                </c:pt>
                <c:pt idx="2754">
                  <c:v>68590</c:v>
                </c:pt>
                <c:pt idx="2755">
                  <c:v>67461</c:v>
                </c:pt>
                <c:pt idx="2756">
                  <c:v>66662</c:v>
                </c:pt>
                <c:pt idx="2757">
                  <c:v>66989</c:v>
                </c:pt>
                <c:pt idx="2758">
                  <c:v>65855</c:v>
                </c:pt>
                <c:pt idx="2759">
                  <c:v>66786</c:v>
                </c:pt>
                <c:pt idx="2760">
                  <c:v>66341</c:v>
                </c:pt>
                <c:pt idx="2761">
                  <c:v>65742</c:v>
                </c:pt>
                <c:pt idx="2762">
                  <c:v>64718</c:v>
                </c:pt>
                <c:pt idx="2763">
                  <c:v>64585</c:v>
                </c:pt>
                <c:pt idx="2764">
                  <c:v>64675</c:v>
                </c:pt>
                <c:pt idx="2765">
                  <c:v>65534</c:v>
                </c:pt>
                <c:pt idx="2766">
                  <c:v>64699</c:v>
                </c:pt>
                <c:pt idx="2767">
                  <c:v>66235</c:v>
                </c:pt>
                <c:pt idx="2768">
                  <c:v>65783</c:v>
                </c:pt>
                <c:pt idx="2769">
                  <c:v>64210</c:v>
                </c:pt>
                <c:pt idx="2770">
                  <c:v>64884</c:v>
                </c:pt>
                <c:pt idx="2771">
                  <c:v>62980</c:v>
                </c:pt>
                <c:pt idx="2772">
                  <c:v>63521</c:v>
                </c:pt>
                <c:pt idx="2773">
                  <c:v>63531</c:v>
                </c:pt>
                <c:pt idx="2774">
                  <c:v>63854</c:v>
                </c:pt>
                <c:pt idx="2775">
                  <c:v>64308</c:v>
                </c:pt>
                <c:pt idx="2776">
                  <c:v>64640</c:v>
                </c:pt>
                <c:pt idx="2777">
                  <c:v>65528</c:v>
                </c:pt>
                <c:pt idx="2778">
                  <c:v>65266</c:v>
                </c:pt>
                <c:pt idx="2779">
                  <c:v>64984</c:v>
                </c:pt>
                <c:pt idx="2780">
                  <c:v>65211</c:v>
                </c:pt>
                <c:pt idx="2781">
                  <c:v>65769</c:v>
                </c:pt>
                <c:pt idx="2782">
                  <c:v>64775</c:v>
                </c:pt>
                <c:pt idx="2783">
                  <c:v>64223</c:v>
                </c:pt>
                <c:pt idx="2784">
                  <c:v>64593</c:v>
                </c:pt>
                <c:pt idx="2785">
                  <c:v>64650</c:v>
                </c:pt>
                <c:pt idx="2786">
                  <c:v>64360</c:v>
                </c:pt>
                <c:pt idx="2787">
                  <c:v>63892</c:v>
                </c:pt>
                <c:pt idx="2788">
                  <c:v>62826</c:v>
                </c:pt>
                <c:pt idx="2789">
                  <c:v>64335</c:v>
                </c:pt>
                <c:pt idx="2790">
                  <c:v>64159</c:v>
                </c:pt>
                <c:pt idx="2791">
                  <c:v>63407</c:v>
                </c:pt>
                <c:pt idx="2792">
                  <c:v>63761</c:v>
                </c:pt>
                <c:pt idx="2793">
                  <c:v>64389</c:v>
                </c:pt>
                <c:pt idx="2794">
                  <c:v>65148</c:v>
                </c:pt>
                <c:pt idx="2795">
                  <c:v>64862</c:v>
                </c:pt>
                <c:pt idx="2796">
                  <c:v>64677</c:v>
                </c:pt>
                <c:pt idx="2797">
                  <c:v>65403</c:v>
                </c:pt>
                <c:pt idx="2798">
                  <c:v>66722</c:v>
                </c:pt>
                <c:pt idx="2799">
                  <c:v>66094</c:v>
                </c:pt>
                <c:pt idx="2800">
                  <c:v>64863</c:v>
                </c:pt>
                <c:pt idx="2801">
                  <c:v>65710</c:v>
                </c:pt>
                <c:pt idx="2802">
                  <c:v>65526</c:v>
                </c:pt>
                <c:pt idx="2803">
                  <c:v>66278</c:v>
                </c:pt>
                <c:pt idx="2804">
                  <c:v>67350</c:v>
                </c:pt>
                <c:pt idx="2805">
                  <c:v>67538</c:v>
                </c:pt>
                <c:pt idx="2806">
                  <c:v>68222</c:v>
                </c:pt>
                <c:pt idx="2807">
                  <c:v>68474</c:v>
                </c:pt>
                <c:pt idx="2808">
                  <c:v>68684</c:v>
                </c:pt>
                <c:pt idx="2809">
                  <c:v>67540</c:v>
                </c:pt>
                <c:pt idx="2810">
                  <c:v>61597</c:v>
                </c:pt>
                <c:pt idx="2811">
                  <c:v>62639</c:v>
                </c:pt>
                <c:pt idx="2812">
                  <c:v>61673</c:v>
                </c:pt>
                <c:pt idx="2813">
                  <c:v>62662</c:v>
                </c:pt>
                <c:pt idx="2814">
                  <c:v>63257</c:v>
                </c:pt>
                <c:pt idx="2815">
                  <c:v>63227</c:v>
                </c:pt>
                <c:pt idx="2816">
                  <c:v>64085</c:v>
                </c:pt>
                <c:pt idx="2817">
                  <c:v>63761</c:v>
                </c:pt>
                <c:pt idx="2818">
                  <c:v>63962</c:v>
                </c:pt>
                <c:pt idx="2819">
                  <c:v>62711</c:v>
                </c:pt>
                <c:pt idx="2820">
                  <c:v>62289</c:v>
                </c:pt>
                <c:pt idx="2821">
                  <c:v>62511</c:v>
                </c:pt>
                <c:pt idx="2822">
                  <c:v>62450</c:v>
                </c:pt>
                <c:pt idx="2823">
                  <c:v>62955</c:v>
                </c:pt>
                <c:pt idx="2824">
                  <c:v>63171</c:v>
                </c:pt>
                <c:pt idx="2825">
                  <c:v>62756</c:v>
                </c:pt>
                <c:pt idx="2826">
                  <c:v>62211</c:v>
                </c:pt>
                <c:pt idx="2827">
                  <c:v>61700</c:v>
                </c:pt>
                <c:pt idx="2828">
                  <c:v>61829</c:v>
                </c:pt>
                <c:pt idx="2829">
                  <c:v>61923</c:v>
                </c:pt>
                <c:pt idx="2830">
                  <c:v>61626</c:v>
                </c:pt>
                <c:pt idx="2831">
                  <c:v>62014</c:v>
                </c:pt>
                <c:pt idx="2832">
                  <c:v>60766</c:v>
                </c:pt>
                <c:pt idx="2833">
                  <c:v>60762</c:v>
                </c:pt>
                <c:pt idx="2834">
                  <c:v>61272</c:v>
                </c:pt>
                <c:pt idx="2835">
                  <c:v>61087</c:v>
                </c:pt>
                <c:pt idx="2836">
                  <c:v>62188</c:v>
                </c:pt>
                <c:pt idx="2837">
                  <c:v>61675</c:v>
                </c:pt>
                <c:pt idx="2838">
                  <c:v>62018</c:v>
                </c:pt>
                <c:pt idx="2839">
                  <c:v>62239</c:v>
                </c:pt>
                <c:pt idx="2840">
                  <c:v>62900</c:v>
                </c:pt>
                <c:pt idx="2841">
                  <c:v>63280</c:v>
                </c:pt>
                <c:pt idx="2842">
                  <c:v>63232</c:v>
                </c:pt>
                <c:pt idx="2843">
                  <c:v>63154</c:v>
                </c:pt>
                <c:pt idx="2844">
                  <c:v>62470</c:v>
                </c:pt>
                <c:pt idx="2845">
                  <c:v>62322</c:v>
                </c:pt>
                <c:pt idx="2846">
                  <c:v>63025</c:v>
                </c:pt>
                <c:pt idx="2847">
                  <c:v>63832</c:v>
                </c:pt>
                <c:pt idx="2848">
                  <c:v>64836</c:v>
                </c:pt>
                <c:pt idx="2849">
                  <c:v>65178</c:v>
                </c:pt>
                <c:pt idx="2850">
                  <c:v>65436</c:v>
                </c:pt>
                <c:pt idx="2851">
                  <c:v>65212</c:v>
                </c:pt>
                <c:pt idx="2852">
                  <c:v>65338</c:v>
                </c:pt>
                <c:pt idx="2853">
                  <c:v>65180</c:v>
                </c:pt>
                <c:pt idx="2854">
                  <c:v>64938</c:v>
                </c:pt>
                <c:pt idx="2855">
                  <c:v>64684</c:v>
                </c:pt>
                <c:pt idx="2856">
                  <c:v>65100</c:v>
                </c:pt>
                <c:pt idx="2857">
                  <c:v>65668</c:v>
                </c:pt>
                <c:pt idx="2858">
                  <c:v>65011</c:v>
                </c:pt>
                <c:pt idx="2859">
                  <c:v>65277</c:v>
                </c:pt>
                <c:pt idx="2860">
                  <c:v>65497</c:v>
                </c:pt>
                <c:pt idx="2861">
                  <c:v>65920</c:v>
                </c:pt>
                <c:pt idx="2862">
                  <c:v>66516</c:v>
                </c:pt>
                <c:pt idx="2863">
                  <c:v>67136</c:v>
                </c:pt>
                <c:pt idx="2864">
                  <c:v>66777</c:v>
                </c:pt>
                <c:pt idx="2865">
                  <c:v>66898</c:v>
                </c:pt>
                <c:pt idx="2866">
                  <c:v>67940</c:v>
                </c:pt>
                <c:pt idx="2867">
                  <c:v>67899</c:v>
                </c:pt>
                <c:pt idx="2868">
                  <c:v>67671</c:v>
                </c:pt>
                <c:pt idx="2869">
                  <c:v>66992</c:v>
                </c:pt>
                <c:pt idx="2870">
                  <c:v>67359</c:v>
                </c:pt>
                <c:pt idx="2871">
                  <c:v>68285</c:v>
                </c:pt>
                <c:pt idx="2872">
                  <c:v>68355</c:v>
                </c:pt>
                <c:pt idx="2873">
                  <c:v>68594</c:v>
                </c:pt>
                <c:pt idx="2874">
                  <c:v>67977</c:v>
                </c:pt>
                <c:pt idx="2875">
                  <c:v>68715</c:v>
                </c:pt>
                <c:pt idx="2876">
                  <c:v>68635</c:v>
                </c:pt>
                <c:pt idx="2877">
                  <c:v>70011</c:v>
                </c:pt>
                <c:pt idx="2878">
                  <c:v>70478</c:v>
                </c:pt>
                <c:pt idx="2879">
                  <c:v>71133</c:v>
                </c:pt>
                <c:pt idx="2880">
                  <c:v>71074</c:v>
                </c:pt>
                <c:pt idx="2881">
                  <c:v>71017</c:v>
                </c:pt>
                <c:pt idx="2882">
                  <c:v>71330</c:v>
                </c:pt>
                <c:pt idx="2883">
                  <c:v>70886</c:v>
                </c:pt>
                <c:pt idx="2884">
                  <c:v>70835</c:v>
                </c:pt>
                <c:pt idx="2885">
                  <c:v>71923</c:v>
                </c:pt>
                <c:pt idx="2886">
                  <c:v>72129</c:v>
                </c:pt>
                <c:pt idx="2887">
                  <c:v>72151</c:v>
                </c:pt>
                <c:pt idx="2888">
                  <c:v>73412</c:v>
                </c:pt>
                <c:pt idx="2889">
                  <c:v>73079</c:v>
                </c:pt>
                <c:pt idx="2890">
                  <c:v>74319</c:v>
                </c:pt>
                <c:pt idx="2891">
                  <c:v>74539</c:v>
                </c:pt>
                <c:pt idx="2892">
                  <c:v>74788</c:v>
                </c:pt>
                <c:pt idx="2893">
                  <c:v>74657</c:v>
                </c:pt>
                <c:pt idx="2894">
                  <c:v>75757</c:v>
                </c:pt>
                <c:pt idx="2895">
                  <c:v>75990</c:v>
                </c:pt>
                <c:pt idx="2896">
                  <c:v>75974</c:v>
                </c:pt>
                <c:pt idx="2897">
                  <c:v>76004</c:v>
                </c:pt>
                <c:pt idx="2898">
                  <c:v>75604</c:v>
                </c:pt>
                <c:pt idx="2899">
                  <c:v>75390</c:v>
                </c:pt>
                <c:pt idx="2900">
                  <c:v>74443</c:v>
                </c:pt>
                <c:pt idx="2901">
                  <c:v>74319</c:v>
                </c:pt>
                <c:pt idx="2902">
                  <c:v>73797</c:v>
                </c:pt>
                <c:pt idx="2903">
                  <c:v>73567</c:v>
                </c:pt>
                <c:pt idx="2904">
                  <c:v>74294</c:v>
                </c:pt>
                <c:pt idx="2905">
                  <c:v>74360</c:v>
                </c:pt>
                <c:pt idx="2906">
                  <c:v>76763</c:v>
                </c:pt>
                <c:pt idx="2907">
                  <c:v>76591</c:v>
                </c:pt>
                <c:pt idx="2908">
                  <c:v>76618</c:v>
                </c:pt>
                <c:pt idx="2909">
                  <c:v>76055</c:v>
                </c:pt>
                <c:pt idx="2910">
                  <c:v>75727</c:v>
                </c:pt>
                <c:pt idx="2911">
                  <c:v>76897</c:v>
                </c:pt>
                <c:pt idx="2912">
                  <c:v>76660</c:v>
                </c:pt>
                <c:pt idx="2913">
                  <c:v>76990</c:v>
                </c:pt>
                <c:pt idx="2914">
                  <c:v>76892</c:v>
                </c:pt>
                <c:pt idx="2915">
                  <c:v>76201</c:v>
                </c:pt>
                <c:pt idx="2916">
                  <c:v>76591</c:v>
                </c:pt>
                <c:pt idx="2917">
                  <c:v>76283</c:v>
                </c:pt>
                <c:pt idx="2918">
                  <c:v>76391</c:v>
                </c:pt>
                <c:pt idx="2919">
                  <c:v>75413</c:v>
                </c:pt>
                <c:pt idx="2920">
                  <c:v>76350</c:v>
                </c:pt>
                <c:pt idx="2921">
                  <c:v>76671</c:v>
                </c:pt>
                <c:pt idx="2922">
                  <c:v>75896</c:v>
                </c:pt>
                <c:pt idx="2923">
                  <c:v>75976</c:v>
                </c:pt>
                <c:pt idx="2924">
                  <c:v>74800</c:v>
                </c:pt>
                <c:pt idx="2925">
                  <c:v>74308</c:v>
                </c:pt>
                <c:pt idx="2926">
                  <c:v>73824</c:v>
                </c:pt>
                <c:pt idx="2927">
                  <c:v>73915</c:v>
                </c:pt>
                <c:pt idx="2928">
                  <c:v>74311</c:v>
                </c:pt>
                <c:pt idx="2929">
                  <c:v>72415</c:v>
                </c:pt>
                <c:pt idx="2930">
                  <c:v>74363</c:v>
                </c:pt>
                <c:pt idx="2931">
                  <c:v>72931</c:v>
                </c:pt>
                <c:pt idx="2932">
                  <c:v>72166</c:v>
                </c:pt>
                <c:pt idx="2933">
                  <c:v>72475</c:v>
                </c:pt>
                <c:pt idx="2934">
                  <c:v>70827</c:v>
                </c:pt>
                <c:pt idx="2935">
                  <c:v>70827</c:v>
                </c:pt>
                <c:pt idx="2936">
                  <c:v>72512</c:v>
                </c:pt>
                <c:pt idx="2937">
                  <c:v>73437</c:v>
                </c:pt>
                <c:pt idx="2938">
                  <c:v>74595</c:v>
                </c:pt>
                <c:pt idx="2939">
                  <c:v>74519</c:v>
                </c:pt>
                <c:pt idx="2940">
                  <c:v>74487</c:v>
                </c:pt>
                <c:pt idx="2941">
                  <c:v>74157</c:v>
                </c:pt>
                <c:pt idx="2942">
                  <c:v>74059</c:v>
                </c:pt>
                <c:pt idx="2943">
                  <c:v>74140</c:v>
                </c:pt>
                <c:pt idx="2944">
                  <c:v>72700</c:v>
                </c:pt>
                <c:pt idx="2945">
                  <c:v>71971</c:v>
                </c:pt>
                <c:pt idx="2946">
                  <c:v>72264</c:v>
                </c:pt>
                <c:pt idx="2947">
                  <c:v>73090</c:v>
                </c:pt>
                <c:pt idx="2948">
                  <c:v>72546</c:v>
                </c:pt>
                <c:pt idx="2949">
                  <c:v>73268</c:v>
                </c:pt>
                <c:pt idx="2950">
                  <c:v>72487</c:v>
                </c:pt>
                <c:pt idx="2951">
                  <c:v>72732</c:v>
                </c:pt>
                <c:pt idx="2952">
                  <c:v>72800</c:v>
                </c:pt>
                <c:pt idx="2953">
                  <c:v>73814</c:v>
                </c:pt>
                <c:pt idx="2954">
                  <c:v>72914</c:v>
                </c:pt>
                <c:pt idx="2955">
                  <c:v>72429</c:v>
                </c:pt>
                <c:pt idx="2956">
                  <c:v>72608</c:v>
                </c:pt>
                <c:pt idx="2957">
                  <c:v>73115</c:v>
                </c:pt>
                <c:pt idx="2958">
                  <c:v>72680</c:v>
                </c:pt>
                <c:pt idx="2959">
                  <c:v>73367</c:v>
                </c:pt>
                <c:pt idx="2960">
                  <c:v>75133</c:v>
                </c:pt>
                <c:pt idx="2961">
                  <c:v>75187</c:v>
                </c:pt>
                <c:pt idx="2962">
                  <c:v>75688</c:v>
                </c:pt>
                <c:pt idx="2963">
                  <c:v>76073</c:v>
                </c:pt>
                <c:pt idx="2964">
                  <c:v>76402</c:v>
                </c:pt>
                <c:pt idx="2965">
                  <c:v>76402</c:v>
                </c:pt>
                <c:pt idx="2966">
                  <c:v>77891</c:v>
                </c:pt>
                <c:pt idx="2967">
                  <c:v>77995</c:v>
                </c:pt>
                <c:pt idx="2968">
                  <c:v>78647</c:v>
                </c:pt>
                <c:pt idx="2969">
                  <c:v>79071</c:v>
                </c:pt>
                <c:pt idx="2970">
                  <c:v>79379</c:v>
                </c:pt>
                <c:pt idx="2971">
                  <c:v>78864</c:v>
                </c:pt>
                <c:pt idx="2972">
                  <c:v>78201</c:v>
                </c:pt>
                <c:pt idx="2973">
                  <c:v>79365</c:v>
                </c:pt>
                <c:pt idx="2974">
                  <c:v>79349</c:v>
                </c:pt>
                <c:pt idx="2975">
                  <c:v>79752</c:v>
                </c:pt>
                <c:pt idx="2976">
                  <c:v>79832</c:v>
                </c:pt>
                <c:pt idx="2977">
                  <c:v>81189</c:v>
                </c:pt>
                <c:pt idx="2978">
                  <c:v>80963</c:v>
                </c:pt>
                <c:pt idx="2979">
                  <c:v>81220</c:v>
                </c:pt>
                <c:pt idx="2980">
                  <c:v>81675</c:v>
                </c:pt>
                <c:pt idx="2981">
                  <c:v>80678</c:v>
                </c:pt>
                <c:pt idx="2982">
                  <c:v>83680</c:v>
                </c:pt>
                <c:pt idx="2983">
                  <c:v>83680</c:v>
                </c:pt>
                <c:pt idx="2984">
                  <c:v>85531</c:v>
                </c:pt>
                <c:pt idx="2985">
                  <c:v>84698</c:v>
                </c:pt>
                <c:pt idx="2986">
                  <c:v>84482</c:v>
                </c:pt>
                <c:pt idx="2987">
                  <c:v>84913</c:v>
                </c:pt>
                <c:pt idx="2988">
                  <c:v>85495</c:v>
                </c:pt>
                <c:pt idx="2989">
                  <c:v>84041</c:v>
                </c:pt>
                <c:pt idx="2990">
                  <c:v>81861</c:v>
                </c:pt>
                <c:pt idx="2991">
                  <c:v>83894</c:v>
                </c:pt>
                <c:pt idx="2992">
                  <c:v>82767</c:v>
                </c:pt>
                <c:pt idx="2993">
                  <c:v>81533</c:v>
                </c:pt>
                <c:pt idx="2994">
                  <c:v>80899</c:v>
                </c:pt>
                <c:pt idx="2995">
                  <c:v>84291</c:v>
                </c:pt>
                <c:pt idx="2996">
                  <c:v>84525</c:v>
                </c:pt>
                <c:pt idx="2997">
                  <c:v>84793</c:v>
                </c:pt>
                <c:pt idx="2998">
                  <c:v>85804</c:v>
                </c:pt>
                <c:pt idx="2999">
                  <c:v>86052</c:v>
                </c:pt>
                <c:pt idx="3000">
                  <c:v>86686</c:v>
                </c:pt>
                <c:pt idx="3001">
                  <c:v>87293</c:v>
                </c:pt>
                <c:pt idx="3002">
                  <c:v>87653</c:v>
                </c:pt>
                <c:pt idx="3003">
                  <c:v>86935</c:v>
                </c:pt>
                <c:pt idx="3004">
                  <c:v>85481</c:v>
                </c:pt>
                <c:pt idx="3005">
                  <c:v>85378</c:v>
                </c:pt>
                <c:pt idx="3006">
                  <c:v>85761</c:v>
                </c:pt>
                <c:pt idx="3007">
                  <c:v>86023</c:v>
                </c:pt>
                <c:pt idx="3008">
                  <c:v>85653</c:v>
                </c:pt>
                <c:pt idx="3009">
                  <c:v>85484</c:v>
                </c:pt>
                <c:pt idx="3010">
                  <c:v>84985</c:v>
                </c:pt>
                <c:pt idx="3011">
                  <c:v>86371</c:v>
                </c:pt>
                <c:pt idx="3012">
                  <c:v>86900</c:v>
                </c:pt>
                <c:pt idx="3013">
                  <c:v>86384</c:v>
                </c:pt>
                <c:pt idx="3014">
                  <c:v>86051</c:v>
                </c:pt>
                <c:pt idx="3015">
                  <c:v>84928</c:v>
                </c:pt>
                <c:pt idx="3016">
                  <c:v>84886</c:v>
                </c:pt>
                <c:pt idx="3017">
                  <c:v>83913</c:v>
                </c:pt>
                <c:pt idx="3018">
                  <c:v>84164</c:v>
                </c:pt>
                <c:pt idx="3019">
                  <c:v>84977</c:v>
                </c:pt>
                <c:pt idx="3020">
                  <c:v>84768</c:v>
                </c:pt>
                <c:pt idx="3021">
                  <c:v>84377</c:v>
                </c:pt>
                <c:pt idx="3022">
                  <c:v>85088</c:v>
                </c:pt>
                <c:pt idx="3023">
                  <c:v>83808</c:v>
                </c:pt>
                <c:pt idx="3024">
                  <c:v>83874</c:v>
                </c:pt>
                <c:pt idx="3025">
                  <c:v>85366</c:v>
                </c:pt>
                <c:pt idx="3026">
                  <c:v>84666</c:v>
                </c:pt>
                <c:pt idx="3027">
                  <c:v>84623</c:v>
                </c:pt>
                <c:pt idx="3028">
                  <c:v>84360</c:v>
                </c:pt>
                <c:pt idx="3029">
                  <c:v>85210</c:v>
                </c:pt>
                <c:pt idx="3030">
                  <c:v>84820</c:v>
                </c:pt>
                <c:pt idx="3031">
                  <c:v>83307</c:v>
                </c:pt>
                <c:pt idx="3032">
                  <c:v>84510</c:v>
                </c:pt>
                <c:pt idx="3033">
                  <c:v>85246</c:v>
                </c:pt>
                <c:pt idx="3034">
                  <c:v>85444</c:v>
                </c:pt>
                <c:pt idx="3035">
                  <c:v>84334</c:v>
                </c:pt>
                <c:pt idx="3036">
                  <c:v>82862</c:v>
                </c:pt>
                <c:pt idx="3037">
                  <c:v>84086</c:v>
                </c:pt>
                <c:pt idx="3038">
                  <c:v>85776</c:v>
                </c:pt>
                <c:pt idx="3039">
                  <c:v>85824</c:v>
                </c:pt>
                <c:pt idx="3040">
                  <c:v>85550</c:v>
                </c:pt>
                <c:pt idx="3041">
                  <c:v>85602</c:v>
                </c:pt>
                <c:pt idx="3042">
                  <c:v>85469</c:v>
                </c:pt>
                <c:pt idx="3043">
                  <c:v>85044</c:v>
                </c:pt>
                <c:pt idx="3044">
                  <c:v>86383</c:v>
                </c:pt>
                <c:pt idx="3045">
                  <c:v>86445</c:v>
                </c:pt>
                <c:pt idx="3046">
                  <c:v>86115</c:v>
                </c:pt>
                <c:pt idx="3047">
                  <c:v>84547</c:v>
                </c:pt>
                <c:pt idx="3048">
                  <c:v>83288</c:v>
                </c:pt>
                <c:pt idx="3049">
                  <c:v>83118</c:v>
                </c:pt>
                <c:pt idx="3050">
                  <c:v>82714</c:v>
                </c:pt>
                <c:pt idx="3051">
                  <c:v>82956</c:v>
                </c:pt>
                <c:pt idx="3052">
                  <c:v>84265</c:v>
                </c:pt>
                <c:pt idx="3053">
                  <c:v>85861</c:v>
                </c:pt>
                <c:pt idx="3054">
                  <c:v>85220</c:v>
                </c:pt>
                <c:pt idx="3055">
                  <c:v>85232</c:v>
                </c:pt>
                <c:pt idx="3056">
                  <c:v>85130</c:v>
                </c:pt>
                <c:pt idx="3057">
                  <c:v>86537</c:v>
                </c:pt>
                <c:pt idx="3058">
                  <c:v>83622</c:v>
                </c:pt>
                <c:pt idx="3059">
                  <c:v>83082</c:v>
                </c:pt>
                <c:pt idx="3060">
                  <c:v>81815</c:v>
                </c:pt>
                <c:pt idx="3061">
                  <c:v>82739</c:v>
                </c:pt>
                <c:pt idx="3062">
                  <c:v>80867</c:v>
                </c:pt>
                <c:pt idx="3063">
                  <c:v>80122</c:v>
                </c:pt>
                <c:pt idx="3064">
                  <c:v>78898</c:v>
                </c:pt>
                <c:pt idx="3065">
                  <c:v>75356</c:v>
                </c:pt>
                <c:pt idx="3066">
                  <c:v>76072</c:v>
                </c:pt>
                <c:pt idx="3067">
                  <c:v>76754</c:v>
                </c:pt>
                <c:pt idx="3068">
                  <c:v>77240</c:v>
                </c:pt>
                <c:pt idx="3069">
                  <c:v>78596</c:v>
                </c:pt>
                <c:pt idx="3070">
                  <c:v>76642</c:v>
                </c:pt>
                <c:pt idx="3071">
                  <c:v>76117</c:v>
                </c:pt>
                <c:pt idx="3072">
                  <c:v>73851</c:v>
                </c:pt>
                <c:pt idx="3073">
                  <c:v>72942</c:v>
                </c:pt>
                <c:pt idx="3074">
                  <c:v>72308</c:v>
                </c:pt>
                <c:pt idx="3075">
                  <c:v>72754</c:v>
                </c:pt>
                <c:pt idx="3076">
                  <c:v>72122</c:v>
                </c:pt>
                <c:pt idx="3077">
                  <c:v>71421</c:v>
                </c:pt>
                <c:pt idx="3078">
                  <c:v>70758</c:v>
                </c:pt>
                <c:pt idx="3079">
                  <c:v>69815</c:v>
                </c:pt>
                <c:pt idx="3080">
                  <c:v>71394</c:v>
                </c:pt>
                <c:pt idx="3081">
                  <c:v>72123</c:v>
                </c:pt>
                <c:pt idx="3082">
                  <c:v>70075</c:v>
                </c:pt>
                <c:pt idx="3083">
                  <c:v>70641</c:v>
                </c:pt>
                <c:pt idx="3084">
                  <c:v>70953</c:v>
                </c:pt>
                <c:pt idx="3085">
                  <c:v>71405</c:v>
                </c:pt>
                <c:pt idx="3086">
                  <c:v>70609</c:v>
                </c:pt>
                <c:pt idx="3087">
                  <c:v>71767</c:v>
                </c:pt>
                <c:pt idx="3088">
                  <c:v>72763</c:v>
                </c:pt>
                <c:pt idx="3089">
                  <c:v>72840</c:v>
                </c:pt>
                <c:pt idx="3090">
                  <c:v>73668</c:v>
                </c:pt>
                <c:pt idx="3091">
                  <c:v>74743</c:v>
                </c:pt>
                <c:pt idx="3092">
                  <c:v>74553</c:v>
                </c:pt>
                <c:pt idx="3093">
                  <c:v>75010</c:v>
                </c:pt>
                <c:pt idx="3094">
                  <c:v>74862</c:v>
                </c:pt>
                <c:pt idx="3095">
                  <c:v>74399</c:v>
                </c:pt>
                <c:pt idx="3096">
                  <c:v>75856</c:v>
                </c:pt>
                <c:pt idx="3097">
                  <c:v>76594</c:v>
                </c:pt>
                <c:pt idx="3098">
                  <c:v>76653</c:v>
                </c:pt>
                <c:pt idx="3099">
                  <c:v>78130</c:v>
                </c:pt>
                <c:pt idx="3100">
                  <c:v>77363</c:v>
                </c:pt>
                <c:pt idx="3101">
                  <c:v>77487</c:v>
                </c:pt>
                <c:pt idx="3102">
                  <c:v>78571</c:v>
                </c:pt>
                <c:pt idx="3103">
                  <c:v>77996</c:v>
                </c:pt>
                <c:pt idx="3104">
                  <c:v>79155</c:v>
                </c:pt>
                <c:pt idx="3105">
                  <c:v>80218</c:v>
                </c:pt>
                <c:pt idx="3106">
                  <c:v>79405</c:v>
                </c:pt>
                <c:pt idx="3107">
                  <c:v>79866</c:v>
                </c:pt>
                <c:pt idx="3108">
                  <c:v>80276</c:v>
                </c:pt>
                <c:pt idx="3109">
                  <c:v>79220</c:v>
                </c:pt>
                <c:pt idx="3110">
                  <c:v>79302</c:v>
                </c:pt>
                <c:pt idx="3111">
                  <c:v>79637</c:v>
                </c:pt>
                <c:pt idx="3112">
                  <c:v>81435</c:v>
                </c:pt>
                <c:pt idx="3113">
                  <c:v>81051</c:v>
                </c:pt>
                <c:pt idx="3114">
                  <c:v>80347</c:v>
                </c:pt>
                <c:pt idx="3115">
                  <c:v>79152</c:v>
                </c:pt>
                <c:pt idx="3116">
                  <c:v>78768</c:v>
                </c:pt>
                <c:pt idx="3117">
                  <c:v>76514</c:v>
                </c:pt>
                <c:pt idx="3118">
                  <c:v>77496</c:v>
                </c:pt>
                <c:pt idx="3119">
                  <c:v>78602</c:v>
                </c:pt>
                <c:pt idx="3120">
                  <c:v>77078</c:v>
                </c:pt>
                <c:pt idx="3121">
                  <c:v>76819</c:v>
                </c:pt>
                <c:pt idx="3122">
                  <c:v>76029</c:v>
                </c:pt>
                <c:pt idx="3123">
                  <c:v>76328</c:v>
                </c:pt>
                <c:pt idx="3124">
                  <c:v>75180</c:v>
                </c:pt>
                <c:pt idx="3125">
                  <c:v>76902</c:v>
                </c:pt>
                <c:pt idx="3126">
                  <c:v>75634</c:v>
                </c:pt>
                <c:pt idx="3127">
                  <c:v>76262</c:v>
                </c:pt>
                <c:pt idx="3128">
                  <c:v>77930</c:v>
                </c:pt>
                <c:pt idx="3129">
                  <c:v>77473</c:v>
                </c:pt>
                <c:pt idx="3130">
                  <c:v>78389</c:v>
                </c:pt>
                <c:pt idx="3131">
                  <c:v>76404</c:v>
                </c:pt>
                <c:pt idx="3132">
                  <c:v>76678</c:v>
                </c:pt>
                <c:pt idx="3133">
                  <c:v>76193</c:v>
                </c:pt>
                <c:pt idx="3134">
                  <c:v>74712</c:v>
                </c:pt>
                <c:pt idx="3135">
                  <c:v>75092</c:v>
                </c:pt>
                <c:pt idx="3136">
                  <c:v>76416</c:v>
                </c:pt>
                <c:pt idx="3137">
                  <c:v>76436</c:v>
                </c:pt>
                <c:pt idx="3138">
                  <c:v>74657</c:v>
                </c:pt>
                <c:pt idx="3139">
                  <c:v>75125</c:v>
                </c:pt>
                <c:pt idx="3140">
                  <c:v>74687</c:v>
                </c:pt>
                <c:pt idx="3141">
                  <c:v>75429</c:v>
                </c:pt>
                <c:pt idx="3142">
                  <c:v>76789</c:v>
                </c:pt>
                <c:pt idx="3143">
                  <c:v>78314</c:v>
                </c:pt>
                <c:pt idx="3144">
                  <c:v>78169</c:v>
                </c:pt>
                <c:pt idx="3145">
                  <c:v>78116</c:v>
                </c:pt>
                <c:pt idx="3146">
                  <c:v>79444</c:v>
                </c:pt>
                <c:pt idx="3147">
                  <c:v>77984</c:v>
                </c:pt>
                <c:pt idx="3148">
                  <c:v>78630</c:v>
                </c:pt>
                <c:pt idx="3149">
                  <c:v>78656</c:v>
                </c:pt>
                <c:pt idx="3150">
                  <c:v>80000</c:v>
                </c:pt>
                <c:pt idx="3151">
                  <c:v>79342</c:v>
                </c:pt>
                <c:pt idx="3152">
                  <c:v>78624</c:v>
                </c:pt>
                <c:pt idx="3153">
                  <c:v>81612</c:v>
                </c:pt>
                <c:pt idx="3154">
                  <c:v>83273</c:v>
                </c:pt>
                <c:pt idx="3155">
                  <c:v>82953</c:v>
                </c:pt>
                <c:pt idx="3156">
                  <c:v>82322</c:v>
                </c:pt>
                <c:pt idx="3157">
                  <c:v>86084</c:v>
                </c:pt>
                <c:pt idx="3158">
                  <c:v>86088</c:v>
                </c:pt>
                <c:pt idx="3159">
                  <c:v>83679</c:v>
                </c:pt>
                <c:pt idx="3160">
                  <c:v>82921</c:v>
                </c:pt>
                <c:pt idx="3161">
                  <c:v>83360</c:v>
                </c:pt>
                <c:pt idx="3162">
                  <c:v>85718</c:v>
                </c:pt>
                <c:pt idx="3163">
                  <c:v>85764</c:v>
                </c:pt>
                <c:pt idx="3164">
                  <c:v>83847</c:v>
                </c:pt>
                <c:pt idx="3165">
                  <c:v>84220</c:v>
                </c:pt>
                <c:pt idx="3166">
                  <c:v>85597</c:v>
                </c:pt>
                <c:pt idx="3167">
                  <c:v>85300</c:v>
                </c:pt>
                <c:pt idx="3168">
                  <c:v>83064</c:v>
                </c:pt>
                <c:pt idx="3169">
                  <c:v>84084</c:v>
                </c:pt>
                <c:pt idx="3170">
                  <c:v>85720</c:v>
                </c:pt>
                <c:pt idx="3171">
                  <c:v>83797</c:v>
                </c:pt>
                <c:pt idx="3172">
                  <c:v>86886</c:v>
                </c:pt>
                <c:pt idx="3173">
                  <c:v>87424</c:v>
                </c:pt>
                <c:pt idx="3174">
                  <c:v>88419</c:v>
                </c:pt>
                <c:pt idx="3175">
                  <c:v>89598</c:v>
                </c:pt>
                <c:pt idx="3176">
                  <c:v>88669</c:v>
                </c:pt>
                <c:pt idx="3177">
                  <c:v>87714</c:v>
                </c:pt>
                <c:pt idx="3178">
                  <c:v>85620</c:v>
                </c:pt>
                <c:pt idx="3179">
                  <c:v>85641</c:v>
                </c:pt>
                <c:pt idx="3180">
                  <c:v>85525</c:v>
                </c:pt>
                <c:pt idx="3181">
                  <c:v>84914</c:v>
                </c:pt>
                <c:pt idx="3182">
                  <c:v>85973</c:v>
                </c:pt>
                <c:pt idx="3183">
                  <c:v>88515</c:v>
                </c:pt>
                <c:pt idx="3184">
                  <c:v>87901</c:v>
                </c:pt>
                <c:pt idx="3185">
                  <c:v>87269</c:v>
                </c:pt>
                <c:pt idx="3186">
                  <c:v>87477</c:v>
                </c:pt>
                <c:pt idx="3187">
                  <c:v>86230</c:v>
                </c:pt>
                <c:pt idx="3188">
                  <c:v>85547</c:v>
                </c:pt>
                <c:pt idx="3189">
                  <c:v>87891</c:v>
                </c:pt>
                <c:pt idx="3190">
                  <c:v>89251</c:v>
                </c:pt>
                <c:pt idx="3191">
                  <c:v>89710</c:v>
                </c:pt>
                <c:pt idx="3192">
                  <c:v>89504</c:v>
                </c:pt>
                <c:pt idx="3193">
                  <c:v>89820</c:v>
                </c:pt>
                <c:pt idx="3194">
                  <c:v>88624</c:v>
                </c:pt>
                <c:pt idx="3195">
                  <c:v>89040</c:v>
                </c:pt>
                <c:pt idx="3196">
                  <c:v>88846</c:v>
                </c:pt>
                <c:pt idx="3197">
                  <c:v>88115</c:v>
                </c:pt>
                <c:pt idx="3198">
                  <c:v>85915</c:v>
                </c:pt>
                <c:pt idx="3199">
                  <c:v>86420</c:v>
                </c:pt>
                <c:pt idx="3200">
                  <c:v>86977</c:v>
                </c:pt>
                <c:pt idx="3201">
                  <c:v>87838</c:v>
                </c:pt>
                <c:pt idx="3202">
                  <c:v>87450</c:v>
                </c:pt>
                <c:pt idx="3203">
                  <c:v>86400</c:v>
                </c:pt>
                <c:pt idx="3204">
                  <c:v>86610</c:v>
                </c:pt>
                <c:pt idx="3205">
                  <c:v>85674</c:v>
                </c:pt>
                <c:pt idx="3206">
                  <c:v>85269</c:v>
                </c:pt>
                <c:pt idx="3207">
                  <c:v>85697</c:v>
                </c:pt>
                <c:pt idx="3208">
                  <c:v>85136</c:v>
                </c:pt>
                <c:pt idx="3209">
                  <c:v>85460</c:v>
                </c:pt>
                <c:pt idx="3210">
                  <c:v>87887</c:v>
                </c:pt>
                <c:pt idx="3211">
                  <c:v>91012</c:v>
                </c:pt>
                <c:pt idx="3212">
                  <c:v>91564</c:v>
                </c:pt>
                <c:pt idx="3213">
                  <c:v>91841</c:v>
                </c:pt>
                <c:pt idx="3214">
                  <c:v>91699</c:v>
                </c:pt>
                <c:pt idx="3215">
                  <c:v>92032</c:v>
                </c:pt>
                <c:pt idx="3216">
                  <c:v>93613</c:v>
                </c:pt>
                <c:pt idx="3217">
                  <c:v>93806</c:v>
                </c:pt>
                <c:pt idx="3218">
                  <c:v>93658</c:v>
                </c:pt>
                <c:pt idx="3219">
                  <c:v>94474</c:v>
                </c:pt>
                <c:pt idx="3220">
                  <c:v>94056</c:v>
                </c:pt>
                <c:pt idx="3221">
                  <c:v>94393</c:v>
                </c:pt>
                <c:pt idx="3222">
                  <c:v>95351</c:v>
                </c:pt>
                <c:pt idx="3223">
                  <c:v>96097</c:v>
                </c:pt>
                <c:pt idx="3224">
                  <c:v>96010</c:v>
                </c:pt>
                <c:pt idx="3225">
                  <c:v>95103</c:v>
                </c:pt>
                <c:pt idx="3226">
                  <c:v>96558</c:v>
                </c:pt>
                <c:pt idx="3227">
                  <c:v>97677</c:v>
                </c:pt>
                <c:pt idx="3228">
                  <c:v>95444</c:v>
                </c:pt>
                <c:pt idx="3229">
                  <c:v>95639</c:v>
                </c:pt>
                <c:pt idx="3230">
                  <c:v>96996</c:v>
                </c:pt>
                <c:pt idx="3231">
                  <c:v>97394</c:v>
                </c:pt>
                <c:pt idx="3232">
                  <c:v>97861</c:v>
                </c:pt>
                <c:pt idx="3233">
                  <c:v>98589</c:v>
                </c:pt>
                <c:pt idx="3234">
                  <c:v>98311</c:v>
                </c:pt>
                <c:pt idx="3235">
                  <c:v>94636</c:v>
                </c:pt>
                <c:pt idx="3236">
                  <c:v>94406</c:v>
                </c:pt>
                <c:pt idx="3237">
                  <c:v>95343</c:v>
                </c:pt>
                <c:pt idx="3238">
                  <c:v>94413</c:v>
                </c:pt>
                <c:pt idx="3239">
                  <c:v>96168</c:v>
                </c:pt>
                <c:pt idx="3240">
                  <c:v>95842</c:v>
                </c:pt>
                <c:pt idx="3241">
                  <c:v>98015</c:v>
                </c:pt>
                <c:pt idx="3242">
                  <c:v>97526</c:v>
                </c:pt>
                <c:pt idx="3243">
                  <c:v>96510</c:v>
                </c:pt>
                <c:pt idx="3244">
                  <c:v>97659</c:v>
                </c:pt>
                <c:pt idx="3245">
                  <c:v>96545</c:v>
                </c:pt>
                <c:pt idx="3246">
                  <c:v>96932</c:v>
                </c:pt>
                <c:pt idx="3247">
                  <c:v>97886</c:v>
                </c:pt>
                <c:pt idx="3248">
                  <c:v>97240</c:v>
                </c:pt>
                <c:pt idx="3249">
                  <c:v>97603</c:v>
                </c:pt>
                <c:pt idx="3250">
                  <c:v>97307</c:v>
                </c:pt>
                <c:pt idx="3251">
                  <c:v>95584</c:v>
                </c:pt>
                <c:pt idx="3252">
                  <c:v>94604</c:v>
                </c:pt>
                <c:pt idx="3253">
                  <c:v>94340</c:v>
                </c:pt>
                <c:pt idx="3254">
                  <c:v>95365</c:v>
                </c:pt>
                <c:pt idx="3255">
                  <c:v>98027</c:v>
                </c:pt>
                <c:pt idx="3256">
                  <c:v>97828</c:v>
                </c:pt>
                <c:pt idx="3257">
                  <c:v>98904</c:v>
                </c:pt>
                <c:pt idx="3258">
                  <c:v>98605</c:v>
                </c:pt>
                <c:pt idx="3259">
                  <c:v>99137</c:v>
                </c:pt>
                <c:pt idx="3260">
                  <c:v>99994</c:v>
                </c:pt>
                <c:pt idx="3261">
                  <c:v>99588</c:v>
                </c:pt>
                <c:pt idx="3262">
                  <c:v>98041</c:v>
                </c:pt>
                <c:pt idx="3263">
                  <c:v>96729</c:v>
                </c:pt>
                <c:pt idx="3264">
                  <c:v>93735</c:v>
                </c:pt>
                <c:pt idx="3265">
                  <c:v>93662</c:v>
                </c:pt>
                <c:pt idx="3266">
                  <c:v>95307</c:v>
                </c:pt>
                <c:pt idx="3267">
                  <c:v>91903</c:v>
                </c:pt>
                <c:pt idx="3268">
                  <c:v>94389</c:v>
                </c:pt>
                <c:pt idx="3269">
                  <c:v>95415</c:v>
                </c:pt>
                <c:pt idx="3270">
                  <c:v>96054</c:v>
                </c:pt>
                <c:pt idx="3271">
                  <c:v>95387</c:v>
                </c:pt>
                <c:pt idx="3272">
                  <c:v>94491</c:v>
                </c:pt>
                <c:pt idx="3273">
                  <c:v>96313</c:v>
                </c:pt>
                <c:pt idx="3274">
                  <c:v>97108</c:v>
                </c:pt>
                <c:pt idx="3275">
                  <c:v>97369</c:v>
                </c:pt>
                <c:pt idx="3276">
                  <c:v>96292</c:v>
                </c:pt>
                <c:pt idx="3277">
                  <c:v>95953</c:v>
                </c:pt>
                <c:pt idx="3278">
                  <c:v>94755</c:v>
                </c:pt>
                <c:pt idx="3279">
                  <c:v>92875</c:v>
                </c:pt>
                <c:pt idx="3280">
                  <c:v>93083</c:v>
                </c:pt>
                <c:pt idx="3281">
                  <c:v>94333</c:v>
                </c:pt>
                <c:pt idx="3282">
                  <c:v>93285</c:v>
                </c:pt>
                <c:pt idx="3283">
                  <c:v>94578</c:v>
                </c:pt>
                <c:pt idx="3284">
                  <c:v>94588</c:v>
                </c:pt>
                <c:pt idx="3285">
                  <c:v>95923</c:v>
                </c:pt>
                <c:pt idx="3286">
                  <c:v>95045</c:v>
                </c:pt>
                <c:pt idx="3287">
                  <c:v>96552</c:v>
                </c:pt>
                <c:pt idx="3288">
                  <c:v>96236</c:v>
                </c:pt>
                <c:pt idx="3289">
                  <c:v>96188</c:v>
                </c:pt>
                <c:pt idx="3290">
                  <c:v>96353</c:v>
                </c:pt>
                <c:pt idx="3291">
                  <c:v>95528</c:v>
                </c:pt>
                <c:pt idx="3292">
                  <c:v>96008</c:v>
                </c:pt>
                <c:pt idx="3293">
                  <c:v>95009</c:v>
                </c:pt>
                <c:pt idx="3294">
                  <c:v>94389</c:v>
                </c:pt>
                <c:pt idx="3295">
                  <c:v>95597</c:v>
                </c:pt>
                <c:pt idx="3296">
                  <c:v>94808</c:v>
                </c:pt>
                <c:pt idx="3297">
                  <c:v>94258</c:v>
                </c:pt>
                <c:pt idx="3298">
                  <c:v>91727</c:v>
                </c:pt>
                <c:pt idx="3299">
                  <c:v>92092</c:v>
                </c:pt>
                <c:pt idx="3300">
                  <c:v>91623</c:v>
                </c:pt>
                <c:pt idx="3301">
                  <c:v>90024</c:v>
                </c:pt>
                <c:pt idx="3302">
                  <c:v>89993</c:v>
                </c:pt>
                <c:pt idx="3303">
                  <c:v>91946</c:v>
                </c:pt>
                <c:pt idx="3304">
                  <c:v>94485</c:v>
                </c:pt>
                <c:pt idx="3305">
                  <c:v>94361</c:v>
                </c:pt>
                <c:pt idx="3306">
                  <c:v>93910</c:v>
                </c:pt>
                <c:pt idx="3307">
                  <c:v>93628</c:v>
                </c:pt>
                <c:pt idx="3308">
                  <c:v>94864</c:v>
                </c:pt>
                <c:pt idx="3309">
                  <c:v>96393</c:v>
                </c:pt>
                <c:pt idx="3310">
                  <c:v>96567</c:v>
                </c:pt>
                <c:pt idx="3311">
                  <c:v>97457</c:v>
                </c:pt>
                <c:pt idx="3312">
                  <c:v>97030</c:v>
                </c:pt>
                <c:pt idx="3313">
                  <c:v>97020</c:v>
                </c:pt>
                <c:pt idx="3314">
                  <c:v>97380</c:v>
                </c:pt>
                <c:pt idx="3315">
                  <c:v>95999</c:v>
                </c:pt>
                <c:pt idx="3316">
                  <c:v>97205</c:v>
                </c:pt>
                <c:pt idx="3317">
                  <c:v>97821</c:v>
                </c:pt>
                <c:pt idx="3318">
                  <c:v>97467</c:v>
                </c:pt>
                <c:pt idx="3319">
                  <c:v>98960</c:v>
                </c:pt>
                <c:pt idx="3320">
                  <c:v>98321</c:v>
                </c:pt>
                <c:pt idx="3321">
                  <c:v>98774</c:v>
                </c:pt>
                <c:pt idx="3322">
                  <c:v>98040</c:v>
                </c:pt>
                <c:pt idx="3323">
                  <c:v>97623</c:v>
                </c:pt>
                <c:pt idx="3324">
                  <c:v>99404</c:v>
                </c:pt>
                <c:pt idx="3325">
                  <c:v>100303</c:v>
                </c:pt>
                <c:pt idx="3326">
                  <c:v>102013</c:v>
                </c:pt>
                <c:pt idx="3327">
                  <c:v>102062</c:v>
                </c:pt>
                <c:pt idx="3328">
                  <c:v>100093</c:v>
                </c:pt>
                <c:pt idx="3329">
                  <c:v>100689</c:v>
                </c:pt>
                <c:pt idx="3330">
                  <c:v>100724</c:v>
                </c:pt>
                <c:pt idx="3331">
                  <c:v>100967</c:v>
                </c:pt>
                <c:pt idx="3332">
                  <c:v>101340</c:v>
                </c:pt>
                <c:pt idx="3333">
                  <c:v>100605</c:v>
                </c:pt>
                <c:pt idx="3334">
                  <c:v>102043</c:v>
                </c:pt>
                <c:pt idx="3335">
                  <c:v>103636</c:v>
                </c:pt>
                <c:pt idx="3336">
                  <c:v>104089</c:v>
                </c:pt>
                <c:pt idx="3337">
                  <c:v>104530</c:v>
                </c:pt>
                <c:pt idx="3338">
                  <c:v>105817</c:v>
                </c:pt>
                <c:pt idx="3339">
                  <c:v>105146</c:v>
                </c:pt>
                <c:pt idx="3340">
                  <c:v>103906</c:v>
                </c:pt>
                <c:pt idx="3341">
                  <c:v>103803</c:v>
                </c:pt>
                <c:pt idx="3342">
                  <c:v>103775</c:v>
                </c:pt>
                <c:pt idx="3343">
                  <c:v>103856</c:v>
                </c:pt>
                <c:pt idx="3344">
                  <c:v>104717</c:v>
                </c:pt>
                <c:pt idx="3345">
                  <c:v>103452</c:v>
                </c:pt>
                <c:pt idx="3346">
                  <c:v>103949</c:v>
                </c:pt>
                <c:pt idx="3347">
                  <c:v>103704</c:v>
                </c:pt>
                <c:pt idx="3348">
                  <c:v>104120</c:v>
                </c:pt>
                <c:pt idx="3349">
                  <c:v>102655</c:v>
                </c:pt>
                <c:pt idx="3350">
                  <c:v>102819</c:v>
                </c:pt>
                <c:pt idx="3351">
                  <c:v>103483</c:v>
                </c:pt>
                <c:pt idx="3352">
                  <c:v>102933</c:v>
                </c:pt>
                <c:pt idx="3353">
                  <c:v>101812</c:v>
                </c:pt>
                <c:pt idx="3354">
                  <c:v>102126</c:v>
                </c:pt>
                <c:pt idx="3355">
                  <c:v>102674</c:v>
                </c:pt>
                <c:pt idx="3356">
                  <c:v>100098</c:v>
                </c:pt>
                <c:pt idx="3357">
                  <c:v>102164</c:v>
                </c:pt>
                <c:pt idx="3358">
                  <c:v>102782</c:v>
                </c:pt>
                <c:pt idx="3359">
                  <c:v>104115</c:v>
                </c:pt>
                <c:pt idx="3360">
                  <c:v>103996</c:v>
                </c:pt>
                <c:pt idx="3361">
                  <c:v>101915</c:v>
                </c:pt>
                <c:pt idx="3362">
                  <c:v>103299</c:v>
                </c:pt>
                <c:pt idx="3363">
                  <c:v>100258</c:v>
                </c:pt>
                <c:pt idx="3364">
                  <c:v>99057</c:v>
                </c:pt>
                <c:pt idx="3365">
                  <c:v>99806</c:v>
                </c:pt>
                <c:pt idx="3366">
                  <c:v>99469</c:v>
                </c:pt>
                <c:pt idx="3367">
                  <c:v>99222</c:v>
                </c:pt>
                <c:pt idx="3368">
                  <c:v>101202</c:v>
                </c:pt>
                <c:pt idx="3369">
                  <c:v>100011</c:v>
                </c:pt>
                <c:pt idx="3370">
                  <c:v>97667</c:v>
                </c:pt>
                <c:pt idx="3371">
                  <c:v>96430</c:v>
                </c:pt>
                <c:pt idx="3372">
                  <c:v>97276</c:v>
                </c:pt>
                <c:pt idx="3373">
                  <c:v>98194</c:v>
                </c:pt>
                <c:pt idx="3374">
                  <c:v>100524</c:v>
                </c:pt>
                <c:pt idx="3375">
                  <c:v>101135</c:v>
                </c:pt>
                <c:pt idx="3376">
                  <c:v>100626</c:v>
                </c:pt>
                <c:pt idx="3377">
                  <c:v>99681</c:v>
                </c:pt>
                <c:pt idx="3378">
                  <c:v>101201</c:v>
                </c:pt>
                <c:pt idx="3379">
                  <c:v>102243</c:v>
                </c:pt>
                <c:pt idx="3380">
                  <c:v>102935</c:v>
                </c:pt>
                <c:pt idx="3381">
                  <c:v>103181</c:v>
                </c:pt>
                <c:pt idx="3382">
                  <c:v>103032</c:v>
                </c:pt>
                <c:pt idx="3383">
                  <c:v>103446</c:v>
                </c:pt>
                <c:pt idx="3384">
                  <c:v>104371</c:v>
                </c:pt>
                <c:pt idx="3385">
                  <c:v>103501</c:v>
                </c:pt>
                <c:pt idx="3386">
                  <c:v>103680</c:v>
                </c:pt>
                <c:pt idx="3387">
                  <c:v>104617</c:v>
                </c:pt>
                <c:pt idx="3388">
                  <c:v>104532</c:v>
                </c:pt>
                <c:pt idx="3389">
                  <c:v>104339</c:v>
                </c:pt>
                <c:pt idx="3390">
                  <c:v>104817</c:v>
                </c:pt>
                <c:pt idx="3391">
                  <c:v>104638</c:v>
                </c:pt>
                <c:pt idx="3392">
                  <c:v>103876</c:v>
                </c:pt>
                <c:pt idx="3393">
                  <c:v>104481</c:v>
                </c:pt>
                <c:pt idx="3394">
                  <c:v>105319</c:v>
                </c:pt>
                <c:pt idx="3395">
                  <c:v>105078</c:v>
                </c:pt>
                <c:pt idx="3396">
                  <c:v>104745</c:v>
                </c:pt>
                <c:pt idx="3397">
                  <c:v>104053</c:v>
                </c:pt>
                <c:pt idx="3398">
                  <c:v>101031</c:v>
                </c:pt>
                <c:pt idx="3399">
                  <c:v>101516</c:v>
                </c:pt>
                <c:pt idx="3400">
                  <c:v>102551</c:v>
                </c:pt>
                <c:pt idx="3401">
                  <c:v>100573</c:v>
                </c:pt>
                <c:pt idx="3402">
                  <c:v>99981</c:v>
                </c:pt>
                <c:pt idx="3403">
                  <c:v>101249</c:v>
                </c:pt>
                <c:pt idx="3404">
                  <c:v>101817</c:v>
                </c:pt>
                <c:pt idx="3405">
                  <c:v>103832</c:v>
                </c:pt>
                <c:pt idx="3406">
                  <c:v>104302</c:v>
                </c:pt>
                <c:pt idx="3407">
                  <c:v>104490</c:v>
                </c:pt>
                <c:pt idx="3408">
                  <c:v>105423</c:v>
                </c:pt>
                <c:pt idx="3409">
                  <c:v>105016</c:v>
                </c:pt>
                <c:pt idx="3410">
                  <c:v>104729</c:v>
                </c:pt>
                <c:pt idx="3411">
                  <c:v>106022</c:v>
                </c:pt>
                <c:pt idx="3412">
                  <c:v>107381</c:v>
                </c:pt>
                <c:pt idx="3413">
                  <c:v>107544</c:v>
                </c:pt>
                <c:pt idx="3414">
                  <c:v>106986</c:v>
                </c:pt>
                <c:pt idx="3415">
                  <c:v>107364</c:v>
                </c:pt>
                <c:pt idx="3416">
                  <c:v>108187</c:v>
                </c:pt>
                <c:pt idx="3417">
                  <c:v>107556</c:v>
                </c:pt>
                <c:pt idx="3418">
                  <c:v>108408</c:v>
                </c:pt>
                <c:pt idx="3419">
                  <c:v>107220</c:v>
                </c:pt>
                <c:pt idx="3420">
                  <c:v>108196</c:v>
                </c:pt>
                <c:pt idx="3421">
                  <c:v>108601</c:v>
                </c:pt>
                <c:pt idx="3422">
                  <c:v>108451</c:v>
                </c:pt>
                <c:pt idx="3423">
                  <c:v>108336</c:v>
                </c:pt>
                <c:pt idx="3424">
                  <c:v>109581</c:v>
                </c:pt>
                <c:pt idx="3425">
                  <c:v>107629</c:v>
                </c:pt>
                <c:pt idx="3426">
                  <c:v>108215</c:v>
                </c:pt>
                <c:pt idx="3427">
                  <c:v>106785</c:v>
                </c:pt>
                <c:pt idx="3428">
                  <c:v>105914</c:v>
                </c:pt>
                <c:pt idx="3429">
                  <c:v>106557</c:v>
                </c:pt>
                <c:pt idx="3430">
                  <c:v>106347</c:v>
                </c:pt>
                <c:pt idx="3431">
                  <c:v>105618</c:v>
                </c:pt>
                <c:pt idx="3432">
                  <c:v>107497</c:v>
                </c:pt>
                <c:pt idx="3433">
                  <c:v>108692</c:v>
                </c:pt>
                <c:pt idx="3434">
                  <c:v>108424</c:v>
                </c:pt>
                <c:pt idx="3435">
                  <c:v>107059</c:v>
                </c:pt>
                <c:pt idx="3436">
                  <c:v>107708</c:v>
                </c:pt>
                <c:pt idx="3437">
                  <c:v>108290</c:v>
                </c:pt>
                <c:pt idx="3438">
                  <c:v>108233</c:v>
                </c:pt>
                <c:pt idx="3439">
                  <c:v>109061</c:v>
                </c:pt>
                <c:pt idx="3440">
                  <c:v>109005</c:v>
                </c:pt>
                <c:pt idx="3441">
                  <c:v>110301</c:v>
                </c:pt>
                <c:pt idx="3442">
                  <c:v>110622</c:v>
                </c:pt>
                <c:pt idx="3443">
                  <c:v>111126</c:v>
                </c:pt>
                <c:pt idx="3444">
                  <c:v>110977</c:v>
                </c:pt>
                <c:pt idx="3445">
                  <c:v>110672</c:v>
                </c:pt>
                <c:pt idx="3446">
                  <c:v>110964</c:v>
                </c:pt>
                <c:pt idx="3447">
                  <c:v>112200</c:v>
                </c:pt>
                <c:pt idx="3448">
                  <c:v>112565</c:v>
                </c:pt>
                <c:pt idx="3449">
                  <c:v>111896</c:v>
                </c:pt>
                <c:pt idx="3450">
                  <c:v>112616</c:v>
                </c:pt>
                <c:pt idx="3451">
                  <c:v>114315</c:v>
                </c:pt>
                <c:pt idx="3452">
                  <c:v>115131</c:v>
                </c:pt>
                <c:pt idx="3453">
                  <c:v>115121</c:v>
                </c:pt>
                <c:pt idx="3454">
                  <c:v>115863</c:v>
                </c:pt>
                <c:pt idx="3455">
                  <c:v>117203</c:v>
                </c:pt>
                <c:pt idx="3456">
                  <c:v>116534</c:v>
                </c:pt>
                <c:pt idx="3457">
                  <c:v>115964</c:v>
                </c:pt>
                <c:pt idx="3458">
                  <c:v>118573</c:v>
                </c:pt>
                <c:pt idx="3459">
                  <c:v>117707</c:v>
                </c:pt>
                <c:pt idx="3460">
                  <c:v>116878</c:v>
                </c:pt>
                <c:pt idx="3461">
                  <c:v>116662</c:v>
                </c:pt>
                <c:pt idx="3462">
                  <c:v>116247</c:v>
                </c:pt>
                <c:pt idx="3463">
                  <c:v>115947</c:v>
                </c:pt>
                <c:pt idx="3464">
                  <c:v>115503</c:v>
                </c:pt>
                <c:pt idx="3465">
                  <c:v>117325</c:v>
                </c:pt>
                <c:pt idx="3466">
                  <c:v>117632</c:v>
                </c:pt>
                <c:pt idx="3467">
                  <c:v>116414</c:v>
                </c:pt>
                <c:pt idx="3468">
                  <c:v>116704</c:v>
                </c:pt>
                <c:pt idx="3469">
                  <c:v>118478</c:v>
                </c:pt>
                <c:pt idx="3470">
                  <c:v>118862</c:v>
                </c:pt>
                <c:pt idx="3471">
                  <c:v>117026</c:v>
                </c:pt>
                <c:pt idx="3472">
                  <c:v>118391</c:v>
                </c:pt>
                <c:pt idx="3473">
                  <c:v>119528</c:v>
                </c:pt>
                <c:pt idx="3474">
                  <c:v>118376</c:v>
                </c:pt>
                <c:pt idx="3475">
                  <c:v>114482</c:v>
                </c:pt>
                <c:pt idx="3476">
                  <c:v>116479</c:v>
                </c:pt>
                <c:pt idx="3477">
                  <c:v>115385</c:v>
                </c:pt>
                <c:pt idx="3478">
                  <c:v>115528</c:v>
                </c:pt>
                <c:pt idx="3479">
                  <c:v>113761</c:v>
                </c:pt>
                <c:pt idx="3480">
                  <c:v>114629</c:v>
                </c:pt>
                <c:pt idx="3481">
                  <c:v>115557</c:v>
                </c:pt>
                <c:pt idx="3482">
                  <c:v>116028</c:v>
                </c:pt>
                <c:pt idx="3483">
                  <c:v>115190</c:v>
                </c:pt>
                <c:pt idx="3484">
                  <c:v>113770</c:v>
                </c:pt>
                <c:pt idx="3485">
                  <c:v>112570</c:v>
                </c:pt>
                <c:pt idx="3486">
                  <c:v>115371</c:v>
                </c:pt>
                <c:pt idx="3487">
                  <c:v>116674</c:v>
                </c:pt>
                <c:pt idx="3488">
                  <c:v>115662</c:v>
                </c:pt>
                <c:pt idx="3489">
                  <c:v>114381</c:v>
                </c:pt>
                <c:pt idx="3490">
                  <c:v>115309</c:v>
                </c:pt>
                <c:pt idx="3491">
                  <c:v>114977</c:v>
                </c:pt>
                <c:pt idx="3492">
                  <c:v>116518</c:v>
                </c:pt>
                <c:pt idx="3493">
                  <c:v>114586</c:v>
                </c:pt>
                <c:pt idx="3494">
                  <c:v>113681</c:v>
                </c:pt>
                <c:pt idx="3495">
                  <c:v>102984</c:v>
                </c:pt>
                <c:pt idx="3496">
                  <c:v>104172</c:v>
                </c:pt>
                <c:pt idx="3497">
                  <c:v>106625</c:v>
                </c:pt>
                <c:pt idx="3498">
                  <c:v>105537</c:v>
                </c:pt>
                <c:pt idx="3499">
                  <c:v>107224</c:v>
                </c:pt>
                <c:pt idx="3500">
                  <c:v>102233</c:v>
                </c:pt>
                <c:pt idx="3501">
                  <c:v>97997</c:v>
                </c:pt>
                <c:pt idx="3502">
                  <c:v>86067</c:v>
                </c:pt>
                <c:pt idx="3503">
                  <c:v>92214</c:v>
                </c:pt>
                <c:pt idx="3504">
                  <c:v>85171</c:v>
                </c:pt>
                <c:pt idx="3505">
                  <c:v>72583</c:v>
                </c:pt>
                <c:pt idx="3506">
                  <c:v>82678</c:v>
                </c:pt>
                <c:pt idx="3507">
                  <c:v>71168</c:v>
                </c:pt>
                <c:pt idx="3508">
                  <c:v>74617</c:v>
                </c:pt>
                <c:pt idx="3509">
                  <c:v>66895</c:v>
                </c:pt>
                <c:pt idx="3510">
                  <c:v>68332</c:v>
                </c:pt>
                <c:pt idx="3511">
                  <c:v>67069</c:v>
                </c:pt>
                <c:pt idx="3512">
                  <c:v>63570</c:v>
                </c:pt>
                <c:pt idx="3513">
                  <c:v>69729</c:v>
                </c:pt>
                <c:pt idx="3514">
                  <c:v>74956</c:v>
                </c:pt>
                <c:pt idx="3515">
                  <c:v>77710</c:v>
                </c:pt>
                <c:pt idx="3516">
                  <c:v>73429</c:v>
                </c:pt>
                <c:pt idx="3517">
                  <c:v>74640</c:v>
                </c:pt>
                <c:pt idx="3518">
                  <c:v>73020</c:v>
                </c:pt>
                <c:pt idx="3519">
                  <c:v>70967</c:v>
                </c:pt>
                <c:pt idx="3520">
                  <c:v>72253</c:v>
                </c:pt>
                <c:pt idx="3521">
                  <c:v>69538</c:v>
                </c:pt>
                <c:pt idx="3522">
                  <c:v>74073</c:v>
                </c:pt>
                <c:pt idx="3523">
                  <c:v>76358</c:v>
                </c:pt>
                <c:pt idx="3524">
                  <c:v>78625</c:v>
                </c:pt>
                <c:pt idx="3525">
                  <c:v>77682</c:v>
                </c:pt>
                <c:pt idx="3526">
                  <c:v>78836</c:v>
                </c:pt>
                <c:pt idx="3527">
                  <c:v>79918</c:v>
                </c:pt>
                <c:pt idx="3528">
                  <c:v>78831</c:v>
                </c:pt>
                <c:pt idx="3529">
                  <c:v>77812</c:v>
                </c:pt>
                <c:pt idx="3530">
                  <c:v>78990</c:v>
                </c:pt>
                <c:pt idx="3531">
                  <c:v>78973</c:v>
                </c:pt>
                <c:pt idx="3532">
                  <c:v>80687</c:v>
                </c:pt>
                <c:pt idx="3533">
                  <c:v>79673</c:v>
                </c:pt>
                <c:pt idx="3534">
                  <c:v>75331</c:v>
                </c:pt>
                <c:pt idx="3535">
                  <c:v>78239</c:v>
                </c:pt>
                <c:pt idx="3536">
                  <c:v>81312</c:v>
                </c:pt>
                <c:pt idx="3537">
                  <c:v>83171</c:v>
                </c:pt>
                <c:pt idx="3538">
                  <c:v>80506</c:v>
                </c:pt>
                <c:pt idx="3539">
                  <c:v>78876</c:v>
                </c:pt>
                <c:pt idx="3540">
                  <c:v>79471</c:v>
                </c:pt>
                <c:pt idx="3541">
                  <c:v>79064</c:v>
                </c:pt>
                <c:pt idx="3542">
                  <c:v>78119</c:v>
                </c:pt>
                <c:pt idx="3543">
                  <c:v>80263</c:v>
                </c:pt>
                <c:pt idx="3544">
                  <c:v>79065</c:v>
                </c:pt>
                <c:pt idx="3545">
                  <c:v>77872</c:v>
                </c:pt>
                <c:pt idx="3546">
                  <c:v>77772</c:v>
                </c:pt>
                <c:pt idx="3547">
                  <c:v>79011</c:v>
                </c:pt>
                <c:pt idx="3548">
                  <c:v>77557</c:v>
                </c:pt>
                <c:pt idx="3549">
                  <c:v>81194</c:v>
                </c:pt>
                <c:pt idx="3550">
                  <c:v>80742</c:v>
                </c:pt>
                <c:pt idx="3551">
                  <c:v>81319</c:v>
                </c:pt>
                <c:pt idx="3552">
                  <c:v>83027</c:v>
                </c:pt>
                <c:pt idx="3553">
                  <c:v>82173</c:v>
                </c:pt>
                <c:pt idx="3554">
                  <c:v>85663</c:v>
                </c:pt>
                <c:pt idx="3555">
                  <c:v>85469</c:v>
                </c:pt>
                <c:pt idx="3556">
                  <c:v>87946</c:v>
                </c:pt>
                <c:pt idx="3557">
                  <c:v>86949</c:v>
                </c:pt>
                <c:pt idx="3558">
                  <c:v>87403</c:v>
                </c:pt>
                <c:pt idx="3559">
                  <c:v>88620</c:v>
                </c:pt>
                <c:pt idx="3560">
                  <c:v>91046</c:v>
                </c:pt>
                <c:pt idx="3561">
                  <c:v>93002</c:v>
                </c:pt>
                <c:pt idx="3562">
                  <c:v>93829</c:v>
                </c:pt>
                <c:pt idx="3563">
                  <c:v>94637</c:v>
                </c:pt>
                <c:pt idx="3564">
                  <c:v>97645</c:v>
                </c:pt>
                <c:pt idx="3565">
                  <c:v>96747</c:v>
                </c:pt>
                <c:pt idx="3566">
                  <c:v>94686</c:v>
                </c:pt>
                <c:pt idx="3567">
                  <c:v>92795</c:v>
                </c:pt>
                <c:pt idx="3568">
                  <c:v>92376</c:v>
                </c:pt>
                <c:pt idx="3569">
                  <c:v>93531</c:v>
                </c:pt>
                <c:pt idx="3570">
                  <c:v>95547</c:v>
                </c:pt>
                <c:pt idx="3571">
                  <c:v>96125</c:v>
                </c:pt>
                <c:pt idx="3572">
                  <c:v>96572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A-4C1A-9C46-5B44CB0AE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656776"/>
        <c:axId val="798660056"/>
      </c:lineChart>
      <c:dateAx>
        <c:axId val="798656776"/>
        <c:scaling>
          <c:orientation val="minMax"/>
        </c:scaling>
        <c:delete val="0"/>
        <c:axPos val="b"/>
        <c:numFmt formatCode="[$-416]d\-mmm\-yy;@" sourceLinked="0"/>
        <c:majorTickMark val="out"/>
        <c:minorTickMark val="none"/>
        <c:tickLblPos val="nextTo"/>
        <c:spPr>
          <a:noFill/>
          <a:ln w="2857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660056"/>
        <c:crosses val="autoZero"/>
        <c:auto val="1"/>
        <c:lblOffset val="100"/>
        <c:baseTimeUnit val="days"/>
      </c:dateAx>
      <c:valAx>
        <c:axId val="79866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254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65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ysClr val="windowText" lastClr="0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Preço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7717400007307108E-2"/>
          <c:y val="0.21503419215455208"/>
          <c:w val="0.94966847615634675"/>
          <c:h val="0.61761137000732047"/>
        </c:manualLayout>
      </c:layout>
      <c:lineChart>
        <c:grouping val="standard"/>
        <c:varyColors val="0"/>
        <c:ser>
          <c:idx val="0"/>
          <c:order val="0"/>
          <c:tx>
            <c:strRef>
              <c:f>Underwater!$B$4</c:f>
              <c:strCache>
                <c:ptCount val="1"/>
                <c:pt idx="0">
                  <c:v>Preço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Underwater!$A$5:$A$16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Underwater!$B$5:$B$16</c:f>
              <c:numCache>
                <c:formatCode>0</c:formatCode>
                <c:ptCount val="12"/>
                <c:pt idx="0">
                  <c:v>100</c:v>
                </c:pt>
                <c:pt idx="1">
                  <c:v>85</c:v>
                </c:pt>
                <c:pt idx="2">
                  <c:v>82</c:v>
                </c:pt>
                <c:pt idx="3">
                  <c:v>95</c:v>
                </c:pt>
                <c:pt idx="4">
                  <c:v>104</c:v>
                </c:pt>
                <c:pt idx="5">
                  <c:v>110</c:v>
                </c:pt>
                <c:pt idx="6">
                  <c:v>103</c:v>
                </c:pt>
                <c:pt idx="7">
                  <c:v>109</c:v>
                </c:pt>
                <c:pt idx="8">
                  <c:v>92</c:v>
                </c:pt>
                <c:pt idx="9">
                  <c:v>88</c:v>
                </c:pt>
                <c:pt idx="10">
                  <c:v>95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66-44F8-A1F3-7ACDD8BA8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70256"/>
        <c:axId val="371471040"/>
      </c:lineChart>
      <c:catAx>
        <c:axId val="3714702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50505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71040"/>
        <c:crossesAt val="100"/>
        <c:auto val="1"/>
        <c:lblAlgn val="ctr"/>
        <c:lblOffset val="100"/>
        <c:noMultiLvlLbl val="1"/>
      </c:catAx>
      <c:valAx>
        <c:axId val="371471040"/>
        <c:scaling>
          <c:orientation val="minMax"/>
          <c:min val="80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crossAx val="37147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solidFill>
        <a:schemeClr val="tx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ysClr val="windowText" lastClr="0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Underwater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335875236384324E-2"/>
          <c:y val="0.20142874997768137"/>
          <c:w val="0.94966847615634675"/>
          <c:h val="0.61761137000732047"/>
        </c:manualLayout>
      </c:layout>
      <c:areaChart>
        <c:grouping val="standard"/>
        <c:varyColors val="0"/>
        <c:ser>
          <c:idx val="0"/>
          <c:order val="0"/>
          <c:tx>
            <c:strRef>
              <c:f>Underwater!$B$4</c:f>
              <c:strCache>
                <c:ptCount val="1"/>
                <c:pt idx="0">
                  <c:v>Preço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Underwater!$A$5:$A$16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Underwater!$C$5:$C$16</c:f>
              <c:numCache>
                <c:formatCode>0.0%</c:formatCode>
                <c:ptCount val="12"/>
                <c:pt idx="0">
                  <c:v>0</c:v>
                </c:pt>
                <c:pt idx="1">
                  <c:v>-0.15000000000000002</c:v>
                </c:pt>
                <c:pt idx="2">
                  <c:v>-0.18000000000000005</c:v>
                </c:pt>
                <c:pt idx="3">
                  <c:v>-5.0000000000000044E-2</c:v>
                </c:pt>
                <c:pt idx="4">
                  <c:v>0</c:v>
                </c:pt>
                <c:pt idx="5">
                  <c:v>0</c:v>
                </c:pt>
                <c:pt idx="6">
                  <c:v>-6.3636363636363602E-2</c:v>
                </c:pt>
                <c:pt idx="7">
                  <c:v>-9.0909090909090384E-3</c:v>
                </c:pt>
                <c:pt idx="8">
                  <c:v>-0.16363636363636369</c:v>
                </c:pt>
                <c:pt idx="9">
                  <c:v>-0.19999999999999996</c:v>
                </c:pt>
                <c:pt idx="10">
                  <c:v>-0.13636363636363635</c:v>
                </c:pt>
                <c:pt idx="11">
                  <c:v>-7.2727272727272751E-2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64-4269-9FF8-BCA7FB33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0256"/>
        <c:axId val="371471040"/>
      </c:areaChart>
      <c:catAx>
        <c:axId val="3714702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50505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71040"/>
        <c:crossesAt val="100"/>
        <c:auto val="1"/>
        <c:lblAlgn val="ctr"/>
        <c:lblOffset val="100"/>
        <c:noMultiLvlLbl val="1"/>
      </c:catAx>
      <c:valAx>
        <c:axId val="3714710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crossAx val="37147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solidFill>
        <a:schemeClr val="tx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Underwater Chart (Bitcoin)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Bitcoin!$A$5:$A$718</c:f>
              <c:numCache>
                <c:formatCode>[$-416]dd\-mmm\-yy;@</c:formatCode>
                <c:ptCount val="714"/>
                <c:pt idx="0">
                  <c:v>42384</c:v>
                </c:pt>
                <c:pt idx="1">
                  <c:v>42385</c:v>
                </c:pt>
                <c:pt idx="2">
                  <c:v>42386</c:v>
                </c:pt>
                <c:pt idx="3">
                  <c:v>42387</c:v>
                </c:pt>
                <c:pt idx="4">
                  <c:v>42388</c:v>
                </c:pt>
                <c:pt idx="5">
                  <c:v>42389</c:v>
                </c:pt>
                <c:pt idx="6">
                  <c:v>42390</c:v>
                </c:pt>
                <c:pt idx="7">
                  <c:v>42391</c:v>
                </c:pt>
                <c:pt idx="8">
                  <c:v>42392</c:v>
                </c:pt>
                <c:pt idx="9">
                  <c:v>42393</c:v>
                </c:pt>
                <c:pt idx="10">
                  <c:v>42394</c:v>
                </c:pt>
                <c:pt idx="11">
                  <c:v>42395</c:v>
                </c:pt>
                <c:pt idx="12">
                  <c:v>42396</c:v>
                </c:pt>
                <c:pt idx="13">
                  <c:v>42397</c:v>
                </c:pt>
                <c:pt idx="14">
                  <c:v>42398</c:v>
                </c:pt>
                <c:pt idx="15">
                  <c:v>42399</c:v>
                </c:pt>
                <c:pt idx="16">
                  <c:v>42400</c:v>
                </c:pt>
                <c:pt idx="17">
                  <c:v>42401</c:v>
                </c:pt>
                <c:pt idx="18">
                  <c:v>42402</c:v>
                </c:pt>
                <c:pt idx="19">
                  <c:v>42403</c:v>
                </c:pt>
                <c:pt idx="20">
                  <c:v>42404</c:v>
                </c:pt>
                <c:pt idx="21">
                  <c:v>42405</c:v>
                </c:pt>
                <c:pt idx="22">
                  <c:v>42406</c:v>
                </c:pt>
                <c:pt idx="23">
                  <c:v>42407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42413</c:v>
                </c:pt>
                <c:pt idx="30">
                  <c:v>42414</c:v>
                </c:pt>
                <c:pt idx="31">
                  <c:v>42415</c:v>
                </c:pt>
                <c:pt idx="32">
                  <c:v>42416</c:v>
                </c:pt>
                <c:pt idx="33">
                  <c:v>42417</c:v>
                </c:pt>
                <c:pt idx="34">
                  <c:v>42418</c:v>
                </c:pt>
                <c:pt idx="35">
                  <c:v>42419</c:v>
                </c:pt>
                <c:pt idx="36">
                  <c:v>42420</c:v>
                </c:pt>
                <c:pt idx="37">
                  <c:v>42421</c:v>
                </c:pt>
                <c:pt idx="38">
                  <c:v>42422</c:v>
                </c:pt>
                <c:pt idx="39">
                  <c:v>42423</c:v>
                </c:pt>
                <c:pt idx="40">
                  <c:v>42424</c:v>
                </c:pt>
                <c:pt idx="41">
                  <c:v>42425</c:v>
                </c:pt>
                <c:pt idx="42">
                  <c:v>42426</c:v>
                </c:pt>
                <c:pt idx="43">
                  <c:v>42427</c:v>
                </c:pt>
                <c:pt idx="44">
                  <c:v>42428</c:v>
                </c:pt>
                <c:pt idx="45">
                  <c:v>42429</c:v>
                </c:pt>
                <c:pt idx="46">
                  <c:v>42430</c:v>
                </c:pt>
                <c:pt idx="47">
                  <c:v>42431</c:v>
                </c:pt>
                <c:pt idx="48">
                  <c:v>42432</c:v>
                </c:pt>
                <c:pt idx="49">
                  <c:v>42433</c:v>
                </c:pt>
                <c:pt idx="50">
                  <c:v>42434</c:v>
                </c:pt>
                <c:pt idx="51">
                  <c:v>42435</c:v>
                </c:pt>
                <c:pt idx="52">
                  <c:v>42436</c:v>
                </c:pt>
                <c:pt idx="53">
                  <c:v>42437</c:v>
                </c:pt>
                <c:pt idx="54">
                  <c:v>42438</c:v>
                </c:pt>
                <c:pt idx="55">
                  <c:v>42439</c:v>
                </c:pt>
                <c:pt idx="56">
                  <c:v>42440</c:v>
                </c:pt>
                <c:pt idx="57">
                  <c:v>42441</c:v>
                </c:pt>
                <c:pt idx="58">
                  <c:v>42442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42448</c:v>
                </c:pt>
                <c:pt idx="65">
                  <c:v>42449</c:v>
                </c:pt>
                <c:pt idx="66">
                  <c:v>42450</c:v>
                </c:pt>
                <c:pt idx="67">
                  <c:v>42451</c:v>
                </c:pt>
                <c:pt idx="68">
                  <c:v>42452</c:v>
                </c:pt>
                <c:pt idx="69">
                  <c:v>42453</c:v>
                </c:pt>
                <c:pt idx="70">
                  <c:v>42454</c:v>
                </c:pt>
                <c:pt idx="71">
                  <c:v>42455</c:v>
                </c:pt>
                <c:pt idx="72">
                  <c:v>42456</c:v>
                </c:pt>
                <c:pt idx="73">
                  <c:v>42457</c:v>
                </c:pt>
                <c:pt idx="74">
                  <c:v>42458</c:v>
                </c:pt>
                <c:pt idx="75">
                  <c:v>42459</c:v>
                </c:pt>
                <c:pt idx="76">
                  <c:v>42460</c:v>
                </c:pt>
                <c:pt idx="77">
                  <c:v>42461</c:v>
                </c:pt>
                <c:pt idx="78">
                  <c:v>42462</c:v>
                </c:pt>
                <c:pt idx="79">
                  <c:v>42463</c:v>
                </c:pt>
                <c:pt idx="80">
                  <c:v>42464</c:v>
                </c:pt>
                <c:pt idx="81">
                  <c:v>42465</c:v>
                </c:pt>
                <c:pt idx="82">
                  <c:v>42466</c:v>
                </c:pt>
                <c:pt idx="83">
                  <c:v>42467</c:v>
                </c:pt>
                <c:pt idx="84">
                  <c:v>42468</c:v>
                </c:pt>
                <c:pt idx="85">
                  <c:v>42469</c:v>
                </c:pt>
                <c:pt idx="86">
                  <c:v>42470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42476</c:v>
                </c:pt>
                <c:pt idx="93">
                  <c:v>42477</c:v>
                </c:pt>
                <c:pt idx="94">
                  <c:v>42478</c:v>
                </c:pt>
                <c:pt idx="95">
                  <c:v>42479</c:v>
                </c:pt>
                <c:pt idx="96">
                  <c:v>42480</c:v>
                </c:pt>
                <c:pt idx="97">
                  <c:v>42481</c:v>
                </c:pt>
                <c:pt idx="98">
                  <c:v>42482</c:v>
                </c:pt>
                <c:pt idx="99">
                  <c:v>42483</c:v>
                </c:pt>
                <c:pt idx="100">
                  <c:v>42484</c:v>
                </c:pt>
                <c:pt idx="101">
                  <c:v>42485</c:v>
                </c:pt>
                <c:pt idx="102">
                  <c:v>42486</c:v>
                </c:pt>
                <c:pt idx="103">
                  <c:v>42487</c:v>
                </c:pt>
                <c:pt idx="104">
                  <c:v>42488</c:v>
                </c:pt>
                <c:pt idx="105">
                  <c:v>42489</c:v>
                </c:pt>
                <c:pt idx="106">
                  <c:v>42490</c:v>
                </c:pt>
                <c:pt idx="107">
                  <c:v>42491</c:v>
                </c:pt>
                <c:pt idx="108">
                  <c:v>42492</c:v>
                </c:pt>
                <c:pt idx="109">
                  <c:v>42493</c:v>
                </c:pt>
                <c:pt idx="110">
                  <c:v>42494</c:v>
                </c:pt>
                <c:pt idx="111">
                  <c:v>42495</c:v>
                </c:pt>
                <c:pt idx="112">
                  <c:v>42496</c:v>
                </c:pt>
                <c:pt idx="113">
                  <c:v>42497</c:v>
                </c:pt>
                <c:pt idx="114">
                  <c:v>42498</c:v>
                </c:pt>
                <c:pt idx="115">
                  <c:v>42499</c:v>
                </c:pt>
                <c:pt idx="116">
                  <c:v>42500</c:v>
                </c:pt>
                <c:pt idx="117">
                  <c:v>42501</c:v>
                </c:pt>
                <c:pt idx="118">
                  <c:v>42502</c:v>
                </c:pt>
                <c:pt idx="119">
                  <c:v>42503</c:v>
                </c:pt>
                <c:pt idx="120">
                  <c:v>42504</c:v>
                </c:pt>
                <c:pt idx="121">
                  <c:v>42505</c:v>
                </c:pt>
                <c:pt idx="122">
                  <c:v>42506</c:v>
                </c:pt>
                <c:pt idx="123">
                  <c:v>42507</c:v>
                </c:pt>
                <c:pt idx="124">
                  <c:v>42508</c:v>
                </c:pt>
                <c:pt idx="125">
                  <c:v>42509</c:v>
                </c:pt>
                <c:pt idx="126">
                  <c:v>42510</c:v>
                </c:pt>
                <c:pt idx="127">
                  <c:v>42511</c:v>
                </c:pt>
                <c:pt idx="128">
                  <c:v>42512</c:v>
                </c:pt>
                <c:pt idx="129">
                  <c:v>42513</c:v>
                </c:pt>
                <c:pt idx="130">
                  <c:v>42514</c:v>
                </c:pt>
                <c:pt idx="131">
                  <c:v>42515</c:v>
                </c:pt>
                <c:pt idx="132">
                  <c:v>42516</c:v>
                </c:pt>
                <c:pt idx="133">
                  <c:v>42517</c:v>
                </c:pt>
                <c:pt idx="134">
                  <c:v>42518</c:v>
                </c:pt>
                <c:pt idx="135">
                  <c:v>42519</c:v>
                </c:pt>
                <c:pt idx="136">
                  <c:v>42520</c:v>
                </c:pt>
                <c:pt idx="137">
                  <c:v>42521</c:v>
                </c:pt>
                <c:pt idx="138">
                  <c:v>42522</c:v>
                </c:pt>
                <c:pt idx="139">
                  <c:v>42523</c:v>
                </c:pt>
                <c:pt idx="140">
                  <c:v>42524</c:v>
                </c:pt>
                <c:pt idx="141">
                  <c:v>42525</c:v>
                </c:pt>
                <c:pt idx="142">
                  <c:v>42526</c:v>
                </c:pt>
                <c:pt idx="143">
                  <c:v>42527</c:v>
                </c:pt>
                <c:pt idx="144">
                  <c:v>42528</c:v>
                </c:pt>
                <c:pt idx="145">
                  <c:v>42529</c:v>
                </c:pt>
                <c:pt idx="146">
                  <c:v>42530</c:v>
                </c:pt>
                <c:pt idx="147">
                  <c:v>42531</c:v>
                </c:pt>
                <c:pt idx="148">
                  <c:v>42532</c:v>
                </c:pt>
                <c:pt idx="149">
                  <c:v>42533</c:v>
                </c:pt>
                <c:pt idx="150">
                  <c:v>42534</c:v>
                </c:pt>
                <c:pt idx="151">
                  <c:v>42535</c:v>
                </c:pt>
                <c:pt idx="152">
                  <c:v>42536</c:v>
                </c:pt>
                <c:pt idx="153">
                  <c:v>42537</c:v>
                </c:pt>
                <c:pt idx="154">
                  <c:v>42538</c:v>
                </c:pt>
                <c:pt idx="155">
                  <c:v>42539</c:v>
                </c:pt>
                <c:pt idx="156">
                  <c:v>42540</c:v>
                </c:pt>
                <c:pt idx="157">
                  <c:v>42541</c:v>
                </c:pt>
                <c:pt idx="158">
                  <c:v>42542</c:v>
                </c:pt>
                <c:pt idx="159">
                  <c:v>42543</c:v>
                </c:pt>
                <c:pt idx="160">
                  <c:v>42544</c:v>
                </c:pt>
                <c:pt idx="161">
                  <c:v>42545</c:v>
                </c:pt>
                <c:pt idx="162">
                  <c:v>42546</c:v>
                </c:pt>
                <c:pt idx="163">
                  <c:v>42547</c:v>
                </c:pt>
                <c:pt idx="164">
                  <c:v>42548</c:v>
                </c:pt>
                <c:pt idx="165">
                  <c:v>42549</c:v>
                </c:pt>
                <c:pt idx="166">
                  <c:v>42550</c:v>
                </c:pt>
                <c:pt idx="167">
                  <c:v>42551</c:v>
                </c:pt>
                <c:pt idx="168">
                  <c:v>42552</c:v>
                </c:pt>
                <c:pt idx="169">
                  <c:v>42553</c:v>
                </c:pt>
                <c:pt idx="170">
                  <c:v>42554</c:v>
                </c:pt>
                <c:pt idx="171">
                  <c:v>42555</c:v>
                </c:pt>
                <c:pt idx="172">
                  <c:v>42556</c:v>
                </c:pt>
                <c:pt idx="173">
                  <c:v>42557</c:v>
                </c:pt>
                <c:pt idx="174">
                  <c:v>42558</c:v>
                </c:pt>
                <c:pt idx="175">
                  <c:v>42559</c:v>
                </c:pt>
                <c:pt idx="176">
                  <c:v>42560</c:v>
                </c:pt>
                <c:pt idx="177">
                  <c:v>42561</c:v>
                </c:pt>
                <c:pt idx="178">
                  <c:v>42562</c:v>
                </c:pt>
                <c:pt idx="179">
                  <c:v>42563</c:v>
                </c:pt>
                <c:pt idx="180">
                  <c:v>42564</c:v>
                </c:pt>
                <c:pt idx="181">
                  <c:v>42565</c:v>
                </c:pt>
                <c:pt idx="182">
                  <c:v>42566</c:v>
                </c:pt>
                <c:pt idx="183">
                  <c:v>42567</c:v>
                </c:pt>
                <c:pt idx="184">
                  <c:v>42568</c:v>
                </c:pt>
                <c:pt idx="185">
                  <c:v>42569</c:v>
                </c:pt>
                <c:pt idx="186">
                  <c:v>42570</c:v>
                </c:pt>
                <c:pt idx="187">
                  <c:v>42571</c:v>
                </c:pt>
                <c:pt idx="188">
                  <c:v>42572</c:v>
                </c:pt>
                <c:pt idx="189">
                  <c:v>42573</c:v>
                </c:pt>
                <c:pt idx="190">
                  <c:v>42574</c:v>
                </c:pt>
                <c:pt idx="191">
                  <c:v>42575</c:v>
                </c:pt>
                <c:pt idx="192">
                  <c:v>42576</c:v>
                </c:pt>
                <c:pt idx="193">
                  <c:v>42577</c:v>
                </c:pt>
                <c:pt idx="194">
                  <c:v>42578</c:v>
                </c:pt>
                <c:pt idx="195">
                  <c:v>42579</c:v>
                </c:pt>
                <c:pt idx="196">
                  <c:v>42580</c:v>
                </c:pt>
                <c:pt idx="197">
                  <c:v>42581</c:v>
                </c:pt>
                <c:pt idx="198">
                  <c:v>42582</c:v>
                </c:pt>
                <c:pt idx="199">
                  <c:v>42583</c:v>
                </c:pt>
                <c:pt idx="200">
                  <c:v>42584</c:v>
                </c:pt>
                <c:pt idx="201">
                  <c:v>42585</c:v>
                </c:pt>
                <c:pt idx="202">
                  <c:v>42586</c:v>
                </c:pt>
                <c:pt idx="203">
                  <c:v>42587</c:v>
                </c:pt>
                <c:pt idx="204">
                  <c:v>42588</c:v>
                </c:pt>
                <c:pt idx="205">
                  <c:v>42589</c:v>
                </c:pt>
                <c:pt idx="206">
                  <c:v>42590</c:v>
                </c:pt>
                <c:pt idx="207">
                  <c:v>42591</c:v>
                </c:pt>
                <c:pt idx="208">
                  <c:v>42592</c:v>
                </c:pt>
                <c:pt idx="209">
                  <c:v>42593</c:v>
                </c:pt>
                <c:pt idx="210">
                  <c:v>42594</c:v>
                </c:pt>
                <c:pt idx="211">
                  <c:v>42595</c:v>
                </c:pt>
                <c:pt idx="212">
                  <c:v>42596</c:v>
                </c:pt>
                <c:pt idx="213">
                  <c:v>42597</c:v>
                </c:pt>
                <c:pt idx="214">
                  <c:v>42602</c:v>
                </c:pt>
                <c:pt idx="215">
                  <c:v>42603</c:v>
                </c:pt>
                <c:pt idx="216">
                  <c:v>42604</c:v>
                </c:pt>
                <c:pt idx="217">
                  <c:v>42605</c:v>
                </c:pt>
                <c:pt idx="218">
                  <c:v>42606</c:v>
                </c:pt>
                <c:pt idx="219">
                  <c:v>42607</c:v>
                </c:pt>
                <c:pt idx="220">
                  <c:v>42608</c:v>
                </c:pt>
                <c:pt idx="221">
                  <c:v>42609</c:v>
                </c:pt>
                <c:pt idx="222">
                  <c:v>42610</c:v>
                </c:pt>
                <c:pt idx="223">
                  <c:v>42611</c:v>
                </c:pt>
                <c:pt idx="224">
                  <c:v>42612</c:v>
                </c:pt>
                <c:pt idx="225">
                  <c:v>42613</c:v>
                </c:pt>
                <c:pt idx="226">
                  <c:v>42614</c:v>
                </c:pt>
                <c:pt idx="227">
                  <c:v>42615</c:v>
                </c:pt>
                <c:pt idx="228">
                  <c:v>42616</c:v>
                </c:pt>
                <c:pt idx="229">
                  <c:v>42617</c:v>
                </c:pt>
                <c:pt idx="230">
                  <c:v>42618</c:v>
                </c:pt>
                <c:pt idx="231">
                  <c:v>42619</c:v>
                </c:pt>
                <c:pt idx="232">
                  <c:v>42620</c:v>
                </c:pt>
                <c:pt idx="233">
                  <c:v>42621</c:v>
                </c:pt>
                <c:pt idx="234">
                  <c:v>42622</c:v>
                </c:pt>
                <c:pt idx="235">
                  <c:v>42623</c:v>
                </c:pt>
                <c:pt idx="236">
                  <c:v>42624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42630</c:v>
                </c:pt>
                <c:pt idx="243">
                  <c:v>42631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42637</c:v>
                </c:pt>
                <c:pt idx="250">
                  <c:v>42638</c:v>
                </c:pt>
                <c:pt idx="251">
                  <c:v>42639</c:v>
                </c:pt>
                <c:pt idx="252">
                  <c:v>42640</c:v>
                </c:pt>
                <c:pt idx="253">
                  <c:v>42641</c:v>
                </c:pt>
                <c:pt idx="254">
                  <c:v>42642</c:v>
                </c:pt>
                <c:pt idx="255">
                  <c:v>42643</c:v>
                </c:pt>
                <c:pt idx="256">
                  <c:v>42644</c:v>
                </c:pt>
                <c:pt idx="257">
                  <c:v>42645</c:v>
                </c:pt>
                <c:pt idx="258">
                  <c:v>42646</c:v>
                </c:pt>
                <c:pt idx="259">
                  <c:v>42647</c:v>
                </c:pt>
                <c:pt idx="260">
                  <c:v>42648</c:v>
                </c:pt>
                <c:pt idx="261">
                  <c:v>42649</c:v>
                </c:pt>
                <c:pt idx="262">
                  <c:v>42650</c:v>
                </c:pt>
                <c:pt idx="263">
                  <c:v>42651</c:v>
                </c:pt>
                <c:pt idx="264">
                  <c:v>42652</c:v>
                </c:pt>
                <c:pt idx="265">
                  <c:v>42653</c:v>
                </c:pt>
                <c:pt idx="266">
                  <c:v>42654</c:v>
                </c:pt>
                <c:pt idx="267">
                  <c:v>42655</c:v>
                </c:pt>
                <c:pt idx="268">
                  <c:v>42656</c:v>
                </c:pt>
                <c:pt idx="269">
                  <c:v>42657</c:v>
                </c:pt>
                <c:pt idx="270">
                  <c:v>42658</c:v>
                </c:pt>
                <c:pt idx="271">
                  <c:v>42659</c:v>
                </c:pt>
                <c:pt idx="272">
                  <c:v>42660</c:v>
                </c:pt>
                <c:pt idx="273">
                  <c:v>42661</c:v>
                </c:pt>
                <c:pt idx="274">
                  <c:v>42662</c:v>
                </c:pt>
                <c:pt idx="275">
                  <c:v>42663</c:v>
                </c:pt>
                <c:pt idx="276">
                  <c:v>42664</c:v>
                </c:pt>
                <c:pt idx="277">
                  <c:v>42665</c:v>
                </c:pt>
                <c:pt idx="278">
                  <c:v>42666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42672</c:v>
                </c:pt>
                <c:pt idx="285">
                  <c:v>42673</c:v>
                </c:pt>
                <c:pt idx="286">
                  <c:v>42674</c:v>
                </c:pt>
                <c:pt idx="287">
                  <c:v>42675</c:v>
                </c:pt>
                <c:pt idx="288">
                  <c:v>42676</c:v>
                </c:pt>
                <c:pt idx="289">
                  <c:v>42677</c:v>
                </c:pt>
                <c:pt idx="290">
                  <c:v>42678</c:v>
                </c:pt>
                <c:pt idx="291">
                  <c:v>42679</c:v>
                </c:pt>
                <c:pt idx="292">
                  <c:v>42680</c:v>
                </c:pt>
                <c:pt idx="293">
                  <c:v>42681</c:v>
                </c:pt>
                <c:pt idx="294">
                  <c:v>42682</c:v>
                </c:pt>
                <c:pt idx="295">
                  <c:v>42683</c:v>
                </c:pt>
                <c:pt idx="296">
                  <c:v>42684</c:v>
                </c:pt>
                <c:pt idx="297">
                  <c:v>42685</c:v>
                </c:pt>
                <c:pt idx="298">
                  <c:v>42686</c:v>
                </c:pt>
                <c:pt idx="299">
                  <c:v>42687</c:v>
                </c:pt>
                <c:pt idx="300">
                  <c:v>42688</c:v>
                </c:pt>
                <c:pt idx="301">
                  <c:v>42689</c:v>
                </c:pt>
                <c:pt idx="302">
                  <c:v>42690</c:v>
                </c:pt>
                <c:pt idx="303">
                  <c:v>42691</c:v>
                </c:pt>
                <c:pt idx="304">
                  <c:v>42692</c:v>
                </c:pt>
                <c:pt idx="305">
                  <c:v>42693</c:v>
                </c:pt>
                <c:pt idx="306">
                  <c:v>42694</c:v>
                </c:pt>
                <c:pt idx="307">
                  <c:v>42695</c:v>
                </c:pt>
                <c:pt idx="308">
                  <c:v>42696</c:v>
                </c:pt>
                <c:pt idx="309">
                  <c:v>42697</c:v>
                </c:pt>
                <c:pt idx="310">
                  <c:v>42698</c:v>
                </c:pt>
                <c:pt idx="311">
                  <c:v>42699</c:v>
                </c:pt>
                <c:pt idx="312">
                  <c:v>42700</c:v>
                </c:pt>
                <c:pt idx="313">
                  <c:v>42701</c:v>
                </c:pt>
                <c:pt idx="314">
                  <c:v>42702</c:v>
                </c:pt>
                <c:pt idx="315">
                  <c:v>42703</c:v>
                </c:pt>
                <c:pt idx="316">
                  <c:v>42704</c:v>
                </c:pt>
                <c:pt idx="317">
                  <c:v>42705</c:v>
                </c:pt>
                <c:pt idx="318">
                  <c:v>42706</c:v>
                </c:pt>
                <c:pt idx="319">
                  <c:v>42707</c:v>
                </c:pt>
                <c:pt idx="320">
                  <c:v>42708</c:v>
                </c:pt>
                <c:pt idx="321">
                  <c:v>42709</c:v>
                </c:pt>
                <c:pt idx="322">
                  <c:v>42710</c:v>
                </c:pt>
                <c:pt idx="323">
                  <c:v>42711</c:v>
                </c:pt>
                <c:pt idx="324">
                  <c:v>42712</c:v>
                </c:pt>
                <c:pt idx="325">
                  <c:v>42713</c:v>
                </c:pt>
                <c:pt idx="326">
                  <c:v>42714</c:v>
                </c:pt>
                <c:pt idx="327">
                  <c:v>42715</c:v>
                </c:pt>
                <c:pt idx="328">
                  <c:v>42716</c:v>
                </c:pt>
                <c:pt idx="329">
                  <c:v>42717</c:v>
                </c:pt>
                <c:pt idx="330">
                  <c:v>42718</c:v>
                </c:pt>
                <c:pt idx="331">
                  <c:v>42719</c:v>
                </c:pt>
                <c:pt idx="332">
                  <c:v>42720</c:v>
                </c:pt>
                <c:pt idx="333">
                  <c:v>42721</c:v>
                </c:pt>
                <c:pt idx="334">
                  <c:v>42722</c:v>
                </c:pt>
                <c:pt idx="335">
                  <c:v>42723</c:v>
                </c:pt>
                <c:pt idx="336">
                  <c:v>42724</c:v>
                </c:pt>
                <c:pt idx="337">
                  <c:v>42725</c:v>
                </c:pt>
                <c:pt idx="338">
                  <c:v>42726</c:v>
                </c:pt>
                <c:pt idx="339">
                  <c:v>42727</c:v>
                </c:pt>
                <c:pt idx="340">
                  <c:v>42728</c:v>
                </c:pt>
                <c:pt idx="341">
                  <c:v>42729</c:v>
                </c:pt>
                <c:pt idx="342">
                  <c:v>42730</c:v>
                </c:pt>
                <c:pt idx="343">
                  <c:v>42731</c:v>
                </c:pt>
                <c:pt idx="344">
                  <c:v>42732</c:v>
                </c:pt>
                <c:pt idx="345">
                  <c:v>42733</c:v>
                </c:pt>
                <c:pt idx="346">
                  <c:v>42734</c:v>
                </c:pt>
                <c:pt idx="347">
                  <c:v>42735</c:v>
                </c:pt>
                <c:pt idx="348">
                  <c:v>42736</c:v>
                </c:pt>
                <c:pt idx="349">
                  <c:v>42737</c:v>
                </c:pt>
                <c:pt idx="350">
                  <c:v>42738</c:v>
                </c:pt>
                <c:pt idx="351">
                  <c:v>42739</c:v>
                </c:pt>
                <c:pt idx="352">
                  <c:v>42740</c:v>
                </c:pt>
                <c:pt idx="353">
                  <c:v>42741</c:v>
                </c:pt>
                <c:pt idx="354">
                  <c:v>42742</c:v>
                </c:pt>
                <c:pt idx="355">
                  <c:v>42743</c:v>
                </c:pt>
                <c:pt idx="356">
                  <c:v>42744</c:v>
                </c:pt>
                <c:pt idx="357">
                  <c:v>42745</c:v>
                </c:pt>
                <c:pt idx="358">
                  <c:v>42746</c:v>
                </c:pt>
                <c:pt idx="359">
                  <c:v>42747</c:v>
                </c:pt>
                <c:pt idx="360">
                  <c:v>42748</c:v>
                </c:pt>
                <c:pt idx="361">
                  <c:v>42749</c:v>
                </c:pt>
                <c:pt idx="362">
                  <c:v>42750</c:v>
                </c:pt>
                <c:pt idx="363">
                  <c:v>42751</c:v>
                </c:pt>
                <c:pt idx="364">
                  <c:v>42752</c:v>
                </c:pt>
                <c:pt idx="365">
                  <c:v>42753</c:v>
                </c:pt>
                <c:pt idx="366">
                  <c:v>42754</c:v>
                </c:pt>
                <c:pt idx="367">
                  <c:v>42755</c:v>
                </c:pt>
                <c:pt idx="368">
                  <c:v>42756</c:v>
                </c:pt>
                <c:pt idx="369">
                  <c:v>42757</c:v>
                </c:pt>
                <c:pt idx="370">
                  <c:v>42758</c:v>
                </c:pt>
                <c:pt idx="371">
                  <c:v>42759</c:v>
                </c:pt>
                <c:pt idx="372">
                  <c:v>42760</c:v>
                </c:pt>
                <c:pt idx="373">
                  <c:v>42761</c:v>
                </c:pt>
                <c:pt idx="374">
                  <c:v>42762</c:v>
                </c:pt>
                <c:pt idx="375">
                  <c:v>42763</c:v>
                </c:pt>
                <c:pt idx="376">
                  <c:v>42764</c:v>
                </c:pt>
                <c:pt idx="377">
                  <c:v>42765</c:v>
                </c:pt>
                <c:pt idx="378">
                  <c:v>42766</c:v>
                </c:pt>
                <c:pt idx="379">
                  <c:v>42767</c:v>
                </c:pt>
                <c:pt idx="380">
                  <c:v>42768</c:v>
                </c:pt>
                <c:pt idx="381">
                  <c:v>42769</c:v>
                </c:pt>
                <c:pt idx="382">
                  <c:v>42770</c:v>
                </c:pt>
                <c:pt idx="383">
                  <c:v>42771</c:v>
                </c:pt>
                <c:pt idx="384">
                  <c:v>42772</c:v>
                </c:pt>
                <c:pt idx="385">
                  <c:v>42773</c:v>
                </c:pt>
                <c:pt idx="386">
                  <c:v>42774</c:v>
                </c:pt>
                <c:pt idx="387">
                  <c:v>42775</c:v>
                </c:pt>
                <c:pt idx="388">
                  <c:v>42776</c:v>
                </c:pt>
                <c:pt idx="389">
                  <c:v>42777</c:v>
                </c:pt>
                <c:pt idx="390">
                  <c:v>42778</c:v>
                </c:pt>
                <c:pt idx="391">
                  <c:v>42779</c:v>
                </c:pt>
                <c:pt idx="392">
                  <c:v>42780</c:v>
                </c:pt>
                <c:pt idx="393">
                  <c:v>42781</c:v>
                </c:pt>
                <c:pt idx="394">
                  <c:v>42782</c:v>
                </c:pt>
                <c:pt idx="395">
                  <c:v>42783</c:v>
                </c:pt>
                <c:pt idx="396">
                  <c:v>42784</c:v>
                </c:pt>
                <c:pt idx="397">
                  <c:v>42785</c:v>
                </c:pt>
                <c:pt idx="398">
                  <c:v>42786</c:v>
                </c:pt>
                <c:pt idx="399">
                  <c:v>42787</c:v>
                </c:pt>
                <c:pt idx="400">
                  <c:v>42788</c:v>
                </c:pt>
                <c:pt idx="401">
                  <c:v>42789</c:v>
                </c:pt>
                <c:pt idx="402">
                  <c:v>42790</c:v>
                </c:pt>
                <c:pt idx="403">
                  <c:v>42791</c:v>
                </c:pt>
                <c:pt idx="404">
                  <c:v>42792</c:v>
                </c:pt>
                <c:pt idx="405">
                  <c:v>42793</c:v>
                </c:pt>
                <c:pt idx="406">
                  <c:v>42794</c:v>
                </c:pt>
                <c:pt idx="407">
                  <c:v>42795</c:v>
                </c:pt>
                <c:pt idx="408">
                  <c:v>42796</c:v>
                </c:pt>
                <c:pt idx="409">
                  <c:v>42797</c:v>
                </c:pt>
                <c:pt idx="410">
                  <c:v>42798</c:v>
                </c:pt>
                <c:pt idx="411">
                  <c:v>42799</c:v>
                </c:pt>
                <c:pt idx="412">
                  <c:v>42800</c:v>
                </c:pt>
                <c:pt idx="413">
                  <c:v>42801</c:v>
                </c:pt>
                <c:pt idx="414">
                  <c:v>42802</c:v>
                </c:pt>
                <c:pt idx="415">
                  <c:v>42803</c:v>
                </c:pt>
                <c:pt idx="416">
                  <c:v>42804</c:v>
                </c:pt>
                <c:pt idx="417">
                  <c:v>42805</c:v>
                </c:pt>
                <c:pt idx="418">
                  <c:v>42806</c:v>
                </c:pt>
                <c:pt idx="419">
                  <c:v>42807</c:v>
                </c:pt>
                <c:pt idx="420">
                  <c:v>42808</c:v>
                </c:pt>
                <c:pt idx="421">
                  <c:v>42809</c:v>
                </c:pt>
                <c:pt idx="422">
                  <c:v>42810</c:v>
                </c:pt>
                <c:pt idx="423">
                  <c:v>42811</c:v>
                </c:pt>
                <c:pt idx="424">
                  <c:v>42812</c:v>
                </c:pt>
                <c:pt idx="425">
                  <c:v>42813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42819</c:v>
                </c:pt>
                <c:pt idx="432">
                  <c:v>42820</c:v>
                </c:pt>
                <c:pt idx="433">
                  <c:v>42821</c:v>
                </c:pt>
                <c:pt idx="434">
                  <c:v>42822</c:v>
                </c:pt>
                <c:pt idx="435">
                  <c:v>42823</c:v>
                </c:pt>
                <c:pt idx="436">
                  <c:v>42824</c:v>
                </c:pt>
                <c:pt idx="437">
                  <c:v>42825</c:v>
                </c:pt>
                <c:pt idx="438">
                  <c:v>42826</c:v>
                </c:pt>
                <c:pt idx="439">
                  <c:v>42827</c:v>
                </c:pt>
                <c:pt idx="440">
                  <c:v>42828</c:v>
                </c:pt>
                <c:pt idx="441">
                  <c:v>42829</c:v>
                </c:pt>
                <c:pt idx="442">
                  <c:v>42830</c:v>
                </c:pt>
                <c:pt idx="443">
                  <c:v>42831</c:v>
                </c:pt>
                <c:pt idx="444">
                  <c:v>42832</c:v>
                </c:pt>
                <c:pt idx="445">
                  <c:v>42833</c:v>
                </c:pt>
                <c:pt idx="446">
                  <c:v>42834</c:v>
                </c:pt>
                <c:pt idx="447">
                  <c:v>42835</c:v>
                </c:pt>
                <c:pt idx="448">
                  <c:v>42836</c:v>
                </c:pt>
                <c:pt idx="449">
                  <c:v>42837</c:v>
                </c:pt>
                <c:pt idx="450">
                  <c:v>42838</c:v>
                </c:pt>
                <c:pt idx="451">
                  <c:v>42839</c:v>
                </c:pt>
                <c:pt idx="452">
                  <c:v>42840</c:v>
                </c:pt>
                <c:pt idx="453">
                  <c:v>42841</c:v>
                </c:pt>
                <c:pt idx="454">
                  <c:v>42842</c:v>
                </c:pt>
                <c:pt idx="455">
                  <c:v>42843</c:v>
                </c:pt>
                <c:pt idx="456">
                  <c:v>42844</c:v>
                </c:pt>
                <c:pt idx="457">
                  <c:v>42845</c:v>
                </c:pt>
                <c:pt idx="458">
                  <c:v>42846</c:v>
                </c:pt>
                <c:pt idx="459">
                  <c:v>42847</c:v>
                </c:pt>
                <c:pt idx="460">
                  <c:v>42848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42854</c:v>
                </c:pt>
                <c:pt idx="467">
                  <c:v>42855</c:v>
                </c:pt>
                <c:pt idx="468">
                  <c:v>42856</c:v>
                </c:pt>
                <c:pt idx="469">
                  <c:v>42857</c:v>
                </c:pt>
                <c:pt idx="470">
                  <c:v>42858</c:v>
                </c:pt>
                <c:pt idx="471">
                  <c:v>42859</c:v>
                </c:pt>
                <c:pt idx="472">
                  <c:v>42860</c:v>
                </c:pt>
                <c:pt idx="473">
                  <c:v>42861</c:v>
                </c:pt>
                <c:pt idx="474">
                  <c:v>42862</c:v>
                </c:pt>
                <c:pt idx="475">
                  <c:v>42863</c:v>
                </c:pt>
                <c:pt idx="476">
                  <c:v>42864</c:v>
                </c:pt>
                <c:pt idx="477">
                  <c:v>42865</c:v>
                </c:pt>
                <c:pt idx="478">
                  <c:v>42866</c:v>
                </c:pt>
                <c:pt idx="479">
                  <c:v>42867</c:v>
                </c:pt>
                <c:pt idx="480">
                  <c:v>42868</c:v>
                </c:pt>
                <c:pt idx="481">
                  <c:v>42869</c:v>
                </c:pt>
                <c:pt idx="482">
                  <c:v>42870</c:v>
                </c:pt>
                <c:pt idx="483">
                  <c:v>42871</c:v>
                </c:pt>
                <c:pt idx="484">
                  <c:v>42872</c:v>
                </c:pt>
                <c:pt idx="485">
                  <c:v>42873</c:v>
                </c:pt>
                <c:pt idx="486">
                  <c:v>42874</c:v>
                </c:pt>
                <c:pt idx="487">
                  <c:v>42875</c:v>
                </c:pt>
                <c:pt idx="488">
                  <c:v>42876</c:v>
                </c:pt>
                <c:pt idx="489">
                  <c:v>42877</c:v>
                </c:pt>
                <c:pt idx="490">
                  <c:v>42878</c:v>
                </c:pt>
                <c:pt idx="491">
                  <c:v>42879</c:v>
                </c:pt>
                <c:pt idx="492">
                  <c:v>42880</c:v>
                </c:pt>
                <c:pt idx="493">
                  <c:v>42881</c:v>
                </c:pt>
                <c:pt idx="494">
                  <c:v>42882</c:v>
                </c:pt>
                <c:pt idx="495">
                  <c:v>42883</c:v>
                </c:pt>
                <c:pt idx="496">
                  <c:v>42884</c:v>
                </c:pt>
                <c:pt idx="497">
                  <c:v>42885</c:v>
                </c:pt>
                <c:pt idx="498">
                  <c:v>42886</c:v>
                </c:pt>
                <c:pt idx="499">
                  <c:v>42887</c:v>
                </c:pt>
                <c:pt idx="500">
                  <c:v>42888</c:v>
                </c:pt>
                <c:pt idx="501">
                  <c:v>42889</c:v>
                </c:pt>
                <c:pt idx="502">
                  <c:v>42890</c:v>
                </c:pt>
                <c:pt idx="503">
                  <c:v>42891</c:v>
                </c:pt>
                <c:pt idx="504">
                  <c:v>42892</c:v>
                </c:pt>
                <c:pt idx="505">
                  <c:v>42893</c:v>
                </c:pt>
                <c:pt idx="506">
                  <c:v>42894</c:v>
                </c:pt>
                <c:pt idx="507">
                  <c:v>42895</c:v>
                </c:pt>
                <c:pt idx="508">
                  <c:v>42896</c:v>
                </c:pt>
                <c:pt idx="509">
                  <c:v>42897</c:v>
                </c:pt>
                <c:pt idx="510">
                  <c:v>42898</c:v>
                </c:pt>
                <c:pt idx="511">
                  <c:v>42899</c:v>
                </c:pt>
                <c:pt idx="512">
                  <c:v>42900</c:v>
                </c:pt>
                <c:pt idx="513">
                  <c:v>42901</c:v>
                </c:pt>
                <c:pt idx="514">
                  <c:v>42902</c:v>
                </c:pt>
                <c:pt idx="515">
                  <c:v>42903</c:v>
                </c:pt>
                <c:pt idx="516">
                  <c:v>42904</c:v>
                </c:pt>
                <c:pt idx="517">
                  <c:v>42905</c:v>
                </c:pt>
                <c:pt idx="518">
                  <c:v>42906</c:v>
                </c:pt>
                <c:pt idx="519">
                  <c:v>42907</c:v>
                </c:pt>
                <c:pt idx="520">
                  <c:v>42908</c:v>
                </c:pt>
                <c:pt idx="521">
                  <c:v>42909</c:v>
                </c:pt>
                <c:pt idx="522">
                  <c:v>42910</c:v>
                </c:pt>
                <c:pt idx="523">
                  <c:v>42911</c:v>
                </c:pt>
                <c:pt idx="524">
                  <c:v>42912</c:v>
                </c:pt>
                <c:pt idx="525">
                  <c:v>42913</c:v>
                </c:pt>
                <c:pt idx="526">
                  <c:v>42914</c:v>
                </c:pt>
                <c:pt idx="527">
                  <c:v>42915</c:v>
                </c:pt>
                <c:pt idx="528">
                  <c:v>42916</c:v>
                </c:pt>
                <c:pt idx="529">
                  <c:v>42917</c:v>
                </c:pt>
                <c:pt idx="530">
                  <c:v>42918</c:v>
                </c:pt>
                <c:pt idx="531">
                  <c:v>42919</c:v>
                </c:pt>
                <c:pt idx="532">
                  <c:v>42920</c:v>
                </c:pt>
                <c:pt idx="533">
                  <c:v>42921</c:v>
                </c:pt>
                <c:pt idx="534">
                  <c:v>42922</c:v>
                </c:pt>
                <c:pt idx="535">
                  <c:v>42923</c:v>
                </c:pt>
                <c:pt idx="536">
                  <c:v>42924</c:v>
                </c:pt>
                <c:pt idx="537">
                  <c:v>42925</c:v>
                </c:pt>
                <c:pt idx="538">
                  <c:v>42926</c:v>
                </c:pt>
                <c:pt idx="539">
                  <c:v>42927</c:v>
                </c:pt>
                <c:pt idx="540">
                  <c:v>42928</c:v>
                </c:pt>
                <c:pt idx="541">
                  <c:v>42929</c:v>
                </c:pt>
                <c:pt idx="542">
                  <c:v>42930</c:v>
                </c:pt>
                <c:pt idx="543">
                  <c:v>42931</c:v>
                </c:pt>
                <c:pt idx="544">
                  <c:v>42932</c:v>
                </c:pt>
                <c:pt idx="545">
                  <c:v>42933</c:v>
                </c:pt>
                <c:pt idx="546">
                  <c:v>42934</c:v>
                </c:pt>
                <c:pt idx="547">
                  <c:v>42935</c:v>
                </c:pt>
                <c:pt idx="548">
                  <c:v>42936</c:v>
                </c:pt>
                <c:pt idx="549">
                  <c:v>42937</c:v>
                </c:pt>
                <c:pt idx="550">
                  <c:v>42938</c:v>
                </c:pt>
                <c:pt idx="551">
                  <c:v>42939</c:v>
                </c:pt>
                <c:pt idx="552">
                  <c:v>42940</c:v>
                </c:pt>
                <c:pt idx="553">
                  <c:v>42941</c:v>
                </c:pt>
                <c:pt idx="554">
                  <c:v>42942</c:v>
                </c:pt>
                <c:pt idx="555">
                  <c:v>42943</c:v>
                </c:pt>
                <c:pt idx="556">
                  <c:v>42944</c:v>
                </c:pt>
                <c:pt idx="557">
                  <c:v>42945</c:v>
                </c:pt>
                <c:pt idx="558">
                  <c:v>42946</c:v>
                </c:pt>
                <c:pt idx="559">
                  <c:v>42947</c:v>
                </c:pt>
                <c:pt idx="560">
                  <c:v>42948</c:v>
                </c:pt>
                <c:pt idx="561">
                  <c:v>42949</c:v>
                </c:pt>
                <c:pt idx="562">
                  <c:v>42950</c:v>
                </c:pt>
                <c:pt idx="563">
                  <c:v>42951</c:v>
                </c:pt>
                <c:pt idx="564">
                  <c:v>42952</c:v>
                </c:pt>
                <c:pt idx="565">
                  <c:v>42953</c:v>
                </c:pt>
                <c:pt idx="566">
                  <c:v>42954</c:v>
                </c:pt>
                <c:pt idx="567">
                  <c:v>42955</c:v>
                </c:pt>
                <c:pt idx="568">
                  <c:v>42956</c:v>
                </c:pt>
                <c:pt idx="569">
                  <c:v>42957</c:v>
                </c:pt>
                <c:pt idx="570">
                  <c:v>42958</c:v>
                </c:pt>
                <c:pt idx="571">
                  <c:v>42959</c:v>
                </c:pt>
                <c:pt idx="572">
                  <c:v>42960</c:v>
                </c:pt>
                <c:pt idx="573">
                  <c:v>42961</c:v>
                </c:pt>
                <c:pt idx="574">
                  <c:v>42962</c:v>
                </c:pt>
                <c:pt idx="575">
                  <c:v>42963</c:v>
                </c:pt>
                <c:pt idx="576">
                  <c:v>42964</c:v>
                </c:pt>
                <c:pt idx="577">
                  <c:v>42965</c:v>
                </c:pt>
                <c:pt idx="578">
                  <c:v>42966</c:v>
                </c:pt>
                <c:pt idx="579">
                  <c:v>42967</c:v>
                </c:pt>
                <c:pt idx="580">
                  <c:v>42968</c:v>
                </c:pt>
                <c:pt idx="581">
                  <c:v>42969</c:v>
                </c:pt>
                <c:pt idx="582">
                  <c:v>42970</c:v>
                </c:pt>
                <c:pt idx="583">
                  <c:v>42971</c:v>
                </c:pt>
                <c:pt idx="584">
                  <c:v>42972</c:v>
                </c:pt>
                <c:pt idx="585">
                  <c:v>42973</c:v>
                </c:pt>
                <c:pt idx="586">
                  <c:v>42974</c:v>
                </c:pt>
                <c:pt idx="587">
                  <c:v>42975</c:v>
                </c:pt>
                <c:pt idx="588">
                  <c:v>42976</c:v>
                </c:pt>
                <c:pt idx="589">
                  <c:v>42977</c:v>
                </c:pt>
                <c:pt idx="590">
                  <c:v>42978</c:v>
                </c:pt>
                <c:pt idx="591">
                  <c:v>42979</c:v>
                </c:pt>
                <c:pt idx="592">
                  <c:v>42980</c:v>
                </c:pt>
                <c:pt idx="593">
                  <c:v>42981</c:v>
                </c:pt>
                <c:pt idx="594">
                  <c:v>42982</c:v>
                </c:pt>
                <c:pt idx="595">
                  <c:v>42983</c:v>
                </c:pt>
                <c:pt idx="596">
                  <c:v>42984</c:v>
                </c:pt>
                <c:pt idx="597">
                  <c:v>42985</c:v>
                </c:pt>
                <c:pt idx="598">
                  <c:v>42986</c:v>
                </c:pt>
                <c:pt idx="599">
                  <c:v>42987</c:v>
                </c:pt>
                <c:pt idx="600">
                  <c:v>42988</c:v>
                </c:pt>
                <c:pt idx="601">
                  <c:v>42989</c:v>
                </c:pt>
                <c:pt idx="602">
                  <c:v>42990</c:v>
                </c:pt>
                <c:pt idx="603">
                  <c:v>42991</c:v>
                </c:pt>
                <c:pt idx="604">
                  <c:v>42992</c:v>
                </c:pt>
                <c:pt idx="605">
                  <c:v>42993</c:v>
                </c:pt>
                <c:pt idx="606">
                  <c:v>42994</c:v>
                </c:pt>
                <c:pt idx="607">
                  <c:v>42995</c:v>
                </c:pt>
                <c:pt idx="608">
                  <c:v>42996</c:v>
                </c:pt>
                <c:pt idx="609">
                  <c:v>42997</c:v>
                </c:pt>
                <c:pt idx="610">
                  <c:v>42998</c:v>
                </c:pt>
                <c:pt idx="611">
                  <c:v>42999</c:v>
                </c:pt>
                <c:pt idx="612">
                  <c:v>43000</c:v>
                </c:pt>
                <c:pt idx="613">
                  <c:v>43001</c:v>
                </c:pt>
                <c:pt idx="614">
                  <c:v>43002</c:v>
                </c:pt>
                <c:pt idx="615">
                  <c:v>43003</c:v>
                </c:pt>
                <c:pt idx="616">
                  <c:v>43004</c:v>
                </c:pt>
                <c:pt idx="617">
                  <c:v>43005</c:v>
                </c:pt>
                <c:pt idx="618">
                  <c:v>43006</c:v>
                </c:pt>
                <c:pt idx="619">
                  <c:v>43007</c:v>
                </c:pt>
                <c:pt idx="620">
                  <c:v>43008</c:v>
                </c:pt>
                <c:pt idx="621">
                  <c:v>43009</c:v>
                </c:pt>
                <c:pt idx="622">
                  <c:v>43010</c:v>
                </c:pt>
                <c:pt idx="623">
                  <c:v>43011</c:v>
                </c:pt>
                <c:pt idx="624">
                  <c:v>43012</c:v>
                </c:pt>
                <c:pt idx="625">
                  <c:v>43013</c:v>
                </c:pt>
                <c:pt idx="626">
                  <c:v>43014</c:v>
                </c:pt>
                <c:pt idx="627">
                  <c:v>43015</c:v>
                </c:pt>
                <c:pt idx="628">
                  <c:v>43016</c:v>
                </c:pt>
                <c:pt idx="629">
                  <c:v>43017</c:v>
                </c:pt>
                <c:pt idx="630">
                  <c:v>43018</c:v>
                </c:pt>
                <c:pt idx="631">
                  <c:v>43019</c:v>
                </c:pt>
                <c:pt idx="632">
                  <c:v>43020</c:v>
                </c:pt>
                <c:pt idx="633">
                  <c:v>43021</c:v>
                </c:pt>
                <c:pt idx="634">
                  <c:v>43022</c:v>
                </c:pt>
                <c:pt idx="635">
                  <c:v>43023</c:v>
                </c:pt>
                <c:pt idx="636">
                  <c:v>43024</c:v>
                </c:pt>
                <c:pt idx="637">
                  <c:v>43025</c:v>
                </c:pt>
                <c:pt idx="638">
                  <c:v>43026</c:v>
                </c:pt>
                <c:pt idx="639">
                  <c:v>43027</c:v>
                </c:pt>
                <c:pt idx="640">
                  <c:v>43028</c:v>
                </c:pt>
                <c:pt idx="641">
                  <c:v>43029</c:v>
                </c:pt>
                <c:pt idx="642">
                  <c:v>43030</c:v>
                </c:pt>
                <c:pt idx="643">
                  <c:v>43031</c:v>
                </c:pt>
                <c:pt idx="644">
                  <c:v>43032</c:v>
                </c:pt>
                <c:pt idx="645">
                  <c:v>43033</c:v>
                </c:pt>
                <c:pt idx="646">
                  <c:v>43034</c:v>
                </c:pt>
                <c:pt idx="647">
                  <c:v>43035</c:v>
                </c:pt>
                <c:pt idx="648">
                  <c:v>43036</c:v>
                </c:pt>
                <c:pt idx="649">
                  <c:v>43037</c:v>
                </c:pt>
                <c:pt idx="650">
                  <c:v>43038</c:v>
                </c:pt>
                <c:pt idx="651">
                  <c:v>43039</c:v>
                </c:pt>
                <c:pt idx="652">
                  <c:v>43040</c:v>
                </c:pt>
                <c:pt idx="653">
                  <c:v>43041</c:v>
                </c:pt>
                <c:pt idx="654">
                  <c:v>43042</c:v>
                </c:pt>
                <c:pt idx="655">
                  <c:v>43043</c:v>
                </c:pt>
                <c:pt idx="656">
                  <c:v>43044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43050</c:v>
                </c:pt>
                <c:pt idx="663">
                  <c:v>43051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43057</c:v>
                </c:pt>
                <c:pt idx="670">
                  <c:v>43058</c:v>
                </c:pt>
                <c:pt idx="671">
                  <c:v>43059</c:v>
                </c:pt>
                <c:pt idx="672">
                  <c:v>43060</c:v>
                </c:pt>
                <c:pt idx="673">
                  <c:v>43061</c:v>
                </c:pt>
                <c:pt idx="674">
                  <c:v>43062</c:v>
                </c:pt>
                <c:pt idx="675">
                  <c:v>43063</c:v>
                </c:pt>
                <c:pt idx="676">
                  <c:v>43064</c:v>
                </c:pt>
                <c:pt idx="677">
                  <c:v>43065</c:v>
                </c:pt>
                <c:pt idx="678">
                  <c:v>43066</c:v>
                </c:pt>
                <c:pt idx="679">
                  <c:v>43067</c:v>
                </c:pt>
                <c:pt idx="680">
                  <c:v>43068</c:v>
                </c:pt>
                <c:pt idx="681">
                  <c:v>43069</c:v>
                </c:pt>
                <c:pt idx="682">
                  <c:v>43070</c:v>
                </c:pt>
                <c:pt idx="683">
                  <c:v>43071</c:v>
                </c:pt>
                <c:pt idx="684">
                  <c:v>43072</c:v>
                </c:pt>
                <c:pt idx="685">
                  <c:v>43073</c:v>
                </c:pt>
                <c:pt idx="686">
                  <c:v>43074</c:v>
                </c:pt>
                <c:pt idx="687">
                  <c:v>43075</c:v>
                </c:pt>
                <c:pt idx="688">
                  <c:v>43076</c:v>
                </c:pt>
                <c:pt idx="689">
                  <c:v>43077</c:v>
                </c:pt>
                <c:pt idx="690">
                  <c:v>43078</c:v>
                </c:pt>
                <c:pt idx="691">
                  <c:v>43079</c:v>
                </c:pt>
                <c:pt idx="692">
                  <c:v>43080</c:v>
                </c:pt>
                <c:pt idx="693">
                  <c:v>43081</c:v>
                </c:pt>
                <c:pt idx="694">
                  <c:v>43082</c:v>
                </c:pt>
                <c:pt idx="695">
                  <c:v>43083</c:v>
                </c:pt>
                <c:pt idx="696">
                  <c:v>43084</c:v>
                </c:pt>
                <c:pt idx="697">
                  <c:v>43085</c:v>
                </c:pt>
                <c:pt idx="698">
                  <c:v>43086</c:v>
                </c:pt>
                <c:pt idx="699">
                  <c:v>43087</c:v>
                </c:pt>
                <c:pt idx="700">
                  <c:v>43088</c:v>
                </c:pt>
                <c:pt idx="701">
                  <c:v>43089</c:v>
                </c:pt>
                <c:pt idx="702">
                  <c:v>43090</c:v>
                </c:pt>
                <c:pt idx="703">
                  <c:v>43091</c:v>
                </c:pt>
                <c:pt idx="704">
                  <c:v>43092</c:v>
                </c:pt>
                <c:pt idx="705">
                  <c:v>43093</c:v>
                </c:pt>
                <c:pt idx="706">
                  <c:v>43094</c:v>
                </c:pt>
                <c:pt idx="707">
                  <c:v>43095</c:v>
                </c:pt>
                <c:pt idx="708">
                  <c:v>43096</c:v>
                </c:pt>
                <c:pt idx="709">
                  <c:v>43097</c:v>
                </c:pt>
                <c:pt idx="710">
                  <c:v>43098</c:v>
                </c:pt>
                <c:pt idx="711">
                  <c:v>43099</c:v>
                </c:pt>
                <c:pt idx="712">
                  <c:v>43100</c:v>
                </c:pt>
                <c:pt idx="713">
                  <c:v>43101</c:v>
                </c:pt>
              </c:numCache>
            </c:numRef>
          </c:cat>
          <c:val>
            <c:numRef>
              <c:f>Bitcoin!$C$5:$C$718</c:f>
              <c:numCache>
                <c:formatCode>0.0%</c:formatCode>
                <c:ptCount val="714"/>
                <c:pt idx="0">
                  <c:v>0</c:v>
                </c:pt>
                <c:pt idx="1">
                  <c:v>-2.9953917050691281E-3</c:v>
                </c:pt>
                <c:pt idx="2">
                  <c:v>-1.2211981566820351E-2</c:v>
                </c:pt>
                <c:pt idx="3">
                  <c:v>-2.5345622119816724E-3</c:v>
                </c:pt>
                <c:pt idx="4">
                  <c:v>-5.0691244239631228E-3</c:v>
                </c:pt>
                <c:pt idx="5">
                  <c:v>-1.3824884792626779E-2</c:v>
                </c:pt>
                <c:pt idx="6">
                  <c:v>0</c:v>
                </c:pt>
                <c:pt idx="7">
                  <c:v>-1.089324618736387E-2</c:v>
                </c:pt>
                <c:pt idx="8">
                  <c:v>-2.1350762527233114E-2</c:v>
                </c:pt>
                <c:pt idx="9">
                  <c:v>-2.0915032679738599E-2</c:v>
                </c:pt>
                <c:pt idx="10">
                  <c:v>-2.1132897603485801E-2</c:v>
                </c:pt>
                <c:pt idx="11">
                  <c:v>-5.8823529411764719E-2</c:v>
                </c:pt>
                <c:pt idx="12">
                  <c:v>-6.0784313725490091E-2</c:v>
                </c:pt>
                <c:pt idx="13">
                  <c:v>-6.4705882352941169E-2</c:v>
                </c:pt>
                <c:pt idx="14">
                  <c:v>-0.21808278867102404</c:v>
                </c:pt>
                <c:pt idx="15">
                  <c:v>-0.15381263616557739</c:v>
                </c:pt>
                <c:pt idx="16">
                  <c:v>-0.16753812636165577</c:v>
                </c:pt>
                <c:pt idx="17">
                  <c:v>-0.15686274509803921</c:v>
                </c:pt>
                <c:pt idx="18">
                  <c:v>-0.17429193899782136</c:v>
                </c:pt>
                <c:pt idx="19">
                  <c:v>-8.6274509803921595E-2</c:v>
                </c:pt>
                <c:pt idx="20">
                  <c:v>-0.10457516339869277</c:v>
                </c:pt>
                <c:pt idx="21">
                  <c:v>-0.16993464052287577</c:v>
                </c:pt>
                <c:pt idx="22">
                  <c:v>-0.15991285403050104</c:v>
                </c:pt>
                <c:pt idx="23">
                  <c:v>-0.12244008714596943</c:v>
                </c:pt>
                <c:pt idx="24">
                  <c:v>-0.14814814814814814</c:v>
                </c:pt>
                <c:pt idx="25">
                  <c:v>-0.14749455337690631</c:v>
                </c:pt>
                <c:pt idx="26">
                  <c:v>-0.13943355119825707</c:v>
                </c:pt>
                <c:pt idx="27">
                  <c:v>-0.17559912854030502</c:v>
                </c:pt>
                <c:pt idx="28">
                  <c:v>-0.17734204793028319</c:v>
                </c:pt>
                <c:pt idx="29">
                  <c:v>-0.17864923747276684</c:v>
                </c:pt>
                <c:pt idx="30">
                  <c:v>-0.20370370370370372</c:v>
                </c:pt>
                <c:pt idx="31">
                  <c:v>-0.19084967320261448</c:v>
                </c:pt>
                <c:pt idx="32">
                  <c:v>-0.18758169934640523</c:v>
                </c:pt>
                <c:pt idx="33">
                  <c:v>-0.19607843137254899</c:v>
                </c:pt>
                <c:pt idx="34">
                  <c:v>-0.15076252723311545</c:v>
                </c:pt>
                <c:pt idx="35">
                  <c:v>-0.15795206971677556</c:v>
                </c:pt>
                <c:pt idx="36">
                  <c:v>-0.18562091503267975</c:v>
                </c:pt>
                <c:pt idx="37">
                  <c:v>-0.18954248366013071</c:v>
                </c:pt>
                <c:pt idx="38">
                  <c:v>-0.19281045751633985</c:v>
                </c:pt>
                <c:pt idx="39">
                  <c:v>-0.18518518518518523</c:v>
                </c:pt>
                <c:pt idx="40">
                  <c:v>-0.17015250544662319</c:v>
                </c:pt>
                <c:pt idx="41">
                  <c:v>-0.17647058823529416</c:v>
                </c:pt>
                <c:pt idx="42">
                  <c:v>-0.16557734204793029</c:v>
                </c:pt>
                <c:pt idx="43">
                  <c:v>-0.14379084967320266</c:v>
                </c:pt>
                <c:pt idx="44">
                  <c:v>-0.11045751633986922</c:v>
                </c:pt>
                <c:pt idx="45">
                  <c:v>-0.12875816993464062</c:v>
                </c:pt>
                <c:pt idx="46">
                  <c:v>-0.11263616557734202</c:v>
                </c:pt>
                <c:pt idx="47">
                  <c:v>-9.6078431372549122E-2</c:v>
                </c:pt>
                <c:pt idx="48">
                  <c:v>-8.1699346405228801E-2</c:v>
                </c:pt>
                <c:pt idx="49">
                  <c:v>-8.496732026143794E-2</c:v>
                </c:pt>
                <c:pt idx="50">
                  <c:v>-4.4226579520697196E-2</c:v>
                </c:pt>
                <c:pt idx="51">
                  <c:v>-4.0305010893246229E-2</c:v>
                </c:pt>
                <c:pt idx="52">
                  <c:v>-4.0740740740740744E-2</c:v>
                </c:pt>
                <c:pt idx="53">
                  <c:v>-8.2570806100217831E-2</c:v>
                </c:pt>
                <c:pt idx="54">
                  <c:v>-7.1023965141612244E-2</c:v>
                </c:pt>
                <c:pt idx="55">
                  <c:v>-7.4291938997821383E-2</c:v>
                </c:pt>
                <c:pt idx="56">
                  <c:v>-5.1633986928104503E-2</c:v>
                </c:pt>
                <c:pt idx="57">
                  <c:v>-5.4030501089324612E-2</c:v>
                </c:pt>
                <c:pt idx="58">
                  <c:v>-5.3376906318082784E-2</c:v>
                </c:pt>
                <c:pt idx="59">
                  <c:v>-4.3137254901960853E-2</c:v>
                </c:pt>
                <c:pt idx="60">
                  <c:v>-5.2723311546840956E-2</c:v>
                </c:pt>
                <c:pt idx="61">
                  <c:v>-8.0174291938997833E-2</c:v>
                </c:pt>
                <c:pt idx="62">
                  <c:v>-8.3660130718954173E-2</c:v>
                </c:pt>
                <c:pt idx="63">
                  <c:v>-0.10936819172113288</c:v>
                </c:pt>
                <c:pt idx="64">
                  <c:v>-0.13420479302832244</c:v>
                </c:pt>
                <c:pt idx="65">
                  <c:v>-0.12004357298474955</c:v>
                </c:pt>
                <c:pt idx="66">
                  <c:v>-0.10087145969498912</c:v>
                </c:pt>
                <c:pt idx="67">
                  <c:v>-0.10370370370370374</c:v>
                </c:pt>
                <c:pt idx="68">
                  <c:v>-0.1004357298474946</c:v>
                </c:pt>
                <c:pt idx="69">
                  <c:v>-9.259259259259256E-2</c:v>
                </c:pt>
                <c:pt idx="70">
                  <c:v>-8.3877995642701486E-2</c:v>
                </c:pt>
                <c:pt idx="71">
                  <c:v>-0.10675381263616557</c:v>
                </c:pt>
                <c:pt idx="72">
                  <c:v>-0.1028322440087146</c:v>
                </c:pt>
                <c:pt idx="73">
                  <c:v>-9.3681917211329013E-2</c:v>
                </c:pt>
                <c:pt idx="74">
                  <c:v>-9.4771241830065356E-2</c:v>
                </c:pt>
                <c:pt idx="75">
                  <c:v>-9.0849673202614389E-2</c:v>
                </c:pt>
                <c:pt idx="76">
                  <c:v>-8.7581699346405251E-2</c:v>
                </c:pt>
                <c:pt idx="77">
                  <c:v>-0.11176470588235299</c:v>
                </c:pt>
                <c:pt idx="78">
                  <c:v>-0.11023965141612202</c:v>
                </c:pt>
                <c:pt idx="79">
                  <c:v>-0.10392156862745094</c:v>
                </c:pt>
                <c:pt idx="80">
                  <c:v>-0.1026143790849674</c:v>
                </c:pt>
                <c:pt idx="81">
                  <c:v>-8.9978213507625249E-2</c:v>
                </c:pt>
                <c:pt idx="82">
                  <c:v>-8.9106753812636108E-2</c:v>
                </c:pt>
                <c:pt idx="83">
                  <c:v>-9.5206971677559871E-2</c:v>
                </c:pt>
                <c:pt idx="84">
                  <c:v>-9.3681917211329013E-2</c:v>
                </c:pt>
                <c:pt idx="85">
                  <c:v>-9.2156862745098045E-2</c:v>
                </c:pt>
                <c:pt idx="86">
                  <c:v>-6.8845315904139448E-2</c:v>
                </c:pt>
                <c:pt idx="87">
                  <c:v>-7.6034858387799553E-2</c:v>
                </c:pt>
                <c:pt idx="88">
                  <c:v>-9.4117647058823528E-2</c:v>
                </c:pt>
                <c:pt idx="89">
                  <c:v>-9.9782135076252776E-2</c:v>
                </c:pt>
                <c:pt idx="90">
                  <c:v>-9.3681917211329013E-2</c:v>
                </c:pt>
                <c:pt idx="91">
                  <c:v>-9.0196078431372451E-2</c:v>
                </c:pt>
                <c:pt idx="92">
                  <c:v>-8.4313725490196001E-2</c:v>
                </c:pt>
                <c:pt idx="93">
                  <c:v>-8.3660130718954173E-2</c:v>
                </c:pt>
                <c:pt idx="94">
                  <c:v>-8.3877995642701486E-2</c:v>
                </c:pt>
                <c:pt idx="95">
                  <c:v>-7.6688453159041381E-2</c:v>
                </c:pt>
                <c:pt idx="96">
                  <c:v>-7.9302832244008692E-2</c:v>
                </c:pt>
                <c:pt idx="97">
                  <c:v>-7.995642701525052E-2</c:v>
                </c:pt>
                <c:pt idx="98">
                  <c:v>-8.8235294117647078E-2</c:v>
                </c:pt>
                <c:pt idx="99">
                  <c:v>-8.8235294117647078E-2</c:v>
                </c:pt>
                <c:pt idx="100">
                  <c:v>-8.2135076252723316E-2</c:v>
                </c:pt>
                <c:pt idx="101">
                  <c:v>-7.6906318082788694E-2</c:v>
                </c:pt>
                <c:pt idx="102">
                  <c:v>-7.0588235294117618E-2</c:v>
                </c:pt>
                <c:pt idx="103">
                  <c:v>-7.4509803921568585E-2</c:v>
                </c:pt>
                <c:pt idx="104">
                  <c:v>-7.1895424836601274E-2</c:v>
                </c:pt>
                <c:pt idx="105">
                  <c:v>-5.9912854030501062E-2</c:v>
                </c:pt>
                <c:pt idx="106">
                  <c:v>-5.8823529411764719E-2</c:v>
                </c:pt>
                <c:pt idx="107">
                  <c:v>-6.6448801742919339E-2</c:v>
                </c:pt>
                <c:pt idx="108">
                  <c:v>-6.31808278867102E-2</c:v>
                </c:pt>
                <c:pt idx="109">
                  <c:v>-4.6187363834422679E-2</c:v>
                </c:pt>
                <c:pt idx="110">
                  <c:v>-3.2679738562091498E-2</c:v>
                </c:pt>
                <c:pt idx="111">
                  <c:v>-1.5250544662309351E-2</c:v>
                </c:pt>
                <c:pt idx="112">
                  <c:v>-2.4400871459694939E-2</c:v>
                </c:pt>
                <c:pt idx="113">
                  <c:v>-1.1546840958605697E-2</c:v>
                </c:pt>
                <c:pt idx="114">
                  <c:v>0</c:v>
                </c:pt>
                <c:pt idx="115">
                  <c:v>-2.5917926565874883E-3</c:v>
                </c:pt>
                <c:pt idx="116">
                  <c:v>0</c:v>
                </c:pt>
                <c:pt idx="117">
                  <c:v>-4.9134800256355526E-2</c:v>
                </c:pt>
                <c:pt idx="118">
                  <c:v>-3.7598803674428583E-2</c:v>
                </c:pt>
                <c:pt idx="119">
                  <c:v>-2.7344584490493484E-2</c:v>
                </c:pt>
                <c:pt idx="120">
                  <c:v>-4.5930356761375801E-2</c:v>
                </c:pt>
                <c:pt idx="121">
                  <c:v>-3.6317026276436626E-2</c:v>
                </c:pt>
                <c:pt idx="122">
                  <c:v>-5.2125614185003277E-2</c:v>
                </c:pt>
                <c:pt idx="123">
                  <c:v>-3.7812433240760668E-2</c:v>
                </c:pt>
                <c:pt idx="124">
                  <c:v>-4.4221320230720007E-2</c:v>
                </c:pt>
                <c:pt idx="125">
                  <c:v>-4.2085024567400264E-2</c:v>
                </c:pt>
                <c:pt idx="126">
                  <c:v>-1.4740440076906669E-2</c:v>
                </c:pt>
                <c:pt idx="127">
                  <c:v>-1.6876735740226523E-2</c:v>
                </c:pt>
                <c:pt idx="128">
                  <c:v>-1.7517624439222446E-2</c:v>
                </c:pt>
                <c:pt idx="129">
                  <c:v>-1.3885921811578772E-2</c:v>
                </c:pt>
                <c:pt idx="130">
                  <c:v>-3.7171544541764634E-2</c:v>
                </c:pt>
                <c:pt idx="131">
                  <c:v>-3.3753471480452935E-2</c:v>
                </c:pt>
                <c:pt idx="132">
                  <c:v>-2.7985473189489518E-2</c:v>
                </c:pt>
                <c:pt idx="133">
                  <c:v>-2.6276436658833613E-2</c:v>
                </c:pt>
                <c:pt idx="134">
                  <c:v>-2.6276436658833613E-2</c:v>
                </c:pt>
                <c:pt idx="135">
                  <c:v>-2.1790215765862042E-2</c:v>
                </c:pt>
                <c:pt idx="136">
                  <c:v>-3.2258064516129115E-2</c:v>
                </c:pt>
                <c:pt idx="137">
                  <c:v>-3.1830805383465166E-2</c:v>
                </c:pt>
                <c:pt idx="138">
                  <c:v>-3.1189916684469132E-2</c:v>
                </c:pt>
                <c:pt idx="139">
                  <c:v>-7.0711386455885594E-2</c:v>
                </c:pt>
                <c:pt idx="140">
                  <c:v>-5.6611835077974737E-2</c:v>
                </c:pt>
                <c:pt idx="141">
                  <c:v>-5.8320871608630642E-2</c:v>
                </c:pt>
                <c:pt idx="142">
                  <c:v>-6.5370647297586015E-2</c:v>
                </c:pt>
                <c:pt idx="143">
                  <c:v>-5.2125614185003277E-2</c:v>
                </c:pt>
                <c:pt idx="144">
                  <c:v>-4.9348429822687501E-2</c:v>
                </c:pt>
                <c:pt idx="145">
                  <c:v>-4.0589617603076222E-2</c:v>
                </c:pt>
                <c:pt idx="146">
                  <c:v>-3.0121768852809261E-2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-4.1283542878587376E-3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-1.4183185235816964E-2</c:v>
                </c:pt>
                <c:pt idx="159">
                  <c:v>-3.7593984962406291E-3</c:v>
                </c:pt>
                <c:pt idx="160">
                  <c:v>-1.6575529733424577E-2</c:v>
                </c:pt>
                <c:pt idx="161">
                  <c:v>-8.7149692412851198E-3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-3.0315908768947408E-2</c:v>
                </c:pt>
                <c:pt idx="166">
                  <c:v>-1.2749681257968604E-2</c:v>
                </c:pt>
                <c:pt idx="167">
                  <c:v>0</c:v>
                </c:pt>
                <c:pt idx="168">
                  <c:v>-2.7030539311240998E-2</c:v>
                </c:pt>
                <c:pt idx="169">
                  <c:v>-1.5464587394411922E-2</c:v>
                </c:pt>
                <c:pt idx="170">
                  <c:v>-2.8589993502274869E-3</c:v>
                </c:pt>
                <c:pt idx="171">
                  <c:v>-3.3268356075373595E-2</c:v>
                </c:pt>
                <c:pt idx="172">
                  <c:v>-0.13073424301494485</c:v>
                </c:pt>
                <c:pt idx="173">
                  <c:v>-0.21247563352826515</c:v>
                </c:pt>
                <c:pt idx="174">
                  <c:v>-0.18674463937621844</c:v>
                </c:pt>
                <c:pt idx="175">
                  <c:v>-0.13450292397660824</c:v>
                </c:pt>
                <c:pt idx="176">
                  <c:v>-0.13593242365172198</c:v>
                </c:pt>
                <c:pt idx="177">
                  <c:v>-0.1846653671215075</c:v>
                </c:pt>
                <c:pt idx="178">
                  <c:v>-0.13944119558154644</c:v>
                </c:pt>
                <c:pt idx="179">
                  <c:v>-0.1601039636127356</c:v>
                </c:pt>
                <c:pt idx="180">
                  <c:v>-0.16868096166341773</c:v>
                </c:pt>
                <c:pt idx="181">
                  <c:v>-0.12319688109161786</c:v>
                </c:pt>
                <c:pt idx="182">
                  <c:v>-0.12306692657569851</c:v>
                </c:pt>
                <c:pt idx="183">
                  <c:v>-8.382066276803124E-2</c:v>
                </c:pt>
                <c:pt idx="184">
                  <c:v>-0.14320987654320994</c:v>
                </c:pt>
                <c:pt idx="185">
                  <c:v>-0.11461988304093573</c:v>
                </c:pt>
                <c:pt idx="186">
                  <c:v>-0.13216374269005848</c:v>
                </c:pt>
                <c:pt idx="187">
                  <c:v>-0.12020792722547113</c:v>
                </c:pt>
                <c:pt idx="188">
                  <c:v>-0.16764132553606237</c:v>
                </c:pt>
                <c:pt idx="189">
                  <c:v>-0.13606237816764144</c:v>
                </c:pt>
                <c:pt idx="190">
                  <c:v>-0.15776478232618585</c:v>
                </c:pt>
                <c:pt idx="191">
                  <c:v>-0.15568551007147491</c:v>
                </c:pt>
                <c:pt idx="192">
                  <c:v>-0.15789473684210531</c:v>
                </c:pt>
                <c:pt idx="193">
                  <c:v>-0.13294346978557503</c:v>
                </c:pt>
                <c:pt idx="194">
                  <c:v>-0.15048732943469778</c:v>
                </c:pt>
                <c:pt idx="195">
                  <c:v>-0.14256010396361285</c:v>
                </c:pt>
                <c:pt idx="196">
                  <c:v>-0.13515269655620532</c:v>
                </c:pt>
                <c:pt idx="197">
                  <c:v>-0.13541260558804424</c:v>
                </c:pt>
                <c:pt idx="198">
                  <c:v>-0.11215074723846652</c:v>
                </c:pt>
                <c:pt idx="199">
                  <c:v>-0.12371669915529571</c:v>
                </c:pt>
                <c:pt idx="200">
                  <c:v>-0.1228070175438597</c:v>
                </c:pt>
                <c:pt idx="201">
                  <c:v>-0.13476283300844705</c:v>
                </c:pt>
                <c:pt idx="202">
                  <c:v>-0.13580246913580252</c:v>
                </c:pt>
                <c:pt idx="203">
                  <c:v>-0.15789473684210531</c:v>
                </c:pt>
                <c:pt idx="204">
                  <c:v>-0.15009746588693962</c:v>
                </c:pt>
                <c:pt idx="205">
                  <c:v>-0.13996101364522429</c:v>
                </c:pt>
                <c:pt idx="206">
                  <c:v>-0.1498375568551007</c:v>
                </c:pt>
                <c:pt idx="207">
                  <c:v>-0.15724496426250811</c:v>
                </c:pt>
                <c:pt idx="208">
                  <c:v>-0.14944769330734242</c:v>
                </c:pt>
                <c:pt idx="209">
                  <c:v>-0.14450942170240422</c:v>
                </c:pt>
                <c:pt idx="210">
                  <c:v>-0.14879792072774534</c:v>
                </c:pt>
                <c:pt idx="211">
                  <c:v>-0.18947368421052624</c:v>
                </c:pt>
                <c:pt idx="212">
                  <c:v>-0.20987654320987659</c:v>
                </c:pt>
                <c:pt idx="213">
                  <c:v>-0.21507472384665371</c:v>
                </c:pt>
                <c:pt idx="214">
                  <c:v>-0.21494476933073425</c:v>
                </c:pt>
                <c:pt idx="215">
                  <c:v>-0.21494476933073425</c:v>
                </c:pt>
                <c:pt idx="216">
                  <c:v>-0.21494476933073425</c:v>
                </c:pt>
                <c:pt idx="217">
                  <c:v>-0.23287849252761539</c:v>
                </c:pt>
                <c:pt idx="218">
                  <c:v>-0.23157894736842111</c:v>
                </c:pt>
                <c:pt idx="219">
                  <c:v>-0.23911630929174787</c:v>
                </c:pt>
                <c:pt idx="220">
                  <c:v>-0.24145549057829752</c:v>
                </c:pt>
                <c:pt idx="221">
                  <c:v>-0.26003898635477585</c:v>
                </c:pt>
                <c:pt idx="222">
                  <c:v>-0.26627680311890833</c:v>
                </c:pt>
                <c:pt idx="223">
                  <c:v>-0.25380116959064325</c:v>
                </c:pt>
                <c:pt idx="224">
                  <c:v>-0.25692007797270966</c:v>
                </c:pt>
                <c:pt idx="225">
                  <c:v>-0.25640025990903181</c:v>
                </c:pt>
                <c:pt idx="226">
                  <c:v>-0.25471085120207926</c:v>
                </c:pt>
                <c:pt idx="227">
                  <c:v>-0.24366471734892792</c:v>
                </c:pt>
                <c:pt idx="228">
                  <c:v>-0.24444444444444446</c:v>
                </c:pt>
                <c:pt idx="229">
                  <c:v>-0.23586744639376223</c:v>
                </c:pt>
                <c:pt idx="230">
                  <c:v>-0.24171539961013644</c:v>
                </c:pt>
                <c:pt idx="231">
                  <c:v>-0.24587394411955821</c:v>
                </c:pt>
                <c:pt idx="232">
                  <c:v>-0.2499025341130604</c:v>
                </c:pt>
                <c:pt idx="233">
                  <c:v>-0.24886289798570504</c:v>
                </c:pt>
                <c:pt idx="234">
                  <c:v>-0.26120857699805067</c:v>
                </c:pt>
                <c:pt idx="235">
                  <c:v>-0.25380116959064325</c:v>
                </c:pt>
                <c:pt idx="236">
                  <c:v>-0.25302144249512681</c:v>
                </c:pt>
                <c:pt idx="237">
                  <c:v>-0.24691358024691357</c:v>
                </c:pt>
                <c:pt idx="238">
                  <c:v>-0.25120207927225469</c:v>
                </c:pt>
                <c:pt idx="239">
                  <c:v>-0.25575048732943462</c:v>
                </c:pt>
                <c:pt idx="240">
                  <c:v>-0.2465237166991554</c:v>
                </c:pt>
                <c:pt idx="241">
                  <c:v>-0.20740740740740748</c:v>
                </c:pt>
                <c:pt idx="242">
                  <c:v>-0.2014294996751137</c:v>
                </c:pt>
                <c:pt idx="243">
                  <c:v>-0.20532813515269654</c:v>
                </c:pt>
                <c:pt idx="244">
                  <c:v>-0.20051981806367769</c:v>
                </c:pt>
                <c:pt idx="245">
                  <c:v>-0.19454191033138413</c:v>
                </c:pt>
                <c:pt idx="246">
                  <c:v>-0.17907732293697198</c:v>
                </c:pt>
                <c:pt idx="247">
                  <c:v>-0.18609486679662124</c:v>
                </c:pt>
                <c:pt idx="248">
                  <c:v>-0.18388564002599095</c:v>
                </c:pt>
                <c:pt idx="249">
                  <c:v>-0.20454840805718</c:v>
                </c:pt>
                <c:pt idx="250">
                  <c:v>-0.20519818063677708</c:v>
                </c:pt>
                <c:pt idx="251">
                  <c:v>-0.20181936322287197</c:v>
                </c:pt>
                <c:pt idx="252">
                  <c:v>-0.20220922677063036</c:v>
                </c:pt>
                <c:pt idx="253">
                  <c:v>-0.20493827160493838</c:v>
                </c:pt>
                <c:pt idx="254">
                  <c:v>-0.20727745289148802</c:v>
                </c:pt>
                <c:pt idx="255">
                  <c:v>-0.21026640675763475</c:v>
                </c:pt>
                <c:pt idx="256">
                  <c:v>-0.20337881741390518</c:v>
                </c:pt>
                <c:pt idx="257">
                  <c:v>-0.20753736192332695</c:v>
                </c:pt>
                <c:pt idx="258">
                  <c:v>-0.22027290448343084</c:v>
                </c:pt>
                <c:pt idx="259">
                  <c:v>-0.22365172189733595</c:v>
                </c:pt>
                <c:pt idx="260">
                  <c:v>-0.22404158544509423</c:v>
                </c:pt>
                <c:pt idx="261">
                  <c:v>-0.21598440545808972</c:v>
                </c:pt>
                <c:pt idx="262">
                  <c:v>-0.21702404158544508</c:v>
                </c:pt>
                <c:pt idx="263">
                  <c:v>-0.21975308641975311</c:v>
                </c:pt>
                <c:pt idx="264">
                  <c:v>-0.20844704353476284</c:v>
                </c:pt>
                <c:pt idx="265">
                  <c:v>-0.21312540610786224</c:v>
                </c:pt>
                <c:pt idx="266">
                  <c:v>-0.21533463287849264</c:v>
                </c:pt>
                <c:pt idx="267">
                  <c:v>-0.21429499675113706</c:v>
                </c:pt>
                <c:pt idx="268">
                  <c:v>-0.20584795321637428</c:v>
                </c:pt>
                <c:pt idx="269">
                  <c:v>-0.20194931773879143</c:v>
                </c:pt>
                <c:pt idx="270">
                  <c:v>-0.20844704353476284</c:v>
                </c:pt>
                <c:pt idx="271">
                  <c:v>-0.2038986354775828</c:v>
                </c:pt>
                <c:pt idx="272">
                  <c:v>-0.20597790773229374</c:v>
                </c:pt>
                <c:pt idx="273">
                  <c:v>-0.20194931773879143</c:v>
                </c:pt>
                <c:pt idx="274">
                  <c:v>-0.20272904483430798</c:v>
                </c:pt>
                <c:pt idx="275">
                  <c:v>-0.19415204678362574</c:v>
                </c:pt>
                <c:pt idx="276">
                  <c:v>-0.19363222871994801</c:v>
                </c:pt>
                <c:pt idx="277">
                  <c:v>-0.19870045484080567</c:v>
                </c:pt>
                <c:pt idx="278">
                  <c:v>-0.19571150097465895</c:v>
                </c:pt>
                <c:pt idx="279">
                  <c:v>-0.16608187134502916</c:v>
                </c:pt>
                <c:pt idx="280">
                  <c:v>-0.17141000649772575</c:v>
                </c:pt>
                <c:pt idx="281">
                  <c:v>-0.17218973359324241</c:v>
                </c:pt>
                <c:pt idx="282">
                  <c:v>-0.16439246263807672</c:v>
                </c:pt>
                <c:pt idx="283">
                  <c:v>-0.16803118908382064</c:v>
                </c:pt>
                <c:pt idx="284">
                  <c:v>-0.16283300844704351</c:v>
                </c:pt>
                <c:pt idx="285">
                  <c:v>-0.16855100714749849</c:v>
                </c:pt>
                <c:pt idx="286">
                  <c:v>-0.16985055230669277</c:v>
                </c:pt>
                <c:pt idx="287">
                  <c:v>-0.17894736842105274</c:v>
                </c:pt>
                <c:pt idx="288">
                  <c:v>-0.17803768680961662</c:v>
                </c:pt>
                <c:pt idx="289">
                  <c:v>-0.17257959714100057</c:v>
                </c:pt>
                <c:pt idx="290">
                  <c:v>-0.13580246913580252</c:v>
                </c:pt>
                <c:pt idx="291">
                  <c:v>-0.14359974009096821</c:v>
                </c:pt>
                <c:pt idx="292">
                  <c:v>-0.1491877842755035</c:v>
                </c:pt>
                <c:pt idx="293">
                  <c:v>-0.14294996751137101</c:v>
                </c:pt>
                <c:pt idx="294">
                  <c:v>-0.11799870045484073</c:v>
                </c:pt>
                <c:pt idx="295">
                  <c:v>-0.10500324886289791</c:v>
                </c:pt>
                <c:pt idx="296">
                  <c:v>-9.8765432098765427E-2</c:v>
                </c:pt>
                <c:pt idx="297">
                  <c:v>-7.1474983755685506E-2</c:v>
                </c:pt>
                <c:pt idx="298">
                  <c:v>-8.7069525666016889E-2</c:v>
                </c:pt>
                <c:pt idx="299">
                  <c:v>-8.499025341130606E-2</c:v>
                </c:pt>
                <c:pt idx="300">
                  <c:v>-8.0701754385964941E-2</c:v>
                </c:pt>
                <c:pt idx="301">
                  <c:v>-7.4463937621832343E-2</c:v>
                </c:pt>
                <c:pt idx="302">
                  <c:v>-3.1838856400259963E-2</c:v>
                </c:pt>
                <c:pt idx="303">
                  <c:v>-3.7426900584795253E-2</c:v>
                </c:pt>
                <c:pt idx="304">
                  <c:v>-2.0142949967511425E-2</c:v>
                </c:pt>
                <c:pt idx="305">
                  <c:v>-2.1572449642625058E-2</c:v>
                </c:pt>
                <c:pt idx="306">
                  <c:v>-5.1721897335932354E-2</c:v>
                </c:pt>
                <c:pt idx="307">
                  <c:v>-3.9636127355425654E-2</c:v>
                </c:pt>
                <c:pt idx="308">
                  <c:v>-2.5341130604288553E-2</c:v>
                </c:pt>
                <c:pt idx="309">
                  <c:v>-3.5737491877842809E-2</c:v>
                </c:pt>
                <c:pt idx="310">
                  <c:v>-4.1325536062378099E-2</c:v>
                </c:pt>
                <c:pt idx="311">
                  <c:v>-3.7816764132553637E-2</c:v>
                </c:pt>
                <c:pt idx="312">
                  <c:v>-4.9772579597140987E-2</c:v>
                </c:pt>
                <c:pt idx="313">
                  <c:v>-5.7829759584145601E-2</c:v>
                </c:pt>
                <c:pt idx="314">
                  <c:v>-4.9382716049382713E-2</c:v>
                </c:pt>
                <c:pt idx="315">
                  <c:v>-5.003248862897991E-2</c:v>
                </c:pt>
                <c:pt idx="316">
                  <c:v>-3.9636127355425654E-2</c:v>
                </c:pt>
                <c:pt idx="317">
                  <c:v>-1.8323586744639409E-2</c:v>
                </c:pt>
                <c:pt idx="318">
                  <c:v>0</c:v>
                </c:pt>
                <c:pt idx="319">
                  <c:v>-1.2388695315524667E-2</c:v>
                </c:pt>
                <c:pt idx="320">
                  <c:v>-8.259130210349741E-3</c:v>
                </c:pt>
                <c:pt idx="321">
                  <c:v>-3.1358885017421567E-2</c:v>
                </c:pt>
                <c:pt idx="322">
                  <c:v>-2.2583559168925071E-2</c:v>
                </c:pt>
                <c:pt idx="323">
                  <c:v>-1.2775842044134733E-2</c:v>
                </c:pt>
                <c:pt idx="324">
                  <c:v>-1.2775842044134733E-2</c:v>
                </c:pt>
                <c:pt idx="325">
                  <c:v>-5.6781520196154123E-3</c:v>
                </c:pt>
                <c:pt idx="326">
                  <c:v>-2.5809781907343288E-3</c:v>
                </c:pt>
                <c:pt idx="327">
                  <c:v>-6.0652987482254783E-3</c:v>
                </c:pt>
                <c:pt idx="328">
                  <c:v>0</c:v>
                </c:pt>
                <c:pt idx="329">
                  <c:v>-3.856041131105381E-3</c:v>
                </c:pt>
                <c:pt idx="330">
                  <c:v>-4.4987146529562594E-3</c:v>
                </c:pt>
                <c:pt idx="331">
                  <c:v>-7.7120822622112062E-4</c:v>
                </c:pt>
                <c:pt idx="332">
                  <c:v>0</c:v>
                </c:pt>
                <c:pt idx="333">
                  <c:v>0</c:v>
                </c:pt>
                <c:pt idx="334">
                  <c:v>-1.0113780025283736E-3</c:v>
                </c:pt>
                <c:pt idx="335">
                  <c:v>-5.0568900126424232E-4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-2.589771490750814E-2</c:v>
                </c:pt>
                <c:pt idx="341">
                  <c:v>-2.2850924918389581E-2</c:v>
                </c:pt>
                <c:pt idx="342">
                  <c:v>-1.3710554951033793E-2</c:v>
                </c:pt>
                <c:pt idx="343">
                  <c:v>0</c:v>
                </c:pt>
                <c:pt idx="344">
                  <c:v>0</c:v>
                </c:pt>
                <c:pt idx="345">
                  <c:v>-9.269634307833341E-3</c:v>
                </c:pt>
                <c:pt idx="346">
                  <c:v>-2.2817561373128292E-2</c:v>
                </c:pt>
                <c:pt idx="347">
                  <c:v>-1.5381481104207007E-2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-0.11969111969111956</c:v>
                </c:pt>
                <c:pt idx="353">
                  <c:v>-0.21200421200421193</c:v>
                </c:pt>
                <c:pt idx="354">
                  <c:v>-0.20252720252720247</c:v>
                </c:pt>
                <c:pt idx="355">
                  <c:v>-0.19629694629694627</c:v>
                </c:pt>
                <c:pt idx="356">
                  <c:v>-0.20761670761670759</c:v>
                </c:pt>
                <c:pt idx="357">
                  <c:v>-0.20515970515970516</c:v>
                </c:pt>
                <c:pt idx="358">
                  <c:v>-0.31677781677781669</c:v>
                </c:pt>
                <c:pt idx="359">
                  <c:v>-0.2939627939627939</c:v>
                </c:pt>
                <c:pt idx="360">
                  <c:v>-0.27334152334152328</c:v>
                </c:pt>
                <c:pt idx="361">
                  <c:v>-0.28457353457353451</c:v>
                </c:pt>
                <c:pt idx="362">
                  <c:v>-0.27983502983502972</c:v>
                </c:pt>
                <c:pt idx="363">
                  <c:v>-0.27158652158652152</c:v>
                </c:pt>
                <c:pt idx="364">
                  <c:v>-0.20673920673920665</c:v>
                </c:pt>
                <c:pt idx="365">
                  <c:v>-0.22095472095472091</c:v>
                </c:pt>
                <c:pt idx="366">
                  <c:v>-0.20998595998595992</c:v>
                </c:pt>
                <c:pt idx="367">
                  <c:v>-0.2137592137592137</c:v>
                </c:pt>
                <c:pt idx="368">
                  <c:v>-0.18918918918918914</c:v>
                </c:pt>
                <c:pt idx="369">
                  <c:v>-0.18945243945243939</c:v>
                </c:pt>
                <c:pt idx="370">
                  <c:v>-0.20147420147420136</c:v>
                </c:pt>
                <c:pt idx="371">
                  <c:v>-0.22244647244647231</c:v>
                </c:pt>
                <c:pt idx="372">
                  <c:v>-0.21612846612846615</c:v>
                </c:pt>
                <c:pt idx="373">
                  <c:v>-0.19699894699894693</c:v>
                </c:pt>
                <c:pt idx="374">
                  <c:v>-0.1955949455949455</c:v>
                </c:pt>
                <c:pt idx="375">
                  <c:v>-0.19322569322569316</c:v>
                </c:pt>
                <c:pt idx="376">
                  <c:v>-0.19919269919269911</c:v>
                </c:pt>
                <c:pt idx="377">
                  <c:v>-0.19498069498069492</c:v>
                </c:pt>
                <c:pt idx="378">
                  <c:v>-0.1521586521586521</c:v>
                </c:pt>
                <c:pt idx="379">
                  <c:v>-0.13680238680238666</c:v>
                </c:pt>
                <c:pt idx="380">
                  <c:v>-0.11749736749736739</c:v>
                </c:pt>
                <c:pt idx="381">
                  <c:v>-0.10872235872235858</c:v>
                </c:pt>
                <c:pt idx="382">
                  <c:v>-9.5208845208845205E-2</c:v>
                </c:pt>
                <c:pt idx="383">
                  <c:v>-0.11670761670761665</c:v>
                </c:pt>
                <c:pt idx="384">
                  <c:v>-0.10266760266760255</c:v>
                </c:pt>
                <c:pt idx="385">
                  <c:v>-7.6781326781326764E-2</c:v>
                </c:pt>
                <c:pt idx="386">
                  <c:v>-7.9677079677079599E-2</c:v>
                </c:pt>
                <c:pt idx="387">
                  <c:v>-0.13566163566163558</c:v>
                </c:pt>
                <c:pt idx="388">
                  <c:v>-0.12951912951912947</c:v>
                </c:pt>
                <c:pt idx="389">
                  <c:v>-0.12223587223587218</c:v>
                </c:pt>
                <c:pt idx="390">
                  <c:v>-0.12600912600912595</c:v>
                </c:pt>
                <c:pt idx="391">
                  <c:v>-0.12557037557037554</c:v>
                </c:pt>
                <c:pt idx="392">
                  <c:v>-0.11047736047736034</c:v>
                </c:pt>
                <c:pt idx="393">
                  <c:v>-0.11038961038961037</c:v>
                </c:pt>
                <c:pt idx="394">
                  <c:v>-8.8803088803088626E-2</c:v>
                </c:pt>
                <c:pt idx="395">
                  <c:v>-7.3183573183573047E-2</c:v>
                </c:pt>
                <c:pt idx="396">
                  <c:v>-7.0024570024569965E-2</c:v>
                </c:pt>
                <c:pt idx="397">
                  <c:v>-7.3183573183573047E-2</c:v>
                </c:pt>
                <c:pt idx="398">
                  <c:v>-4.2471042471042386E-2</c:v>
                </c:pt>
                <c:pt idx="399">
                  <c:v>-8.7750087750088079E-3</c:v>
                </c:pt>
                <c:pt idx="400">
                  <c:v>-1.2548262548262468E-2</c:v>
                </c:pt>
                <c:pt idx="401">
                  <c:v>0</c:v>
                </c:pt>
                <c:pt idx="402">
                  <c:v>-4.8702661852382256E-3</c:v>
                </c:pt>
                <c:pt idx="403">
                  <c:v>-3.1824670417331502E-2</c:v>
                </c:pt>
                <c:pt idx="404">
                  <c:v>-1.0580233436896624E-2</c:v>
                </c:pt>
                <c:pt idx="405">
                  <c:v>0</c:v>
                </c:pt>
                <c:pt idx="406">
                  <c:v>-5.3534086156420413E-3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-1.5836050302748039E-2</c:v>
                </c:pt>
                <c:pt idx="411">
                  <c:v>-7.607514361124057E-3</c:v>
                </c:pt>
                <c:pt idx="412">
                  <c:v>-6.9088650830616549E-3</c:v>
                </c:pt>
                <c:pt idx="413">
                  <c:v>-4.3316255239869594E-2</c:v>
                </c:pt>
                <c:pt idx="414">
                  <c:v>-0.10782487191429913</c:v>
                </c:pt>
                <c:pt idx="415">
                  <c:v>-7.5919888216115505E-2</c:v>
                </c:pt>
                <c:pt idx="416">
                  <c:v>-0.13553795994410811</c:v>
                </c:pt>
                <c:pt idx="417">
                  <c:v>-8.9582362987113862E-2</c:v>
                </c:pt>
                <c:pt idx="418">
                  <c:v>-4.8905449464368922E-2</c:v>
                </c:pt>
                <c:pt idx="419">
                  <c:v>-3.8580965688557733E-2</c:v>
                </c:pt>
                <c:pt idx="420">
                  <c:v>-3.3535165346995854E-2</c:v>
                </c:pt>
                <c:pt idx="421">
                  <c:v>-2.4918490917559488E-2</c:v>
                </c:pt>
                <c:pt idx="422">
                  <c:v>-9.2532215494488423E-2</c:v>
                </c:pt>
                <c:pt idx="423">
                  <c:v>-0.17062567924235361</c:v>
                </c:pt>
                <c:pt idx="424">
                  <c:v>-0.24623505666821921</c:v>
                </c:pt>
                <c:pt idx="425">
                  <c:v>-0.21122496506753607</c:v>
                </c:pt>
                <c:pt idx="426">
                  <c:v>-0.19344822232572589</c:v>
                </c:pt>
                <c:pt idx="427">
                  <c:v>-0.13445117217823321</c:v>
                </c:pt>
                <c:pt idx="428">
                  <c:v>-0.19337059462816342</c:v>
                </c:pt>
                <c:pt idx="429">
                  <c:v>-0.19810588417947528</c:v>
                </c:pt>
                <c:pt idx="430">
                  <c:v>-0.26789318428815401</c:v>
                </c:pt>
                <c:pt idx="431">
                  <c:v>-0.24530352429746938</c:v>
                </c:pt>
                <c:pt idx="432">
                  <c:v>-0.24778761061946908</c:v>
                </c:pt>
                <c:pt idx="433">
                  <c:v>-0.1905759975159137</c:v>
                </c:pt>
                <c:pt idx="434">
                  <c:v>-0.18902344356466383</c:v>
                </c:pt>
                <c:pt idx="435">
                  <c:v>-0.1912746467939761</c:v>
                </c:pt>
                <c:pt idx="436">
                  <c:v>-0.19189566837447602</c:v>
                </c:pt>
                <c:pt idx="437">
                  <c:v>-0.16030119546654242</c:v>
                </c:pt>
                <c:pt idx="438">
                  <c:v>-0.15137401024685604</c:v>
                </c:pt>
                <c:pt idx="439">
                  <c:v>-0.14019562179785761</c:v>
                </c:pt>
                <c:pt idx="440">
                  <c:v>-0.10712622263623661</c:v>
                </c:pt>
                <c:pt idx="441">
                  <c:v>-0.11116286290948618</c:v>
                </c:pt>
                <c:pt idx="442">
                  <c:v>-0.11457848160223583</c:v>
                </c:pt>
                <c:pt idx="443">
                  <c:v>-7.506598354292815E-2</c:v>
                </c:pt>
                <c:pt idx="444">
                  <c:v>-7.1106970967241168E-2</c:v>
                </c:pt>
                <c:pt idx="445">
                  <c:v>-7.7705325260052915E-2</c:v>
                </c:pt>
                <c:pt idx="446">
                  <c:v>-5.6124825337680484E-2</c:v>
                </c:pt>
                <c:pt idx="447">
                  <c:v>-5.270920664493095E-2</c:v>
                </c:pt>
                <c:pt idx="448">
                  <c:v>-4.0832168917870004E-2</c:v>
                </c:pt>
                <c:pt idx="449">
                  <c:v>-4.71976401179941E-2</c:v>
                </c:pt>
                <c:pt idx="450">
                  <c:v>-7.855922993324016E-2</c:v>
                </c:pt>
                <c:pt idx="451">
                  <c:v>-6.3188945815867203E-2</c:v>
                </c:pt>
                <c:pt idx="452">
                  <c:v>-7.3668684986803346E-2</c:v>
                </c:pt>
                <c:pt idx="453">
                  <c:v>-5.9152305542617634E-2</c:v>
                </c:pt>
                <c:pt idx="454">
                  <c:v>-3.741655022512036E-2</c:v>
                </c:pt>
                <c:pt idx="455">
                  <c:v>-1.7699115044247704E-2</c:v>
                </c:pt>
                <c:pt idx="456">
                  <c:v>-2.1502872224809844E-2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-7.5265643447461894E-3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-1.7149205026730563E-2</c:v>
                </c:pt>
                <c:pt idx="466">
                  <c:v>-1.1594806637506117E-2</c:v>
                </c:pt>
                <c:pt idx="467">
                  <c:v>-3.5409289731305194E-3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-6.613920138459628E-3</c:v>
                </c:pt>
                <c:pt idx="472">
                  <c:v>-4.4937569538879951E-2</c:v>
                </c:pt>
                <c:pt idx="473">
                  <c:v>-1.2795153912721013E-2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-6.41350666163224E-2</c:v>
                </c:pt>
                <c:pt idx="480">
                  <c:v>-1.8070014563892345E-2</c:v>
                </c:pt>
                <c:pt idx="481">
                  <c:v>-1.3916608231296257E-2</c:v>
                </c:pt>
                <c:pt idx="482">
                  <c:v>-4.3907438373159358E-2</c:v>
                </c:pt>
                <c:pt idx="483">
                  <c:v>-3.6787313231565921E-2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-1.4807981744914156E-2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-5.9629196592617451E-2</c:v>
                </c:pt>
                <c:pt idx="493">
                  <c:v>-0.11170035075997997</c:v>
                </c:pt>
                <c:pt idx="494">
                  <c:v>-0.17642391849006189</c:v>
                </c:pt>
                <c:pt idx="495">
                  <c:v>-0.14122264907299154</c:v>
                </c:pt>
                <c:pt idx="496">
                  <c:v>-7.8252881242692585E-2</c:v>
                </c:pt>
                <c:pt idx="497">
                  <c:v>-0.10359946550860211</c:v>
                </c:pt>
                <c:pt idx="498">
                  <c:v>-8.4766995156171698E-2</c:v>
                </c:pt>
                <c:pt idx="499">
                  <c:v>-3.4741940871889199E-2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-7.0685047123364764E-2</c:v>
                </c:pt>
                <c:pt idx="506">
                  <c:v>-2.1627514418342986E-2</c:v>
                </c:pt>
                <c:pt idx="507">
                  <c:v>-1.2167674778449822E-2</c:v>
                </c:pt>
                <c:pt idx="508">
                  <c:v>-1.3222675481783575E-2</c:v>
                </c:pt>
                <c:pt idx="509">
                  <c:v>0</c:v>
                </c:pt>
                <c:pt idx="510">
                  <c:v>-0.12413581718489253</c:v>
                </c:pt>
                <c:pt idx="511">
                  <c:v>-8.8512754146374717E-2</c:v>
                </c:pt>
                <c:pt idx="512">
                  <c:v>-0.184347648401049</c:v>
                </c:pt>
                <c:pt idx="513">
                  <c:v>-0.19034158635016862</c:v>
                </c:pt>
                <c:pt idx="514">
                  <c:v>-0.17004393284064989</c:v>
                </c:pt>
                <c:pt idx="515">
                  <c:v>-0.11112624731805343</c:v>
                </c:pt>
                <c:pt idx="516">
                  <c:v>-0.15148315907775101</c:v>
                </c:pt>
                <c:pt idx="517">
                  <c:v>-0.12107073527909273</c:v>
                </c:pt>
                <c:pt idx="518">
                  <c:v>-7.6320539454415526E-2</c:v>
                </c:pt>
                <c:pt idx="519">
                  <c:v>-0.10731192316861371</c:v>
                </c:pt>
                <c:pt idx="520">
                  <c:v>-8.9738786908694634E-2</c:v>
                </c:pt>
                <c:pt idx="521">
                  <c:v>-8.9023601130674646E-2</c:v>
                </c:pt>
                <c:pt idx="522">
                  <c:v>-0.14770289139393122</c:v>
                </c:pt>
                <c:pt idx="523">
                  <c:v>-0.15618295133331073</c:v>
                </c:pt>
                <c:pt idx="524">
                  <c:v>-0.18448387426352897</c:v>
                </c:pt>
                <c:pt idx="525">
                  <c:v>-0.14136838878861169</c:v>
                </c:pt>
                <c:pt idx="526">
                  <c:v>-0.14239008275721154</c:v>
                </c:pt>
                <c:pt idx="527">
                  <c:v>-0.15877124272043053</c:v>
                </c:pt>
                <c:pt idx="528">
                  <c:v>-0.17559513673670957</c:v>
                </c:pt>
                <c:pt idx="529">
                  <c:v>-0.19984334025814809</c:v>
                </c:pt>
                <c:pt idx="530">
                  <c:v>-0.16731941559105001</c:v>
                </c:pt>
                <c:pt idx="531">
                  <c:v>-0.14041480775125159</c:v>
                </c:pt>
                <c:pt idx="532">
                  <c:v>-0.12045771889793289</c:v>
                </c:pt>
                <c:pt idx="533">
                  <c:v>-0.11504274086435318</c:v>
                </c:pt>
                <c:pt idx="534">
                  <c:v>-0.11688179000783305</c:v>
                </c:pt>
                <c:pt idx="535">
                  <c:v>-0.15563804788339064</c:v>
                </c:pt>
                <c:pt idx="536">
                  <c:v>-0.134284643939652</c:v>
                </c:pt>
                <c:pt idx="537">
                  <c:v>-0.1560807819364507</c:v>
                </c:pt>
                <c:pt idx="538">
                  <c:v>-0.21046895753158734</c:v>
                </c:pt>
                <c:pt idx="539">
                  <c:v>-0.22279739808602672</c:v>
                </c:pt>
                <c:pt idx="540">
                  <c:v>-0.19136328031876859</c:v>
                </c:pt>
                <c:pt idx="541">
                  <c:v>-0.20682491571024764</c:v>
                </c:pt>
                <c:pt idx="542">
                  <c:v>-0.24902087661342509</c:v>
                </c:pt>
                <c:pt idx="543">
                  <c:v>-0.32615877124272052</c:v>
                </c:pt>
                <c:pt idx="544">
                  <c:v>-0.34444709328065937</c:v>
                </c:pt>
                <c:pt idx="545">
                  <c:v>-0.24428702789224543</c:v>
                </c:pt>
                <c:pt idx="546">
                  <c:v>-0.21598610496202708</c:v>
                </c:pt>
                <c:pt idx="547">
                  <c:v>-0.23267377311582615</c:v>
                </c:pt>
                <c:pt idx="548">
                  <c:v>-2.7245172495998338E-2</c:v>
                </c:pt>
                <c:pt idx="549">
                  <c:v>-9.2735755883254445E-2</c:v>
                </c:pt>
                <c:pt idx="550">
                  <c:v>-3.0855157851718218E-2</c:v>
                </c:pt>
                <c:pt idx="551">
                  <c:v>-6.4298607090556237E-2</c:v>
                </c:pt>
                <c:pt idx="552">
                  <c:v>-5.6738071722916672E-2</c:v>
                </c:pt>
                <c:pt idx="553">
                  <c:v>-0.12784797193747233</c:v>
                </c:pt>
                <c:pt idx="554">
                  <c:v>-0.13983584783571168</c:v>
                </c:pt>
                <c:pt idx="555">
                  <c:v>-9.2429247692674465E-2</c:v>
                </c:pt>
                <c:pt idx="556">
                  <c:v>-5.1595545414296895E-2</c:v>
                </c:pt>
                <c:pt idx="557">
                  <c:v>-7.567346660763552E-2</c:v>
                </c:pt>
                <c:pt idx="558">
                  <c:v>-6.3787760106256197E-2</c:v>
                </c:pt>
                <c:pt idx="559">
                  <c:v>-2.7347341892858368E-2</c:v>
                </c:pt>
                <c:pt idx="560">
                  <c:v>-6.9849810986615912E-2</c:v>
                </c:pt>
                <c:pt idx="561">
                  <c:v>-7.9794298947655218E-2</c:v>
                </c:pt>
                <c:pt idx="562">
                  <c:v>-4.9722439805196972E-2</c:v>
                </c:pt>
                <c:pt idx="563">
                  <c:v>-2.5985083268058484E-2</c:v>
                </c:pt>
                <c:pt idx="564">
                  <c:v>0</c:v>
                </c:pt>
                <c:pt idx="565">
                  <c:v>-8.7519960692790111E-3</c:v>
                </c:pt>
                <c:pt idx="566">
                  <c:v>0</c:v>
                </c:pt>
                <c:pt idx="567">
                  <c:v>0</c:v>
                </c:pt>
                <c:pt idx="568">
                  <c:v>-2.199121522693992E-2</c:v>
                </c:pt>
                <c:pt idx="569">
                  <c:v>-2.0790629575402342E-3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-3.8800787128139946E-2</c:v>
                </c:pt>
                <c:pt idx="575">
                  <c:v>0</c:v>
                </c:pt>
                <c:pt idx="576">
                  <c:v>-2.8794200123110625E-2</c:v>
                </c:pt>
                <c:pt idx="577">
                  <c:v>-6.7505642568907787E-2</c:v>
                </c:pt>
                <c:pt idx="578">
                  <c:v>-5.4989398809930923E-2</c:v>
                </c:pt>
                <c:pt idx="579">
                  <c:v>-7.3410391446093515E-2</c:v>
                </c:pt>
                <c:pt idx="580">
                  <c:v>-8.749971502177234E-2</c:v>
                </c:pt>
                <c:pt idx="581">
                  <c:v>-7.1198960399425526E-2</c:v>
                </c:pt>
                <c:pt idx="582">
                  <c:v>-5.8637120124022446E-2</c:v>
                </c:pt>
                <c:pt idx="583">
                  <c:v>-1.3929735768187346E-2</c:v>
                </c:pt>
                <c:pt idx="584">
                  <c:v>-7.9337938581492962E-3</c:v>
                </c:pt>
                <c:pt idx="585">
                  <c:v>-1.0168023163030449E-2</c:v>
                </c:pt>
                <c:pt idx="586">
                  <c:v>-1.2425050726124542E-2</c:v>
                </c:pt>
                <c:pt idx="587">
                  <c:v>-5.6995645532675887E-4</c:v>
                </c:pt>
                <c:pt idx="588">
                  <c:v>0</c:v>
                </c:pt>
                <c:pt idx="589">
                  <c:v>-3.9458481393473965E-3</c:v>
                </c:pt>
                <c:pt idx="590">
                  <c:v>0</c:v>
                </c:pt>
                <c:pt idx="591">
                  <c:v>0</c:v>
                </c:pt>
                <c:pt idx="592">
                  <c:v>-7.553670818976943E-2</c:v>
                </c:pt>
                <c:pt idx="593">
                  <c:v>-6.3181716242940666E-2</c:v>
                </c:pt>
                <c:pt idx="594">
                  <c:v>-0.14363187832575586</c:v>
                </c:pt>
                <c:pt idx="595">
                  <c:v>-0.10805521009602648</c:v>
                </c:pt>
                <c:pt idx="596">
                  <c:v>-6.4384594996839795E-2</c:v>
                </c:pt>
                <c:pt idx="597">
                  <c:v>-5.9409977777324596E-2</c:v>
                </c:pt>
                <c:pt idx="598">
                  <c:v>-0.12214316295948935</c:v>
                </c:pt>
                <c:pt idx="599">
                  <c:v>-0.11967624212522177</c:v>
                </c:pt>
                <c:pt idx="600">
                  <c:v>-0.13716895349548397</c:v>
                </c:pt>
                <c:pt idx="601">
                  <c:v>-0.14310179616302054</c:v>
                </c:pt>
                <c:pt idx="602">
                  <c:v>-0.15535484923240028</c:v>
                </c:pt>
                <c:pt idx="603">
                  <c:v>-0.21513180696854162</c:v>
                </c:pt>
                <c:pt idx="604">
                  <c:v>-0.33982344186425817</c:v>
                </c:pt>
                <c:pt idx="605">
                  <c:v>-0.24606006238659295</c:v>
                </c:pt>
                <c:pt idx="606">
                  <c:v>-0.24862892209830978</c:v>
                </c:pt>
                <c:pt idx="607">
                  <c:v>-0.25252298721686472</c:v>
                </c:pt>
                <c:pt idx="608">
                  <c:v>-0.1673428612204122</c:v>
                </c:pt>
                <c:pt idx="609">
                  <c:v>-0.20487675589716403</c:v>
                </c:pt>
                <c:pt idx="610">
                  <c:v>-0.21034067972843484</c:v>
                </c:pt>
                <c:pt idx="611">
                  <c:v>-0.26534689799995914</c:v>
                </c:pt>
                <c:pt idx="612">
                  <c:v>-0.26634589899896022</c:v>
                </c:pt>
                <c:pt idx="613">
                  <c:v>-0.22942363758690287</c:v>
                </c:pt>
                <c:pt idx="614">
                  <c:v>-0.25527533690798987</c:v>
                </c:pt>
                <c:pt idx="615">
                  <c:v>-0.19876042325021914</c:v>
                </c:pt>
                <c:pt idx="616">
                  <c:v>-0.2091378009745356</c:v>
                </c:pt>
                <c:pt idx="617">
                  <c:v>-0.14261248955126504</c:v>
                </c:pt>
                <c:pt idx="618">
                  <c:v>-0.14575220697669666</c:v>
                </c:pt>
                <c:pt idx="619">
                  <c:v>-0.14985014985014988</c:v>
                </c:pt>
                <c:pt idx="620">
                  <c:v>-0.10966584435972182</c:v>
                </c:pt>
                <c:pt idx="621">
                  <c:v>-0.10206120410202035</c:v>
                </c:pt>
                <c:pt idx="622">
                  <c:v>-0.10291749067259259</c:v>
                </c:pt>
                <c:pt idx="623">
                  <c:v>-0.1210626108585291</c:v>
                </c:pt>
                <c:pt idx="624">
                  <c:v>-0.14063487532875274</c:v>
                </c:pt>
                <c:pt idx="625">
                  <c:v>-0.12018593651246712</c:v>
                </c:pt>
                <c:pt idx="626">
                  <c:v>-0.10885033334012917</c:v>
                </c:pt>
                <c:pt idx="627">
                  <c:v>-9.5598279271748576E-2</c:v>
                </c:pt>
                <c:pt idx="628">
                  <c:v>-5.9491528879283884E-2</c:v>
                </c:pt>
                <c:pt idx="629">
                  <c:v>-2.4995412750514645E-2</c:v>
                </c:pt>
                <c:pt idx="630">
                  <c:v>-2.6075964851475009E-2</c:v>
                </c:pt>
                <c:pt idx="631">
                  <c:v>-1.6310220391853036E-2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-2.337617823478999E-2</c:v>
                </c:pt>
                <c:pt idx="636">
                  <c:v>-1.2099400171379671E-2</c:v>
                </c:pt>
                <c:pt idx="637">
                  <c:v>-4.0771208226221045E-2</c:v>
                </c:pt>
                <c:pt idx="638">
                  <c:v>-4.6272493573264795E-2</c:v>
                </c:pt>
                <c:pt idx="639">
                  <c:v>-2.416452442159378E-2</c:v>
                </c:pt>
                <c:pt idx="640">
                  <c:v>0</c:v>
                </c:pt>
                <c:pt idx="641">
                  <c:v>0</c:v>
                </c:pt>
                <c:pt idx="642">
                  <c:v>-4.0965179597343138E-3</c:v>
                </c:pt>
                <c:pt idx="643">
                  <c:v>-1.6352766814874187E-2</c:v>
                </c:pt>
                <c:pt idx="644">
                  <c:v>-8.2529849627816398E-2</c:v>
                </c:pt>
                <c:pt idx="645">
                  <c:v>-4.7476311801635362E-2</c:v>
                </c:pt>
                <c:pt idx="646">
                  <c:v>-1.9167041348187475E-2</c:v>
                </c:pt>
                <c:pt idx="647">
                  <c:v>-4.0881917037185023E-2</c:v>
                </c:pt>
                <c:pt idx="648">
                  <c:v>-4.7376396729446602E-2</c:v>
                </c:pt>
                <c:pt idx="649">
                  <c:v>0</c:v>
                </c:pt>
                <c:pt idx="650">
                  <c:v>-4.9870045484080583E-3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-5.7843402871850413E-2</c:v>
                </c:pt>
                <c:pt idx="658">
                  <c:v>-3.7753996206989937E-2</c:v>
                </c:pt>
                <c:pt idx="659">
                  <c:v>0</c:v>
                </c:pt>
                <c:pt idx="660">
                  <c:v>-4.2486294743631081E-2</c:v>
                </c:pt>
                <c:pt idx="661">
                  <c:v>-0.12095560571858543</c:v>
                </c:pt>
                <c:pt idx="662">
                  <c:v>-0.15340481565086528</c:v>
                </c:pt>
                <c:pt idx="663">
                  <c:v>-0.21771202837794246</c:v>
                </c:pt>
                <c:pt idx="664">
                  <c:v>-0.13003869719445327</c:v>
                </c:pt>
                <c:pt idx="665">
                  <c:v>-0.11598409115339137</c:v>
                </c:pt>
                <c:pt idx="666">
                  <c:v>-2.2049338922928041E-2</c:v>
                </c:pt>
                <c:pt idx="667">
                  <c:v>0</c:v>
                </c:pt>
                <c:pt idx="668">
                  <c:v>-2.3689631494621222E-2</c:v>
                </c:pt>
                <c:pt idx="669">
                  <c:v>-1.1558709086747498E-2</c:v>
                </c:pt>
                <c:pt idx="670">
                  <c:v>0</c:v>
                </c:pt>
                <c:pt idx="671">
                  <c:v>0</c:v>
                </c:pt>
                <c:pt idx="672">
                  <c:v>-1.7925798352961153E-2</c:v>
                </c:pt>
                <c:pt idx="673">
                  <c:v>-1.8192623497592653E-3</c:v>
                </c:pt>
                <c:pt idx="674">
                  <c:v>-3.250415398236528E-2</c:v>
                </c:pt>
                <c:pt idx="675">
                  <c:v>-6.4887023808080091E-3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-1.501313396645787E-2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-4.409372929341604E-2</c:v>
                </c:pt>
                <c:pt idx="690">
                  <c:v>-0.11692066742967289</c:v>
                </c:pt>
                <c:pt idx="691">
                  <c:v>-9.6620685500873438E-2</c:v>
                </c:pt>
                <c:pt idx="692">
                  <c:v>0</c:v>
                </c:pt>
                <c:pt idx="693">
                  <c:v>0</c:v>
                </c:pt>
                <c:pt idx="694">
                  <c:v>-4.6325219543820406E-2</c:v>
                </c:pt>
                <c:pt idx="695">
                  <c:v>-3.4419755996935253E-2</c:v>
                </c:pt>
                <c:pt idx="696">
                  <c:v>0</c:v>
                </c:pt>
                <c:pt idx="697">
                  <c:v>0</c:v>
                </c:pt>
                <c:pt idx="698">
                  <c:v>-1.1257622348465057E-2</c:v>
                </c:pt>
                <c:pt idx="699">
                  <c:v>-1.3186011361859595E-2</c:v>
                </c:pt>
                <c:pt idx="700">
                  <c:v>-9.6002501693855269E-2</c:v>
                </c:pt>
                <c:pt idx="701">
                  <c:v>-0.14395163391879917</c:v>
                </c:pt>
                <c:pt idx="702">
                  <c:v>-0.18346797310679108</c:v>
                </c:pt>
                <c:pt idx="703">
                  <c:v>-0.31359774847553035</c:v>
                </c:pt>
                <c:pt idx="704">
                  <c:v>-0.26851514045968627</c:v>
                </c:pt>
                <c:pt idx="705">
                  <c:v>-0.29764945014853805</c:v>
                </c:pt>
                <c:pt idx="706">
                  <c:v>-0.28998801271694374</c:v>
                </c:pt>
                <c:pt idx="707">
                  <c:v>-0.18283212591859066</c:v>
                </c:pt>
                <c:pt idx="708">
                  <c:v>-0.19872830562359933</c:v>
                </c:pt>
                <c:pt idx="709">
                  <c:v>-0.25392192630426846</c:v>
                </c:pt>
                <c:pt idx="710">
                  <c:v>-0.25381768906030122</c:v>
                </c:pt>
                <c:pt idx="711">
                  <c:v>-0.3549278157085527</c:v>
                </c:pt>
                <c:pt idx="712">
                  <c:v>-0.28076301662584047</c:v>
                </c:pt>
                <c:pt idx="713">
                  <c:v>-0.3040079220305415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2-4CD8-8069-1F9910ADF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53944"/>
        <c:axId val="545654272"/>
      </c:areaChart>
      <c:dateAx>
        <c:axId val="545653944"/>
        <c:scaling>
          <c:orientation val="minMax"/>
        </c:scaling>
        <c:delete val="0"/>
        <c:axPos val="b"/>
        <c:numFmt formatCode="[$-416]dd\-mmm\-yy;@" sourceLinked="0"/>
        <c:majorTickMark val="out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654272"/>
        <c:crosses val="autoZero"/>
        <c:auto val="1"/>
        <c:lblOffset val="100"/>
        <c:baseTimeUnit val="days"/>
      </c:dateAx>
      <c:valAx>
        <c:axId val="54565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653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ferramentasdoinvestidor.com.br/gestao-de-risco/maximo-drawdown-no-excel/" TargetMode="Externa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ferramentasdoinvestidor.com.br/gestao-de-risco/entenda-o-grafico-de-underwater/" TargetMode="Externa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161927</xdr:colOff>
      <xdr:row>3</xdr:row>
      <xdr:rowOff>95250</xdr:rowOff>
    </xdr:from>
    <xdr:to>
      <xdr:col>16</xdr:col>
      <xdr:colOff>257175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400050</xdr:colOff>
      <xdr:row>14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191250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443948</xdr:colOff>
      <xdr:row>4</xdr:row>
      <xdr:rowOff>92766</xdr:rowOff>
    </xdr:from>
    <xdr:ext cx="870021" cy="489986"/>
    <xdr:pic>
      <xdr:nvPicPr>
        <xdr:cNvPr id="6" name="Pictur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2AF0AE-F918-4E9D-8943-B21ABBA69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flipH="1">
          <a:off x="2372139" y="1040296"/>
          <a:ext cx="870021" cy="489986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79513</xdr:colOff>
      <xdr:row>0</xdr:row>
      <xdr:rowOff>0</xdr:rowOff>
    </xdr:from>
    <xdr:to>
      <xdr:col>17</xdr:col>
      <xdr:colOff>436880</xdr:colOff>
      <xdr:row>27</xdr:row>
      <xdr:rowOff>8466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1E07244-93EA-4A28-9C01-2039D5790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459106</xdr:colOff>
      <xdr:row>2</xdr:row>
      <xdr:rowOff>57150</xdr:rowOff>
    </xdr:from>
    <xdr:to>
      <xdr:col>21</xdr:col>
      <xdr:colOff>320039</xdr:colOff>
      <xdr:row>15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7058E2-F4C0-4869-8AB2-06603CF7C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400050</xdr:colOff>
      <xdr:row>14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09B512F-B7A9-40CF-9D32-617CCF1D7EA2}"/>
            </a:ext>
          </a:extLst>
        </xdr:cNvPr>
        <xdr:cNvSpPr txBox="1"/>
      </xdr:nvSpPr>
      <xdr:spPr>
        <a:xfrm>
          <a:off x="4171950" y="3322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6</xdr:col>
      <xdr:colOff>459106</xdr:colOff>
      <xdr:row>15</xdr:row>
      <xdr:rowOff>45720</xdr:rowOff>
    </xdr:from>
    <xdr:to>
      <xdr:col>21</xdr:col>
      <xdr:colOff>320039</xdr:colOff>
      <xdr:row>29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53CA92-E6B8-4F8E-98DA-11D390B9A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0</xdr:colOff>
      <xdr:row>6</xdr:row>
      <xdr:rowOff>0</xdr:rowOff>
    </xdr:from>
    <xdr:ext cx="870021" cy="489986"/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7776CD-6B20-415A-BE3F-4352D6FB9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flipH="1">
          <a:off x="2552700" y="1059180"/>
          <a:ext cx="870021" cy="489986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400050</xdr:colOff>
      <xdr:row>14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ECFC93-8560-4875-AC03-FA6C7C71E5D4}"/>
            </a:ext>
          </a:extLst>
        </xdr:cNvPr>
        <xdr:cNvSpPr txBox="1"/>
      </xdr:nvSpPr>
      <xdr:spPr>
        <a:xfrm>
          <a:off x="3714750" y="3322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358140</xdr:colOff>
      <xdr:row>3</xdr:row>
      <xdr:rowOff>274320</xdr:rowOff>
    </xdr:from>
    <xdr:to>
      <xdr:col>20</xdr:col>
      <xdr:colOff>320040</xdr:colOff>
      <xdr:row>23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732424-461A-46F2-881A-9D823515E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54"/>
  <sheetViews>
    <sheetView showGridLines="0" zoomScale="115" zoomScaleNormal="115" workbookViewId="0">
      <selection activeCell="C25" sqref="C25"/>
    </sheetView>
  </sheetViews>
  <sheetFormatPr defaultRowHeight="14.4" x14ac:dyDescent="0.3"/>
  <cols>
    <col min="2" max="2" width="10.33203125" customWidth="1"/>
    <col min="4" max="4" width="24.109375" bestFit="1" customWidth="1"/>
    <col min="5" max="5" width="15.44140625" customWidth="1"/>
  </cols>
  <sheetData>
    <row r="1" spans="1:6" ht="10.199999999999999" customHeight="1" thickBot="1" x14ac:dyDescent="0.35">
      <c r="C1" s="8"/>
      <c r="F1" s="9"/>
    </row>
    <row r="2" spans="1:6" s="10" customFormat="1" ht="6.75" customHeight="1" thickBot="1" x14ac:dyDescent="0.35">
      <c r="F2" s="11"/>
    </row>
    <row r="3" spans="1:6" ht="15" thickBot="1" x14ac:dyDescent="0.35"/>
    <row r="4" spans="1:6" s="4" customFormat="1" ht="42" customHeight="1" thickBot="1" x14ac:dyDescent="0.35">
      <c r="A4" s="14" t="s">
        <v>0</v>
      </c>
      <c r="B4" s="14" t="s">
        <v>2</v>
      </c>
      <c r="D4" s="15" t="s">
        <v>1</v>
      </c>
      <c r="E4" s="16">
        <f>MDD(B5:B16)</f>
        <v>-0.2</v>
      </c>
    </row>
    <row r="5" spans="1:6" ht="15" customHeight="1" thickTop="1" x14ac:dyDescent="0.3">
      <c r="A5" s="12">
        <v>1</v>
      </c>
      <c r="B5" s="12">
        <v>100</v>
      </c>
    </row>
    <row r="6" spans="1:6" ht="15" customHeight="1" x14ac:dyDescent="0.3">
      <c r="A6" s="12">
        <v>2</v>
      </c>
      <c r="B6" s="12">
        <v>102</v>
      </c>
    </row>
    <row r="7" spans="1:6" ht="15" customHeight="1" x14ac:dyDescent="0.3">
      <c r="A7" s="12">
        <v>3</v>
      </c>
      <c r="B7" s="12">
        <v>101</v>
      </c>
      <c r="D7" s="6"/>
    </row>
    <row r="8" spans="1:6" ht="15" customHeight="1" x14ac:dyDescent="0.3">
      <c r="A8" s="12">
        <v>4</v>
      </c>
      <c r="B8" s="12">
        <v>90</v>
      </c>
    </row>
    <row r="9" spans="1:6" ht="15" customHeight="1" x14ac:dyDescent="0.3">
      <c r="A9" s="12">
        <f>A8+1</f>
        <v>5</v>
      </c>
      <c r="B9" s="12">
        <v>82</v>
      </c>
    </row>
    <row r="10" spans="1:6" ht="15" customHeight="1" x14ac:dyDescent="0.3">
      <c r="A10" s="12">
        <f t="shared" ref="A10:A14" si="0">A9+1</f>
        <v>6</v>
      </c>
      <c r="B10" s="12">
        <v>110</v>
      </c>
    </row>
    <row r="11" spans="1:6" ht="15" customHeight="1" x14ac:dyDescent="0.3">
      <c r="A11" s="12">
        <f t="shared" si="0"/>
        <v>7</v>
      </c>
      <c r="B11" s="12">
        <v>103</v>
      </c>
    </row>
    <row r="12" spans="1:6" ht="15" customHeight="1" x14ac:dyDescent="0.3">
      <c r="A12" s="12">
        <f t="shared" si="0"/>
        <v>8</v>
      </c>
      <c r="B12" s="12">
        <v>109</v>
      </c>
    </row>
    <row r="13" spans="1:6" ht="15" customHeight="1" x14ac:dyDescent="0.3">
      <c r="A13" s="12">
        <f t="shared" si="0"/>
        <v>9</v>
      </c>
      <c r="B13" s="12">
        <v>92</v>
      </c>
      <c r="D13" s="2"/>
    </row>
    <row r="14" spans="1:6" ht="15" customHeight="1" x14ac:dyDescent="0.3">
      <c r="A14" s="12">
        <f t="shared" si="0"/>
        <v>10</v>
      </c>
      <c r="B14" s="12">
        <v>88</v>
      </c>
      <c r="C14" s="27">
        <f>B14/B10-1</f>
        <v>-0.19999999999999996</v>
      </c>
      <c r="E14" s="5"/>
    </row>
    <row r="15" spans="1:6" ht="15" customHeight="1" x14ac:dyDescent="0.3">
      <c r="A15" s="13">
        <v>11</v>
      </c>
      <c r="B15" s="12">
        <v>95</v>
      </c>
      <c r="E15" s="1"/>
    </row>
    <row r="16" spans="1:6" ht="15" customHeight="1" x14ac:dyDescent="0.3">
      <c r="A16" s="13">
        <v>12</v>
      </c>
      <c r="B16" s="12">
        <v>102</v>
      </c>
      <c r="E16" s="3"/>
    </row>
    <row r="17" spans="6:6" ht="15" customHeight="1" x14ac:dyDescent="0.3"/>
    <row r="18" spans="6:6" ht="15" customHeight="1" x14ac:dyDescent="0.3"/>
    <row r="19" spans="6:6" ht="15" customHeight="1" x14ac:dyDescent="0.3"/>
    <row r="20" spans="6:6" ht="15" customHeight="1" x14ac:dyDescent="0.3"/>
    <row r="21" spans="6:6" ht="15" customHeight="1" x14ac:dyDescent="0.3"/>
    <row r="22" spans="6:6" ht="15" customHeight="1" x14ac:dyDescent="0.3"/>
    <row r="23" spans="6:6" ht="15" customHeight="1" x14ac:dyDescent="0.3"/>
    <row r="24" spans="6:6" ht="15" customHeight="1" x14ac:dyDescent="0.3"/>
    <row r="25" spans="6:6" ht="15" customHeight="1" x14ac:dyDescent="0.3"/>
    <row r="26" spans="6:6" ht="15" customHeight="1" x14ac:dyDescent="0.3"/>
    <row r="27" spans="6:6" ht="15" customHeight="1" x14ac:dyDescent="0.3"/>
    <row r="28" spans="6:6" ht="15" customHeight="1" x14ac:dyDescent="0.3"/>
    <row r="29" spans="6:6" ht="15" customHeight="1" x14ac:dyDescent="0.3">
      <c r="F29" s="7"/>
    </row>
    <row r="30" spans="6:6" ht="15" customHeight="1" x14ac:dyDescent="0.3"/>
    <row r="31" spans="6:6" ht="15" customHeight="1" x14ac:dyDescent="0.3"/>
    <row r="32" spans="6:6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1BB71-43DF-4B30-80A1-4823116A8673}">
  <sheetPr codeName="Sheet4"/>
  <dimension ref="A1:CB3574"/>
  <sheetViews>
    <sheetView showGridLines="0" tabSelected="1" zoomScale="75" zoomScaleNormal="75" workbookViewId="0">
      <selection activeCell="F10" sqref="F10"/>
    </sheetView>
  </sheetViews>
  <sheetFormatPr defaultRowHeight="14.4" x14ac:dyDescent="0.3"/>
  <cols>
    <col min="1" max="1" width="10.88671875" bestFit="1" customWidth="1"/>
    <col min="2" max="2" width="11.5546875" style="36" bestFit="1" customWidth="1"/>
    <col min="4" max="4" width="5.6640625" customWidth="1"/>
    <col min="5" max="5" width="53.5546875" customWidth="1"/>
    <col min="6" max="6" width="18" style="9" customWidth="1"/>
    <col min="9" max="9" width="15.5546875" customWidth="1"/>
    <col min="12" max="12" width="36.5546875" customWidth="1"/>
    <col min="13" max="13" width="20.44140625" customWidth="1"/>
    <col min="16" max="16" width="17.33203125" customWidth="1"/>
  </cols>
  <sheetData>
    <row r="1" spans="1:80" ht="28.2" customHeight="1" thickBot="1" x14ac:dyDescent="0.35">
      <c r="A1" s="14" t="s">
        <v>5</v>
      </c>
      <c r="B1" s="35" t="s">
        <v>16</v>
      </c>
      <c r="C1" s="14" t="s">
        <v>6</v>
      </c>
      <c r="E1" s="40" t="s">
        <v>11</v>
      </c>
      <c r="F1" s="39" cm="1">
        <f t="array" ref="F1">MDD(B2:B3574)</f>
        <v>-0.59961641525089437</v>
      </c>
      <c r="Z1" s="9"/>
    </row>
    <row r="2" spans="1:80" ht="10.8" customHeight="1" thickTop="1" thickBot="1" x14ac:dyDescent="0.35">
      <c r="A2" s="28">
        <v>38719</v>
      </c>
      <c r="B2" s="36">
        <v>33507</v>
      </c>
    </row>
    <row r="3" spans="1:80" ht="21.6" thickBot="1" x14ac:dyDescent="0.45">
      <c r="A3" s="28">
        <v>38720</v>
      </c>
      <c r="B3" s="36">
        <v>34541</v>
      </c>
      <c r="C3">
        <f>B3/B2-1</f>
        <v>3.0859223445847128E-2</v>
      </c>
      <c r="E3" s="31" t="s">
        <v>12</v>
      </c>
      <c r="F3" s="32">
        <v>15</v>
      </c>
      <c r="U3" cm="1">
        <f t="array" ref="U3:CB3">Topn_Drawdowns_limit($F$3,$B$2:$B$3574,$F$4,$F$5)</f>
        <v>-0.4071290009699321</v>
      </c>
      <c r="V3">
        <v>3500</v>
      </c>
      <c r="W3">
        <v>3513</v>
      </c>
      <c r="X3">
        <v>3573</v>
      </c>
      <c r="Y3">
        <v>-0.36211940621952543</v>
      </c>
      <c r="Z3">
        <v>680</v>
      </c>
      <c r="AA3">
        <v>697</v>
      </c>
      <c r="AB3">
        <v>2507</v>
      </c>
      <c r="AC3">
        <v>-0.22367407775431625</v>
      </c>
      <c r="AD3">
        <v>703</v>
      </c>
      <c r="AE3">
        <v>715</v>
      </c>
      <c r="AF3">
        <v>2497</v>
      </c>
      <c r="AG3">
        <v>-0.19323526352889517</v>
      </c>
      <c r="AH3">
        <v>3058</v>
      </c>
      <c r="AI3">
        <v>3080</v>
      </c>
      <c r="AJ3">
        <v>3556</v>
      </c>
      <c r="AK3">
        <v>-0.18543656630455971</v>
      </c>
      <c r="AL3">
        <v>1823</v>
      </c>
      <c r="AM3">
        <v>1845</v>
      </c>
      <c r="AN3">
        <v>2615</v>
      </c>
      <c r="AO3">
        <v>-0.17391827956989248</v>
      </c>
      <c r="AP3">
        <v>382</v>
      </c>
      <c r="AQ3">
        <v>402</v>
      </c>
      <c r="AR3">
        <v>2714</v>
      </c>
      <c r="AS3">
        <v>-0.16774228635654981</v>
      </c>
      <c r="AT3">
        <v>657</v>
      </c>
      <c r="AU3">
        <v>669</v>
      </c>
      <c r="AV3">
        <v>2597</v>
      </c>
      <c r="AW3">
        <v>-0.16182868554311389</v>
      </c>
      <c r="AX3">
        <v>2198</v>
      </c>
      <c r="AY3">
        <v>2215</v>
      </c>
      <c r="AZ3">
        <v>2597</v>
      </c>
      <c r="BA3">
        <v>-0.15996093284737606</v>
      </c>
      <c r="BB3">
        <v>86</v>
      </c>
      <c r="BC3">
        <v>107</v>
      </c>
      <c r="BD3">
        <v>2506</v>
      </c>
      <c r="BE3">
        <v>-0.15251660585648799</v>
      </c>
      <c r="BF3">
        <v>766</v>
      </c>
      <c r="BG3">
        <v>780</v>
      </c>
      <c r="BH3">
        <v>2506</v>
      </c>
      <c r="BI3">
        <v>-0.14601912886131577</v>
      </c>
      <c r="BJ3">
        <v>2141</v>
      </c>
      <c r="BK3">
        <v>2162</v>
      </c>
      <c r="BL3">
        <v>2838</v>
      </c>
      <c r="BM3">
        <v>-0.14239009681003015</v>
      </c>
      <c r="BN3">
        <v>1555</v>
      </c>
      <c r="BO3">
        <v>1575</v>
      </c>
      <c r="BP3">
        <v>2846</v>
      </c>
      <c r="BQ3">
        <v>-0.1410409126311449</v>
      </c>
      <c r="BR3">
        <v>2468</v>
      </c>
      <c r="BS3">
        <v>2485</v>
      </c>
      <c r="BT3">
        <v>2507</v>
      </c>
      <c r="BU3">
        <v>-0.13841108359547555</v>
      </c>
      <c r="BV3">
        <v>3474</v>
      </c>
      <c r="BW3">
        <v>3496</v>
      </c>
      <c r="BX3">
        <v>3573</v>
      </c>
      <c r="BY3">
        <v>-0.13642506795438325</v>
      </c>
      <c r="BZ3">
        <v>610</v>
      </c>
      <c r="CA3">
        <v>632</v>
      </c>
      <c r="CB3">
        <v>2861</v>
      </c>
    </row>
    <row r="4" spans="1:80" ht="21.6" thickBot="1" x14ac:dyDescent="0.45">
      <c r="A4" s="28">
        <v>38721</v>
      </c>
      <c r="B4" s="36">
        <v>35002</v>
      </c>
      <c r="C4">
        <f t="shared" ref="C4:C67" si="0">B4/B3-1</f>
        <v>1.3346457832720482E-2</v>
      </c>
      <c r="E4" s="33" t="s">
        <v>13</v>
      </c>
      <c r="F4" s="32" t="s">
        <v>7</v>
      </c>
    </row>
    <row r="5" spans="1:80" ht="21.6" thickBot="1" x14ac:dyDescent="0.45">
      <c r="A5" s="28">
        <v>38722</v>
      </c>
      <c r="B5" s="36">
        <v>34936</v>
      </c>
      <c r="C5">
        <f t="shared" si="0"/>
        <v>-1.8856065367692798E-3</v>
      </c>
      <c r="E5" s="34" t="s">
        <v>17</v>
      </c>
      <c r="F5" s="32">
        <v>22</v>
      </c>
    </row>
    <row r="6" spans="1:80" ht="4.2" customHeight="1" thickBot="1" x14ac:dyDescent="0.35">
      <c r="A6" s="28">
        <v>38723</v>
      </c>
      <c r="B6" s="36">
        <v>35475</v>
      </c>
      <c r="C6">
        <f t="shared" si="0"/>
        <v>1.5428211586901774E-2</v>
      </c>
    </row>
    <row r="7" spans="1:80" ht="24" thickBot="1" x14ac:dyDescent="0.5">
      <c r="A7" s="28">
        <v>38726</v>
      </c>
      <c r="B7" s="36">
        <v>35337</v>
      </c>
      <c r="C7">
        <f t="shared" si="0"/>
        <v>-3.8900634249471322E-3</v>
      </c>
      <c r="E7" s="44" t="s">
        <v>10</v>
      </c>
      <c r="F7" s="45"/>
    </row>
    <row r="8" spans="1:80" ht="23.4" x14ac:dyDescent="0.45">
      <c r="A8" s="28">
        <v>38727</v>
      </c>
      <c r="B8" s="36">
        <v>35049</v>
      </c>
      <c r="C8">
        <f t="shared" si="0"/>
        <v>-8.1500976313778617E-3</v>
      </c>
      <c r="E8" s="41" t="s">
        <v>19</v>
      </c>
      <c r="F8" s="37">
        <f>S8</f>
        <v>-0.4071290009699321</v>
      </c>
      <c r="S8" s="29" cm="1">
        <f t="array" ref="S8:S67">TRANSPOSE(Topn_Drawdowns_limit($F$3,$B$2:$B$3574,$F$4,$F$5))</f>
        <v>-0.4071290009699321</v>
      </c>
    </row>
    <row r="9" spans="1:80" ht="23.4" x14ac:dyDescent="0.45">
      <c r="A9" s="28">
        <v>38728</v>
      </c>
      <c r="B9" s="36">
        <v>35952</v>
      </c>
      <c r="C9">
        <f t="shared" si="0"/>
        <v>2.5763930497303855E-2</v>
      </c>
      <c r="E9" s="42" t="s">
        <v>18</v>
      </c>
      <c r="F9" s="38" cm="1">
        <f t="array" ref="F9">IF(ISNUMBER(S9),INDEX($A$2:$A$3574,S9),"")</f>
        <v>43894</v>
      </c>
      <c r="S9">
        <v>3500</v>
      </c>
    </row>
    <row r="10" spans="1:80" ht="23.4" x14ac:dyDescent="0.45">
      <c r="A10" s="28">
        <v>38729</v>
      </c>
      <c r="B10" s="36">
        <v>35779</v>
      </c>
      <c r="C10">
        <f t="shared" si="0"/>
        <v>-4.8119715175789501E-3</v>
      </c>
      <c r="E10" s="42" t="s">
        <v>8</v>
      </c>
      <c r="F10" s="38" cm="1">
        <f t="array" ref="F10">IF(ISNUMBER(S10),INDEX($A$2:$A$3574,S10),"")</f>
        <v>43913</v>
      </c>
      <c r="S10">
        <v>3513</v>
      </c>
    </row>
    <row r="11" spans="1:80" ht="24" thickBot="1" x14ac:dyDescent="0.5">
      <c r="A11" s="28">
        <v>38730</v>
      </c>
      <c r="B11" s="36">
        <v>35897</v>
      </c>
      <c r="C11">
        <f t="shared" si="0"/>
        <v>3.2980239805473488E-3</v>
      </c>
      <c r="E11" s="43" t="s">
        <v>15</v>
      </c>
      <c r="F11" s="38" cm="1">
        <f t="array" ref="F11">IF(ISNUMBER(S11),INDEX($A$2:$A$3574,S11),"")</f>
        <v>44001</v>
      </c>
      <c r="S11">
        <v>3573</v>
      </c>
    </row>
    <row r="12" spans="1:80" ht="23.4" x14ac:dyDescent="0.45">
      <c r="A12" s="28">
        <v>38733</v>
      </c>
      <c r="B12" s="36">
        <v>36534</v>
      </c>
      <c r="C12">
        <f t="shared" si="0"/>
        <v>1.7745215477616538E-2</v>
      </c>
      <c r="E12" s="41" t="s">
        <v>19</v>
      </c>
      <c r="F12" s="37">
        <f t="shared" ref="F12" si="1">S12</f>
        <v>-0.36211940621952543</v>
      </c>
      <c r="S12">
        <v>-0.36211940621952543</v>
      </c>
    </row>
    <row r="13" spans="1:80" ht="23.4" x14ac:dyDescent="0.45">
      <c r="A13" s="28">
        <v>38734</v>
      </c>
      <c r="B13" s="36">
        <v>36119</v>
      </c>
      <c r="C13">
        <f t="shared" si="0"/>
        <v>-1.1359281764931284E-2</v>
      </c>
      <c r="E13" s="42" t="s">
        <v>14</v>
      </c>
      <c r="F13" s="38" cm="1">
        <f t="array" ref="F13">IF(ISNUMBER(S13),INDEX($A$2:$A$3574,S13),"")</f>
        <v>39723</v>
      </c>
      <c r="S13">
        <v>680</v>
      </c>
    </row>
    <row r="14" spans="1:80" ht="23.4" x14ac:dyDescent="0.45">
      <c r="A14" s="28">
        <v>38735</v>
      </c>
      <c r="B14" s="36">
        <v>35805</v>
      </c>
      <c r="C14">
        <f t="shared" si="0"/>
        <v>-8.6934854231844882E-3</v>
      </c>
      <c r="E14" s="42" t="s">
        <v>8</v>
      </c>
      <c r="F14" s="38" cm="1">
        <f t="array" ref="F14">IF(ISNUMBER(S14),INDEX($A$2:$A$3574,S14),"")</f>
        <v>39748</v>
      </c>
      <c r="S14">
        <v>697</v>
      </c>
    </row>
    <row r="15" spans="1:80" ht="24" thickBot="1" x14ac:dyDescent="0.5">
      <c r="A15" s="28">
        <v>38736</v>
      </c>
      <c r="B15" s="36">
        <v>36858</v>
      </c>
      <c r="C15">
        <f t="shared" si="0"/>
        <v>2.9409300377042369E-2</v>
      </c>
      <c r="E15" s="43" t="s">
        <v>15</v>
      </c>
      <c r="F15" s="38" cm="1">
        <f t="array" ref="F15">IF(ISNUMBER(S15),INDEX($A$2:$A$3574,S15),"")</f>
        <v>42429</v>
      </c>
      <c r="S15">
        <v>2507</v>
      </c>
    </row>
    <row r="16" spans="1:80" ht="23.4" x14ac:dyDescent="0.45">
      <c r="A16" s="28">
        <v>38737</v>
      </c>
      <c r="B16" s="36">
        <v>36695</v>
      </c>
      <c r="C16">
        <f t="shared" si="0"/>
        <v>-4.4223777741603243E-3</v>
      </c>
      <c r="E16" s="41" t="s">
        <v>19</v>
      </c>
      <c r="F16" s="37">
        <f t="shared" ref="F16" si="2">S16</f>
        <v>-0.22367407775431625</v>
      </c>
      <c r="S16">
        <v>-0.22367407775431625</v>
      </c>
    </row>
    <row r="17" spans="1:19" ht="23.4" x14ac:dyDescent="0.45">
      <c r="A17" s="28">
        <v>38740</v>
      </c>
      <c r="B17" s="36">
        <v>36632</v>
      </c>
      <c r="C17">
        <f t="shared" si="0"/>
        <v>-1.7168551573784052E-3</v>
      </c>
      <c r="E17" s="42" t="s">
        <v>14</v>
      </c>
      <c r="F17" s="38" cm="1">
        <f t="array" ref="F17">IF(ISNUMBER(S17),INDEX($A$2:$A$3574,S17),"")</f>
        <v>39756</v>
      </c>
      <c r="S17">
        <v>703</v>
      </c>
    </row>
    <row r="18" spans="1:19" ht="23.4" x14ac:dyDescent="0.45">
      <c r="A18" s="28">
        <v>38741</v>
      </c>
      <c r="B18" s="36">
        <v>37400</v>
      </c>
      <c r="C18">
        <f t="shared" si="0"/>
        <v>2.0965276261192489E-2</v>
      </c>
      <c r="E18" s="42" t="s">
        <v>8</v>
      </c>
      <c r="F18" s="38" cm="1">
        <f t="array" ref="F18">IF(ISNUMBER(S18),INDEX($A$2:$A$3574,S18),"")</f>
        <v>39773</v>
      </c>
      <c r="S18">
        <v>715</v>
      </c>
    </row>
    <row r="19" spans="1:19" ht="24" thickBot="1" x14ac:dyDescent="0.5">
      <c r="A19" s="28">
        <v>38743</v>
      </c>
      <c r="B19" s="36">
        <v>38014</v>
      </c>
      <c r="C19">
        <f t="shared" si="0"/>
        <v>1.6417112299465186E-2</v>
      </c>
      <c r="E19" s="43" t="s">
        <v>15</v>
      </c>
      <c r="F19" s="38" cm="1">
        <f t="array" ref="F19">IF(ISNUMBER(S19),INDEX($A$2:$A$3574,S19),"")</f>
        <v>42415</v>
      </c>
      <c r="S19">
        <v>2497</v>
      </c>
    </row>
    <row r="20" spans="1:19" ht="23.4" x14ac:dyDescent="0.45">
      <c r="A20" s="28">
        <v>38744</v>
      </c>
      <c r="B20" s="36">
        <v>37822</v>
      </c>
      <c r="C20">
        <f t="shared" si="0"/>
        <v>-5.0507707686642256E-3</v>
      </c>
      <c r="E20" s="41" t="s">
        <v>19</v>
      </c>
      <c r="F20" s="37">
        <f t="shared" ref="F20" si="3">S20</f>
        <v>-0.19323526352889517</v>
      </c>
      <c r="S20">
        <v>-0.19323526352889517</v>
      </c>
    </row>
    <row r="21" spans="1:19" ht="23.4" x14ac:dyDescent="0.45">
      <c r="A21" s="28">
        <v>38747</v>
      </c>
      <c r="B21" s="36">
        <v>38242</v>
      </c>
      <c r="C21">
        <f t="shared" si="0"/>
        <v>1.1104648088414049E-2</v>
      </c>
      <c r="E21" s="42" t="s">
        <v>14</v>
      </c>
      <c r="F21" s="38" cm="1">
        <f t="array" ref="F21">IF(ISNUMBER(S21),INDEX($A$2:$A$3574,S21),"")</f>
        <v>43236</v>
      </c>
      <c r="S21">
        <v>3058</v>
      </c>
    </row>
    <row r="22" spans="1:19" ht="23.4" x14ac:dyDescent="0.45">
      <c r="A22" s="28">
        <v>38748</v>
      </c>
      <c r="B22" s="36">
        <v>38383</v>
      </c>
      <c r="C22">
        <f t="shared" si="0"/>
        <v>3.6870456566078236E-3</v>
      </c>
      <c r="E22" s="42" t="s">
        <v>8</v>
      </c>
      <c r="F22" s="38" cm="1">
        <f t="array" ref="F22">IF(ISNUMBER(S22),INDEX($A$2:$A$3574,S22),"")</f>
        <v>43269</v>
      </c>
      <c r="S22">
        <v>3080</v>
      </c>
    </row>
    <row r="23" spans="1:19" ht="24" thickBot="1" x14ac:dyDescent="0.5">
      <c r="A23" s="28">
        <v>38749</v>
      </c>
      <c r="B23" s="36">
        <v>38485</v>
      </c>
      <c r="C23">
        <f t="shared" si="0"/>
        <v>2.6574264648411283E-3</v>
      </c>
      <c r="E23" s="43" t="s">
        <v>15</v>
      </c>
      <c r="F23" s="38" cm="1">
        <f t="array" ref="F23">IF(ISNUMBER(S23),INDEX($A$2:$A$3574,S23),"")</f>
        <v>43977</v>
      </c>
      <c r="S23">
        <v>3556</v>
      </c>
    </row>
    <row r="24" spans="1:19" ht="23.4" x14ac:dyDescent="0.45">
      <c r="A24" s="28">
        <v>38750</v>
      </c>
      <c r="B24" s="36">
        <v>37304</v>
      </c>
      <c r="C24">
        <f t="shared" si="0"/>
        <v>-3.0687280758737168E-2</v>
      </c>
      <c r="E24" s="41" t="s">
        <v>9</v>
      </c>
      <c r="F24" s="37">
        <f t="shared" ref="F24" si="4">S24</f>
        <v>-0.18543656630455971</v>
      </c>
      <c r="S24">
        <v>-0.18543656630455971</v>
      </c>
    </row>
    <row r="25" spans="1:19" ht="23.4" x14ac:dyDescent="0.45">
      <c r="A25" s="28">
        <v>38751</v>
      </c>
      <c r="B25" s="36">
        <v>37262</v>
      </c>
      <c r="C25">
        <f t="shared" si="0"/>
        <v>-1.1258846236328335E-3</v>
      </c>
      <c r="E25" s="42" t="s">
        <v>14</v>
      </c>
      <c r="F25" s="38" cm="1">
        <f t="array" ref="F25">IF(ISNUMBER(S25),INDEX($A$2:$A$3574,S25),"")</f>
        <v>41416</v>
      </c>
      <c r="S25">
        <v>1823</v>
      </c>
    </row>
    <row r="26" spans="1:19" ht="23.4" x14ac:dyDescent="0.45">
      <c r="A26" s="28">
        <v>38754</v>
      </c>
      <c r="B26" s="36">
        <v>37321</v>
      </c>
      <c r="C26">
        <f t="shared" si="0"/>
        <v>1.5833825344855335E-3</v>
      </c>
      <c r="E26" s="42" t="s">
        <v>8</v>
      </c>
      <c r="F26" s="38" cm="1">
        <f t="array" ref="F26">IF(ISNUMBER(S26),INDEX($A$2:$A$3574,S26),"")</f>
        <v>41449</v>
      </c>
      <c r="S26">
        <v>1845</v>
      </c>
    </row>
    <row r="27" spans="1:19" ht="24" thickBot="1" x14ac:dyDescent="0.5">
      <c r="A27" s="28">
        <v>38755</v>
      </c>
      <c r="B27" s="36">
        <v>36562</v>
      </c>
      <c r="C27">
        <f t="shared" si="0"/>
        <v>-2.0337075641060021E-2</v>
      </c>
      <c r="E27" s="43" t="s">
        <v>15</v>
      </c>
      <c r="F27" s="38" cm="1">
        <f t="array" ref="F27">IF(ISNUMBER(S27),INDEX($A$2:$A$3574,S27),"")</f>
        <v>42584</v>
      </c>
      <c r="S27">
        <v>2615</v>
      </c>
    </row>
    <row r="28" spans="1:19" ht="23.4" x14ac:dyDescent="0.45">
      <c r="A28" s="28">
        <v>38756</v>
      </c>
      <c r="B28" s="36">
        <v>36499</v>
      </c>
      <c r="C28">
        <f t="shared" si="0"/>
        <v>-1.72310048684432E-3</v>
      </c>
      <c r="E28" s="41" t="s">
        <v>9</v>
      </c>
      <c r="F28" s="37">
        <f t="shared" ref="F28" si="5">S28</f>
        <v>-0.17391827956989248</v>
      </c>
      <c r="S28">
        <v>-0.17391827956989248</v>
      </c>
    </row>
    <row r="29" spans="1:19" ht="23.4" x14ac:dyDescent="0.45">
      <c r="A29" s="28">
        <v>38757</v>
      </c>
      <c r="B29" s="36">
        <v>36882</v>
      </c>
      <c r="C29">
        <f t="shared" si="0"/>
        <v>1.049343817638837E-2</v>
      </c>
      <c r="E29" s="42" t="s">
        <v>14</v>
      </c>
      <c r="F29" s="38" cm="1">
        <f t="array" ref="F29">IF(ISNUMBER(S29),INDEX($A$2:$A$3574,S29),"")</f>
        <v>39282</v>
      </c>
      <c r="S29">
        <v>382</v>
      </c>
    </row>
    <row r="30" spans="1:19" ht="23.4" x14ac:dyDescent="0.45">
      <c r="A30" s="28">
        <v>38758</v>
      </c>
      <c r="B30" s="36">
        <v>36975</v>
      </c>
      <c r="C30">
        <f t="shared" si="0"/>
        <v>2.5215552301935951E-3</v>
      </c>
      <c r="E30" s="42" t="s">
        <v>8</v>
      </c>
      <c r="F30" s="38" cm="1">
        <f t="array" ref="F30">IF(ISNUMBER(S30),INDEX($A$2:$A$3574,S30),"")</f>
        <v>39310</v>
      </c>
      <c r="S30">
        <v>402</v>
      </c>
    </row>
    <row r="31" spans="1:19" ht="24" thickBot="1" x14ac:dyDescent="0.5">
      <c r="A31" s="28">
        <v>38761</v>
      </c>
      <c r="B31" s="36">
        <v>36114</v>
      </c>
      <c r="C31">
        <f t="shared" si="0"/>
        <v>-2.3286004056795151E-2</v>
      </c>
      <c r="E31" s="43" t="s">
        <v>15</v>
      </c>
      <c r="F31" s="38" cm="1">
        <f t="array" ref="F31">IF(ISNUMBER(S31),INDEX($A$2:$A$3574,S31),"")</f>
        <v>42727</v>
      </c>
      <c r="S31">
        <v>2714</v>
      </c>
    </row>
    <row r="32" spans="1:19" ht="23.4" x14ac:dyDescent="0.45">
      <c r="A32" s="28">
        <v>38762</v>
      </c>
      <c r="B32" s="36">
        <v>36627</v>
      </c>
      <c r="C32">
        <f t="shared" si="0"/>
        <v>1.4205017444758328E-2</v>
      </c>
      <c r="E32" s="41" t="s">
        <v>9</v>
      </c>
      <c r="F32" s="37">
        <f t="shared" ref="F32" si="6">S32</f>
        <v>-0.16774228635654981</v>
      </c>
      <c r="S32">
        <v>-0.16774228635654981</v>
      </c>
    </row>
    <row r="33" spans="1:19" ht="23.4" x14ac:dyDescent="0.45">
      <c r="A33" s="28">
        <v>38763</v>
      </c>
      <c r="B33" s="36">
        <v>37239</v>
      </c>
      <c r="C33">
        <f t="shared" si="0"/>
        <v>1.6708985174870961E-2</v>
      </c>
      <c r="E33" s="42" t="s">
        <v>14</v>
      </c>
      <c r="F33" s="38" cm="1">
        <f t="array" ref="F33">IF(ISNUMBER(S33),INDEX($A$2:$A$3574,S33),"")</f>
        <v>39692</v>
      </c>
      <c r="S33">
        <v>657</v>
      </c>
    </row>
    <row r="34" spans="1:19" ht="23.4" x14ac:dyDescent="0.45">
      <c r="A34" s="28">
        <v>38764</v>
      </c>
      <c r="B34" s="36">
        <v>38256</v>
      </c>
      <c r="C34">
        <f t="shared" si="0"/>
        <v>2.7310078143881311E-2</v>
      </c>
      <c r="E34" s="42" t="s">
        <v>8</v>
      </c>
      <c r="F34" s="38" cm="1">
        <f t="array" ref="F34">IF(ISNUMBER(S34),INDEX($A$2:$A$3574,S34),"")</f>
        <v>39708</v>
      </c>
      <c r="S34">
        <v>669</v>
      </c>
    </row>
    <row r="35" spans="1:19" ht="24" thickBot="1" x14ac:dyDescent="0.5">
      <c r="A35" s="28">
        <v>38765</v>
      </c>
      <c r="B35" s="36">
        <v>38422</v>
      </c>
      <c r="C35">
        <f t="shared" si="0"/>
        <v>4.339188624006729E-3</v>
      </c>
      <c r="E35" s="43" t="s">
        <v>15</v>
      </c>
      <c r="F35" s="38" cm="1">
        <f t="array" ref="F35">IF(ISNUMBER(S35),INDEX($A$2:$A$3574,S35),"")</f>
        <v>42558</v>
      </c>
      <c r="S35">
        <v>2597</v>
      </c>
    </row>
    <row r="36" spans="1:19" ht="23.4" x14ac:dyDescent="0.45">
      <c r="A36" s="28">
        <v>38768</v>
      </c>
      <c r="B36" s="36">
        <v>38539</v>
      </c>
      <c r="C36">
        <f t="shared" si="0"/>
        <v>3.0451303940450813E-3</v>
      </c>
      <c r="E36" s="41" t="s">
        <v>9</v>
      </c>
      <c r="F36" s="37">
        <f t="shared" ref="F36" si="7">S36</f>
        <v>-0.16182868554311389</v>
      </c>
      <c r="S36">
        <v>-0.16182868554311389</v>
      </c>
    </row>
    <row r="37" spans="1:19" ht="23.4" x14ac:dyDescent="0.45">
      <c r="A37" s="28">
        <v>38769</v>
      </c>
      <c r="B37" s="36">
        <v>38166</v>
      </c>
      <c r="C37">
        <f t="shared" si="0"/>
        <v>-9.67850748592336E-3</v>
      </c>
      <c r="E37" s="42" t="s">
        <v>14</v>
      </c>
      <c r="F37" s="38" cm="1">
        <f t="array" ref="F37">IF(ISNUMBER(S37),INDEX($A$2:$A$3574,S37),"")</f>
        <v>41964</v>
      </c>
      <c r="S37">
        <v>2198</v>
      </c>
    </row>
    <row r="38" spans="1:19" ht="23.4" x14ac:dyDescent="0.45">
      <c r="A38" s="28">
        <v>38770</v>
      </c>
      <c r="B38" s="36">
        <v>38246</v>
      </c>
      <c r="C38">
        <f t="shared" si="0"/>
        <v>2.09610648220937E-3</v>
      </c>
      <c r="E38" s="42" t="s">
        <v>8</v>
      </c>
      <c r="F38" s="38" cm="1">
        <f t="array" ref="F38">IF(ISNUMBER(S38),INDEX($A$2:$A$3574,S38),"")</f>
        <v>41989</v>
      </c>
      <c r="S38">
        <v>2215</v>
      </c>
    </row>
    <row r="39" spans="1:19" ht="24" thickBot="1" x14ac:dyDescent="0.5">
      <c r="A39" s="28">
        <v>38771</v>
      </c>
      <c r="B39" s="36">
        <v>38405</v>
      </c>
      <c r="C39">
        <f t="shared" si="0"/>
        <v>4.1572974951629149E-3</v>
      </c>
      <c r="E39" s="43" t="s">
        <v>15</v>
      </c>
      <c r="F39" s="38" cm="1">
        <f t="array" ref="F39">IF(ISNUMBER(S39),INDEX($A$2:$A$3574,S39),"")</f>
        <v>42558</v>
      </c>
      <c r="S39">
        <v>2597</v>
      </c>
    </row>
    <row r="40" spans="1:19" ht="23.4" x14ac:dyDescent="0.45">
      <c r="A40" s="28">
        <v>38772</v>
      </c>
      <c r="B40" s="36">
        <v>38610</v>
      </c>
      <c r="C40">
        <f t="shared" si="0"/>
        <v>5.3378466345528341E-3</v>
      </c>
      <c r="E40" s="41" t="s">
        <v>9</v>
      </c>
      <c r="F40" s="37">
        <f t="shared" ref="F40" si="8">S40</f>
        <v>-0.15996093284737606</v>
      </c>
      <c r="S40">
        <v>-0.15996093284737606</v>
      </c>
    </row>
    <row r="41" spans="1:19" ht="23.4" x14ac:dyDescent="0.45">
      <c r="A41" s="28">
        <v>38777</v>
      </c>
      <c r="B41" s="36">
        <v>39178</v>
      </c>
      <c r="C41">
        <f t="shared" si="0"/>
        <v>1.4711214711214726E-2</v>
      </c>
      <c r="E41" s="42" t="s">
        <v>14</v>
      </c>
      <c r="F41" s="38" cm="1">
        <f t="array" ref="F41">IF(ISNUMBER(S41),INDEX($A$2:$A$3574,S41),"")</f>
        <v>38846</v>
      </c>
      <c r="S41">
        <v>86</v>
      </c>
    </row>
    <row r="42" spans="1:19" ht="23.4" x14ac:dyDescent="0.45">
      <c r="A42" s="28">
        <v>38778</v>
      </c>
      <c r="B42" s="36">
        <v>39126</v>
      </c>
      <c r="C42">
        <f t="shared" si="0"/>
        <v>-1.3272755117668122E-3</v>
      </c>
      <c r="E42" s="42" t="s">
        <v>8</v>
      </c>
      <c r="F42" s="38" cm="1">
        <f t="array" ref="F42">IF(ISNUMBER(S42),INDEX($A$2:$A$3574,S42),"")</f>
        <v>38875</v>
      </c>
      <c r="S42">
        <v>107</v>
      </c>
    </row>
    <row r="43" spans="1:19" ht="24" thickBot="1" x14ac:dyDescent="0.5">
      <c r="A43" s="28">
        <v>38779</v>
      </c>
      <c r="B43" s="36">
        <v>39240</v>
      </c>
      <c r="C43">
        <f t="shared" si="0"/>
        <v>2.9136635485353946E-3</v>
      </c>
      <c r="E43" s="43" t="s">
        <v>15</v>
      </c>
      <c r="F43" s="38" cm="1">
        <f t="array" ref="F43">IF(ISNUMBER(S43),INDEX($A$2:$A$3574,S43),"")</f>
        <v>42426</v>
      </c>
      <c r="S43">
        <v>2506</v>
      </c>
    </row>
    <row r="44" spans="1:19" ht="23.4" x14ac:dyDescent="0.45">
      <c r="A44" s="28">
        <v>38782</v>
      </c>
      <c r="B44" s="36">
        <v>38354</v>
      </c>
      <c r="C44">
        <f t="shared" si="0"/>
        <v>-2.2579001019367939E-2</v>
      </c>
      <c r="E44" s="41" t="s">
        <v>9</v>
      </c>
      <c r="F44" s="37">
        <f t="shared" ref="F44" si="9">S44</f>
        <v>-0.15251660585648799</v>
      </c>
      <c r="S44">
        <v>-0.15251660585648799</v>
      </c>
    </row>
    <row r="45" spans="1:19" ht="23.4" x14ac:dyDescent="0.45">
      <c r="A45" s="28">
        <v>38783</v>
      </c>
      <c r="B45" s="36">
        <v>37423</v>
      </c>
      <c r="C45">
        <f t="shared" si="0"/>
        <v>-2.4273869739792509E-2</v>
      </c>
      <c r="E45" s="42" t="s">
        <v>14</v>
      </c>
      <c r="F45" s="38" cm="1">
        <f t="array" ref="F45">IF(ISNUMBER(S45),INDEX($A$2:$A$3574,S45),"")</f>
        <v>39850</v>
      </c>
      <c r="S45">
        <v>766</v>
      </c>
    </row>
    <row r="46" spans="1:19" ht="23.4" x14ac:dyDescent="0.45">
      <c r="A46" s="28">
        <v>38784</v>
      </c>
      <c r="B46" s="36">
        <v>37289</v>
      </c>
      <c r="C46">
        <f t="shared" si="0"/>
        <v>-3.5806856745851379E-3</v>
      </c>
      <c r="E46" s="42" t="s">
        <v>8</v>
      </c>
      <c r="F46" s="38" cm="1">
        <f t="array" ref="F46">IF(ISNUMBER(S46),INDEX($A$2:$A$3574,S46),"")</f>
        <v>39874</v>
      </c>
      <c r="S46">
        <v>780</v>
      </c>
    </row>
    <row r="47" spans="1:19" ht="24" thickBot="1" x14ac:dyDescent="0.5">
      <c r="A47" s="28">
        <v>38785</v>
      </c>
      <c r="B47" s="36">
        <v>36312</v>
      </c>
      <c r="C47">
        <f t="shared" si="0"/>
        <v>-2.6200756255195912E-2</v>
      </c>
      <c r="E47" s="43" t="s">
        <v>15</v>
      </c>
      <c r="F47" s="38" cm="1">
        <f t="array" ref="F47">IF(ISNUMBER(S47),INDEX($A$2:$A$3574,S47),"")</f>
        <v>42426</v>
      </c>
      <c r="S47">
        <v>2506</v>
      </c>
    </row>
    <row r="48" spans="1:19" ht="23.4" x14ac:dyDescent="0.45">
      <c r="A48" s="28">
        <v>38786</v>
      </c>
      <c r="B48" s="36">
        <v>36891</v>
      </c>
      <c r="C48">
        <f t="shared" si="0"/>
        <v>1.5945142101784437E-2</v>
      </c>
      <c r="E48" s="41" t="s">
        <v>9</v>
      </c>
      <c r="F48" s="37">
        <f t="shared" ref="F48" si="10">S48</f>
        <v>-0.14601912886131577</v>
      </c>
      <c r="S48">
        <v>-0.14601912886131577</v>
      </c>
    </row>
    <row r="49" spans="1:19" ht="23.4" x14ac:dyDescent="0.45">
      <c r="A49" s="28">
        <v>38789</v>
      </c>
      <c r="B49" s="36">
        <v>36793</v>
      </c>
      <c r="C49">
        <f t="shared" si="0"/>
        <v>-2.6564744788701855E-3</v>
      </c>
      <c r="E49" s="42" t="s">
        <v>14</v>
      </c>
      <c r="F49" s="38" cm="1">
        <f t="array" ref="F49">IF(ISNUMBER(S49),INDEX($A$2:$A$3574,S49),"")</f>
        <v>41884</v>
      </c>
      <c r="S49">
        <v>2141</v>
      </c>
    </row>
    <row r="50" spans="1:19" ht="23.4" x14ac:dyDescent="0.45">
      <c r="A50" s="28">
        <v>38790</v>
      </c>
      <c r="B50" s="36">
        <v>37541</v>
      </c>
      <c r="C50">
        <f t="shared" si="0"/>
        <v>2.0329954067349831E-2</v>
      </c>
      <c r="E50" s="42" t="s">
        <v>8</v>
      </c>
      <c r="F50" s="38" cm="1">
        <f t="array" ref="F50">IF(ISNUMBER(S50),INDEX($A$2:$A$3574,S50),"")</f>
        <v>41913</v>
      </c>
      <c r="S50">
        <v>2162</v>
      </c>
    </row>
    <row r="51" spans="1:19" ht="24" thickBot="1" x14ac:dyDescent="0.5">
      <c r="A51" s="28">
        <v>38791</v>
      </c>
      <c r="B51" s="36">
        <v>38244</v>
      </c>
      <c r="C51">
        <f t="shared" si="0"/>
        <v>1.8726192695985633E-2</v>
      </c>
      <c r="E51" s="43" t="s">
        <v>15</v>
      </c>
      <c r="F51" s="38" cm="1">
        <f t="array" ref="F51">IF(ISNUMBER(S51),INDEX($A$2:$A$3574,S51),"")</f>
        <v>42913</v>
      </c>
      <c r="S51">
        <v>2838</v>
      </c>
    </row>
    <row r="52" spans="1:19" ht="23.4" x14ac:dyDescent="0.45">
      <c r="A52" s="28">
        <v>38792</v>
      </c>
      <c r="B52" s="36">
        <v>38157</v>
      </c>
      <c r="C52">
        <f t="shared" si="0"/>
        <v>-2.2748666457483857E-3</v>
      </c>
      <c r="E52" s="41" t="s">
        <v>9</v>
      </c>
      <c r="F52" s="37">
        <f t="shared" ref="F52" si="11">S52</f>
        <v>-0.14239009681003015</v>
      </c>
      <c r="S52">
        <v>-0.14239009681003015</v>
      </c>
    </row>
    <row r="53" spans="1:19" ht="23.4" x14ac:dyDescent="0.45">
      <c r="A53" s="28">
        <v>38793</v>
      </c>
      <c r="B53" s="36">
        <v>38049</v>
      </c>
      <c r="C53">
        <f t="shared" si="0"/>
        <v>-2.8304111958487033E-3</v>
      </c>
      <c r="E53" s="42" t="s">
        <v>14</v>
      </c>
      <c r="F53" s="38" cm="1">
        <f t="array" ref="F53">IF(ISNUMBER(S53),INDEX($A$2:$A$3574,S53),"")</f>
        <v>41017</v>
      </c>
      <c r="S53">
        <v>1555</v>
      </c>
    </row>
    <row r="54" spans="1:19" ht="23.4" x14ac:dyDescent="0.45">
      <c r="A54" s="28">
        <v>38796</v>
      </c>
      <c r="B54" s="36">
        <v>38204</v>
      </c>
      <c r="C54">
        <f t="shared" si="0"/>
        <v>4.0736944466346348E-3</v>
      </c>
      <c r="E54" s="42" t="s">
        <v>8</v>
      </c>
      <c r="F54" s="38" cm="1">
        <f t="array" ref="F54">IF(ISNUMBER(S54),INDEX($A$2:$A$3574,S54),"")</f>
        <v>41046</v>
      </c>
      <c r="S54">
        <v>1575</v>
      </c>
    </row>
    <row r="55" spans="1:19" ht="24" thickBot="1" x14ac:dyDescent="0.5">
      <c r="A55" s="28">
        <v>38797</v>
      </c>
      <c r="B55" s="36">
        <v>37398</v>
      </c>
      <c r="C55">
        <f t="shared" si="0"/>
        <v>-2.109726730185324E-2</v>
      </c>
      <c r="E55" s="43" t="s">
        <v>15</v>
      </c>
      <c r="F55" s="38" cm="1">
        <f t="array" ref="F55">IF(ISNUMBER(S55),INDEX($A$2:$A$3574,S55),"")</f>
        <v>42923</v>
      </c>
      <c r="S55">
        <v>2846</v>
      </c>
    </row>
    <row r="56" spans="1:19" ht="23.4" x14ac:dyDescent="0.45">
      <c r="A56" s="28">
        <v>38798</v>
      </c>
      <c r="B56" s="36">
        <v>37851</v>
      </c>
      <c r="C56">
        <f t="shared" si="0"/>
        <v>1.2112947216428749E-2</v>
      </c>
      <c r="E56" s="41" t="s">
        <v>9</v>
      </c>
      <c r="F56" s="37">
        <f t="shared" ref="F56" si="12">S56</f>
        <v>-0.1410409126311449</v>
      </c>
      <c r="S56">
        <v>-0.1410409126311449</v>
      </c>
    </row>
    <row r="57" spans="1:19" ht="23.4" x14ac:dyDescent="0.45">
      <c r="A57" s="28">
        <v>38799</v>
      </c>
      <c r="B57" s="36">
        <v>37474</v>
      </c>
      <c r="C57">
        <f t="shared" si="0"/>
        <v>-9.9601067343002558E-3</v>
      </c>
      <c r="E57" s="42" t="s">
        <v>14</v>
      </c>
      <c r="F57" s="38" cm="1">
        <f t="array" ref="F57">IF(ISNUMBER(S57),INDEX($A$2:$A$3574,S57),"")</f>
        <v>42367</v>
      </c>
      <c r="S57">
        <v>2468</v>
      </c>
    </row>
    <row r="58" spans="1:19" ht="23.4" x14ac:dyDescent="0.45">
      <c r="A58" s="28">
        <v>38800</v>
      </c>
      <c r="B58" s="36">
        <v>37577</v>
      </c>
      <c r="C58">
        <f t="shared" si="0"/>
        <v>2.7485723434914622E-3</v>
      </c>
      <c r="E58" s="42" t="s">
        <v>8</v>
      </c>
      <c r="F58" s="38" cm="1">
        <f t="array" ref="F58">IF(ISNUMBER(S58),INDEX($A$2:$A$3574,S58),"")</f>
        <v>42395</v>
      </c>
      <c r="S58">
        <v>2485</v>
      </c>
    </row>
    <row r="59" spans="1:19" ht="24" thickBot="1" x14ac:dyDescent="0.5">
      <c r="A59" s="28">
        <v>38803</v>
      </c>
      <c r="B59" s="36">
        <v>37641</v>
      </c>
      <c r="C59">
        <f t="shared" si="0"/>
        <v>1.7031694919764639E-3</v>
      </c>
      <c r="E59" s="43" t="s">
        <v>15</v>
      </c>
      <c r="F59" s="38" cm="1">
        <f t="array" ref="F59">IF(ISNUMBER(S59),INDEX($A$2:$A$3574,S59),"")</f>
        <v>42429</v>
      </c>
      <c r="S59">
        <v>2507</v>
      </c>
    </row>
    <row r="60" spans="1:19" ht="23.4" x14ac:dyDescent="0.45">
      <c r="A60" s="28">
        <v>38804</v>
      </c>
      <c r="B60" s="36">
        <v>36682</v>
      </c>
      <c r="C60">
        <f t="shared" si="0"/>
        <v>-2.5477537791238292E-2</v>
      </c>
      <c r="E60" s="41" t="s">
        <v>9</v>
      </c>
      <c r="F60" s="37">
        <f t="shared" ref="F60" si="13">S60</f>
        <v>-0.13841108359547555</v>
      </c>
      <c r="S60">
        <v>-0.13841108359547555</v>
      </c>
    </row>
    <row r="61" spans="1:19" ht="23.4" x14ac:dyDescent="0.45">
      <c r="A61" s="28">
        <v>38805</v>
      </c>
      <c r="B61" s="36">
        <v>37492</v>
      </c>
      <c r="C61">
        <f t="shared" si="0"/>
        <v>2.2081674935935824E-2</v>
      </c>
      <c r="E61" s="42" t="s">
        <v>14</v>
      </c>
      <c r="F61" s="38" cm="1">
        <f t="array" ref="F61">IF(ISNUMBER(S61),INDEX($A$2:$A$3574,S61),"")</f>
        <v>43853</v>
      </c>
      <c r="S61">
        <v>3474</v>
      </c>
    </row>
    <row r="62" spans="1:19" ht="23.4" x14ac:dyDescent="0.45">
      <c r="A62" s="28">
        <v>38806</v>
      </c>
      <c r="B62" s="36">
        <v>37777</v>
      </c>
      <c r="C62">
        <f t="shared" si="0"/>
        <v>7.6016216792915703E-3</v>
      </c>
      <c r="E62" s="42" t="s">
        <v>8</v>
      </c>
      <c r="F62" s="38" cm="1">
        <f t="array" ref="F62">IF(ISNUMBER(S62),INDEX($A$2:$A$3574,S62),"")</f>
        <v>43888</v>
      </c>
      <c r="S62">
        <v>3496</v>
      </c>
    </row>
    <row r="63" spans="1:19" ht="24" thickBot="1" x14ac:dyDescent="0.5">
      <c r="A63" s="28">
        <v>38807</v>
      </c>
      <c r="B63" s="36">
        <v>37952</v>
      </c>
      <c r="C63">
        <f t="shared" si="0"/>
        <v>4.6324483151123363E-3</v>
      </c>
      <c r="E63" s="43" t="s">
        <v>15</v>
      </c>
      <c r="F63" s="38" cm="1">
        <f t="array" ref="F63">IF(ISNUMBER(S63),INDEX($A$2:$A$3574,S63),"")</f>
        <v>44001</v>
      </c>
      <c r="S63">
        <v>3573</v>
      </c>
    </row>
    <row r="64" spans="1:19" ht="23.4" x14ac:dyDescent="0.45">
      <c r="A64" s="28">
        <v>38810</v>
      </c>
      <c r="B64" s="36">
        <v>38717</v>
      </c>
      <c r="C64">
        <f t="shared" si="0"/>
        <v>2.0157040472175369E-2</v>
      </c>
      <c r="E64" s="41" t="s">
        <v>9</v>
      </c>
      <c r="F64" s="37">
        <f t="shared" ref="F64" si="14">S64</f>
        <v>-0.13642506795438325</v>
      </c>
      <c r="S64">
        <v>-0.13642506795438325</v>
      </c>
    </row>
    <row r="65" spans="1:19" ht="23.4" x14ac:dyDescent="0.45">
      <c r="A65" s="28">
        <v>38811</v>
      </c>
      <c r="B65" s="36">
        <v>38802</v>
      </c>
      <c r="C65">
        <f t="shared" si="0"/>
        <v>2.1954180334220474E-3</v>
      </c>
      <c r="E65" s="42" t="s">
        <v>14</v>
      </c>
      <c r="F65" s="38" cm="1">
        <f t="array" ref="F65">IF(ISNUMBER(S65),INDEX($A$2:$A$3574,S65),"")</f>
        <v>39624</v>
      </c>
      <c r="S65">
        <v>610</v>
      </c>
    </row>
    <row r="66" spans="1:19" ht="23.4" x14ac:dyDescent="0.45">
      <c r="A66" s="28">
        <v>38812</v>
      </c>
      <c r="B66" s="36">
        <v>39053</v>
      </c>
      <c r="C66">
        <f t="shared" si="0"/>
        <v>6.4687387248079098E-3</v>
      </c>
      <c r="E66" s="42" t="s">
        <v>8</v>
      </c>
      <c r="F66" s="38" cm="1">
        <f t="array" ref="F66">IF(ISNUMBER(S66),INDEX($A$2:$A$3574,S66),"")</f>
        <v>39657</v>
      </c>
      <c r="S66">
        <v>632</v>
      </c>
    </row>
    <row r="67" spans="1:19" ht="24" thickBot="1" x14ac:dyDescent="0.5">
      <c r="A67" s="28">
        <v>38813</v>
      </c>
      <c r="B67" s="36">
        <v>39285</v>
      </c>
      <c r="C67">
        <f t="shared" si="0"/>
        <v>5.9406447648067129E-3</v>
      </c>
      <c r="E67" s="43" t="s">
        <v>15</v>
      </c>
      <c r="F67" s="38" cm="1">
        <f t="array" ref="F67">IF(ISNUMBER(S67),INDEX($A$2:$A$3574,S67),"")</f>
        <v>42944</v>
      </c>
      <c r="S67">
        <v>2861</v>
      </c>
    </row>
    <row r="68" spans="1:19" ht="23.4" x14ac:dyDescent="0.45">
      <c r="A68" s="28">
        <v>38814</v>
      </c>
      <c r="B68" s="36">
        <v>38926</v>
      </c>
      <c r="C68">
        <f t="shared" ref="C68:C131" si="15">B68/B67-1</f>
        <v>-9.1383479699630454E-3</v>
      </c>
      <c r="E68" s="41" t="s">
        <v>9</v>
      </c>
      <c r="F68" s="37">
        <f t="shared" ref="F68" si="16">S68</f>
        <v>0</v>
      </c>
    </row>
    <row r="69" spans="1:19" ht="23.4" x14ac:dyDescent="0.45">
      <c r="A69" s="28">
        <v>38817</v>
      </c>
      <c r="B69" s="36">
        <v>38475</v>
      </c>
      <c r="C69">
        <f t="shared" si="15"/>
        <v>-1.1586086420387387E-2</v>
      </c>
      <c r="E69" s="42" t="s">
        <v>14</v>
      </c>
      <c r="F69" s="38" t="str" cm="1">
        <f t="array" ref="F69">IF(ISNUMBER(S69),INDEX($A$2:$A$3574,S69),"")</f>
        <v/>
      </c>
    </row>
    <row r="70" spans="1:19" ht="23.4" x14ac:dyDescent="0.45">
      <c r="A70" s="28">
        <v>38818</v>
      </c>
      <c r="B70" s="36">
        <v>37901</v>
      </c>
      <c r="C70">
        <f t="shared" si="15"/>
        <v>-1.4918778427550405E-2</v>
      </c>
      <c r="E70" s="42" t="s">
        <v>8</v>
      </c>
      <c r="F70" s="38" t="str" cm="1">
        <f t="array" ref="F70">IF(ISNUMBER(S70),INDEX($A$2:$A$3574,S70),"")</f>
        <v/>
      </c>
    </row>
    <row r="71" spans="1:19" ht="24" thickBot="1" x14ac:dyDescent="0.5">
      <c r="A71" s="28">
        <v>38819</v>
      </c>
      <c r="B71" s="36">
        <v>38427</v>
      </c>
      <c r="C71">
        <f t="shared" si="15"/>
        <v>1.3878261787287904E-2</v>
      </c>
      <c r="E71" s="43" t="s">
        <v>15</v>
      </c>
      <c r="F71" s="38" t="str" cm="1">
        <f t="array" ref="F71">IF(ISNUMBER(S71),INDEX($A$2:$A$3574,S71),"")</f>
        <v/>
      </c>
    </row>
    <row r="72" spans="1:19" ht="23.4" x14ac:dyDescent="0.45">
      <c r="A72" s="28">
        <v>38820</v>
      </c>
      <c r="B72" s="36">
        <v>38082</v>
      </c>
      <c r="C72">
        <f t="shared" si="15"/>
        <v>-8.9780622999453552E-3</v>
      </c>
      <c r="E72" s="41" t="s">
        <v>9</v>
      </c>
      <c r="F72" s="37">
        <f t="shared" ref="F72" si="17">S72</f>
        <v>0</v>
      </c>
    </row>
    <row r="73" spans="1:19" ht="23.4" x14ac:dyDescent="0.45">
      <c r="A73" s="28">
        <v>38824</v>
      </c>
      <c r="B73" s="36">
        <v>38462</v>
      </c>
      <c r="C73">
        <f t="shared" si="15"/>
        <v>9.9784675174623416E-3</v>
      </c>
      <c r="E73" s="42" t="s">
        <v>14</v>
      </c>
      <c r="F73" s="38" t="str" cm="1">
        <f t="array" ref="F73">IF(ISNUMBER(S73),INDEX($A$2:$A$3574,S73),"")</f>
        <v/>
      </c>
    </row>
    <row r="74" spans="1:19" ht="23.4" x14ac:dyDescent="0.45">
      <c r="A74" s="28">
        <v>38825</v>
      </c>
      <c r="B74" s="36">
        <v>39572</v>
      </c>
      <c r="C74">
        <f t="shared" si="15"/>
        <v>2.8859653684155884E-2</v>
      </c>
      <c r="E74" s="42" t="s">
        <v>8</v>
      </c>
      <c r="F74" s="38" t="str" cm="1">
        <f t="array" ref="F74">IF(ISNUMBER(S74),INDEX($A$2:$A$3574,S74),"")</f>
        <v/>
      </c>
    </row>
    <row r="75" spans="1:19" ht="24" thickBot="1" x14ac:dyDescent="0.5">
      <c r="A75" s="28">
        <v>38826</v>
      </c>
      <c r="B75" s="36">
        <v>39938</v>
      </c>
      <c r="C75">
        <f t="shared" si="15"/>
        <v>9.2489639138784163E-3</v>
      </c>
      <c r="E75" s="43" t="s">
        <v>15</v>
      </c>
      <c r="F75" s="38" t="str" cm="1">
        <f t="array" ref="F75">IF(ISNUMBER(S75),INDEX($A$2:$A$3574,S75),"")</f>
        <v/>
      </c>
    </row>
    <row r="76" spans="1:19" ht="23.4" x14ac:dyDescent="0.45">
      <c r="A76" s="28">
        <v>38827</v>
      </c>
      <c r="B76" s="36">
        <v>39775</v>
      </c>
      <c r="C76">
        <f t="shared" si="15"/>
        <v>-4.0813260553858033E-3</v>
      </c>
      <c r="E76" s="41" t="s">
        <v>9</v>
      </c>
      <c r="F76" s="37">
        <f t="shared" ref="F76" si="18">S76</f>
        <v>0</v>
      </c>
    </row>
    <row r="77" spans="1:19" ht="23.4" x14ac:dyDescent="0.45">
      <c r="A77" s="28">
        <v>38831</v>
      </c>
      <c r="B77" s="36">
        <v>39751</v>
      </c>
      <c r="C77">
        <f t="shared" si="15"/>
        <v>-6.0339409176612957E-4</v>
      </c>
      <c r="E77" s="42" t="s">
        <v>14</v>
      </c>
      <c r="F77" s="38" t="str" cm="1">
        <f t="array" ref="F77">IF(ISNUMBER(S77),INDEX($A$2:$A$3574,S77),"")</f>
        <v/>
      </c>
    </row>
    <row r="78" spans="1:19" ht="23.4" x14ac:dyDescent="0.45">
      <c r="A78" s="28">
        <v>38832</v>
      </c>
      <c r="B78" s="36">
        <v>39738</v>
      </c>
      <c r="C78">
        <f t="shared" si="15"/>
        <v>-3.2703579784154613E-4</v>
      </c>
      <c r="E78" s="42" t="s">
        <v>8</v>
      </c>
      <c r="F78" s="38" t="str" cm="1">
        <f t="array" ref="F78">IF(ISNUMBER(S78),INDEX($A$2:$A$3574,S78),"")</f>
        <v/>
      </c>
    </row>
    <row r="79" spans="1:19" ht="24" thickBot="1" x14ac:dyDescent="0.5">
      <c r="A79" s="28">
        <v>38833</v>
      </c>
      <c r="B79" s="36">
        <v>40410</v>
      </c>
      <c r="C79">
        <f t="shared" si="15"/>
        <v>1.691076551411741E-2</v>
      </c>
      <c r="E79" s="43" t="s">
        <v>15</v>
      </c>
      <c r="F79" s="38" t="str" cm="1">
        <f t="array" ref="F79">IF(ISNUMBER(S79),INDEX($A$2:$A$3574,S79),"")</f>
        <v/>
      </c>
    </row>
    <row r="80" spans="1:19" ht="23.4" x14ac:dyDescent="0.45">
      <c r="A80" s="28">
        <v>38834</v>
      </c>
      <c r="B80" s="36">
        <v>39751</v>
      </c>
      <c r="C80">
        <f t="shared" si="15"/>
        <v>-1.630784459292256E-2</v>
      </c>
      <c r="E80" s="41" t="s">
        <v>9</v>
      </c>
      <c r="F80" s="37">
        <f t="shared" ref="F80" si="19">S80</f>
        <v>0</v>
      </c>
    </row>
    <row r="81" spans="1:6" ht="23.4" x14ac:dyDescent="0.45">
      <c r="A81" s="28">
        <v>38835</v>
      </c>
      <c r="B81" s="36">
        <v>40363</v>
      </c>
      <c r="C81">
        <f t="shared" si="15"/>
        <v>1.5395839098387487E-2</v>
      </c>
      <c r="E81" s="42" t="s">
        <v>14</v>
      </c>
      <c r="F81" s="38" t="str" cm="1">
        <f t="array" ref="F81">IF(ISNUMBER(S81),INDEX($A$2:$A$3574,S81),"")</f>
        <v/>
      </c>
    </row>
    <row r="82" spans="1:6" ht="23.4" x14ac:dyDescent="0.45">
      <c r="A82" s="28">
        <v>38839</v>
      </c>
      <c r="B82" s="36">
        <v>41017</v>
      </c>
      <c r="C82">
        <f t="shared" si="15"/>
        <v>1.6202958154745595E-2</v>
      </c>
      <c r="E82" s="42" t="s">
        <v>8</v>
      </c>
      <c r="F82" s="38" t="str" cm="1">
        <f t="array" ref="F82">IF(ISNUMBER(S82),INDEX($A$2:$A$3574,S82),"")</f>
        <v/>
      </c>
    </row>
    <row r="83" spans="1:6" ht="24" thickBot="1" x14ac:dyDescent="0.5">
      <c r="A83" s="28">
        <v>38840</v>
      </c>
      <c r="B83" s="36">
        <v>40920</v>
      </c>
      <c r="C83">
        <f t="shared" si="15"/>
        <v>-2.3648731013969915E-3</v>
      </c>
      <c r="E83" s="43" t="s">
        <v>15</v>
      </c>
      <c r="F83" s="38" t="str" cm="1">
        <f t="array" ref="F83">IF(ISNUMBER(S83),INDEX($A$2:$A$3574,S83),"")</f>
        <v/>
      </c>
    </row>
    <row r="84" spans="1:6" ht="23.4" x14ac:dyDescent="0.45">
      <c r="A84" s="28">
        <v>38841</v>
      </c>
      <c r="B84" s="36">
        <v>40976</v>
      </c>
      <c r="C84">
        <f t="shared" si="15"/>
        <v>1.3685239491691981E-3</v>
      </c>
      <c r="E84" s="41" t="s">
        <v>9</v>
      </c>
      <c r="F84" s="37">
        <f t="shared" ref="F84" si="20">S84</f>
        <v>0</v>
      </c>
    </row>
    <row r="85" spans="1:6" ht="23.4" x14ac:dyDescent="0.45">
      <c r="A85" s="28">
        <v>38842</v>
      </c>
      <c r="B85" s="36">
        <v>41417</v>
      </c>
      <c r="C85">
        <f t="shared" si="15"/>
        <v>1.0762397500976073E-2</v>
      </c>
      <c r="E85" s="42" t="s">
        <v>14</v>
      </c>
      <c r="F85" s="38" t="str" cm="1">
        <f t="array" ref="F85">IF(ISNUMBER(S85),INDEX($A$2:$A$3574,S85),"")</f>
        <v/>
      </c>
    </row>
    <row r="86" spans="1:6" ht="23.4" x14ac:dyDescent="0.45">
      <c r="A86" s="28">
        <v>38845</v>
      </c>
      <c r="B86" s="36">
        <v>41515</v>
      </c>
      <c r="C86">
        <f t="shared" si="15"/>
        <v>2.3661781394113124E-3</v>
      </c>
      <c r="E86" s="42" t="s">
        <v>8</v>
      </c>
      <c r="F86" s="38" t="str" cm="1">
        <f t="array" ref="F86">IF(ISNUMBER(S86),INDEX($A$2:$A$3574,S86),"")</f>
        <v/>
      </c>
    </row>
    <row r="87" spans="1:6" ht="24" thickBot="1" x14ac:dyDescent="0.5">
      <c r="A87" s="28">
        <v>38846</v>
      </c>
      <c r="B87" s="36">
        <v>41979</v>
      </c>
      <c r="C87">
        <f t="shared" si="15"/>
        <v>1.1176683126580711E-2</v>
      </c>
      <c r="E87" s="43" t="s">
        <v>15</v>
      </c>
      <c r="F87" s="38" t="str" cm="1">
        <f t="array" ref="F87">IF(ISNUMBER(S87),INDEX($A$2:$A$3574,S87),"")</f>
        <v/>
      </c>
    </row>
    <row r="88" spans="1:6" ht="23.4" x14ac:dyDescent="0.45">
      <c r="A88" s="28">
        <v>38847</v>
      </c>
      <c r="B88" s="36">
        <v>41752</v>
      </c>
      <c r="C88">
        <f t="shared" si="15"/>
        <v>-5.4074656375806551E-3</v>
      </c>
      <c r="E88" s="41" t="s">
        <v>9</v>
      </c>
      <c r="F88" s="37">
        <f t="shared" ref="F88" si="21">S88</f>
        <v>0</v>
      </c>
    </row>
    <row r="89" spans="1:6" ht="23.4" x14ac:dyDescent="0.45">
      <c r="A89" s="28">
        <v>38848</v>
      </c>
      <c r="B89" s="36">
        <v>40847</v>
      </c>
      <c r="C89">
        <f t="shared" si="15"/>
        <v>-2.167560835409077E-2</v>
      </c>
      <c r="E89" s="42" t="s">
        <v>14</v>
      </c>
      <c r="F89" s="38" t="str" cm="1">
        <f t="array" ref="F89">IF(ISNUMBER(S89),INDEX($A$2:$A$3574,S89),"")</f>
        <v/>
      </c>
    </row>
    <row r="90" spans="1:6" ht="23.4" x14ac:dyDescent="0.45">
      <c r="A90" s="28">
        <v>38849</v>
      </c>
      <c r="B90" s="36">
        <v>40223</v>
      </c>
      <c r="C90">
        <f t="shared" si="15"/>
        <v>-1.5276519695448854E-2</v>
      </c>
      <c r="E90" s="42" t="s">
        <v>8</v>
      </c>
      <c r="F90" s="38" t="str" cm="1">
        <f t="array" ref="F90">IF(ISNUMBER(S90),INDEX($A$2:$A$3574,S90),"")</f>
        <v/>
      </c>
    </row>
    <row r="91" spans="1:6" ht="24" thickBot="1" x14ac:dyDescent="0.5">
      <c r="A91" s="28">
        <v>38852</v>
      </c>
      <c r="B91" s="36">
        <v>39271</v>
      </c>
      <c r="C91">
        <f t="shared" si="15"/>
        <v>-2.3668050617805747E-2</v>
      </c>
      <c r="E91" s="43" t="s">
        <v>15</v>
      </c>
      <c r="F91" s="38" t="str" cm="1">
        <f t="array" ref="F91">IF(ISNUMBER(S91),INDEX($A$2:$A$3574,S91),"")</f>
        <v/>
      </c>
    </row>
    <row r="92" spans="1:6" ht="23.4" x14ac:dyDescent="0.45">
      <c r="A92" s="28">
        <v>38853</v>
      </c>
      <c r="B92" s="36">
        <v>39416</v>
      </c>
      <c r="C92">
        <f t="shared" si="15"/>
        <v>3.69229202210275E-3</v>
      </c>
      <c r="E92" s="41" t="s">
        <v>9</v>
      </c>
      <c r="F92" s="37">
        <f t="shared" ref="F92" si="22">S92</f>
        <v>0</v>
      </c>
    </row>
    <row r="93" spans="1:6" ht="23.4" x14ac:dyDescent="0.45">
      <c r="A93" s="28">
        <v>38854</v>
      </c>
      <c r="B93" s="36">
        <v>38291</v>
      </c>
      <c r="C93">
        <f t="shared" si="15"/>
        <v>-2.8541708950679978E-2</v>
      </c>
      <c r="E93" s="42" t="s">
        <v>14</v>
      </c>
      <c r="F93" s="38" t="str" cm="1">
        <f t="array" ref="F93">IF(ISNUMBER(S93),INDEX($A$2:$A$3574,S93),"")</f>
        <v/>
      </c>
    </row>
    <row r="94" spans="1:6" ht="23.4" x14ac:dyDescent="0.45">
      <c r="A94" s="28">
        <v>38855</v>
      </c>
      <c r="B94" s="36">
        <v>37807</v>
      </c>
      <c r="C94">
        <f t="shared" si="15"/>
        <v>-1.2640045963803526E-2</v>
      </c>
      <c r="E94" s="42" t="s">
        <v>8</v>
      </c>
      <c r="F94" s="38" t="str" cm="1">
        <f t="array" ref="F94">IF(ISNUMBER(S94),INDEX($A$2:$A$3574,S94),"")</f>
        <v/>
      </c>
    </row>
    <row r="95" spans="1:6" ht="24" thickBot="1" x14ac:dyDescent="0.5">
      <c r="A95" s="28">
        <v>38856</v>
      </c>
      <c r="B95" s="36">
        <v>37733</v>
      </c>
      <c r="C95">
        <f t="shared" si="15"/>
        <v>-1.9573094929510315E-3</v>
      </c>
      <c r="E95" s="43" t="s">
        <v>15</v>
      </c>
      <c r="F95" s="38" t="str" cm="1">
        <f t="array" ref="F95">IF(ISNUMBER(S95),INDEX($A$2:$A$3574,S95),"")</f>
        <v/>
      </c>
    </row>
    <row r="96" spans="1:6" ht="23.4" x14ac:dyDescent="0.45">
      <c r="A96" s="28">
        <v>38859</v>
      </c>
      <c r="B96" s="36">
        <v>36497</v>
      </c>
      <c r="C96">
        <f t="shared" si="15"/>
        <v>-3.2756473113720097E-2</v>
      </c>
      <c r="E96" s="41" t="s">
        <v>9</v>
      </c>
      <c r="F96" s="37">
        <f t="shared" ref="F96" si="23">S96</f>
        <v>0</v>
      </c>
    </row>
    <row r="97" spans="1:6" ht="23.4" x14ac:dyDescent="0.45">
      <c r="A97" s="28">
        <v>38860</v>
      </c>
      <c r="B97" s="36">
        <v>36110</v>
      </c>
      <c r="C97">
        <f t="shared" si="15"/>
        <v>-1.0603611255719625E-2</v>
      </c>
      <c r="E97" s="42" t="s">
        <v>14</v>
      </c>
      <c r="F97" s="38" t="str" cm="1">
        <f t="array" ref="F97">IF(ISNUMBER(S97),INDEX($A$2:$A$3574,S97),"")</f>
        <v/>
      </c>
    </row>
    <row r="98" spans="1:6" ht="23.4" x14ac:dyDescent="0.45">
      <c r="A98" s="28">
        <v>38861</v>
      </c>
      <c r="B98" s="36">
        <v>35792</v>
      </c>
      <c r="C98">
        <f t="shared" si="15"/>
        <v>-8.8064248130711453E-3</v>
      </c>
      <c r="E98" s="42" t="s">
        <v>8</v>
      </c>
      <c r="F98" s="38" t="str" cm="1">
        <f t="array" ref="F98">IF(ISNUMBER(S98),INDEX($A$2:$A$3574,S98),"")</f>
        <v/>
      </c>
    </row>
    <row r="99" spans="1:6" ht="24" thickBot="1" x14ac:dyDescent="0.5">
      <c r="A99" s="28">
        <v>38862</v>
      </c>
      <c r="B99" s="36">
        <v>37569</v>
      </c>
      <c r="C99">
        <f t="shared" si="15"/>
        <v>4.9647966025927692E-2</v>
      </c>
      <c r="E99" s="43" t="s">
        <v>15</v>
      </c>
      <c r="F99" s="38" t="str" cm="1">
        <f t="array" ref="F99">IF(ISNUMBER(S99),INDEX($A$2:$A$3574,S99),"")</f>
        <v/>
      </c>
    </row>
    <row r="100" spans="1:6" ht="23.4" x14ac:dyDescent="0.45">
      <c r="A100" s="28">
        <v>38863</v>
      </c>
      <c r="B100" s="36">
        <v>38506</v>
      </c>
      <c r="C100">
        <f t="shared" si="15"/>
        <v>2.4940775639489932E-2</v>
      </c>
      <c r="E100" s="41" t="s">
        <v>9</v>
      </c>
      <c r="F100" s="37">
        <f t="shared" ref="F100" si="24">S100</f>
        <v>0</v>
      </c>
    </row>
    <row r="101" spans="1:6" ht="23.4" x14ac:dyDescent="0.45">
      <c r="A101" s="28">
        <v>38866</v>
      </c>
      <c r="B101" s="36">
        <v>38145</v>
      </c>
      <c r="C101">
        <f t="shared" si="15"/>
        <v>-9.3751623123669026E-3</v>
      </c>
      <c r="E101" s="42" t="s">
        <v>14</v>
      </c>
      <c r="F101" s="38" t="str" cm="1">
        <f t="array" ref="F101">IF(ISNUMBER(S101),INDEX($A$2:$A$3574,S101),"")</f>
        <v/>
      </c>
    </row>
    <row r="102" spans="1:6" ht="23.4" x14ac:dyDescent="0.45">
      <c r="A102" s="28">
        <v>38867</v>
      </c>
      <c r="B102" s="36">
        <v>36413</v>
      </c>
      <c r="C102">
        <f t="shared" si="15"/>
        <v>-4.5405688818980217E-2</v>
      </c>
      <c r="E102" s="42" t="s">
        <v>8</v>
      </c>
      <c r="F102" s="38" t="str" cm="1">
        <f t="array" ref="F102">IF(ISNUMBER(S102),INDEX($A$2:$A$3574,S102),"")</f>
        <v/>
      </c>
    </row>
    <row r="103" spans="1:6" ht="24" thickBot="1" x14ac:dyDescent="0.5">
      <c r="A103" s="28">
        <v>38868</v>
      </c>
      <c r="B103" s="36">
        <v>36530</v>
      </c>
      <c r="C103">
        <f t="shared" si="15"/>
        <v>3.2131381649411761E-3</v>
      </c>
      <c r="E103" s="43" t="s">
        <v>15</v>
      </c>
      <c r="F103" s="38" t="str" cm="1">
        <f t="array" ref="F103">IF(ISNUMBER(S103),INDEX($A$2:$A$3574,S103),"")</f>
        <v/>
      </c>
    </row>
    <row r="104" spans="1:6" ht="23.4" x14ac:dyDescent="0.45">
      <c r="A104" s="28">
        <v>38869</v>
      </c>
      <c r="B104" s="36">
        <v>37748</v>
      </c>
      <c r="C104">
        <f t="shared" si="15"/>
        <v>3.3342458253490248E-2</v>
      </c>
      <c r="E104" s="41" t="s">
        <v>9</v>
      </c>
      <c r="F104" s="37">
        <f t="shared" ref="F104" si="25">S104</f>
        <v>0</v>
      </c>
    </row>
    <row r="105" spans="1:6" ht="23.4" x14ac:dyDescent="0.45">
      <c r="A105" s="28">
        <v>38870</v>
      </c>
      <c r="B105" s="36">
        <v>37942</v>
      </c>
      <c r="C105">
        <f t="shared" si="15"/>
        <v>5.1393451308678895E-3</v>
      </c>
      <c r="E105" s="42" t="s">
        <v>14</v>
      </c>
      <c r="F105" s="38" t="str" cm="1">
        <f t="array" ref="F105">IF(ISNUMBER(S105),INDEX($A$2:$A$3574,S105),"")</f>
        <v/>
      </c>
    </row>
    <row r="106" spans="1:6" ht="23.4" x14ac:dyDescent="0.45">
      <c r="A106" s="28">
        <v>38873</v>
      </c>
      <c r="B106" s="36">
        <v>36740</v>
      </c>
      <c r="C106">
        <f t="shared" si="15"/>
        <v>-3.1679932528596244E-2</v>
      </c>
      <c r="E106" s="42" t="s">
        <v>8</v>
      </c>
      <c r="F106" s="38" t="str" cm="1">
        <f t="array" ref="F106">IF(ISNUMBER(S106),INDEX($A$2:$A$3574,S106),"")</f>
        <v/>
      </c>
    </row>
    <row r="107" spans="1:6" ht="24" thickBot="1" x14ac:dyDescent="0.5">
      <c r="A107" s="28">
        <v>38874</v>
      </c>
      <c r="B107" s="36">
        <v>36558</v>
      </c>
      <c r="C107">
        <f t="shared" si="15"/>
        <v>-4.9537289058246836E-3</v>
      </c>
      <c r="E107" s="43" t="s">
        <v>15</v>
      </c>
      <c r="F107" s="38" t="str" cm="1">
        <f t="array" ref="F107">IF(ISNUMBER(S107),INDEX($A$2:$A$3574,S107),"")</f>
        <v/>
      </c>
    </row>
    <row r="108" spans="1:6" ht="23.4" x14ac:dyDescent="0.45">
      <c r="A108" s="28">
        <v>38875</v>
      </c>
      <c r="B108" s="36">
        <v>35264</v>
      </c>
      <c r="C108">
        <f t="shared" si="15"/>
        <v>-3.5395809398763634E-2</v>
      </c>
      <c r="E108" s="41" t="s">
        <v>9</v>
      </c>
      <c r="F108" s="37">
        <f t="shared" ref="F108" si="26">S108</f>
        <v>0</v>
      </c>
    </row>
    <row r="109" spans="1:6" ht="23.4" x14ac:dyDescent="0.45">
      <c r="A109" s="28">
        <v>38876</v>
      </c>
      <c r="B109" s="36">
        <v>35438</v>
      </c>
      <c r="C109">
        <f t="shared" si="15"/>
        <v>4.9342105263157077E-3</v>
      </c>
      <c r="E109" s="42" t="s">
        <v>14</v>
      </c>
      <c r="F109" s="38" t="str" cm="1">
        <f t="array" ref="F109">IF(ISNUMBER(S109),INDEX($A$2:$A$3574,S109),"")</f>
        <v/>
      </c>
    </row>
    <row r="110" spans="1:6" ht="23.4" x14ac:dyDescent="0.45">
      <c r="A110" s="28">
        <v>38877</v>
      </c>
      <c r="B110" s="36">
        <v>35075</v>
      </c>
      <c r="C110">
        <f t="shared" si="15"/>
        <v>-1.0243241717929896E-2</v>
      </c>
      <c r="E110" s="42" t="s">
        <v>8</v>
      </c>
      <c r="F110" s="38" t="str" cm="1">
        <f t="array" ref="F110">IF(ISNUMBER(S110),INDEX($A$2:$A$3574,S110),"")</f>
        <v/>
      </c>
    </row>
    <row r="111" spans="1:6" ht="24" thickBot="1" x14ac:dyDescent="0.5">
      <c r="A111" s="28">
        <v>38880</v>
      </c>
      <c r="B111" s="36">
        <v>33555</v>
      </c>
      <c r="C111">
        <f t="shared" si="15"/>
        <v>-4.3335709194583072E-2</v>
      </c>
      <c r="E111" s="43" t="s">
        <v>15</v>
      </c>
      <c r="F111" s="38" t="str" cm="1">
        <f t="array" ref="F111">IF(ISNUMBER(S111),INDEX($A$2:$A$3574,S111),"")</f>
        <v/>
      </c>
    </row>
    <row r="112" spans="1:6" ht="23.4" x14ac:dyDescent="0.45">
      <c r="A112" s="28">
        <v>38881</v>
      </c>
      <c r="B112" s="36">
        <v>32848</v>
      </c>
      <c r="C112">
        <f t="shared" si="15"/>
        <v>-2.106988526300102E-2</v>
      </c>
      <c r="E112" s="41" t="s">
        <v>9</v>
      </c>
      <c r="F112" s="37">
        <f t="shared" ref="F112" si="27">S112</f>
        <v>0</v>
      </c>
    </row>
    <row r="113" spans="1:6" ht="23.4" x14ac:dyDescent="0.45">
      <c r="A113" s="28">
        <v>38882</v>
      </c>
      <c r="B113" s="36">
        <v>32941</v>
      </c>
      <c r="C113">
        <f t="shared" si="15"/>
        <v>2.8312226010716035E-3</v>
      </c>
      <c r="E113" s="42" t="s">
        <v>14</v>
      </c>
      <c r="F113" s="38" t="str" cm="1">
        <f t="array" ref="F113">IF(ISNUMBER(S113),INDEX($A$2:$A$3574,S113),"")</f>
        <v/>
      </c>
    </row>
    <row r="114" spans="1:6" ht="23.4" x14ac:dyDescent="0.45">
      <c r="A114" s="28">
        <v>38884</v>
      </c>
      <c r="B114" s="36">
        <v>34399</v>
      </c>
      <c r="C114">
        <f t="shared" si="15"/>
        <v>4.426095139795394E-2</v>
      </c>
      <c r="E114" s="42" t="s">
        <v>8</v>
      </c>
      <c r="F114" s="38" t="str" cm="1">
        <f t="array" ref="F114">IF(ISNUMBER(S114),INDEX($A$2:$A$3574,S114),"")</f>
        <v/>
      </c>
    </row>
    <row r="115" spans="1:6" ht="24" thickBot="1" x14ac:dyDescent="0.5">
      <c r="A115" s="28">
        <v>38887</v>
      </c>
      <c r="B115" s="36">
        <v>33897</v>
      </c>
      <c r="C115">
        <f t="shared" si="15"/>
        <v>-1.4593447483938538E-2</v>
      </c>
      <c r="E115" s="43" t="s">
        <v>15</v>
      </c>
      <c r="F115" s="38" t="str" cm="1">
        <f t="array" ref="F115">IF(ISNUMBER(S115),INDEX($A$2:$A$3574,S115),"")</f>
        <v/>
      </c>
    </row>
    <row r="116" spans="1:6" ht="23.4" x14ac:dyDescent="0.45">
      <c r="A116" s="28">
        <v>38888</v>
      </c>
      <c r="B116" s="36">
        <v>33632</v>
      </c>
      <c r="C116">
        <f t="shared" si="15"/>
        <v>-7.8178009853379082E-3</v>
      </c>
      <c r="E116" s="41" t="s">
        <v>9</v>
      </c>
      <c r="F116" s="37">
        <f t="shared" ref="F116" si="28">S116</f>
        <v>0</v>
      </c>
    </row>
    <row r="117" spans="1:6" ht="23.4" x14ac:dyDescent="0.45">
      <c r="A117" s="28">
        <v>38889</v>
      </c>
      <c r="B117" s="36">
        <v>34547</v>
      </c>
      <c r="C117">
        <f t="shared" si="15"/>
        <v>2.7206232159847854E-2</v>
      </c>
      <c r="E117" s="42" t="s">
        <v>14</v>
      </c>
      <c r="F117" s="38" t="str" cm="1">
        <f t="array" ref="F117">IF(ISNUMBER(S117),INDEX($A$2:$A$3574,S117),"")</f>
        <v/>
      </c>
    </row>
    <row r="118" spans="1:6" ht="23.4" x14ac:dyDescent="0.45">
      <c r="A118" s="28">
        <v>38890</v>
      </c>
      <c r="B118" s="36">
        <v>34317</v>
      </c>
      <c r="C118">
        <f t="shared" si="15"/>
        <v>-6.6575968969809773E-3</v>
      </c>
      <c r="E118" s="42" t="s">
        <v>8</v>
      </c>
      <c r="F118" s="38" t="str" cm="1">
        <f t="array" ref="F118">IF(ISNUMBER(S118),INDEX($A$2:$A$3574,S118),"")</f>
        <v/>
      </c>
    </row>
    <row r="119" spans="1:6" ht="24" thickBot="1" x14ac:dyDescent="0.5">
      <c r="A119" s="28">
        <v>38891</v>
      </c>
      <c r="B119" s="36">
        <v>34661</v>
      </c>
      <c r="C119">
        <f t="shared" si="15"/>
        <v>1.0024186263368096E-2</v>
      </c>
      <c r="E119" s="43" t="s">
        <v>15</v>
      </c>
      <c r="F119" s="38" t="str" cm="1">
        <f t="array" ref="F119">IF(ISNUMBER(S119),INDEX($A$2:$A$3574,S119),"")</f>
        <v/>
      </c>
    </row>
    <row r="120" spans="1:6" ht="23.4" x14ac:dyDescent="0.45">
      <c r="A120" s="28">
        <v>38894</v>
      </c>
      <c r="B120" s="36">
        <v>34631</v>
      </c>
      <c r="C120">
        <f t="shared" si="15"/>
        <v>-8.6552609561174609E-4</v>
      </c>
      <c r="E120" s="41" t="s">
        <v>9</v>
      </c>
      <c r="F120" s="37">
        <f t="shared" ref="F120" si="29">S120</f>
        <v>0</v>
      </c>
    </row>
    <row r="121" spans="1:6" ht="23.4" x14ac:dyDescent="0.45">
      <c r="A121" s="28">
        <v>38895</v>
      </c>
      <c r="B121" s="36">
        <v>34376</v>
      </c>
      <c r="C121">
        <f t="shared" si="15"/>
        <v>-7.3633449799312967E-3</v>
      </c>
      <c r="E121" s="42" t="s">
        <v>14</v>
      </c>
      <c r="F121" s="38" t="str" cm="1">
        <f t="array" ref="F121">IF(ISNUMBER(S121),INDEX($A$2:$A$3574,S121),"")</f>
        <v/>
      </c>
    </row>
    <row r="122" spans="1:6" ht="23.4" x14ac:dyDescent="0.45">
      <c r="A122" s="28">
        <v>38896</v>
      </c>
      <c r="B122" s="36">
        <v>34835</v>
      </c>
      <c r="C122">
        <f t="shared" si="15"/>
        <v>1.3352338841051914E-2</v>
      </c>
      <c r="E122" s="42" t="s">
        <v>8</v>
      </c>
      <c r="F122" s="38" t="str" cm="1">
        <f t="array" ref="F122">IF(ISNUMBER(S122),INDEX($A$2:$A$3574,S122),"")</f>
        <v/>
      </c>
    </row>
    <row r="123" spans="1:6" ht="24" thickBot="1" x14ac:dyDescent="0.5">
      <c r="A123" s="28">
        <v>38897</v>
      </c>
      <c r="B123" s="36">
        <v>36487</v>
      </c>
      <c r="C123">
        <f t="shared" si="15"/>
        <v>4.7423568250323012E-2</v>
      </c>
      <c r="E123" s="43" t="s">
        <v>15</v>
      </c>
      <c r="F123" s="38" t="str" cm="1">
        <f t="array" ref="F123">IF(ISNUMBER(S123),INDEX($A$2:$A$3574,S123),"")</f>
        <v/>
      </c>
    </row>
    <row r="124" spans="1:6" ht="23.4" x14ac:dyDescent="0.45">
      <c r="A124" s="28">
        <v>38898</v>
      </c>
      <c r="B124" s="36">
        <v>36631</v>
      </c>
      <c r="C124">
        <f t="shared" si="15"/>
        <v>3.9466111217694166E-3</v>
      </c>
      <c r="E124" s="41" t="s">
        <v>9</v>
      </c>
      <c r="F124" s="37">
        <f t="shared" ref="F124" si="30">S124</f>
        <v>0</v>
      </c>
    </row>
    <row r="125" spans="1:6" ht="23.4" x14ac:dyDescent="0.45">
      <c r="A125" s="28">
        <v>38901</v>
      </c>
      <c r="B125" s="36">
        <v>37357</v>
      </c>
      <c r="C125">
        <f t="shared" si="15"/>
        <v>1.9819278752968739E-2</v>
      </c>
      <c r="E125" s="42" t="s">
        <v>14</v>
      </c>
      <c r="F125" s="38" t="str" cm="1">
        <f t="array" ref="F125">IF(ISNUMBER(S125),INDEX($A$2:$A$3574,S125),"")</f>
        <v/>
      </c>
    </row>
    <row r="126" spans="1:6" ht="23.4" x14ac:dyDescent="0.45">
      <c r="A126" s="28">
        <v>38902</v>
      </c>
      <c r="B126" s="36">
        <v>37367</v>
      </c>
      <c r="C126">
        <f t="shared" si="15"/>
        <v>2.6768744813554513E-4</v>
      </c>
      <c r="E126" s="42" t="s">
        <v>8</v>
      </c>
      <c r="F126" s="38" t="str" cm="1">
        <f t="array" ref="F126">IF(ISNUMBER(S126),INDEX($A$2:$A$3574,S126),"")</f>
        <v/>
      </c>
    </row>
    <row r="127" spans="1:6" ht="24" thickBot="1" x14ac:dyDescent="0.5">
      <c r="A127" s="28">
        <v>38903</v>
      </c>
      <c r="B127" s="36">
        <v>36378</v>
      </c>
      <c r="C127">
        <f t="shared" si="15"/>
        <v>-2.6467203682393525E-2</v>
      </c>
      <c r="E127" s="43" t="s">
        <v>15</v>
      </c>
      <c r="F127" s="38" t="str" cm="1">
        <f t="array" ref="F127">IF(ISNUMBER(S127),INDEX($A$2:$A$3574,S127),"")</f>
        <v/>
      </c>
    </row>
    <row r="128" spans="1:6" ht="23.4" x14ac:dyDescent="0.45">
      <c r="A128" s="28">
        <v>38904</v>
      </c>
      <c r="B128" s="36">
        <v>36533</v>
      </c>
      <c r="C128">
        <f t="shared" si="15"/>
        <v>4.2608169772939686E-3</v>
      </c>
      <c r="E128" s="41" t="s">
        <v>9</v>
      </c>
      <c r="F128" s="37">
        <f t="shared" ref="F128" si="31">S128</f>
        <v>0</v>
      </c>
    </row>
    <row r="129" spans="1:6" ht="23.4" x14ac:dyDescent="0.45">
      <c r="A129" s="28">
        <v>38905</v>
      </c>
      <c r="B129" s="36">
        <v>36102</v>
      </c>
      <c r="C129">
        <f t="shared" si="15"/>
        <v>-1.1797552897380492E-2</v>
      </c>
      <c r="E129" s="42" t="s">
        <v>14</v>
      </c>
      <c r="F129" s="38" t="str" cm="1">
        <f t="array" ref="F129">IF(ISNUMBER(S129),INDEX($A$2:$A$3574,S129),"")</f>
        <v/>
      </c>
    </row>
    <row r="130" spans="1:6" ht="23.4" x14ac:dyDescent="0.45">
      <c r="A130" s="28">
        <v>38908</v>
      </c>
      <c r="B130" s="36">
        <v>36141</v>
      </c>
      <c r="C130">
        <f t="shared" si="15"/>
        <v>1.0802725610770114E-3</v>
      </c>
      <c r="E130" s="42" t="s">
        <v>8</v>
      </c>
      <c r="F130" s="38" t="str" cm="1">
        <f t="array" ref="F130">IF(ISNUMBER(S130),INDEX($A$2:$A$3574,S130),"")</f>
        <v/>
      </c>
    </row>
    <row r="131" spans="1:6" ht="24" thickBot="1" x14ac:dyDescent="0.5">
      <c r="A131" s="28">
        <v>38909</v>
      </c>
      <c r="B131" s="36">
        <v>36554</v>
      </c>
      <c r="C131">
        <f t="shared" si="15"/>
        <v>1.1427464652334018E-2</v>
      </c>
      <c r="E131" s="43" t="s">
        <v>15</v>
      </c>
      <c r="F131" s="38" t="str" cm="1">
        <f t="array" ref="F131">IF(ISNUMBER(S131),INDEX($A$2:$A$3574,S131),"")</f>
        <v/>
      </c>
    </row>
    <row r="132" spans="1:6" ht="23.4" x14ac:dyDescent="0.45">
      <c r="A132" s="28">
        <v>38910</v>
      </c>
      <c r="B132" s="36">
        <v>36230</v>
      </c>
      <c r="C132">
        <f t="shared" ref="C132:C195" si="32">B132/B131-1</f>
        <v>-8.8635990589265301E-3</v>
      </c>
      <c r="E132" s="41" t="s">
        <v>9</v>
      </c>
      <c r="F132" s="37">
        <f t="shared" ref="F132" si="33">S132</f>
        <v>0</v>
      </c>
    </row>
    <row r="133" spans="1:6" ht="23.4" x14ac:dyDescent="0.45">
      <c r="A133" s="28">
        <v>38911</v>
      </c>
      <c r="B133" s="36">
        <v>35354</v>
      </c>
      <c r="C133">
        <f t="shared" si="32"/>
        <v>-2.417885730057967E-2</v>
      </c>
      <c r="E133" s="42" t="s">
        <v>14</v>
      </c>
      <c r="F133" s="38" t="str" cm="1">
        <f t="array" ref="F133">IF(ISNUMBER(S133),INDEX($A$2:$A$3574,S133),"")</f>
        <v/>
      </c>
    </row>
    <row r="134" spans="1:6" ht="23.4" x14ac:dyDescent="0.45">
      <c r="A134" s="28">
        <v>38912</v>
      </c>
      <c r="B134" s="36">
        <v>35350</v>
      </c>
      <c r="C134">
        <f t="shared" si="32"/>
        <v>-1.1314137014195591E-4</v>
      </c>
      <c r="E134" s="42" t="s">
        <v>8</v>
      </c>
      <c r="F134" s="38" t="str" cm="1">
        <f t="array" ref="F134">IF(ISNUMBER(S134),INDEX($A$2:$A$3574,S134),"")</f>
        <v/>
      </c>
    </row>
    <row r="135" spans="1:6" ht="24" thickBot="1" x14ac:dyDescent="0.5">
      <c r="A135" s="28">
        <v>38915</v>
      </c>
      <c r="B135" s="36">
        <v>34866</v>
      </c>
      <c r="C135">
        <f t="shared" si="32"/>
        <v>-1.369165487977364E-2</v>
      </c>
      <c r="E135" s="43" t="s">
        <v>15</v>
      </c>
      <c r="F135" s="38" t="str" cm="1">
        <f t="array" ref="F135">IF(ISNUMBER(S135),INDEX($A$2:$A$3574,S135),"")</f>
        <v/>
      </c>
    </row>
    <row r="136" spans="1:6" ht="23.4" x14ac:dyDescent="0.45">
      <c r="A136" s="28">
        <v>38916</v>
      </c>
      <c r="B136" s="36">
        <v>35130</v>
      </c>
      <c r="C136">
        <f t="shared" si="32"/>
        <v>7.5718464980210065E-3</v>
      </c>
      <c r="E136" s="41" t="s">
        <v>9</v>
      </c>
      <c r="F136" s="37">
        <f t="shared" ref="F136" si="34">S136</f>
        <v>0</v>
      </c>
    </row>
    <row r="137" spans="1:6" ht="23.4" x14ac:dyDescent="0.45">
      <c r="A137" s="28">
        <v>38917</v>
      </c>
      <c r="B137" s="36">
        <v>36785</v>
      </c>
      <c r="C137">
        <f t="shared" si="32"/>
        <v>4.7110731568460018E-2</v>
      </c>
      <c r="E137" s="42" t="s">
        <v>14</v>
      </c>
      <c r="F137" s="38" t="str" cm="1">
        <f t="array" ref="F137">IF(ISNUMBER(S137),INDEX($A$2:$A$3574,S137),"")</f>
        <v/>
      </c>
    </row>
    <row r="138" spans="1:6" ht="23.4" x14ac:dyDescent="0.45">
      <c r="A138" s="28">
        <v>38918</v>
      </c>
      <c r="B138" s="36">
        <v>35847</v>
      </c>
      <c r="C138">
        <f t="shared" si="32"/>
        <v>-2.5499524262607043E-2</v>
      </c>
      <c r="E138" s="42" t="s">
        <v>8</v>
      </c>
      <c r="F138" s="38" t="str" cm="1">
        <f t="array" ref="F138">IF(ISNUMBER(S138),INDEX($A$2:$A$3574,S138),"")</f>
        <v/>
      </c>
    </row>
    <row r="139" spans="1:6" ht="24" thickBot="1" x14ac:dyDescent="0.5">
      <c r="A139" s="28">
        <v>38919</v>
      </c>
      <c r="B139" s="36">
        <v>35510</v>
      </c>
      <c r="C139">
        <f t="shared" si="32"/>
        <v>-9.4010656400814741E-3</v>
      </c>
      <c r="E139" s="43" t="s">
        <v>15</v>
      </c>
      <c r="F139" s="38" t="str" cm="1">
        <f t="array" ref="F139">IF(ISNUMBER(S139),INDEX($A$2:$A$3574,S139),"")</f>
        <v/>
      </c>
    </row>
    <row r="140" spans="1:6" ht="23.4" x14ac:dyDescent="0.45">
      <c r="A140" s="28">
        <v>38922</v>
      </c>
      <c r="B140" s="36">
        <v>36224</v>
      </c>
      <c r="C140">
        <f t="shared" si="32"/>
        <v>2.0107012109265021E-2</v>
      </c>
      <c r="E140" s="41" t="s">
        <v>9</v>
      </c>
      <c r="F140" s="37">
        <f t="shared" ref="F140" si="35">S140</f>
        <v>0</v>
      </c>
    </row>
    <row r="141" spans="1:6" ht="23.4" x14ac:dyDescent="0.45">
      <c r="A141" s="28">
        <v>38923</v>
      </c>
      <c r="B141" s="36">
        <v>36681</v>
      </c>
      <c r="C141">
        <f t="shared" si="32"/>
        <v>1.2615945229681902E-2</v>
      </c>
      <c r="E141" s="42" t="s">
        <v>14</v>
      </c>
      <c r="F141" s="38" t="str" cm="1">
        <f t="array" ref="F141">IF(ISNUMBER(S141),INDEX($A$2:$A$3574,S141),"")</f>
        <v/>
      </c>
    </row>
    <row r="142" spans="1:6" ht="23.4" x14ac:dyDescent="0.45">
      <c r="A142" s="28">
        <v>38924</v>
      </c>
      <c r="B142" s="36">
        <v>36594</v>
      </c>
      <c r="C142">
        <f t="shared" si="32"/>
        <v>-2.3718001145006662E-3</v>
      </c>
      <c r="E142" s="42" t="s">
        <v>8</v>
      </c>
      <c r="F142" s="38" t="str" cm="1">
        <f t="array" ref="F142">IF(ISNUMBER(S142),INDEX($A$2:$A$3574,S142),"")</f>
        <v/>
      </c>
    </row>
    <row r="143" spans="1:6" ht="24" thickBot="1" x14ac:dyDescent="0.5">
      <c r="A143" s="28">
        <v>38925</v>
      </c>
      <c r="B143" s="36">
        <v>36888</v>
      </c>
      <c r="C143">
        <f t="shared" si="32"/>
        <v>8.0341039514675305E-3</v>
      </c>
      <c r="E143" s="43" t="s">
        <v>15</v>
      </c>
      <c r="F143" s="38" t="str" cm="1">
        <f t="array" ref="F143">IF(ISNUMBER(S143),INDEX($A$2:$A$3574,S143),"")</f>
        <v/>
      </c>
    </row>
    <row r="144" spans="1:6" ht="23.4" x14ac:dyDescent="0.45">
      <c r="A144" s="28">
        <v>38926</v>
      </c>
      <c r="B144" s="36">
        <v>37381</v>
      </c>
      <c r="C144">
        <f t="shared" si="32"/>
        <v>1.3364779874213806E-2</v>
      </c>
      <c r="E144" s="41" t="s">
        <v>9</v>
      </c>
      <c r="F144" s="37">
        <f t="shared" ref="F144" si="36">S144</f>
        <v>0</v>
      </c>
    </row>
    <row r="145" spans="1:6" ht="23.4" x14ac:dyDescent="0.45">
      <c r="A145" s="28">
        <v>38929</v>
      </c>
      <c r="B145" s="36">
        <v>37077</v>
      </c>
      <c r="C145">
        <f t="shared" si="32"/>
        <v>-8.1324737165939798E-3</v>
      </c>
      <c r="E145" s="42" t="s">
        <v>14</v>
      </c>
      <c r="F145" s="38" t="str" cm="1">
        <f t="array" ref="F145">IF(ISNUMBER(S145),INDEX($A$2:$A$3574,S145),"")</f>
        <v/>
      </c>
    </row>
    <row r="146" spans="1:6" ht="23.4" x14ac:dyDescent="0.45">
      <c r="A146" s="28">
        <v>38930</v>
      </c>
      <c r="B146" s="36">
        <v>36839</v>
      </c>
      <c r="C146">
        <f t="shared" si="32"/>
        <v>-6.4190738193489194E-3</v>
      </c>
      <c r="E146" s="42" t="s">
        <v>8</v>
      </c>
      <c r="F146" s="38" t="str" cm="1">
        <f t="array" ref="F146">IF(ISNUMBER(S146),INDEX($A$2:$A$3574,S146),"")</f>
        <v/>
      </c>
    </row>
    <row r="147" spans="1:6" ht="24" thickBot="1" x14ac:dyDescent="0.5">
      <c r="A147" s="28">
        <v>38931</v>
      </c>
      <c r="B147" s="36">
        <v>37288</v>
      </c>
      <c r="C147">
        <f t="shared" si="32"/>
        <v>1.2188170145769339E-2</v>
      </c>
      <c r="E147" s="43" t="s">
        <v>15</v>
      </c>
      <c r="F147" s="38" t="str" cm="1">
        <f t="array" ref="F147">IF(ISNUMBER(S147),INDEX($A$2:$A$3574,S147),"")</f>
        <v/>
      </c>
    </row>
    <row r="148" spans="1:6" ht="23.4" x14ac:dyDescent="0.45">
      <c r="A148" s="28">
        <v>38932</v>
      </c>
      <c r="B148" s="36">
        <v>37451</v>
      </c>
      <c r="C148">
        <f t="shared" si="32"/>
        <v>4.3713795322892768E-3</v>
      </c>
      <c r="E148" s="41" t="s">
        <v>9</v>
      </c>
      <c r="F148" s="37">
        <f t="shared" ref="F148" si="37">S148</f>
        <v>0</v>
      </c>
    </row>
    <row r="149" spans="1:6" ht="23.4" x14ac:dyDescent="0.45">
      <c r="A149" s="28">
        <v>38933</v>
      </c>
      <c r="B149" s="36">
        <v>37848</v>
      </c>
      <c r="C149">
        <f t="shared" si="32"/>
        <v>1.0600518010200011E-2</v>
      </c>
      <c r="E149" s="42" t="s">
        <v>14</v>
      </c>
      <c r="F149" s="38" t="str" cm="1">
        <f t="array" ref="F149">IF(ISNUMBER(S149),INDEX($A$2:$A$3574,S149),"")</f>
        <v/>
      </c>
    </row>
    <row r="150" spans="1:6" ht="23.4" x14ac:dyDescent="0.45">
      <c r="A150" s="28">
        <v>38936</v>
      </c>
      <c r="B150" s="36">
        <v>37698</v>
      </c>
      <c r="C150">
        <f t="shared" si="32"/>
        <v>-3.9632213062777977E-3</v>
      </c>
      <c r="E150" s="42" t="s">
        <v>8</v>
      </c>
      <c r="F150" s="38" t="str" cm="1">
        <f t="array" ref="F150">IF(ISNUMBER(S150),INDEX($A$2:$A$3574,S150),"")</f>
        <v/>
      </c>
    </row>
    <row r="151" spans="1:6" ht="24" thickBot="1" x14ac:dyDescent="0.5">
      <c r="A151" s="28">
        <v>38937</v>
      </c>
      <c r="B151" s="36">
        <v>37600</v>
      </c>
      <c r="C151">
        <f t="shared" si="32"/>
        <v>-2.5996074062284436E-3</v>
      </c>
      <c r="E151" s="43" t="s">
        <v>15</v>
      </c>
      <c r="F151" s="38" t="str" cm="1">
        <f t="array" ref="F151">IF(ISNUMBER(S151),INDEX($A$2:$A$3574,S151),"")</f>
        <v/>
      </c>
    </row>
    <row r="152" spans="1:6" ht="23.4" x14ac:dyDescent="0.45">
      <c r="A152" s="28">
        <v>38938</v>
      </c>
      <c r="B152" s="36">
        <v>37255</v>
      </c>
      <c r="C152">
        <f t="shared" si="32"/>
        <v>-9.1755319148936199E-3</v>
      </c>
      <c r="E152" s="41" t="s">
        <v>9</v>
      </c>
      <c r="F152" s="37">
        <f t="shared" ref="F152" si="38">S152</f>
        <v>0</v>
      </c>
    </row>
    <row r="153" spans="1:6" ht="23.4" x14ac:dyDescent="0.45">
      <c r="A153" s="28">
        <v>38939</v>
      </c>
      <c r="B153" s="36">
        <v>37354</v>
      </c>
      <c r="C153">
        <f t="shared" si="32"/>
        <v>2.6573614279963298E-3</v>
      </c>
      <c r="E153" s="42" t="s">
        <v>14</v>
      </c>
      <c r="F153" s="38" t="str" cm="1">
        <f t="array" ref="F153">IF(ISNUMBER(S153),INDEX($A$2:$A$3574,S153),"")</f>
        <v/>
      </c>
    </row>
    <row r="154" spans="1:6" ht="23.4" x14ac:dyDescent="0.45">
      <c r="A154" s="28">
        <v>38940</v>
      </c>
      <c r="B154" s="36">
        <v>36944</v>
      </c>
      <c r="C154">
        <f t="shared" si="32"/>
        <v>-1.0976066820153174E-2</v>
      </c>
      <c r="E154" s="42" t="s">
        <v>8</v>
      </c>
      <c r="F154" s="38" t="str" cm="1">
        <f t="array" ref="F154">IF(ISNUMBER(S154),INDEX($A$2:$A$3574,S154),"")</f>
        <v/>
      </c>
    </row>
    <row r="155" spans="1:6" ht="24" thickBot="1" x14ac:dyDescent="0.5">
      <c r="A155" s="28">
        <v>38943</v>
      </c>
      <c r="B155" s="36">
        <v>36557</v>
      </c>
      <c r="C155">
        <f t="shared" si="32"/>
        <v>-1.0475313988739687E-2</v>
      </c>
      <c r="E155" s="43" t="s">
        <v>15</v>
      </c>
      <c r="F155" s="38" t="str" cm="1">
        <f t="array" ref="F155">IF(ISNUMBER(S155),INDEX($A$2:$A$3574,S155),"")</f>
        <v/>
      </c>
    </row>
    <row r="156" spans="1:6" ht="23.4" x14ac:dyDescent="0.45">
      <c r="A156" s="28">
        <v>38944</v>
      </c>
      <c r="B156" s="36">
        <v>37296</v>
      </c>
      <c r="C156">
        <f t="shared" si="32"/>
        <v>2.0215006701862936E-2</v>
      </c>
      <c r="E156" s="41" t="s">
        <v>9</v>
      </c>
      <c r="F156" s="37">
        <f t="shared" ref="F156" si="39">S156</f>
        <v>0</v>
      </c>
    </row>
    <row r="157" spans="1:6" ht="23.4" x14ac:dyDescent="0.45">
      <c r="A157" s="28">
        <v>38945</v>
      </c>
      <c r="B157" s="36">
        <v>37678</v>
      </c>
      <c r="C157">
        <f t="shared" si="32"/>
        <v>1.0242385242385188E-2</v>
      </c>
      <c r="E157" s="42" t="s">
        <v>14</v>
      </c>
      <c r="F157" s="38" t="str" cm="1">
        <f t="array" ref="F157">IF(ISNUMBER(S157),INDEX($A$2:$A$3574,S157),"")</f>
        <v/>
      </c>
    </row>
    <row r="158" spans="1:6" ht="23.4" x14ac:dyDescent="0.45">
      <c r="A158" s="28">
        <v>38946</v>
      </c>
      <c r="B158" s="36">
        <v>37559</v>
      </c>
      <c r="C158">
        <f t="shared" si="32"/>
        <v>-3.1583417378842071E-3</v>
      </c>
      <c r="E158" s="42" t="s">
        <v>8</v>
      </c>
      <c r="F158" s="38" t="str" cm="1">
        <f t="array" ref="F158">IF(ISNUMBER(S158),INDEX($A$2:$A$3574,S158),"")</f>
        <v/>
      </c>
    </row>
    <row r="159" spans="1:6" ht="24" thickBot="1" x14ac:dyDescent="0.5">
      <c r="A159" s="28">
        <v>38947</v>
      </c>
      <c r="B159" s="36">
        <v>37552</v>
      </c>
      <c r="C159">
        <f t="shared" si="32"/>
        <v>-1.8637343912242255E-4</v>
      </c>
      <c r="E159" s="43" t="s">
        <v>15</v>
      </c>
      <c r="F159" s="38" t="str" cm="1">
        <f t="array" ref="F159">IF(ISNUMBER(S159),INDEX($A$2:$A$3574,S159),"")</f>
        <v/>
      </c>
    </row>
    <row r="160" spans="1:6" ht="23.4" x14ac:dyDescent="0.45">
      <c r="A160" s="28">
        <v>38950</v>
      </c>
      <c r="B160" s="36">
        <v>37161</v>
      </c>
      <c r="C160">
        <f t="shared" si="32"/>
        <v>-1.0412228376651012E-2</v>
      </c>
      <c r="E160" s="41" t="s">
        <v>9</v>
      </c>
      <c r="F160" s="37">
        <f t="shared" ref="F160" si="40">S160</f>
        <v>0</v>
      </c>
    </row>
    <row r="161" spans="1:6" ht="23.4" x14ac:dyDescent="0.45">
      <c r="A161" s="28">
        <v>38951</v>
      </c>
      <c r="B161" s="36">
        <v>36678</v>
      </c>
      <c r="C161">
        <f t="shared" si="32"/>
        <v>-1.299749737628153E-2</v>
      </c>
      <c r="E161" s="42" t="s">
        <v>14</v>
      </c>
      <c r="F161" s="38" t="str" cm="1">
        <f t="array" ref="F161">IF(ISNUMBER(S161),INDEX($A$2:$A$3574,S161),"")</f>
        <v/>
      </c>
    </row>
    <row r="162" spans="1:6" ht="23.4" x14ac:dyDescent="0.45">
      <c r="A162" s="28">
        <v>38952</v>
      </c>
      <c r="B162" s="36">
        <v>35512</v>
      </c>
      <c r="C162">
        <f t="shared" si="32"/>
        <v>-3.1790173946234845E-2</v>
      </c>
      <c r="E162" s="42" t="s">
        <v>8</v>
      </c>
      <c r="F162" s="38" t="str" cm="1">
        <f t="array" ref="F162">IF(ISNUMBER(S162),INDEX($A$2:$A$3574,S162),"")</f>
        <v/>
      </c>
    </row>
    <row r="163" spans="1:6" ht="24" thickBot="1" x14ac:dyDescent="0.5">
      <c r="A163" s="28">
        <v>38953</v>
      </c>
      <c r="B163" s="36">
        <v>35797</v>
      </c>
      <c r="C163">
        <f t="shared" si="32"/>
        <v>8.0254561838251082E-3</v>
      </c>
      <c r="E163" s="43" t="s">
        <v>15</v>
      </c>
      <c r="F163" s="38" t="str" cm="1">
        <f t="array" ref="F163">IF(ISNUMBER(S163),INDEX($A$2:$A$3574,S163),"")</f>
        <v/>
      </c>
    </row>
    <row r="164" spans="1:6" ht="23.4" x14ac:dyDescent="0.45">
      <c r="A164" s="28">
        <v>38954</v>
      </c>
      <c r="B164" s="36">
        <v>35958</v>
      </c>
      <c r="C164">
        <f t="shared" si="32"/>
        <v>4.4975835963907418E-3</v>
      </c>
      <c r="E164" s="41" t="s">
        <v>9</v>
      </c>
      <c r="F164" s="37">
        <f t="shared" ref="F164" si="41">S164</f>
        <v>0</v>
      </c>
    </row>
    <row r="165" spans="1:6" ht="23.4" x14ac:dyDescent="0.45">
      <c r="A165" s="28">
        <v>38957</v>
      </c>
      <c r="B165" s="36">
        <v>36375</v>
      </c>
      <c r="C165">
        <f t="shared" si="32"/>
        <v>1.1596863006841263E-2</v>
      </c>
      <c r="E165" s="42" t="s">
        <v>14</v>
      </c>
      <c r="F165" s="38" t="str" cm="1">
        <f t="array" ref="F165">IF(ISNUMBER(S165),INDEX($A$2:$A$3574,S165),"")</f>
        <v/>
      </c>
    </row>
    <row r="166" spans="1:6" ht="23.4" x14ac:dyDescent="0.45">
      <c r="A166" s="28">
        <v>38958</v>
      </c>
      <c r="B166" s="36">
        <v>36304</v>
      </c>
      <c r="C166">
        <f t="shared" si="32"/>
        <v>-1.9518900343642454E-3</v>
      </c>
      <c r="E166" s="42" t="s">
        <v>8</v>
      </c>
      <c r="F166" s="38" t="str" cm="1">
        <f t="array" ref="F166">IF(ISNUMBER(S166),INDEX($A$2:$A$3574,S166),"")</f>
        <v/>
      </c>
    </row>
    <row r="167" spans="1:6" ht="24" thickBot="1" x14ac:dyDescent="0.5">
      <c r="A167" s="28">
        <v>38959</v>
      </c>
      <c r="B167" s="36">
        <v>36313</v>
      </c>
      <c r="C167">
        <f t="shared" si="32"/>
        <v>2.4790656676954015E-4</v>
      </c>
      <c r="E167" s="43" t="s">
        <v>15</v>
      </c>
      <c r="F167" s="38" t="str" cm="1">
        <f t="array" ref="F167">IF(ISNUMBER(S167),INDEX($A$2:$A$3574,S167),"")</f>
        <v/>
      </c>
    </row>
    <row r="168" spans="1:6" ht="23.4" x14ac:dyDescent="0.45">
      <c r="A168" s="28">
        <v>38960</v>
      </c>
      <c r="B168" s="36">
        <v>36232</v>
      </c>
      <c r="C168">
        <f t="shared" si="32"/>
        <v>-2.230606119020706E-3</v>
      </c>
      <c r="E168" s="41" t="s">
        <v>9</v>
      </c>
      <c r="F168" s="37">
        <f t="shared" ref="F168" si="42">S168</f>
        <v>0</v>
      </c>
    </row>
    <row r="169" spans="1:6" ht="23.4" x14ac:dyDescent="0.45">
      <c r="A169" s="28">
        <v>38961</v>
      </c>
      <c r="B169" s="36">
        <v>37329</v>
      </c>
      <c r="C169">
        <f t="shared" si="32"/>
        <v>3.0277103113270032E-2</v>
      </c>
      <c r="E169" s="42" t="s">
        <v>14</v>
      </c>
      <c r="F169" s="38" t="str" cm="1">
        <f t="array" ref="F169">IF(ISNUMBER(S169),INDEX($A$2:$A$3574,S169),"")</f>
        <v/>
      </c>
    </row>
    <row r="170" spans="1:6" ht="23.4" x14ac:dyDescent="0.45">
      <c r="A170" s="28">
        <v>38964</v>
      </c>
      <c r="B170" s="36">
        <v>37693</v>
      </c>
      <c r="C170">
        <f t="shared" si="32"/>
        <v>9.751131827801407E-3</v>
      </c>
      <c r="E170" s="42" t="s">
        <v>8</v>
      </c>
      <c r="F170" s="38" t="str" cm="1">
        <f t="array" ref="F170">IF(ISNUMBER(S170),INDEX($A$2:$A$3574,S170),"")</f>
        <v/>
      </c>
    </row>
    <row r="171" spans="1:6" ht="24" thickBot="1" x14ac:dyDescent="0.5">
      <c r="A171" s="28">
        <v>38965</v>
      </c>
      <c r="B171" s="36">
        <v>37368</v>
      </c>
      <c r="C171">
        <f t="shared" si="32"/>
        <v>-8.6222906109887365E-3</v>
      </c>
      <c r="E171" s="43" t="s">
        <v>15</v>
      </c>
      <c r="F171" s="38" t="str" cm="1">
        <f t="array" ref="F171">IF(ISNUMBER(S171),INDEX($A$2:$A$3574,S171),"")</f>
        <v/>
      </c>
    </row>
    <row r="172" spans="1:6" ht="23.4" x14ac:dyDescent="0.45">
      <c r="A172" s="28">
        <v>38966</v>
      </c>
      <c r="B172" s="36">
        <v>36710</v>
      </c>
      <c r="C172">
        <f t="shared" si="32"/>
        <v>-1.7608649111539254E-2</v>
      </c>
      <c r="E172" s="41" t="s">
        <v>9</v>
      </c>
      <c r="F172" s="37">
        <f t="shared" ref="F172" si="43">S172</f>
        <v>0</v>
      </c>
    </row>
    <row r="173" spans="1:6" ht="23.4" x14ac:dyDescent="0.45">
      <c r="A173" s="28">
        <v>38968</v>
      </c>
      <c r="B173" s="36">
        <v>36558</v>
      </c>
      <c r="C173">
        <f t="shared" si="32"/>
        <v>-4.1405611549986121E-3</v>
      </c>
      <c r="E173" s="42" t="s">
        <v>14</v>
      </c>
      <c r="F173" s="38" t="str" cm="1">
        <f t="array" ref="F173">IF(ISNUMBER(S173),INDEX($A$2:$A$3574,S173),"")</f>
        <v/>
      </c>
    </row>
    <row r="174" spans="1:6" ht="23.4" x14ac:dyDescent="0.45">
      <c r="A174" s="28">
        <v>38971</v>
      </c>
      <c r="B174" s="36">
        <v>35772</v>
      </c>
      <c r="C174">
        <f t="shared" si="32"/>
        <v>-2.1500082061381875E-2</v>
      </c>
      <c r="E174" s="42" t="s">
        <v>8</v>
      </c>
      <c r="F174" s="38" t="str" cm="1">
        <f t="array" ref="F174">IF(ISNUMBER(S174),INDEX($A$2:$A$3574,S174),"")</f>
        <v/>
      </c>
    </row>
    <row r="175" spans="1:6" ht="24" thickBot="1" x14ac:dyDescent="0.5">
      <c r="A175" s="28">
        <v>38972</v>
      </c>
      <c r="B175" s="36">
        <v>36147</v>
      </c>
      <c r="C175">
        <f t="shared" si="32"/>
        <v>1.048305937604832E-2</v>
      </c>
      <c r="E175" s="43" t="s">
        <v>15</v>
      </c>
      <c r="F175" s="38" t="str" cm="1">
        <f t="array" ref="F175">IF(ISNUMBER(S175),INDEX($A$2:$A$3574,S175),"")</f>
        <v/>
      </c>
    </row>
    <row r="176" spans="1:6" ht="23.4" x14ac:dyDescent="0.45">
      <c r="A176" s="28">
        <v>38973</v>
      </c>
      <c r="B176" s="36">
        <v>36550</v>
      </c>
      <c r="C176">
        <f t="shared" si="32"/>
        <v>1.1148919689047521E-2</v>
      </c>
      <c r="E176" s="41" t="s">
        <v>9</v>
      </c>
      <c r="F176" s="37">
        <f t="shared" ref="F176" si="44">S176</f>
        <v>0</v>
      </c>
    </row>
    <row r="177" spans="1:6" ht="23.4" x14ac:dyDescent="0.45">
      <c r="A177" s="28">
        <v>38974</v>
      </c>
      <c r="B177" s="36">
        <v>36154</v>
      </c>
      <c r="C177">
        <f t="shared" si="32"/>
        <v>-1.0834473324213389E-2</v>
      </c>
      <c r="E177" s="42" t="s">
        <v>14</v>
      </c>
      <c r="F177" s="38" t="str" cm="1">
        <f t="array" ref="F177">IF(ISNUMBER(S177),INDEX($A$2:$A$3574,S177),"")</f>
        <v/>
      </c>
    </row>
    <row r="178" spans="1:6" ht="23.4" x14ac:dyDescent="0.45">
      <c r="A178" s="28">
        <v>38975</v>
      </c>
      <c r="B178" s="36">
        <v>36170</v>
      </c>
      <c r="C178">
        <f t="shared" si="32"/>
        <v>4.4255130829240485E-4</v>
      </c>
      <c r="E178" s="42" t="s">
        <v>8</v>
      </c>
      <c r="F178" s="38" t="str" cm="1">
        <f t="array" ref="F178">IF(ISNUMBER(S178),INDEX($A$2:$A$3574,S178),"")</f>
        <v/>
      </c>
    </row>
    <row r="179" spans="1:6" ht="24" thickBot="1" x14ac:dyDescent="0.5">
      <c r="A179" s="28">
        <v>38978</v>
      </c>
      <c r="B179" s="36">
        <v>36483</v>
      </c>
      <c r="C179">
        <f t="shared" si="32"/>
        <v>8.6535803151783774E-3</v>
      </c>
      <c r="E179" s="43" t="s">
        <v>15</v>
      </c>
      <c r="F179" s="38" t="str" cm="1">
        <f t="array" ref="F179">IF(ISNUMBER(S179),INDEX($A$2:$A$3574,S179),"")</f>
        <v/>
      </c>
    </row>
    <row r="180" spans="1:6" ht="23.4" x14ac:dyDescent="0.45">
      <c r="A180" s="28">
        <v>38979</v>
      </c>
      <c r="B180" s="36">
        <v>35886</v>
      </c>
      <c r="C180">
        <f t="shared" si="32"/>
        <v>-1.636378587287235E-2</v>
      </c>
      <c r="E180" s="41" t="s">
        <v>9</v>
      </c>
      <c r="F180" s="37">
        <f t="shared" ref="F180" si="45">S180</f>
        <v>0</v>
      </c>
    </row>
    <row r="181" spans="1:6" ht="23.4" x14ac:dyDescent="0.45">
      <c r="A181" s="28">
        <v>38980</v>
      </c>
      <c r="B181" s="36">
        <v>35197</v>
      </c>
      <c r="C181">
        <f t="shared" si="32"/>
        <v>-1.9199687900574025E-2</v>
      </c>
      <c r="E181" s="42" t="s">
        <v>14</v>
      </c>
      <c r="F181" s="38" t="str" cm="1">
        <f t="array" ref="F181">IF(ISNUMBER(S181),INDEX($A$2:$A$3574,S181),"")</f>
        <v/>
      </c>
    </row>
    <row r="182" spans="1:6" ht="23.4" x14ac:dyDescent="0.45">
      <c r="A182" s="28">
        <v>38981</v>
      </c>
      <c r="B182" s="36">
        <v>34830</v>
      </c>
      <c r="C182">
        <f t="shared" si="32"/>
        <v>-1.0427025030542381E-2</v>
      </c>
      <c r="E182" s="42" t="s">
        <v>8</v>
      </c>
      <c r="F182" s="38" t="str" cm="1">
        <f t="array" ref="F182">IF(ISNUMBER(S182),INDEX($A$2:$A$3574,S182),"")</f>
        <v/>
      </c>
    </row>
    <row r="183" spans="1:6" ht="24" thickBot="1" x14ac:dyDescent="0.5">
      <c r="A183" s="28">
        <v>38982</v>
      </c>
      <c r="B183" s="36">
        <v>34799</v>
      </c>
      <c r="C183">
        <f t="shared" si="32"/>
        <v>-8.9003732414583148E-4</v>
      </c>
      <c r="E183" s="43" t="s">
        <v>15</v>
      </c>
      <c r="F183" s="38" t="str" cm="1">
        <f t="array" ref="F183">IF(ISNUMBER(S183),INDEX($A$2:$A$3574,S183),"")</f>
        <v/>
      </c>
    </row>
    <row r="184" spans="1:6" ht="23.4" x14ac:dyDescent="0.45">
      <c r="A184" s="28">
        <v>38985</v>
      </c>
      <c r="B184" s="36">
        <v>34973</v>
      </c>
      <c r="C184">
        <f t="shared" si="32"/>
        <v>5.0001436822897372E-3</v>
      </c>
      <c r="E184" s="41" t="s">
        <v>9</v>
      </c>
      <c r="F184" s="37">
        <f t="shared" ref="F184" si="46">S184</f>
        <v>0</v>
      </c>
    </row>
    <row r="185" spans="1:6" ht="23.4" x14ac:dyDescent="0.45">
      <c r="A185" s="28">
        <v>38986</v>
      </c>
      <c r="B185" s="36">
        <v>35819</v>
      </c>
      <c r="C185">
        <f t="shared" si="32"/>
        <v>2.4190089497612366E-2</v>
      </c>
      <c r="E185" s="42" t="s">
        <v>14</v>
      </c>
      <c r="F185" s="38" t="str" cm="1">
        <f t="array" ref="F185">IF(ISNUMBER(S185),INDEX($A$2:$A$3574,S185),"")</f>
        <v/>
      </c>
    </row>
    <row r="186" spans="1:6" ht="23.4" x14ac:dyDescent="0.45">
      <c r="A186" s="28">
        <v>38987</v>
      </c>
      <c r="B186" s="36">
        <v>36106</v>
      </c>
      <c r="C186">
        <f t="shared" si="32"/>
        <v>8.0125073285128856E-3</v>
      </c>
      <c r="E186" s="42" t="s">
        <v>8</v>
      </c>
      <c r="F186" s="38" t="str" cm="1">
        <f t="array" ref="F186">IF(ISNUMBER(S186),INDEX($A$2:$A$3574,S186),"")</f>
        <v/>
      </c>
    </row>
    <row r="187" spans="1:6" ht="24" thickBot="1" x14ac:dyDescent="0.5">
      <c r="A187" s="28">
        <v>38988</v>
      </c>
      <c r="B187" s="36">
        <v>36486</v>
      </c>
      <c r="C187">
        <f t="shared" si="32"/>
        <v>1.0524566554035442E-2</v>
      </c>
      <c r="E187" s="43" t="s">
        <v>15</v>
      </c>
      <c r="F187" s="38" t="str" cm="1">
        <f t="array" ref="F187">IF(ISNUMBER(S187),INDEX($A$2:$A$3574,S187),"")</f>
        <v/>
      </c>
    </row>
    <row r="188" spans="1:6" ht="23.4" x14ac:dyDescent="0.45">
      <c r="A188" s="28">
        <v>38989</v>
      </c>
      <c r="B188" s="36">
        <v>36449</v>
      </c>
      <c r="C188">
        <f t="shared" si="32"/>
        <v>-1.0140875952420192E-3</v>
      </c>
      <c r="E188" s="41" t="s">
        <v>9</v>
      </c>
      <c r="F188" s="37">
        <f t="shared" ref="F188" si="47">S188</f>
        <v>0</v>
      </c>
    </row>
    <row r="189" spans="1:6" ht="23.4" x14ac:dyDescent="0.45">
      <c r="A189" s="28">
        <v>38992</v>
      </c>
      <c r="B189" s="36">
        <v>37058</v>
      </c>
      <c r="C189">
        <f t="shared" si="32"/>
        <v>1.6708277318993714E-2</v>
      </c>
      <c r="E189" s="42" t="s">
        <v>14</v>
      </c>
      <c r="F189" s="38" t="str" cm="1">
        <f t="array" ref="F189">IF(ISNUMBER(S189),INDEX($A$2:$A$3574,S189),"")</f>
        <v/>
      </c>
    </row>
    <row r="190" spans="1:6" ht="23.4" x14ac:dyDescent="0.45">
      <c r="A190" s="28">
        <v>38993</v>
      </c>
      <c r="B190" s="36">
        <v>36438</v>
      </c>
      <c r="C190">
        <f t="shared" si="32"/>
        <v>-1.6730530519725839E-2</v>
      </c>
      <c r="E190" s="42" t="s">
        <v>8</v>
      </c>
      <c r="F190" s="38" t="str" cm="1">
        <f t="array" ref="F190">IF(ISNUMBER(S190),INDEX($A$2:$A$3574,S190),"")</f>
        <v/>
      </c>
    </row>
    <row r="191" spans="1:6" ht="24" thickBot="1" x14ac:dyDescent="0.5">
      <c r="A191" s="28">
        <v>38994</v>
      </c>
      <c r="B191" s="36">
        <v>37749</v>
      </c>
      <c r="C191">
        <f t="shared" si="32"/>
        <v>3.5978923102255811E-2</v>
      </c>
      <c r="E191" s="43" t="s">
        <v>15</v>
      </c>
      <c r="F191" s="38" t="str" cm="1">
        <f t="array" ref="F191">IF(ISNUMBER(S191),INDEX($A$2:$A$3574,S191),"")</f>
        <v/>
      </c>
    </row>
    <row r="192" spans="1:6" ht="23.4" x14ac:dyDescent="0.45">
      <c r="A192" s="28">
        <v>38995</v>
      </c>
      <c r="B192" s="36">
        <v>37977</v>
      </c>
      <c r="C192">
        <f t="shared" si="32"/>
        <v>6.0398950965587783E-3</v>
      </c>
      <c r="E192" s="41" t="s">
        <v>9</v>
      </c>
      <c r="F192" s="37">
        <f t="shared" ref="F192" si="48">S192</f>
        <v>0</v>
      </c>
    </row>
    <row r="193" spans="1:6" ht="23.4" x14ac:dyDescent="0.45">
      <c r="A193" s="28">
        <v>38996</v>
      </c>
      <c r="B193" s="36">
        <v>37940</v>
      </c>
      <c r="C193">
        <f t="shared" si="32"/>
        <v>-9.742739026252778E-4</v>
      </c>
      <c r="E193" s="42" t="s">
        <v>14</v>
      </c>
      <c r="F193" s="38" t="str" cm="1">
        <f t="array" ref="F193">IF(ISNUMBER(S193),INDEX($A$2:$A$3574,S193),"")</f>
        <v/>
      </c>
    </row>
    <row r="194" spans="1:6" ht="23.4" x14ac:dyDescent="0.45">
      <c r="A194" s="28">
        <v>38999</v>
      </c>
      <c r="B194" s="36">
        <v>38406</v>
      </c>
      <c r="C194">
        <f t="shared" si="32"/>
        <v>1.2282551396942454E-2</v>
      </c>
      <c r="E194" s="42" t="s">
        <v>8</v>
      </c>
      <c r="F194" s="38" t="str" cm="1">
        <f t="array" ref="F194">IF(ISNUMBER(S194),INDEX($A$2:$A$3574,S194),"")</f>
        <v/>
      </c>
    </row>
    <row r="195" spans="1:6" ht="24" thickBot="1" x14ac:dyDescent="0.5">
      <c r="A195" s="28">
        <v>39000</v>
      </c>
      <c r="B195" s="36">
        <v>38655</v>
      </c>
      <c r="C195">
        <f t="shared" si="32"/>
        <v>6.4833619746913485E-3</v>
      </c>
      <c r="E195" s="43" t="s">
        <v>15</v>
      </c>
      <c r="F195" s="38" t="str" cm="1">
        <f t="array" ref="F195">IF(ISNUMBER(S195),INDEX($A$2:$A$3574,S195),"")</f>
        <v/>
      </c>
    </row>
    <row r="196" spans="1:6" ht="23.4" x14ac:dyDescent="0.45">
      <c r="A196" s="28">
        <v>39001</v>
      </c>
      <c r="B196" s="36">
        <v>38322</v>
      </c>
      <c r="C196">
        <f t="shared" ref="C196:C259" si="49">B196/B195-1</f>
        <v>-8.614668218859145E-3</v>
      </c>
      <c r="E196" s="41" t="s">
        <v>9</v>
      </c>
      <c r="F196" s="37">
        <f t="shared" ref="F196" si="50">S196</f>
        <v>0</v>
      </c>
    </row>
    <row r="197" spans="1:6" ht="23.4" x14ac:dyDescent="0.45">
      <c r="A197" s="28">
        <v>39003</v>
      </c>
      <c r="B197" s="36">
        <v>38850</v>
      </c>
      <c r="C197">
        <f t="shared" si="49"/>
        <v>1.37779865351495E-2</v>
      </c>
      <c r="E197" s="42" t="s">
        <v>14</v>
      </c>
      <c r="F197" s="38" t="str" cm="1">
        <f t="array" ref="F197">IF(ISNUMBER(S197),INDEX($A$2:$A$3574,S197),"")</f>
        <v/>
      </c>
    </row>
    <row r="198" spans="1:6" ht="23.4" x14ac:dyDescent="0.45">
      <c r="A198" s="28">
        <v>39006</v>
      </c>
      <c r="B198" s="36">
        <v>39229</v>
      </c>
      <c r="C198">
        <f t="shared" si="49"/>
        <v>9.7554697554698144E-3</v>
      </c>
      <c r="E198" s="42" t="s">
        <v>8</v>
      </c>
      <c r="F198" s="38" t="str" cm="1">
        <f t="array" ref="F198">IF(ISNUMBER(S198),INDEX($A$2:$A$3574,S198),"")</f>
        <v/>
      </c>
    </row>
    <row r="199" spans="1:6" ht="24" thickBot="1" x14ac:dyDescent="0.5">
      <c r="A199" s="28">
        <v>39007</v>
      </c>
      <c r="B199" s="36">
        <v>38898</v>
      </c>
      <c r="C199">
        <f t="shared" si="49"/>
        <v>-8.4376354227739814E-3</v>
      </c>
      <c r="E199" s="43" t="s">
        <v>15</v>
      </c>
      <c r="F199" s="38" t="str" cm="1">
        <f t="array" ref="F199">IF(ISNUMBER(S199),INDEX($A$2:$A$3574,S199),"")</f>
        <v/>
      </c>
    </row>
    <row r="200" spans="1:6" ht="23.4" x14ac:dyDescent="0.45">
      <c r="A200" s="28">
        <v>39008</v>
      </c>
      <c r="B200" s="36">
        <v>38686</v>
      </c>
      <c r="C200">
        <f t="shared" si="49"/>
        <v>-5.4501516787495152E-3</v>
      </c>
      <c r="E200" s="41" t="s">
        <v>9</v>
      </c>
      <c r="F200" s="37">
        <f t="shared" ref="F200" si="51">S200</f>
        <v>0</v>
      </c>
    </row>
    <row r="201" spans="1:6" ht="23.4" x14ac:dyDescent="0.45">
      <c r="A201" s="28">
        <v>39009</v>
      </c>
      <c r="B201" s="36">
        <v>38920</v>
      </c>
      <c r="C201">
        <f t="shared" si="49"/>
        <v>6.0486997880371263E-3</v>
      </c>
      <c r="E201" s="42" t="s">
        <v>14</v>
      </c>
      <c r="F201" s="38" t="str" cm="1">
        <f t="array" ref="F201">IF(ISNUMBER(S201),INDEX($A$2:$A$3574,S201),"")</f>
        <v/>
      </c>
    </row>
    <row r="202" spans="1:6" ht="23.4" x14ac:dyDescent="0.45">
      <c r="A202" s="28">
        <v>39010</v>
      </c>
      <c r="B202" s="36">
        <v>38643</v>
      </c>
      <c r="C202">
        <f t="shared" si="49"/>
        <v>-7.1171634121274252E-3</v>
      </c>
      <c r="E202" s="42" t="s">
        <v>8</v>
      </c>
      <c r="F202" s="38" t="str" cm="1">
        <f t="array" ref="F202">IF(ISNUMBER(S202),INDEX($A$2:$A$3574,S202),"")</f>
        <v/>
      </c>
    </row>
    <row r="203" spans="1:6" ht="24" thickBot="1" x14ac:dyDescent="0.5">
      <c r="A203" s="28">
        <v>39013</v>
      </c>
      <c r="B203" s="36">
        <v>39227</v>
      </c>
      <c r="C203">
        <f t="shared" si="49"/>
        <v>1.5112698289470261E-2</v>
      </c>
      <c r="E203" s="43" t="s">
        <v>15</v>
      </c>
      <c r="F203" s="38" t="str" cm="1">
        <f t="array" ref="F203">IF(ISNUMBER(S203),INDEX($A$2:$A$3574,S203),"")</f>
        <v/>
      </c>
    </row>
    <row r="204" spans="1:6" ht="23.4" x14ac:dyDescent="0.45">
      <c r="A204" s="28">
        <v>39014</v>
      </c>
      <c r="B204" s="36">
        <v>39499</v>
      </c>
      <c r="C204">
        <f t="shared" si="49"/>
        <v>6.9339995411323851E-3</v>
      </c>
      <c r="E204" s="41" t="s">
        <v>9</v>
      </c>
      <c r="F204" s="37">
        <f t="shared" ref="F204" si="52">S204</f>
        <v>0</v>
      </c>
    </row>
    <row r="205" spans="1:6" ht="23.4" x14ac:dyDescent="0.45">
      <c r="A205" s="28">
        <v>39015</v>
      </c>
      <c r="B205" s="36">
        <v>39563</v>
      </c>
      <c r="C205">
        <f t="shared" si="49"/>
        <v>1.6202941846628072E-3</v>
      </c>
      <c r="E205" s="42" t="s">
        <v>14</v>
      </c>
      <c r="F205" s="38" t="str" cm="1">
        <f t="array" ref="F205">IF(ISNUMBER(S205),INDEX($A$2:$A$3574,S205),"")</f>
        <v/>
      </c>
    </row>
    <row r="206" spans="1:6" ht="23.4" x14ac:dyDescent="0.45">
      <c r="A206" s="28">
        <v>39016</v>
      </c>
      <c r="B206" s="36">
        <v>39645</v>
      </c>
      <c r="C206">
        <f t="shared" si="49"/>
        <v>2.0726436316760299E-3</v>
      </c>
      <c r="E206" s="42" t="s">
        <v>8</v>
      </c>
      <c r="F206" s="38" t="str" cm="1">
        <f t="array" ref="F206">IF(ISNUMBER(S206),INDEX($A$2:$A$3574,S206),"")</f>
        <v/>
      </c>
    </row>
    <row r="207" spans="1:6" ht="24" thickBot="1" x14ac:dyDescent="0.5">
      <c r="A207" s="28">
        <v>39017</v>
      </c>
      <c r="B207" s="36">
        <v>39328</v>
      </c>
      <c r="C207">
        <f t="shared" si="49"/>
        <v>-7.9959641821162331E-3</v>
      </c>
      <c r="E207" s="43" t="s">
        <v>15</v>
      </c>
      <c r="F207" s="38" t="str" cm="1">
        <f t="array" ref="F207">IF(ISNUMBER(S207),INDEX($A$2:$A$3574,S207),"")</f>
        <v/>
      </c>
    </row>
    <row r="208" spans="1:6" ht="23.4" x14ac:dyDescent="0.45">
      <c r="A208" s="28">
        <v>39020</v>
      </c>
      <c r="B208" s="36">
        <v>38900</v>
      </c>
      <c r="C208">
        <f t="shared" si="49"/>
        <v>-1.088283157038239E-2</v>
      </c>
      <c r="E208" s="41" t="s">
        <v>9</v>
      </c>
      <c r="F208" s="37">
        <f t="shared" ref="F208" si="53">S208</f>
        <v>0</v>
      </c>
    </row>
    <row r="209" spans="1:6" ht="23.4" x14ac:dyDescent="0.45">
      <c r="A209" s="28">
        <v>39021</v>
      </c>
      <c r="B209" s="36">
        <v>39263</v>
      </c>
      <c r="C209">
        <f t="shared" si="49"/>
        <v>9.3316195372750155E-3</v>
      </c>
      <c r="E209" s="42" t="s">
        <v>14</v>
      </c>
      <c r="F209" s="38" t="str" cm="1">
        <f t="array" ref="F209">IF(ISNUMBER(S209),INDEX($A$2:$A$3574,S209),"")</f>
        <v/>
      </c>
    </row>
    <row r="210" spans="1:6" ht="23.4" x14ac:dyDescent="0.45">
      <c r="A210" s="28">
        <v>39022</v>
      </c>
      <c r="B210" s="36">
        <v>39930</v>
      </c>
      <c r="C210">
        <f t="shared" si="49"/>
        <v>1.6988003973206434E-2</v>
      </c>
      <c r="E210" s="42" t="s">
        <v>8</v>
      </c>
      <c r="F210" s="38" t="str" cm="1">
        <f t="array" ref="F210">IF(ISNUMBER(S210),INDEX($A$2:$A$3574,S210),"")</f>
        <v/>
      </c>
    </row>
    <row r="211" spans="1:6" ht="24" thickBot="1" x14ac:dyDescent="0.5">
      <c r="A211" s="28">
        <v>39024</v>
      </c>
      <c r="B211" s="36">
        <v>40435</v>
      </c>
      <c r="C211">
        <f t="shared" si="49"/>
        <v>1.2647132481843126E-2</v>
      </c>
      <c r="E211" s="43" t="s">
        <v>15</v>
      </c>
      <c r="F211" s="38" t="str" cm="1">
        <f t="array" ref="F211">IF(ISNUMBER(S211),INDEX($A$2:$A$3574,S211),"")</f>
        <v/>
      </c>
    </row>
    <row r="212" spans="1:6" ht="23.4" x14ac:dyDescent="0.45">
      <c r="A212" s="28">
        <v>39027</v>
      </c>
      <c r="B212" s="36">
        <v>41247</v>
      </c>
      <c r="C212">
        <f t="shared" si="49"/>
        <v>2.0081612464449172E-2</v>
      </c>
      <c r="E212" s="41" t="s">
        <v>9</v>
      </c>
      <c r="F212" s="37">
        <f t="shared" ref="F212" si="54">S212</f>
        <v>0</v>
      </c>
    </row>
    <row r="213" spans="1:6" ht="23.4" x14ac:dyDescent="0.45">
      <c r="A213" s="28">
        <v>39028</v>
      </c>
      <c r="B213" s="36">
        <v>41048</v>
      </c>
      <c r="C213">
        <f t="shared" si="49"/>
        <v>-4.8245933037553979E-3</v>
      </c>
      <c r="E213" s="42" t="s">
        <v>14</v>
      </c>
      <c r="F213" s="38" t="str" cm="1">
        <f t="array" ref="F213">IF(ISNUMBER(S213),INDEX($A$2:$A$3574,S213),"")</f>
        <v/>
      </c>
    </row>
    <row r="214" spans="1:6" ht="23.4" x14ac:dyDescent="0.45">
      <c r="A214" s="28">
        <v>39029</v>
      </c>
      <c r="B214" s="36">
        <v>41334</v>
      </c>
      <c r="C214">
        <f t="shared" si="49"/>
        <v>6.9674527382577178E-3</v>
      </c>
      <c r="E214" s="42" t="s">
        <v>8</v>
      </c>
      <c r="F214" s="38" t="str" cm="1">
        <f t="array" ref="F214">IF(ISNUMBER(S214),INDEX($A$2:$A$3574,S214),"")</f>
        <v/>
      </c>
    </row>
    <row r="215" spans="1:6" ht="24" thickBot="1" x14ac:dyDescent="0.5">
      <c r="A215" s="28">
        <v>39030</v>
      </c>
      <c r="B215" s="36">
        <v>40815</v>
      </c>
      <c r="C215">
        <f t="shared" si="49"/>
        <v>-1.2556249092756544E-2</v>
      </c>
      <c r="E215" s="43" t="s">
        <v>15</v>
      </c>
      <c r="F215" s="38" t="str" cm="1">
        <f t="array" ref="F215">IF(ISNUMBER(S215),INDEX($A$2:$A$3574,S215),"")</f>
        <v/>
      </c>
    </row>
    <row r="216" spans="1:6" ht="23.4" x14ac:dyDescent="0.45">
      <c r="A216" s="28">
        <v>39031</v>
      </c>
      <c r="B216" s="36">
        <v>40720</v>
      </c>
      <c r="C216">
        <f t="shared" si="49"/>
        <v>-2.3275756462085573E-3</v>
      </c>
      <c r="E216" s="41" t="s">
        <v>9</v>
      </c>
      <c r="F216" s="37">
        <f t="shared" ref="F216" si="55">S216</f>
        <v>0</v>
      </c>
    </row>
    <row r="217" spans="1:6" ht="23.4" x14ac:dyDescent="0.45">
      <c r="A217" s="28">
        <v>39034</v>
      </c>
      <c r="B217" s="36">
        <v>40606</v>
      </c>
      <c r="C217">
        <f t="shared" si="49"/>
        <v>-2.7996070726915567E-3</v>
      </c>
      <c r="E217" s="42" t="s">
        <v>14</v>
      </c>
      <c r="F217" s="38" t="str" cm="1">
        <f t="array" ref="F217">IF(ISNUMBER(S217),INDEX($A$2:$A$3574,S217),"")</f>
        <v/>
      </c>
    </row>
    <row r="218" spans="1:6" ht="23.4" x14ac:dyDescent="0.45">
      <c r="A218" s="28">
        <v>39035</v>
      </c>
      <c r="B218" s="36">
        <v>41291</v>
      </c>
      <c r="C218">
        <f t="shared" si="49"/>
        <v>1.6869428163325706E-2</v>
      </c>
      <c r="E218" s="42" t="s">
        <v>8</v>
      </c>
      <c r="F218" s="38" t="str" cm="1">
        <f t="array" ref="F218">IF(ISNUMBER(S218),INDEX($A$2:$A$3574,S218),"")</f>
        <v/>
      </c>
    </row>
    <row r="219" spans="1:6" ht="24" thickBot="1" x14ac:dyDescent="0.5">
      <c r="A219" s="28">
        <v>39037</v>
      </c>
      <c r="B219" s="36">
        <v>41162</v>
      </c>
      <c r="C219">
        <f t="shared" si="49"/>
        <v>-3.1241674941270281E-3</v>
      </c>
      <c r="E219" s="43" t="s">
        <v>15</v>
      </c>
      <c r="F219" s="38" t="str" cm="1">
        <f t="array" ref="F219">IF(ISNUMBER(S219),INDEX($A$2:$A$3574,S219),"")</f>
        <v/>
      </c>
    </row>
    <row r="220" spans="1:6" ht="23.4" x14ac:dyDescent="0.45">
      <c r="A220" s="28">
        <v>39038</v>
      </c>
      <c r="B220" s="36">
        <v>41029</v>
      </c>
      <c r="C220">
        <f t="shared" si="49"/>
        <v>-3.2311355133375352E-3</v>
      </c>
      <c r="E220" s="41" t="s">
        <v>9</v>
      </c>
      <c r="F220" s="37">
        <f t="shared" ref="F220" si="56">S220</f>
        <v>0</v>
      </c>
    </row>
    <row r="221" spans="1:6" ht="23.4" x14ac:dyDescent="0.45">
      <c r="A221" s="28">
        <v>39042</v>
      </c>
      <c r="B221" s="36">
        <v>41570</v>
      </c>
      <c r="C221">
        <f t="shared" si="49"/>
        <v>1.3185795413000578E-2</v>
      </c>
      <c r="E221" s="42" t="s">
        <v>14</v>
      </c>
      <c r="F221" s="38" t="str" cm="1">
        <f t="array" ref="F221">IF(ISNUMBER(S221),INDEX($A$2:$A$3574,S221),"")</f>
        <v/>
      </c>
    </row>
    <row r="222" spans="1:6" ht="23.4" x14ac:dyDescent="0.45">
      <c r="A222" s="28">
        <v>39043</v>
      </c>
      <c r="B222" s="36">
        <v>41913</v>
      </c>
      <c r="C222">
        <f t="shared" si="49"/>
        <v>8.2511426509501717E-3</v>
      </c>
      <c r="E222" s="42" t="s">
        <v>8</v>
      </c>
      <c r="F222" s="38" t="str" cm="1">
        <f t="array" ref="F222">IF(ISNUMBER(S222),INDEX($A$2:$A$3574,S222),"")</f>
        <v/>
      </c>
    </row>
    <row r="223" spans="1:6" ht="24" thickBot="1" x14ac:dyDescent="0.5">
      <c r="A223" s="28">
        <v>39044</v>
      </c>
      <c r="B223" s="36">
        <v>42070</v>
      </c>
      <c r="C223">
        <f t="shared" si="49"/>
        <v>3.7458545081479055E-3</v>
      </c>
      <c r="E223" s="43" t="s">
        <v>15</v>
      </c>
      <c r="F223" s="38" t="str" cm="1">
        <f t="array" ref="F223">IF(ISNUMBER(S223),INDEX($A$2:$A$3574,S223),"")</f>
        <v/>
      </c>
    </row>
    <row r="224" spans="1:6" ht="23.4" x14ac:dyDescent="0.45">
      <c r="A224" s="28">
        <v>39045</v>
      </c>
      <c r="B224" s="36">
        <v>41758</v>
      </c>
      <c r="C224">
        <f t="shared" si="49"/>
        <v>-7.416211076776813E-3</v>
      </c>
      <c r="E224" s="41" t="s">
        <v>9</v>
      </c>
      <c r="F224" s="37">
        <f t="shared" ref="F224" si="57">S224</f>
        <v>0</v>
      </c>
    </row>
    <row r="225" spans="1:6" ht="23.4" x14ac:dyDescent="0.45">
      <c r="A225" s="28">
        <v>39048</v>
      </c>
      <c r="B225" s="36">
        <v>40915</v>
      </c>
      <c r="C225">
        <f t="shared" si="49"/>
        <v>-2.0187748455385846E-2</v>
      </c>
      <c r="E225" s="42" t="s">
        <v>14</v>
      </c>
      <c r="F225" s="38" t="str" cm="1">
        <f t="array" ref="F225">IF(ISNUMBER(S225),INDEX($A$2:$A$3574,S225),"")</f>
        <v/>
      </c>
    </row>
    <row r="226" spans="1:6" ht="23.4" x14ac:dyDescent="0.45">
      <c r="A226" s="28">
        <v>39049</v>
      </c>
      <c r="B226" s="36">
        <v>41043</v>
      </c>
      <c r="C226">
        <f t="shared" si="49"/>
        <v>3.1284370035440379E-3</v>
      </c>
      <c r="E226" s="42" t="s">
        <v>8</v>
      </c>
      <c r="F226" s="38" t="str" cm="1">
        <f t="array" ref="F226">IF(ISNUMBER(S226),INDEX($A$2:$A$3574,S226),"")</f>
        <v/>
      </c>
    </row>
    <row r="227" spans="1:6" ht="24" thickBot="1" x14ac:dyDescent="0.5">
      <c r="A227" s="28">
        <v>39050</v>
      </c>
      <c r="B227" s="36">
        <v>41970</v>
      </c>
      <c r="C227">
        <f t="shared" si="49"/>
        <v>2.2586068269863313E-2</v>
      </c>
      <c r="E227" s="43" t="s">
        <v>15</v>
      </c>
      <c r="F227" s="38" t="str" cm="1">
        <f t="array" ref="F227">IF(ISNUMBER(S227),INDEX($A$2:$A$3574,S227),"")</f>
        <v/>
      </c>
    </row>
    <row r="228" spans="1:6" ht="23.4" x14ac:dyDescent="0.45">
      <c r="A228" s="28">
        <v>39051</v>
      </c>
      <c r="B228" s="36">
        <v>41932</v>
      </c>
      <c r="C228">
        <f t="shared" si="49"/>
        <v>-9.0540862520849252E-4</v>
      </c>
      <c r="E228" s="41" t="s">
        <v>9</v>
      </c>
      <c r="F228" s="37">
        <f t="shared" ref="F228" si="58">S228</f>
        <v>0</v>
      </c>
    </row>
    <row r="229" spans="1:6" ht="23.4" x14ac:dyDescent="0.45">
      <c r="A229" s="28">
        <v>39052</v>
      </c>
      <c r="B229" s="36">
        <v>41327</v>
      </c>
      <c r="C229">
        <f t="shared" si="49"/>
        <v>-1.4428121720881482E-2</v>
      </c>
      <c r="E229" s="42" t="s">
        <v>14</v>
      </c>
      <c r="F229" s="38" t="str" cm="1">
        <f t="array" ref="F229">IF(ISNUMBER(S229),INDEX($A$2:$A$3574,S229),"")</f>
        <v/>
      </c>
    </row>
    <row r="230" spans="1:6" ht="23.4" x14ac:dyDescent="0.45">
      <c r="A230" s="28">
        <v>39055</v>
      </c>
      <c r="B230" s="36">
        <v>42654</v>
      </c>
      <c r="C230">
        <f t="shared" si="49"/>
        <v>3.210975875335742E-2</v>
      </c>
      <c r="E230" s="42" t="s">
        <v>8</v>
      </c>
      <c r="F230" s="38" t="str" cm="1">
        <f t="array" ref="F230">IF(ISNUMBER(S230),INDEX($A$2:$A$3574,S230),"")</f>
        <v/>
      </c>
    </row>
    <row r="231" spans="1:6" ht="24" thickBot="1" x14ac:dyDescent="0.5">
      <c r="A231" s="28">
        <v>39056</v>
      </c>
      <c r="B231" s="36">
        <v>43157</v>
      </c>
      <c r="C231">
        <f t="shared" si="49"/>
        <v>1.1792563417264423E-2</v>
      </c>
      <c r="E231" s="43" t="s">
        <v>15</v>
      </c>
      <c r="F231" s="38" t="str" cm="1">
        <f t="array" ref="F231">IF(ISNUMBER(S231),INDEX($A$2:$A$3574,S231),"")</f>
        <v/>
      </c>
    </row>
    <row r="232" spans="1:6" ht="23.4" x14ac:dyDescent="0.45">
      <c r="A232" s="28">
        <v>39057</v>
      </c>
      <c r="B232" s="36">
        <v>43096</v>
      </c>
      <c r="C232">
        <f t="shared" si="49"/>
        <v>-1.413443937252401E-3</v>
      </c>
      <c r="E232" s="41" t="s">
        <v>9</v>
      </c>
      <c r="F232" s="37">
        <f t="shared" ref="F232" si="59">S232</f>
        <v>0</v>
      </c>
    </row>
    <row r="233" spans="1:6" ht="23.4" x14ac:dyDescent="0.45">
      <c r="A233" s="28">
        <v>39058</v>
      </c>
      <c r="B233" s="36">
        <v>42909</v>
      </c>
      <c r="C233">
        <f t="shared" si="49"/>
        <v>-4.3391498050863175E-3</v>
      </c>
      <c r="E233" s="42" t="s">
        <v>14</v>
      </c>
      <c r="F233" s="38" t="str" cm="1">
        <f t="array" ref="F233">IF(ISNUMBER(S233),INDEX($A$2:$A$3574,S233),"")</f>
        <v/>
      </c>
    </row>
    <row r="234" spans="1:6" ht="23.4" x14ac:dyDescent="0.45">
      <c r="A234" s="28">
        <v>39059</v>
      </c>
      <c r="B234" s="36">
        <v>42978</v>
      </c>
      <c r="C234">
        <f t="shared" si="49"/>
        <v>1.6080542543521759E-3</v>
      </c>
      <c r="E234" s="42" t="s">
        <v>8</v>
      </c>
      <c r="F234" s="38" t="str" cm="1">
        <f t="array" ref="F234">IF(ISNUMBER(S234),INDEX($A$2:$A$3574,S234),"")</f>
        <v/>
      </c>
    </row>
    <row r="235" spans="1:6" ht="24" thickBot="1" x14ac:dyDescent="0.5">
      <c r="A235" s="28">
        <v>39062</v>
      </c>
      <c r="B235" s="36">
        <v>43297</v>
      </c>
      <c r="C235">
        <f t="shared" si="49"/>
        <v>7.422402159244168E-3</v>
      </c>
      <c r="E235" s="43" t="s">
        <v>15</v>
      </c>
      <c r="F235" s="38" t="str" cm="1">
        <f t="array" ref="F235">IF(ISNUMBER(S235),INDEX($A$2:$A$3574,S235),"")</f>
        <v/>
      </c>
    </row>
    <row r="236" spans="1:6" ht="23.4" x14ac:dyDescent="0.45">
      <c r="A236" s="28">
        <v>39063</v>
      </c>
      <c r="B236" s="36">
        <v>43018</v>
      </c>
      <c r="C236">
        <f t="shared" si="49"/>
        <v>-6.4438644709795545E-3</v>
      </c>
      <c r="E236" s="41" t="s">
        <v>9</v>
      </c>
      <c r="F236" s="37">
        <f t="shared" ref="F236" si="60">S236</f>
        <v>0</v>
      </c>
    </row>
    <row r="237" spans="1:6" ht="23.4" x14ac:dyDescent="0.45">
      <c r="A237" s="28">
        <v>39064</v>
      </c>
      <c r="B237" s="36">
        <v>43285</v>
      </c>
      <c r="C237">
        <f t="shared" si="49"/>
        <v>6.2067041703472992E-3</v>
      </c>
      <c r="E237" s="42" t="s">
        <v>14</v>
      </c>
      <c r="F237" s="38" t="str" cm="1">
        <f t="array" ref="F237">IF(ISNUMBER(S237),INDEX($A$2:$A$3574,S237),"")</f>
        <v/>
      </c>
    </row>
    <row r="238" spans="1:6" ht="23.4" x14ac:dyDescent="0.45">
      <c r="A238" s="28">
        <v>39065</v>
      </c>
      <c r="B238" s="36">
        <v>43755</v>
      </c>
      <c r="C238">
        <f t="shared" si="49"/>
        <v>1.0858264987871014E-2</v>
      </c>
      <c r="E238" s="42" t="s">
        <v>8</v>
      </c>
      <c r="F238" s="38" t="str" cm="1">
        <f t="array" ref="F238">IF(ISNUMBER(S238),INDEX($A$2:$A$3574,S238),"")</f>
        <v/>
      </c>
    </row>
    <row r="239" spans="1:6" ht="24" thickBot="1" x14ac:dyDescent="0.5">
      <c r="A239" s="28">
        <v>39066</v>
      </c>
      <c r="B239" s="36">
        <v>43596</v>
      </c>
      <c r="C239">
        <f t="shared" si="49"/>
        <v>-3.6338704148097811E-3</v>
      </c>
      <c r="E239" s="43" t="s">
        <v>15</v>
      </c>
      <c r="F239" s="38" t="str" cm="1">
        <f t="array" ref="F239">IF(ISNUMBER(S239),INDEX($A$2:$A$3574,S239),"")</f>
        <v/>
      </c>
    </row>
    <row r="240" spans="1:6" ht="23.4" x14ac:dyDescent="0.45">
      <c r="A240" s="28">
        <v>39069</v>
      </c>
      <c r="B240" s="36">
        <v>43509</v>
      </c>
      <c r="C240">
        <f t="shared" si="49"/>
        <v>-1.9955959262317746E-3</v>
      </c>
      <c r="E240" s="41" t="s">
        <v>9</v>
      </c>
      <c r="F240" s="37">
        <f t="shared" ref="F240" si="61">S240</f>
        <v>0</v>
      </c>
    </row>
    <row r="241" spans="1:6" ht="23.4" x14ac:dyDescent="0.45">
      <c r="A241" s="28">
        <v>39070</v>
      </c>
      <c r="B241" s="36">
        <v>43590</v>
      </c>
      <c r="C241">
        <f t="shared" si="49"/>
        <v>1.861683789560864E-3</v>
      </c>
      <c r="E241" s="42" t="s">
        <v>14</v>
      </c>
      <c r="F241" s="38" t="str" cm="1">
        <f t="array" ref="F241">IF(ISNUMBER(S241),INDEX($A$2:$A$3574,S241),"")</f>
        <v/>
      </c>
    </row>
    <row r="242" spans="1:6" ht="23.4" x14ac:dyDescent="0.45">
      <c r="A242" s="28">
        <v>39071</v>
      </c>
      <c r="B242" s="36">
        <v>43502</v>
      </c>
      <c r="C242">
        <f t="shared" si="49"/>
        <v>-2.0188116540490464E-3</v>
      </c>
      <c r="E242" s="42" t="s">
        <v>8</v>
      </c>
      <c r="F242" s="38" t="str" cm="1">
        <f t="array" ref="F242">IF(ISNUMBER(S242),INDEX($A$2:$A$3574,S242),"")</f>
        <v/>
      </c>
    </row>
    <row r="243" spans="1:6" ht="24" thickBot="1" x14ac:dyDescent="0.5">
      <c r="A243" s="28">
        <v>39072</v>
      </c>
      <c r="B243" s="36">
        <v>43385</v>
      </c>
      <c r="C243">
        <f t="shared" si="49"/>
        <v>-2.6895315157924315E-3</v>
      </c>
      <c r="E243" s="43" t="s">
        <v>15</v>
      </c>
      <c r="F243" s="38" t="str" cm="1">
        <f t="array" ref="F243">IF(ISNUMBER(S243),INDEX($A$2:$A$3574,S243),"")</f>
        <v/>
      </c>
    </row>
    <row r="244" spans="1:6" ht="23.4" x14ac:dyDescent="0.45">
      <c r="A244" s="28">
        <v>39073</v>
      </c>
      <c r="B244" s="36">
        <v>43356</v>
      </c>
      <c r="C244">
        <f t="shared" si="49"/>
        <v>-6.6843379048053819E-4</v>
      </c>
      <c r="E244" s="41" t="s">
        <v>9</v>
      </c>
      <c r="F244" s="37">
        <f t="shared" ref="F244" si="62">S244</f>
        <v>0</v>
      </c>
    </row>
    <row r="245" spans="1:6" ht="23.4" x14ac:dyDescent="0.45">
      <c r="A245" s="28">
        <v>39077</v>
      </c>
      <c r="B245" s="36">
        <v>43603</v>
      </c>
      <c r="C245">
        <f t="shared" si="49"/>
        <v>5.6970200202970389E-3</v>
      </c>
      <c r="E245" s="42" t="s">
        <v>14</v>
      </c>
      <c r="F245" s="38" t="str" cm="1">
        <f t="array" ref="F245">IF(ISNUMBER(S245),INDEX($A$2:$A$3574,S245),"")</f>
        <v/>
      </c>
    </row>
    <row r="246" spans="1:6" ht="23.4" x14ac:dyDescent="0.45">
      <c r="A246" s="28">
        <v>39078</v>
      </c>
      <c r="B246" s="36">
        <v>44526</v>
      </c>
      <c r="C246">
        <f t="shared" si="49"/>
        <v>2.1168268238423993E-2</v>
      </c>
      <c r="E246" s="42" t="s">
        <v>8</v>
      </c>
      <c r="F246" s="38" t="str" cm="1">
        <f t="array" ref="F246">IF(ISNUMBER(S246),INDEX($A$2:$A$3574,S246),"")</f>
        <v/>
      </c>
    </row>
    <row r="247" spans="1:6" ht="24" thickBot="1" x14ac:dyDescent="0.5">
      <c r="A247" s="28">
        <v>39079</v>
      </c>
      <c r="B247" s="36">
        <v>44474</v>
      </c>
      <c r="C247">
        <f t="shared" si="49"/>
        <v>-1.1678569824372653E-3</v>
      </c>
      <c r="E247" s="43" t="s">
        <v>15</v>
      </c>
      <c r="F247" s="38" t="str" cm="1">
        <f t="array" ref="F247">IF(ISNUMBER(S247),INDEX($A$2:$A$3574,S247),"")</f>
        <v/>
      </c>
    </row>
    <row r="248" spans="1:6" ht="23.4" x14ac:dyDescent="0.45">
      <c r="A248" s="28">
        <v>39084</v>
      </c>
      <c r="B248" s="36">
        <v>45383</v>
      </c>
      <c r="C248">
        <f t="shared" si="49"/>
        <v>2.0438908126096056E-2</v>
      </c>
      <c r="E248" s="41" t="s">
        <v>9</v>
      </c>
      <c r="F248" s="37">
        <f t="shared" ref="F248" si="63">S248</f>
        <v>0</v>
      </c>
    </row>
    <row r="249" spans="1:6" ht="23.4" x14ac:dyDescent="0.45">
      <c r="A249" s="28">
        <v>39085</v>
      </c>
      <c r="B249" s="36">
        <v>44445</v>
      </c>
      <c r="C249">
        <f t="shared" si="49"/>
        <v>-2.0668532269792705E-2</v>
      </c>
      <c r="E249" s="42" t="s">
        <v>14</v>
      </c>
      <c r="F249" s="38" t="str" cm="1">
        <f t="array" ref="F249">IF(ISNUMBER(S249),INDEX($A$2:$A$3574,S249),"")</f>
        <v/>
      </c>
    </row>
    <row r="250" spans="1:6" ht="23.4" x14ac:dyDescent="0.45">
      <c r="A250" s="28">
        <v>39086</v>
      </c>
      <c r="B250" s="36">
        <v>44020</v>
      </c>
      <c r="C250">
        <f t="shared" si="49"/>
        <v>-9.5623804702441584E-3</v>
      </c>
      <c r="E250" s="42" t="s">
        <v>8</v>
      </c>
      <c r="F250" s="38" t="str" cm="1">
        <f t="array" ref="F250">IF(ISNUMBER(S250),INDEX($A$2:$A$3574,S250),"")</f>
        <v/>
      </c>
    </row>
    <row r="251" spans="1:6" ht="24" thickBot="1" x14ac:dyDescent="0.5">
      <c r="A251" s="28">
        <v>39087</v>
      </c>
      <c r="B251" s="36">
        <v>42245</v>
      </c>
      <c r="C251">
        <f t="shared" si="49"/>
        <v>-4.0322580645161255E-2</v>
      </c>
      <c r="E251" s="43" t="s">
        <v>15</v>
      </c>
      <c r="F251" s="38" t="str" cm="1">
        <f t="array" ref="F251">IF(ISNUMBER(S251),INDEX($A$2:$A$3574,S251),"")</f>
        <v/>
      </c>
    </row>
    <row r="252" spans="1:6" ht="23.4" x14ac:dyDescent="0.45">
      <c r="A252" s="28">
        <v>39090</v>
      </c>
      <c r="B252" s="36">
        <v>42830</v>
      </c>
      <c r="C252">
        <f t="shared" si="49"/>
        <v>1.3847792638182144E-2</v>
      </c>
      <c r="E252" s="41" t="s">
        <v>9</v>
      </c>
      <c r="F252" s="37">
        <f t="shared" ref="F252" si="64">S252</f>
        <v>0</v>
      </c>
    </row>
    <row r="253" spans="1:6" ht="23.4" x14ac:dyDescent="0.45">
      <c r="A253" s="28">
        <v>39091</v>
      </c>
      <c r="B253" s="36">
        <v>42007</v>
      </c>
      <c r="C253">
        <f t="shared" si="49"/>
        <v>-1.9215503151996272E-2</v>
      </c>
      <c r="E253" s="42" t="s">
        <v>14</v>
      </c>
      <c r="F253" s="38" t="str" cm="1">
        <f t="array" ref="F253">IF(ISNUMBER(S253),INDEX($A$2:$A$3574,S253),"")</f>
        <v/>
      </c>
    </row>
    <row r="254" spans="1:6" ht="23.4" x14ac:dyDescent="0.45">
      <c r="A254" s="28">
        <v>39092</v>
      </c>
      <c r="B254" s="36">
        <v>42336</v>
      </c>
      <c r="C254">
        <f t="shared" si="49"/>
        <v>7.8320279953341121E-3</v>
      </c>
      <c r="E254" s="42" t="s">
        <v>8</v>
      </c>
      <c r="F254" s="38" t="str" cm="1">
        <f t="array" ref="F254">IF(ISNUMBER(S254),INDEX($A$2:$A$3574,S254),"")</f>
        <v/>
      </c>
    </row>
    <row r="255" spans="1:6" ht="24" thickBot="1" x14ac:dyDescent="0.5">
      <c r="A255" s="28">
        <v>39093</v>
      </c>
      <c r="B255" s="36">
        <v>42670</v>
      </c>
      <c r="C255">
        <f t="shared" si="49"/>
        <v>7.889266817838303E-3</v>
      </c>
      <c r="E255" s="43" t="s">
        <v>15</v>
      </c>
      <c r="F255" s="38" t="str" cm="1">
        <f t="array" ref="F255">IF(ISNUMBER(S255),INDEX($A$2:$A$3574,S255),"")</f>
        <v/>
      </c>
    </row>
    <row r="256" spans="1:6" ht="23.4" x14ac:dyDescent="0.45">
      <c r="A256" s="28">
        <v>39094</v>
      </c>
      <c r="B256" s="36">
        <v>43095</v>
      </c>
      <c r="C256">
        <f t="shared" si="49"/>
        <v>9.960159362549792E-3</v>
      </c>
      <c r="E256" s="41" t="s">
        <v>9</v>
      </c>
      <c r="F256" s="37">
        <f t="shared" ref="F256" si="65">S256</f>
        <v>0</v>
      </c>
    </row>
    <row r="257" spans="1:6" ht="23.4" x14ac:dyDescent="0.45">
      <c r="A257" s="28">
        <v>39097</v>
      </c>
      <c r="B257" s="36">
        <v>42919</v>
      </c>
      <c r="C257">
        <f t="shared" si="49"/>
        <v>-4.0840004640909644E-3</v>
      </c>
      <c r="E257" s="42" t="s">
        <v>14</v>
      </c>
      <c r="F257" s="38" t="str" cm="1">
        <f t="array" ref="F257">IF(ISNUMBER(S257),INDEX($A$2:$A$3574,S257),"")</f>
        <v/>
      </c>
    </row>
    <row r="258" spans="1:6" ht="23.4" x14ac:dyDescent="0.45">
      <c r="A258" s="28">
        <v>39098</v>
      </c>
      <c r="B258" s="36">
        <v>42624</v>
      </c>
      <c r="C258">
        <f t="shared" si="49"/>
        <v>-6.8734127076586216E-3</v>
      </c>
      <c r="E258" s="42" t="s">
        <v>8</v>
      </c>
      <c r="F258" s="38" t="str" cm="1">
        <f t="array" ref="F258">IF(ISNUMBER(S258),INDEX($A$2:$A$3574,S258),"")</f>
        <v/>
      </c>
    </row>
    <row r="259" spans="1:6" ht="24" thickBot="1" x14ac:dyDescent="0.5">
      <c r="A259" s="28">
        <v>39099</v>
      </c>
      <c r="B259" s="36">
        <v>42735</v>
      </c>
      <c r="C259">
        <f t="shared" si="49"/>
        <v>2.6041666666667407E-3</v>
      </c>
      <c r="E259" s="43" t="s">
        <v>15</v>
      </c>
      <c r="F259" s="38" t="str" cm="1">
        <f t="array" ref="F259">IF(ISNUMBER(S259),INDEX($A$2:$A$3574,S259),"")</f>
        <v/>
      </c>
    </row>
    <row r="260" spans="1:6" ht="23.4" x14ac:dyDescent="0.45">
      <c r="A260" s="28">
        <v>39100</v>
      </c>
      <c r="B260" s="36">
        <v>42478</v>
      </c>
      <c r="C260">
        <f t="shared" ref="C260:C323" si="66">B260/B259-1</f>
        <v>-6.0138060138059668E-3</v>
      </c>
      <c r="E260" s="41" t="s">
        <v>9</v>
      </c>
      <c r="F260" s="37">
        <f t="shared" ref="F260" si="67">S260</f>
        <v>0</v>
      </c>
    </row>
    <row r="261" spans="1:6" ht="23.4" x14ac:dyDescent="0.45">
      <c r="A261" s="28">
        <v>39101</v>
      </c>
      <c r="B261" s="36">
        <v>43428</v>
      </c>
      <c r="C261">
        <f t="shared" si="66"/>
        <v>2.2364518103488829E-2</v>
      </c>
      <c r="E261" s="42" t="s">
        <v>14</v>
      </c>
      <c r="F261" s="38" t="str" cm="1">
        <f t="array" ref="F261">IF(ISNUMBER(S261),INDEX($A$2:$A$3574,S261),"")</f>
        <v/>
      </c>
    </row>
    <row r="262" spans="1:6" ht="23.4" x14ac:dyDescent="0.45">
      <c r="A262" s="28">
        <v>39104</v>
      </c>
      <c r="B262" s="36">
        <v>43553</v>
      </c>
      <c r="C262">
        <f t="shared" si="66"/>
        <v>2.8783273464123571E-3</v>
      </c>
      <c r="E262" s="42" t="s">
        <v>8</v>
      </c>
      <c r="F262" s="38" t="str" cm="1">
        <f t="array" ref="F262">IF(ISNUMBER(S262),INDEX($A$2:$A$3574,S262),"")</f>
        <v/>
      </c>
    </row>
    <row r="263" spans="1:6" ht="24" thickBot="1" x14ac:dyDescent="0.5">
      <c r="A263" s="28">
        <v>39105</v>
      </c>
      <c r="B263" s="36">
        <v>44177</v>
      </c>
      <c r="C263">
        <f t="shared" si="66"/>
        <v>1.4327371248823217E-2</v>
      </c>
      <c r="E263" s="43" t="s">
        <v>15</v>
      </c>
      <c r="F263" s="38" t="str" cm="1">
        <f t="array" ref="F263">IF(ISNUMBER(S263),INDEX($A$2:$A$3574,S263),"")</f>
        <v/>
      </c>
    </row>
    <row r="264" spans="1:6" ht="23.4" x14ac:dyDescent="0.45">
      <c r="A264" s="28">
        <v>39106</v>
      </c>
      <c r="B264" s="36">
        <v>44687</v>
      </c>
      <c r="C264">
        <f t="shared" si="66"/>
        <v>1.1544468841252264E-2</v>
      </c>
      <c r="E264" s="41" t="s">
        <v>9</v>
      </c>
      <c r="F264" s="37">
        <f t="shared" ref="F264" si="68">S264</f>
        <v>0</v>
      </c>
    </row>
    <row r="265" spans="1:6" ht="23.4" x14ac:dyDescent="0.45">
      <c r="A265" s="28">
        <v>39108</v>
      </c>
      <c r="B265" s="36">
        <v>44412</v>
      </c>
      <c r="C265">
        <f t="shared" si="66"/>
        <v>-6.1539150088392169E-3</v>
      </c>
      <c r="E265" s="42" t="s">
        <v>14</v>
      </c>
      <c r="F265" s="38" t="str" cm="1">
        <f t="array" ref="F265">IF(ISNUMBER(S265),INDEX($A$2:$A$3574,S265),"")</f>
        <v/>
      </c>
    </row>
    <row r="266" spans="1:6" ht="23.4" x14ac:dyDescent="0.45">
      <c r="A266" s="28">
        <v>39111</v>
      </c>
      <c r="B266" s="36">
        <v>43573</v>
      </c>
      <c r="C266">
        <f t="shared" si="66"/>
        <v>-1.8891290642168768E-2</v>
      </c>
      <c r="E266" s="42" t="s">
        <v>8</v>
      </c>
      <c r="F266" s="38" t="str" cm="1">
        <f t="array" ref="F266">IF(ISNUMBER(S266),INDEX($A$2:$A$3574,S266),"")</f>
        <v/>
      </c>
    </row>
    <row r="267" spans="1:6" ht="24" thickBot="1" x14ac:dyDescent="0.5">
      <c r="A267" s="28">
        <v>39112</v>
      </c>
      <c r="B267" s="36">
        <v>44044</v>
      </c>
      <c r="C267">
        <f t="shared" si="66"/>
        <v>1.0809446216693885E-2</v>
      </c>
      <c r="E267" s="43" t="s">
        <v>15</v>
      </c>
      <c r="F267" s="30"/>
    </row>
    <row r="268" spans="1:6" x14ac:dyDescent="0.3">
      <c r="A268" s="28">
        <v>39113</v>
      </c>
      <c r="B268" s="36">
        <v>44642</v>
      </c>
      <c r="C268">
        <f t="shared" si="66"/>
        <v>1.357733175914988E-2</v>
      </c>
    </row>
    <row r="269" spans="1:6" x14ac:dyDescent="0.3">
      <c r="A269" s="28">
        <v>39114</v>
      </c>
      <c r="B269" s="36">
        <v>44815</v>
      </c>
      <c r="C269">
        <f t="shared" si="66"/>
        <v>3.8752744052685806E-3</v>
      </c>
    </row>
    <row r="270" spans="1:6" x14ac:dyDescent="0.3">
      <c r="A270" s="28">
        <v>39115</v>
      </c>
      <c r="B270" s="36">
        <v>44998</v>
      </c>
      <c r="C270">
        <f t="shared" si="66"/>
        <v>4.083454200602521E-3</v>
      </c>
    </row>
    <row r="271" spans="1:6" x14ac:dyDescent="0.3">
      <c r="A271" s="28">
        <v>39118</v>
      </c>
      <c r="B271" s="36">
        <v>45286</v>
      </c>
      <c r="C271">
        <f t="shared" si="66"/>
        <v>6.4002844570869577E-3</v>
      </c>
    </row>
    <row r="272" spans="1:6" x14ac:dyDescent="0.3">
      <c r="A272" s="28">
        <v>39119</v>
      </c>
      <c r="B272" s="36">
        <v>45352</v>
      </c>
      <c r="C272">
        <f t="shared" si="66"/>
        <v>1.4574040542330025E-3</v>
      </c>
    </row>
    <row r="273" spans="1:3" x14ac:dyDescent="0.3">
      <c r="A273" s="28">
        <v>39120</v>
      </c>
      <c r="B273" s="36">
        <v>44588</v>
      </c>
      <c r="C273">
        <f t="shared" si="66"/>
        <v>-1.6846004586346774E-2</v>
      </c>
    </row>
    <row r="274" spans="1:3" x14ac:dyDescent="0.3">
      <c r="A274" s="28">
        <v>39121</v>
      </c>
      <c r="B274" s="36">
        <v>44892</v>
      </c>
      <c r="C274">
        <f t="shared" si="66"/>
        <v>6.8179779312820266E-3</v>
      </c>
    </row>
    <row r="275" spans="1:3" x14ac:dyDescent="0.3">
      <c r="A275" s="28">
        <v>39122</v>
      </c>
      <c r="B275" s="36">
        <v>44284</v>
      </c>
      <c r="C275">
        <f t="shared" si="66"/>
        <v>-1.3543615789004759E-2</v>
      </c>
    </row>
    <row r="276" spans="1:3" x14ac:dyDescent="0.3">
      <c r="A276" s="28">
        <v>39125</v>
      </c>
      <c r="B276" s="36">
        <v>43935</v>
      </c>
      <c r="C276">
        <f t="shared" si="66"/>
        <v>-7.8809502303315293E-3</v>
      </c>
    </row>
    <row r="277" spans="1:3" x14ac:dyDescent="0.3">
      <c r="A277" s="28">
        <v>39126</v>
      </c>
      <c r="B277" s="36">
        <v>45197</v>
      </c>
      <c r="C277">
        <f t="shared" si="66"/>
        <v>2.8724251735518402E-2</v>
      </c>
    </row>
    <row r="278" spans="1:3" x14ac:dyDescent="0.3">
      <c r="A278" s="28">
        <v>39127</v>
      </c>
      <c r="B278" s="36">
        <v>45996</v>
      </c>
      <c r="C278">
        <f t="shared" si="66"/>
        <v>1.7678164479943304E-2</v>
      </c>
    </row>
    <row r="279" spans="1:3" x14ac:dyDescent="0.3">
      <c r="A279" s="28">
        <v>39128</v>
      </c>
      <c r="B279" s="36">
        <v>45955</v>
      </c>
      <c r="C279">
        <f t="shared" si="66"/>
        <v>-8.9138185929216185E-4</v>
      </c>
    </row>
    <row r="280" spans="1:3" x14ac:dyDescent="0.3">
      <c r="A280" s="28">
        <v>39129</v>
      </c>
      <c r="B280" s="36">
        <v>45849</v>
      </c>
      <c r="C280">
        <f t="shared" si="66"/>
        <v>-2.306604286802294E-3</v>
      </c>
    </row>
    <row r="281" spans="1:3" x14ac:dyDescent="0.3">
      <c r="A281" s="28">
        <v>39134</v>
      </c>
      <c r="B281" s="36">
        <v>46090</v>
      </c>
      <c r="C281">
        <f t="shared" si="66"/>
        <v>5.2563850901874432E-3</v>
      </c>
    </row>
    <row r="282" spans="1:3" x14ac:dyDescent="0.3">
      <c r="A282" s="28">
        <v>39135</v>
      </c>
      <c r="B282" s="36">
        <v>46452</v>
      </c>
      <c r="C282">
        <f t="shared" si="66"/>
        <v>7.8541983076589883E-3</v>
      </c>
    </row>
    <row r="283" spans="1:3" x14ac:dyDescent="0.3">
      <c r="A283" s="28">
        <v>39136</v>
      </c>
      <c r="B283" s="36">
        <v>46016</v>
      </c>
      <c r="C283">
        <f t="shared" si="66"/>
        <v>-9.386032894170282E-3</v>
      </c>
    </row>
    <row r="284" spans="1:3" x14ac:dyDescent="0.3">
      <c r="A284" s="28">
        <v>39139</v>
      </c>
      <c r="B284" s="36">
        <v>46207</v>
      </c>
      <c r="C284">
        <f t="shared" si="66"/>
        <v>4.1507301808065833E-3</v>
      </c>
    </row>
    <row r="285" spans="1:3" x14ac:dyDescent="0.3">
      <c r="A285" s="28">
        <v>39140</v>
      </c>
      <c r="B285" s="36">
        <v>43145</v>
      </c>
      <c r="C285">
        <f t="shared" si="66"/>
        <v>-6.626701582011385E-2</v>
      </c>
    </row>
    <row r="286" spans="1:3" x14ac:dyDescent="0.3">
      <c r="A286" s="28">
        <v>39141</v>
      </c>
      <c r="B286" s="36">
        <v>43892</v>
      </c>
      <c r="C286">
        <f t="shared" si="66"/>
        <v>1.7313709583961057E-2</v>
      </c>
    </row>
    <row r="287" spans="1:3" x14ac:dyDescent="0.3">
      <c r="A287" s="28">
        <v>39142</v>
      </c>
      <c r="B287" s="36">
        <v>43517</v>
      </c>
      <c r="C287">
        <f t="shared" si="66"/>
        <v>-8.5436981682310842E-3</v>
      </c>
    </row>
    <row r="288" spans="1:3" x14ac:dyDescent="0.3">
      <c r="A288" s="28">
        <v>39143</v>
      </c>
      <c r="B288" s="36">
        <v>42370</v>
      </c>
      <c r="C288">
        <f t="shared" si="66"/>
        <v>-2.6357515453730773E-2</v>
      </c>
    </row>
    <row r="289" spans="1:3" x14ac:dyDescent="0.3">
      <c r="A289" s="28">
        <v>39146</v>
      </c>
      <c r="B289" s="36">
        <v>41179</v>
      </c>
      <c r="C289">
        <f t="shared" si="66"/>
        <v>-2.8109511446778424E-2</v>
      </c>
    </row>
    <row r="290" spans="1:3" x14ac:dyDescent="0.3">
      <c r="A290" s="28">
        <v>39147</v>
      </c>
      <c r="B290" s="36">
        <v>43218</v>
      </c>
      <c r="C290">
        <f t="shared" si="66"/>
        <v>4.9515529760314703E-2</v>
      </c>
    </row>
    <row r="291" spans="1:3" x14ac:dyDescent="0.3">
      <c r="A291" s="28">
        <v>39148</v>
      </c>
      <c r="B291" s="36">
        <v>42667</v>
      </c>
      <c r="C291">
        <f t="shared" si="66"/>
        <v>-1.2749317414040395E-2</v>
      </c>
    </row>
    <row r="292" spans="1:3" x14ac:dyDescent="0.3">
      <c r="A292" s="28">
        <v>39149</v>
      </c>
      <c r="B292" s="36">
        <v>43466</v>
      </c>
      <c r="C292">
        <f t="shared" si="66"/>
        <v>1.8726416199873475E-2</v>
      </c>
    </row>
    <row r="293" spans="1:3" x14ac:dyDescent="0.3">
      <c r="A293" s="28">
        <v>39150</v>
      </c>
      <c r="B293" s="36">
        <v>44133</v>
      </c>
      <c r="C293">
        <f t="shared" si="66"/>
        <v>1.5345327382321861E-2</v>
      </c>
    </row>
    <row r="294" spans="1:3" x14ac:dyDescent="0.3">
      <c r="A294" s="28">
        <v>39153</v>
      </c>
      <c r="B294" s="36">
        <v>44249</v>
      </c>
      <c r="C294">
        <f t="shared" si="66"/>
        <v>2.6284186436453805E-3</v>
      </c>
    </row>
    <row r="295" spans="1:3" x14ac:dyDescent="0.3">
      <c r="A295" s="28">
        <v>39154</v>
      </c>
      <c r="B295" s="36">
        <v>42749</v>
      </c>
      <c r="C295">
        <f t="shared" si="66"/>
        <v>-3.3899071165450101E-2</v>
      </c>
    </row>
    <row r="296" spans="1:3" x14ac:dyDescent="0.3">
      <c r="A296" s="28">
        <v>39155</v>
      </c>
      <c r="B296" s="36">
        <v>43288</v>
      </c>
      <c r="C296">
        <f t="shared" si="66"/>
        <v>1.2608482069756066E-2</v>
      </c>
    </row>
    <row r="297" spans="1:3" x14ac:dyDescent="0.3">
      <c r="A297" s="28">
        <v>39156</v>
      </c>
      <c r="B297" s="36">
        <v>43278</v>
      </c>
      <c r="C297">
        <f t="shared" si="66"/>
        <v>-2.3101090371469013E-4</v>
      </c>
    </row>
    <row r="298" spans="1:3" x14ac:dyDescent="0.3">
      <c r="A298" s="28">
        <v>39157</v>
      </c>
      <c r="B298" s="36">
        <v>42730</v>
      </c>
      <c r="C298">
        <f t="shared" si="66"/>
        <v>-1.2662322658163472E-2</v>
      </c>
    </row>
    <row r="299" spans="1:3" x14ac:dyDescent="0.3">
      <c r="A299" s="28">
        <v>39160</v>
      </c>
      <c r="B299" s="36">
        <v>43713</v>
      </c>
      <c r="C299">
        <f t="shared" si="66"/>
        <v>2.3004914579920488E-2</v>
      </c>
    </row>
    <row r="300" spans="1:3" x14ac:dyDescent="0.3">
      <c r="A300" s="28">
        <v>39161</v>
      </c>
      <c r="B300" s="36">
        <v>44351</v>
      </c>
      <c r="C300">
        <f t="shared" si="66"/>
        <v>1.4595200512433459E-2</v>
      </c>
    </row>
    <row r="301" spans="1:3" x14ac:dyDescent="0.3">
      <c r="A301" s="28">
        <v>39162</v>
      </c>
      <c r="B301" s="36">
        <v>45631</v>
      </c>
      <c r="C301">
        <f t="shared" si="66"/>
        <v>2.8860679578814441E-2</v>
      </c>
    </row>
    <row r="302" spans="1:3" x14ac:dyDescent="0.3">
      <c r="A302" s="28">
        <v>39163</v>
      </c>
      <c r="B302" s="36">
        <v>45424</v>
      </c>
      <c r="C302">
        <f t="shared" si="66"/>
        <v>-4.5363897350485516E-3</v>
      </c>
    </row>
    <row r="303" spans="1:3" x14ac:dyDescent="0.3">
      <c r="A303" s="28">
        <v>39164</v>
      </c>
      <c r="B303" s="36">
        <v>45533</v>
      </c>
      <c r="C303">
        <f t="shared" si="66"/>
        <v>2.3996125396266166E-3</v>
      </c>
    </row>
    <row r="304" spans="1:3" x14ac:dyDescent="0.3">
      <c r="A304" s="28">
        <v>39167</v>
      </c>
      <c r="B304" s="36">
        <v>45645</v>
      </c>
      <c r="C304">
        <f t="shared" si="66"/>
        <v>2.4597544637954272E-3</v>
      </c>
    </row>
    <row r="305" spans="1:3" x14ac:dyDescent="0.3">
      <c r="A305" s="28">
        <v>39168</v>
      </c>
      <c r="B305" s="36">
        <v>45207</v>
      </c>
      <c r="C305">
        <f t="shared" si="66"/>
        <v>-9.595793624712412E-3</v>
      </c>
    </row>
    <row r="306" spans="1:3" x14ac:dyDescent="0.3">
      <c r="A306" s="28">
        <v>39169</v>
      </c>
      <c r="B306" s="36">
        <v>44484</v>
      </c>
      <c r="C306">
        <f t="shared" si="66"/>
        <v>-1.5993098413962459E-2</v>
      </c>
    </row>
    <row r="307" spans="1:3" x14ac:dyDescent="0.3">
      <c r="A307" s="28">
        <v>39170</v>
      </c>
      <c r="B307" s="36">
        <v>45355</v>
      </c>
      <c r="C307">
        <f t="shared" si="66"/>
        <v>1.9580073734376313E-2</v>
      </c>
    </row>
    <row r="308" spans="1:3" x14ac:dyDescent="0.3">
      <c r="A308" s="28">
        <v>39171</v>
      </c>
      <c r="B308" s="36">
        <v>45805</v>
      </c>
      <c r="C308">
        <f t="shared" si="66"/>
        <v>9.9217285856023629E-3</v>
      </c>
    </row>
    <row r="309" spans="1:3" x14ac:dyDescent="0.3">
      <c r="A309" s="28">
        <v>39174</v>
      </c>
      <c r="B309" s="36">
        <v>45597</v>
      </c>
      <c r="C309">
        <f t="shared" si="66"/>
        <v>-4.5409889750027688E-3</v>
      </c>
    </row>
    <row r="310" spans="1:3" x14ac:dyDescent="0.3">
      <c r="A310" s="28">
        <v>39175</v>
      </c>
      <c r="B310" s="36">
        <v>46288</v>
      </c>
      <c r="C310">
        <f t="shared" si="66"/>
        <v>1.5154505778888883E-2</v>
      </c>
    </row>
    <row r="311" spans="1:3" x14ac:dyDescent="0.3">
      <c r="A311" s="28">
        <v>39176</v>
      </c>
      <c r="B311" s="36">
        <v>46554</v>
      </c>
      <c r="C311">
        <f t="shared" si="66"/>
        <v>5.7466297960595547E-3</v>
      </c>
    </row>
    <row r="312" spans="1:3" x14ac:dyDescent="0.3">
      <c r="A312" s="28">
        <v>39177</v>
      </c>
      <c r="B312" s="36">
        <v>46647</v>
      </c>
      <c r="C312">
        <f t="shared" si="66"/>
        <v>1.9976801134167221E-3</v>
      </c>
    </row>
    <row r="313" spans="1:3" x14ac:dyDescent="0.3">
      <c r="A313" s="28">
        <v>39181</v>
      </c>
      <c r="B313" s="36">
        <v>46855</v>
      </c>
      <c r="C313">
        <f t="shared" si="66"/>
        <v>4.4590220164211214E-3</v>
      </c>
    </row>
    <row r="314" spans="1:3" x14ac:dyDescent="0.3">
      <c r="A314" s="28">
        <v>39182</v>
      </c>
      <c r="B314" s="36">
        <v>47174</v>
      </c>
      <c r="C314">
        <f t="shared" si="66"/>
        <v>6.8082381816241266E-3</v>
      </c>
    </row>
    <row r="315" spans="1:3" x14ac:dyDescent="0.3">
      <c r="A315" s="28">
        <v>39183</v>
      </c>
      <c r="B315" s="36">
        <v>46939</v>
      </c>
      <c r="C315">
        <f t="shared" si="66"/>
        <v>-4.9815576376818216E-3</v>
      </c>
    </row>
    <row r="316" spans="1:3" x14ac:dyDescent="0.3">
      <c r="A316" s="28">
        <v>39184</v>
      </c>
      <c r="B316" s="36">
        <v>47347</v>
      </c>
      <c r="C316">
        <f t="shared" si="66"/>
        <v>8.6921323419757446E-3</v>
      </c>
    </row>
    <row r="317" spans="1:3" x14ac:dyDescent="0.3">
      <c r="A317" s="28">
        <v>39185</v>
      </c>
      <c r="B317" s="36">
        <v>47926</v>
      </c>
      <c r="C317">
        <f t="shared" si="66"/>
        <v>1.2228863497159237E-2</v>
      </c>
    </row>
    <row r="318" spans="1:3" x14ac:dyDescent="0.3">
      <c r="A318" s="28">
        <v>39188</v>
      </c>
      <c r="B318" s="36">
        <v>48921</v>
      </c>
      <c r="C318">
        <f t="shared" si="66"/>
        <v>2.0761173475775108E-2</v>
      </c>
    </row>
    <row r="319" spans="1:3" x14ac:dyDescent="0.3">
      <c r="A319" s="28">
        <v>39189</v>
      </c>
      <c r="B319" s="36">
        <v>48755</v>
      </c>
      <c r="C319">
        <f t="shared" si="66"/>
        <v>-3.393225813045575E-3</v>
      </c>
    </row>
    <row r="320" spans="1:3" x14ac:dyDescent="0.3">
      <c r="A320" s="28">
        <v>39190</v>
      </c>
      <c r="B320" s="36">
        <v>48710</v>
      </c>
      <c r="C320">
        <f t="shared" si="66"/>
        <v>-9.2298225822995406E-4</v>
      </c>
    </row>
    <row r="321" spans="1:3" x14ac:dyDescent="0.3">
      <c r="A321" s="28">
        <v>39191</v>
      </c>
      <c r="B321" s="36">
        <v>48762</v>
      </c>
      <c r="C321">
        <f t="shared" si="66"/>
        <v>1.0675425990556153E-3</v>
      </c>
    </row>
    <row r="322" spans="1:3" x14ac:dyDescent="0.3">
      <c r="A322" s="28">
        <v>39192</v>
      </c>
      <c r="B322" s="36">
        <v>49408</v>
      </c>
      <c r="C322">
        <f t="shared" si="66"/>
        <v>1.3248020999959031E-2</v>
      </c>
    </row>
    <row r="323" spans="1:3" x14ac:dyDescent="0.3">
      <c r="A323" s="28">
        <v>39195</v>
      </c>
      <c r="B323" s="36">
        <v>49162</v>
      </c>
      <c r="C323">
        <f t="shared" si="66"/>
        <v>-4.978950777202118E-3</v>
      </c>
    </row>
    <row r="324" spans="1:3" x14ac:dyDescent="0.3">
      <c r="A324" s="28">
        <v>39196</v>
      </c>
      <c r="B324" s="36">
        <v>49071</v>
      </c>
      <c r="C324">
        <f t="shared" ref="C324:C387" si="69">B324/B323-1</f>
        <v>-1.8510231479598183E-3</v>
      </c>
    </row>
    <row r="325" spans="1:3" x14ac:dyDescent="0.3">
      <c r="A325" s="28">
        <v>39197</v>
      </c>
      <c r="B325" s="36">
        <v>49676</v>
      </c>
      <c r="C325">
        <f t="shared" si="69"/>
        <v>1.2329074198610179E-2</v>
      </c>
    </row>
    <row r="326" spans="1:3" x14ac:dyDescent="0.3">
      <c r="A326" s="28">
        <v>39198</v>
      </c>
      <c r="B326" s="36">
        <v>49068</v>
      </c>
      <c r="C326">
        <f t="shared" si="69"/>
        <v>-1.2239310733553443E-2</v>
      </c>
    </row>
    <row r="327" spans="1:3" x14ac:dyDescent="0.3">
      <c r="A327" s="28">
        <v>39199</v>
      </c>
      <c r="B327" s="36">
        <v>49230</v>
      </c>
      <c r="C327">
        <f t="shared" si="69"/>
        <v>3.3015407190022383E-3</v>
      </c>
    </row>
    <row r="328" spans="1:3" x14ac:dyDescent="0.3">
      <c r="A328" s="28">
        <v>39202</v>
      </c>
      <c r="B328" s="36">
        <v>48956</v>
      </c>
      <c r="C328">
        <f t="shared" si="69"/>
        <v>-5.5657119642494868E-3</v>
      </c>
    </row>
    <row r="329" spans="1:3" x14ac:dyDescent="0.3">
      <c r="A329" s="28">
        <v>39204</v>
      </c>
      <c r="B329" s="36">
        <v>49472</v>
      </c>
      <c r="C329">
        <f t="shared" si="69"/>
        <v>1.0540076803660536E-2</v>
      </c>
    </row>
    <row r="330" spans="1:3" x14ac:dyDescent="0.3">
      <c r="A330" s="28">
        <v>39205</v>
      </c>
      <c r="B330" s="36">
        <v>50218</v>
      </c>
      <c r="C330">
        <f t="shared" si="69"/>
        <v>1.5079236739974133E-2</v>
      </c>
    </row>
    <row r="331" spans="1:3" x14ac:dyDescent="0.3">
      <c r="A331" s="28">
        <v>39206</v>
      </c>
      <c r="B331" s="36">
        <v>50598</v>
      </c>
      <c r="C331">
        <f t="shared" si="69"/>
        <v>7.5670078457923395E-3</v>
      </c>
    </row>
    <row r="332" spans="1:3" x14ac:dyDescent="0.3">
      <c r="A332" s="28">
        <v>39209</v>
      </c>
      <c r="B332" s="36">
        <v>50282</v>
      </c>
      <c r="C332">
        <f t="shared" si="69"/>
        <v>-6.2453061385825404E-3</v>
      </c>
    </row>
    <row r="333" spans="1:3" x14ac:dyDescent="0.3">
      <c r="A333" s="28">
        <v>39210</v>
      </c>
      <c r="B333" s="36">
        <v>50278</v>
      </c>
      <c r="C333">
        <f t="shared" si="69"/>
        <v>-7.9551330495974959E-5</v>
      </c>
    </row>
    <row r="334" spans="1:3" x14ac:dyDescent="0.3">
      <c r="A334" s="28">
        <v>39211</v>
      </c>
      <c r="B334" s="36">
        <v>51300</v>
      </c>
      <c r="C334">
        <f t="shared" si="69"/>
        <v>2.0326981980190117E-2</v>
      </c>
    </row>
    <row r="335" spans="1:3" x14ac:dyDescent="0.3">
      <c r="A335" s="28">
        <v>39212</v>
      </c>
      <c r="B335" s="36">
        <v>50235</v>
      </c>
      <c r="C335">
        <f t="shared" si="69"/>
        <v>-2.0760233918128645E-2</v>
      </c>
    </row>
    <row r="336" spans="1:3" x14ac:dyDescent="0.3">
      <c r="A336" s="28">
        <v>39213</v>
      </c>
      <c r="B336" s="36">
        <v>50902</v>
      </c>
      <c r="C336">
        <f t="shared" si="69"/>
        <v>1.3277595302080281E-2</v>
      </c>
    </row>
    <row r="337" spans="1:3" x14ac:dyDescent="0.3">
      <c r="A337" s="28">
        <v>39216</v>
      </c>
      <c r="B337" s="36">
        <v>50511</v>
      </c>
      <c r="C337">
        <f t="shared" si="69"/>
        <v>-7.6814270559113496E-3</v>
      </c>
    </row>
    <row r="338" spans="1:3" x14ac:dyDescent="0.3">
      <c r="A338" s="28">
        <v>39217</v>
      </c>
      <c r="B338" s="36">
        <v>50518</v>
      </c>
      <c r="C338">
        <f t="shared" si="69"/>
        <v>1.3858367484309575E-4</v>
      </c>
    </row>
    <row r="339" spans="1:3" x14ac:dyDescent="0.3">
      <c r="A339" s="28">
        <v>39218</v>
      </c>
      <c r="B339" s="36">
        <v>51738</v>
      </c>
      <c r="C339">
        <f t="shared" si="69"/>
        <v>2.4149807989231498E-2</v>
      </c>
    </row>
    <row r="340" spans="1:3" x14ac:dyDescent="0.3">
      <c r="A340" s="28">
        <v>39219</v>
      </c>
      <c r="B340" s="36">
        <v>51631</v>
      </c>
      <c r="C340">
        <f t="shared" si="69"/>
        <v>-2.068112412540124E-3</v>
      </c>
    </row>
    <row r="341" spans="1:3" x14ac:dyDescent="0.3">
      <c r="A341" s="28">
        <v>39220</v>
      </c>
      <c r="B341" s="36">
        <v>52078</v>
      </c>
      <c r="C341">
        <f t="shared" si="69"/>
        <v>8.6575894327052261E-3</v>
      </c>
    </row>
    <row r="342" spans="1:3" x14ac:dyDescent="0.3">
      <c r="A342" s="28">
        <v>39223</v>
      </c>
      <c r="B342" s="36">
        <v>52423</v>
      </c>
      <c r="C342">
        <f t="shared" si="69"/>
        <v>6.6246783670647069E-3</v>
      </c>
    </row>
    <row r="343" spans="1:3" x14ac:dyDescent="0.3">
      <c r="A343" s="28">
        <v>39224</v>
      </c>
      <c r="B343" s="36">
        <v>52208</v>
      </c>
      <c r="C343">
        <f t="shared" si="69"/>
        <v>-4.10125326669597E-3</v>
      </c>
    </row>
    <row r="344" spans="1:3" x14ac:dyDescent="0.3">
      <c r="A344" s="28">
        <v>39225</v>
      </c>
      <c r="B344" s="36">
        <v>51813</v>
      </c>
      <c r="C344">
        <f t="shared" si="69"/>
        <v>-7.5658902850137544E-3</v>
      </c>
    </row>
    <row r="345" spans="1:3" x14ac:dyDescent="0.3">
      <c r="A345" s="28">
        <v>39226</v>
      </c>
      <c r="B345" s="36">
        <v>50531</v>
      </c>
      <c r="C345">
        <f t="shared" si="69"/>
        <v>-2.4742825159708937E-2</v>
      </c>
    </row>
    <row r="346" spans="1:3" x14ac:dyDescent="0.3">
      <c r="A346" s="28">
        <v>39227</v>
      </c>
      <c r="B346" s="36">
        <v>51618</v>
      </c>
      <c r="C346">
        <f t="shared" si="69"/>
        <v>2.1511547366962924E-2</v>
      </c>
    </row>
    <row r="347" spans="1:3" x14ac:dyDescent="0.3">
      <c r="A347" s="28">
        <v>39230</v>
      </c>
      <c r="B347" s="36">
        <v>52120</v>
      </c>
      <c r="C347">
        <f t="shared" si="69"/>
        <v>9.7252896276491807E-3</v>
      </c>
    </row>
    <row r="348" spans="1:3" x14ac:dyDescent="0.3">
      <c r="A348" s="28">
        <v>39231</v>
      </c>
      <c r="B348" s="36">
        <v>51713</v>
      </c>
      <c r="C348">
        <f t="shared" si="69"/>
        <v>-7.8089025326170125E-3</v>
      </c>
    </row>
    <row r="349" spans="1:3" x14ac:dyDescent="0.3">
      <c r="A349" s="28">
        <v>39232</v>
      </c>
      <c r="B349" s="36">
        <v>52528</v>
      </c>
      <c r="C349">
        <f t="shared" si="69"/>
        <v>1.576006033299171E-2</v>
      </c>
    </row>
    <row r="350" spans="1:3" x14ac:dyDescent="0.3">
      <c r="A350" s="28">
        <v>39233</v>
      </c>
      <c r="B350" s="36">
        <v>52268</v>
      </c>
      <c r="C350">
        <f t="shared" si="69"/>
        <v>-4.9497410904660866E-3</v>
      </c>
    </row>
    <row r="351" spans="1:3" x14ac:dyDescent="0.3">
      <c r="A351" s="28">
        <v>39234</v>
      </c>
      <c r="B351" s="36">
        <v>53423</v>
      </c>
      <c r="C351">
        <f t="shared" si="69"/>
        <v>2.2097650570138461E-2</v>
      </c>
    </row>
    <row r="352" spans="1:3" x14ac:dyDescent="0.3">
      <c r="A352" s="28">
        <v>39237</v>
      </c>
      <c r="B352" s="36">
        <v>53243</v>
      </c>
      <c r="C352">
        <f t="shared" si="69"/>
        <v>-3.3693353050184838E-3</v>
      </c>
    </row>
    <row r="353" spans="1:3" x14ac:dyDescent="0.3">
      <c r="A353" s="28">
        <v>39238</v>
      </c>
      <c r="B353" s="36">
        <v>53162</v>
      </c>
      <c r="C353">
        <f t="shared" si="69"/>
        <v>-1.5213267471780867E-3</v>
      </c>
    </row>
    <row r="354" spans="1:3" x14ac:dyDescent="0.3">
      <c r="A354" s="28">
        <v>39239</v>
      </c>
      <c r="B354" s="36">
        <v>52049</v>
      </c>
      <c r="C354">
        <f t="shared" si="69"/>
        <v>-2.0936006922237738E-2</v>
      </c>
    </row>
    <row r="355" spans="1:3" x14ac:dyDescent="0.3">
      <c r="A355" s="28">
        <v>39241</v>
      </c>
      <c r="B355" s="36">
        <v>52330</v>
      </c>
      <c r="C355">
        <f t="shared" si="69"/>
        <v>5.3987588618418236E-3</v>
      </c>
    </row>
    <row r="356" spans="1:3" x14ac:dyDescent="0.3">
      <c r="A356" s="28">
        <v>39244</v>
      </c>
      <c r="B356" s="36">
        <v>52777</v>
      </c>
      <c r="C356">
        <f t="shared" si="69"/>
        <v>8.5419453468373874E-3</v>
      </c>
    </row>
    <row r="357" spans="1:3" x14ac:dyDescent="0.3">
      <c r="A357" s="28">
        <v>39245</v>
      </c>
      <c r="B357" s="36">
        <v>51797</v>
      </c>
      <c r="C357">
        <f t="shared" si="69"/>
        <v>-1.8568694696553423E-2</v>
      </c>
    </row>
    <row r="358" spans="1:3" x14ac:dyDescent="0.3">
      <c r="A358" s="28">
        <v>39246</v>
      </c>
      <c r="B358" s="36">
        <v>52994</v>
      </c>
      <c r="C358">
        <f t="shared" si="69"/>
        <v>2.3109446493040142E-2</v>
      </c>
    </row>
    <row r="359" spans="1:3" x14ac:dyDescent="0.3">
      <c r="A359" s="28">
        <v>39247</v>
      </c>
      <c r="B359" s="36">
        <v>53713</v>
      </c>
      <c r="C359">
        <f t="shared" si="69"/>
        <v>1.356757368758732E-2</v>
      </c>
    </row>
    <row r="360" spans="1:3" x14ac:dyDescent="0.3">
      <c r="A360" s="28">
        <v>39248</v>
      </c>
      <c r="B360" s="36">
        <v>54519</v>
      </c>
      <c r="C360">
        <f t="shared" si="69"/>
        <v>1.5005678327406846E-2</v>
      </c>
    </row>
    <row r="361" spans="1:3" x14ac:dyDescent="0.3">
      <c r="A361" s="28">
        <v>39251</v>
      </c>
      <c r="B361" s="36">
        <v>54730</v>
      </c>
      <c r="C361">
        <f t="shared" si="69"/>
        <v>3.8702103853702763E-3</v>
      </c>
    </row>
    <row r="362" spans="1:3" x14ac:dyDescent="0.3">
      <c r="A362" s="28">
        <v>39252</v>
      </c>
      <c r="B362" s="36">
        <v>54644</v>
      </c>
      <c r="C362">
        <f t="shared" si="69"/>
        <v>-1.5713502649369326E-3</v>
      </c>
    </row>
    <row r="363" spans="1:3" x14ac:dyDescent="0.3">
      <c r="A363" s="28">
        <v>39253</v>
      </c>
      <c r="B363" s="36">
        <v>54029</v>
      </c>
      <c r="C363">
        <f t="shared" si="69"/>
        <v>-1.1254666569065264E-2</v>
      </c>
    </row>
    <row r="364" spans="1:3" x14ac:dyDescent="0.3">
      <c r="A364" s="28">
        <v>39254</v>
      </c>
      <c r="B364" s="36">
        <v>54657</v>
      </c>
      <c r="C364">
        <f t="shared" si="69"/>
        <v>1.1623387440078403E-2</v>
      </c>
    </row>
    <row r="365" spans="1:3" x14ac:dyDescent="0.3">
      <c r="A365" s="28">
        <v>39255</v>
      </c>
      <c r="B365" s="36">
        <v>54267</v>
      </c>
      <c r="C365">
        <f t="shared" si="69"/>
        <v>-7.1354080904549866E-3</v>
      </c>
    </row>
    <row r="366" spans="1:3" x14ac:dyDescent="0.3">
      <c r="A366" s="28">
        <v>39258</v>
      </c>
      <c r="B366" s="36">
        <v>54042</v>
      </c>
      <c r="C366">
        <f t="shared" si="69"/>
        <v>-4.1461661783404047E-3</v>
      </c>
    </row>
    <row r="367" spans="1:3" x14ac:dyDescent="0.3">
      <c r="A367" s="28">
        <v>39259</v>
      </c>
      <c r="B367" s="36">
        <v>53852</v>
      </c>
      <c r="C367">
        <f t="shared" si="69"/>
        <v>-3.5157840198364321E-3</v>
      </c>
    </row>
    <row r="368" spans="1:3" x14ac:dyDescent="0.3">
      <c r="A368" s="28">
        <v>39260</v>
      </c>
      <c r="B368" s="36">
        <v>54143</v>
      </c>
      <c r="C368">
        <f t="shared" si="69"/>
        <v>5.4036990269628049E-3</v>
      </c>
    </row>
    <row r="369" spans="1:3" x14ac:dyDescent="0.3">
      <c r="A369" s="28">
        <v>39261</v>
      </c>
      <c r="B369" s="36">
        <v>54147</v>
      </c>
      <c r="C369">
        <f t="shared" si="69"/>
        <v>7.3878433038521152E-5</v>
      </c>
    </row>
    <row r="370" spans="1:3" x14ac:dyDescent="0.3">
      <c r="A370" s="28">
        <v>39262</v>
      </c>
      <c r="B370" s="36">
        <v>54392</v>
      </c>
      <c r="C370">
        <f t="shared" si="69"/>
        <v>4.5247197443996079E-3</v>
      </c>
    </row>
    <row r="371" spans="1:3" x14ac:dyDescent="0.3">
      <c r="A371" s="28">
        <v>39265</v>
      </c>
      <c r="B371" s="36">
        <v>55371</v>
      </c>
      <c r="C371">
        <f t="shared" si="69"/>
        <v>1.7998970436828854E-2</v>
      </c>
    </row>
    <row r="372" spans="1:3" x14ac:dyDescent="0.3">
      <c r="A372" s="28">
        <v>39266</v>
      </c>
      <c r="B372" s="36">
        <v>55700</v>
      </c>
      <c r="C372">
        <f t="shared" si="69"/>
        <v>5.9417384551478936E-3</v>
      </c>
    </row>
    <row r="373" spans="1:3" x14ac:dyDescent="0.3">
      <c r="A373" s="28">
        <v>39267</v>
      </c>
      <c r="B373" s="36">
        <v>55696</v>
      </c>
      <c r="C373">
        <f t="shared" si="69"/>
        <v>-7.1813285457800191E-5</v>
      </c>
    </row>
    <row r="374" spans="1:3" x14ac:dyDescent="0.3">
      <c r="A374" s="28">
        <v>39268</v>
      </c>
      <c r="B374" s="36">
        <v>55932</v>
      </c>
      <c r="C374">
        <f t="shared" si="69"/>
        <v>4.237288135593209E-3</v>
      </c>
    </row>
    <row r="375" spans="1:3" x14ac:dyDescent="0.3">
      <c r="A375" s="28">
        <v>39269</v>
      </c>
      <c r="B375" s="36">
        <v>56444</v>
      </c>
      <c r="C375">
        <f t="shared" si="69"/>
        <v>9.153972681112732E-3</v>
      </c>
    </row>
    <row r="376" spans="1:3" x14ac:dyDescent="0.3">
      <c r="A376" s="28">
        <v>39273</v>
      </c>
      <c r="B376" s="36">
        <v>55883</v>
      </c>
      <c r="C376">
        <f t="shared" si="69"/>
        <v>-9.9390546382255307E-3</v>
      </c>
    </row>
    <row r="377" spans="1:3" x14ac:dyDescent="0.3">
      <c r="A377" s="28">
        <v>39274</v>
      </c>
      <c r="B377" s="36">
        <v>56356</v>
      </c>
      <c r="C377">
        <f t="shared" si="69"/>
        <v>8.4641125208024803E-3</v>
      </c>
    </row>
    <row r="378" spans="1:3" x14ac:dyDescent="0.3">
      <c r="A378" s="28">
        <v>39275</v>
      </c>
      <c r="B378" s="36">
        <v>57613</v>
      </c>
      <c r="C378">
        <f t="shared" si="69"/>
        <v>2.230463482149192E-2</v>
      </c>
    </row>
    <row r="379" spans="1:3" x14ac:dyDescent="0.3">
      <c r="A379" s="28">
        <v>39276</v>
      </c>
      <c r="B379" s="36">
        <v>57644</v>
      </c>
      <c r="C379">
        <f t="shared" si="69"/>
        <v>5.3807300435670946E-4</v>
      </c>
    </row>
    <row r="380" spans="1:3" x14ac:dyDescent="0.3">
      <c r="A380" s="28">
        <v>39279</v>
      </c>
      <c r="B380" s="36">
        <v>57374</v>
      </c>
      <c r="C380">
        <f t="shared" si="69"/>
        <v>-4.6839220040246765E-3</v>
      </c>
    </row>
    <row r="381" spans="1:3" x14ac:dyDescent="0.3">
      <c r="A381" s="28">
        <v>39280</v>
      </c>
      <c r="B381" s="36">
        <v>57660</v>
      </c>
      <c r="C381">
        <f t="shared" si="69"/>
        <v>4.9848363370168514E-3</v>
      </c>
    </row>
    <row r="382" spans="1:3" x14ac:dyDescent="0.3">
      <c r="A382" s="28">
        <v>39281</v>
      </c>
      <c r="B382" s="36">
        <v>57556</v>
      </c>
      <c r="C382">
        <f t="shared" si="69"/>
        <v>-1.8036767256329744E-3</v>
      </c>
    </row>
    <row r="383" spans="1:3" x14ac:dyDescent="0.3">
      <c r="A383" s="28">
        <v>39282</v>
      </c>
      <c r="B383" s="36">
        <v>58125</v>
      </c>
      <c r="C383">
        <f t="shared" si="69"/>
        <v>9.8860240461464688E-3</v>
      </c>
    </row>
    <row r="384" spans="1:3" x14ac:dyDescent="0.3">
      <c r="A384" s="28">
        <v>39283</v>
      </c>
      <c r="B384" s="36">
        <v>57443</v>
      </c>
      <c r="C384">
        <f t="shared" si="69"/>
        <v>-1.1733333333333373E-2</v>
      </c>
    </row>
    <row r="385" spans="1:3" x14ac:dyDescent="0.3">
      <c r="A385" s="28">
        <v>39286</v>
      </c>
      <c r="B385" s="36">
        <v>58037</v>
      </c>
      <c r="C385">
        <f t="shared" si="69"/>
        <v>1.0340685549153017E-2</v>
      </c>
    </row>
    <row r="386" spans="1:3" x14ac:dyDescent="0.3">
      <c r="A386" s="28">
        <v>39287</v>
      </c>
      <c r="B386" s="36">
        <v>55795</v>
      </c>
      <c r="C386">
        <f t="shared" si="69"/>
        <v>-3.8630528800592701E-2</v>
      </c>
    </row>
    <row r="387" spans="1:3" x14ac:dyDescent="0.3">
      <c r="A387" s="28">
        <v>39288</v>
      </c>
      <c r="B387" s="36">
        <v>56001</v>
      </c>
      <c r="C387">
        <f t="shared" si="69"/>
        <v>3.6920871045793557E-3</v>
      </c>
    </row>
    <row r="388" spans="1:3" x14ac:dyDescent="0.3">
      <c r="A388" s="28">
        <v>39289</v>
      </c>
      <c r="B388" s="36">
        <v>53893</v>
      </c>
      <c r="C388">
        <f t="shared" ref="C388:C451" si="70">B388/B387-1</f>
        <v>-3.7642184960982816E-2</v>
      </c>
    </row>
    <row r="389" spans="1:3" x14ac:dyDescent="0.3">
      <c r="A389" s="28">
        <v>39290</v>
      </c>
      <c r="B389" s="36">
        <v>52922</v>
      </c>
      <c r="C389">
        <f t="shared" si="70"/>
        <v>-1.8017182194348114E-2</v>
      </c>
    </row>
    <row r="390" spans="1:3" x14ac:dyDescent="0.3">
      <c r="A390" s="28">
        <v>39293</v>
      </c>
      <c r="B390" s="36">
        <v>54573</v>
      </c>
      <c r="C390">
        <f t="shared" si="70"/>
        <v>3.1196855749971553E-2</v>
      </c>
    </row>
    <row r="391" spans="1:3" x14ac:dyDescent="0.3">
      <c r="A391" s="28">
        <v>39294</v>
      </c>
      <c r="B391" s="36">
        <v>54183</v>
      </c>
      <c r="C391">
        <f t="shared" si="70"/>
        <v>-7.1463910725083624E-3</v>
      </c>
    </row>
    <row r="392" spans="1:3" x14ac:dyDescent="0.3">
      <c r="A392" s="28">
        <v>39295</v>
      </c>
      <c r="B392" s="36">
        <v>54234</v>
      </c>
      <c r="C392">
        <f t="shared" si="70"/>
        <v>9.4125463706329349E-4</v>
      </c>
    </row>
    <row r="393" spans="1:3" x14ac:dyDescent="0.3">
      <c r="A393" s="28">
        <v>39296</v>
      </c>
      <c r="B393" s="36">
        <v>54691</v>
      </c>
      <c r="C393">
        <f t="shared" si="70"/>
        <v>8.4264483534315371E-3</v>
      </c>
    </row>
    <row r="394" spans="1:3" x14ac:dyDescent="0.3">
      <c r="A394" s="28">
        <v>39297</v>
      </c>
      <c r="B394" s="36">
        <v>52846</v>
      </c>
      <c r="C394">
        <f t="shared" si="70"/>
        <v>-3.3734983818178521E-2</v>
      </c>
    </row>
    <row r="395" spans="1:3" x14ac:dyDescent="0.3">
      <c r="A395" s="28">
        <v>39300</v>
      </c>
      <c r="B395" s="36">
        <v>53091</v>
      </c>
      <c r="C395">
        <f t="shared" si="70"/>
        <v>4.6361124777656304E-3</v>
      </c>
    </row>
    <row r="396" spans="1:3" x14ac:dyDescent="0.3">
      <c r="A396" s="28">
        <v>39301</v>
      </c>
      <c r="B396" s="36">
        <v>53802</v>
      </c>
      <c r="C396">
        <f t="shared" si="70"/>
        <v>1.3392100355992476E-2</v>
      </c>
    </row>
    <row r="397" spans="1:3" x14ac:dyDescent="0.3">
      <c r="A397" s="28">
        <v>39302</v>
      </c>
      <c r="B397" s="36">
        <v>55241</v>
      </c>
      <c r="C397">
        <f t="shared" si="70"/>
        <v>2.6746217612728218E-2</v>
      </c>
    </row>
    <row r="398" spans="1:3" x14ac:dyDescent="0.3">
      <c r="A398" s="28">
        <v>39303</v>
      </c>
      <c r="B398" s="36">
        <v>53431</v>
      </c>
      <c r="C398">
        <f t="shared" si="70"/>
        <v>-3.2765518364982538E-2</v>
      </c>
    </row>
    <row r="399" spans="1:3" x14ac:dyDescent="0.3">
      <c r="A399" s="28">
        <v>39304</v>
      </c>
      <c r="B399" s="36">
        <v>52638</v>
      </c>
      <c r="C399">
        <f t="shared" si="70"/>
        <v>-1.4841571372424256E-2</v>
      </c>
    </row>
    <row r="400" spans="1:3" x14ac:dyDescent="0.3">
      <c r="A400" s="28">
        <v>39307</v>
      </c>
      <c r="B400" s="36">
        <v>52434</v>
      </c>
      <c r="C400">
        <f t="shared" si="70"/>
        <v>-3.8755271856832918E-3</v>
      </c>
    </row>
    <row r="401" spans="1:3" x14ac:dyDescent="0.3">
      <c r="A401" s="28">
        <v>39308</v>
      </c>
      <c r="B401" s="36">
        <v>50912</v>
      </c>
      <c r="C401">
        <f t="shared" si="70"/>
        <v>-2.9026967235000201E-2</v>
      </c>
    </row>
    <row r="402" spans="1:3" x14ac:dyDescent="0.3">
      <c r="A402" s="28">
        <v>39309</v>
      </c>
      <c r="B402" s="36">
        <v>49285</v>
      </c>
      <c r="C402">
        <f t="shared" si="70"/>
        <v>-3.1957102451288466E-2</v>
      </c>
    </row>
    <row r="403" spans="1:3" x14ac:dyDescent="0.3">
      <c r="A403" s="28">
        <v>39310</v>
      </c>
      <c r="B403" s="36">
        <v>48016</v>
      </c>
      <c r="C403">
        <f t="shared" si="70"/>
        <v>-2.5748199249264525E-2</v>
      </c>
    </row>
    <row r="404" spans="1:3" x14ac:dyDescent="0.3">
      <c r="A404" s="28">
        <v>39311</v>
      </c>
      <c r="B404" s="36">
        <v>48559</v>
      </c>
      <c r="C404">
        <f t="shared" si="70"/>
        <v>1.1308730423192248E-2</v>
      </c>
    </row>
    <row r="405" spans="1:3" x14ac:dyDescent="0.3">
      <c r="A405" s="28">
        <v>39314</v>
      </c>
      <c r="B405" s="36">
        <v>49206</v>
      </c>
      <c r="C405">
        <f t="shared" si="70"/>
        <v>1.3323997611153438E-2</v>
      </c>
    </row>
    <row r="406" spans="1:3" x14ac:dyDescent="0.3">
      <c r="A406" s="28">
        <v>39315</v>
      </c>
      <c r="B406" s="36">
        <v>49815</v>
      </c>
      <c r="C406">
        <f t="shared" si="70"/>
        <v>1.2376539446409041E-2</v>
      </c>
    </row>
    <row r="407" spans="1:3" x14ac:dyDescent="0.3">
      <c r="A407" s="28">
        <v>39316</v>
      </c>
      <c r="B407" s="36">
        <v>51745</v>
      </c>
      <c r="C407">
        <f t="shared" si="70"/>
        <v>3.8743350396466925E-2</v>
      </c>
    </row>
    <row r="408" spans="1:3" x14ac:dyDescent="0.3">
      <c r="A408" s="28">
        <v>39317</v>
      </c>
      <c r="B408" s="36">
        <v>51848</v>
      </c>
      <c r="C408">
        <f t="shared" si="70"/>
        <v>1.9905304860372564E-3</v>
      </c>
    </row>
    <row r="409" spans="1:3" x14ac:dyDescent="0.3">
      <c r="A409" s="28">
        <v>39318</v>
      </c>
      <c r="B409" s="36">
        <v>52998</v>
      </c>
      <c r="C409">
        <f t="shared" si="70"/>
        <v>2.2180219101990417E-2</v>
      </c>
    </row>
    <row r="410" spans="1:3" x14ac:dyDescent="0.3">
      <c r="A410" s="28">
        <v>39321</v>
      </c>
      <c r="B410" s="36">
        <v>53078</v>
      </c>
      <c r="C410">
        <f t="shared" si="70"/>
        <v>1.5094909241857302E-3</v>
      </c>
    </row>
    <row r="411" spans="1:3" x14ac:dyDescent="0.3">
      <c r="A411" s="28">
        <v>39322</v>
      </c>
      <c r="B411" s="36">
        <v>51645</v>
      </c>
      <c r="C411">
        <f t="shared" si="70"/>
        <v>-2.6998002939070842E-2</v>
      </c>
    </row>
    <row r="412" spans="1:3" x14ac:dyDescent="0.3">
      <c r="A412" s="28">
        <v>39323</v>
      </c>
      <c r="B412" s="36">
        <v>52735</v>
      </c>
      <c r="C412">
        <f t="shared" si="70"/>
        <v>2.1105624939490752E-2</v>
      </c>
    </row>
    <row r="413" spans="1:3" x14ac:dyDescent="0.3">
      <c r="A413" s="28">
        <v>39324</v>
      </c>
      <c r="B413" s="36">
        <v>52858</v>
      </c>
      <c r="C413">
        <f t="shared" si="70"/>
        <v>2.3324168009861701E-3</v>
      </c>
    </row>
    <row r="414" spans="1:3" x14ac:dyDescent="0.3">
      <c r="A414" s="28">
        <v>39325</v>
      </c>
      <c r="B414" s="36">
        <v>54637</v>
      </c>
      <c r="C414">
        <f t="shared" si="70"/>
        <v>3.3656210980362422E-2</v>
      </c>
    </row>
    <row r="415" spans="1:3" x14ac:dyDescent="0.3">
      <c r="A415" s="28">
        <v>39328</v>
      </c>
      <c r="B415" s="36">
        <v>54833</v>
      </c>
      <c r="C415">
        <f t="shared" si="70"/>
        <v>3.587312626974315E-3</v>
      </c>
    </row>
    <row r="416" spans="1:3" x14ac:dyDescent="0.3">
      <c r="A416" s="28">
        <v>39329</v>
      </c>
      <c r="B416" s="36">
        <v>55250</v>
      </c>
      <c r="C416">
        <f t="shared" si="70"/>
        <v>7.6049094523371608E-3</v>
      </c>
    </row>
    <row r="417" spans="1:3" x14ac:dyDescent="0.3">
      <c r="A417" s="28">
        <v>39330</v>
      </c>
      <c r="B417" s="36">
        <v>54408</v>
      </c>
      <c r="C417">
        <f t="shared" si="70"/>
        <v>-1.5239819004524868E-2</v>
      </c>
    </row>
    <row r="418" spans="1:3" x14ac:dyDescent="0.3">
      <c r="A418" s="28">
        <v>39331</v>
      </c>
      <c r="B418" s="36">
        <v>54569</v>
      </c>
      <c r="C418">
        <f t="shared" si="70"/>
        <v>2.9591236582855451E-3</v>
      </c>
    </row>
    <row r="419" spans="1:3" x14ac:dyDescent="0.3">
      <c r="A419" s="28">
        <v>39335</v>
      </c>
      <c r="B419" s="36">
        <v>52653</v>
      </c>
      <c r="C419">
        <f t="shared" si="70"/>
        <v>-3.5111510198097773E-2</v>
      </c>
    </row>
    <row r="420" spans="1:3" x14ac:dyDescent="0.3">
      <c r="A420" s="28">
        <v>39336</v>
      </c>
      <c r="B420" s="36">
        <v>53921</v>
      </c>
      <c r="C420">
        <f t="shared" si="70"/>
        <v>2.4082198545192002E-2</v>
      </c>
    </row>
    <row r="421" spans="1:3" x14ac:dyDescent="0.3">
      <c r="A421" s="28">
        <v>39337</v>
      </c>
      <c r="B421" s="36">
        <v>53883</v>
      </c>
      <c r="C421">
        <f t="shared" si="70"/>
        <v>-7.0473470447507403E-4</v>
      </c>
    </row>
    <row r="422" spans="1:3" x14ac:dyDescent="0.3">
      <c r="A422" s="28">
        <v>39338</v>
      </c>
      <c r="B422" s="36">
        <v>54908</v>
      </c>
      <c r="C422">
        <f t="shared" si="70"/>
        <v>1.9022697325687066E-2</v>
      </c>
    </row>
    <row r="423" spans="1:3" x14ac:dyDescent="0.3">
      <c r="A423" s="28">
        <v>39339</v>
      </c>
      <c r="B423" s="36">
        <v>54671</v>
      </c>
      <c r="C423">
        <f t="shared" si="70"/>
        <v>-4.316310920084554E-3</v>
      </c>
    </row>
    <row r="424" spans="1:3" x14ac:dyDescent="0.3">
      <c r="A424" s="28">
        <v>39342</v>
      </c>
      <c r="B424" s="36">
        <v>54341</v>
      </c>
      <c r="C424">
        <f t="shared" si="70"/>
        <v>-6.0361068939657203E-3</v>
      </c>
    </row>
    <row r="425" spans="1:3" x14ac:dyDescent="0.3">
      <c r="A425" s="28">
        <v>39343</v>
      </c>
      <c r="B425" s="36">
        <v>56666</v>
      </c>
      <c r="C425">
        <f t="shared" si="70"/>
        <v>4.2785373842954666E-2</v>
      </c>
    </row>
    <row r="426" spans="1:3" x14ac:dyDescent="0.3">
      <c r="A426" s="28">
        <v>39344</v>
      </c>
      <c r="B426" s="36">
        <v>57264</v>
      </c>
      <c r="C426">
        <f t="shared" si="70"/>
        <v>1.0553065330180411E-2</v>
      </c>
    </row>
    <row r="427" spans="1:3" x14ac:dyDescent="0.3">
      <c r="A427" s="28">
        <v>39345</v>
      </c>
      <c r="B427" s="36">
        <v>56906</v>
      </c>
      <c r="C427">
        <f t="shared" si="70"/>
        <v>-6.2517462978485261E-3</v>
      </c>
    </row>
    <row r="428" spans="1:3" x14ac:dyDescent="0.3">
      <c r="A428" s="28">
        <v>39346</v>
      </c>
      <c r="B428" s="36">
        <v>57799</v>
      </c>
      <c r="C428">
        <f t="shared" si="70"/>
        <v>1.5692545601518226E-2</v>
      </c>
    </row>
    <row r="429" spans="1:3" x14ac:dyDescent="0.3">
      <c r="A429" s="28">
        <v>39349</v>
      </c>
      <c r="B429" s="36">
        <v>58719</v>
      </c>
      <c r="C429">
        <f t="shared" si="70"/>
        <v>1.5917230401910176E-2</v>
      </c>
    </row>
    <row r="430" spans="1:3" x14ac:dyDescent="0.3">
      <c r="A430" s="28">
        <v>39350</v>
      </c>
      <c r="B430" s="36">
        <v>58858</v>
      </c>
      <c r="C430">
        <f t="shared" si="70"/>
        <v>2.3672065259967567E-3</v>
      </c>
    </row>
    <row r="431" spans="1:3" x14ac:dyDescent="0.3">
      <c r="A431" s="28">
        <v>39351</v>
      </c>
      <c r="B431" s="36">
        <v>59715</v>
      </c>
      <c r="C431">
        <f t="shared" si="70"/>
        <v>1.4560467566006263E-2</v>
      </c>
    </row>
    <row r="432" spans="1:3" x14ac:dyDescent="0.3">
      <c r="A432" s="28">
        <v>39352</v>
      </c>
      <c r="B432" s="36">
        <v>61052</v>
      </c>
      <c r="C432">
        <f t="shared" si="70"/>
        <v>2.2389684333919524E-2</v>
      </c>
    </row>
    <row r="433" spans="1:3" x14ac:dyDescent="0.3">
      <c r="A433" s="28">
        <v>39353</v>
      </c>
      <c r="B433" s="36">
        <v>60465</v>
      </c>
      <c r="C433">
        <f t="shared" si="70"/>
        <v>-9.6147546353927416E-3</v>
      </c>
    </row>
    <row r="434" spans="1:3" x14ac:dyDescent="0.3">
      <c r="A434" s="28">
        <v>39356</v>
      </c>
      <c r="B434" s="36">
        <v>62340</v>
      </c>
      <c r="C434">
        <f t="shared" si="70"/>
        <v>3.1009675018605742E-2</v>
      </c>
    </row>
    <row r="435" spans="1:3" x14ac:dyDescent="0.3">
      <c r="A435" s="28">
        <v>39357</v>
      </c>
      <c r="B435" s="36">
        <v>62017</v>
      </c>
      <c r="C435">
        <f t="shared" si="70"/>
        <v>-5.1812640359319984E-3</v>
      </c>
    </row>
    <row r="436" spans="1:3" x14ac:dyDescent="0.3">
      <c r="A436" s="28">
        <v>39358</v>
      </c>
      <c r="B436" s="36">
        <v>60099</v>
      </c>
      <c r="C436">
        <f t="shared" si="70"/>
        <v>-3.0927003886031201E-2</v>
      </c>
    </row>
    <row r="437" spans="1:3" x14ac:dyDescent="0.3">
      <c r="A437" s="28">
        <v>39359</v>
      </c>
      <c r="B437" s="36">
        <v>60407</v>
      </c>
      <c r="C437">
        <f t="shared" si="70"/>
        <v>5.1248772858116798E-3</v>
      </c>
    </row>
    <row r="438" spans="1:3" x14ac:dyDescent="0.3">
      <c r="A438" s="28">
        <v>39360</v>
      </c>
      <c r="B438" s="36">
        <v>62319</v>
      </c>
      <c r="C438">
        <f t="shared" si="70"/>
        <v>3.1651960865462625E-2</v>
      </c>
    </row>
    <row r="439" spans="1:3" x14ac:dyDescent="0.3">
      <c r="A439" s="28">
        <v>39363</v>
      </c>
      <c r="B439" s="36">
        <v>62661</v>
      </c>
      <c r="C439">
        <f t="shared" si="70"/>
        <v>5.4878929379482688E-3</v>
      </c>
    </row>
    <row r="440" spans="1:3" x14ac:dyDescent="0.3">
      <c r="A440" s="28">
        <v>39364</v>
      </c>
      <c r="B440" s="36">
        <v>63549</v>
      </c>
      <c r="C440">
        <f t="shared" si="70"/>
        <v>1.4171494230861281E-2</v>
      </c>
    </row>
    <row r="441" spans="1:3" x14ac:dyDescent="0.3">
      <c r="A441" s="28">
        <v>39365</v>
      </c>
      <c r="B441" s="36">
        <v>63197</v>
      </c>
      <c r="C441">
        <f t="shared" si="70"/>
        <v>-5.5390328722717541E-3</v>
      </c>
    </row>
    <row r="442" spans="1:3" x14ac:dyDescent="0.3">
      <c r="A442" s="28">
        <v>39366</v>
      </c>
      <c r="B442" s="36">
        <v>62456</v>
      </c>
      <c r="C442">
        <f t="shared" si="70"/>
        <v>-1.1725240122157699E-2</v>
      </c>
    </row>
    <row r="443" spans="1:3" x14ac:dyDescent="0.3">
      <c r="A443" s="28">
        <v>39370</v>
      </c>
      <c r="B443" s="36">
        <v>62969</v>
      </c>
      <c r="C443">
        <f t="shared" si="70"/>
        <v>8.2137825028820721E-3</v>
      </c>
    </row>
    <row r="444" spans="1:3" x14ac:dyDescent="0.3">
      <c r="A444" s="28">
        <v>39371</v>
      </c>
      <c r="B444" s="36">
        <v>61718</v>
      </c>
      <c r="C444">
        <f t="shared" si="70"/>
        <v>-1.986691864250667E-2</v>
      </c>
    </row>
    <row r="445" spans="1:3" x14ac:dyDescent="0.3">
      <c r="A445" s="28">
        <v>39372</v>
      </c>
      <c r="B445" s="36">
        <v>63194</v>
      </c>
      <c r="C445">
        <f t="shared" si="70"/>
        <v>2.3915227324281307E-2</v>
      </c>
    </row>
    <row r="446" spans="1:3" x14ac:dyDescent="0.3">
      <c r="A446" s="28">
        <v>39373</v>
      </c>
      <c r="B446" s="36">
        <v>63261</v>
      </c>
      <c r="C446">
        <f t="shared" si="70"/>
        <v>1.0602272367630228E-3</v>
      </c>
    </row>
    <row r="447" spans="1:3" x14ac:dyDescent="0.3">
      <c r="A447" s="28">
        <v>39374</v>
      </c>
      <c r="B447" s="36">
        <v>60894</v>
      </c>
      <c r="C447">
        <f t="shared" si="70"/>
        <v>-3.7416417698107884E-2</v>
      </c>
    </row>
    <row r="448" spans="1:3" x14ac:dyDescent="0.3">
      <c r="A448" s="28">
        <v>39377</v>
      </c>
      <c r="B448" s="36">
        <v>61215</v>
      </c>
      <c r="C448">
        <f t="shared" si="70"/>
        <v>5.2714553157946487E-3</v>
      </c>
    </row>
    <row r="449" spans="1:3" x14ac:dyDescent="0.3">
      <c r="A449" s="28">
        <v>39378</v>
      </c>
      <c r="B449" s="36">
        <v>62697</v>
      </c>
      <c r="C449">
        <f t="shared" si="70"/>
        <v>2.4209752511639371E-2</v>
      </c>
    </row>
    <row r="450" spans="1:3" x14ac:dyDescent="0.3">
      <c r="A450" s="28">
        <v>39379</v>
      </c>
      <c r="B450" s="36">
        <v>62625</v>
      </c>
      <c r="C450">
        <f t="shared" si="70"/>
        <v>-1.1483803052777519E-3</v>
      </c>
    </row>
    <row r="451" spans="1:3" x14ac:dyDescent="0.3">
      <c r="A451" s="28">
        <v>39380</v>
      </c>
      <c r="B451" s="36">
        <v>62341</v>
      </c>
      <c r="C451">
        <f t="shared" si="70"/>
        <v>-4.5349301397205055E-3</v>
      </c>
    </row>
    <row r="452" spans="1:3" x14ac:dyDescent="0.3">
      <c r="A452" s="28">
        <v>39381</v>
      </c>
      <c r="B452" s="36">
        <v>64276</v>
      </c>
      <c r="C452">
        <f t="shared" ref="C452:C515" si="71">B452/B451-1</f>
        <v>3.1038963122182794E-2</v>
      </c>
    </row>
    <row r="453" spans="1:3" x14ac:dyDescent="0.3">
      <c r="A453" s="28">
        <v>39384</v>
      </c>
      <c r="B453" s="36">
        <v>65044</v>
      </c>
      <c r="C453">
        <f t="shared" si="71"/>
        <v>1.1948472213578976E-2</v>
      </c>
    </row>
    <row r="454" spans="1:3" x14ac:dyDescent="0.3">
      <c r="A454" s="28">
        <v>39385</v>
      </c>
      <c r="B454" s="36">
        <v>64383</v>
      </c>
      <c r="C454">
        <f t="shared" si="71"/>
        <v>-1.0162351638890565E-2</v>
      </c>
    </row>
    <row r="455" spans="1:3" x14ac:dyDescent="0.3">
      <c r="A455" s="28">
        <v>39386</v>
      </c>
      <c r="B455" s="36">
        <v>65318</v>
      </c>
      <c r="C455">
        <f t="shared" si="71"/>
        <v>1.452246711088323E-2</v>
      </c>
    </row>
    <row r="456" spans="1:3" x14ac:dyDescent="0.3">
      <c r="A456" s="28">
        <v>39387</v>
      </c>
      <c r="B456" s="36">
        <v>64050</v>
      </c>
      <c r="C456">
        <f t="shared" si="71"/>
        <v>-1.9412719311675208E-2</v>
      </c>
    </row>
    <row r="457" spans="1:3" x14ac:dyDescent="0.3">
      <c r="A457" s="28">
        <v>39391</v>
      </c>
      <c r="B457" s="36">
        <v>62960</v>
      </c>
      <c r="C457">
        <f t="shared" si="71"/>
        <v>-1.7017954722872708E-2</v>
      </c>
    </row>
    <row r="458" spans="1:3" x14ac:dyDescent="0.3">
      <c r="A458" s="28">
        <v>39392</v>
      </c>
      <c r="B458" s="36">
        <v>64503</v>
      </c>
      <c r="C458">
        <f t="shared" si="71"/>
        <v>2.450762388818295E-2</v>
      </c>
    </row>
    <row r="459" spans="1:3" x14ac:dyDescent="0.3">
      <c r="A459" s="28">
        <v>39393</v>
      </c>
      <c r="B459" s="36">
        <v>63501</v>
      </c>
      <c r="C459">
        <f t="shared" si="71"/>
        <v>-1.5534161201804619E-2</v>
      </c>
    </row>
    <row r="460" spans="1:3" x14ac:dyDescent="0.3">
      <c r="A460" s="28">
        <v>39394</v>
      </c>
      <c r="B460" s="36">
        <v>63562</v>
      </c>
      <c r="C460">
        <f t="shared" si="71"/>
        <v>9.6061479346776224E-4</v>
      </c>
    </row>
    <row r="461" spans="1:3" x14ac:dyDescent="0.3">
      <c r="A461" s="28">
        <v>39395</v>
      </c>
      <c r="B461" s="36">
        <v>64321</v>
      </c>
      <c r="C461">
        <f t="shared" si="71"/>
        <v>1.1941096881784796E-2</v>
      </c>
    </row>
    <row r="462" spans="1:3" x14ac:dyDescent="0.3">
      <c r="A462" s="28">
        <v>39398</v>
      </c>
      <c r="B462" s="36">
        <v>61527</v>
      </c>
      <c r="C462">
        <f t="shared" si="71"/>
        <v>-4.3438379378430092E-2</v>
      </c>
    </row>
    <row r="463" spans="1:3" x14ac:dyDescent="0.3">
      <c r="A463" s="28">
        <v>39399</v>
      </c>
      <c r="B463" s="36">
        <v>62927</v>
      </c>
      <c r="C463">
        <f t="shared" si="71"/>
        <v>2.2754237976823077E-2</v>
      </c>
    </row>
    <row r="464" spans="1:3" x14ac:dyDescent="0.3">
      <c r="A464" s="28">
        <v>39400</v>
      </c>
      <c r="B464" s="36">
        <v>64631</v>
      </c>
      <c r="C464">
        <f t="shared" si="71"/>
        <v>2.707899629729682E-2</v>
      </c>
    </row>
    <row r="465" spans="1:3" x14ac:dyDescent="0.3">
      <c r="A465" s="28">
        <v>39402</v>
      </c>
      <c r="B465" s="36">
        <v>64609</v>
      </c>
      <c r="C465">
        <f t="shared" si="71"/>
        <v>-3.4039392861007212E-4</v>
      </c>
    </row>
    <row r="466" spans="1:3" x14ac:dyDescent="0.3">
      <c r="A466" s="28">
        <v>39405</v>
      </c>
      <c r="B466" s="36">
        <v>62336</v>
      </c>
      <c r="C466">
        <f t="shared" si="71"/>
        <v>-3.5180857156123735E-2</v>
      </c>
    </row>
    <row r="467" spans="1:3" x14ac:dyDescent="0.3">
      <c r="A467" s="28">
        <v>39407</v>
      </c>
      <c r="B467" s="36">
        <v>60582</v>
      </c>
      <c r="C467">
        <f t="shared" si="71"/>
        <v>-2.8137833675564661E-2</v>
      </c>
    </row>
    <row r="468" spans="1:3" x14ac:dyDescent="0.3">
      <c r="A468" s="28">
        <v>39408</v>
      </c>
      <c r="B468" s="36">
        <v>60653</v>
      </c>
      <c r="C468">
        <f t="shared" si="71"/>
        <v>1.1719652702122385E-3</v>
      </c>
    </row>
    <row r="469" spans="1:3" x14ac:dyDescent="0.3">
      <c r="A469" s="28">
        <v>39409</v>
      </c>
      <c r="B469" s="36">
        <v>60971</v>
      </c>
      <c r="C469">
        <f t="shared" si="71"/>
        <v>5.2429393434785254E-3</v>
      </c>
    </row>
    <row r="470" spans="1:3" x14ac:dyDescent="0.3">
      <c r="A470" s="28">
        <v>39412</v>
      </c>
      <c r="B470" s="36">
        <v>59069</v>
      </c>
      <c r="C470">
        <f t="shared" si="71"/>
        <v>-3.1195158353971575E-2</v>
      </c>
    </row>
    <row r="471" spans="1:3" x14ac:dyDescent="0.3">
      <c r="A471" s="28">
        <v>39413</v>
      </c>
      <c r="B471" s="36">
        <v>59432</v>
      </c>
      <c r="C471">
        <f t="shared" si="71"/>
        <v>6.1453554317831838E-3</v>
      </c>
    </row>
    <row r="472" spans="1:3" x14ac:dyDescent="0.3">
      <c r="A472" s="28">
        <v>39414</v>
      </c>
      <c r="B472" s="36">
        <v>61715</v>
      </c>
      <c r="C472">
        <f t="shared" si="71"/>
        <v>3.8413649212545531E-2</v>
      </c>
    </row>
    <row r="473" spans="1:3" x14ac:dyDescent="0.3">
      <c r="A473" s="28">
        <v>39415</v>
      </c>
      <c r="B473" s="36">
        <v>62156</v>
      </c>
      <c r="C473">
        <f t="shared" si="71"/>
        <v>7.1457506278862493E-3</v>
      </c>
    </row>
    <row r="474" spans="1:3" x14ac:dyDescent="0.3">
      <c r="A474" s="28">
        <v>39416</v>
      </c>
      <c r="B474" s="36">
        <v>63006</v>
      </c>
      <c r="C474">
        <f t="shared" si="71"/>
        <v>1.3675268678808195E-2</v>
      </c>
    </row>
    <row r="475" spans="1:3" x14ac:dyDescent="0.3">
      <c r="A475" s="28">
        <v>39419</v>
      </c>
      <c r="B475" s="36">
        <v>63200</v>
      </c>
      <c r="C475">
        <f t="shared" si="71"/>
        <v>3.0790718344284596E-3</v>
      </c>
    </row>
    <row r="476" spans="1:3" x14ac:dyDescent="0.3">
      <c r="A476" s="28">
        <v>39420</v>
      </c>
      <c r="B476" s="36">
        <v>63482</v>
      </c>
      <c r="C476">
        <f t="shared" si="71"/>
        <v>4.4620253164557866E-3</v>
      </c>
    </row>
    <row r="477" spans="1:3" x14ac:dyDescent="0.3">
      <c r="A477" s="28">
        <v>39421</v>
      </c>
      <c r="B477" s="36">
        <v>64928</v>
      </c>
      <c r="C477">
        <f t="shared" si="71"/>
        <v>2.2778110330487378E-2</v>
      </c>
    </row>
    <row r="478" spans="1:3" x14ac:dyDescent="0.3">
      <c r="A478" s="28">
        <v>39422</v>
      </c>
      <c r="B478" s="36">
        <v>65791</v>
      </c>
      <c r="C478">
        <f t="shared" si="71"/>
        <v>1.3291646131099011E-2</v>
      </c>
    </row>
    <row r="479" spans="1:3" x14ac:dyDescent="0.3">
      <c r="A479" s="28">
        <v>39423</v>
      </c>
      <c r="B479" s="36">
        <v>65639</v>
      </c>
      <c r="C479">
        <f t="shared" si="71"/>
        <v>-2.3103463999635254E-3</v>
      </c>
    </row>
    <row r="480" spans="1:3" x14ac:dyDescent="0.3">
      <c r="A480" s="28">
        <v>39426</v>
      </c>
      <c r="B480" s="36">
        <v>65446</v>
      </c>
      <c r="C480">
        <f t="shared" si="71"/>
        <v>-2.9403251115952544E-3</v>
      </c>
    </row>
    <row r="481" spans="1:3" x14ac:dyDescent="0.3">
      <c r="A481" s="28">
        <v>39427</v>
      </c>
      <c r="B481" s="36">
        <v>64512</v>
      </c>
      <c r="C481">
        <f t="shared" si="71"/>
        <v>-1.4271307642942266E-2</v>
      </c>
    </row>
    <row r="482" spans="1:3" x14ac:dyDescent="0.3">
      <c r="A482" s="28">
        <v>39428</v>
      </c>
      <c r="B482" s="36">
        <v>64742</v>
      </c>
      <c r="C482">
        <f t="shared" si="71"/>
        <v>3.5652281746032521E-3</v>
      </c>
    </row>
    <row r="483" spans="1:3" x14ac:dyDescent="0.3">
      <c r="A483" s="28">
        <v>39429</v>
      </c>
      <c r="B483" s="36">
        <v>62861</v>
      </c>
      <c r="C483">
        <f t="shared" si="71"/>
        <v>-2.9053782706743636E-2</v>
      </c>
    </row>
    <row r="484" spans="1:3" x14ac:dyDescent="0.3">
      <c r="A484" s="28">
        <v>39430</v>
      </c>
      <c r="B484" s="36">
        <v>62445</v>
      </c>
      <c r="C484">
        <f t="shared" si="71"/>
        <v>-6.6177757273985227E-3</v>
      </c>
    </row>
    <row r="485" spans="1:3" x14ac:dyDescent="0.3">
      <c r="A485" s="28">
        <v>39433</v>
      </c>
      <c r="B485" s="36">
        <v>59828</v>
      </c>
      <c r="C485">
        <f t="shared" si="71"/>
        <v>-4.1908879814236522E-2</v>
      </c>
    </row>
    <row r="486" spans="1:3" x14ac:dyDescent="0.3">
      <c r="A486" s="28">
        <v>39434</v>
      </c>
      <c r="B486" s="36">
        <v>61096</v>
      </c>
      <c r="C486">
        <f t="shared" si="71"/>
        <v>2.1194089723875154E-2</v>
      </c>
    </row>
    <row r="487" spans="1:3" x14ac:dyDescent="0.3">
      <c r="A487" s="28">
        <v>39435</v>
      </c>
      <c r="B487" s="36">
        <v>61722</v>
      </c>
      <c r="C487">
        <f t="shared" si="71"/>
        <v>1.0246169962026874E-2</v>
      </c>
    </row>
    <row r="488" spans="1:3" x14ac:dyDescent="0.3">
      <c r="A488" s="28">
        <v>39436</v>
      </c>
      <c r="B488" s="36">
        <v>61716</v>
      </c>
      <c r="C488">
        <f t="shared" si="71"/>
        <v>-9.7210070963305029E-5</v>
      </c>
    </row>
    <row r="489" spans="1:3" x14ac:dyDescent="0.3">
      <c r="A489" s="28">
        <v>39437</v>
      </c>
      <c r="B489" s="36">
        <v>63098</v>
      </c>
      <c r="C489">
        <f t="shared" si="71"/>
        <v>2.2392896493615977E-2</v>
      </c>
    </row>
    <row r="490" spans="1:3" x14ac:dyDescent="0.3">
      <c r="A490" s="28">
        <v>39442</v>
      </c>
      <c r="B490" s="36">
        <v>64288</v>
      </c>
      <c r="C490">
        <f t="shared" si="71"/>
        <v>1.8859551808298125E-2</v>
      </c>
    </row>
    <row r="491" spans="1:3" x14ac:dyDescent="0.3">
      <c r="A491" s="28">
        <v>39443</v>
      </c>
      <c r="B491" s="36">
        <v>63774</v>
      </c>
      <c r="C491">
        <f t="shared" si="71"/>
        <v>-7.9952712792433767E-3</v>
      </c>
    </row>
    <row r="492" spans="1:3" x14ac:dyDescent="0.3">
      <c r="A492" s="28">
        <v>39444</v>
      </c>
      <c r="B492" s="36">
        <v>63886</v>
      </c>
      <c r="C492">
        <f t="shared" si="71"/>
        <v>1.756201586853523E-3</v>
      </c>
    </row>
    <row r="493" spans="1:3" x14ac:dyDescent="0.3">
      <c r="A493" s="28">
        <v>39449</v>
      </c>
      <c r="B493" s="36">
        <v>62815</v>
      </c>
      <c r="C493">
        <f t="shared" si="71"/>
        <v>-1.6764236295902069E-2</v>
      </c>
    </row>
    <row r="494" spans="1:3" x14ac:dyDescent="0.3">
      <c r="A494" s="28">
        <v>39450</v>
      </c>
      <c r="B494" s="36">
        <v>62892</v>
      </c>
      <c r="C494">
        <f t="shared" si="71"/>
        <v>1.2258218578364843E-3</v>
      </c>
    </row>
    <row r="495" spans="1:3" x14ac:dyDescent="0.3">
      <c r="A495" s="28">
        <v>39451</v>
      </c>
      <c r="B495" s="36">
        <v>61037</v>
      </c>
      <c r="C495">
        <f t="shared" si="71"/>
        <v>-2.9495007314125798E-2</v>
      </c>
    </row>
    <row r="496" spans="1:3" x14ac:dyDescent="0.3">
      <c r="A496" s="28">
        <v>39454</v>
      </c>
      <c r="B496" s="36">
        <v>60772</v>
      </c>
      <c r="C496">
        <f t="shared" si="71"/>
        <v>-4.3416288480757625E-3</v>
      </c>
    </row>
    <row r="497" spans="1:3" x14ac:dyDescent="0.3">
      <c r="A497" s="28">
        <v>39455</v>
      </c>
      <c r="B497" s="36">
        <v>62081</v>
      </c>
      <c r="C497">
        <f t="shared" si="71"/>
        <v>2.1539524781149177E-2</v>
      </c>
    </row>
    <row r="498" spans="1:3" x14ac:dyDescent="0.3">
      <c r="A498" s="28">
        <v>39456</v>
      </c>
      <c r="B498" s="36">
        <v>62674</v>
      </c>
      <c r="C498">
        <f t="shared" si="71"/>
        <v>9.552036855076329E-3</v>
      </c>
    </row>
    <row r="499" spans="1:3" x14ac:dyDescent="0.3">
      <c r="A499" s="28">
        <v>39457</v>
      </c>
      <c r="B499" s="36">
        <v>63515</v>
      </c>
      <c r="C499">
        <f t="shared" si="71"/>
        <v>1.341864249928193E-2</v>
      </c>
    </row>
    <row r="500" spans="1:3" x14ac:dyDescent="0.3">
      <c r="A500" s="28">
        <v>39458</v>
      </c>
      <c r="B500" s="36">
        <v>61942</v>
      </c>
      <c r="C500">
        <f t="shared" si="71"/>
        <v>-2.4765803353538507E-2</v>
      </c>
    </row>
    <row r="501" spans="1:3" x14ac:dyDescent="0.3">
      <c r="A501" s="28">
        <v>39461</v>
      </c>
      <c r="B501" s="36">
        <v>62188</v>
      </c>
      <c r="C501">
        <f t="shared" si="71"/>
        <v>3.9714571696103373E-3</v>
      </c>
    </row>
    <row r="502" spans="1:3" x14ac:dyDescent="0.3">
      <c r="A502" s="28">
        <v>39462</v>
      </c>
      <c r="B502" s="36">
        <v>59907</v>
      </c>
      <c r="C502">
        <f t="shared" si="71"/>
        <v>-3.6679102077571191E-2</v>
      </c>
    </row>
    <row r="503" spans="1:3" x14ac:dyDescent="0.3">
      <c r="A503" s="28">
        <v>39463</v>
      </c>
      <c r="B503" s="36">
        <v>58777</v>
      </c>
      <c r="C503">
        <f t="shared" si="71"/>
        <v>-1.8862570317325189E-2</v>
      </c>
    </row>
    <row r="504" spans="1:3" x14ac:dyDescent="0.3">
      <c r="A504" s="28">
        <v>39464</v>
      </c>
      <c r="B504" s="36">
        <v>57037</v>
      </c>
      <c r="C504">
        <f t="shared" si="71"/>
        <v>-2.9603416302295127E-2</v>
      </c>
    </row>
    <row r="505" spans="1:3" x14ac:dyDescent="0.3">
      <c r="A505" s="28">
        <v>39465</v>
      </c>
      <c r="B505" s="36">
        <v>57506</v>
      </c>
      <c r="C505">
        <f t="shared" si="71"/>
        <v>8.2227326121639965E-3</v>
      </c>
    </row>
    <row r="506" spans="1:3" x14ac:dyDescent="0.3">
      <c r="A506" s="28">
        <v>39468</v>
      </c>
      <c r="B506" s="36">
        <v>53709</v>
      </c>
      <c r="C506">
        <f t="shared" si="71"/>
        <v>-6.6027892741627014E-2</v>
      </c>
    </row>
    <row r="507" spans="1:3" x14ac:dyDescent="0.3">
      <c r="A507" s="28">
        <v>39469</v>
      </c>
      <c r="B507" s="36">
        <v>56097</v>
      </c>
      <c r="C507">
        <f t="shared" si="71"/>
        <v>4.4461822040998689E-2</v>
      </c>
    </row>
    <row r="508" spans="1:3" x14ac:dyDescent="0.3">
      <c r="A508" s="28">
        <v>39470</v>
      </c>
      <c r="B508" s="36">
        <v>54235</v>
      </c>
      <c r="C508">
        <f t="shared" si="71"/>
        <v>-3.3192505838101849E-2</v>
      </c>
    </row>
    <row r="509" spans="1:3" x14ac:dyDescent="0.3">
      <c r="A509" s="28">
        <v>39471</v>
      </c>
      <c r="B509" s="36">
        <v>57463</v>
      </c>
      <c r="C509">
        <f t="shared" si="71"/>
        <v>5.9518760947727456E-2</v>
      </c>
    </row>
    <row r="510" spans="1:3" x14ac:dyDescent="0.3">
      <c r="A510" s="28">
        <v>39475</v>
      </c>
      <c r="B510" s="36">
        <v>58594</v>
      </c>
      <c r="C510">
        <f t="shared" si="71"/>
        <v>1.9682230304717718E-2</v>
      </c>
    </row>
    <row r="511" spans="1:3" x14ac:dyDescent="0.3">
      <c r="A511" s="28">
        <v>39476</v>
      </c>
      <c r="B511" s="36">
        <v>59530</v>
      </c>
      <c r="C511">
        <f t="shared" si="71"/>
        <v>1.5974331842850908E-2</v>
      </c>
    </row>
    <row r="512" spans="1:3" x14ac:dyDescent="0.3">
      <c r="A512" s="28">
        <v>39477</v>
      </c>
      <c r="B512" s="36">
        <v>60289</v>
      </c>
      <c r="C512">
        <f t="shared" si="71"/>
        <v>1.274987401310268E-2</v>
      </c>
    </row>
    <row r="513" spans="1:3" x14ac:dyDescent="0.3">
      <c r="A513" s="28">
        <v>39478</v>
      </c>
      <c r="B513" s="36">
        <v>59490</v>
      </c>
      <c r="C513">
        <f t="shared" si="71"/>
        <v>-1.3252832191610442E-2</v>
      </c>
    </row>
    <row r="514" spans="1:3" x14ac:dyDescent="0.3">
      <c r="A514" s="28">
        <v>39479</v>
      </c>
      <c r="B514" s="36">
        <v>61080</v>
      </c>
      <c r="C514">
        <f t="shared" si="71"/>
        <v>2.6727181038830095E-2</v>
      </c>
    </row>
    <row r="515" spans="1:3" x14ac:dyDescent="0.3">
      <c r="A515" s="28">
        <v>39484</v>
      </c>
      <c r="B515" s="36">
        <v>58969</v>
      </c>
      <c r="C515">
        <f t="shared" si="71"/>
        <v>-3.4561231172233087E-2</v>
      </c>
    </row>
    <row r="516" spans="1:3" x14ac:dyDescent="0.3">
      <c r="A516" s="28">
        <v>39485</v>
      </c>
      <c r="B516" s="36">
        <v>58965</v>
      </c>
      <c r="C516">
        <f t="shared" ref="C516:C579" si="72">B516/B515-1</f>
        <v>-6.7832250843613551E-5</v>
      </c>
    </row>
    <row r="517" spans="1:3" x14ac:dyDescent="0.3">
      <c r="A517" s="28">
        <v>39486</v>
      </c>
      <c r="B517" s="36">
        <v>59076</v>
      </c>
      <c r="C517">
        <f t="shared" si="72"/>
        <v>1.8824726532689073E-3</v>
      </c>
    </row>
    <row r="518" spans="1:3" x14ac:dyDescent="0.3">
      <c r="A518" s="28">
        <v>39489</v>
      </c>
      <c r="B518" s="36">
        <v>60643</v>
      </c>
      <c r="C518">
        <f t="shared" si="72"/>
        <v>2.6525154038865129E-2</v>
      </c>
    </row>
    <row r="519" spans="1:3" x14ac:dyDescent="0.3">
      <c r="A519" s="28">
        <v>39490</v>
      </c>
      <c r="B519" s="36">
        <v>61805</v>
      </c>
      <c r="C519">
        <f t="shared" si="72"/>
        <v>1.9161321174743895E-2</v>
      </c>
    </row>
    <row r="520" spans="1:3" x14ac:dyDescent="0.3">
      <c r="A520" s="28">
        <v>39491</v>
      </c>
      <c r="B520" s="36">
        <v>62591</v>
      </c>
      <c r="C520">
        <f t="shared" si="72"/>
        <v>1.2717417684653398E-2</v>
      </c>
    </row>
    <row r="521" spans="1:3" x14ac:dyDescent="0.3">
      <c r="A521" s="28">
        <v>39492</v>
      </c>
      <c r="B521" s="36">
        <v>61819</v>
      </c>
      <c r="C521">
        <f t="shared" si="72"/>
        <v>-1.2334041635378878E-2</v>
      </c>
    </row>
    <row r="522" spans="1:3" x14ac:dyDescent="0.3">
      <c r="A522" s="28">
        <v>39493</v>
      </c>
      <c r="B522" s="36">
        <v>61272</v>
      </c>
      <c r="C522">
        <f t="shared" si="72"/>
        <v>-8.8484123004254345E-3</v>
      </c>
    </row>
    <row r="523" spans="1:3" x14ac:dyDescent="0.3">
      <c r="A523" s="28">
        <v>39496</v>
      </c>
      <c r="B523" s="36">
        <v>62801</v>
      </c>
      <c r="C523">
        <f t="shared" si="72"/>
        <v>2.4954302128215256E-2</v>
      </c>
    </row>
    <row r="524" spans="1:3" x14ac:dyDescent="0.3">
      <c r="A524" s="28">
        <v>39497</v>
      </c>
      <c r="B524" s="36">
        <v>62297</v>
      </c>
      <c r="C524">
        <f t="shared" si="72"/>
        <v>-8.025349914810298E-3</v>
      </c>
    </row>
    <row r="525" spans="1:3" x14ac:dyDescent="0.3">
      <c r="A525" s="28">
        <v>39498</v>
      </c>
      <c r="B525" s="36">
        <v>63747</v>
      </c>
      <c r="C525">
        <f t="shared" si="72"/>
        <v>2.3275599146026282E-2</v>
      </c>
    </row>
    <row r="526" spans="1:3" x14ac:dyDescent="0.3">
      <c r="A526" s="28">
        <v>39499</v>
      </c>
      <c r="B526" s="36">
        <v>63792</v>
      </c>
      <c r="C526">
        <f t="shared" si="72"/>
        <v>7.0591557249755077E-4</v>
      </c>
    </row>
    <row r="527" spans="1:3" x14ac:dyDescent="0.3">
      <c r="A527" s="28">
        <v>39500</v>
      </c>
      <c r="B527" s="36">
        <v>64609</v>
      </c>
      <c r="C527">
        <f t="shared" si="72"/>
        <v>1.2807248557812789E-2</v>
      </c>
    </row>
    <row r="528" spans="1:3" x14ac:dyDescent="0.3">
      <c r="A528" s="28">
        <v>39503</v>
      </c>
      <c r="B528" s="36">
        <v>65001</v>
      </c>
      <c r="C528">
        <f t="shared" si="72"/>
        <v>6.067266170347807E-3</v>
      </c>
    </row>
    <row r="529" spans="1:3" x14ac:dyDescent="0.3">
      <c r="A529" s="28">
        <v>39504</v>
      </c>
      <c r="B529" s="36">
        <v>65183</v>
      </c>
      <c r="C529">
        <f t="shared" si="72"/>
        <v>2.7999569237395772E-3</v>
      </c>
    </row>
    <row r="530" spans="1:3" x14ac:dyDescent="0.3">
      <c r="A530" s="28">
        <v>39505</v>
      </c>
      <c r="B530" s="36">
        <v>65495</v>
      </c>
      <c r="C530">
        <f t="shared" si="72"/>
        <v>4.786524093705502E-3</v>
      </c>
    </row>
    <row r="531" spans="1:3" x14ac:dyDescent="0.3">
      <c r="A531" s="28">
        <v>39506</v>
      </c>
      <c r="B531" s="36">
        <v>65555</v>
      </c>
      <c r="C531">
        <f t="shared" si="72"/>
        <v>9.1610046568435521E-4</v>
      </c>
    </row>
    <row r="532" spans="1:3" x14ac:dyDescent="0.3">
      <c r="A532" s="28">
        <v>39507</v>
      </c>
      <c r="B532" s="36">
        <v>63489</v>
      </c>
      <c r="C532">
        <f t="shared" si="72"/>
        <v>-3.1515521317977302E-2</v>
      </c>
    </row>
    <row r="533" spans="1:3" x14ac:dyDescent="0.3">
      <c r="A533" s="28">
        <v>39510</v>
      </c>
      <c r="B533" s="36">
        <v>64490</v>
      </c>
      <c r="C533">
        <f t="shared" si="72"/>
        <v>1.5766510734142924E-2</v>
      </c>
    </row>
    <row r="534" spans="1:3" x14ac:dyDescent="0.3">
      <c r="A534" s="28">
        <v>39511</v>
      </c>
      <c r="B534" s="36">
        <v>63656</v>
      </c>
      <c r="C534">
        <f t="shared" si="72"/>
        <v>-1.2932237556210313E-2</v>
      </c>
    </row>
    <row r="535" spans="1:3" x14ac:dyDescent="0.3">
      <c r="A535" s="28">
        <v>39512</v>
      </c>
      <c r="B535" s="36">
        <v>64629</v>
      </c>
      <c r="C535">
        <f t="shared" si="72"/>
        <v>1.5285283398265737E-2</v>
      </c>
    </row>
    <row r="536" spans="1:3" x14ac:dyDescent="0.3">
      <c r="A536" s="28">
        <v>39513</v>
      </c>
      <c r="B536" s="36">
        <v>62975</v>
      </c>
      <c r="C536">
        <f t="shared" si="72"/>
        <v>-2.559222639991332E-2</v>
      </c>
    </row>
    <row r="537" spans="1:3" x14ac:dyDescent="0.3">
      <c r="A537" s="28">
        <v>39514</v>
      </c>
      <c r="B537" s="36">
        <v>61868</v>
      </c>
      <c r="C537">
        <f t="shared" si="72"/>
        <v>-1.7578404128622438E-2</v>
      </c>
    </row>
    <row r="538" spans="1:3" x14ac:dyDescent="0.3">
      <c r="A538" s="28">
        <v>39517</v>
      </c>
      <c r="B538" s="36">
        <v>59999</v>
      </c>
      <c r="C538">
        <f t="shared" si="72"/>
        <v>-3.0209478244003329E-2</v>
      </c>
    </row>
    <row r="539" spans="1:3" x14ac:dyDescent="0.3">
      <c r="A539" s="28">
        <v>39518</v>
      </c>
      <c r="B539" s="36">
        <v>62368</v>
      </c>
      <c r="C539">
        <f t="shared" si="72"/>
        <v>3.9483991399856588E-2</v>
      </c>
    </row>
    <row r="540" spans="1:3" x14ac:dyDescent="0.3">
      <c r="A540" s="28">
        <v>39519</v>
      </c>
      <c r="B540" s="36">
        <v>62177</v>
      </c>
      <c r="C540">
        <f t="shared" si="72"/>
        <v>-3.0624679322729387E-3</v>
      </c>
    </row>
    <row r="541" spans="1:3" x14ac:dyDescent="0.3">
      <c r="A541" s="28">
        <v>39520</v>
      </c>
      <c r="B541" s="36">
        <v>62280</v>
      </c>
      <c r="C541">
        <f t="shared" si="72"/>
        <v>1.65656110780521E-3</v>
      </c>
    </row>
    <row r="542" spans="1:3" x14ac:dyDescent="0.3">
      <c r="A542" s="28">
        <v>39521</v>
      </c>
      <c r="B542" s="36">
        <v>61991</v>
      </c>
      <c r="C542">
        <f t="shared" si="72"/>
        <v>-4.6403339755940465E-3</v>
      </c>
    </row>
    <row r="543" spans="1:3" x14ac:dyDescent="0.3">
      <c r="A543" s="28">
        <v>39524</v>
      </c>
      <c r="B543" s="36">
        <v>60012</v>
      </c>
      <c r="C543">
        <f t="shared" si="72"/>
        <v>-3.1923988966140238E-2</v>
      </c>
    </row>
    <row r="544" spans="1:3" x14ac:dyDescent="0.3">
      <c r="A544" s="28">
        <v>39525</v>
      </c>
      <c r="B544" s="36">
        <v>61933</v>
      </c>
      <c r="C544">
        <f t="shared" si="72"/>
        <v>3.20102646137439E-2</v>
      </c>
    </row>
    <row r="545" spans="1:3" x14ac:dyDescent="0.3">
      <c r="A545" s="28">
        <v>39526</v>
      </c>
      <c r="B545" s="36">
        <v>58827</v>
      </c>
      <c r="C545">
        <f t="shared" si="72"/>
        <v>-5.0150969596176487E-2</v>
      </c>
    </row>
    <row r="546" spans="1:3" x14ac:dyDescent="0.3">
      <c r="A546" s="28">
        <v>39527</v>
      </c>
      <c r="B546" s="36">
        <v>58987</v>
      </c>
      <c r="C546">
        <f t="shared" si="72"/>
        <v>2.7198395294678601E-3</v>
      </c>
    </row>
    <row r="547" spans="1:3" x14ac:dyDescent="0.3">
      <c r="A547" s="28">
        <v>39531</v>
      </c>
      <c r="B547" s="36">
        <v>59813</v>
      </c>
      <c r="C547">
        <f t="shared" si="72"/>
        <v>1.4003085425602357E-2</v>
      </c>
    </row>
    <row r="548" spans="1:3" x14ac:dyDescent="0.3">
      <c r="A548" s="28">
        <v>39532</v>
      </c>
      <c r="B548" s="36">
        <v>61234</v>
      </c>
      <c r="C548">
        <f t="shared" si="72"/>
        <v>2.3757377158811543E-2</v>
      </c>
    </row>
    <row r="549" spans="1:3" x14ac:dyDescent="0.3">
      <c r="A549" s="28">
        <v>39533</v>
      </c>
      <c r="B549" s="36">
        <v>61415</v>
      </c>
      <c r="C549">
        <f t="shared" si="72"/>
        <v>2.9558741875428396E-3</v>
      </c>
    </row>
    <row r="550" spans="1:3" x14ac:dyDescent="0.3">
      <c r="A550" s="28">
        <v>39534</v>
      </c>
      <c r="B550" s="36">
        <v>60762</v>
      </c>
      <c r="C550">
        <f t="shared" si="72"/>
        <v>-1.0632581616868864E-2</v>
      </c>
    </row>
    <row r="551" spans="1:3" x14ac:dyDescent="0.3">
      <c r="A551" s="28">
        <v>39535</v>
      </c>
      <c r="B551" s="36">
        <v>60452</v>
      </c>
      <c r="C551">
        <f t="shared" si="72"/>
        <v>-5.1018728810769964E-3</v>
      </c>
    </row>
    <row r="552" spans="1:3" x14ac:dyDescent="0.3">
      <c r="A552" s="28">
        <v>39538</v>
      </c>
      <c r="B552" s="36">
        <v>60968</v>
      </c>
      <c r="C552">
        <f t="shared" si="72"/>
        <v>8.5356977436643611E-3</v>
      </c>
    </row>
    <row r="553" spans="1:3" x14ac:dyDescent="0.3">
      <c r="A553" s="28">
        <v>39539</v>
      </c>
      <c r="B553" s="36">
        <v>62775</v>
      </c>
      <c r="C553">
        <f t="shared" si="72"/>
        <v>2.9638498884660747E-2</v>
      </c>
    </row>
    <row r="554" spans="1:3" x14ac:dyDescent="0.3">
      <c r="A554" s="28">
        <v>39540</v>
      </c>
      <c r="B554" s="36">
        <v>63364</v>
      </c>
      <c r="C554">
        <f t="shared" si="72"/>
        <v>9.3827160493826778E-3</v>
      </c>
    </row>
    <row r="555" spans="1:3" x14ac:dyDescent="0.3">
      <c r="A555" s="28">
        <v>39541</v>
      </c>
      <c r="B555" s="36">
        <v>64175</v>
      </c>
      <c r="C555">
        <f t="shared" si="72"/>
        <v>1.2799065715548341E-2</v>
      </c>
    </row>
    <row r="556" spans="1:3" x14ac:dyDescent="0.3">
      <c r="A556" s="28">
        <v>39542</v>
      </c>
      <c r="B556" s="36">
        <v>64446</v>
      </c>
      <c r="C556">
        <f t="shared" si="72"/>
        <v>4.2228282041292253E-3</v>
      </c>
    </row>
    <row r="557" spans="1:3" x14ac:dyDescent="0.3">
      <c r="A557" s="28">
        <v>39545</v>
      </c>
      <c r="B557" s="36">
        <v>64176</v>
      </c>
      <c r="C557">
        <f t="shared" si="72"/>
        <v>-4.1895540452472346E-3</v>
      </c>
    </row>
    <row r="558" spans="1:3" x14ac:dyDescent="0.3">
      <c r="A558" s="28">
        <v>39546</v>
      </c>
      <c r="B558" s="36">
        <v>64540</v>
      </c>
      <c r="C558">
        <f t="shared" si="72"/>
        <v>5.6719022687607978E-3</v>
      </c>
    </row>
    <row r="559" spans="1:3" x14ac:dyDescent="0.3">
      <c r="A559" s="28">
        <v>39547</v>
      </c>
      <c r="B559" s="36">
        <v>63477</v>
      </c>
      <c r="C559">
        <f t="shared" si="72"/>
        <v>-1.6470405949798539E-2</v>
      </c>
    </row>
    <row r="560" spans="1:3" x14ac:dyDescent="0.3">
      <c r="A560" s="28">
        <v>39548</v>
      </c>
      <c r="B560" s="36">
        <v>63527</v>
      </c>
      <c r="C560">
        <f t="shared" si="72"/>
        <v>7.8768687871200171E-4</v>
      </c>
    </row>
    <row r="561" spans="1:3" x14ac:dyDescent="0.3">
      <c r="A561" s="28">
        <v>39549</v>
      </c>
      <c r="B561" s="36">
        <v>62585</v>
      </c>
      <c r="C561">
        <f t="shared" si="72"/>
        <v>-1.4828340705526744E-2</v>
      </c>
    </row>
    <row r="562" spans="1:3" x14ac:dyDescent="0.3">
      <c r="A562" s="28">
        <v>39552</v>
      </c>
      <c r="B562" s="36">
        <v>62153</v>
      </c>
      <c r="C562">
        <f t="shared" si="72"/>
        <v>-6.9026124470720207E-3</v>
      </c>
    </row>
    <row r="563" spans="1:3" x14ac:dyDescent="0.3">
      <c r="A563" s="28">
        <v>39553</v>
      </c>
      <c r="B563" s="36">
        <v>62618</v>
      </c>
      <c r="C563">
        <f t="shared" si="72"/>
        <v>7.4815374961787473E-3</v>
      </c>
    </row>
    <row r="564" spans="1:3" x14ac:dyDescent="0.3">
      <c r="A564" s="28">
        <v>39554</v>
      </c>
      <c r="B564" s="36">
        <v>64152</v>
      </c>
      <c r="C564">
        <f t="shared" si="72"/>
        <v>2.4497748251301577E-2</v>
      </c>
    </row>
    <row r="565" spans="1:3" x14ac:dyDescent="0.3">
      <c r="A565" s="28">
        <v>39555</v>
      </c>
      <c r="B565" s="36">
        <v>64552</v>
      </c>
      <c r="C565">
        <f t="shared" si="72"/>
        <v>6.2351914203766512E-3</v>
      </c>
    </row>
    <row r="566" spans="1:3" x14ac:dyDescent="0.3">
      <c r="A566" s="28">
        <v>39556</v>
      </c>
      <c r="B566" s="36">
        <v>64923</v>
      </c>
      <c r="C566">
        <f t="shared" si="72"/>
        <v>5.7473044986986466E-3</v>
      </c>
    </row>
    <row r="567" spans="1:3" x14ac:dyDescent="0.3">
      <c r="A567" s="28">
        <v>39560</v>
      </c>
      <c r="B567" s="36">
        <v>65413</v>
      </c>
      <c r="C567">
        <f t="shared" si="72"/>
        <v>7.5474023073487384E-3</v>
      </c>
    </row>
    <row r="568" spans="1:3" x14ac:dyDescent="0.3">
      <c r="A568" s="28">
        <v>39561</v>
      </c>
      <c r="B568" s="36">
        <v>64948</v>
      </c>
      <c r="C568">
        <f t="shared" si="72"/>
        <v>-7.1086787030101295E-3</v>
      </c>
    </row>
    <row r="569" spans="1:3" x14ac:dyDescent="0.3">
      <c r="A569" s="28">
        <v>39562</v>
      </c>
      <c r="B569" s="36">
        <v>64576</v>
      </c>
      <c r="C569">
        <f t="shared" si="72"/>
        <v>-5.7276590503171354E-3</v>
      </c>
    </row>
    <row r="570" spans="1:3" x14ac:dyDescent="0.3">
      <c r="A570" s="28">
        <v>39563</v>
      </c>
      <c r="B570" s="36">
        <v>65187</v>
      </c>
      <c r="C570">
        <f t="shared" si="72"/>
        <v>9.4617195242814311E-3</v>
      </c>
    </row>
    <row r="571" spans="1:3" x14ac:dyDescent="0.3">
      <c r="A571" s="28">
        <v>39566</v>
      </c>
      <c r="B571" s="36">
        <v>65678</v>
      </c>
      <c r="C571">
        <f t="shared" si="72"/>
        <v>7.5321766609905971E-3</v>
      </c>
    </row>
    <row r="572" spans="1:3" x14ac:dyDescent="0.3">
      <c r="A572" s="28">
        <v>39567</v>
      </c>
      <c r="B572" s="36">
        <v>63826</v>
      </c>
      <c r="C572">
        <f t="shared" si="72"/>
        <v>-2.8198178994488288E-2</v>
      </c>
    </row>
    <row r="573" spans="1:3" x14ac:dyDescent="0.3">
      <c r="A573" s="28">
        <v>39568</v>
      </c>
      <c r="B573" s="36">
        <v>67868</v>
      </c>
      <c r="C573">
        <f t="shared" si="72"/>
        <v>6.3328424153166418E-2</v>
      </c>
    </row>
    <row r="574" spans="1:3" x14ac:dyDescent="0.3">
      <c r="A574" s="28">
        <v>39570</v>
      </c>
      <c r="B574" s="36">
        <v>69366</v>
      </c>
      <c r="C574">
        <f t="shared" si="72"/>
        <v>2.2072257912418181E-2</v>
      </c>
    </row>
    <row r="575" spans="1:3" x14ac:dyDescent="0.3">
      <c r="A575" s="28">
        <v>39573</v>
      </c>
      <c r="B575" s="36">
        <v>70175</v>
      </c>
      <c r="C575">
        <f t="shared" si="72"/>
        <v>1.1662774269815213E-2</v>
      </c>
    </row>
    <row r="576" spans="1:3" x14ac:dyDescent="0.3">
      <c r="A576" s="28">
        <v>39574</v>
      </c>
      <c r="B576" s="36">
        <v>70195</v>
      </c>
      <c r="C576">
        <f t="shared" si="72"/>
        <v>2.8500178126122933E-4</v>
      </c>
    </row>
    <row r="577" spans="1:3" x14ac:dyDescent="0.3">
      <c r="A577" s="28">
        <v>39575</v>
      </c>
      <c r="B577" s="36">
        <v>69018</v>
      </c>
      <c r="C577">
        <f t="shared" si="72"/>
        <v>-1.6767576038179355E-2</v>
      </c>
    </row>
    <row r="578" spans="1:3" x14ac:dyDescent="0.3">
      <c r="A578" s="28">
        <v>39576</v>
      </c>
      <c r="B578" s="36">
        <v>69722</v>
      </c>
      <c r="C578">
        <f t="shared" si="72"/>
        <v>1.0200237619171881E-2</v>
      </c>
    </row>
    <row r="579" spans="1:3" x14ac:dyDescent="0.3">
      <c r="A579" s="28">
        <v>39577</v>
      </c>
      <c r="B579" s="36">
        <v>69646</v>
      </c>
      <c r="C579">
        <f t="shared" si="72"/>
        <v>-1.0900433148790523E-3</v>
      </c>
    </row>
    <row r="580" spans="1:3" x14ac:dyDescent="0.3">
      <c r="A580" s="28">
        <v>39580</v>
      </c>
      <c r="B580" s="36">
        <v>70416</v>
      </c>
      <c r="C580">
        <f t="shared" ref="C580:C643" si="73">B580/B579-1</f>
        <v>1.1055911322976231E-2</v>
      </c>
    </row>
    <row r="581" spans="1:3" x14ac:dyDescent="0.3">
      <c r="A581" s="28">
        <v>39581</v>
      </c>
      <c r="B581" s="36">
        <v>70503</v>
      </c>
      <c r="C581">
        <f t="shared" si="73"/>
        <v>1.235514655760106E-3</v>
      </c>
    </row>
    <row r="582" spans="1:3" x14ac:dyDescent="0.3">
      <c r="A582" s="28">
        <v>39582</v>
      </c>
      <c r="B582" s="36">
        <v>70027</v>
      </c>
      <c r="C582">
        <f t="shared" si="73"/>
        <v>-6.7514857523793825E-3</v>
      </c>
    </row>
    <row r="583" spans="1:3" x14ac:dyDescent="0.3">
      <c r="A583" s="28">
        <v>39583</v>
      </c>
      <c r="B583" s="36">
        <v>71492</v>
      </c>
      <c r="C583">
        <f t="shared" si="73"/>
        <v>2.0920502092050208E-2</v>
      </c>
    </row>
    <row r="584" spans="1:3" x14ac:dyDescent="0.3">
      <c r="A584" s="28">
        <v>39584</v>
      </c>
      <c r="B584" s="36">
        <v>72767</v>
      </c>
      <c r="C584">
        <f t="shared" si="73"/>
        <v>1.783416326302234E-2</v>
      </c>
    </row>
    <row r="585" spans="1:3" x14ac:dyDescent="0.3">
      <c r="A585" s="28">
        <v>39587</v>
      </c>
      <c r="B585" s="36">
        <v>73439</v>
      </c>
      <c r="C585">
        <f t="shared" si="73"/>
        <v>9.2349554056097016E-3</v>
      </c>
    </row>
    <row r="586" spans="1:3" x14ac:dyDescent="0.3">
      <c r="A586" s="28">
        <v>39588</v>
      </c>
      <c r="B586" s="36">
        <v>73517</v>
      </c>
      <c r="C586">
        <f t="shared" si="73"/>
        <v>1.0621059654951637E-3</v>
      </c>
    </row>
    <row r="587" spans="1:3" x14ac:dyDescent="0.3">
      <c r="A587" s="28">
        <v>39589</v>
      </c>
      <c r="B587" s="36">
        <v>72295</v>
      </c>
      <c r="C587">
        <f t="shared" si="73"/>
        <v>-1.6622005794578176E-2</v>
      </c>
    </row>
    <row r="588" spans="1:3" x14ac:dyDescent="0.3">
      <c r="A588" s="28">
        <v>39591</v>
      </c>
      <c r="B588" s="36">
        <v>71452</v>
      </c>
      <c r="C588">
        <f t="shared" si="73"/>
        <v>-1.1660557438273766E-2</v>
      </c>
    </row>
    <row r="589" spans="1:3" x14ac:dyDescent="0.3">
      <c r="A589" s="28">
        <v>39594</v>
      </c>
      <c r="B589" s="36">
        <v>71629</v>
      </c>
      <c r="C589">
        <f t="shared" si="73"/>
        <v>2.4771874825058049E-3</v>
      </c>
    </row>
    <row r="590" spans="1:3" x14ac:dyDescent="0.3">
      <c r="A590" s="28">
        <v>39595</v>
      </c>
      <c r="B590" s="36">
        <v>70992</v>
      </c>
      <c r="C590">
        <f t="shared" si="73"/>
        <v>-8.893046112607994E-3</v>
      </c>
    </row>
    <row r="591" spans="1:3" x14ac:dyDescent="0.3">
      <c r="A591" s="28">
        <v>39596</v>
      </c>
      <c r="B591" s="36">
        <v>73153</v>
      </c>
      <c r="C591">
        <f t="shared" si="73"/>
        <v>3.0440049583051687E-2</v>
      </c>
    </row>
    <row r="592" spans="1:3" x14ac:dyDescent="0.3">
      <c r="A592" s="28">
        <v>39597</v>
      </c>
      <c r="B592" s="36">
        <v>71798</v>
      </c>
      <c r="C592">
        <f t="shared" si="73"/>
        <v>-1.8522822030538788E-2</v>
      </c>
    </row>
    <row r="593" spans="1:3" x14ac:dyDescent="0.3">
      <c r="A593" s="28">
        <v>39598</v>
      </c>
      <c r="B593" s="36">
        <v>72593</v>
      </c>
      <c r="C593">
        <f t="shared" si="73"/>
        <v>1.1072731830970239E-2</v>
      </c>
    </row>
    <row r="594" spans="1:3" x14ac:dyDescent="0.3">
      <c r="A594" s="28">
        <v>39601</v>
      </c>
      <c r="B594" s="36">
        <v>71897</v>
      </c>
      <c r="C594">
        <f t="shared" si="73"/>
        <v>-9.5877012935131622E-3</v>
      </c>
    </row>
    <row r="595" spans="1:3" x14ac:dyDescent="0.3">
      <c r="A595" s="28">
        <v>39602</v>
      </c>
      <c r="B595" s="36">
        <v>70012</v>
      </c>
      <c r="C595">
        <f t="shared" si="73"/>
        <v>-2.621806194973364E-2</v>
      </c>
    </row>
    <row r="596" spans="1:3" x14ac:dyDescent="0.3">
      <c r="A596" s="28">
        <v>39603</v>
      </c>
      <c r="B596" s="36">
        <v>68673</v>
      </c>
      <c r="C596">
        <f t="shared" si="73"/>
        <v>-1.9125292806947414E-2</v>
      </c>
    </row>
    <row r="597" spans="1:3" x14ac:dyDescent="0.3">
      <c r="A597" s="28">
        <v>39604</v>
      </c>
      <c r="B597" s="36">
        <v>71235</v>
      </c>
      <c r="C597">
        <f t="shared" si="73"/>
        <v>3.7307238652745545E-2</v>
      </c>
    </row>
    <row r="598" spans="1:3" x14ac:dyDescent="0.3">
      <c r="A598" s="28">
        <v>39605</v>
      </c>
      <c r="B598" s="36">
        <v>69786</v>
      </c>
      <c r="C598">
        <f t="shared" si="73"/>
        <v>-2.0341124447252001E-2</v>
      </c>
    </row>
    <row r="599" spans="1:3" x14ac:dyDescent="0.3">
      <c r="A599" s="28">
        <v>39608</v>
      </c>
      <c r="B599" s="36">
        <v>69281</v>
      </c>
      <c r="C599">
        <f t="shared" si="73"/>
        <v>-7.2364084486860047E-3</v>
      </c>
    </row>
    <row r="600" spans="1:3" x14ac:dyDescent="0.3">
      <c r="A600" s="28">
        <v>39609</v>
      </c>
      <c r="B600" s="36">
        <v>67775</v>
      </c>
      <c r="C600">
        <f t="shared" si="73"/>
        <v>-2.1737561524804772E-2</v>
      </c>
    </row>
    <row r="601" spans="1:3" x14ac:dyDescent="0.3">
      <c r="A601" s="28">
        <v>39610</v>
      </c>
      <c r="B601" s="36">
        <v>66795</v>
      </c>
      <c r="C601">
        <f t="shared" si="73"/>
        <v>-1.4459609000368912E-2</v>
      </c>
    </row>
    <row r="602" spans="1:3" x14ac:dyDescent="0.3">
      <c r="A602" s="28">
        <v>39611</v>
      </c>
      <c r="B602" s="36">
        <v>67322</v>
      </c>
      <c r="C602">
        <f t="shared" si="73"/>
        <v>7.8898121116850461E-3</v>
      </c>
    </row>
    <row r="603" spans="1:3" x14ac:dyDescent="0.3">
      <c r="A603" s="28">
        <v>39612</v>
      </c>
      <c r="B603" s="36">
        <v>67204</v>
      </c>
      <c r="C603">
        <f t="shared" si="73"/>
        <v>-1.7527702682629265E-3</v>
      </c>
    </row>
    <row r="604" spans="1:3" x14ac:dyDescent="0.3">
      <c r="A604" s="28">
        <v>39615</v>
      </c>
      <c r="B604" s="36">
        <v>67285</v>
      </c>
      <c r="C604">
        <f t="shared" si="73"/>
        <v>1.2052853996786794E-3</v>
      </c>
    </row>
    <row r="605" spans="1:3" x14ac:dyDescent="0.3">
      <c r="A605" s="28">
        <v>39616</v>
      </c>
      <c r="B605" s="36">
        <v>68438</v>
      </c>
      <c r="C605">
        <f t="shared" si="73"/>
        <v>1.7136063015531056E-2</v>
      </c>
    </row>
    <row r="606" spans="1:3" x14ac:dyDescent="0.3">
      <c r="A606" s="28">
        <v>39617</v>
      </c>
      <c r="B606" s="36">
        <v>67090</v>
      </c>
      <c r="C606">
        <f t="shared" si="73"/>
        <v>-1.9696659750431E-2</v>
      </c>
    </row>
    <row r="607" spans="1:3" x14ac:dyDescent="0.3">
      <c r="A607" s="28">
        <v>39618</v>
      </c>
      <c r="B607" s="36">
        <v>66590</v>
      </c>
      <c r="C607">
        <f t="shared" si="73"/>
        <v>-7.452675510508322E-3</v>
      </c>
    </row>
    <row r="608" spans="1:3" x14ac:dyDescent="0.3">
      <c r="A608" s="28">
        <v>39619</v>
      </c>
      <c r="B608" s="36">
        <v>64614</v>
      </c>
      <c r="C608">
        <f t="shared" si="73"/>
        <v>-2.967412524403068E-2</v>
      </c>
    </row>
    <row r="609" spans="1:3" x14ac:dyDescent="0.3">
      <c r="A609" s="28">
        <v>39622</v>
      </c>
      <c r="B609" s="36">
        <v>64640</v>
      </c>
      <c r="C609">
        <f t="shared" si="73"/>
        <v>4.0238957501470551E-4</v>
      </c>
    </row>
    <row r="610" spans="1:3" x14ac:dyDescent="0.3">
      <c r="A610" s="28">
        <v>39623</v>
      </c>
      <c r="B610" s="36">
        <v>64168</v>
      </c>
      <c r="C610">
        <f t="shared" si="73"/>
        <v>-7.301980198019753E-3</v>
      </c>
    </row>
    <row r="611" spans="1:3" x14ac:dyDescent="0.3">
      <c r="A611" s="28">
        <v>39624</v>
      </c>
      <c r="B611" s="36">
        <v>65853</v>
      </c>
      <c r="C611">
        <f t="shared" si="73"/>
        <v>2.6259194614137948E-2</v>
      </c>
    </row>
    <row r="612" spans="1:3" x14ac:dyDescent="0.3">
      <c r="A612" s="28">
        <v>39625</v>
      </c>
      <c r="B612" s="36">
        <v>63947</v>
      </c>
      <c r="C612">
        <f t="shared" si="73"/>
        <v>-2.8943252395486896E-2</v>
      </c>
    </row>
    <row r="613" spans="1:3" x14ac:dyDescent="0.3">
      <c r="A613" s="28">
        <v>39626</v>
      </c>
      <c r="B613" s="36">
        <v>64321</v>
      </c>
      <c r="C613">
        <f t="shared" si="73"/>
        <v>5.8485933663814382E-3</v>
      </c>
    </row>
    <row r="614" spans="1:3" x14ac:dyDescent="0.3">
      <c r="A614" s="28">
        <v>39629</v>
      </c>
      <c r="B614" s="36">
        <v>65018</v>
      </c>
      <c r="C614">
        <f t="shared" si="73"/>
        <v>1.083627431165568E-2</v>
      </c>
    </row>
    <row r="615" spans="1:3" x14ac:dyDescent="0.3">
      <c r="A615" s="28">
        <v>39630</v>
      </c>
      <c r="B615" s="36">
        <v>63396</v>
      </c>
      <c r="C615">
        <f t="shared" si="73"/>
        <v>-2.4946937771078814E-2</v>
      </c>
    </row>
    <row r="616" spans="1:3" x14ac:dyDescent="0.3">
      <c r="A616" s="28">
        <v>39631</v>
      </c>
      <c r="B616" s="36">
        <v>61106</v>
      </c>
      <c r="C616">
        <f t="shared" si="73"/>
        <v>-3.6122152817212427E-2</v>
      </c>
    </row>
    <row r="617" spans="1:3" x14ac:dyDescent="0.3">
      <c r="A617" s="28">
        <v>39632</v>
      </c>
      <c r="B617" s="36">
        <v>59273</v>
      </c>
      <c r="C617">
        <f t="shared" si="73"/>
        <v>-2.9997054299086834E-2</v>
      </c>
    </row>
    <row r="618" spans="1:3" x14ac:dyDescent="0.3">
      <c r="A618" s="28">
        <v>39633</v>
      </c>
      <c r="B618" s="36">
        <v>59365</v>
      </c>
      <c r="C618">
        <f t="shared" si="73"/>
        <v>1.5521400975149202E-3</v>
      </c>
    </row>
    <row r="619" spans="1:3" x14ac:dyDescent="0.3">
      <c r="A619" s="28">
        <v>39636</v>
      </c>
      <c r="B619" s="36">
        <v>59088</v>
      </c>
      <c r="C619">
        <f t="shared" si="73"/>
        <v>-4.6660490187820924E-3</v>
      </c>
    </row>
    <row r="620" spans="1:3" x14ac:dyDescent="0.3">
      <c r="A620" s="28">
        <v>39637</v>
      </c>
      <c r="B620" s="36">
        <v>59536</v>
      </c>
      <c r="C620">
        <f t="shared" si="73"/>
        <v>7.5819117248849821E-3</v>
      </c>
    </row>
    <row r="621" spans="1:3" x14ac:dyDescent="0.3">
      <c r="A621" s="28">
        <v>39639</v>
      </c>
      <c r="B621" s="36">
        <v>60253</v>
      </c>
      <c r="C621">
        <f t="shared" si="73"/>
        <v>1.2043133566245645E-2</v>
      </c>
    </row>
    <row r="622" spans="1:3" x14ac:dyDescent="0.3">
      <c r="A622" s="28">
        <v>39640</v>
      </c>
      <c r="B622" s="36">
        <v>60148</v>
      </c>
      <c r="C622">
        <f t="shared" si="73"/>
        <v>-1.742651818166685E-3</v>
      </c>
    </row>
    <row r="623" spans="1:3" x14ac:dyDescent="0.3">
      <c r="A623" s="28">
        <v>39643</v>
      </c>
      <c r="B623" s="36">
        <v>60721</v>
      </c>
      <c r="C623">
        <f t="shared" si="73"/>
        <v>9.5265012968013263E-3</v>
      </c>
    </row>
    <row r="624" spans="1:3" x14ac:dyDescent="0.3">
      <c r="A624" s="28">
        <v>39644</v>
      </c>
      <c r="B624" s="36">
        <v>61015</v>
      </c>
      <c r="C624">
        <f t="shared" si="73"/>
        <v>4.8418174931244007E-3</v>
      </c>
    </row>
    <row r="625" spans="1:3" x14ac:dyDescent="0.3">
      <c r="A625" s="28">
        <v>39645</v>
      </c>
      <c r="B625" s="36">
        <v>62056</v>
      </c>
      <c r="C625">
        <f t="shared" si="73"/>
        <v>1.7061378349586098E-2</v>
      </c>
    </row>
    <row r="626" spans="1:3" x14ac:dyDescent="0.3">
      <c r="A626" s="28">
        <v>39646</v>
      </c>
      <c r="B626" s="36">
        <v>60109</v>
      </c>
      <c r="C626">
        <f t="shared" si="73"/>
        <v>-3.1374887198659329E-2</v>
      </c>
    </row>
    <row r="627" spans="1:3" x14ac:dyDescent="0.3">
      <c r="A627" s="28">
        <v>39647</v>
      </c>
      <c r="B627" s="36">
        <v>59988</v>
      </c>
      <c r="C627">
        <f t="shared" si="73"/>
        <v>-2.0130096990467194E-3</v>
      </c>
    </row>
    <row r="628" spans="1:3" x14ac:dyDescent="0.3">
      <c r="A628" s="28">
        <v>39650</v>
      </c>
      <c r="B628" s="36">
        <v>60772</v>
      </c>
      <c r="C628">
        <f t="shared" si="73"/>
        <v>1.3069280522771232E-2</v>
      </c>
    </row>
    <row r="629" spans="1:3" x14ac:dyDescent="0.3">
      <c r="A629" s="28">
        <v>39651</v>
      </c>
      <c r="B629" s="36">
        <v>59647</v>
      </c>
      <c r="C629">
        <f t="shared" si="73"/>
        <v>-1.8511814651484215E-2</v>
      </c>
    </row>
    <row r="630" spans="1:3" x14ac:dyDescent="0.3">
      <c r="A630" s="28">
        <v>39652</v>
      </c>
      <c r="B630" s="36">
        <v>59421</v>
      </c>
      <c r="C630">
        <f t="shared" si="73"/>
        <v>-3.7889583717538589E-3</v>
      </c>
    </row>
    <row r="631" spans="1:3" x14ac:dyDescent="0.3">
      <c r="A631" s="28">
        <v>39653</v>
      </c>
      <c r="B631" s="36">
        <v>57434</v>
      </c>
      <c r="C631">
        <f t="shared" si="73"/>
        <v>-3.3439356456471669E-2</v>
      </c>
    </row>
    <row r="632" spans="1:3" x14ac:dyDescent="0.3">
      <c r="A632" s="28">
        <v>39654</v>
      </c>
      <c r="B632" s="36">
        <v>57199</v>
      </c>
      <c r="C632">
        <f t="shared" si="73"/>
        <v>-4.0916530278232166E-3</v>
      </c>
    </row>
    <row r="633" spans="1:3" x14ac:dyDescent="0.3">
      <c r="A633" s="28">
        <v>39657</v>
      </c>
      <c r="B633" s="36">
        <v>56869</v>
      </c>
      <c r="C633">
        <f t="shared" si="73"/>
        <v>-5.7693316316719256E-3</v>
      </c>
    </row>
    <row r="634" spans="1:3" x14ac:dyDescent="0.3">
      <c r="A634" s="28">
        <v>39658</v>
      </c>
      <c r="B634" s="36">
        <v>58043</v>
      </c>
      <c r="C634">
        <f t="shared" si="73"/>
        <v>2.0643936063584833E-2</v>
      </c>
    </row>
    <row r="635" spans="1:3" x14ac:dyDescent="0.3">
      <c r="A635" s="28">
        <v>39659</v>
      </c>
      <c r="B635" s="36">
        <v>59998</v>
      </c>
      <c r="C635">
        <f t="shared" si="73"/>
        <v>3.3681925469048801E-2</v>
      </c>
    </row>
    <row r="636" spans="1:3" x14ac:dyDescent="0.3">
      <c r="A636" s="28">
        <v>39660</v>
      </c>
      <c r="B636" s="36">
        <v>59505</v>
      </c>
      <c r="C636">
        <f t="shared" si="73"/>
        <v>-8.216940564685471E-3</v>
      </c>
    </row>
    <row r="637" spans="1:3" x14ac:dyDescent="0.3">
      <c r="A637" s="28">
        <v>39661</v>
      </c>
      <c r="B637" s="36">
        <v>57630</v>
      </c>
      <c r="C637">
        <f t="shared" si="73"/>
        <v>-3.1509957146458323E-2</v>
      </c>
    </row>
    <row r="638" spans="1:3" x14ac:dyDescent="0.3">
      <c r="A638" s="28">
        <v>39664</v>
      </c>
      <c r="B638" s="36">
        <v>55609</v>
      </c>
      <c r="C638">
        <f t="shared" si="73"/>
        <v>-3.5068540690612493E-2</v>
      </c>
    </row>
    <row r="639" spans="1:3" x14ac:dyDescent="0.3">
      <c r="A639" s="28">
        <v>39665</v>
      </c>
      <c r="B639" s="36">
        <v>56471</v>
      </c>
      <c r="C639">
        <f t="shared" si="73"/>
        <v>1.5501087953388781E-2</v>
      </c>
    </row>
    <row r="640" spans="1:3" x14ac:dyDescent="0.3">
      <c r="A640" s="28">
        <v>39666</v>
      </c>
      <c r="B640" s="36">
        <v>57542</v>
      </c>
      <c r="C640">
        <f t="shared" si="73"/>
        <v>1.8965486709992652E-2</v>
      </c>
    </row>
    <row r="641" spans="1:3" x14ac:dyDescent="0.3">
      <c r="A641" s="28">
        <v>39667</v>
      </c>
      <c r="B641" s="36">
        <v>57018</v>
      </c>
      <c r="C641">
        <f t="shared" si="73"/>
        <v>-9.1063918529074028E-3</v>
      </c>
    </row>
    <row r="642" spans="1:3" x14ac:dyDescent="0.3">
      <c r="A642" s="28">
        <v>39668</v>
      </c>
      <c r="B642" s="36">
        <v>56584</v>
      </c>
      <c r="C642">
        <f t="shared" si="73"/>
        <v>-7.6116314146409403E-3</v>
      </c>
    </row>
    <row r="643" spans="1:3" x14ac:dyDescent="0.3">
      <c r="A643" s="28">
        <v>39671</v>
      </c>
      <c r="B643" s="36">
        <v>54720</v>
      </c>
      <c r="C643">
        <f t="shared" si="73"/>
        <v>-3.2942174466280227E-2</v>
      </c>
    </row>
    <row r="644" spans="1:3" x14ac:dyDescent="0.3">
      <c r="A644" s="28">
        <v>39672</v>
      </c>
      <c r="B644" s="36">
        <v>54503</v>
      </c>
      <c r="C644">
        <f t="shared" ref="C644:C707" si="74">B644/B643-1</f>
        <v>-3.9656432748538251E-3</v>
      </c>
    </row>
    <row r="645" spans="1:3" x14ac:dyDescent="0.3">
      <c r="A645" s="28">
        <v>39673</v>
      </c>
      <c r="B645" s="36">
        <v>54573</v>
      </c>
      <c r="C645">
        <f t="shared" si="74"/>
        <v>1.284332972496971E-3</v>
      </c>
    </row>
    <row r="646" spans="1:3" x14ac:dyDescent="0.3">
      <c r="A646" s="28">
        <v>39674</v>
      </c>
      <c r="B646" s="36">
        <v>55138</v>
      </c>
      <c r="C646">
        <f t="shared" si="74"/>
        <v>1.0353105015300512E-2</v>
      </c>
    </row>
    <row r="647" spans="1:3" x14ac:dyDescent="0.3">
      <c r="A647" s="28">
        <v>39675</v>
      </c>
      <c r="B647" s="36">
        <v>54244</v>
      </c>
      <c r="C647">
        <f t="shared" si="74"/>
        <v>-1.6213863397294026E-2</v>
      </c>
    </row>
    <row r="648" spans="1:3" x14ac:dyDescent="0.3">
      <c r="A648" s="28">
        <v>39678</v>
      </c>
      <c r="B648" s="36">
        <v>53327</v>
      </c>
      <c r="C648">
        <f t="shared" si="74"/>
        <v>-1.6905095494432532E-2</v>
      </c>
    </row>
    <row r="649" spans="1:3" x14ac:dyDescent="0.3">
      <c r="A649" s="28">
        <v>39679</v>
      </c>
      <c r="B649" s="36">
        <v>53639</v>
      </c>
      <c r="C649">
        <f t="shared" si="74"/>
        <v>5.8506947700038836E-3</v>
      </c>
    </row>
    <row r="650" spans="1:3" x14ac:dyDescent="0.3">
      <c r="A650" s="28">
        <v>39680</v>
      </c>
      <c r="B650" s="36">
        <v>55377</v>
      </c>
      <c r="C650">
        <f t="shared" si="74"/>
        <v>3.2401797199798743E-2</v>
      </c>
    </row>
    <row r="651" spans="1:3" x14ac:dyDescent="0.3">
      <c r="A651" s="28">
        <v>39681</v>
      </c>
      <c r="B651" s="36">
        <v>55935</v>
      </c>
      <c r="C651">
        <f t="shared" si="74"/>
        <v>1.0076385503006602E-2</v>
      </c>
    </row>
    <row r="652" spans="1:3" x14ac:dyDescent="0.3">
      <c r="A652" s="28">
        <v>39682</v>
      </c>
      <c r="B652" s="36">
        <v>55850</v>
      </c>
      <c r="C652">
        <f t="shared" si="74"/>
        <v>-1.519620988647552E-3</v>
      </c>
    </row>
    <row r="653" spans="1:3" x14ac:dyDescent="0.3">
      <c r="A653" s="28">
        <v>39685</v>
      </c>
      <c r="B653" s="36">
        <v>54477</v>
      </c>
      <c r="C653">
        <f t="shared" si="74"/>
        <v>-2.4583706356311574E-2</v>
      </c>
    </row>
    <row r="654" spans="1:3" x14ac:dyDescent="0.3">
      <c r="A654" s="28">
        <v>39686</v>
      </c>
      <c r="B654" s="36">
        <v>54359</v>
      </c>
      <c r="C654">
        <f t="shared" si="74"/>
        <v>-2.1660517282522385E-3</v>
      </c>
    </row>
    <row r="655" spans="1:3" x14ac:dyDescent="0.3">
      <c r="A655" s="28">
        <v>39687</v>
      </c>
      <c r="B655" s="36">
        <v>55519</v>
      </c>
      <c r="C655">
        <f t="shared" si="74"/>
        <v>2.1339612575654421E-2</v>
      </c>
    </row>
    <row r="656" spans="1:3" x14ac:dyDescent="0.3">
      <c r="A656" s="28">
        <v>39688</v>
      </c>
      <c r="B656" s="36">
        <v>56382</v>
      </c>
      <c r="C656">
        <f t="shared" si="74"/>
        <v>1.5544228102091218E-2</v>
      </c>
    </row>
    <row r="657" spans="1:3" x14ac:dyDescent="0.3">
      <c r="A657" s="28">
        <v>39689</v>
      </c>
      <c r="B657" s="36">
        <v>55680</v>
      </c>
      <c r="C657">
        <f t="shared" si="74"/>
        <v>-1.2450782164520557E-2</v>
      </c>
    </row>
    <row r="658" spans="1:3" x14ac:dyDescent="0.3">
      <c r="A658" s="28">
        <v>39692</v>
      </c>
      <c r="B658" s="36">
        <v>55162</v>
      </c>
      <c r="C658">
        <f t="shared" si="74"/>
        <v>-9.3031609195401987E-3</v>
      </c>
    </row>
    <row r="659" spans="1:3" x14ac:dyDescent="0.3">
      <c r="A659" s="28">
        <v>39693</v>
      </c>
      <c r="B659" s="36">
        <v>54404</v>
      </c>
      <c r="C659">
        <f t="shared" si="74"/>
        <v>-1.3741343678619344E-2</v>
      </c>
    </row>
    <row r="660" spans="1:3" x14ac:dyDescent="0.3">
      <c r="A660" s="28">
        <v>39694</v>
      </c>
      <c r="B660" s="36">
        <v>53527</v>
      </c>
      <c r="C660">
        <f t="shared" si="74"/>
        <v>-1.6120138225130476E-2</v>
      </c>
    </row>
    <row r="661" spans="1:3" x14ac:dyDescent="0.3">
      <c r="A661" s="28">
        <v>39695</v>
      </c>
      <c r="B661" s="36">
        <v>51409</v>
      </c>
      <c r="C661">
        <f t="shared" si="74"/>
        <v>-3.956881573785187E-2</v>
      </c>
    </row>
    <row r="662" spans="1:3" x14ac:dyDescent="0.3">
      <c r="A662" s="28">
        <v>39696</v>
      </c>
      <c r="B662" s="36">
        <v>51940</v>
      </c>
      <c r="C662">
        <f t="shared" si="74"/>
        <v>1.0328930731972941E-2</v>
      </c>
    </row>
    <row r="663" spans="1:3" x14ac:dyDescent="0.3">
      <c r="A663" s="28">
        <v>39699</v>
      </c>
      <c r="B663" s="36">
        <v>50718</v>
      </c>
      <c r="C663">
        <f t="shared" si="74"/>
        <v>-2.3527146707739699E-2</v>
      </c>
    </row>
    <row r="664" spans="1:3" x14ac:dyDescent="0.3">
      <c r="A664" s="28">
        <v>39700</v>
      </c>
      <c r="B664" s="36">
        <v>48435</v>
      </c>
      <c r="C664">
        <f t="shared" si="74"/>
        <v>-4.501360463740689E-2</v>
      </c>
    </row>
    <row r="665" spans="1:3" x14ac:dyDescent="0.3">
      <c r="A665" s="28">
        <v>39701</v>
      </c>
      <c r="B665" s="36">
        <v>49633</v>
      </c>
      <c r="C665">
        <f t="shared" si="74"/>
        <v>2.4734179828636238E-2</v>
      </c>
    </row>
    <row r="666" spans="1:3" x14ac:dyDescent="0.3">
      <c r="A666" s="28">
        <v>39702</v>
      </c>
      <c r="B666" s="36">
        <v>51270</v>
      </c>
      <c r="C666">
        <f t="shared" si="74"/>
        <v>3.2982088529808884E-2</v>
      </c>
    </row>
    <row r="667" spans="1:3" x14ac:dyDescent="0.3">
      <c r="A667" s="28">
        <v>39703</v>
      </c>
      <c r="B667" s="36">
        <v>52393</v>
      </c>
      <c r="C667">
        <f t="shared" si="74"/>
        <v>2.1903647357129019E-2</v>
      </c>
    </row>
    <row r="668" spans="1:3" x14ac:dyDescent="0.3">
      <c r="A668" s="28">
        <v>39706</v>
      </c>
      <c r="B668" s="36">
        <v>48416</v>
      </c>
      <c r="C668">
        <f t="shared" si="74"/>
        <v>-7.5907086824575809E-2</v>
      </c>
    </row>
    <row r="669" spans="1:3" x14ac:dyDescent="0.3">
      <c r="A669" s="28">
        <v>39707</v>
      </c>
      <c r="B669" s="36">
        <v>49229</v>
      </c>
      <c r="C669">
        <f t="shared" si="74"/>
        <v>1.6791969596827494E-2</v>
      </c>
    </row>
    <row r="670" spans="1:3" x14ac:dyDescent="0.3">
      <c r="A670" s="28">
        <v>39708</v>
      </c>
      <c r="B670" s="36">
        <v>45909</v>
      </c>
      <c r="C670">
        <f t="shared" si="74"/>
        <v>-6.7439923622255149E-2</v>
      </c>
    </row>
    <row r="671" spans="1:3" x14ac:dyDescent="0.3">
      <c r="A671" s="28">
        <v>39709</v>
      </c>
      <c r="B671" s="36">
        <v>48423</v>
      </c>
      <c r="C671">
        <f t="shared" si="74"/>
        <v>5.4760504476246474E-2</v>
      </c>
    </row>
    <row r="672" spans="1:3" x14ac:dyDescent="0.3">
      <c r="A672" s="28">
        <v>39710</v>
      </c>
      <c r="B672" s="36">
        <v>53055</v>
      </c>
      <c r="C672">
        <f t="shared" si="74"/>
        <v>9.5657022489312959E-2</v>
      </c>
    </row>
    <row r="673" spans="1:3" x14ac:dyDescent="0.3">
      <c r="A673" s="28">
        <v>39713</v>
      </c>
      <c r="B673" s="36">
        <v>51541</v>
      </c>
      <c r="C673">
        <f t="shared" si="74"/>
        <v>-2.8536424465177679E-2</v>
      </c>
    </row>
    <row r="674" spans="1:3" x14ac:dyDescent="0.3">
      <c r="A674" s="28">
        <v>39714</v>
      </c>
      <c r="B674" s="36">
        <v>49593</v>
      </c>
      <c r="C674">
        <f t="shared" si="74"/>
        <v>-3.7795153373042845E-2</v>
      </c>
    </row>
    <row r="675" spans="1:3" x14ac:dyDescent="0.3">
      <c r="A675" s="28">
        <v>39715</v>
      </c>
      <c r="B675" s="36">
        <v>49843</v>
      </c>
      <c r="C675">
        <f t="shared" si="74"/>
        <v>5.0410340168975942E-3</v>
      </c>
    </row>
    <row r="676" spans="1:3" x14ac:dyDescent="0.3">
      <c r="A676" s="28">
        <v>39716</v>
      </c>
      <c r="B676" s="36">
        <v>51828</v>
      </c>
      <c r="C676">
        <f t="shared" si="74"/>
        <v>3.9825050659069383E-2</v>
      </c>
    </row>
    <row r="677" spans="1:3" x14ac:dyDescent="0.3">
      <c r="A677" s="28">
        <v>39717</v>
      </c>
      <c r="B677" s="36">
        <v>50783</v>
      </c>
      <c r="C677">
        <f t="shared" si="74"/>
        <v>-2.0162846337886897E-2</v>
      </c>
    </row>
    <row r="678" spans="1:3" x14ac:dyDescent="0.3">
      <c r="A678" s="28">
        <v>39720</v>
      </c>
      <c r="B678" s="36">
        <v>46028</v>
      </c>
      <c r="C678">
        <f t="shared" si="74"/>
        <v>-9.363369631569618E-2</v>
      </c>
    </row>
    <row r="679" spans="1:3" x14ac:dyDescent="0.3">
      <c r="A679" s="28">
        <v>39721</v>
      </c>
      <c r="B679" s="36">
        <v>49541</v>
      </c>
      <c r="C679">
        <f t="shared" si="74"/>
        <v>7.6323107673589963E-2</v>
      </c>
    </row>
    <row r="680" spans="1:3" x14ac:dyDescent="0.3">
      <c r="A680" s="28">
        <v>39722</v>
      </c>
      <c r="B680" s="36">
        <v>49799</v>
      </c>
      <c r="C680">
        <f t="shared" si="74"/>
        <v>5.2078076744515034E-3</v>
      </c>
    </row>
    <row r="681" spans="1:3" x14ac:dyDescent="0.3">
      <c r="A681" s="28">
        <v>39723</v>
      </c>
      <c r="B681" s="36">
        <v>46145</v>
      </c>
      <c r="C681">
        <f t="shared" si="74"/>
        <v>-7.3374967368822652E-2</v>
      </c>
    </row>
    <row r="682" spans="1:3" x14ac:dyDescent="0.3">
      <c r="A682" s="28">
        <v>39724</v>
      </c>
      <c r="B682" s="36">
        <v>44517</v>
      </c>
      <c r="C682">
        <f t="shared" si="74"/>
        <v>-3.5280095351609031E-2</v>
      </c>
    </row>
    <row r="683" spans="1:3" x14ac:dyDescent="0.3">
      <c r="A683" s="28">
        <v>39727</v>
      </c>
      <c r="B683" s="36">
        <v>42101</v>
      </c>
      <c r="C683">
        <f t="shared" si="74"/>
        <v>-5.4271401936338948E-2</v>
      </c>
    </row>
    <row r="684" spans="1:3" x14ac:dyDescent="0.3">
      <c r="A684" s="28">
        <v>39728</v>
      </c>
      <c r="B684" s="36">
        <v>40140</v>
      </c>
      <c r="C684">
        <f t="shared" si="74"/>
        <v>-4.6578466069689517E-2</v>
      </c>
    </row>
    <row r="685" spans="1:3" x14ac:dyDescent="0.3">
      <c r="A685" s="28">
        <v>39729</v>
      </c>
      <c r="B685" s="36">
        <v>38594</v>
      </c>
      <c r="C685">
        <f t="shared" si="74"/>
        <v>-3.851519681116089E-2</v>
      </c>
    </row>
    <row r="686" spans="1:3" x14ac:dyDescent="0.3">
      <c r="A686" s="28">
        <v>39730</v>
      </c>
      <c r="B686" s="36">
        <v>37080</v>
      </c>
      <c r="C686">
        <f t="shared" si="74"/>
        <v>-3.9228895683266818E-2</v>
      </c>
    </row>
    <row r="687" spans="1:3" x14ac:dyDescent="0.3">
      <c r="A687" s="28">
        <v>39731</v>
      </c>
      <c r="B687" s="36">
        <v>35610</v>
      </c>
      <c r="C687">
        <f t="shared" si="74"/>
        <v>-3.9644012944983764E-2</v>
      </c>
    </row>
    <row r="688" spans="1:3" x14ac:dyDescent="0.3">
      <c r="A688" s="28">
        <v>39734</v>
      </c>
      <c r="B688" s="36">
        <v>40829</v>
      </c>
      <c r="C688">
        <f t="shared" si="74"/>
        <v>0.14655995506880082</v>
      </c>
    </row>
    <row r="689" spans="1:3" x14ac:dyDescent="0.3">
      <c r="A689" s="28">
        <v>39735</v>
      </c>
      <c r="B689" s="36">
        <v>41569</v>
      </c>
      <c r="C689">
        <f t="shared" si="74"/>
        <v>1.8124372382375187E-2</v>
      </c>
    </row>
    <row r="690" spans="1:3" x14ac:dyDescent="0.3">
      <c r="A690" s="28">
        <v>39736</v>
      </c>
      <c r="B690" s="36">
        <v>36833</v>
      </c>
      <c r="C690">
        <f t="shared" si="74"/>
        <v>-0.11393105439149365</v>
      </c>
    </row>
    <row r="691" spans="1:3" x14ac:dyDescent="0.3">
      <c r="A691" s="28">
        <v>39737</v>
      </c>
      <c r="B691" s="36">
        <v>36442</v>
      </c>
      <c r="C691">
        <f t="shared" si="74"/>
        <v>-1.0615480683083156E-2</v>
      </c>
    </row>
    <row r="692" spans="1:3" x14ac:dyDescent="0.3">
      <c r="A692" s="28">
        <v>39738</v>
      </c>
      <c r="B692" s="36">
        <v>36399</v>
      </c>
      <c r="C692">
        <f t="shared" si="74"/>
        <v>-1.1799571922507246E-3</v>
      </c>
    </row>
    <row r="693" spans="1:3" x14ac:dyDescent="0.3">
      <c r="A693" s="28">
        <v>39741</v>
      </c>
      <c r="B693" s="36">
        <v>39441</v>
      </c>
      <c r="C693">
        <f t="shared" si="74"/>
        <v>8.3573724552872264E-2</v>
      </c>
    </row>
    <row r="694" spans="1:3" x14ac:dyDescent="0.3">
      <c r="A694" s="28">
        <v>39742</v>
      </c>
      <c r="B694" s="36">
        <v>39043</v>
      </c>
      <c r="C694">
        <f t="shared" si="74"/>
        <v>-1.0091022032909902E-2</v>
      </c>
    </row>
    <row r="695" spans="1:3" x14ac:dyDescent="0.3">
      <c r="A695" s="28">
        <v>39743</v>
      </c>
      <c r="B695" s="36">
        <v>35070</v>
      </c>
      <c r="C695">
        <f t="shared" si="74"/>
        <v>-0.10175959839151705</v>
      </c>
    </row>
    <row r="696" spans="1:3" x14ac:dyDescent="0.3">
      <c r="A696" s="28">
        <v>39744</v>
      </c>
      <c r="B696" s="36">
        <v>33818</v>
      </c>
      <c r="C696">
        <f t="shared" si="74"/>
        <v>-3.5700028514399795E-2</v>
      </c>
    </row>
    <row r="697" spans="1:3" x14ac:dyDescent="0.3">
      <c r="A697" s="28">
        <v>39745</v>
      </c>
      <c r="B697" s="36">
        <v>31482</v>
      </c>
      <c r="C697">
        <f t="shared" si="74"/>
        <v>-6.9075640191613941E-2</v>
      </c>
    </row>
    <row r="698" spans="1:3" x14ac:dyDescent="0.3">
      <c r="A698" s="28">
        <v>39748</v>
      </c>
      <c r="B698" s="36">
        <v>29435</v>
      </c>
      <c r="C698">
        <f t="shared" si="74"/>
        <v>-6.5021282002414083E-2</v>
      </c>
    </row>
    <row r="699" spans="1:3" x14ac:dyDescent="0.3">
      <c r="A699" s="28">
        <v>39749</v>
      </c>
      <c r="B699" s="36">
        <v>33387</v>
      </c>
      <c r="C699">
        <f t="shared" si="74"/>
        <v>0.13426193307287249</v>
      </c>
    </row>
    <row r="700" spans="1:3" x14ac:dyDescent="0.3">
      <c r="A700" s="28">
        <v>39750</v>
      </c>
      <c r="B700" s="36">
        <v>34845</v>
      </c>
      <c r="C700">
        <f t="shared" si="74"/>
        <v>4.3669691796208054E-2</v>
      </c>
    </row>
    <row r="701" spans="1:3" x14ac:dyDescent="0.3">
      <c r="A701" s="28">
        <v>39751</v>
      </c>
      <c r="B701" s="36">
        <v>37449</v>
      </c>
      <c r="C701">
        <f t="shared" si="74"/>
        <v>7.4730951356005271E-2</v>
      </c>
    </row>
    <row r="702" spans="1:3" x14ac:dyDescent="0.3">
      <c r="A702" s="28">
        <v>39752</v>
      </c>
      <c r="B702" s="36">
        <v>37257</v>
      </c>
      <c r="C702">
        <f t="shared" si="74"/>
        <v>-5.1269726828486739E-3</v>
      </c>
    </row>
    <row r="703" spans="1:3" x14ac:dyDescent="0.3">
      <c r="A703" s="28">
        <v>39755</v>
      </c>
      <c r="B703" s="36">
        <v>38249</v>
      </c>
      <c r="C703">
        <f t="shared" si="74"/>
        <v>2.6625868964221588E-2</v>
      </c>
    </row>
    <row r="704" spans="1:3" x14ac:dyDescent="0.3">
      <c r="A704" s="28">
        <v>39756</v>
      </c>
      <c r="B704" s="36">
        <v>40255</v>
      </c>
      <c r="C704">
        <f t="shared" si="74"/>
        <v>5.2445815576877886E-2</v>
      </c>
    </row>
    <row r="705" spans="1:3" x14ac:dyDescent="0.3">
      <c r="A705" s="28">
        <v>39757</v>
      </c>
      <c r="B705" s="36">
        <v>37786</v>
      </c>
      <c r="C705">
        <f t="shared" si="74"/>
        <v>-6.1333995776922112E-2</v>
      </c>
    </row>
    <row r="706" spans="1:3" x14ac:dyDescent="0.3">
      <c r="A706" s="28">
        <v>39758</v>
      </c>
      <c r="B706" s="36">
        <v>36362</v>
      </c>
      <c r="C706">
        <f t="shared" si="74"/>
        <v>-3.7685915418408933E-2</v>
      </c>
    </row>
    <row r="707" spans="1:3" x14ac:dyDescent="0.3">
      <c r="A707" s="28">
        <v>39759</v>
      </c>
      <c r="B707" s="36">
        <v>36665</v>
      </c>
      <c r="C707">
        <f t="shared" si="74"/>
        <v>8.332874979374072E-3</v>
      </c>
    </row>
    <row r="708" spans="1:3" x14ac:dyDescent="0.3">
      <c r="A708" s="28">
        <v>39762</v>
      </c>
      <c r="B708" s="36">
        <v>36776</v>
      </c>
      <c r="C708">
        <f t="shared" ref="C708:C771" si="75">B708/B707-1</f>
        <v>3.0274103368335137E-3</v>
      </c>
    </row>
    <row r="709" spans="1:3" x14ac:dyDescent="0.3">
      <c r="A709" s="28">
        <v>39763</v>
      </c>
      <c r="B709" s="36">
        <v>37262</v>
      </c>
      <c r="C709">
        <f t="shared" si="75"/>
        <v>1.3215140308897144E-2</v>
      </c>
    </row>
    <row r="710" spans="1:3" x14ac:dyDescent="0.3">
      <c r="A710" s="28">
        <v>39764</v>
      </c>
      <c r="B710" s="36">
        <v>34374</v>
      </c>
      <c r="C710">
        <f t="shared" si="75"/>
        <v>-7.7505233213461477E-2</v>
      </c>
    </row>
    <row r="711" spans="1:3" x14ac:dyDescent="0.3">
      <c r="A711" s="28">
        <v>39765</v>
      </c>
      <c r="B711" s="36">
        <v>35993</v>
      </c>
      <c r="C711">
        <f t="shared" si="75"/>
        <v>4.7099551986966803E-2</v>
      </c>
    </row>
    <row r="712" spans="1:3" x14ac:dyDescent="0.3">
      <c r="A712" s="28">
        <v>39766</v>
      </c>
      <c r="B712" s="36">
        <v>35789</v>
      </c>
      <c r="C712">
        <f t="shared" si="75"/>
        <v>-5.6677687328091642E-3</v>
      </c>
    </row>
    <row r="713" spans="1:3" x14ac:dyDescent="0.3">
      <c r="A713" s="28">
        <v>39769</v>
      </c>
      <c r="B713" s="36">
        <v>35717</v>
      </c>
      <c r="C713">
        <f t="shared" si="75"/>
        <v>-2.0117913325323755E-3</v>
      </c>
    </row>
    <row r="714" spans="1:3" x14ac:dyDescent="0.3">
      <c r="A714" s="28">
        <v>39770</v>
      </c>
      <c r="B714" s="36">
        <v>34095</v>
      </c>
      <c r="C714">
        <f t="shared" si="75"/>
        <v>-4.5412548646302842E-2</v>
      </c>
    </row>
    <row r="715" spans="1:3" x14ac:dyDescent="0.3">
      <c r="A715" s="28">
        <v>39771</v>
      </c>
      <c r="B715" s="36">
        <v>33405</v>
      </c>
      <c r="C715">
        <f t="shared" si="75"/>
        <v>-2.0237571491421025E-2</v>
      </c>
    </row>
    <row r="716" spans="1:3" x14ac:dyDescent="0.3">
      <c r="A716" s="28">
        <v>39773</v>
      </c>
      <c r="B716" s="36">
        <v>31251</v>
      </c>
      <c r="C716">
        <f t="shared" si="75"/>
        <v>-6.4481365065110041E-2</v>
      </c>
    </row>
    <row r="717" spans="1:3" x14ac:dyDescent="0.3">
      <c r="A717" s="28">
        <v>39776</v>
      </c>
      <c r="B717" s="36">
        <v>34189</v>
      </c>
      <c r="C717">
        <f t="shared" si="75"/>
        <v>9.4012991584269345E-2</v>
      </c>
    </row>
    <row r="718" spans="1:3" x14ac:dyDescent="0.3">
      <c r="A718" s="28">
        <v>39777</v>
      </c>
      <c r="B718" s="36">
        <v>34813</v>
      </c>
      <c r="C718">
        <f t="shared" si="75"/>
        <v>1.8251484395565898E-2</v>
      </c>
    </row>
    <row r="719" spans="1:3" x14ac:dyDescent="0.3">
      <c r="A719" s="28">
        <v>39778</v>
      </c>
      <c r="B719" s="36">
        <v>36470</v>
      </c>
      <c r="C719">
        <f t="shared" si="75"/>
        <v>4.7597161979720193E-2</v>
      </c>
    </row>
    <row r="720" spans="1:3" x14ac:dyDescent="0.3">
      <c r="A720" s="28">
        <v>39779</v>
      </c>
      <c r="B720" s="36">
        <v>36213</v>
      </c>
      <c r="C720">
        <f t="shared" si="75"/>
        <v>-7.0468878530298706E-3</v>
      </c>
    </row>
    <row r="721" spans="1:3" x14ac:dyDescent="0.3">
      <c r="A721" s="28">
        <v>39780</v>
      </c>
      <c r="B721" s="36">
        <v>36596</v>
      </c>
      <c r="C721">
        <f t="shared" si="75"/>
        <v>1.0576312374009245E-2</v>
      </c>
    </row>
    <row r="722" spans="1:3" x14ac:dyDescent="0.3">
      <c r="A722" s="28">
        <v>39783</v>
      </c>
      <c r="B722" s="36">
        <v>34741</v>
      </c>
      <c r="C722">
        <f t="shared" si="75"/>
        <v>-5.0688599846977822E-2</v>
      </c>
    </row>
    <row r="723" spans="1:3" x14ac:dyDescent="0.3">
      <c r="A723" s="28">
        <v>39784</v>
      </c>
      <c r="B723" s="36">
        <v>35001</v>
      </c>
      <c r="C723">
        <f t="shared" si="75"/>
        <v>7.4839526783916366E-3</v>
      </c>
    </row>
    <row r="724" spans="1:3" x14ac:dyDescent="0.3">
      <c r="A724" s="28">
        <v>39785</v>
      </c>
      <c r="B724" s="36">
        <v>35297</v>
      </c>
      <c r="C724">
        <f t="shared" si="75"/>
        <v>8.4569012313933101E-3</v>
      </c>
    </row>
    <row r="725" spans="1:3" x14ac:dyDescent="0.3">
      <c r="A725" s="28">
        <v>39786</v>
      </c>
      <c r="B725" s="36">
        <v>35128</v>
      </c>
      <c r="C725">
        <f t="shared" si="75"/>
        <v>-4.787942318044025E-3</v>
      </c>
    </row>
    <row r="726" spans="1:3" x14ac:dyDescent="0.3">
      <c r="A726" s="28">
        <v>39787</v>
      </c>
      <c r="B726" s="36">
        <v>35347</v>
      </c>
      <c r="C726">
        <f t="shared" si="75"/>
        <v>6.2343429742655054E-3</v>
      </c>
    </row>
    <row r="727" spans="1:3" x14ac:dyDescent="0.3">
      <c r="A727" s="28">
        <v>39790</v>
      </c>
      <c r="B727" s="36">
        <v>38285</v>
      </c>
      <c r="C727">
        <f t="shared" si="75"/>
        <v>8.3118793674144875E-2</v>
      </c>
    </row>
    <row r="728" spans="1:3" x14ac:dyDescent="0.3">
      <c r="A728" s="28">
        <v>39791</v>
      </c>
      <c r="B728" s="36">
        <v>37968</v>
      </c>
      <c r="C728">
        <f t="shared" si="75"/>
        <v>-8.280005223978093E-3</v>
      </c>
    </row>
    <row r="729" spans="1:3" x14ac:dyDescent="0.3">
      <c r="A729" s="28">
        <v>39792</v>
      </c>
      <c r="B729" s="36">
        <v>39004</v>
      </c>
      <c r="C729">
        <f t="shared" si="75"/>
        <v>2.7286135693215252E-2</v>
      </c>
    </row>
    <row r="730" spans="1:3" x14ac:dyDescent="0.3">
      <c r="A730" s="28">
        <v>39793</v>
      </c>
      <c r="B730" s="36">
        <v>38519</v>
      </c>
      <c r="C730">
        <f t="shared" si="75"/>
        <v>-1.2434622090042091E-2</v>
      </c>
    </row>
    <row r="731" spans="1:3" x14ac:dyDescent="0.3">
      <c r="A731" s="28">
        <v>39794</v>
      </c>
      <c r="B731" s="36">
        <v>39374</v>
      </c>
      <c r="C731">
        <f t="shared" si="75"/>
        <v>2.2196837924141288E-2</v>
      </c>
    </row>
    <row r="732" spans="1:3" x14ac:dyDescent="0.3">
      <c r="A732" s="28">
        <v>39797</v>
      </c>
      <c r="B732" s="36">
        <v>38320</v>
      </c>
      <c r="C732">
        <f t="shared" si="75"/>
        <v>-2.6768933814192097E-2</v>
      </c>
    </row>
    <row r="733" spans="1:3" x14ac:dyDescent="0.3">
      <c r="A733" s="28">
        <v>39798</v>
      </c>
      <c r="B733" s="36">
        <v>39993</v>
      </c>
      <c r="C733">
        <f t="shared" si="75"/>
        <v>4.365866388308981E-2</v>
      </c>
    </row>
    <row r="734" spans="1:3" x14ac:dyDescent="0.3">
      <c r="A734" s="28">
        <v>39799</v>
      </c>
      <c r="B734" s="36">
        <v>39947</v>
      </c>
      <c r="C734">
        <f t="shared" si="75"/>
        <v>-1.1502012852249166E-3</v>
      </c>
    </row>
    <row r="735" spans="1:3" x14ac:dyDescent="0.3">
      <c r="A735" s="28">
        <v>39800</v>
      </c>
      <c r="B735" s="36">
        <v>39536</v>
      </c>
      <c r="C735">
        <f t="shared" si="75"/>
        <v>-1.0288632437980283E-2</v>
      </c>
    </row>
    <row r="736" spans="1:3" x14ac:dyDescent="0.3">
      <c r="A736" s="28">
        <v>39801</v>
      </c>
      <c r="B736" s="36">
        <v>39131</v>
      </c>
      <c r="C736">
        <f t="shared" si="75"/>
        <v>-1.0243828409550737E-2</v>
      </c>
    </row>
    <row r="737" spans="1:3" x14ac:dyDescent="0.3">
      <c r="A737" s="28">
        <v>39804</v>
      </c>
      <c r="B737" s="36">
        <v>37619</v>
      </c>
      <c r="C737">
        <f t="shared" si="75"/>
        <v>-3.8639441874728453E-2</v>
      </c>
    </row>
    <row r="738" spans="1:3" x14ac:dyDescent="0.3">
      <c r="A738" s="28">
        <v>39805</v>
      </c>
      <c r="B738" s="36">
        <v>36471</v>
      </c>
      <c r="C738">
        <f t="shared" si="75"/>
        <v>-3.0516494324676402E-2</v>
      </c>
    </row>
    <row r="739" spans="1:3" x14ac:dyDescent="0.3">
      <c r="A739" s="28">
        <v>39808</v>
      </c>
      <c r="B739" s="36">
        <v>36864</v>
      </c>
      <c r="C739">
        <f t="shared" si="75"/>
        <v>1.0775684790655493E-2</v>
      </c>
    </row>
    <row r="740" spans="1:3" x14ac:dyDescent="0.3">
      <c r="A740" s="28">
        <v>39811</v>
      </c>
      <c r="B740" s="36">
        <v>37060</v>
      </c>
      <c r="C740">
        <f t="shared" si="75"/>
        <v>5.3168402777776791E-3</v>
      </c>
    </row>
    <row r="741" spans="1:3" x14ac:dyDescent="0.3">
      <c r="A741" s="28">
        <v>39812</v>
      </c>
      <c r="B741" s="36">
        <v>37550</v>
      </c>
      <c r="C741">
        <f t="shared" si="75"/>
        <v>1.3221802482460854E-2</v>
      </c>
    </row>
    <row r="742" spans="1:3" x14ac:dyDescent="0.3">
      <c r="A742" s="28">
        <v>39815</v>
      </c>
      <c r="B742" s="36">
        <v>40244</v>
      </c>
      <c r="C742">
        <f t="shared" si="75"/>
        <v>7.1744340878828305E-2</v>
      </c>
    </row>
    <row r="743" spans="1:3" x14ac:dyDescent="0.3">
      <c r="A743" s="28">
        <v>39818</v>
      </c>
      <c r="B743" s="36">
        <v>41519</v>
      </c>
      <c r="C743">
        <f t="shared" si="75"/>
        <v>3.1681741377596717E-2</v>
      </c>
    </row>
    <row r="744" spans="1:3" x14ac:dyDescent="0.3">
      <c r="A744" s="28">
        <v>39819</v>
      </c>
      <c r="B744" s="36">
        <v>42312</v>
      </c>
      <c r="C744">
        <f t="shared" si="75"/>
        <v>1.9099689298875289E-2</v>
      </c>
    </row>
    <row r="745" spans="1:3" x14ac:dyDescent="0.3">
      <c r="A745" s="28">
        <v>39820</v>
      </c>
      <c r="B745" s="36">
        <v>40820</v>
      </c>
      <c r="C745">
        <f t="shared" si="75"/>
        <v>-3.5261864246549424E-2</v>
      </c>
    </row>
    <row r="746" spans="1:3" x14ac:dyDescent="0.3">
      <c r="A746" s="28">
        <v>39821</v>
      </c>
      <c r="B746" s="36">
        <v>41991</v>
      </c>
      <c r="C746">
        <f t="shared" si="75"/>
        <v>2.8686918177364129E-2</v>
      </c>
    </row>
    <row r="747" spans="1:3" x14ac:dyDescent="0.3">
      <c r="A747" s="28">
        <v>39822</v>
      </c>
      <c r="B747" s="36">
        <v>41583</v>
      </c>
      <c r="C747">
        <f t="shared" si="75"/>
        <v>-9.7163677930984793E-3</v>
      </c>
    </row>
    <row r="748" spans="1:3" x14ac:dyDescent="0.3">
      <c r="A748" s="28">
        <v>39825</v>
      </c>
      <c r="B748" s="36">
        <v>39403</v>
      </c>
      <c r="C748">
        <f t="shared" si="75"/>
        <v>-5.2425269942043662E-2</v>
      </c>
    </row>
    <row r="749" spans="1:3" x14ac:dyDescent="0.3">
      <c r="A749" s="28">
        <v>39826</v>
      </c>
      <c r="B749" s="36">
        <v>39544</v>
      </c>
      <c r="C749">
        <f t="shared" si="75"/>
        <v>3.5784077354517052E-3</v>
      </c>
    </row>
    <row r="750" spans="1:3" x14ac:dyDescent="0.3">
      <c r="A750" s="28">
        <v>39827</v>
      </c>
      <c r="B750" s="36">
        <v>37982</v>
      </c>
      <c r="C750">
        <f t="shared" si="75"/>
        <v>-3.9500303459437558E-2</v>
      </c>
    </row>
    <row r="751" spans="1:3" x14ac:dyDescent="0.3">
      <c r="A751" s="28">
        <v>39828</v>
      </c>
      <c r="B751" s="36">
        <v>39151</v>
      </c>
      <c r="C751">
        <f t="shared" si="75"/>
        <v>3.077773682270557E-2</v>
      </c>
    </row>
    <row r="752" spans="1:3" x14ac:dyDescent="0.3">
      <c r="A752" s="28">
        <v>39829</v>
      </c>
      <c r="B752" s="36">
        <v>39342</v>
      </c>
      <c r="C752">
        <f t="shared" si="75"/>
        <v>4.8785471635461874E-3</v>
      </c>
    </row>
    <row r="753" spans="1:3" x14ac:dyDescent="0.3">
      <c r="A753" s="28">
        <v>39832</v>
      </c>
      <c r="B753" s="36">
        <v>38828</v>
      </c>
      <c r="C753">
        <f t="shared" si="75"/>
        <v>-1.306491789944586E-2</v>
      </c>
    </row>
    <row r="754" spans="1:3" x14ac:dyDescent="0.3">
      <c r="A754" s="28">
        <v>39833</v>
      </c>
      <c r="B754" s="36">
        <v>37272</v>
      </c>
      <c r="C754">
        <f t="shared" si="75"/>
        <v>-4.0074173277016567E-2</v>
      </c>
    </row>
    <row r="755" spans="1:3" x14ac:dyDescent="0.3">
      <c r="A755" s="28">
        <v>39834</v>
      </c>
      <c r="B755" s="36">
        <v>38543</v>
      </c>
      <c r="C755">
        <f t="shared" si="75"/>
        <v>3.4100665378836714E-2</v>
      </c>
    </row>
    <row r="756" spans="1:3" x14ac:dyDescent="0.3">
      <c r="A756" s="28">
        <v>39835</v>
      </c>
      <c r="B756" s="36">
        <v>37894</v>
      </c>
      <c r="C756">
        <f t="shared" si="75"/>
        <v>-1.6838336403497411E-2</v>
      </c>
    </row>
    <row r="757" spans="1:3" x14ac:dyDescent="0.3">
      <c r="A757" s="28">
        <v>39836</v>
      </c>
      <c r="B757" s="36">
        <v>38132</v>
      </c>
      <c r="C757">
        <f t="shared" si="75"/>
        <v>6.2806776798438602E-3</v>
      </c>
    </row>
    <row r="758" spans="1:3" x14ac:dyDescent="0.3">
      <c r="A758" s="28">
        <v>39839</v>
      </c>
      <c r="B758" s="36">
        <v>38509</v>
      </c>
      <c r="C758">
        <f t="shared" si="75"/>
        <v>9.886709325500842E-3</v>
      </c>
    </row>
    <row r="759" spans="1:3" x14ac:dyDescent="0.3">
      <c r="A759" s="28">
        <v>39840</v>
      </c>
      <c r="B759" s="36">
        <v>38699</v>
      </c>
      <c r="C759">
        <f t="shared" si="75"/>
        <v>4.9339115531434885E-3</v>
      </c>
    </row>
    <row r="760" spans="1:3" x14ac:dyDescent="0.3">
      <c r="A760" s="28">
        <v>39841</v>
      </c>
      <c r="B760" s="36">
        <v>40227</v>
      </c>
      <c r="C760">
        <f t="shared" si="75"/>
        <v>3.9484224398563361E-2</v>
      </c>
    </row>
    <row r="761" spans="1:3" x14ac:dyDescent="0.3">
      <c r="A761" s="28">
        <v>39842</v>
      </c>
      <c r="B761" s="36">
        <v>39638</v>
      </c>
      <c r="C761">
        <f t="shared" si="75"/>
        <v>-1.4641907176771829E-2</v>
      </c>
    </row>
    <row r="762" spans="1:3" x14ac:dyDescent="0.3">
      <c r="A762" s="28">
        <v>39843</v>
      </c>
      <c r="B762" s="36">
        <v>39301</v>
      </c>
      <c r="C762">
        <f t="shared" si="75"/>
        <v>-8.5019425803521953E-3</v>
      </c>
    </row>
    <row r="763" spans="1:3" x14ac:dyDescent="0.3">
      <c r="A763" s="28">
        <v>39846</v>
      </c>
      <c r="B763" s="36">
        <v>38666</v>
      </c>
      <c r="C763">
        <f t="shared" si="75"/>
        <v>-1.615734968575866E-2</v>
      </c>
    </row>
    <row r="764" spans="1:3" x14ac:dyDescent="0.3">
      <c r="A764" s="28">
        <v>39847</v>
      </c>
      <c r="B764" s="36">
        <v>39747</v>
      </c>
      <c r="C764">
        <f t="shared" si="75"/>
        <v>2.7957378575492742E-2</v>
      </c>
    </row>
    <row r="765" spans="1:3" x14ac:dyDescent="0.3">
      <c r="A765" s="28">
        <v>39848</v>
      </c>
      <c r="B765" s="36">
        <v>40129</v>
      </c>
      <c r="C765">
        <f t="shared" si="75"/>
        <v>9.6107882355900287E-3</v>
      </c>
    </row>
    <row r="766" spans="1:3" x14ac:dyDescent="0.3">
      <c r="A766" s="28">
        <v>39849</v>
      </c>
      <c r="B766" s="36">
        <v>41109</v>
      </c>
      <c r="C766">
        <f t="shared" si="75"/>
        <v>2.4421241496174861E-2</v>
      </c>
    </row>
    <row r="767" spans="1:3" x14ac:dyDescent="0.3">
      <c r="A767" s="28">
        <v>39850</v>
      </c>
      <c r="B767" s="36">
        <v>42756</v>
      </c>
      <c r="C767">
        <f t="shared" si="75"/>
        <v>4.0064219513975097E-2</v>
      </c>
    </row>
    <row r="768" spans="1:3" x14ac:dyDescent="0.3">
      <c r="A768" s="28">
        <v>39853</v>
      </c>
      <c r="B768" s="36">
        <v>42100</v>
      </c>
      <c r="C768">
        <f t="shared" si="75"/>
        <v>-1.5342875853681326E-2</v>
      </c>
    </row>
    <row r="769" spans="1:3" x14ac:dyDescent="0.3">
      <c r="A769" s="28">
        <v>39854</v>
      </c>
      <c r="B769" s="36">
        <v>41207</v>
      </c>
      <c r="C769">
        <f t="shared" si="75"/>
        <v>-2.1211401425178189E-2</v>
      </c>
    </row>
    <row r="770" spans="1:3" x14ac:dyDescent="0.3">
      <c r="A770" s="28">
        <v>39855</v>
      </c>
      <c r="B770" s="36">
        <v>40846</v>
      </c>
      <c r="C770">
        <f t="shared" si="75"/>
        <v>-8.7606474628096898E-3</v>
      </c>
    </row>
    <row r="771" spans="1:3" x14ac:dyDescent="0.3">
      <c r="A771" s="28">
        <v>39856</v>
      </c>
      <c r="B771" s="36">
        <v>40501</v>
      </c>
      <c r="C771">
        <f t="shared" si="75"/>
        <v>-8.446359496645961E-3</v>
      </c>
    </row>
    <row r="772" spans="1:3" x14ac:dyDescent="0.3">
      <c r="A772" s="28">
        <v>39857</v>
      </c>
      <c r="B772" s="36">
        <v>41674</v>
      </c>
      <c r="C772">
        <f t="shared" ref="C772:C835" si="76">B772/B771-1</f>
        <v>2.8962247845732314E-2</v>
      </c>
    </row>
    <row r="773" spans="1:3" x14ac:dyDescent="0.3">
      <c r="A773" s="28">
        <v>39860</v>
      </c>
      <c r="B773" s="36">
        <v>41841</v>
      </c>
      <c r="C773">
        <f t="shared" si="76"/>
        <v>4.0072947161300387E-3</v>
      </c>
    </row>
    <row r="774" spans="1:3" x14ac:dyDescent="0.3">
      <c r="A774" s="28">
        <v>39861</v>
      </c>
      <c r="B774" s="36">
        <v>39847</v>
      </c>
      <c r="C774">
        <f t="shared" si="76"/>
        <v>-4.7656604765660471E-2</v>
      </c>
    </row>
    <row r="775" spans="1:3" x14ac:dyDescent="0.3">
      <c r="A775" s="28">
        <v>39862</v>
      </c>
      <c r="B775" s="36">
        <v>39674</v>
      </c>
      <c r="C775">
        <f t="shared" si="76"/>
        <v>-4.3416066454187163E-3</v>
      </c>
    </row>
    <row r="776" spans="1:3" x14ac:dyDescent="0.3">
      <c r="A776" s="28">
        <v>39863</v>
      </c>
      <c r="B776" s="36">
        <v>39730</v>
      </c>
      <c r="C776">
        <f t="shared" si="76"/>
        <v>1.4115037556081678E-3</v>
      </c>
    </row>
    <row r="777" spans="1:3" x14ac:dyDescent="0.3">
      <c r="A777" s="28">
        <v>39864</v>
      </c>
      <c r="B777" s="36">
        <v>38715</v>
      </c>
      <c r="C777">
        <f t="shared" si="76"/>
        <v>-2.5547445255474477E-2</v>
      </c>
    </row>
    <row r="778" spans="1:3" x14ac:dyDescent="0.3">
      <c r="A778" s="28">
        <v>39869</v>
      </c>
      <c r="B778" s="36">
        <v>38232</v>
      </c>
      <c r="C778">
        <f t="shared" si="76"/>
        <v>-1.2475784579620286E-2</v>
      </c>
    </row>
    <row r="779" spans="1:3" x14ac:dyDescent="0.3">
      <c r="A779" s="28">
        <v>39870</v>
      </c>
      <c r="B779" s="36">
        <v>38180</v>
      </c>
      <c r="C779">
        <f t="shared" si="76"/>
        <v>-1.3601171793262701E-3</v>
      </c>
    </row>
    <row r="780" spans="1:3" x14ac:dyDescent="0.3">
      <c r="A780" s="28">
        <v>39871</v>
      </c>
      <c r="B780" s="36">
        <v>38183</v>
      </c>
      <c r="C780">
        <f t="shared" si="76"/>
        <v>7.8575170246120152E-5</v>
      </c>
    </row>
    <row r="781" spans="1:3" x14ac:dyDescent="0.3">
      <c r="A781" s="28">
        <v>39874</v>
      </c>
      <c r="B781" s="36">
        <v>36235</v>
      </c>
      <c r="C781">
        <f t="shared" si="76"/>
        <v>-5.1017468506927122E-2</v>
      </c>
    </row>
    <row r="782" spans="1:3" x14ac:dyDescent="0.3">
      <c r="A782" s="28">
        <v>39875</v>
      </c>
      <c r="B782" s="36">
        <v>36468</v>
      </c>
      <c r="C782">
        <f t="shared" si="76"/>
        <v>6.4302469987580491E-3</v>
      </c>
    </row>
    <row r="783" spans="1:3" x14ac:dyDescent="0.3">
      <c r="A783" s="28">
        <v>39876</v>
      </c>
      <c r="B783" s="36">
        <v>38402</v>
      </c>
      <c r="C783">
        <f t="shared" si="76"/>
        <v>5.3032795875836314E-2</v>
      </c>
    </row>
    <row r="784" spans="1:3" x14ac:dyDescent="0.3">
      <c r="A784" s="28">
        <v>39877</v>
      </c>
      <c r="B784" s="36">
        <v>37369</v>
      </c>
      <c r="C784">
        <f t="shared" si="76"/>
        <v>-2.6899640643716527E-2</v>
      </c>
    </row>
    <row r="785" spans="1:3" x14ac:dyDescent="0.3">
      <c r="A785" s="28">
        <v>39878</v>
      </c>
      <c r="B785" s="36">
        <v>37105</v>
      </c>
      <c r="C785">
        <f t="shared" si="76"/>
        <v>-7.0646792796168478E-3</v>
      </c>
    </row>
    <row r="786" spans="1:3" x14ac:dyDescent="0.3">
      <c r="A786" s="28">
        <v>39881</v>
      </c>
      <c r="B786" s="36">
        <v>36741</v>
      </c>
      <c r="C786">
        <f t="shared" si="76"/>
        <v>-9.8099986524726734E-3</v>
      </c>
    </row>
    <row r="787" spans="1:3" x14ac:dyDescent="0.3">
      <c r="A787" s="28">
        <v>39882</v>
      </c>
      <c r="B787" s="36">
        <v>38795</v>
      </c>
      <c r="C787">
        <f t="shared" si="76"/>
        <v>5.5904847445632955E-2</v>
      </c>
    </row>
    <row r="788" spans="1:3" x14ac:dyDescent="0.3">
      <c r="A788" s="28">
        <v>39883</v>
      </c>
      <c r="B788" s="36">
        <v>38805</v>
      </c>
      <c r="C788">
        <f t="shared" si="76"/>
        <v>2.5776517592479564E-4</v>
      </c>
    </row>
    <row r="789" spans="1:3" x14ac:dyDescent="0.3">
      <c r="A789" s="28">
        <v>39884</v>
      </c>
      <c r="B789" s="36">
        <v>39152</v>
      </c>
      <c r="C789">
        <f t="shared" si="76"/>
        <v>8.9421466305887876E-3</v>
      </c>
    </row>
    <row r="790" spans="1:3" x14ac:dyDescent="0.3">
      <c r="A790" s="28">
        <v>39885</v>
      </c>
      <c r="B790" s="36">
        <v>39015</v>
      </c>
      <c r="C790">
        <f t="shared" si="76"/>
        <v>-3.4991826726603614E-3</v>
      </c>
    </row>
    <row r="791" spans="1:3" x14ac:dyDescent="0.3">
      <c r="A791" s="28">
        <v>39888</v>
      </c>
      <c r="B791" s="36">
        <v>38607</v>
      </c>
      <c r="C791">
        <f t="shared" si="76"/>
        <v>-1.0457516339869244E-2</v>
      </c>
    </row>
    <row r="792" spans="1:3" x14ac:dyDescent="0.3">
      <c r="A792" s="28">
        <v>39889</v>
      </c>
      <c r="B792" s="36">
        <v>39511</v>
      </c>
      <c r="C792">
        <f t="shared" si="76"/>
        <v>2.3415442795347907E-2</v>
      </c>
    </row>
    <row r="793" spans="1:3" x14ac:dyDescent="0.3">
      <c r="A793" s="28">
        <v>39890</v>
      </c>
      <c r="B793" s="36">
        <v>40142</v>
      </c>
      <c r="C793">
        <f t="shared" si="76"/>
        <v>1.5970236136771954E-2</v>
      </c>
    </row>
    <row r="794" spans="1:3" x14ac:dyDescent="0.3">
      <c r="A794" s="28">
        <v>39891</v>
      </c>
      <c r="B794" s="36">
        <v>40453</v>
      </c>
      <c r="C794">
        <f t="shared" si="76"/>
        <v>7.7474963878232384E-3</v>
      </c>
    </row>
    <row r="795" spans="1:3" x14ac:dyDescent="0.3">
      <c r="A795" s="28">
        <v>39892</v>
      </c>
      <c r="B795" s="36">
        <v>40076</v>
      </c>
      <c r="C795">
        <f t="shared" si="76"/>
        <v>-9.3194571478011357E-3</v>
      </c>
    </row>
    <row r="796" spans="1:3" x14ac:dyDescent="0.3">
      <c r="A796" s="28">
        <v>39895</v>
      </c>
      <c r="B796" s="36">
        <v>42439</v>
      </c>
      <c r="C796">
        <f t="shared" si="76"/>
        <v>5.896297035632303E-2</v>
      </c>
    </row>
    <row r="797" spans="1:3" x14ac:dyDescent="0.3">
      <c r="A797" s="28">
        <v>39896</v>
      </c>
      <c r="B797" s="36">
        <v>41476</v>
      </c>
      <c r="C797">
        <f t="shared" si="76"/>
        <v>-2.2691392351374962E-2</v>
      </c>
    </row>
    <row r="798" spans="1:3" x14ac:dyDescent="0.3">
      <c r="A798" s="28">
        <v>39897</v>
      </c>
      <c r="B798" s="36">
        <v>41799</v>
      </c>
      <c r="C798">
        <f t="shared" si="76"/>
        <v>7.7876362233579854E-3</v>
      </c>
    </row>
    <row r="799" spans="1:3" x14ac:dyDescent="0.3">
      <c r="A799" s="28">
        <v>39898</v>
      </c>
      <c r="B799" s="36">
        <v>42589</v>
      </c>
      <c r="C799">
        <f t="shared" si="76"/>
        <v>1.8899973683580873E-2</v>
      </c>
    </row>
    <row r="800" spans="1:3" x14ac:dyDescent="0.3">
      <c r="A800" s="28">
        <v>39899</v>
      </c>
      <c r="B800" s="36">
        <v>41907</v>
      </c>
      <c r="C800">
        <f t="shared" si="76"/>
        <v>-1.6013524619033048E-2</v>
      </c>
    </row>
    <row r="801" spans="1:3" x14ac:dyDescent="0.3">
      <c r="A801" s="28">
        <v>39902</v>
      </c>
      <c r="B801" s="36">
        <v>40653</v>
      </c>
      <c r="C801">
        <f t="shared" si="76"/>
        <v>-2.992340181831199E-2</v>
      </c>
    </row>
    <row r="802" spans="1:3" x14ac:dyDescent="0.3">
      <c r="A802" s="28">
        <v>39903</v>
      </c>
      <c r="B802" s="36">
        <v>40926</v>
      </c>
      <c r="C802">
        <f t="shared" si="76"/>
        <v>6.7153715592944696E-3</v>
      </c>
    </row>
    <row r="803" spans="1:3" x14ac:dyDescent="0.3">
      <c r="A803" s="28">
        <v>39904</v>
      </c>
      <c r="B803" s="36">
        <v>41976</v>
      </c>
      <c r="C803">
        <f t="shared" si="76"/>
        <v>2.5656062160973381E-2</v>
      </c>
    </row>
    <row r="804" spans="1:3" x14ac:dyDescent="0.3">
      <c r="A804" s="28">
        <v>39905</v>
      </c>
      <c r="B804" s="36">
        <v>43736</v>
      </c>
      <c r="C804">
        <f t="shared" si="76"/>
        <v>4.1928721174004258E-2</v>
      </c>
    </row>
    <row r="805" spans="1:3" x14ac:dyDescent="0.3">
      <c r="A805" s="28">
        <v>39906</v>
      </c>
      <c r="B805" s="36">
        <v>44391</v>
      </c>
      <c r="C805">
        <f t="shared" si="76"/>
        <v>1.4976220962136466E-2</v>
      </c>
    </row>
    <row r="806" spans="1:3" x14ac:dyDescent="0.3">
      <c r="A806" s="28">
        <v>39909</v>
      </c>
      <c r="B806" s="36">
        <v>44167</v>
      </c>
      <c r="C806">
        <f t="shared" si="76"/>
        <v>-5.0460678966457451E-3</v>
      </c>
    </row>
    <row r="807" spans="1:3" x14ac:dyDescent="0.3">
      <c r="A807" s="28">
        <v>39910</v>
      </c>
      <c r="B807" s="36">
        <v>43825</v>
      </c>
      <c r="C807">
        <f t="shared" si="76"/>
        <v>-7.7433377861299002E-3</v>
      </c>
    </row>
    <row r="808" spans="1:3" x14ac:dyDescent="0.3">
      <c r="A808" s="28">
        <v>39911</v>
      </c>
      <c r="B808" s="36">
        <v>44182</v>
      </c>
      <c r="C808">
        <f t="shared" si="76"/>
        <v>8.1460353679405628E-3</v>
      </c>
    </row>
    <row r="809" spans="1:3" x14ac:dyDescent="0.3">
      <c r="A809" s="28">
        <v>39912</v>
      </c>
      <c r="B809" s="36">
        <v>45539</v>
      </c>
      <c r="C809">
        <f t="shared" si="76"/>
        <v>3.0713865375039617E-2</v>
      </c>
    </row>
    <row r="810" spans="1:3" x14ac:dyDescent="0.3">
      <c r="A810" s="28">
        <v>39916</v>
      </c>
      <c r="B810" s="36">
        <v>45992</v>
      </c>
      <c r="C810">
        <f t="shared" si="76"/>
        <v>9.9475175124619231E-3</v>
      </c>
    </row>
    <row r="811" spans="1:3" x14ac:dyDescent="0.3">
      <c r="A811" s="28">
        <v>39917</v>
      </c>
      <c r="B811" s="36">
        <v>45418</v>
      </c>
      <c r="C811">
        <f t="shared" si="76"/>
        <v>-1.2480431379370271E-2</v>
      </c>
    </row>
    <row r="812" spans="1:3" x14ac:dyDescent="0.3">
      <c r="A812" s="28">
        <v>39918</v>
      </c>
      <c r="B812" s="36">
        <v>45273</v>
      </c>
      <c r="C812">
        <f t="shared" si="76"/>
        <v>-3.1925668237262617E-3</v>
      </c>
    </row>
    <row r="813" spans="1:3" x14ac:dyDescent="0.3">
      <c r="A813" s="28">
        <v>39919</v>
      </c>
      <c r="B813" s="36">
        <v>46025</v>
      </c>
      <c r="C813">
        <f t="shared" si="76"/>
        <v>1.6610341704768938E-2</v>
      </c>
    </row>
    <row r="814" spans="1:3" x14ac:dyDescent="0.3">
      <c r="A814" s="28">
        <v>39920</v>
      </c>
      <c r="B814" s="36">
        <v>45778</v>
      </c>
      <c r="C814">
        <f t="shared" si="76"/>
        <v>-5.3666485605649017E-3</v>
      </c>
    </row>
    <row r="815" spans="1:3" x14ac:dyDescent="0.3">
      <c r="A815" s="28">
        <v>39923</v>
      </c>
      <c r="B815" s="36">
        <v>44433</v>
      </c>
      <c r="C815">
        <f t="shared" si="76"/>
        <v>-2.938092533531389E-2</v>
      </c>
    </row>
    <row r="816" spans="1:3" x14ac:dyDescent="0.3">
      <c r="A816" s="28">
        <v>39925</v>
      </c>
      <c r="B816" s="36">
        <v>44888</v>
      </c>
      <c r="C816">
        <f t="shared" si="76"/>
        <v>1.024013683523517E-2</v>
      </c>
    </row>
    <row r="817" spans="1:3" x14ac:dyDescent="0.3">
      <c r="A817" s="28">
        <v>39926</v>
      </c>
      <c r="B817" s="36">
        <v>45801</v>
      </c>
      <c r="C817">
        <f t="shared" si="76"/>
        <v>2.0339511673498567E-2</v>
      </c>
    </row>
    <row r="818" spans="1:3" x14ac:dyDescent="0.3">
      <c r="A818" s="28">
        <v>39927</v>
      </c>
      <c r="B818" s="36">
        <v>46772</v>
      </c>
      <c r="C818">
        <f t="shared" si="76"/>
        <v>2.1200410471386988E-2</v>
      </c>
    </row>
    <row r="819" spans="1:3" x14ac:dyDescent="0.3">
      <c r="A819" s="28">
        <v>39930</v>
      </c>
      <c r="B819" s="36">
        <v>45820</v>
      </c>
      <c r="C819">
        <f t="shared" si="76"/>
        <v>-2.0354057983408835E-2</v>
      </c>
    </row>
    <row r="820" spans="1:3" x14ac:dyDescent="0.3">
      <c r="A820" s="28">
        <v>39931</v>
      </c>
      <c r="B820" s="36">
        <v>45821</v>
      </c>
      <c r="C820">
        <f t="shared" si="76"/>
        <v>2.1824530772596162E-5</v>
      </c>
    </row>
    <row r="821" spans="1:3" x14ac:dyDescent="0.3">
      <c r="A821" s="28">
        <v>39932</v>
      </c>
      <c r="B821" s="36">
        <v>47227</v>
      </c>
      <c r="C821">
        <f t="shared" si="76"/>
        <v>3.0684620588812939E-2</v>
      </c>
    </row>
    <row r="822" spans="1:3" x14ac:dyDescent="0.3">
      <c r="A822" s="28">
        <v>39933</v>
      </c>
      <c r="B822" s="36">
        <v>47290</v>
      </c>
      <c r="C822">
        <f t="shared" si="76"/>
        <v>1.3339826793994369E-3</v>
      </c>
    </row>
    <row r="823" spans="1:3" x14ac:dyDescent="0.3">
      <c r="A823" s="28">
        <v>39937</v>
      </c>
      <c r="B823" s="36">
        <v>50405</v>
      </c>
      <c r="C823">
        <f t="shared" si="76"/>
        <v>6.5870162825121481E-2</v>
      </c>
    </row>
    <row r="824" spans="1:3" x14ac:dyDescent="0.3">
      <c r="A824" s="28">
        <v>39938</v>
      </c>
      <c r="B824" s="36">
        <v>50670</v>
      </c>
      <c r="C824">
        <f t="shared" si="76"/>
        <v>5.2574149389941205E-3</v>
      </c>
    </row>
    <row r="825" spans="1:3" x14ac:dyDescent="0.3">
      <c r="A825" s="28">
        <v>39939</v>
      </c>
      <c r="B825" s="36">
        <v>51499</v>
      </c>
      <c r="C825">
        <f t="shared" si="76"/>
        <v>1.6360765739096061E-2</v>
      </c>
    </row>
    <row r="826" spans="1:3" x14ac:dyDescent="0.3">
      <c r="A826" s="28">
        <v>39940</v>
      </c>
      <c r="B826" s="36">
        <v>50058</v>
      </c>
      <c r="C826">
        <f t="shared" si="76"/>
        <v>-2.7981125847103883E-2</v>
      </c>
    </row>
    <row r="827" spans="1:3" x14ac:dyDescent="0.3">
      <c r="A827" s="28">
        <v>39941</v>
      </c>
      <c r="B827" s="36">
        <v>51396</v>
      </c>
      <c r="C827">
        <f t="shared" si="76"/>
        <v>2.6728994366534753E-2</v>
      </c>
    </row>
    <row r="828" spans="1:3" x14ac:dyDescent="0.3">
      <c r="A828" s="28">
        <v>39944</v>
      </c>
      <c r="B828" s="36">
        <v>50976</v>
      </c>
      <c r="C828">
        <f t="shared" si="76"/>
        <v>-8.171842166705634E-3</v>
      </c>
    </row>
    <row r="829" spans="1:3" x14ac:dyDescent="0.3">
      <c r="A829" s="28">
        <v>39945</v>
      </c>
      <c r="B829" s="36">
        <v>50326</v>
      </c>
      <c r="C829">
        <f t="shared" si="76"/>
        <v>-1.2751098556183282E-2</v>
      </c>
    </row>
    <row r="830" spans="1:3" x14ac:dyDescent="0.3">
      <c r="A830" s="28">
        <v>39946</v>
      </c>
      <c r="B830" s="36">
        <v>48679</v>
      </c>
      <c r="C830">
        <f t="shared" si="76"/>
        <v>-3.2726622421809792E-2</v>
      </c>
    </row>
    <row r="831" spans="1:3" x14ac:dyDescent="0.3">
      <c r="A831" s="28">
        <v>39947</v>
      </c>
      <c r="B831" s="36">
        <v>49446</v>
      </c>
      <c r="C831">
        <f t="shared" si="76"/>
        <v>1.5756280942500922E-2</v>
      </c>
    </row>
    <row r="832" spans="1:3" x14ac:dyDescent="0.3">
      <c r="A832" s="28">
        <v>39948</v>
      </c>
      <c r="B832" s="36">
        <v>49007</v>
      </c>
      <c r="C832">
        <f t="shared" si="76"/>
        <v>-8.8783723658132363E-3</v>
      </c>
    </row>
    <row r="833" spans="1:3" x14ac:dyDescent="0.3">
      <c r="A833" s="28">
        <v>39951</v>
      </c>
      <c r="B833" s="36">
        <v>51463</v>
      </c>
      <c r="C833">
        <f t="shared" si="76"/>
        <v>5.0115289652498562E-2</v>
      </c>
    </row>
    <row r="834" spans="1:3" x14ac:dyDescent="0.3">
      <c r="A834" s="28">
        <v>39952</v>
      </c>
      <c r="B834" s="36">
        <v>51347</v>
      </c>
      <c r="C834">
        <f t="shared" si="76"/>
        <v>-2.2540465965839029E-3</v>
      </c>
    </row>
    <row r="835" spans="1:3" x14ac:dyDescent="0.3">
      <c r="A835" s="28">
        <v>39953</v>
      </c>
      <c r="B835" s="36">
        <v>51245</v>
      </c>
      <c r="C835">
        <f t="shared" si="76"/>
        <v>-1.9864841178647286E-3</v>
      </c>
    </row>
    <row r="836" spans="1:3" x14ac:dyDescent="0.3">
      <c r="A836" s="28">
        <v>39954</v>
      </c>
      <c r="B836" s="36">
        <v>50087</v>
      </c>
      <c r="C836">
        <f t="shared" ref="C836:C899" si="77">B836/B835-1</f>
        <v>-2.2597326568445708E-2</v>
      </c>
    </row>
    <row r="837" spans="1:3" x14ac:dyDescent="0.3">
      <c r="A837" s="28">
        <v>39955</v>
      </c>
      <c r="B837" s="36">
        <v>50568</v>
      </c>
      <c r="C837">
        <f t="shared" si="77"/>
        <v>9.6032902749216831E-3</v>
      </c>
    </row>
    <row r="838" spans="1:3" x14ac:dyDescent="0.3">
      <c r="A838" s="28">
        <v>39958</v>
      </c>
      <c r="B838" s="36">
        <v>50816</v>
      </c>
      <c r="C838">
        <f t="shared" si="77"/>
        <v>4.9042872963138695E-3</v>
      </c>
    </row>
    <row r="839" spans="1:3" x14ac:dyDescent="0.3">
      <c r="A839" s="28">
        <v>39959</v>
      </c>
      <c r="B839" s="36">
        <v>51841</v>
      </c>
      <c r="C839">
        <f t="shared" si="77"/>
        <v>2.0170812342569233E-2</v>
      </c>
    </row>
    <row r="840" spans="1:3" x14ac:dyDescent="0.3">
      <c r="A840" s="28">
        <v>39960</v>
      </c>
      <c r="B840" s="36">
        <v>51792</v>
      </c>
      <c r="C840">
        <f t="shared" si="77"/>
        <v>-9.451978164001229E-4</v>
      </c>
    </row>
    <row r="841" spans="1:3" x14ac:dyDescent="0.3">
      <c r="A841" s="28">
        <v>39961</v>
      </c>
      <c r="B841" s="36">
        <v>53041</v>
      </c>
      <c r="C841">
        <f t="shared" si="77"/>
        <v>2.4115693543404371E-2</v>
      </c>
    </row>
    <row r="842" spans="1:3" x14ac:dyDescent="0.3">
      <c r="A842" s="28">
        <v>39962</v>
      </c>
      <c r="B842" s="36">
        <v>53198</v>
      </c>
      <c r="C842">
        <f t="shared" si="77"/>
        <v>2.9599743594577177E-3</v>
      </c>
    </row>
    <row r="843" spans="1:3" x14ac:dyDescent="0.3">
      <c r="A843" s="28">
        <v>39965</v>
      </c>
      <c r="B843" s="36">
        <v>54486</v>
      </c>
      <c r="C843">
        <f t="shared" si="77"/>
        <v>2.4211436520169993E-2</v>
      </c>
    </row>
    <row r="844" spans="1:3" x14ac:dyDescent="0.3">
      <c r="A844" s="28">
        <v>39966</v>
      </c>
      <c r="B844" s="36">
        <v>54000</v>
      </c>
      <c r="C844">
        <f t="shared" si="77"/>
        <v>-8.9197224975222644E-3</v>
      </c>
    </row>
    <row r="845" spans="1:3" x14ac:dyDescent="0.3">
      <c r="A845" s="28">
        <v>39967</v>
      </c>
      <c r="B845" s="36">
        <v>52087</v>
      </c>
      <c r="C845">
        <f t="shared" si="77"/>
        <v>-3.5425925925925972E-2</v>
      </c>
    </row>
    <row r="846" spans="1:3" x14ac:dyDescent="0.3">
      <c r="A846" s="28">
        <v>39968</v>
      </c>
      <c r="B846" s="36">
        <v>53464</v>
      </c>
      <c r="C846">
        <f t="shared" si="77"/>
        <v>2.6436538867663728E-2</v>
      </c>
    </row>
    <row r="847" spans="1:3" x14ac:dyDescent="0.3">
      <c r="A847" s="28">
        <v>39969</v>
      </c>
      <c r="B847" s="36">
        <v>53341</v>
      </c>
      <c r="C847">
        <f t="shared" si="77"/>
        <v>-2.3006134969325576E-3</v>
      </c>
    </row>
    <row r="848" spans="1:3" x14ac:dyDescent="0.3">
      <c r="A848" s="28">
        <v>39972</v>
      </c>
      <c r="B848" s="36">
        <v>53630</v>
      </c>
      <c r="C848">
        <f t="shared" si="77"/>
        <v>5.417971166644886E-3</v>
      </c>
    </row>
    <row r="849" spans="1:3" x14ac:dyDescent="0.3">
      <c r="A849" s="28">
        <v>39973</v>
      </c>
      <c r="B849" s="36">
        <v>53157</v>
      </c>
      <c r="C849">
        <f t="shared" si="77"/>
        <v>-8.8196904717509073E-3</v>
      </c>
    </row>
    <row r="850" spans="1:3" x14ac:dyDescent="0.3">
      <c r="A850" s="28">
        <v>39974</v>
      </c>
      <c r="B850" s="36">
        <v>53411</v>
      </c>
      <c r="C850">
        <f t="shared" si="77"/>
        <v>4.778298248584445E-3</v>
      </c>
    </row>
    <row r="851" spans="1:3" x14ac:dyDescent="0.3">
      <c r="A851" s="28">
        <v>39976</v>
      </c>
      <c r="B851" s="36">
        <v>53558</v>
      </c>
      <c r="C851">
        <f t="shared" si="77"/>
        <v>2.7522420475183385E-3</v>
      </c>
    </row>
    <row r="852" spans="1:3" x14ac:dyDescent="0.3">
      <c r="A852" s="28">
        <v>39979</v>
      </c>
      <c r="B852" s="36">
        <v>52034</v>
      </c>
      <c r="C852">
        <f t="shared" si="77"/>
        <v>-2.8455132753276824E-2</v>
      </c>
    </row>
    <row r="853" spans="1:3" x14ac:dyDescent="0.3">
      <c r="A853" s="28">
        <v>39980</v>
      </c>
      <c r="B853" s="36">
        <v>51206</v>
      </c>
      <c r="C853">
        <f t="shared" si="77"/>
        <v>-1.5912672483376245E-2</v>
      </c>
    </row>
    <row r="854" spans="1:3" x14ac:dyDescent="0.3">
      <c r="A854" s="28">
        <v>39981</v>
      </c>
      <c r="B854" s="36">
        <v>51046</v>
      </c>
      <c r="C854">
        <f t="shared" si="77"/>
        <v>-3.1246338319728117E-3</v>
      </c>
    </row>
    <row r="855" spans="1:3" x14ac:dyDescent="0.3">
      <c r="A855" s="28">
        <v>39982</v>
      </c>
      <c r="B855" s="36">
        <v>50903</v>
      </c>
      <c r="C855">
        <f t="shared" si="77"/>
        <v>-2.8013948203581274E-3</v>
      </c>
    </row>
    <row r="856" spans="1:3" x14ac:dyDescent="0.3">
      <c r="A856" s="28">
        <v>39983</v>
      </c>
      <c r="B856" s="36">
        <v>51374</v>
      </c>
      <c r="C856">
        <f t="shared" si="77"/>
        <v>9.25289275681207E-3</v>
      </c>
    </row>
    <row r="857" spans="1:3" x14ac:dyDescent="0.3">
      <c r="A857" s="28">
        <v>39986</v>
      </c>
      <c r="B857" s="36">
        <v>49495</v>
      </c>
      <c r="C857">
        <f t="shared" si="77"/>
        <v>-3.6574921166348751E-2</v>
      </c>
    </row>
    <row r="858" spans="1:3" x14ac:dyDescent="0.3">
      <c r="A858" s="28">
        <v>39987</v>
      </c>
      <c r="B858" s="36">
        <v>49814</v>
      </c>
      <c r="C858">
        <f t="shared" si="77"/>
        <v>6.4450954641883662E-3</v>
      </c>
    </row>
    <row r="859" spans="1:3" x14ac:dyDescent="0.3">
      <c r="A859" s="28">
        <v>39988</v>
      </c>
      <c r="B859" s="36">
        <v>49672</v>
      </c>
      <c r="C859">
        <f t="shared" si="77"/>
        <v>-2.8506042478018134E-3</v>
      </c>
    </row>
    <row r="860" spans="1:3" x14ac:dyDescent="0.3">
      <c r="A860" s="28">
        <v>39989</v>
      </c>
      <c r="B860" s="36">
        <v>51515</v>
      </c>
      <c r="C860">
        <f t="shared" si="77"/>
        <v>3.7103398292800849E-2</v>
      </c>
    </row>
    <row r="861" spans="1:3" x14ac:dyDescent="0.3">
      <c r="A861" s="28">
        <v>39990</v>
      </c>
      <c r="B861" s="36">
        <v>51486</v>
      </c>
      <c r="C861">
        <f t="shared" si="77"/>
        <v>-5.6294283218483177E-4</v>
      </c>
    </row>
    <row r="862" spans="1:3" x14ac:dyDescent="0.3">
      <c r="A862" s="28">
        <v>39993</v>
      </c>
      <c r="B862" s="36">
        <v>52138</v>
      </c>
      <c r="C862">
        <f t="shared" si="77"/>
        <v>1.2663636716777393E-2</v>
      </c>
    </row>
    <row r="863" spans="1:3" x14ac:dyDescent="0.3">
      <c r="A863" s="28">
        <v>39994</v>
      </c>
      <c r="B863" s="36">
        <v>51465</v>
      </c>
      <c r="C863">
        <f t="shared" si="77"/>
        <v>-1.2908051708926283E-2</v>
      </c>
    </row>
    <row r="864" spans="1:3" x14ac:dyDescent="0.3">
      <c r="A864" s="28">
        <v>39995</v>
      </c>
      <c r="B864" s="36">
        <v>51544</v>
      </c>
      <c r="C864">
        <f t="shared" si="77"/>
        <v>1.53502380258419E-3</v>
      </c>
    </row>
    <row r="865" spans="1:3" x14ac:dyDescent="0.3">
      <c r="A865" s="28">
        <v>39996</v>
      </c>
      <c r="B865" s="36">
        <v>51025</v>
      </c>
      <c r="C865">
        <f t="shared" si="77"/>
        <v>-1.006906720471834E-2</v>
      </c>
    </row>
    <row r="866" spans="1:3" x14ac:dyDescent="0.3">
      <c r="A866" s="28">
        <v>39997</v>
      </c>
      <c r="B866" s="36">
        <v>50935</v>
      </c>
      <c r="C866">
        <f t="shared" si="77"/>
        <v>-1.7638412542870796E-3</v>
      </c>
    </row>
    <row r="867" spans="1:3" x14ac:dyDescent="0.3">
      <c r="A867" s="28">
        <v>40000</v>
      </c>
      <c r="B867" s="36">
        <v>50622</v>
      </c>
      <c r="C867">
        <f t="shared" si="77"/>
        <v>-6.145086875429473E-3</v>
      </c>
    </row>
    <row r="868" spans="1:3" x14ac:dyDescent="0.3">
      <c r="A868" s="28">
        <v>40001</v>
      </c>
      <c r="B868" s="36">
        <v>49457</v>
      </c>
      <c r="C868">
        <f t="shared" si="77"/>
        <v>-2.301370945438741E-2</v>
      </c>
    </row>
    <row r="869" spans="1:3" x14ac:dyDescent="0.3">
      <c r="A869" s="28">
        <v>40002</v>
      </c>
      <c r="B869" s="36">
        <v>49178</v>
      </c>
      <c r="C869">
        <f t="shared" si="77"/>
        <v>-5.6412641284347975E-3</v>
      </c>
    </row>
    <row r="870" spans="1:3" x14ac:dyDescent="0.3">
      <c r="A870" s="28">
        <v>40004</v>
      </c>
      <c r="B870" s="36">
        <v>49221</v>
      </c>
      <c r="C870">
        <f t="shared" si="77"/>
        <v>8.7437472040341468E-4</v>
      </c>
    </row>
    <row r="871" spans="1:3" x14ac:dyDescent="0.3">
      <c r="A871" s="28">
        <v>40007</v>
      </c>
      <c r="B871" s="36">
        <v>49187</v>
      </c>
      <c r="C871">
        <f t="shared" si="77"/>
        <v>-6.9076207309892723E-4</v>
      </c>
    </row>
    <row r="872" spans="1:3" x14ac:dyDescent="0.3">
      <c r="A872" s="28">
        <v>40008</v>
      </c>
      <c r="B872" s="36">
        <v>48873</v>
      </c>
      <c r="C872">
        <f t="shared" si="77"/>
        <v>-6.3838005977189249E-3</v>
      </c>
    </row>
    <row r="873" spans="1:3" x14ac:dyDescent="0.3">
      <c r="A873" s="28">
        <v>40009</v>
      </c>
      <c r="B873" s="36">
        <v>51297</v>
      </c>
      <c r="C873">
        <f t="shared" si="77"/>
        <v>4.9597937511509427E-2</v>
      </c>
    </row>
    <row r="874" spans="1:3" x14ac:dyDescent="0.3">
      <c r="A874" s="28">
        <v>40010</v>
      </c>
      <c r="B874" s="36">
        <v>51918</v>
      </c>
      <c r="C874">
        <f t="shared" si="77"/>
        <v>1.2105971109421576E-2</v>
      </c>
    </row>
    <row r="875" spans="1:3" x14ac:dyDescent="0.3">
      <c r="A875" s="28">
        <v>40011</v>
      </c>
      <c r="B875" s="36">
        <v>52072</v>
      </c>
      <c r="C875">
        <f t="shared" si="77"/>
        <v>2.9662159559304957E-3</v>
      </c>
    </row>
    <row r="876" spans="1:3" x14ac:dyDescent="0.3">
      <c r="A876" s="28">
        <v>40014</v>
      </c>
      <c r="B876" s="36">
        <v>53155</v>
      </c>
      <c r="C876">
        <f t="shared" si="77"/>
        <v>2.0798125672146339E-2</v>
      </c>
    </row>
    <row r="877" spans="1:3" x14ac:dyDescent="0.3">
      <c r="A877" s="28">
        <v>40015</v>
      </c>
      <c r="B877" s="36">
        <v>53234</v>
      </c>
      <c r="C877">
        <f t="shared" si="77"/>
        <v>1.4862195466089911E-3</v>
      </c>
    </row>
    <row r="878" spans="1:3" x14ac:dyDescent="0.3">
      <c r="A878" s="28">
        <v>40016</v>
      </c>
      <c r="B878" s="36">
        <v>53073</v>
      </c>
      <c r="C878">
        <f t="shared" si="77"/>
        <v>-3.0243829131757494E-3</v>
      </c>
    </row>
    <row r="879" spans="1:3" x14ac:dyDescent="0.3">
      <c r="A879" s="28">
        <v>40017</v>
      </c>
      <c r="B879" s="36">
        <v>54249</v>
      </c>
      <c r="C879">
        <f t="shared" si="77"/>
        <v>2.2158159516138198E-2</v>
      </c>
    </row>
    <row r="880" spans="1:3" x14ac:dyDescent="0.3">
      <c r="A880" s="28">
        <v>40018</v>
      </c>
      <c r="B880" s="36">
        <v>54457</v>
      </c>
      <c r="C880">
        <f t="shared" si="77"/>
        <v>3.8341720584711414E-3</v>
      </c>
    </row>
    <row r="881" spans="1:3" x14ac:dyDescent="0.3">
      <c r="A881" s="28">
        <v>40021</v>
      </c>
      <c r="B881" s="36">
        <v>54549</v>
      </c>
      <c r="C881">
        <f t="shared" si="77"/>
        <v>1.689406320583231E-3</v>
      </c>
    </row>
    <row r="882" spans="1:3" x14ac:dyDescent="0.3">
      <c r="A882" s="28">
        <v>40022</v>
      </c>
      <c r="B882" s="36">
        <v>54472</v>
      </c>
      <c r="C882">
        <f t="shared" si="77"/>
        <v>-1.41157491429722E-3</v>
      </c>
    </row>
    <row r="883" spans="1:3" x14ac:dyDescent="0.3">
      <c r="A883" s="28">
        <v>40023</v>
      </c>
      <c r="B883" s="36">
        <v>53735</v>
      </c>
      <c r="C883">
        <f t="shared" si="77"/>
        <v>-1.3529886914378064E-2</v>
      </c>
    </row>
    <row r="884" spans="1:3" x14ac:dyDescent="0.3">
      <c r="A884" s="28">
        <v>40024</v>
      </c>
      <c r="B884" s="36">
        <v>54478</v>
      </c>
      <c r="C884">
        <f t="shared" si="77"/>
        <v>1.3827114543593533E-2</v>
      </c>
    </row>
    <row r="885" spans="1:3" x14ac:dyDescent="0.3">
      <c r="A885" s="28">
        <v>40025</v>
      </c>
      <c r="B885" s="36">
        <v>54766</v>
      </c>
      <c r="C885">
        <f t="shared" si="77"/>
        <v>5.2865376849371426E-3</v>
      </c>
    </row>
    <row r="886" spans="1:3" x14ac:dyDescent="0.3">
      <c r="A886" s="28">
        <v>40028</v>
      </c>
      <c r="B886" s="36">
        <v>55998</v>
      </c>
      <c r="C886">
        <f t="shared" si="77"/>
        <v>2.2495709016543186E-2</v>
      </c>
    </row>
    <row r="887" spans="1:3" x14ac:dyDescent="0.3">
      <c r="A887" s="28">
        <v>40029</v>
      </c>
      <c r="B887" s="36">
        <v>56038</v>
      </c>
      <c r="C887">
        <f t="shared" si="77"/>
        <v>7.1431122540088765E-4</v>
      </c>
    </row>
    <row r="888" spans="1:3" x14ac:dyDescent="0.3">
      <c r="A888" s="28">
        <v>40030</v>
      </c>
      <c r="B888" s="36">
        <v>56384</v>
      </c>
      <c r="C888">
        <f t="shared" si="77"/>
        <v>6.1743816695813969E-3</v>
      </c>
    </row>
    <row r="889" spans="1:3" x14ac:dyDescent="0.3">
      <c r="A889" s="28">
        <v>40031</v>
      </c>
      <c r="B889" s="36">
        <v>55755</v>
      </c>
      <c r="C889">
        <f t="shared" si="77"/>
        <v>-1.1155646992054513E-2</v>
      </c>
    </row>
    <row r="890" spans="1:3" x14ac:dyDescent="0.3">
      <c r="A890" s="28">
        <v>40032</v>
      </c>
      <c r="B890" s="36">
        <v>56330</v>
      </c>
      <c r="C890">
        <f t="shared" si="77"/>
        <v>1.0312976414671438E-2</v>
      </c>
    </row>
    <row r="891" spans="1:3" x14ac:dyDescent="0.3">
      <c r="A891" s="28">
        <v>40035</v>
      </c>
      <c r="B891" s="36">
        <v>56830</v>
      </c>
      <c r="C891">
        <f t="shared" si="77"/>
        <v>8.8762648677436218E-3</v>
      </c>
    </row>
    <row r="892" spans="1:3" x14ac:dyDescent="0.3">
      <c r="A892" s="28">
        <v>40036</v>
      </c>
      <c r="B892" s="36">
        <v>55761</v>
      </c>
      <c r="C892">
        <f t="shared" si="77"/>
        <v>-1.8810487418616906E-2</v>
      </c>
    </row>
    <row r="893" spans="1:3" x14ac:dyDescent="0.3">
      <c r="A893" s="28">
        <v>40037</v>
      </c>
      <c r="B893" s="36">
        <v>56588</v>
      </c>
      <c r="C893">
        <f t="shared" si="77"/>
        <v>1.4831154391061752E-2</v>
      </c>
    </row>
    <row r="894" spans="1:3" x14ac:dyDescent="0.3">
      <c r="A894" s="28">
        <v>40038</v>
      </c>
      <c r="B894" s="36">
        <v>57048</v>
      </c>
      <c r="C894">
        <f t="shared" si="77"/>
        <v>8.1289319290309692E-3</v>
      </c>
    </row>
    <row r="895" spans="1:3" x14ac:dyDescent="0.3">
      <c r="A895" s="28">
        <v>40039</v>
      </c>
      <c r="B895" s="36">
        <v>56638</v>
      </c>
      <c r="C895">
        <f t="shared" si="77"/>
        <v>-7.1869303043051724E-3</v>
      </c>
    </row>
    <row r="896" spans="1:3" x14ac:dyDescent="0.3">
      <c r="A896" s="28">
        <v>40042</v>
      </c>
      <c r="B896" s="36">
        <v>55218</v>
      </c>
      <c r="C896">
        <f t="shared" si="77"/>
        <v>-2.5071506762244455E-2</v>
      </c>
    </row>
    <row r="897" spans="1:3" x14ac:dyDescent="0.3">
      <c r="A897" s="28">
        <v>40043</v>
      </c>
      <c r="B897" s="36">
        <v>55749</v>
      </c>
      <c r="C897">
        <f t="shared" si="77"/>
        <v>9.6164294251874782E-3</v>
      </c>
    </row>
    <row r="898" spans="1:3" x14ac:dyDescent="0.3">
      <c r="A898" s="28">
        <v>40044</v>
      </c>
      <c r="B898" s="36">
        <v>56156</v>
      </c>
      <c r="C898">
        <f t="shared" si="77"/>
        <v>7.3005793825897669E-3</v>
      </c>
    </row>
    <row r="899" spans="1:3" x14ac:dyDescent="0.3">
      <c r="A899" s="28">
        <v>40045</v>
      </c>
      <c r="B899" s="36">
        <v>56831</v>
      </c>
      <c r="C899">
        <f t="shared" si="77"/>
        <v>1.2020086900776494E-2</v>
      </c>
    </row>
    <row r="900" spans="1:3" x14ac:dyDescent="0.3">
      <c r="A900" s="28">
        <v>40046</v>
      </c>
      <c r="B900" s="36">
        <v>57729</v>
      </c>
      <c r="C900">
        <f t="shared" ref="C900:C963" si="78">B900/B899-1</f>
        <v>1.5801235241329481E-2</v>
      </c>
    </row>
    <row r="901" spans="1:3" x14ac:dyDescent="0.3">
      <c r="A901" s="28">
        <v>40049</v>
      </c>
      <c r="B901" s="36">
        <v>57775</v>
      </c>
      <c r="C901">
        <f t="shared" si="78"/>
        <v>7.9682655164647898E-4</v>
      </c>
    </row>
    <row r="902" spans="1:3" x14ac:dyDescent="0.3">
      <c r="A902" s="28">
        <v>40050</v>
      </c>
      <c r="B902" s="36">
        <v>57421</v>
      </c>
      <c r="C902">
        <f t="shared" si="78"/>
        <v>-6.1272176546949275E-3</v>
      </c>
    </row>
    <row r="903" spans="1:3" x14ac:dyDescent="0.3">
      <c r="A903" s="28">
        <v>40051</v>
      </c>
      <c r="B903" s="36">
        <v>57766</v>
      </c>
      <c r="C903">
        <f t="shared" si="78"/>
        <v>6.0082548196653818E-3</v>
      </c>
    </row>
    <row r="904" spans="1:3" x14ac:dyDescent="0.3">
      <c r="A904" s="28">
        <v>40052</v>
      </c>
      <c r="B904" s="36">
        <v>57704</v>
      </c>
      <c r="C904">
        <f t="shared" si="78"/>
        <v>-1.073295710279365E-3</v>
      </c>
    </row>
    <row r="905" spans="1:3" x14ac:dyDescent="0.3">
      <c r="A905" s="28">
        <v>40053</v>
      </c>
      <c r="B905" s="36">
        <v>57701</v>
      </c>
      <c r="C905">
        <f t="shared" si="78"/>
        <v>-5.1989463468737895E-5</v>
      </c>
    </row>
    <row r="906" spans="1:3" x14ac:dyDescent="0.3">
      <c r="A906" s="28">
        <v>40056</v>
      </c>
      <c r="B906" s="36">
        <v>56489</v>
      </c>
      <c r="C906">
        <f t="shared" si="78"/>
        <v>-2.1004835271485778E-2</v>
      </c>
    </row>
    <row r="907" spans="1:3" x14ac:dyDescent="0.3">
      <c r="A907" s="28">
        <v>40057</v>
      </c>
      <c r="B907" s="36">
        <v>55815</v>
      </c>
      <c r="C907">
        <f t="shared" si="78"/>
        <v>-1.1931526491883337E-2</v>
      </c>
    </row>
    <row r="908" spans="1:3" x14ac:dyDescent="0.3">
      <c r="A908" s="28">
        <v>40058</v>
      </c>
      <c r="B908" s="36">
        <v>55386</v>
      </c>
      <c r="C908">
        <f t="shared" si="78"/>
        <v>-7.6861058855146602E-3</v>
      </c>
    </row>
    <row r="909" spans="1:3" x14ac:dyDescent="0.3">
      <c r="A909" s="28">
        <v>40059</v>
      </c>
      <c r="B909" s="36">
        <v>55707</v>
      </c>
      <c r="C909">
        <f t="shared" si="78"/>
        <v>5.7956884411223264E-3</v>
      </c>
    </row>
    <row r="910" spans="1:3" x14ac:dyDescent="0.3">
      <c r="A910" s="28">
        <v>40060</v>
      </c>
      <c r="B910" s="36">
        <v>56652</v>
      </c>
      <c r="C910">
        <f t="shared" si="78"/>
        <v>1.6963756798966001E-2</v>
      </c>
    </row>
    <row r="911" spans="1:3" x14ac:dyDescent="0.3">
      <c r="A911" s="28">
        <v>40064</v>
      </c>
      <c r="B911" s="36">
        <v>57855</v>
      </c>
      <c r="C911">
        <f t="shared" si="78"/>
        <v>2.123490785850457E-2</v>
      </c>
    </row>
    <row r="912" spans="1:3" x14ac:dyDescent="0.3">
      <c r="A912" s="28">
        <v>40065</v>
      </c>
      <c r="B912" s="36">
        <v>57910</v>
      </c>
      <c r="C912">
        <f t="shared" si="78"/>
        <v>9.5065249330228419E-4</v>
      </c>
    </row>
    <row r="913" spans="1:3" x14ac:dyDescent="0.3">
      <c r="A913" s="28">
        <v>40066</v>
      </c>
      <c r="B913" s="36">
        <v>58536</v>
      </c>
      <c r="C913">
        <f t="shared" si="78"/>
        <v>1.0809877395959289E-2</v>
      </c>
    </row>
    <row r="914" spans="1:3" x14ac:dyDescent="0.3">
      <c r="A914" s="28">
        <v>40067</v>
      </c>
      <c r="B914" s="36">
        <v>58366</v>
      </c>
      <c r="C914">
        <f t="shared" si="78"/>
        <v>-2.9041957086237691E-3</v>
      </c>
    </row>
    <row r="915" spans="1:3" x14ac:dyDescent="0.3">
      <c r="A915" s="28">
        <v>40070</v>
      </c>
      <c r="B915" s="36">
        <v>58868</v>
      </c>
      <c r="C915">
        <f t="shared" si="78"/>
        <v>8.6008977829559186E-3</v>
      </c>
    </row>
    <row r="916" spans="1:3" x14ac:dyDescent="0.3">
      <c r="A916" s="28">
        <v>40071</v>
      </c>
      <c r="B916" s="36">
        <v>59264</v>
      </c>
      <c r="C916">
        <f t="shared" si="78"/>
        <v>6.7269144526738156E-3</v>
      </c>
    </row>
    <row r="917" spans="1:3" x14ac:dyDescent="0.3">
      <c r="A917" s="28">
        <v>40072</v>
      </c>
      <c r="B917" s="36">
        <v>60411</v>
      </c>
      <c r="C917">
        <f t="shared" si="78"/>
        <v>1.9354076673866016E-2</v>
      </c>
    </row>
    <row r="918" spans="1:3" x14ac:dyDescent="0.3">
      <c r="A918" s="28">
        <v>40073</v>
      </c>
      <c r="B918" s="36">
        <v>60236</v>
      </c>
      <c r="C918">
        <f t="shared" si="78"/>
        <v>-2.896823426197237E-3</v>
      </c>
    </row>
    <row r="919" spans="1:3" x14ac:dyDescent="0.3">
      <c r="A919" s="28">
        <v>40074</v>
      </c>
      <c r="B919" s="36">
        <v>60703</v>
      </c>
      <c r="C919">
        <f t="shared" si="78"/>
        <v>7.7528388339198617E-3</v>
      </c>
    </row>
    <row r="920" spans="1:3" x14ac:dyDescent="0.3">
      <c r="A920" s="28">
        <v>40077</v>
      </c>
      <c r="B920" s="36">
        <v>60928</v>
      </c>
      <c r="C920">
        <f t="shared" si="78"/>
        <v>3.7065713391430943E-3</v>
      </c>
    </row>
    <row r="921" spans="1:3" x14ac:dyDescent="0.3">
      <c r="A921" s="28">
        <v>40078</v>
      </c>
      <c r="B921" s="36">
        <v>61493</v>
      </c>
      <c r="C921">
        <f t="shared" si="78"/>
        <v>9.2732405462185863E-3</v>
      </c>
    </row>
    <row r="922" spans="1:3" x14ac:dyDescent="0.3">
      <c r="A922" s="28">
        <v>40079</v>
      </c>
      <c r="B922" s="36">
        <v>60496</v>
      </c>
      <c r="C922">
        <f t="shared" si="78"/>
        <v>-1.6213227521831741E-2</v>
      </c>
    </row>
    <row r="923" spans="1:3" x14ac:dyDescent="0.3">
      <c r="A923" s="28">
        <v>40080</v>
      </c>
      <c r="B923" s="36">
        <v>60046</v>
      </c>
      <c r="C923">
        <f t="shared" si="78"/>
        <v>-7.4385083311293565E-3</v>
      </c>
    </row>
    <row r="924" spans="1:3" x14ac:dyDescent="0.3">
      <c r="A924" s="28">
        <v>40081</v>
      </c>
      <c r="B924" s="36">
        <v>60356</v>
      </c>
      <c r="C924">
        <f t="shared" si="78"/>
        <v>5.1627085900809444E-3</v>
      </c>
    </row>
    <row r="925" spans="1:3" x14ac:dyDescent="0.3">
      <c r="A925" s="28">
        <v>40084</v>
      </c>
      <c r="B925" s="36">
        <v>61317</v>
      </c>
      <c r="C925">
        <f t="shared" si="78"/>
        <v>1.5922194976472959E-2</v>
      </c>
    </row>
    <row r="926" spans="1:3" x14ac:dyDescent="0.3">
      <c r="A926" s="28">
        <v>40085</v>
      </c>
      <c r="B926" s="36">
        <v>61235</v>
      </c>
      <c r="C926">
        <f t="shared" si="78"/>
        <v>-1.3373126539132363E-3</v>
      </c>
    </row>
    <row r="927" spans="1:3" x14ac:dyDescent="0.3">
      <c r="A927" s="28">
        <v>40086</v>
      </c>
      <c r="B927" s="36">
        <v>61518</v>
      </c>
      <c r="C927">
        <f t="shared" si="78"/>
        <v>4.6215399689719661E-3</v>
      </c>
    </row>
    <row r="928" spans="1:3" x14ac:dyDescent="0.3">
      <c r="A928" s="28">
        <v>40087</v>
      </c>
      <c r="B928" s="36">
        <v>60459</v>
      </c>
      <c r="C928">
        <f t="shared" si="78"/>
        <v>-1.7214473812542708E-2</v>
      </c>
    </row>
    <row r="929" spans="1:3" x14ac:dyDescent="0.3">
      <c r="A929" s="28">
        <v>40088</v>
      </c>
      <c r="B929" s="36">
        <v>61172</v>
      </c>
      <c r="C929">
        <f t="shared" si="78"/>
        <v>1.179311599596411E-2</v>
      </c>
    </row>
    <row r="930" spans="1:3" x14ac:dyDescent="0.3">
      <c r="A930" s="28">
        <v>40091</v>
      </c>
      <c r="B930" s="36">
        <v>62369</v>
      </c>
      <c r="C930">
        <f t="shared" si="78"/>
        <v>1.9567776106715451E-2</v>
      </c>
    </row>
    <row r="931" spans="1:3" x14ac:dyDescent="0.3">
      <c r="A931" s="28">
        <v>40092</v>
      </c>
      <c r="B931" s="36">
        <v>62671</v>
      </c>
      <c r="C931">
        <f t="shared" si="78"/>
        <v>4.8421491446071219E-3</v>
      </c>
    </row>
    <row r="932" spans="1:3" x14ac:dyDescent="0.3">
      <c r="A932" s="28">
        <v>40093</v>
      </c>
      <c r="B932" s="36">
        <v>62638</v>
      </c>
      <c r="C932">
        <f t="shared" si="78"/>
        <v>-5.2655933366307917E-4</v>
      </c>
    </row>
    <row r="933" spans="1:3" x14ac:dyDescent="0.3">
      <c r="A933" s="28">
        <v>40094</v>
      </c>
      <c r="B933" s="36">
        <v>63760</v>
      </c>
      <c r="C933">
        <f t="shared" si="78"/>
        <v>1.7912449311919376E-2</v>
      </c>
    </row>
    <row r="934" spans="1:3" x14ac:dyDescent="0.3">
      <c r="A934" s="28">
        <v>40095</v>
      </c>
      <c r="B934" s="36">
        <v>64071</v>
      </c>
      <c r="C934">
        <f t="shared" si="78"/>
        <v>4.8776662484315558E-3</v>
      </c>
    </row>
    <row r="935" spans="1:3" x14ac:dyDescent="0.3">
      <c r="A935" s="28">
        <v>40099</v>
      </c>
      <c r="B935" s="36">
        <v>64646</v>
      </c>
      <c r="C935">
        <f t="shared" si="78"/>
        <v>8.9744190039175997E-3</v>
      </c>
    </row>
    <row r="936" spans="1:3" x14ac:dyDescent="0.3">
      <c r="A936" s="28">
        <v>40100</v>
      </c>
      <c r="B936" s="36">
        <v>66201</v>
      </c>
      <c r="C936">
        <f t="shared" si="78"/>
        <v>2.405407913869384E-2</v>
      </c>
    </row>
    <row r="937" spans="1:3" x14ac:dyDescent="0.3">
      <c r="A937" s="28">
        <v>40101</v>
      </c>
      <c r="B937" s="36">
        <v>66703</v>
      </c>
      <c r="C937">
        <f t="shared" si="78"/>
        <v>7.5829670246672087E-3</v>
      </c>
    </row>
    <row r="938" spans="1:3" x14ac:dyDescent="0.3">
      <c r="A938" s="28">
        <v>40102</v>
      </c>
      <c r="B938" s="36">
        <v>66200</v>
      </c>
      <c r="C938">
        <f t="shared" si="78"/>
        <v>-7.5408902148329515E-3</v>
      </c>
    </row>
    <row r="939" spans="1:3" x14ac:dyDescent="0.3">
      <c r="A939" s="28">
        <v>40105</v>
      </c>
      <c r="B939" s="36">
        <v>67239</v>
      </c>
      <c r="C939">
        <f t="shared" si="78"/>
        <v>1.5694864048338308E-2</v>
      </c>
    </row>
    <row r="940" spans="1:3" x14ac:dyDescent="0.3">
      <c r="A940" s="28">
        <v>40106</v>
      </c>
      <c r="B940" s="36">
        <v>65303</v>
      </c>
      <c r="C940">
        <f t="shared" si="78"/>
        <v>-2.8792813694433317E-2</v>
      </c>
    </row>
    <row r="941" spans="1:3" x14ac:dyDescent="0.3">
      <c r="A941" s="28">
        <v>40107</v>
      </c>
      <c r="B941" s="36">
        <v>65486</v>
      </c>
      <c r="C941">
        <f t="shared" si="78"/>
        <v>2.8023214859960177E-3</v>
      </c>
    </row>
    <row r="942" spans="1:3" x14ac:dyDescent="0.3">
      <c r="A942" s="28">
        <v>40108</v>
      </c>
      <c r="B942" s="36">
        <v>66135</v>
      </c>
      <c r="C942">
        <f t="shared" si="78"/>
        <v>9.910515224628158E-3</v>
      </c>
    </row>
    <row r="943" spans="1:3" x14ac:dyDescent="0.3">
      <c r="A943" s="28">
        <v>40109</v>
      </c>
      <c r="B943" s="36">
        <v>65059</v>
      </c>
      <c r="C943">
        <f t="shared" si="78"/>
        <v>-1.6269751266349108E-2</v>
      </c>
    </row>
    <row r="944" spans="1:3" x14ac:dyDescent="0.3">
      <c r="A944" s="28">
        <v>40112</v>
      </c>
      <c r="B944" s="36">
        <v>65086</v>
      </c>
      <c r="C944">
        <f t="shared" si="78"/>
        <v>4.150079158917741E-4</v>
      </c>
    </row>
    <row r="945" spans="1:3" x14ac:dyDescent="0.3">
      <c r="A945" s="28">
        <v>40113</v>
      </c>
      <c r="B945" s="36">
        <v>63161</v>
      </c>
      <c r="C945">
        <f t="shared" si="78"/>
        <v>-2.9576252957625337E-2</v>
      </c>
    </row>
    <row r="946" spans="1:3" x14ac:dyDescent="0.3">
      <c r="A946" s="28">
        <v>40114</v>
      </c>
      <c r="B946" s="36">
        <v>60162</v>
      </c>
      <c r="C946">
        <f t="shared" si="78"/>
        <v>-4.7481832143252967E-2</v>
      </c>
    </row>
    <row r="947" spans="1:3" x14ac:dyDescent="0.3">
      <c r="A947" s="28">
        <v>40115</v>
      </c>
      <c r="B947" s="36">
        <v>63721</v>
      </c>
      <c r="C947">
        <f t="shared" si="78"/>
        <v>5.9156942920780553E-2</v>
      </c>
    </row>
    <row r="948" spans="1:3" x14ac:dyDescent="0.3">
      <c r="A948" s="28">
        <v>40116</v>
      </c>
      <c r="B948" s="36">
        <v>61546</v>
      </c>
      <c r="C948">
        <f t="shared" si="78"/>
        <v>-3.4133174306743452E-2</v>
      </c>
    </row>
    <row r="949" spans="1:3" x14ac:dyDescent="0.3">
      <c r="A949" s="28">
        <v>40120</v>
      </c>
      <c r="B949" s="36">
        <v>62643</v>
      </c>
      <c r="C949">
        <f t="shared" si="78"/>
        <v>1.7824066551847428E-2</v>
      </c>
    </row>
    <row r="950" spans="1:3" x14ac:dyDescent="0.3">
      <c r="A950" s="28">
        <v>40121</v>
      </c>
      <c r="B950" s="36">
        <v>63913</v>
      </c>
      <c r="C950">
        <f t="shared" si="78"/>
        <v>2.0273613971233839E-2</v>
      </c>
    </row>
    <row r="951" spans="1:3" x14ac:dyDescent="0.3">
      <c r="A951" s="28">
        <v>40122</v>
      </c>
      <c r="B951" s="36">
        <v>64816</v>
      </c>
      <c r="C951">
        <f t="shared" si="78"/>
        <v>1.412858103985104E-2</v>
      </c>
    </row>
    <row r="952" spans="1:3" x14ac:dyDescent="0.3">
      <c r="A952" s="28">
        <v>40123</v>
      </c>
      <c r="B952" s="36">
        <v>64466</v>
      </c>
      <c r="C952">
        <f t="shared" si="78"/>
        <v>-5.399901258948403E-3</v>
      </c>
    </row>
    <row r="953" spans="1:3" x14ac:dyDescent="0.3">
      <c r="A953" s="28">
        <v>40126</v>
      </c>
      <c r="B953" s="36">
        <v>66214</v>
      </c>
      <c r="C953">
        <f t="shared" si="78"/>
        <v>2.7115068408153142E-2</v>
      </c>
    </row>
    <row r="954" spans="1:3" x14ac:dyDescent="0.3">
      <c r="A954" s="28">
        <v>40127</v>
      </c>
      <c r="B954" s="36">
        <v>66303</v>
      </c>
      <c r="C954">
        <f t="shared" si="78"/>
        <v>1.3441266197480317E-3</v>
      </c>
    </row>
    <row r="955" spans="1:3" x14ac:dyDescent="0.3">
      <c r="A955" s="28">
        <v>40128</v>
      </c>
      <c r="B955" s="36">
        <v>66431</v>
      </c>
      <c r="C955">
        <f t="shared" si="78"/>
        <v>1.9305310468606951E-3</v>
      </c>
    </row>
    <row r="956" spans="1:3" x14ac:dyDescent="0.3">
      <c r="A956" s="28">
        <v>40129</v>
      </c>
      <c r="B956" s="36">
        <v>64448</v>
      </c>
      <c r="C956">
        <f t="shared" si="78"/>
        <v>-2.9850521593834167E-2</v>
      </c>
    </row>
    <row r="957" spans="1:3" x14ac:dyDescent="0.3">
      <c r="A957" s="28">
        <v>40130</v>
      </c>
      <c r="B957" s="36">
        <v>65326</v>
      </c>
      <c r="C957">
        <f t="shared" si="78"/>
        <v>1.3623386295928519E-2</v>
      </c>
    </row>
    <row r="958" spans="1:3" x14ac:dyDescent="0.3">
      <c r="A958" s="28">
        <v>40133</v>
      </c>
      <c r="B958" s="36">
        <v>66627</v>
      </c>
      <c r="C958">
        <f t="shared" si="78"/>
        <v>1.991550071946846E-2</v>
      </c>
    </row>
    <row r="959" spans="1:3" x14ac:dyDescent="0.3">
      <c r="A959" s="28">
        <v>40134</v>
      </c>
      <c r="B959" s="36">
        <v>67406</v>
      </c>
      <c r="C959">
        <f t="shared" si="78"/>
        <v>1.1691956714245055E-2</v>
      </c>
    </row>
    <row r="960" spans="1:3" x14ac:dyDescent="0.3">
      <c r="A960" s="28">
        <v>40135</v>
      </c>
      <c r="B960" s="36">
        <v>66516</v>
      </c>
      <c r="C960">
        <f t="shared" si="78"/>
        <v>-1.3203572382280537E-2</v>
      </c>
    </row>
    <row r="961" spans="1:3" x14ac:dyDescent="0.3">
      <c r="A961" s="28">
        <v>40136</v>
      </c>
      <c r="B961" s="36">
        <v>66327</v>
      </c>
      <c r="C961">
        <f t="shared" si="78"/>
        <v>-2.8414216128450631E-3</v>
      </c>
    </row>
    <row r="962" spans="1:3" x14ac:dyDescent="0.3">
      <c r="A962" s="28">
        <v>40140</v>
      </c>
      <c r="B962" s="36">
        <v>66809</v>
      </c>
      <c r="C962">
        <f t="shared" si="78"/>
        <v>7.2670254948965507E-3</v>
      </c>
    </row>
    <row r="963" spans="1:3" x14ac:dyDescent="0.3">
      <c r="A963" s="28">
        <v>40141</v>
      </c>
      <c r="B963" s="36">
        <v>67317</v>
      </c>
      <c r="C963">
        <f t="shared" si="78"/>
        <v>7.6037659596761564E-3</v>
      </c>
    </row>
    <row r="964" spans="1:3" x14ac:dyDescent="0.3">
      <c r="A964" s="28">
        <v>40142</v>
      </c>
      <c r="B964" s="36">
        <v>67917</v>
      </c>
      <c r="C964">
        <f t="shared" ref="C964:C1027" si="79">B964/B963-1</f>
        <v>8.9130531663621504E-3</v>
      </c>
    </row>
    <row r="965" spans="1:3" x14ac:dyDescent="0.3">
      <c r="A965" s="28">
        <v>40143</v>
      </c>
      <c r="B965" s="36">
        <v>66392</v>
      </c>
      <c r="C965">
        <f t="shared" si="79"/>
        <v>-2.2453877526981469E-2</v>
      </c>
    </row>
    <row r="966" spans="1:3" x14ac:dyDescent="0.3">
      <c r="A966" s="28">
        <v>40144</v>
      </c>
      <c r="B966" s="36">
        <v>67082</v>
      </c>
      <c r="C966">
        <f t="shared" si="79"/>
        <v>1.0392818411856908E-2</v>
      </c>
    </row>
    <row r="967" spans="1:3" x14ac:dyDescent="0.3">
      <c r="A967" s="28">
        <v>40147</v>
      </c>
      <c r="B967" s="36">
        <v>67044</v>
      </c>
      <c r="C967">
        <f t="shared" si="79"/>
        <v>-5.6647088637784559E-4</v>
      </c>
    </row>
    <row r="968" spans="1:3" x14ac:dyDescent="0.3">
      <c r="A968" s="28">
        <v>40148</v>
      </c>
      <c r="B968" s="36">
        <v>68546</v>
      </c>
      <c r="C968">
        <f t="shared" si="79"/>
        <v>2.2403197899886651E-2</v>
      </c>
    </row>
    <row r="969" spans="1:3" x14ac:dyDescent="0.3">
      <c r="A969" s="28">
        <v>40149</v>
      </c>
      <c r="B969" s="36">
        <v>68615</v>
      </c>
      <c r="C969">
        <f t="shared" si="79"/>
        <v>1.0066232894698768E-3</v>
      </c>
    </row>
    <row r="970" spans="1:3" x14ac:dyDescent="0.3">
      <c r="A970" s="28">
        <v>40150</v>
      </c>
      <c r="B970" s="36">
        <v>68315</v>
      </c>
      <c r="C970">
        <f t="shared" si="79"/>
        <v>-4.3722218173868344E-3</v>
      </c>
    </row>
    <row r="971" spans="1:3" x14ac:dyDescent="0.3">
      <c r="A971" s="28">
        <v>40151</v>
      </c>
      <c r="B971" s="36">
        <v>67604</v>
      </c>
      <c r="C971">
        <f t="shared" si="79"/>
        <v>-1.0407670350581877E-2</v>
      </c>
    </row>
    <row r="972" spans="1:3" x14ac:dyDescent="0.3">
      <c r="A972" s="28">
        <v>40154</v>
      </c>
      <c r="B972" s="36">
        <v>68512</v>
      </c>
      <c r="C972">
        <f t="shared" si="79"/>
        <v>1.3431157919649772E-2</v>
      </c>
    </row>
    <row r="973" spans="1:3" x14ac:dyDescent="0.3">
      <c r="A973" s="28">
        <v>40155</v>
      </c>
      <c r="B973" s="36">
        <v>67729</v>
      </c>
      <c r="C973">
        <f t="shared" si="79"/>
        <v>-1.1428654834189644E-2</v>
      </c>
    </row>
    <row r="974" spans="1:3" x14ac:dyDescent="0.3">
      <c r="A974" s="28">
        <v>40156</v>
      </c>
      <c r="B974" s="36">
        <v>68012</v>
      </c>
      <c r="C974">
        <f t="shared" si="79"/>
        <v>4.1784169262797377E-3</v>
      </c>
    </row>
    <row r="975" spans="1:3" x14ac:dyDescent="0.3">
      <c r="A975" s="28">
        <v>40157</v>
      </c>
      <c r="B975" s="36">
        <v>68728</v>
      </c>
      <c r="C975">
        <f t="shared" si="79"/>
        <v>1.0527553961065639E-2</v>
      </c>
    </row>
    <row r="976" spans="1:3" x14ac:dyDescent="0.3">
      <c r="A976" s="28">
        <v>40158</v>
      </c>
      <c r="B976" s="36">
        <v>69267</v>
      </c>
      <c r="C976">
        <f t="shared" si="79"/>
        <v>7.842509603072978E-3</v>
      </c>
    </row>
    <row r="977" spans="1:3" x14ac:dyDescent="0.3">
      <c r="A977" s="28">
        <v>40161</v>
      </c>
      <c r="B977" s="36">
        <v>69349</v>
      </c>
      <c r="C977">
        <f t="shared" si="79"/>
        <v>1.1838249094084929E-3</v>
      </c>
    </row>
    <row r="978" spans="1:3" x14ac:dyDescent="0.3">
      <c r="A978" s="28">
        <v>40162</v>
      </c>
      <c r="B978" s="36">
        <v>69311</v>
      </c>
      <c r="C978">
        <f t="shared" si="79"/>
        <v>-5.4795310674993214E-4</v>
      </c>
    </row>
    <row r="979" spans="1:3" x14ac:dyDescent="0.3">
      <c r="A979" s="28">
        <v>40163</v>
      </c>
      <c r="B979" s="36">
        <v>68622</v>
      </c>
      <c r="C979">
        <f t="shared" si="79"/>
        <v>-9.9407020530651868E-3</v>
      </c>
    </row>
    <row r="980" spans="1:3" x14ac:dyDescent="0.3">
      <c r="A980" s="28">
        <v>40164</v>
      </c>
      <c r="B980" s="36">
        <v>67068</v>
      </c>
      <c r="C980">
        <f t="shared" si="79"/>
        <v>-2.2645798723441413E-2</v>
      </c>
    </row>
    <row r="981" spans="1:3" x14ac:dyDescent="0.3">
      <c r="A981" s="28">
        <v>40165</v>
      </c>
      <c r="B981" s="36">
        <v>66794</v>
      </c>
      <c r="C981">
        <f t="shared" si="79"/>
        <v>-4.0854058567424412E-3</v>
      </c>
    </row>
    <row r="982" spans="1:3" x14ac:dyDescent="0.3">
      <c r="A982" s="28">
        <v>40168</v>
      </c>
      <c r="B982" s="36">
        <v>65925</v>
      </c>
      <c r="C982">
        <f t="shared" si="79"/>
        <v>-1.3010150612330462E-2</v>
      </c>
    </row>
    <row r="983" spans="1:3" x14ac:dyDescent="0.3">
      <c r="A983" s="28">
        <v>40169</v>
      </c>
      <c r="B983" s="36">
        <v>67418</v>
      </c>
      <c r="C983">
        <f t="shared" si="79"/>
        <v>2.2646947288585517E-2</v>
      </c>
    </row>
    <row r="984" spans="1:3" x14ac:dyDescent="0.3">
      <c r="A984" s="28">
        <v>40170</v>
      </c>
      <c r="B984" s="36">
        <v>67589</v>
      </c>
      <c r="C984">
        <f t="shared" si="79"/>
        <v>2.5364146073749705E-3</v>
      </c>
    </row>
    <row r="985" spans="1:3" x14ac:dyDescent="0.3">
      <c r="A985" s="28">
        <v>40175</v>
      </c>
      <c r="B985" s="36">
        <v>67902</v>
      </c>
      <c r="C985">
        <f t="shared" si="79"/>
        <v>4.6309310686649674E-3</v>
      </c>
    </row>
    <row r="986" spans="1:3" x14ac:dyDescent="0.3">
      <c r="A986" s="28">
        <v>40176</v>
      </c>
      <c r="B986" s="36">
        <v>68296</v>
      </c>
      <c r="C986">
        <f t="shared" si="79"/>
        <v>5.8024800447704639E-3</v>
      </c>
    </row>
    <row r="987" spans="1:3" x14ac:dyDescent="0.3">
      <c r="A987" s="28">
        <v>40177</v>
      </c>
      <c r="B987" s="36">
        <v>68588</v>
      </c>
      <c r="C987">
        <f t="shared" si="79"/>
        <v>4.2755066182500467E-3</v>
      </c>
    </row>
    <row r="988" spans="1:3" x14ac:dyDescent="0.3">
      <c r="A988" s="28">
        <v>40182</v>
      </c>
      <c r="B988" s="36">
        <v>70045</v>
      </c>
      <c r="C988">
        <f t="shared" si="79"/>
        <v>2.1242782994109755E-2</v>
      </c>
    </row>
    <row r="989" spans="1:3" x14ac:dyDescent="0.3">
      <c r="A989" s="28">
        <v>40183</v>
      </c>
      <c r="B989" s="36">
        <v>70240</v>
      </c>
      <c r="C989">
        <f t="shared" si="79"/>
        <v>2.7839246198873013E-3</v>
      </c>
    </row>
    <row r="990" spans="1:3" x14ac:dyDescent="0.3">
      <c r="A990" s="28">
        <v>40184</v>
      </c>
      <c r="B990" s="36">
        <v>70729</v>
      </c>
      <c r="C990">
        <f t="shared" si="79"/>
        <v>6.9618451025057482E-3</v>
      </c>
    </row>
    <row r="991" spans="1:3" x14ac:dyDescent="0.3">
      <c r="A991" s="28">
        <v>40185</v>
      </c>
      <c r="B991" s="36">
        <v>70451</v>
      </c>
      <c r="C991">
        <f t="shared" si="79"/>
        <v>-3.9304952706810115E-3</v>
      </c>
    </row>
    <row r="992" spans="1:3" x14ac:dyDescent="0.3">
      <c r="A992" s="28">
        <v>40186</v>
      </c>
      <c r="B992" s="36">
        <v>70263</v>
      </c>
      <c r="C992">
        <f t="shared" si="79"/>
        <v>-2.6685213836566968E-3</v>
      </c>
    </row>
    <row r="993" spans="1:3" x14ac:dyDescent="0.3">
      <c r="A993" s="28">
        <v>40189</v>
      </c>
      <c r="B993" s="36">
        <v>70433</v>
      </c>
      <c r="C993">
        <f t="shared" si="79"/>
        <v>2.4194810924669241E-3</v>
      </c>
    </row>
    <row r="994" spans="1:3" x14ac:dyDescent="0.3">
      <c r="A994" s="28">
        <v>40190</v>
      </c>
      <c r="B994" s="36">
        <v>70076</v>
      </c>
      <c r="C994">
        <f t="shared" si="79"/>
        <v>-5.0686467990856965E-3</v>
      </c>
    </row>
    <row r="995" spans="1:3" x14ac:dyDescent="0.3">
      <c r="A995" s="28">
        <v>40191</v>
      </c>
      <c r="B995" s="36">
        <v>70385</v>
      </c>
      <c r="C995">
        <f t="shared" si="79"/>
        <v>4.4094982590330289E-3</v>
      </c>
    </row>
    <row r="996" spans="1:3" x14ac:dyDescent="0.3">
      <c r="A996" s="28">
        <v>40192</v>
      </c>
      <c r="B996" s="36">
        <v>69801</v>
      </c>
      <c r="C996">
        <f t="shared" si="79"/>
        <v>-8.2972224195496658E-3</v>
      </c>
    </row>
    <row r="997" spans="1:3" x14ac:dyDescent="0.3">
      <c r="A997" s="28">
        <v>40193</v>
      </c>
      <c r="B997" s="36">
        <v>68978</v>
      </c>
      <c r="C997">
        <f t="shared" si="79"/>
        <v>-1.1790662024899312E-2</v>
      </c>
    </row>
    <row r="998" spans="1:3" x14ac:dyDescent="0.3">
      <c r="A998" s="28">
        <v>40196</v>
      </c>
      <c r="B998" s="36">
        <v>69401</v>
      </c>
      <c r="C998">
        <f t="shared" si="79"/>
        <v>6.1323900374032903E-3</v>
      </c>
    </row>
    <row r="999" spans="1:3" x14ac:dyDescent="0.3">
      <c r="A999" s="28">
        <v>40197</v>
      </c>
      <c r="B999" s="36">
        <v>69909</v>
      </c>
      <c r="C999">
        <f t="shared" si="79"/>
        <v>7.3197792539012596E-3</v>
      </c>
    </row>
    <row r="1000" spans="1:3" x14ac:dyDescent="0.3">
      <c r="A1000" s="28">
        <v>40198</v>
      </c>
      <c r="B1000" s="36">
        <v>68200</v>
      </c>
      <c r="C1000">
        <f t="shared" si="79"/>
        <v>-2.4446065599565192E-2</v>
      </c>
    </row>
    <row r="1001" spans="1:3" x14ac:dyDescent="0.3">
      <c r="A1001" s="28">
        <v>40199</v>
      </c>
      <c r="B1001" s="36">
        <v>66270</v>
      </c>
      <c r="C1001">
        <f t="shared" si="79"/>
        <v>-2.8299120234604125E-2</v>
      </c>
    </row>
    <row r="1002" spans="1:3" x14ac:dyDescent="0.3">
      <c r="A1002" s="28">
        <v>40200</v>
      </c>
      <c r="B1002" s="36">
        <v>66220</v>
      </c>
      <c r="C1002">
        <f t="shared" si="79"/>
        <v>-7.5448921080423226E-4</v>
      </c>
    </row>
    <row r="1003" spans="1:3" x14ac:dyDescent="0.3">
      <c r="A1003" s="28">
        <v>40204</v>
      </c>
      <c r="B1003" s="36">
        <v>65524</v>
      </c>
      <c r="C1003">
        <f t="shared" si="79"/>
        <v>-1.0510419812745364E-2</v>
      </c>
    </row>
    <row r="1004" spans="1:3" x14ac:dyDescent="0.3">
      <c r="A1004" s="28">
        <v>40205</v>
      </c>
      <c r="B1004" s="36">
        <v>65070</v>
      </c>
      <c r="C1004">
        <f t="shared" si="79"/>
        <v>-6.9287589280263573E-3</v>
      </c>
    </row>
    <row r="1005" spans="1:3" x14ac:dyDescent="0.3">
      <c r="A1005" s="28">
        <v>40206</v>
      </c>
      <c r="B1005" s="36">
        <v>65588</v>
      </c>
      <c r="C1005">
        <f t="shared" si="79"/>
        <v>7.9606577531887712E-3</v>
      </c>
    </row>
    <row r="1006" spans="1:3" x14ac:dyDescent="0.3">
      <c r="A1006" s="28">
        <v>40207</v>
      </c>
      <c r="B1006" s="36">
        <v>65402</v>
      </c>
      <c r="C1006">
        <f t="shared" si="79"/>
        <v>-2.8358846130389637E-3</v>
      </c>
    </row>
    <row r="1007" spans="1:3" x14ac:dyDescent="0.3">
      <c r="A1007" s="28">
        <v>40210</v>
      </c>
      <c r="B1007" s="36">
        <v>66572</v>
      </c>
      <c r="C1007">
        <f t="shared" si="79"/>
        <v>1.7889361181615326E-2</v>
      </c>
    </row>
    <row r="1008" spans="1:3" x14ac:dyDescent="0.3">
      <c r="A1008" s="28">
        <v>40211</v>
      </c>
      <c r="B1008" s="36">
        <v>67163</v>
      </c>
      <c r="C1008">
        <f t="shared" si="79"/>
        <v>8.8776062008051326E-3</v>
      </c>
    </row>
    <row r="1009" spans="1:3" x14ac:dyDescent="0.3">
      <c r="A1009" s="28">
        <v>40212</v>
      </c>
      <c r="B1009" s="36">
        <v>67109</v>
      </c>
      <c r="C1009">
        <f t="shared" si="79"/>
        <v>-8.0401411491448638E-4</v>
      </c>
    </row>
    <row r="1010" spans="1:3" x14ac:dyDescent="0.3">
      <c r="A1010" s="28">
        <v>40213</v>
      </c>
      <c r="B1010" s="36">
        <v>63934</v>
      </c>
      <c r="C1010">
        <f t="shared" si="79"/>
        <v>-4.7311090911800191E-2</v>
      </c>
    </row>
    <row r="1011" spans="1:3" x14ac:dyDescent="0.3">
      <c r="A1011" s="28">
        <v>40214</v>
      </c>
      <c r="B1011" s="36">
        <v>62763</v>
      </c>
      <c r="C1011">
        <f t="shared" si="79"/>
        <v>-1.831576313072858E-2</v>
      </c>
    </row>
    <row r="1012" spans="1:3" x14ac:dyDescent="0.3">
      <c r="A1012" s="28">
        <v>40217</v>
      </c>
      <c r="B1012" s="36">
        <v>63153</v>
      </c>
      <c r="C1012">
        <f t="shared" si="79"/>
        <v>6.213852110319884E-3</v>
      </c>
    </row>
    <row r="1013" spans="1:3" x14ac:dyDescent="0.3">
      <c r="A1013" s="28">
        <v>40218</v>
      </c>
      <c r="B1013" s="36">
        <v>64718</v>
      </c>
      <c r="C1013">
        <f t="shared" si="79"/>
        <v>2.4781087200924645E-2</v>
      </c>
    </row>
    <row r="1014" spans="1:3" x14ac:dyDescent="0.3">
      <c r="A1014" s="28">
        <v>40219</v>
      </c>
      <c r="B1014" s="36">
        <v>65051</v>
      </c>
      <c r="C1014">
        <f t="shared" si="79"/>
        <v>5.1454000432646918E-3</v>
      </c>
    </row>
    <row r="1015" spans="1:3" x14ac:dyDescent="0.3">
      <c r="A1015" s="28">
        <v>40220</v>
      </c>
      <c r="B1015" s="36">
        <v>66129</v>
      </c>
      <c r="C1015">
        <f t="shared" si="79"/>
        <v>1.6571613042074773E-2</v>
      </c>
    </row>
    <row r="1016" spans="1:3" x14ac:dyDescent="0.3">
      <c r="A1016" s="28">
        <v>40221</v>
      </c>
      <c r="B1016" s="36">
        <v>65855</v>
      </c>
      <c r="C1016">
        <f t="shared" si="79"/>
        <v>-4.1434166553252494E-3</v>
      </c>
    </row>
    <row r="1017" spans="1:3" x14ac:dyDescent="0.3">
      <c r="A1017" s="28">
        <v>40226</v>
      </c>
      <c r="B1017" s="36">
        <v>67285</v>
      </c>
      <c r="C1017">
        <f t="shared" si="79"/>
        <v>2.1714372485004851E-2</v>
      </c>
    </row>
    <row r="1018" spans="1:3" x14ac:dyDescent="0.3">
      <c r="A1018" s="28">
        <v>40227</v>
      </c>
      <c r="B1018" s="36">
        <v>67836</v>
      </c>
      <c r="C1018">
        <f t="shared" si="79"/>
        <v>8.1890465928513567E-3</v>
      </c>
    </row>
    <row r="1019" spans="1:3" x14ac:dyDescent="0.3">
      <c r="A1019" s="28">
        <v>40228</v>
      </c>
      <c r="B1019" s="36">
        <v>67597</v>
      </c>
      <c r="C1019">
        <f t="shared" si="79"/>
        <v>-3.5232030190459618E-3</v>
      </c>
    </row>
    <row r="1020" spans="1:3" x14ac:dyDescent="0.3">
      <c r="A1020" s="28">
        <v>40231</v>
      </c>
      <c r="B1020" s="36">
        <v>67184</v>
      </c>
      <c r="C1020">
        <f t="shared" si="79"/>
        <v>-6.1097385978667873E-3</v>
      </c>
    </row>
    <row r="1021" spans="1:3" x14ac:dyDescent="0.3">
      <c r="A1021" s="28">
        <v>40232</v>
      </c>
      <c r="B1021" s="36">
        <v>66108</v>
      </c>
      <c r="C1021">
        <f t="shared" si="79"/>
        <v>-1.6015718028101977E-2</v>
      </c>
    </row>
    <row r="1022" spans="1:3" x14ac:dyDescent="0.3">
      <c r="A1022" s="28">
        <v>40233</v>
      </c>
      <c r="B1022" s="36">
        <v>65795</v>
      </c>
      <c r="C1022">
        <f t="shared" si="79"/>
        <v>-4.7346765898227394E-3</v>
      </c>
    </row>
    <row r="1023" spans="1:3" x14ac:dyDescent="0.3">
      <c r="A1023" s="28">
        <v>40234</v>
      </c>
      <c r="B1023" s="36">
        <v>66121</v>
      </c>
      <c r="C1023">
        <f t="shared" si="79"/>
        <v>4.9547837981609444E-3</v>
      </c>
    </row>
    <row r="1024" spans="1:3" x14ac:dyDescent="0.3">
      <c r="A1024" s="28">
        <v>40235</v>
      </c>
      <c r="B1024" s="36">
        <v>66503</v>
      </c>
      <c r="C1024">
        <f t="shared" si="79"/>
        <v>5.7772870948715749E-3</v>
      </c>
    </row>
    <row r="1025" spans="1:3" x14ac:dyDescent="0.3">
      <c r="A1025" s="28">
        <v>40238</v>
      </c>
      <c r="B1025" s="36">
        <v>67228</v>
      </c>
      <c r="C1025">
        <f t="shared" si="79"/>
        <v>1.0901763830203137E-2</v>
      </c>
    </row>
    <row r="1026" spans="1:3" x14ac:dyDescent="0.3">
      <c r="A1026" s="28">
        <v>40239</v>
      </c>
      <c r="B1026" s="36">
        <v>67779</v>
      </c>
      <c r="C1026">
        <f t="shared" si="79"/>
        <v>8.1959897661687542E-3</v>
      </c>
    </row>
    <row r="1027" spans="1:3" x14ac:dyDescent="0.3">
      <c r="A1027" s="28">
        <v>40240</v>
      </c>
      <c r="B1027" s="36">
        <v>67641</v>
      </c>
      <c r="C1027">
        <f t="shared" si="79"/>
        <v>-2.036028858495964E-3</v>
      </c>
    </row>
    <row r="1028" spans="1:3" x14ac:dyDescent="0.3">
      <c r="A1028" s="28">
        <v>40241</v>
      </c>
      <c r="B1028" s="36">
        <v>67815</v>
      </c>
      <c r="C1028">
        <f t="shared" ref="C1028:C1091" si="80">B1028/B1027-1</f>
        <v>2.5724043109947026E-3</v>
      </c>
    </row>
    <row r="1029" spans="1:3" x14ac:dyDescent="0.3">
      <c r="A1029" s="28">
        <v>40242</v>
      </c>
      <c r="B1029" s="36">
        <v>68847</v>
      </c>
      <c r="C1029">
        <f t="shared" si="80"/>
        <v>1.5217872152178735E-2</v>
      </c>
    </row>
    <row r="1030" spans="1:3" x14ac:dyDescent="0.3">
      <c r="A1030" s="28">
        <v>40245</v>
      </c>
      <c r="B1030" s="36">
        <v>68575</v>
      </c>
      <c r="C1030">
        <f t="shared" si="80"/>
        <v>-3.9507894316382908E-3</v>
      </c>
    </row>
    <row r="1031" spans="1:3" x14ac:dyDescent="0.3">
      <c r="A1031" s="28">
        <v>40246</v>
      </c>
      <c r="B1031" s="36">
        <v>69576</v>
      </c>
      <c r="C1031">
        <f t="shared" si="80"/>
        <v>1.4597156398104216E-2</v>
      </c>
    </row>
    <row r="1032" spans="1:3" x14ac:dyDescent="0.3">
      <c r="A1032" s="28">
        <v>40247</v>
      </c>
      <c r="B1032" s="36">
        <v>69979</v>
      </c>
      <c r="C1032">
        <f t="shared" si="80"/>
        <v>5.7922272047832291E-3</v>
      </c>
    </row>
    <row r="1033" spans="1:3" x14ac:dyDescent="0.3">
      <c r="A1033" s="28">
        <v>40248</v>
      </c>
      <c r="B1033" s="36">
        <v>69885</v>
      </c>
      <c r="C1033">
        <f t="shared" si="80"/>
        <v>-1.3432601208933637E-3</v>
      </c>
    </row>
    <row r="1034" spans="1:3" x14ac:dyDescent="0.3">
      <c r="A1034" s="28">
        <v>40249</v>
      </c>
      <c r="B1034" s="36">
        <v>69341</v>
      </c>
      <c r="C1034">
        <f t="shared" si="80"/>
        <v>-7.7842169278099504E-3</v>
      </c>
    </row>
    <row r="1035" spans="1:3" x14ac:dyDescent="0.3">
      <c r="A1035" s="28">
        <v>40252</v>
      </c>
      <c r="B1035" s="36">
        <v>69024</v>
      </c>
      <c r="C1035">
        <f t="shared" si="80"/>
        <v>-4.571609870062443E-3</v>
      </c>
    </row>
    <row r="1036" spans="1:3" x14ac:dyDescent="0.3">
      <c r="A1036" s="28">
        <v>40253</v>
      </c>
      <c r="B1036" s="36">
        <v>69942</v>
      </c>
      <c r="C1036">
        <f t="shared" si="80"/>
        <v>1.3299721835883238E-2</v>
      </c>
    </row>
    <row r="1037" spans="1:3" x14ac:dyDescent="0.3">
      <c r="A1037" s="28">
        <v>40254</v>
      </c>
      <c r="B1037" s="36">
        <v>69723</v>
      </c>
      <c r="C1037">
        <f t="shared" si="80"/>
        <v>-3.131165823110571E-3</v>
      </c>
    </row>
    <row r="1038" spans="1:3" x14ac:dyDescent="0.3">
      <c r="A1038" s="28">
        <v>40255</v>
      </c>
      <c r="B1038" s="36">
        <v>69697</v>
      </c>
      <c r="C1038">
        <f t="shared" si="80"/>
        <v>-3.7290420664626289E-4</v>
      </c>
    </row>
    <row r="1039" spans="1:3" x14ac:dyDescent="0.3">
      <c r="A1039" s="28">
        <v>40256</v>
      </c>
      <c r="B1039" s="36">
        <v>68829</v>
      </c>
      <c r="C1039">
        <f t="shared" si="80"/>
        <v>-1.2453907628735772E-2</v>
      </c>
    </row>
    <row r="1040" spans="1:3" x14ac:dyDescent="0.3">
      <c r="A1040" s="28">
        <v>40259</v>
      </c>
      <c r="B1040" s="36">
        <v>69042</v>
      </c>
      <c r="C1040">
        <f t="shared" si="80"/>
        <v>3.094625811794538E-3</v>
      </c>
    </row>
    <row r="1041" spans="1:3" x14ac:dyDescent="0.3">
      <c r="A1041" s="28">
        <v>40260</v>
      </c>
      <c r="B1041" s="36">
        <v>69387</v>
      </c>
      <c r="C1041">
        <f t="shared" si="80"/>
        <v>4.996958373164162E-3</v>
      </c>
    </row>
    <row r="1042" spans="1:3" x14ac:dyDescent="0.3">
      <c r="A1042" s="28">
        <v>40261</v>
      </c>
      <c r="B1042" s="36">
        <v>68913</v>
      </c>
      <c r="C1042">
        <f t="shared" si="80"/>
        <v>-6.8312508106705971E-3</v>
      </c>
    </row>
    <row r="1043" spans="1:3" x14ac:dyDescent="0.3">
      <c r="A1043" s="28">
        <v>40262</v>
      </c>
      <c r="B1043" s="36">
        <v>68442</v>
      </c>
      <c r="C1043">
        <f t="shared" si="80"/>
        <v>-6.834704627573851E-3</v>
      </c>
    </row>
    <row r="1044" spans="1:3" x14ac:dyDescent="0.3">
      <c r="A1044" s="28">
        <v>40263</v>
      </c>
      <c r="B1044" s="36">
        <v>68683</v>
      </c>
      <c r="C1044">
        <f t="shared" si="80"/>
        <v>3.5212296543059018E-3</v>
      </c>
    </row>
    <row r="1045" spans="1:3" x14ac:dyDescent="0.3">
      <c r="A1045" s="28">
        <v>40266</v>
      </c>
      <c r="B1045" s="36">
        <v>69939</v>
      </c>
      <c r="C1045">
        <f t="shared" si="80"/>
        <v>1.8286912336386019E-2</v>
      </c>
    </row>
    <row r="1046" spans="1:3" x14ac:dyDescent="0.3">
      <c r="A1046" s="28">
        <v>40267</v>
      </c>
      <c r="B1046" s="36">
        <v>69960</v>
      </c>
      <c r="C1046">
        <f t="shared" si="80"/>
        <v>3.0026165658636472E-4</v>
      </c>
    </row>
    <row r="1047" spans="1:3" x14ac:dyDescent="0.3">
      <c r="A1047" s="28">
        <v>40268</v>
      </c>
      <c r="B1047" s="36">
        <v>70372</v>
      </c>
      <c r="C1047">
        <f t="shared" si="80"/>
        <v>5.8890794739852037E-3</v>
      </c>
    </row>
    <row r="1048" spans="1:3" x14ac:dyDescent="0.3">
      <c r="A1048" s="28">
        <v>40269</v>
      </c>
      <c r="B1048" s="36">
        <v>71136</v>
      </c>
      <c r="C1048">
        <f t="shared" si="80"/>
        <v>1.0856590689478862E-2</v>
      </c>
    </row>
    <row r="1049" spans="1:3" x14ac:dyDescent="0.3">
      <c r="A1049" s="28">
        <v>40273</v>
      </c>
      <c r="B1049" s="36">
        <v>71290</v>
      </c>
      <c r="C1049">
        <f t="shared" si="80"/>
        <v>2.1648672964462712E-3</v>
      </c>
    </row>
    <row r="1050" spans="1:3" x14ac:dyDescent="0.3">
      <c r="A1050" s="28">
        <v>40274</v>
      </c>
      <c r="B1050" s="36">
        <v>71096</v>
      </c>
      <c r="C1050">
        <f t="shared" si="80"/>
        <v>-2.7212792818066545E-3</v>
      </c>
    </row>
    <row r="1051" spans="1:3" x14ac:dyDescent="0.3">
      <c r="A1051" s="28">
        <v>40275</v>
      </c>
      <c r="B1051" s="36">
        <v>70793</v>
      </c>
      <c r="C1051">
        <f t="shared" si="80"/>
        <v>-4.261843141667554E-3</v>
      </c>
    </row>
    <row r="1052" spans="1:3" x14ac:dyDescent="0.3">
      <c r="A1052" s="28">
        <v>40276</v>
      </c>
      <c r="B1052" s="36">
        <v>71785</v>
      </c>
      <c r="C1052">
        <f t="shared" si="80"/>
        <v>1.4012684869973091E-2</v>
      </c>
    </row>
    <row r="1053" spans="1:3" x14ac:dyDescent="0.3">
      <c r="A1053" s="28">
        <v>40277</v>
      </c>
      <c r="B1053" s="36">
        <v>71417</v>
      </c>
      <c r="C1053">
        <f t="shared" si="80"/>
        <v>-5.1264191683498828E-3</v>
      </c>
    </row>
    <row r="1054" spans="1:3" x14ac:dyDescent="0.3">
      <c r="A1054" s="28">
        <v>40280</v>
      </c>
      <c r="B1054" s="36">
        <v>70614</v>
      </c>
      <c r="C1054">
        <f t="shared" si="80"/>
        <v>-1.1243821499082873E-2</v>
      </c>
    </row>
    <row r="1055" spans="1:3" x14ac:dyDescent="0.3">
      <c r="A1055" s="28">
        <v>40281</v>
      </c>
      <c r="B1055" s="36">
        <v>70792</v>
      </c>
      <c r="C1055">
        <f t="shared" si="80"/>
        <v>2.5207465941599061E-3</v>
      </c>
    </row>
    <row r="1056" spans="1:3" x14ac:dyDescent="0.3">
      <c r="A1056" s="28">
        <v>40282</v>
      </c>
      <c r="B1056" s="36">
        <v>71035</v>
      </c>
      <c r="C1056">
        <f t="shared" si="80"/>
        <v>3.4325912532489067E-3</v>
      </c>
    </row>
    <row r="1057" spans="1:3" x14ac:dyDescent="0.3">
      <c r="A1057" s="28">
        <v>40283</v>
      </c>
      <c r="B1057" s="36">
        <v>70524</v>
      </c>
      <c r="C1057">
        <f t="shared" si="80"/>
        <v>-7.193636939536896E-3</v>
      </c>
    </row>
    <row r="1058" spans="1:3" x14ac:dyDescent="0.3">
      <c r="A1058" s="28">
        <v>40284</v>
      </c>
      <c r="B1058" s="36">
        <v>69421</v>
      </c>
      <c r="C1058">
        <f t="shared" si="80"/>
        <v>-1.5640065793205205E-2</v>
      </c>
    </row>
    <row r="1059" spans="1:3" x14ac:dyDescent="0.3">
      <c r="A1059" s="28">
        <v>40287</v>
      </c>
      <c r="B1059" s="36">
        <v>69098</v>
      </c>
      <c r="C1059">
        <f t="shared" si="80"/>
        <v>-4.652770775413817E-3</v>
      </c>
    </row>
    <row r="1060" spans="1:3" x14ac:dyDescent="0.3">
      <c r="A1060" s="28">
        <v>40288</v>
      </c>
      <c r="B1060" s="36">
        <v>69318</v>
      </c>
      <c r="C1060">
        <f t="shared" si="80"/>
        <v>3.1838837592983449E-3</v>
      </c>
    </row>
    <row r="1061" spans="1:3" x14ac:dyDescent="0.3">
      <c r="A1061" s="28">
        <v>40290</v>
      </c>
      <c r="B1061" s="36">
        <v>69386</v>
      </c>
      <c r="C1061">
        <f t="shared" si="80"/>
        <v>9.8098617963593426E-4</v>
      </c>
    </row>
    <row r="1062" spans="1:3" x14ac:dyDescent="0.3">
      <c r="A1062" s="28">
        <v>40291</v>
      </c>
      <c r="B1062" s="36">
        <v>69509</v>
      </c>
      <c r="C1062">
        <f t="shared" si="80"/>
        <v>1.7726918975009553E-3</v>
      </c>
    </row>
    <row r="1063" spans="1:3" x14ac:dyDescent="0.3">
      <c r="A1063" s="28">
        <v>40294</v>
      </c>
      <c r="B1063" s="36">
        <v>68872</v>
      </c>
      <c r="C1063">
        <f t="shared" si="80"/>
        <v>-9.1642808844897283E-3</v>
      </c>
    </row>
    <row r="1064" spans="1:3" x14ac:dyDescent="0.3">
      <c r="A1064" s="28">
        <v>40295</v>
      </c>
      <c r="B1064" s="36">
        <v>66511</v>
      </c>
      <c r="C1064">
        <f t="shared" si="80"/>
        <v>-3.428098501568122E-2</v>
      </c>
    </row>
    <row r="1065" spans="1:3" x14ac:dyDescent="0.3">
      <c r="A1065" s="28">
        <v>40296</v>
      </c>
      <c r="B1065" s="36">
        <v>66656</v>
      </c>
      <c r="C1065">
        <f t="shared" si="80"/>
        <v>2.1800905113440461E-3</v>
      </c>
    </row>
    <row r="1066" spans="1:3" x14ac:dyDescent="0.3">
      <c r="A1066" s="28">
        <v>40297</v>
      </c>
      <c r="B1066" s="36">
        <v>67978</v>
      </c>
      <c r="C1066">
        <f t="shared" si="80"/>
        <v>1.9833173307729268E-2</v>
      </c>
    </row>
    <row r="1067" spans="1:3" x14ac:dyDescent="0.3">
      <c r="A1067" s="28">
        <v>40298</v>
      </c>
      <c r="B1067" s="36">
        <v>67530</v>
      </c>
      <c r="C1067">
        <f t="shared" si="80"/>
        <v>-6.5903674718291727E-3</v>
      </c>
    </row>
    <row r="1068" spans="1:3" x14ac:dyDescent="0.3">
      <c r="A1068" s="28">
        <v>40301</v>
      </c>
      <c r="B1068" s="36">
        <v>67119</v>
      </c>
      <c r="C1068">
        <f t="shared" si="80"/>
        <v>-6.0861839182585475E-3</v>
      </c>
    </row>
    <row r="1069" spans="1:3" x14ac:dyDescent="0.3">
      <c r="A1069" s="28">
        <v>40302</v>
      </c>
      <c r="B1069" s="36">
        <v>64869</v>
      </c>
      <c r="C1069">
        <f t="shared" si="80"/>
        <v>-3.3522549501631471E-2</v>
      </c>
    </row>
    <row r="1070" spans="1:3" x14ac:dyDescent="0.3">
      <c r="A1070" s="28">
        <v>40303</v>
      </c>
      <c r="B1070" s="36">
        <v>64914</v>
      </c>
      <c r="C1070">
        <f t="shared" si="80"/>
        <v>6.937057762568255E-4</v>
      </c>
    </row>
    <row r="1071" spans="1:3" x14ac:dyDescent="0.3">
      <c r="A1071" s="28">
        <v>40304</v>
      </c>
      <c r="B1071" s="36">
        <v>63414</v>
      </c>
      <c r="C1071">
        <f t="shared" si="80"/>
        <v>-2.3107496071725686E-2</v>
      </c>
    </row>
    <row r="1072" spans="1:3" x14ac:dyDescent="0.3">
      <c r="A1072" s="28">
        <v>40305</v>
      </c>
      <c r="B1072" s="36">
        <v>62871</v>
      </c>
      <c r="C1072">
        <f t="shared" si="80"/>
        <v>-8.562777935471666E-3</v>
      </c>
    </row>
    <row r="1073" spans="1:3" x14ac:dyDescent="0.3">
      <c r="A1073" s="28">
        <v>40308</v>
      </c>
      <c r="B1073" s="36">
        <v>65453</v>
      </c>
      <c r="C1073">
        <f t="shared" si="80"/>
        <v>4.1068219051709098E-2</v>
      </c>
    </row>
    <row r="1074" spans="1:3" x14ac:dyDescent="0.3">
      <c r="A1074" s="28">
        <v>40309</v>
      </c>
      <c r="B1074" s="36">
        <v>64425</v>
      </c>
      <c r="C1074">
        <f t="shared" si="80"/>
        <v>-1.5705926389928626E-2</v>
      </c>
    </row>
    <row r="1075" spans="1:3" x14ac:dyDescent="0.3">
      <c r="A1075" s="28">
        <v>40310</v>
      </c>
      <c r="B1075" s="36">
        <v>65224</v>
      </c>
      <c r="C1075">
        <f t="shared" si="80"/>
        <v>1.2402017850213332E-2</v>
      </c>
    </row>
    <row r="1076" spans="1:3" x14ac:dyDescent="0.3">
      <c r="A1076" s="28">
        <v>40311</v>
      </c>
      <c r="B1076" s="36">
        <v>64788</v>
      </c>
      <c r="C1076">
        <f t="shared" si="80"/>
        <v>-6.6846559548632278E-3</v>
      </c>
    </row>
    <row r="1077" spans="1:3" x14ac:dyDescent="0.3">
      <c r="A1077" s="28">
        <v>40312</v>
      </c>
      <c r="B1077" s="36">
        <v>63412</v>
      </c>
      <c r="C1077">
        <f t="shared" si="80"/>
        <v>-2.1238500956967332E-2</v>
      </c>
    </row>
    <row r="1078" spans="1:3" x14ac:dyDescent="0.3">
      <c r="A1078" s="28">
        <v>40315</v>
      </c>
      <c r="B1078" s="36">
        <v>62866</v>
      </c>
      <c r="C1078">
        <f t="shared" si="80"/>
        <v>-8.6103576610104815E-3</v>
      </c>
    </row>
    <row r="1079" spans="1:3" x14ac:dyDescent="0.3">
      <c r="A1079" s="28">
        <v>40316</v>
      </c>
      <c r="B1079" s="36">
        <v>60841</v>
      </c>
      <c r="C1079">
        <f t="shared" si="80"/>
        <v>-3.2211370216015056E-2</v>
      </c>
    </row>
    <row r="1080" spans="1:3" x14ac:dyDescent="0.3">
      <c r="A1080" s="28">
        <v>40317</v>
      </c>
      <c r="B1080" s="36">
        <v>59689</v>
      </c>
      <c r="C1080">
        <f t="shared" si="80"/>
        <v>-1.8934600023010839E-2</v>
      </c>
    </row>
    <row r="1081" spans="1:3" x14ac:dyDescent="0.3">
      <c r="A1081" s="28">
        <v>40318</v>
      </c>
      <c r="B1081" s="36">
        <v>58192</v>
      </c>
      <c r="C1081">
        <f t="shared" si="80"/>
        <v>-2.5079997989579272E-2</v>
      </c>
    </row>
    <row r="1082" spans="1:3" x14ac:dyDescent="0.3">
      <c r="A1082" s="28">
        <v>40319</v>
      </c>
      <c r="B1082" s="36">
        <v>60259</v>
      </c>
      <c r="C1082">
        <f t="shared" si="80"/>
        <v>3.5520346439373185E-2</v>
      </c>
    </row>
    <row r="1083" spans="1:3" x14ac:dyDescent="0.3">
      <c r="A1083" s="28">
        <v>40322</v>
      </c>
      <c r="B1083" s="36">
        <v>59915</v>
      </c>
      <c r="C1083">
        <f t="shared" si="80"/>
        <v>-5.7086908179690976E-3</v>
      </c>
    </row>
    <row r="1084" spans="1:3" x14ac:dyDescent="0.3">
      <c r="A1084" s="28">
        <v>40323</v>
      </c>
      <c r="B1084" s="36">
        <v>59184</v>
      </c>
      <c r="C1084">
        <f t="shared" si="80"/>
        <v>-1.2200617541517134E-2</v>
      </c>
    </row>
    <row r="1085" spans="1:3" x14ac:dyDescent="0.3">
      <c r="A1085" s="28">
        <v>40324</v>
      </c>
      <c r="B1085" s="36">
        <v>60190</v>
      </c>
      <c r="C1085">
        <f t="shared" si="80"/>
        <v>1.6997837253311721E-2</v>
      </c>
    </row>
    <row r="1086" spans="1:3" x14ac:dyDescent="0.3">
      <c r="A1086" s="28">
        <v>40325</v>
      </c>
      <c r="B1086" s="36">
        <v>62092</v>
      </c>
      <c r="C1086">
        <f t="shared" si="80"/>
        <v>3.1599933543777992E-2</v>
      </c>
    </row>
    <row r="1087" spans="1:3" x14ac:dyDescent="0.3">
      <c r="A1087" s="28">
        <v>40326</v>
      </c>
      <c r="B1087" s="36">
        <v>61947</v>
      </c>
      <c r="C1087">
        <f t="shared" si="80"/>
        <v>-2.3352444759389135E-3</v>
      </c>
    </row>
    <row r="1088" spans="1:3" x14ac:dyDescent="0.3">
      <c r="A1088" s="28">
        <v>40329</v>
      </c>
      <c r="B1088" s="36">
        <v>63047</v>
      </c>
      <c r="C1088">
        <f t="shared" si="80"/>
        <v>1.7757114953105058E-2</v>
      </c>
    </row>
    <row r="1089" spans="1:3" x14ac:dyDescent="0.3">
      <c r="A1089" s="28">
        <v>40330</v>
      </c>
      <c r="B1089" s="36">
        <v>61841</v>
      </c>
      <c r="C1089">
        <f t="shared" si="80"/>
        <v>-1.9128586609989395E-2</v>
      </c>
    </row>
    <row r="1090" spans="1:3" x14ac:dyDescent="0.3">
      <c r="A1090" s="28">
        <v>40331</v>
      </c>
      <c r="B1090" s="36">
        <v>62943</v>
      </c>
      <c r="C1090">
        <f t="shared" si="80"/>
        <v>1.7819892951278282E-2</v>
      </c>
    </row>
    <row r="1091" spans="1:3" x14ac:dyDescent="0.3">
      <c r="A1091" s="28">
        <v>40333</v>
      </c>
      <c r="B1091" s="36">
        <v>61676</v>
      </c>
      <c r="C1091">
        <f t="shared" si="80"/>
        <v>-2.0129323356052331E-2</v>
      </c>
    </row>
    <row r="1092" spans="1:3" x14ac:dyDescent="0.3">
      <c r="A1092" s="28">
        <v>40336</v>
      </c>
      <c r="B1092" s="36">
        <v>61183</v>
      </c>
      <c r="C1092">
        <f t="shared" ref="C1092:C1155" si="81">B1092/B1091-1</f>
        <v>-7.9933847850055528E-3</v>
      </c>
    </row>
    <row r="1093" spans="1:3" x14ac:dyDescent="0.3">
      <c r="A1093" s="28">
        <v>40337</v>
      </c>
      <c r="B1093" s="36">
        <v>61856</v>
      </c>
      <c r="C1093">
        <f t="shared" si="81"/>
        <v>1.099978752267794E-2</v>
      </c>
    </row>
    <row r="1094" spans="1:3" x14ac:dyDescent="0.3">
      <c r="A1094" s="28">
        <v>40338</v>
      </c>
      <c r="B1094" s="36">
        <v>61479</v>
      </c>
      <c r="C1094">
        <f t="shared" si="81"/>
        <v>-6.0948008277289523E-3</v>
      </c>
    </row>
    <row r="1095" spans="1:3" x14ac:dyDescent="0.3">
      <c r="A1095" s="28">
        <v>40339</v>
      </c>
      <c r="B1095" s="36">
        <v>63049</v>
      </c>
      <c r="C1095">
        <f t="shared" si="81"/>
        <v>2.5537175295629488E-2</v>
      </c>
    </row>
    <row r="1096" spans="1:3" x14ac:dyDescent="0.3">
      <c r="A1096" s="28">
        <v>40340</v>
      </c>
      <c r="B1096" s="36">
        <v>63605</v>
      </c>
      <c r="C1096">
        <f t="shared" si="81"/>
        <v>8.8185379625371763E-3</v>
      </c>
    </row>
    <row r="1097" spans="1:3" x14ac:dyDescent="0.3">
      <c r="A1097" s="28">
        <v>40343</v>
      </c>
      <c r="B1097" s="36">
        <v>63533</v>
      </c>
      <c r="C1097">
        <f t="shared" si="81"/>
        <v>-1.1319864790504397E-3</v>
      </c>
    </row>
    <row r="1098" spans="1:3" x14ac:dyDescent="0.3">
      <c r="A1098" s="28">
        <v>40344</v>
      </c>
      <c r="B1098" s="36">
        <v>64442</v>
      </c>
      <c r="C1098">
        <f t="shared" si="81"/>
        <v>1.4307525223112405E-2</v>
      </c>
    </row>
    <row r="1099" spans="1:3" x14ac:dyDescent="0.3">
      <c r="A1099" s="28">
        <v>40345</v>
      </c>
      <c r="B1099" s="36">
        <v>64751</v>
      </c>
      <c r="C1099">
        <f t="shared" si="81"/>
        <v>4.7950094658761877E-3</v>
      </c>
    </row>
    <row r="1100" spans="1:3" x14ac:dyDescent="0.3">
      <c r="A1100" s="28">
        <v>40346</v>
      </c>
      <c r="B1100" s="36">
        <v>64541</v>
      </c>
      <c r="C1100">
        <f t="shared" si="81"/>
        <v>-3.2431931553180693E-3</v>
      </c>
    </row>
    <row r="1101" spans="1:3" x14ac:dyDescent="0.3">
      <c r="A1101" s="28">
        <v>40347</v>
      </c>
      <c r="B1101" s="36">
        <v>64438</v>
      </c>
      <c r="C1101">
        <f t="shared" si="81"/>
        <v>-1.595884786414814E-3</v>
      </c>
    </row>
    <row r="1102" spans="1:3" x14ac:dyDescent="0.3">
      <c r="A1102" s="28">
        <v>40350</v>
      </c>
      <c r="B1102" s="36">
        <v>64829</v>
      </c>
      <c r="C1102">
        <f t="shared" si="81"/>
        <v>6.0678481641267545E-3</v>
      </c>
    </row>
    <row r="1103" spans="1:3" x14ac:dyDescent="0.3">
      <c r="A1103" s="28">
        <v>40351</v>
      </c>
      <c r="B1103" s="36">
        <v>64811</v>
      </c>
      <c r="C1103">
        <f t="shared" si="81"/>
        <v>-2.7765351925834736E-4</v>
      </c>
    </row>
    <row r="1104" spans="1:3" x14ac:dyDescent="0.3">
      <c r="A1104" s="28">
        <v>40352</v>
      </c>
      <c r="B1104" s="36">
        <v>65160</v>
      </c>
      <c r="C1104">
        <f t="shared" si="81"/>
        <v>5.3848883677154458E-3</v>
      </c>
    </row>
    <row r="1105" spans="1:3" x14ac:dyDescent="0.3">
      <c r="A1105" s="28">
        <v>40353</v>
      </c>
      <c r="B1105" s="36">
        <v>63937</v>
      </c>
      <c r="C1105">
        <f t="shared" si="81"/>
        <v>-1.8769183548189128E-2</v>
      </c>
    </row>
    <row r="1106" spans="1:3" x14ac:dyDescent="0.3">
      <c r="A1106" s="28">
        <v>40354</v>
      </c>
      <c r="B1106" s="36">
        <v>64824</v>
      </c>
      <c r="C1106">
        <f t="shared" si="81"/>
        <v>1.3873031265151603E-2</v>
      </c>
    </row>
    <row r="1107" spans="1:3" x14ac:dyDescent="0.3">
      <c r="A1107" s="28">
        <v>40357</v>
      </c>
      <c r="B1107" s="36">
        <v>64225</v>
      </c>
      <c r="C1107">
        <f t="shared" si="81"/>
        <v>-9.2404047883499763E-3</v>
      </c>
    </row>
    <row r="1108" spans="1:3" x14ac:dyDescent="0.3">
      <c r="A1108" s="28">
        <v>40358</v>
      </c>
      <c r="B1108" s="36">
        <v>61978</v>
      </c>
      <c r="C1108">
        <f t="shared" si="81"/>
        <v>-3.4986376021798327E-2</v>
      </c>
    </row>
    <row r="1109" spans="1:3" x14ac:dyDescent="0.3">
      <c r="A1109" s="28">
        <v>40359</v>
      </c>
      <c r="B1109" s="36">
        <v>60936</v>
      </c>
      <c r="C1109">
        <f t="shared" si="81"/>
        <v>-1.6812417309367889E-2</v>
      </c>
    </row>
    <row r="1110" spans="1:3" x14ac:dyDescent="0.3">
      <c r="A1110" s="28">
        <v>40360</v>
      </c>
      <c r="B1110" s="36">
        <v>61236</v>
      </c>
      <c r="C1110">
        <f t="shared" si="81"/>
        <v>4.923198109491933E-3</v>
      </c>
    </row>
    <row r="1111" spans="1:3" x14ac:dyDescent="0.3">
      <c r="A1111" s="28">
        <v>40361</v>
      </c>
      <c r="B1111" s="36">
        <v>61430</v>
      </c>
      <c r="C1111">
        <f t="shared" si="81"/>
        <v>3.1680710693056113E-3</v>
      </c>
    </row>
    <row r="1112" spans="1:3" x14ac:dyDescent="0.3">
      <c r="A1112" s="28">
        <v>40364</v>
      </c>
      <c r="B1112" s="36">
        <v>60865</v>
      </c>
      <c r="C1112">
        <f t="shared" si="81"/>
        <v>-9.1974605241738061E-3</v>
      </c>
    </row>
    <row r="1113" spans="1:3" x14ac:dyDescent="0.3">
      <c r="A1113" s="28">
        <v>40365</v>
      </c>
      <c r="B1113" s="36">
        <v>62065</v>
      </c>
      <c r="C1113">
        <f t="shared" si="81"/>
        <v>1.9715764396615487E-2</v>
      </c>
    </row>
    <row r="1114" spans="1:3" x14ac:dyDescent="0.3">
      <c r="A1114" s="28">
        <v>40366</v>
      </c>
      <c r="B1114" s="36">
        <v>63284</v>
      </c>
      <c r="C1114">
        <f t="shared" si="81"/>
        <v>1.9640699266897599E-2</v>
      </c>
    </row>
    <row r="1115" spans="1:3" x14ac:dyDescent="0.3">
      <c r="A1115" s="28">
        <v>40367</v>
      </c>
      <c r="B1115" s="36">
        <v>63476</v>
      </c>
      <c r="C1115">
        <f t="shared" si="81"/>
        <v>3.0339422286833617E-3</v>
      </c>
    </row>
    <row r="1116" spans="1:3" x14ac:dyDescent="0.3">
      <c r="A1116" s="28">
        <v>40371</v>
      </c>
      <c r="B1116" s="36">
        <v>62960</v>
      </c>
      <c r="C1116">
        <f t="shared" si="81"/>
        <v>-8.1290566513327889E-3</v>
      </c>
    </row>
    <row r="1117" spans="1:3" x14ac:dyDescent="0.3">
      <c r="A1117" s="28">
        <v>40372</v>
      </c>
      <c r="B1117" s="36">
        <v>63686</v>
      </c>
      <c r="C1117">
        <f t="shared" si="81"/>
        <v>1.1531130876747175E-2</v>
      </c>
    </row>
    <row r="1118" spans="1:3" x14ac:dyDescent="0.3">
      <c r="A1118" s="28">
        <v>40373</v>
      </c>
      <c r="B1118" s="36">
        <v>63479</v>
      </c>
      <c r="C1118">
        <f t="shared" si="81"/>
        <v>-3.250321891781538E-3</v>
      </c>
    </row>
    <row r="1119" spans="1:3" x14ac:dyDescent="0.3">
      <c r="A1119" s="28">
        <v>40374</v>
      </c>
      <c r="B1119" s="36">
        <v>63489</v>
      </c>
      <c r="C1119">
        <f t="shared" si="81"/>
        <v>1.5753241229377046E-4</v>
      </c>
    </row>
    <row r="1120" spans="1:3" x14ac:dyDescent="0.3">
      <c r="A1120" s="28">
        <v>40375</v>
      </c>
      <c r="B1120" s="36">
        <v>62339</v>
      </c>
      <c r="C1120">
        <f t="shared" si="81"/>
        <v>-1.8113373970294111E-2</v>
      </c>
    </row>
    <row r="1121" spans="1:3" x14ac:dyDescent="0.3">
      <c r="A1121" s="28">
        <v>40378</v>
      </c>
      <c r="B1121" s="36">
        <v>63297</v>
      </c>
      <c r="C1121">
        <f t="shared" si="81"/>
        <v>1.5367586903864305E-2</v>
      </c>
    </row>
    <row r="1122" spans="1:3" x14ac:dyDescent="0.3">
      <c r="A1122" s="28">
        <v>40379</v>
      </c>
      <c r="B1122" s="36">
        <v>64463</v>
      </c>
      <c r="C1122">
        <f t="shared" si="81"/>
        <v>1.842109420667648E-2</v>
      </c>
    </row>
    <row r="1123" spans="1:3" x14ac:dyDescent="0.3">
      <c r="A1123" s="28">
        <v>40380</v>
      </c>
      <c r="B1123" s="36">
        <v>64477</v>
      </c>
      <c r="C1123">
        <f t="shared" si="81"/>
        <v>2.1717884678040811E-4</v>
      </c>
    </row>
    <row r="1124" spans="1:3" x14ac:dyDescent="0.3">
      <c r="A1124" s="28">
        <v>40381</v>
      </c>
      <c r="B1124" s="36">
        <v>65748</v>
      </c>
      <c r="C1124">
        <f t="shared" si="81"/>
        <v>1.9712455604323997E-2</v>
      </c>
    </row>
    <row r="1125" spans="1:3" x14ac:dyDescent="0.3">
      <c r="A1125" s="28">
        <v>40382</v>
      </c>
      <c r="B1125" s="36">
        <v>66323</v>
      </c>
      <c r="C1125">
        <f t="shared" si="81"/>
        <v>8.7455131715032941E-3</v>
      </c>
    </row>
    <row r="1126" spans="1:3" x14ac:dyDescent="0.3">
      <c r="A1126" s="28">
        <v>40385</v>
      </c>
      <c r="B1126" s="36">
        <v>66443</v>
      </c>
      <c r="C1126">
        <f t="shared" si="81"/>
        <v>1.8093270811030404E-3</v>
      </c>
    </row>
    <row r="1127" spans="1:3" x14ac:dyDescent="0.3">
      <c r="A1127" s="28">
        <v>40386</v>
      </c>
      <c r="B1127" s="36">
        <v>66674</v>
      </c>
      <c r="C1127">
        <f t="shared" si="81"/>
        <v>3.476664208419189E-3</v>
      </c>
    </row>
    <row r="1128" spans="1:3" x14ac:dyDescent="0.3">
      <c r="A1128" s="28">
        <v>40387</v>
      </c>
      <c r="B1128" s="36">
        <v>66808</v>
      </c>
      <c r="C1128">
        <f t="shared" si="81"/>
        <v>2.0097789243183062E-3</v>
      </c>
    </row>
    <row r="1129" spans="1:3" x14ac:dyDescent="0.3">
      <c r="A1129" s="28">
        <v>40388</v>
      </c>
      <c r="B1129" s="36">
        <v>66954</v>
      </c>
      <c r="C1129">
        <f t="shared" si="81"/>
        <v>2.1853670219136312E-3</v>
      </c>
    </row>
    <row r="1130" spans="1:3" x14ac:dyDescent="0.3">
      <c r="A1130" s="28">
        <v>40389</v>
      </c>
      <c r="B1130" s="36">
        <v>67515</v>
      </c>
      <c r="C1130">
        <f t="shared" si="81"/>
        <v>8.3788869970427005E-3</v>
      </c>
    </row>
    <row r="1131" spans="1:3" x14ac:dyDescent="0.3">
      <c r="A1131" s="28">
        <v>40392</v>
      </c>
      <c r="B1131" s="36">
        <v>68517</v>
      </c>
      <c r="C1131">
        <f t="shared" si="81"/>
        <v>1.4841146411908479E-2</v>
      </c>
    </row>
    <row r="1132" spans="1:3" x14ac:dyDescent="0.3">
      <c r="A1132" s="28">
        <v>40393</v>
      </c>
      <c r="B1132" s="36">
        <v>67997</v>
      </c>
      <c r="C1132">
        <f t="shared" si="81"/>
        <v>-7.5893573857582775E-3</v>
      </c>
    </row>
    <row r="1133" spans="1:3" x14ac:dyDescent="0.3">
      <c r="A1133" s="28">
        <v>40394</v>
      </c>
      <c r="B1133" s="36">
        <v>68272</v>
      </c>
      <c r="C1133">
        <f t="shared" si="81"/>
        <v>4.0442960718856114E-3</v>
      </c>
    </row>
    <row r="1134" spans="1:3" x14ac:dyDescent="0.3">
      <c r="A1134" s="28">
        <v>40395</v>
      </c>
      <c r="B1134" s="36">
        <v>68412</v>
      </c>
      <c r="C1134">
        <f t="shared" si="81"/>
        <v>2.0506210452309048E-3</v>
      </c>
    </row>
    <row r="1135" spans="1:3" x14ac:dyDescent="0.3">
      <c r="A1135" s="28">
        <v>40396</v>
      </c>
      <c r="B1135" s="36">
        <v>68095</v>
      </c>
      <c r="C1135">
        <f t="shared" si="81"/>
        <v>-4.6336899959071864E-3</v>
      </c>
    </row>
    <row r="1136" spans="1:3" x14ac:dyDescent="0.3">
      <c r="A1136" s="28">
        <v>40399</v>
      </c>
      <c r="B1136" s="36">
        <v>67862</v>
      </c>
      <c r="C1136">
        <f t="shared" si="81"/>
        <v>-3.42169028563033E-3</v>
      </c>
    </row>
    <row r="1137" spans="1:3" x14ac:dyDescent="0.3">
      <c r="A1137" s="28">
        <v>40400</v>
      </c>
      <c r="B1137" s="36">
        <v>67223</v>
      </c>
      <c r="C1137">
        <f t="shared" si="81"/>
        <v>-9.4161681058618774E-3</v>
      </c>
    </row>
    <row r="1138" spans="1:3" x14ac:dyDescent="0.3">
      <c r="A1138" s="28">
        <v>40401</v>
      </c>
      <c r="B1138" s="36">
        <v>65790</v>
      </c>
      <c r="C1138">
        <f t="shared" si="81"/>
        <v>-2.1317108727667566E-2</v>
      </c>
    </row>
    <row r="1139" spans="1:3" x14ac:dyDescent="0.3">
      <c r="A1139" s="28">
        <v>40402</v>
      </c>
      <c r="B1139" s="36">
        <v>65966</v>
      </c>
      <c r="C1139">
        <f t="shared" si="81"/>
        <v>2.6751785985712484E-3</v>
      </c>
    </row>
    <row r="1140" spans="1:3" x14ac:dyDescent="0.3">
      <c r="A1140" s="28">
        <v>40403</v>
      </c>
      <c r="B1140" s="36">
        <v>66264</v>
      </c>
      <c r="C1140">
        <f t="shared" si="81"/>
        <v>4.5174787011490469E-3</v>
      </c>
    </row>
    <row r="1141" spans="1:3" x14ac:dyDescent="0.3">
      <c r="A1141" s="28">
        <v>40406</v>
      </c>
      <c r="B1141" s="36">
        <v>66702</v>
      </c>
      <c r="C1141">
        <f t="shared" si="81"/>
        <v>6.6099239406012256E-3</v>
      </c>
    </row>
    <row r="1142" spans="1:3" x14ac:dyDescent="0.3">
      <c r="A1142" s="28">
        <v>40407</v>
      </c>
      <c r="B1142" s="36">
        <v>67584</v>
      </c>
      <c r="C1142">
        <f t="shared" si="81"/>
        <v>1.3222991814338503E-2</v>
      </c>
    </row>
    <row r="1143" spans="1:3" x14ac:dyDescent="0.3">
      <c r="A1143" s="28">
        <v>40408</v>
      </c>
      <c r="B1143" s="36">
        <v>67638</v>
      </c>
      <c r="C1143">
        <f t="shared" si="81"/>
        <v>7.9900568181812126E-4</v>
      </c>
    </row>
    <row r="1144" spans="1:3" x14ac:dyDescent="0.3">
      <c r="A1144" s="28">
        <v>40409</v>
      </c>
      <c r="B1144" s="36">
        <v>66887</v>
      </c>
      <c r="C1144">
        <f t="shared" si="81"/>
        <v>-1.1103225997220467E-2</v>
      </c>
    </row>
    <row r="1145" spans="1:3" x14ac:dyDescent="0.3">
      <c r="A1145" s="28">
        <v>40410</v>
      </c>
      <c r="B1145" s="36">
        <v>66677</v>
      </c>
      <c r="C1145">
        <f t="shared" si="81"/>
        <v>-3.1396235441865095E-3</v>
      </c>
    </row>
    <row r="1146" spans="1:3" x14ac:dyDescent="0.3">
      <c r="A1146" s="28">
        <v>40413</v>
      </c>
      <c r="B1146" s="36">
        <v>65982</v>
      </c>
      <c r="C1146">
        <f t="shared" si="81"/>
        <v>-1.0423384375421785E-2</v>
      </c>
    </row>
    <row r="1147" spans="1:3" x14ac:dyDescent="0.3">
      <c r="A1147" s="28">
        <v>40414</v>
      </c>
      <c r="B1147" s="36">
        <v>65156</v>
      </c>
      <c r="C1147">
        <f t="shared" si="81"/>
        <v>-1.2518565669424997E-2</v>
      </c>
    </row>
    <row r="1148" spans="1:3" x14ac:dyDescent="0.3">
      <c r="A1148" s="28">
        <v>40415</v>
      </c>
      <c r="B1148" s="36">
        <v>64803</v>
      </c>
      <c r="C1148">
        <f t="shared" si="81"/>
        <v>-5.4177665909509454E-3</v>
      </c>
    </row>
    <row r="1149" spans="1:3" x14ac:dyDescent="0.3">
      <c r="A1149" s="28">
        <v>40416</v>
      </c>
      <c r="B1149" s="36">
        <v>63867</v>
      </c>
      <c r="C1149">
        <f t="shared" si="81"/>
        <v>-1.4443775751122656E-2</v>
      </c>
    </row>
    <row r="1150" spans="1:3" x14ac:dyDescent="0.3">
      <c r="A1150" s="28">
        <v>40417</v>
      </c>
      <c r="B1150" s="36">
        <v>65585</v>
      </c>
      <c r="C1150">
        <f t="shared" si="81"/>
        <v>2.6899650836895495E-2</v>
      </c>
    </row>
    <row r="1151" spans="1:3" x14ac:dyDescent="0.3">
      <c r="A1151" s="28">
        <v>40420</v>
      </c>
      <c r="B1151" s="36">
        <v>64261</v>
      </c>
      <c r="C1151">
        <f t="shared" si="81"/>
        <v>-2.0187542883281284E-2</v>
      </c>
    </row>
    <row r="1152" spans="1:3" x14ac:dyDescent="0.3">
      <c r="A1152" s="28">
        <v>40421</v>
      </c>
      <c r="B1152" s="36">
        <v>65145</v>
      </c>
      <c r="C1152">
        <f t="shared" si="81"/>
        <v>1.3756399682544718E-2</v>
      </c>
    </row>
    <row r="1153" spans="1:3" x14ac:dyDescent="0.3">
      <c r="A1153" s="28">
        <v>40422</v>
      </c>
      <c r="B1153" s="36">
        <v>67073</v>
      </c>
      <c r="C1153">
        <f t="shared" si="81"/>
        <v>2.9595517691304085E-2</v>
      </c>
    </row>
    <row r="1154" spans="1:3" x14ac:dyDescent="0.3">
      <c r="A1154" s="28">
        <v>40423</v>
      </c>
      <c r="B1154" s="36">
        <v>66808</v>
      </c>
      <c r="C1154">
        <f t="shared" si="81"/>
        <v>-3.9509191477942185E-3</v>
      </c>
    </row>
    <row r="1155" spans="1:3" x14ac:dyDescent="0.3">
      <c r="A1155" s="28">
        <v>40424</v>
      </c>
      <c r="B1155" s="36">
        <v>66679</v>
      </c>
      <c r="C1155">
        <f t="shared" si="81"/>
        <v>-1.9309064782661034E-3</v>
      </c>
    </row>
    <row r="1156" spans="1:3" x14ac:dyDescent="0.3">
      <c r="A1156" s="28">
        <v>40427</v>
      </c>
      <c r="B1156" s="36">
        <v>66747</v>
      </c>
      <c r="C1156">
        <f t="shared" ref="C1156:C1219" si="82">B1156/B1155-1</f>
        <v>1.0198113349031424E-3</v>
      </c>
    </row>
    <row r="1157" spans="1:3" x14ac:dyDescent="0.3">
      <c r="A1157" s="28">
        <v>40429</v>
      </c>
      <c r="B1157" s="36">
        <v>66407</v>
      </c>
      <c r="C1157">
        <f t="shared" si="82"/>
        <v>-5.0938618964148086E-3</v>
      </c>
    </row>
    <row r="1158" spans="1:3" x14ac:dyDescent="0.3">
      <c r="A1158" s="28">
        <v>40430</v>
      </c>
      <c r="B1158" s="36">
        <v>66624</v>
      </c>
      <c r="C1158">
        <f t="shared" si="82"/>
        <v>3.2677277997801291E-3</v>
      </c>
    </row>
    <row r="1159" spans="1:3" x14ac:dyDescent="0.3">
      <c r="A1159" s="28">
        <v>40431</v>
      </c>
      <c r="B1159" s="36">
        <v>66807</v>
      </c>
      <c r="C1159">
        <f t="shared" si="82"/>
        <v>2.746757925071952E-3</v>
      </c>
    </row>
    <row r="1160" spans="1:3" x14ac:dyDescent="0.3">
      <c r="A1160" s="28">
        <v>40434</v>
      </c>
      <c r="B1160" s="36">
        <v>68031</v>
      </c>
      <c r="C1160">
        <f t="shared" si="82"/>
        <v>1.8321433382729291E-2</v>
      </c>
    </row>
    <row r="1161" spans="1:3" x14ac:dyDescent="0.3">
      <c r="A1161" s="28">
        <v>40435</v>
      </c>
      <c r="B1161" s="36">
        <v>67692</v>
      </c>
      <c r="C1161">
        <f t="shared" si="82"/>
        <v>-4.9830224456497429E-3</v>
      </c>
    </row>
    <row r="1162" spans="1:3" x14ac:dyDescent="0.3">
      <c r="A1162" s="28">
        <v>40436</v>
      </c>
      <c r="B1162" s="36">
        <v>68107</v>
      </c>
      <c r="C1162">
        <f t="shared" si="82"/>
        <v>6.1307096850440335E-3</v>
      </c>
    </row>
    <row r="1163" spans="1:3" x14ac:dyDescent="0.3">
      <c r="A1163" s="28">
        <v>40437</v>
      </c>
      <c r="B1163" s="36">
        <v>67663</v>
      </c>
      <c r="C1163">
        <f t="shared" si="82"/>
        <v>-6.5191536846432863E-3</v>
      </c>
    </row>
    <row r="1164" spans="1:3" x14ac:dyDescent="0.3">
      <c r="A1164" s="28">
        <v>40438</v>
      </c>
      <c r="B1164" s="36">
        <v>67089</v>
      </c>
      <c r="C1164">
        <f t="shared" si="82"/>
        <v>-8.483218302469564E-3</v>
      </c>
    </row>
    <row r="1165" spans="1:3" x14ac:dyDescent="0.3">
      <c r="A1165" s="28">
        <v>40441</v>
      </c>
      <c r="B1165" s="36">
        <v>68190</v>
      </c>
      <c r="C1165">
        <f t="shared" si="82"/>
        <v>1.6411036086392716E-2</v>
      </c>
    </row>
    <row r="1166" spans="1:3" x14ac:dyDescent="0.3">
      <c r="A1166" s="28">
        <v>40442</v>
      </c>
      <c r="B1166" s="36">
        <v>67719</v>
      </c>
      <c r="C1166">
        <f t="shared" si="82"/>
        <v>-6.907171139463264E-3</v>
      </c>
    </row>
    <row r="1167" spans="1:3" x14ac:dyDescent="0.3">
      <c r="A1167" s="28">
        <v>40443</v>
      </c>
      <c r="B1167" s="36">
        <v>68325</v>
      </c>
      <c r="C1167">
        <f t="shared" si="82"/>
        <v>8.9487440747795244E-3</v>
      </c>
    </row>
    <row r="1168" spans="1:3" x14ac:dyDescent="0.3">
      <c r="A1168" s="28">
        <v>40444</v>
      </c>
      <c r="B1168" s="36">
        <v>68794</v>
      </c>
      <c r="C1168">
        <f t="shared" si="82"/>
        <v>6.8642517380168577E-3</v>
      </c>
    </row>
    <row r="1169" spans="1:3" x14ac:dyDescent="0.3">
      <c r="A1169" s="28">
        <v>40445</v>
      </c>
      <c r="B1169" s="36">
        <v>68196</v>
      </c>
      <c r="C1169">
        <f t="shared" si="82"/>
        <v>-8.692618542314734E-3</v>
      </c>
    </row>
    <row r="1170" spans="1:3" x14ac:dyDescent="0.3">
      <c r="A1170" s="28">
        <v>40448</v>
      </c>
      <c r="B1170" s="36">
        <v>68816</v>
      </c>
      <c r="C1170">
        <f t="shared" si="82"/>
        <v>9.0914423133321431E-3</v>
      </c>
    </row>
    <row r="1171" spans="1:3" x14ac:dyDescent="0.3">
      <c r="A1171" s="28">
        <v>40449</v>
      </c>
      <c r="B1171" s="36">
        <v>69228</v>
      </c>
      <c r="C1171">
        <f t="shared" si="82"/>
        <v>5.9869797721459062E-3</v>
      </c>
    </row>
    <row r="1172" spans="1:3" x14ac:dyDescent="0.3">
      <c r="A1172" s="28">
        <v>40450</v>
      </c>
      <c r="B1172" s="36">
        <v>69228</v>
      </c>
      <c r="C1172">
        <f t="shared" si="82"/>
        <v>0</v>
      </c>
    </row>
    <row r="1173" spans="1:3" x14ac:dyDescent="0.3">
      <c r="A1173" s="28">
        <v>40451</v>
      </c>
      <c r="B1173" s="36">
        <v>69430</v>
      </c>
      <c r="C1173">
        <f t="shared" si="82"/>
        <v>2.9178944935575046E-3</v>
      </c>
    </row>
    <row r="1174" spans="1:3" x14ac:dyDescent="0.3">
      <c r="A1174" s="28">
        <v>40452</v>
      </c>
      <c r="B1174" s="36">
        <v>70229</v>
      </c>
      <c r="C1174">
        <f t="shared" si="82"/>
        <v>1.1507993662681848E-2</v>
      </c>
    </row>
    <row r="1175" spans="1:3" x14ac:dyDescent="0.3">
      <c r="A1175" s="28">
        <v>40455</v>
      </c>
      <c r="B1175" s="36">
        <v>70385</v>
      </c>
      <c r="C1175">
        <f t="shared" si="82"/>
        <v>2.2213045892722771E-3</v>
      </c>
    </row>
    <row r="1176" spans="1:3" x14ac:dyDescent="0.3">
      <c r="A1176" s="28">
        <v>40456</v>
      </c>
      <c r="B1176" s="36">
        <v>71283</v>
      </c>
      <c r="C1176">
        <f t="shared" si="82"/>
        <v>1.2758400227321109E-2</v>
      </c>
    </row>
    <row r="1177" spans="1:3" x14ac:dyDescent="0.3">
      <c r="A1177" s="28">
        <v>40457</v>
      </c>
      <c r="B1177" s="36">
        <v>70541</v>
      </c>
      <c r="C1177">
        <f t="shared" si="82"/>
        <v>-1.0409213978087362E-2</v>
      </c>
    </row>
    <row r="1178" spans="1:3" x14ac:dyDescent="0.3">
      <c r="A1178" s="28">
        <v>40458</v>
      </c>
      <c r="B1178" s="36">
        <v>69918</v>
      </c>
      <c r="C1178">
        <f t="shared" si="82"/>
        <v>-8.831743241519141E-3</v>
      </c>
    </row>
    <row r="1179" spans="1:3" x14ac:dyDescent="0.3">
      <c r="A1179" s="28">
        <v>40459</v>
      </c>
      <c r="B1179" s="36">
        <v>70809</v>
      </c>
      <c r="C1179">
        <f t="shared" si="82"/>
        <v>1.2743499528018454E-2</v>
      </c>
    </row>
    <row r="1180" spans="1:3" x14ac:dyDescent="0.3">
      <c r="A1180" s="28">
        <v>40462</v>
      </c>
      <c r="B1180" s="36">
        <v>70946</v>
      </c>
      <c r="C1180">
        <f t="shared" si="82"/>
        <v>1.9347823016848675E-3</v>
      </c>
    </row>
    <row r="1181" spans="1:3" x14ac:dyDescent="0.3">
      <c r="A1181" s="28">
        <v>40464</v>
      </c>
      <c r="B1181" s="36">
        <v>71675</v>
      </c>
      <c r="C1181">
        <f t="shared" si="82"/>
        <v>1.0275420742536623E-2</v>
      </c>
    </row>
    <row r="1182" spans="1:3" x14ac:dyDescent="0.3">
      <c r="A1182" s="28">
        <v>40465</v>
      </c>
      <c r="B1182" s="36">
        <v>71692</v>
      </c>
      <c r="C1182">
        <f t="shared" si="82"/>
        <v>2.3718172305553509E-4</v>
      </c>
    </row>
    <row r="1183" spans="1:3" x14ac:dyDescent="0.3">
      <c r="A1183" s="28">
        <v>40466</v>
      </c>
      <c r="B1183" s="36">
        <v>71830</v>
      </c>
      <c r="C1183">
        <f t="shared" si="82"/>
        <v>1.9249009652402282E-3</v>
      </c>
    </row>
    <row r="1184" spans="1:3" x14ac:dyDescent="0.3">
      <c r="A1184" s="28">
        <v>40469</v>
      </c>
      <c r="B1184" s="36">
        <v>71736</v>
      </c>
      <c r="C1184">
        <f t="shared" si="82"/>
        <v>-1.3086454127801961E-3</v>
      </c>
    </row>
    <row r="1185" spans="1:3" x14ac:dyDescent="0.3">
      <c r="A1185" s="28">
        <v>40470</v>
      </c>
      <c r="B1185" s="36">
        <v>69864</v>
      </c>
      <c r="C1185">
        <f t="shared" si="82"/>
        <v>-2.6095684175309497E-2</v>
      </c>
    </row>
    <row r="1186" spans="1:3" x14ac:dyDescent="0.3">
      <c r="A1186" s="28">
        <v>40471</v>
      </c>
      <c r="B1186" s="36">
        <v>70405</v>
      </c>
      <c r="C1186">
        <f t="shared" si="82"/>
        <v>7.7436161685560112E-3</v>
      </c>
    </row>
    <row r="1187" spans="1:3" x14ac:dyDescent="0.3">
      <c r="A1187" s="28">
        <v>40472</v>
      </c>
      <c r="B1187" s="36">
        <v>69652</v>
      </c>
      <c r="C1187">
        <f t="shared" si="82"/>
        <v>-1.0695263120517051E-2</v>
      </c>
    </row>
    <row r="1188" spans="1:3" x14ac:dyDescent="0.3">
      <c r="A1188" s="28">
        <v>40473</v>
      </c>
      <c r="B1188" s="36">
        <v>69530</v>
      </c>
      <c r="C1188">
        <f t="shared" si="82"/>
        <v>-1.7515649227588526E-3</v>
      </c>
    </row>
    <row r="1189" spans="1:3" x14ac:dyDescent="0.3">
      <c r="A1189" s="28">
        <v>40476</v>
      </c>
      <c r="B1189" s="36">
        <v>69580</v>
      </c>
      <c r="C1189">
        <f t="shared" si="82"/>
        <v>7.1911405148861185E-4</v>
      </c>
    </row>
    <row r="1190" spans="1:3" x14ac:dyDescent="0.3">
      <c r="A1190" s="28">
        <v>40477</v>
      </c>
      <c r="B1190" s="36">
        <v>70740</v>
      </c>
      <c r="C1190">
        <f t="shared" si="82"/>
        <v>1.6671457315320604E-2</v>
      </c>
    </row>
    <row r="1191" spans="1:3" x14ac:dyDescent="0.3">
      <c r="A1191" s="28">
        <v>40478</v>
      </c>
      <c r="B1191" s="36">
        <v>70569</v>
      </c>
      <c r="C1191">
        <f t="shared" si="82"/>
        <v>-2.4173027989822238E-3</v>
      </c>
    </row>
    <row r="1192" spans="1:3" x14ac:dyDescent="0.3">
      <c r="A1192" s="28">
        <v>40479</v>
      </c>
      <c r="B1192" s="36">
        <v>70320</v>
      </c>
      <c r="C1192">
        <f t="shared" si="82"/>
        <v>-3.5284615057603608E-3</v>
      </c>
    </row>
    <row r="1193" spans="1:3" x14ac:dyDescent="0.3">
      <c r="A1193" s="28">
        <v>40480</v>
      </c>
      <c r="B1193" s="36">
        <v>70673</v>
      </c>
      <c r="C1193">
        <f t="shared" si="82"/>
        <v>5.0199089874858327E-3</v>
      </c>
    </row>
    <row r="1194" spans="1:3" x14ac:dyDescent="0.3">
      <c r="A1194" s="28">
        <v>40483</v>
      </c>
      <c r="B1194" s="36">
        <v>71561</v>
      </c>
      <c r="C1194">
        <f t="shared" si="82"/>
        <v>1.2564911635277953E-2</v>
      </c>
    </row>
    <row r="1195" spans="1:3" x14ac:dyDescent="0.3">
      <c r="A1195" s="28">
        <v>40485</v>
      </c>
      <c r="B1195" s="36">
        <v>71905</v>
      </c>
      <c r="C1195">
        <f t="shared" si="82"/>
        <v>4.8070876594792367E-3</v>
      </c>
    </row>
    <row r="1196" spans="1:3" x14ac:dyDescent="0.3">
      <c r="A1196" s="28">
        <v>40486</v>
      </c>
      <c r="B1196" s="36">
        <v>72996</v>
      </c>
      <c r="C1196">
        <f t="shared" si="82"/>
        <v>1.5172797441068031E-2</v>
      </c>
    </row>
    <row r="1197" spans="1:3" x14ac:dyDescent="0.3">
      <c r="A1197" s="28">
        <v>40487</v>
      </c>
      <c r="B1197" s="36">
        <v>72607</v>
      </c>
      <c r="C1197">
        <f t="shared" si="82"/>
        <v>-5.32905912652748E-3</v>
      </c>
    </row>
    <row r="1198" spans="1:3" x14ac:dyDescent="0.3">
      <c r="A1198" s="28">
        <v>40490</v>
      </c>
      <c r="B1198" s="36">
        <v>72657</v>
      </c>
      <c r="C1198">
        <f t="shared" si="82"/>
        <v>6.886388364757412E-4</v>
      </c>
    </row>
    <row r="1199" spans="1:3" x14ac:dyDescent="0.3">
      <c r="A1199" s="28">
        <v>40491</v>
      </c>
      <c r="B1199" s="36">
        <v>71679</v>
      </c>
      <c r="C1199">
        <f t="shared" si="82"/>
        <v>-1.346050621412942E-2</v>
      </c>
    </row>
    <row r="1200" spans="1:3" x14ac:dyDescent="0.3">
      <c r="A1200" s="28">
        <v>40492</v>
      </c>
      <c r="B1200" s="36">
        <v>71638</v>
      </c>
      <c r="C1200">
        <f t="shared" si="82"/>
        <v>-5.7199458697809735E-4</v>
      </c>
    </row>
    <row r="1201" spans="1:3" x14ac:dyDescent="0.3">
      <c r="A1201" s="28">
        <v>40493</v>
      </c>
      <c r="B1201" s="36">
        <v>71195</v>
      </c>
      <c r="C1201">
        <f t="shared" si="82"/>
        <v>-6.1838688963957722E-3</v>
      </c>
    </row>
    <row r="1202" spans="1:3" x14ac:dyDescent="0.3">
      <c r="A1202" s="28">
        <v>40494</v>
      </c>
      <c r="B1202" s="36">
        <v>70367</v>
      </c>
      <c r="C1202">
        <f t="shared" si="82"/>
        <v>-1.1630030198749863E-2</v>
      </c>
    </row>
    <row r="1203" spans="1:3" x14ac:dyDescent="0.3">
      <c r="A1203" s="28">
        <v>40498</v>
      </c>
      <c r="B1203" s="36">
        <v>69192</v>
      </c>
      <c r="C1203">
        <f t="shared" si="82"/>
        <v>-1.6698168175423134E-2</v>
      </c>
    </row>
    <row r="1204" spans="1:3" x14ac:dyDescent="0.3">
      <c r="A1204" s="28">
        <v>40499</v>
      </c>
      <c r="B1204" s="36">
        <v>69709</v>
      </c>
      <c r="C1204">
        <f t="shared" si="82"/>
        <v>7.4719620765406614E-3</v>
      </c>
    </row>
    <row r="1205" spans="1:3" x14ac:dyDescent="0.3">
      <c r="A1205" s="28">
        <v>40500</v>
      </c>
      <c r="B1205" s="36">
        <v>70781</v>
      </c>
      <c r="C1205">
        <f t="shared" si="82"/>
        <v>1.5378215151558683E-2</v>
      </c>
    </row>
    <row r="1206" spans="1:3" x14ac:dyDescent="0.3">
      <c r="A1206" s="28">
        <v>40501</v>
      </c>
      <c r="B1206" s="36">
        <v>70898</v>
      </c>
      <c r="C1206">
        <f t="shared" si="82"/>
        <v>1.652985970811427E-3</v>
      </c>
    </row>
    <row r="1207" spans="1:3" x14ac:dyDescent="0.3">
      <c r="A1207" s="28">
        <v>40504</v>
      </c>
      <c r="B1207" s="36">
        <v>69633</v>
      </c>
      <c r="C1207">
        <f t="shared" si="82"/>
        <v>-1.7842534345115513E-2</v>
      </c>
    </row>
    <row r="1208" spans="1:3" x14ac:dyDescent="0.3">
      <c r="A1208" s="28">
        <v>40505</v>
      </c>
      <c r="B1208" s="36">
        <v>67953</v>
      </c>
      <c r="C1208">
        <f t="shared" si="82"/>
        <v>-2.4126491749601464E-2</v>
      </c>
    </row>
    <row r="1209" spans="1:3" x14ac:dyDescent="0.3">
      <c r="A1209" s="28">
        <v>40506</v>
      </c>
      <c r="B1209" s="36">
        <v>69629</v>
      </c>
      <c r="C1209">
        <f t="shared" si="82"/>
        <v>2.4664106073315484E-2</v>
      </c>
    </row>
    <row r="1210" spans="1:3" x14ac:dyDescent="0.3">
      <c r="A1210" s="28">
        <v>40507</v>
      </c>
      <c r="B1210" s="36">
        <v>69362</v>
      </c>
      <c r="C1210">
        <f t="shared" si="82"/>
        <v>-3.8346091427422513E-3</v>
      </c>
    </row>
    <row r="1211" spans="1:3" x14ac:dyDescent="0.3">
      <c r="A1211" s="28">
        <v>40508</v>
      </c>
      <c r="B1211" s="36">
        <v>68226</v>
      </c>
      <c r="C1211">
        <f t="shared" si="82"/>
        <v>-1.6377843776131051E-2</v>
      </c>
    </row>
    <row r="1212" spans="1:3" x14ac:dyDescent="0.3">
      <c r="A1212" s="28">
        <v>40511</v>
      </c>
      <c r="B1212" s="36">
        <v>67908</v>
      </c>
      <c r="C1212">
        <f t="shared" si="82"/>
        <v>-4.6609796851639906E-3</v>
      </c>
    </row>
    <row r="1213" spans="1:3" x14ac:dyDescent="0.3">
      <c r="A1213" s="28">
        <v>40512</v>
      </c>
      <c r="B1213" s="36">
        <v>67705</v>
      </c>
      <c r="C1213">
        <f t="shared" si="82"/>
        <v>-2.9893385168168196E-3</v>
      </c>
    </row>
    <row r="1214" spans="1:3" x14ac:dyDescent="0.3">
      <c r="A1214" s="28">
        <v>40513</v>
      </c>
      <c r="B1214" s="36">
        <v>69346</v>
      </c>
      <c r="C1214">
        <f t="shared" si="82"/>
        <v>2.4237500923122379E-2</v>
      </c>
    </row>
    <row r="1215" spans="1:3" x14ac:dyDescent="0.3">
      <c r="A1215" s="28">
        <v>40514</v>
      </c>
      <c r="B1215" s="36">
        <v>69527</v>
      </c>
      <c r="C1215">
        <f t="shared" si="82"/>
        <v>2.6101000778704364E-3</v>
      </c>
    </row>
    <row r="1216" spans="1:3" x14ac:dyDescent="0.3">
      <c r="A1216" s="28">
        <v>40515</v>
      </c>
      <c r="B1216" s="36">
        <v>69766</v>
      </c>
      <c r="C1216">
        <f t="shared" si="82"/>
        <v>3.4375134839703669E-3</v>
      </c>
    </row>
    <row r="1217" spans="1:3" x14ac:dyDescent="0.3">
      <c r="A1217" s="28">
        <v>40518</v>
      </c>
      <c r="B1217" s="36">
        <v>69552</v>
      </c>
      <c r="C1217">
        <f t="shared" si="82"/>
        <v>-3.0673967261990454E-3</v>
      </c>
    </row>
    <row r="1218" spans="1:3" x14ac:dyDescent="0.3">
      <c r="A1218" s="28">
        <v>40519</v>
      </c>
      <c r="B1218" s="36">
        <v>69338</v>
      </c>
      <c r="C1218">
        <f t="shared" si="82"/>
        <v>-3.0768345985737744E-3</v>
      </c>
    </row>
    <row r="1219" spans="1:3" x14ac:dyDescent="0.3">
      <c r="A1219" s="28">
        <v>40520</v>
      </c>
      <c r="B1219" s="36">
        <v>68175</v>
      </c>
      <c r="C1219">
        <f t="shared" si="82"/>
        <v>-1.6772909515705647E-2</v>
      </c>
    </row>
    <row r="1220" spans="1:3" x14ac:dyDescent="0.3">
      <c r="A1220" s="28">
        <v>40521</v>
      </c>
      <c r="B1220" s="36">
        <v>67879</v>
      </c>
      <c r="C1220">
        <f t="shared" ref="C1220:C1283" si="83">B1220/B1219-1</f>
        <v>-4.3417675100843045E-3</v>
      </c>
    </row>
    <row r="1221" spans="1:3" x14ac:dyDescent="0.3">
      <c r="A1221" s="28">
        <v>40522</v>
      </c>
      <c r="B1221" s="36">
        <v>68342</v>
      </c>
      <c r="C1221">
        <f t="shared" si="83"/>
        <v>6.8209608273546163E-3</v>
      </c>
    </row>
    <row r="1222" spans="1:3" x14ac:dyDescent="0.3">
      <c r="A1222" s="28">
        <v>40525</v>
      </c>
      <c r="B1222" s="36">
        <v>69126</v>
      </c>
      <c r="C1222">
        <f t="shared" si="83"/>
        <v>1.1471715782388481E-2</v>
      </c>
    </row>
    <row r="1223" spans="1:3" x14ac:dyDescent="0.3">
      <c r="A1223" s="28">
        <v>40526</v>
      </c>
      <c r="B1223" s="36">
        <v>68743</v>
      </c>
      <c r="C1223">
        <f t="shared" si="83"/>
        <v>-5.540607007493592E-3</v>
      </c>
    </row>
    <row r="1224" spans="1:3" x14ac:dyDescent="0.3">
      <c r="A1224" s="28">
        <v>40527</v>
      </c>
      <c r="B1224" s="36">
        <v>67870</v>
      </c>
      <c r="C1224">
        <f t="shared" si="83"/>
        <v>-1.2699474855621617E-2</v>
      </c>
    </row>
    <row r="1225" spans="1:3" x14ac:dyDescent="0.3">
      <c r="A1225" s="28">
        <v>40528</v>
      </c>
      <c r="B1225" s="36">
        <v>67306</v>
      </c>
      <c r="C1225">
        <f t="shared" si="83"/>
        <v>-8.3100044202151224E-3</v>
      </c>
    </row>
    <row r="1226" spans="1:3" x14ac:dyDescent="0.3">
      <c r="A1226" s="28">
        <v>40529</v>
      </c>
      <c r="B1226" s="36">
        <v>67981</v>
      </c>
      <c r="C1226">
        <f t="shared" si="83"/>
        <v>1.0028823581849977E-2</v>
      </c>
    </row>
    <row r="1227" spans="1:3" x14ac:dyDescent="0.3">
      <c r="A1227" s="28">
        <v>40532</v>
      </c>
      <c r="B1227" s="36">
        <v>67264</v>
      </c>
      <c r="C1227">
        <f t="shared" si="83"/>
        <v>-1.0547064620997082E-2</v>
      </c>
    </row>
    <row r="1228" spans="1:3" x14ac:dyDescent="0.3">
      <c r="A1228" s="28">
        <v>40533</v>
      </c>
      <c r="B1228" s="36">
        <v>68215</v>
      </c>
      <c r="C1228">
        <f t="shared" si="83"/>
        <v>1.4138320647002933E-2</v>
      </c>
    </row>
    <row r="1229" spans="1:3" x14ac:dyDescent="0.3">
      <c r="A1229" s="28">
        <v>40534</v>
      </c>
      <c r="B1229" s="36">
        <v>68471</v>
      </c>
      <c r="C1229">
        <f t="shared" si="83"/>
        <v>3.7528402843949316E-3</v>
      </c>
    </row>
    <row r="1230" spans="1:3" x14ac:dyDescent="0.3">
      <c r="A1230" s="28">
        <v>40535</v>
      </c>
      <c r="B1230" s="36">
        <v>68486</v>
      </c>
      <c r="C1230">
        <f t="shared" si="83"/>
        <v>2.1907084751204842E-4</v>
      </c>
    </row>
    <row r="1231" spans="1:3" x14ac:dyDescent="0.3">
      <c r="A1231" s="28">
        <v>40539</v>
      </c>
      <c r="B1231" s="36">
        <v>67803</v>
      </c>
      <c r="C1231">
        <f t="shared" si="83"/>
        <v>-9.9728411646176074E-3</v>
      </c>
    </row>
    <row r="1232" spans="1:3" x14ac:dyDescent="0.3">
      <c r="A1232" s="28">
        <v>40540</v>
      </c>
      <c r="B1232" s="36">
        <v>68041</v>
      </c>
      <c r="C1232">
        <f t="shared" si="83"/>
        <v>3.5101691665559986E-3</v>
      </c>
    </row>
    <row r="1233" spans="1:3" x14ac:dyDescent="0.3">
      <c r="A1233" s="28">
        <v>40541</v>
      </c>
      <c r="B1233" s="36">
        <v>68952</v>
      </c>
      <c r="C1233">
        <f t="shared" si="83"/>
        <v>1.3388986052527141E-2</v>
      </c>
    </row>
    <row r="1234" spans="1:3" x14ac:dyDescent="0.3">
      <c r="A1234" s="28">
        <v>40542</v>
      </c>
      <c r="B1234" s="36">
        <v>69305</v>
      </c>
      <c r="C1234">
        <f t="shared" si="83"/>
        <v>5.119503422670757E-3</v>
      </c>
    </row>
    <row r="1235" spans="1:3" x14ac:dyDescent="0.3">
      <c r="A1235" s="28">
        <v>40546</v>
      </c>
      <c r="B1235" s="36">
        <v>69962</v>
      </c>
      <c r="C1235">
        <f t="shared" si="83"/>
        <v>9.4798355097034381E-3</v>
      </c>
    </row>
    <row r="1236" spans="1:3" x14ac:dyDescent="0.3">
      <c r="A1236" s="28">
        <v>40547</v>
      </c>
      <c r="B1236" s="36">
        <v>70318</v>
      </c>
      <c r="C1236">
        <f t="shared" si="83"/>
        <v>5.0884766015837357E-3</v>
      </c>
    </row>
    <row r="1237" spans="1:3" x14ac:dyDescent="0.3">
      <c r="A1237" s="28">
        <v>40548</v>
      </c>
      <c r="B1237" s="36">
        <v>71091</v>
      </c>
      <c r="C1237">
        <f t="shared" si="83"/>
        <v>1.0992917887311826E-2</v>
      </c>
    </row>
    <row r="1238" spans="1:3" x14ac:dyDescent="0.3">
      <c r="A1238" s="28">
        <v>40549</v>
      </c>
      <c r="B1238" s="36">
        <v>70579</v>
      </c>
      <c r="C1238">
        <f t="shared" si="83"/>
        <v>-7.2020368260398149E-3</v>
      </c>
    </row>
    <row r="1239" spans="1:3" x14ac:dyDescent="0.3">
      <c r="A1239" s="28">
        <v>40550</v>
      </c>
      <c r="B1239" s="36">
        <v>70057</v>
      </c>
      <c r="C1239">
        <f t="shared" si="83"/>
        <v>-7.3959676390994433E-3</v>
      </c>
    </row>
    <row r="1240" spans="1:3" x14ac:dyDescent="0.3">
      <c r="A1240" s="28">
        <v>40553</v>
      </c>
      <c r="B1240" s="36">
        <v>70127</v>
      </c>
      <c r="C1240">
        <f t="shared" si="83"/>
        <v>9.9918637680751488E-4</v>
      </c>
    </row>
    <row r="1241" spans="1:3" x14ac:dyDescent="0.3">
      <c r="A1241" s="28">
        <v>40554</v>
      </c>
      <c r="B1241" s="36">
        <v>70423</v>
      </c>
      <c r="C1241">
        <f t="shared" si="83"/>
        <v>4.2209134855333286E-3</v>
      </c>
    </row>
    <row r="1242" spans="1:3" x14ac:dyDescent="0.3">
      <c r="A1242" s="28">
        <v>40555</v>
      </c>
      <c r="B1242" s="36">
        <v>71633</v>
      </c>
      <c r="C1242">
        <f t="shared" si="83"/>
        <v>1.7181886599548335E-2</v>
      </c>
    </row>
    <row r="1243" spans="1:3" x14ac:dyDescent="0.3">
      <c r="A1243" s="28">
        <v>40556</v>
      </c>
      <c r="B1243" s="36">
        <v>70721</v>
      </c>
      <c r="C1243">
        <f t="shared" si="83"/>
        <v>-1.2731562268786689E-2</v>
      </c>
    </row>
    <row r="1244" spans="1:3" x14ac:dyDescent="0.3">
      <c r="A1244" s="28">
        <v>40557</v>
      </c>
      <c r="B1244" s="36">
        <v>70940</v>
      </c>
      <c r="C1244">
        <f t="shared" si="83"/>
        <v>3.0966756691788166E-3</v>
      </c>
    </row>
    <row r="1245" spans="1:3" x14ac:dyDescent="0.3">
      <c r="A1245" s="28">
        <v>40560</v>
      </c>
      <c r="B1245" s="36">
        <v>70609</v>
      </c>
      <c r="C1245">
        <f t="shared" si="83"/>
        <v>-4.66591485762613E-3</v>
      </c>
    </row>
    <row r="1246" spans="1:3" x14ac:dyDescent="0.3">
      <c r="A1246" s="28">
        <v>40561</v>
      </c>
      <c r="B1246" s="36">
        <v>70920</v>
      </c>
      <c r="C1246">
        <f t="shared" si="83"/>
        <v>4.4045376651702384E-3</v>
      </c>
    </row>
    <row r="1247" spans="1:3" x14ac:dyDescent="0.3">
      <c r="A1247" s="28">
        <v>40562</v>
      </c>
      <c r="B1247" s="36">
        <v>70058</v>
      </c>
      <c r="C1247">
        <f t="shared" si="83"/>
        <v>-1.2154540327129149E-2</v>
      </c>
    </row>
    <row r="1248" spans="1:3" x14ac:dyDescent="0.3">
      <c r="A1248" s="28">
        <v>40563</v>
      </c>
      <c r="B1248" s="36">
        <v>69562</v>
      </c>
      <c r="C1248">
        <f t="shared" si="83"/>
        <v>-7.079848125838617E-3</v>
      </c>
    </row>
    <row r="1249" spans="1:3" x14ac:dyDescent="0.3">
      <c r="A1249" s="28">
        <v>40564</v>
      </c>
      <c r="B1249" s="36">
        <v>69133</v>
      </c>
      <c r="C1249">
        <f t="shared" si="83"/>
        <v>-6.1671602311607066E-3</v>
      </c>
    </row>
    <row r="1250" spans="1:3" x14ac:dyDescent="0.3">
      <c r="A1250" s="28">
        <v>40567</v>
      </c>
      <c r="B1250" s="36">
        <v>69427</v>
      </c>
      <c r="C1250">
        <f t="shared" si="83"/>
        <v>4.2526723851128434E-3</v>
      </c>
    </row>
    <row r="1251" spans="1:3" x14ac:dyDescent="0.3">
      <c r="A1251" s="28">
        <v>40569</v>
      </c>
      <c r="B1251" s="36">
        <v>68709</v>
      </c>
      <c r="C1251">
        <f t="shared" si="83"/>
        <v>-1.0341797859622304E-2</v>
      </c>
    </row>
    <row r="1252" spans="1:3" x14ac:dyDescent="0.3">
      <c r="A1252" s="28">
        <v>40570</v>
      </c>
      <c r="B1252" s="36">
        <v>68051</v>
      </c>
      <c r="C1252">
        <f t="shared" si="83"/>
        <v>-9.5766202389788724E-3</v>
      </c>
    </row>
    <row r="1253" spans="1:3" x14ac:dyDescent="0.3">
      <c r="A1253" s="28">
        <v>40571</v>
      </c>
      <c r="B1253" s="36">
        <v>66698</v>
      </c>
      <c r="C1253">
        <f t="shared" si="83"/>
        <v>-1.9882147213119539E-2</v>
      </c>
    </row>
    <row r="1254" spans="1:3" x14ac:dyDescent="0.3">
      <c r="A1254" s="28">
        <v>40574</v>
      </c>
      <c r="B1254" s="36">
        <v>66575</v>
      </c>
      <c r="C1254">
        <f t="shared" si="83"/>
        <v>-1.844133257368985E-3</v>
      </c>
    </row>
    <row r="1255" spans="1:3" x14ac:dyDescent="0.3">
      <c r="A1255" s="28">
        <v>40575</v>
      </c>
      <c r="B1255" s="36">
        <v>67847</v>
      </c>
      <c r="C1255">
        <f t="shared" si="83"/>
        <v>1.9106271122793839E-2</v>
      </c>
    </row>
    <row r="1256" spans="1:3" x14ac:dyDescent="0.3">
      <c r="A1256" s="28">
        <v>40576</v>
      </c>
      <c r="B1256" s="36">
        <v>66688</v>
      </c>
      <c r="C1256">
        <f t="shared" si="83"/>
        <v>-1.7082553392191224E-2</v>
      </c>
    </row>
    <row r="1257" spans="1:3" x14ac:dyDescent="0.3">
      <c r="A1257" s="28">
        <v>40577</v>
      </c>
      <c r="B1257" s="36">
        <v>66765</v>
      </c>
      <c r="C1257">
        <f t="shared" si="83"/>
        <v>1.1546305182341676E-3</v>
      </c>
    </row>
    <row r="1258" spans="1:3" x14ac:dyDescent="0.3">
      <c r="A1258" s="28">
        <v>40578</v>
      </c>
      <c r="B1258" s="36">
        <v>65269</v>
      </c>
      <c r="C1258">
        <f t="shared" si="83"/>
        <v>-2.2406949749120053E-2</v>
      </c>
    </row>
    <row r="1259" spans="1:3" x14ac:dyDescent="0.3">
      <c r="A1259" s="28">
        <v>40581</v>
      </c>
      <c r="B1259" s="36">
        <v>65362</v>
      </c>
      <c r="C1259">
        <f t="shared" si="83"/>
        <v>1.4248724509338118E-3</v>
      </c>
    </row>
    <row r="1260" spans="1:3" x14ac:dyDescent="0.3">
      <c r="A1260" s="28">
        <v>40582</v>
      </c>
      <c r="B1260" s="36">
        <v>65771</v>
      </c>
      <c r="C1260">
        <f t="shared" si="83"/>
        <v>6.2574584621033491E-3</v>
      </c>
    </row>
    <row r="1261" spans="1:3" x14ac:dyDescent="0.3">
      <c r="A1261" s="28">
        <v>40583</v>
      </c>
      <c r="B1261" s="36">
        <v>64218</v>
      </c>
      <c r="C1261">
        <f t="shared" si="83"/>
        <v>-2.3612230314272287E-2</v>
      </c>
    </row>
    <row r="1262" spans="1:3" x14ac:dyDescent="0.3">
      <c r="A1262" s="28">
        <v>40584</v>
      </c>
      <c r="B1262" s="36">
        <v>64578</v>
      </c>
      <c r="C1262">
        <f t="shared" si="83"/>
        <v>5.605904886480495E-3</v>
      </c>
    </row>
    <row r="1263" spans="1:3" x14ac:dyDescent="0.3">
      <c r="A1263" s="28">
        <v>40585</v>
      </c>
      <c r="B1263" s="36">
        <v>65756</v>
      </c>
      <c r="C1263">
        <f t="shared" si="83"/>
        <v>1.8241506395366924E-2</v>
      </c>
    </row>
    <row r="1264" spans="1:3" x14ac:dyDescent="0.3">
      <c r="A1264" s="28">
        <v>40588</v>
      </c>
      <c r="B1264" s="36">
        <v>66558</v>
      </c>
      <c r="C1264">
        <f t="shared" si="83"/>
        <v>1.2196605632946111E-2</v>
      </c>
    </row>
    <row r="1265" spans="1:3" x14ac:dyDescent="0.3">
      <c r="A1265" s="28">
        <v>40589</v>
      </c>
      <c r="B1265" s="36">
        <v>66341</v>
      </c>
      <c r="C1265">
        <f t="shared" si="83"/>
        <v>-3.2603143123290934E-3</v>
      </c>
    </row>
    <row r="1266" spans="1:3" x14ac:dyDescent="0.3">
      <c r="A1266" s="28">
        <v>40590</v>
      </c>
      <c r="B1266" s="36">
        <v>67571</v>
      </c>
      <c r="C1266">
        <f t="shared" si="83"/>
        <v>1.8540570687809899E-2</v>
      </c>
    </row>
    <row r="1267" spans="1:3" x14ac:dyDescent="0.3">
      <c r="A1267" s="28">
        <v>40591</v>
      </c>
      <c r="B1267" s="36">
        <v>67685</v>
      </c>
      <c r="C1267">
        <f t="shared" si="83"/>
        <v>1.6871142945937834E-3</v>
      </c>
    </row>
    <row r="1268" spans="1:3" x14ac:dyDescent="0.3">
      <c r="A1268" s="28">
        <v>40592</v>
      </c>
      <c r="B1268" s="36">
        <v>68067</v>
      </c>
      <c r="C1268">
        <f t="shared" si="83"/>
        <v>5.6437910910835942E-3</v>
      </c>
    </row>
    <row r="1269" spans="1:3" x14ac:dyDescent="0.3">
      <c r="A1269" s="28">
        <v>40595</v>
      </c>
      <c r="B1269" s="36">
        <v>67259</v>
      </c>
      <c r="C1269">
        <f t="shared" si="83"/>
        <v>-1.1870656852806749E-2</v>
      </c>
    </row>
    <row r="1270" spans="1:3" x14ac:dyDescent="0.3">
      <c r="A1270" s="28">
        <v>40596</v>
      </c>
      <c r="B1270" s="36">
        <v>66440</v>
      </c>
      <c r="C1270">
        <f t="shared" si="83"/>
        <v>-1.2176809051576698E-2</v>
      </c>
    </row>
    <row r="1271" spans="1:3" x14ac:dyDescent="0.3">
      <c r="A1271" s="28">
        <v>40597</v>
      </c>
      <c r="B1271" s="36">
        <v>66910</v>
      </c>
      <c r="C1271">
        <f t="shared" si="83"/>
        <v>7.0740517760385924E-3</v>
      </c>
    </row>
    <row r="1272" spans="1:3" x14ac:dyDescent="0.3">
      <c r="A1272" s="28">
        <v>40598</v>
      </c>
      <c r="B1272" s="36">
        <v>66949</v>
      </c>
      <c r="C1272">
        <f t="shared" si="83"/>
        <v>5.8287251531918827E-4</v>
      </c>
    </row>
    <row r="1273" spans="1:3" x14ac:dyDescent="0.3">
      <c r="A1273" s="28">
        <v>40599</v>
      </c>
      <c r="B1273" s="36">
        <v>66903</v>
      </c>
      <c r="C1273">
        <f t="shared" si="83"/>
        <v>-6.870901731168555E-4</v>
      </c>
    </row>
    <row r="1274" spans="1:3" x14ac:dyDescent="0.3">
      <c r="A1274" s="28">
        <v>40602</v>
      </c>
      <c r="B1274" s="36">
        <v>67383</v>
      </c>
      <c r="C1274">
        <f t="shared" si="83"/>
        <v>7.1745661629523116E-3</v>
      </c>
    </row>
    <row r="1275" spans="1:3" x14ac:dyDescent="0.3">
      <c r="A1275" s="28">
        <v>40603</v>
      </c>
      <c r="B1275" s="36">
        <v>66243</v>
      </c>
      <c r="C1275">
        <f t="shared" si="83"/>
        <v>-1.6918213792796455E-2</v>
      </c>
    </row>
    <row r="1276" spans="1:3" x14ac:dyDescent="0.3">
      <c r="A1276" s="28">
        <v>40604</v>
      </c>
      <c r="B1276" s="36">
        <v>67282</v>
      </c>
      <c r="C1276">
        <f t="shared" si="83"/>
        <v>1.5684676116721752E-2</v>
      </c>
    </row>
    <row r="1277" spans="1:3" x14ac:dyDescent="0.3">
      <c r="A1277" s="28">
        <v>40605</v>
      </c>
      <c r="B1277" s="36">
        <v>68146</v>
      </c>
      <c r="C1277">
        <f t="shared" si="83"/>
        <v>1.2841473202342302E-2</v>
      </c>
    </row>
    <row r="1278" spans="1:3" x14ac:dyDescent="0.3">
      <c r="A1278" s="28">
        <v>40606</v>
      </c>
      <c r="B1278" s="36">
        <v>68012</v>
      </c>
      <c r="C1278">
        <f t="shared" si="83"/>
        <v>-1.966366331112579E-3</v>
      </c>
    </row>
    <row r="1279" spans="1:3" x14ac:dyDescent="0.3">
      <c r="A1279" s="28">
        <v>40611</v>
      </c>
      <c r="B1279" s="36">
        <v>67264</v>
      </c>
      <c r="C1279">
        <f t="shared" si="83"/>
        <v>-1.0998059166029472E-2</v>
      </c>
    </row>
    <row r="1280" spans="1:3" x14ac:dyDescent="0.3">
      <c r="A1280" s="28">
        <v>40612</v>
      </c>
      <c r="B1280" s="36">
        <v>66041</v>
      </c>
      <c r="C1280">
        <f t="shared" si="83"/>
        <v>-1.8182088487155079E-2</v>
      </c>
    </row>
    <row r="1281" spans="1:3" x14ac:dyDescent="0.3">
      <c r="A1281" s="28">
        <v>40613</v>
      </c>
      <c r="B1281" s="36">
        <v>66685</v>
      </c>
      <c r="C1281">
        <f t="shared" si="83"/>
        <v>9.7515179963962861E-3</v>
      </c>
    </row>
    <row r="1282" spans="1:3" x14ac:dyDescent="0.3">
      <c r="A1282" s="28">
        <v>40616</v>
      </c>
      <c r="B1282" s="36">
        <v>67169</v>
      </c>
      <c r="C1282">
        <f t="shared" si="83"/>
        <v>7.258004048886546E-3</v>
      </c>
    </row>
    <row r="1283" spans="1:3" x14ac:dyDescent="0.3">
      <c r="A1283" s="28">
        <v>40617</v>
      </c>
      <c r="B1283" s="36">
        <v>67005</v>
      </c>
      <c r="C1283">
        <f t="shared" si="83"/>
        <v>-2.4416025249742734E-3</v>
      </c>
    </row>
    <row r="1284" spans="1:3" x14ac:dyDescent="0.3">
      <c r="A1284" s="28">
        <v>40618</v>
      </c>
      <c r="B1284" s="36">
        <v>66003</v>
      </c>
      <c r="C1284">
        <f t="shared" ref="C1284:C1347" si="84">B1284/B1283-1</f>
        <v>-1.4954107902395375E-2</v>
      </c>
    </row>
    <row r="1285" spans="1:3" x14ac:dyDescent="0.3">
      <c r="A1285" s="28">
        <v>40619</v>
      </c>
      <c r="B1285" s="36">
        <v>66216</v>
      </c>
      <c r="C1285">
        <f t="shared" si="84"/>
        <v>3.2271260397254142E-3</v>
      </c>
    </row>
    <row r="1286" spans="1:3" x14ac:dyDescent="0.3">
      <c r="A1286" s="28">
        <v>40620</v>
      </c>
      <c r="B1286" s="36">
        <v>66880</v>
      </c>
      <c r="C1286">
        <f t="shared" si="84"/>
        <v>1.002778784583791E-2</v>
      </c>
    </row>
    <row r="1287" spans="1:3" x14ac:dyDescent="0.3">
      <c r="A1287" s="28">
        <v>40623</v>
      </c>
      <c r="B1287" s="36">
        <v>66690</v>
      </c>
      <c r="C1287">
        <f t="shared" si="84"/>
        <v>-2.8409090909090606E-3</v>
      </c>
    </row>
    <row r="1288" spans="1:3" x14ac:dyDescent="0.3">
      <c r="A1288" s="28">
        <v>40624</v>
      </c>
      <c r="B1288" s="36">
        <v>67578</v>
      </c>
      <c r="C1288">
        <f t="shared" si="84"/>
        <v>1.3315339631129186E-2</v>
      </c>
    </row>
    <row r="1289" spans="1:3" x14ac:dyDescent="0.3">
      <c r="A1289" s="28">
        <v>40625</v>
      </c>
      <c r="B1289" s="36">
        <v>67796</v>
      </c>
      <c r="C1289">
        <f t="shared" si="84"/>
        <v>3.2259019207434569E-3</v>
      </c>
    </row>
    <row r="1290" spans="1:3" x14ac:dyDescent="0.3">
      <c r="A1290" s="28">
        <v>40626</v>
      </c>
      <c r="B1290" s="36">
        <v>67533</v>
      </c>
      <c r="C1290">
        <f t="shared" si="84"/>
        <v>-3.8792849135642626E-3</v>
      </c>
    </row>
    <row r="1291" spans="1:3" x14ac:dyDescent="0.3">
      <c r="A1291" s="28">
        <v>40627</v>
      </c>
      <c r="B1291" s="36">
        <v>67766</v>
      </c>
      <c r="C1291">
        <f t="shared" si="84"/>
        <v>3.4501651044673842E-3</v>
      </c>
    </row>
    <row r="1292" spans="1:3" x14ac:dyDescent="0.3">
      <c r="A1292" s="28">
        <v>40630</v>
      </c>
      <c r="B1292" s="36">
        <v>67193</v>
      </c>
      <c r="C1292">
        <f t="shared" si="84"/>
        <v>-8.455567688811505E-3</v>
      </c>
    </row>
    <row r="1293" spans="1:3" x14ac:dyDescent="0.3">
      <c r="A1293" s="28">
        <v>40631</v>
      </c>
      <c r="B1293" s="36">
        <v>67419</v>
      </c>
      <c r="C1293">
        <f t="shared" si="84"/>
        <v>3.3634455970115162E-3</v>
      </c>
    </row>
    <row r="1294" spans="1:3" x14ac:dyDescent="0.3">
      <c r="A1294" s="28">
        <v>40632</v>
      </c>
      <c r="B1294" s="36">
        <v>67997</v>
      </c>
      <c r="C1294">
        <f t="shared" si="84"/>
        <v>8.5732508639997373E-3</v>
      </c>
    </row>
    <row r="1295" spans="1:3" x14ac:dyDescent="0.3">
      <c r="A1295" s="28">
        <v>40633</v>
      </c>
      <c r="B1295" s="36">
        <v>68587</v>
      </c>
      <c r="C1295">
        <f t="shared" si="84"/>
        <v>8.6768533905907663E-3</v>
      </c>
    </row>
    <row r="1296" spans="1:3" x14ac:dyDescent="0.3">
      <c r="A1296" s="28">
        <v>40634</v>
      </c>
      <c r="B1296" s="36">
        <v>69268</v>
      </c>
      <c r="C1296">
        <f t="shared" si="84"/>
        <v>9.9289952906527201E-3</v>
      </c>
    </row>
    <row r="1297" spans="1:3" x14ac:dyDescent="0.3">
      <c r="A1297" s="28">
        <v>40637</v>
      </c>
      <c r="B1297" s="36">
        <v>69704</v>
      </c>
      <c r="C1297">
        <f t="shared" si="84"/>
        <v>6.2943927932090915E-3</v>
      </c>
    </row>
    <row r="1298" spans="1:3" x14ac:dyDescent="0.3">
      <c r="A1298" s="28">
        <v>40638</v>
      </c>
      <c r="B1298" s="36">
        <v>69838</v>
      </c>
      <c r="C1298">
        <f t="shared" si="84"/>
        <v>1.9224147825089855E-3</v>
      </c>
    </row>
    <row r="1299" spans="1:3" x14ac:dyDescent="0.3">
      <c r="A1299" s="28">
        <v>40639</v>
      </c>
      <c r="B1299" s="36">
        <v>69037</v>
      </c>
      <c r="C1299">
        <f t="shared" si="84"/>
        <v>-1.1469400612846847E-2</v>
      </c>
    </row>
    <row r="1300" spans="1:3" x14ac:dyDescent="0.3">
      <c r="A1300" s="28">
        <v>40640</v>
      </c>
      <c r="B1300" s="36">
        <v>69176</v>
      </c>
      <c r="C1300">
        <f t="shared" si="84"/>
        <v>2.0134130973246123E-3</v>
      </c>
    </row>
    <row r="1301" spans="1:3" x14ac:dyDescent="0.3">
      <c r="A1301" s="28">
        <v>40641</v>
      </c>
      <c r="B1301" s="36">
        <v>68718</v>
      </c>
      <c r="C1301">
        <f t="shared" si="84"/>
        <v>-6.6207933387302242E-3</v>
      </c>
    </row>
    <row r="1302" spans="1:3" x14ac:dyDescent="0.3">
      <c r="A1302" s="28">
        <v>40644</v>
      </c>
      <c r="B1302" s="36">
        <v>68164</v>
      </c>
      <c r="C1302">
        <f t="shared" si="84"/>
        <v>-8.0619342821386386E-3</v>
      </c>
    </row>
    <row r="1303" spans="1:3" x14ac:dyDescent="0.3">
      <c r="A1303" s="28">
        <v>40645</v>
      </c>
      <c r="B1303" s="36">
        <v>66896</v>
      </c>
      <c r="C1303">
        <f t="shared" si="84"/>
        <v>-1.8602194706883401E-2</v>
      </c>
    </row>
    <row r="1304" spans="1:3" x14ac:dyDescent="0.3">
      <c r="A1304" s="28">
        <v>40646</v>
      </c>
      <c r="B1304" s="36">
        <v>66486</v>
      </c>
      <c r="C1304">
        <f t="shared" si="84"/>
        <v>-6.1289165271466439E-3</v>
      </c>
    </row>
    <row r="1305" spans="1:3" x14ac:dyDescent="0.3">
      <c r="A1305" s="28">
        <v>40647</v>
      </c>
      <c r="B1305" s="36">
        <v>66279</v>
      </c>
      <c r="C1305">
        <f t="shared" si="84"/>
        <v>-3.1134374153957145E-3</v>
      </c>
    </row>
    <row r="1306" spans="1:3" x14ac:dyDescent="0.3">
      <c r="A1306" s="28">
        <v>40648</v>
      </c>
      <c r="B1306" s="36">
        <v>66684</v>
      </c>
      <c r="C1306">
        <f t="shared" si="84"/>
        <v>6.1105327479291649E-3</v>
      </c>
    </row>
    <row r="1307" spans="1:3" x14ac:dyDescent="0.3">
      <c r="A1307" s="28">
        <v>40651</v>
      </c>
      <c r="B1307" s="36">
        <v>65415</v>
      </c>
      <c r="C1307">
        <f t="shared" si="84"/>
        <v>-1.9030052186431501E-2</v>
      </c>
    </row>
    <row r="1308" spans="1:3" x14ac:dyDescent="0.3">
      <c r="A1308" s="28">
        <v>40652</v>
      </c>
      <c r="B1308" s="36">
        <v>66158</v>
      </c>
      <c r="C1308">
        <f t="shared" si="84"/>
        <v>1.1358251165634714E-2</v>
      </c>
    </row>
    <row r="1309" spans="1:3" x14ac:dyDescent="0.3">
      <c r="A1309" s="28">
        <v>40653</v>
      </c>
      <c r="B1309" s="36">
        <v>67058</v>
      </c>
      <c r="C1309">
        <f t="shared" si="84"/>
        <v>1.3603796970887982E-2</v>
      </c>
    </row>
    <row r="1310" spans="1:3" x14ac:dyDescent="0.3">
      <c r="A1310" s="28">
        <v>40658</v>
      </c>
      <c r="B1310" s="36">
        <v>66972</v>
      </c>
      <c r="C1310">
        <f t="shared" si="84"/>
        <v>-1.282471890005632E-3</v>
      </c>
    </row>
    <row r="1311" spans="1:3" x14ac:dyDescent="0.3">
      <c r="A1311" s="28">
        <v>40659</v>
      </c>
      <c r="B1311" s="36">
        <v>67144</v>
      </c>
      <c r="C1311">
        <f t="shared" si="84"/>
        <v>2.5682374723765555E-3</v>
      </c>
    </row>
    <row r="1312" spans="1:3" x14ac:dyDescent="0.3">
      <c r="A1312" s="28">
        <v>40660</v>
      </c>
      <c r="B1312" s="36">
        <v>66264</v>
      </c>
      <c r="C1312">
        <f t="shared" si="84"/>
        <v>-1.3106159895150737E-2</v>
      </c>
    </row>
    <row r="1313" spans="1:3" x14ac:dyDescent="0.3">
      <c r="A1313" s="28">
        <v>40661</v>
      </c>
      <c r="B1313" s="36">
        <v>65673</v>
      </c>
      <c r="C1313">
        <f t="shared" si="84"/>
        <v>-8.9188699746468592E-3</v>
      </c>
    </row>
    <row r="1314" spans="1:3" x14ac:dyDescent="0.3">
      <c r="A1314" s="28">
        <v>40662</v>
      </c>
      <c r="B1314" s="36">
        <v>66133</v>
      </c>
      <c r="C1314">
        <f t="shared" si="84"/>
        <v>7.0044005908058704E-3</v>
      </c>
    </row>
    <row r="1315" spans="1:3" x14ac:dyDescent="0.3">
      <c r="A1315" s="28">
        <v>40665</v>
      </c>
      <c r="B1315" s="36">
        <v>65463</v>
      </c>
      <c r="C1315">
        <f t="shared" si="84"/>
        <v>-1.0131099451106129E-2</v>
      </c>
    </row>
    <row r="1316" spans="1:3" x14ac:dyDescent="0.3">
      <c r="A1316" s="28">
        <v>40666</v>
      </c>
      <c r="B1316" s="36">
        <v>64318</v>
      </c>
      <c r="C1316">
        <f t="shared" si="84"/>
        <v>-1.7490796327696567E-2</v>
      </c>
    </row>
    <row r="1317" spans="1:3" x14ac:dyDescent="0.3">
      <c r="A1317" s="28">
        <v>40667</v>
      </c>
      <c r="B1317" s="36">
        <v>63616</v>
      </c>
      <c r="C1317">
        <f t="shared" si="84"/>
        <v>-1.0914518486271341E-2</v>
      </c>
    </row>
    <row r="1318" spans="1:3" x14ac:dyDescent="0.3">
      <c r="A1318" s="28">
        <v>40668</v>
      </c>
      <c r="B1318" s="36">
        <v>63407</v>
      </c>
      <c r="C1318">
        <f t="shared" si="84"/>
        <v>-3.2853370221328504E-3</v>
      </c>
    </row>
    <row r="1319" spans="1:3" x14ac:dyDescent="0.3">
      <c r="A1319" s="28">
        <v>40669</v>
      </c>
      <c r="B1319" s="36">
        <v>64417</v>
      </c>
      <c r="C1319">
        <f t="shared" si="84"/>
        <v>1.5928840664279909E-2</v>
      </c>
    </row>
    <row r="1320" spans="1:3" x14ac:dyDescent="0.3">
      <c r="A1320" s="28">
        <v>40672</v>
      </c>
      <c r="B1320" s="36">
        <v>64622</v>
      </c>
      <c r="C1320">
        <f t="shared" si="84"/>
        <v>3.1823897418383762E-3</v>
      </c>
    </row>
    <row r="1321" spans="1:3" x14ac:dyDescent="0.3">
      <c r="A1321" s="28">
        <v>40673</v>
      </c>
      <c r="B1321" s="36">
        <v>64877</v>
      </c>
      <c r="C1321">
        <f t="shared" si="84"/>
        <v>3.9460245736746558E-3</v>
      </c>
    </row>
    <row r="1322" spans="1:3" x14ac:dyDescent="0.3">
      <c r="A1322" s="28">
        <v>40674</v>
      </c>
      <c r="B1322" s="36">
        <v>63776</v>
      </c>
      <c r="C1322">
        <f t="shared" si="84"/>
        <v>-1.6970575088243955E-2</v>
      </c>
    </row>
    <row r="1323" spans="1:3" x14ac:dyDescent="0.3">
      <c r="A1323" s="28">
        <v>40675</v>
      </c>
      <c r="B1323" s="36">
        <v>64003</v>
      </c>
      <c r="C1323">
        <f t="shared" si="84"/>
        <v>3.5593326643250656E-3</v>
      </c>
    </row>
    <row r="1324" spans="1:3" x14ac:dyDescent="0.3">
      <c r="A1324" s="28">
        <v>40676</v>
      </c>
      <c r="B1324" s="36">
        <v>63235</v>
      </c>
      <c r="C1324">
        <f t="shared" si="84"/>
        <v>-1.1999437526365897E-2</v>
      </c>
    </row>
    <row r="1325" spans="1:3" x14ac:dyDescent="0.3">
      <c r="A1325" s="28">
        <v>40679</v>
      </c>
      <c r="B1325" s="36">
        <v>62830</v>
      </c>
      <c r="C1325">
        <f t="shared" si="84"/>
        <v>-6.4046809520044157E-3</v>
      </c>
    </row>
    <row r="1326" spans="1:3" x14ac:dyDescent="0.3">
      <c r="A1326" s="28">
        <v>40680</v>
      </c>
      <c r="B1326" s="36">
        <v>63673</v>
      </c>
      <c r="C1326">
        <f t="shared" si="84"/>
        <v>1.3417157408881053E-2</v>
      </c>
    </row>
    <row r="1327" spans="1:3" x14ac:dyDescent="0.3">
      <c r="A1327" s="28">
        <v>40681</v>
      </c>
      <c r="B1327" s="36">
        <v>62841</v>
      </c>
      <c r="C1327">
        <f t="shared" si="84"/>
        <v>-1.3066762992163028E-2</v>
      </c>
    </row>
    <row r="1328" spans="1:3" x14ac:dyDescent="0.3">
      <c r="A1328" s="28">
        <v>40682</v>
      </c>
      <c r="B1328" s="36">
        <v>62367</v>
      </c>
      <c r="C1328">
        <f t="shared" si="84"/>
        <v>-7.5428462309639066E-3</v>
      </c>
    </row>
    <row r="1329" spans="1:3" x14ac:dyDescent="0.3">
      <c r="A1329" s="28">
        <v>40683</v>
      </c>
      <c r="B1329" s="36">
        <v>62597</v>
      </c>
      <c r="C1329">
        <f t="shared" si="84"/>
        <v>3.6878477399906462E-3</v>
      </c>
    </row>
    <row r="1330" spans="1:3" x14ac:dyDescent="0.3">
      <c r="A1330" s="28">
        <v>40686</v>
      </c>
      <c r="B1330" s="36">
        <v>62345</v>
      </c>
      <c r="C1330">
        <f t="shared" si="84"/>
        <v>-4.0257520328450536E-3</v>
      </c>
    </row>
    <row r="1331" spans="1:3" x14ac:dyDescent="0.3">
      <c r="A1331" s="28">
        <v>40687</v>
      </c>
      <c r="B1331" s="36">
        <v>63337</v>
      </c>
      <c r="C1331">
        <f t="shared" si="84"/>
        <v>1.5911460421846213E-2</v>
      </c>
    </row>
    <row r="1332" spans="1:3" x14ac:dyDescent="0.3">
      <c r="A1332" s="28">
        <v>40688</v>
      </c>
      <c r="B1332" s="36">
        <v>63388</v>
      </c>
      <c r="C1332">
        <f t="shared" si="84"/>
        <v>8.0521654009513277E-4</v>
      </c>
    </row>
    <row r="1333" spans="1:3" x14ac:dyDescent="0.3">
      <c r="A1333" s="28">
        <v>40689</v>
      </c>
      <c r="B1333" s="36">
        <v>64099</v>
      </c>
      <c r="C1333">
        <f t="shared" si="84"/>
        <v>1.1216634063229591E-2</v>
      </c>
    </row>
    <row r="1334" spans="1:3" x14ac:dyDescent="0.3">
      <c r="A1334" s="28">
        <v>40690</v>
      </c>
      <c r="B1334" s="36">
        <v>64295</v>
      </c>
      <c r="C1334">
        <f t="shared" si="84"/>
        <v>3.0577700120126838E-3</v>
      </c>
    </row>
    <row r="1335" spans="1:3" x14ac:dyDescent="0.3">
      <c r="A1335" s="28">
        <v>40693</v>
      </c>
      <c r="B1335" s="36">
        <v>63954</v>
      </c>
      <c r="C1335">
        <f t="shared" si="84"/>
        <v>-5.3036783575706181E-3</v>
      </c>
    </row>
    <row r="1336" spans="1:3" x14ac:dyDescent="0.3">
      <c r="A1336" s="28">
        <v>40694</v>
      </c>
      <c r="B1336" s="36">
        <v>64620</v>
      </c>
      <c r="C1336">
        <f t="shared" si="84"/>
        <v>1.0413734871939306E-2</v>
      </c>
    </row>
    <row r="1337" spans="1:3" x14ac:dyDescent="0.3">
      <c r="A1337" s="28">
        <v>40695</v>
      </c>
      <c r="B1337" s="36">
        <v>63411</v>
      </c>
      <c r="C1337">
        <f t="shared" si="84"/>
        <v>-1.870937790157845E-2</v>
      </c>
    </row>
    <row r="1338" spans="1:3" x14ac:dyDescent="0.3">
      <c r="A1338" s="28">
        <v>40696</v>
      </c>
      <c r="B1338" s="36">
        <v>64218</v>
      </c>
      <c r="C1338">
        <f t="shared" si="84"/>
        <v>1.2726498557032784E-2</v>
      </c>
    </row>
    <row r="1339" spans="1:3" x14ac:dyDescent="0.3">
      <c r="A1339" s="28">
        <v>40697</v>
      </c>
      <c r="B1339" s="36">
        <v>64341</v>
      </c>
      <c r="C1339">
        <f t="shared" si="84"/>
        <v>1.9153508362141913E-3</v>
      </c>
    </row>
    <row r="1340" spans="1:3" x14ac:dyDescent="0.3">
      <c r="A1340" s="28">
        <v>40700</v>
      </c>
      <c r="B1340" s="36">
        <v>63068</v>
      </c>
      <c r="C1340">
        <f t="shared" si="84"/>
        <v>-1.9785206944250122E-2</v>
      </c>
    </row>
    <row r="1341" spans="1:3" x14ac:dyDescent="0.3">
      <c r="A1341" s="28">
        <v>40701</v>
      </c>
      <c r="B1341" s="36">
        <v>63218</v>
      </c>
      <c r="C1341">
        <f t="shared" si="84"/>
        <v>2.3783852349845702E-3</v>
      </c>
    </row>
    <row r="1342" spans="1:3" x14ac:dyDescent="0.3">
      <c r="A1342" s="28">
        <v>40702</v>
      </c>
      <c r="B1342" s="36">
        <v>63033</v>
      </c>
      <c r="C1342">
        <f t="shared" si="84"/>
        <v>-2.9263817267234371E-3</v>
      </c>
    </row>
    <row r="1343" spans="1:3" x14ac:dyDescent="0.3">
      <c r="A1343" s="28">
        <v>40703</v>
      </c>
      <c r="B1343" s="36">
        <v>63469</v>
      </c>
      <c r="C1343">
        <f t="shared" si="84"/>
        <v>6.9170117240175966E-3</v>
      </c>
    </row>
    <row r="1344" spans="1:3" x14ac:dyDescent="0.3">
      <c r="A1344" s="28">
        <v>40704</v>
      </c>
      <c r="B1344" s="36">
        <v>62697</v>
      </c>
      <c r="C1344">
        <f t="shared" si="84"/>
        <v>-1.2163418361719858E-2</v>
      </c>
    </row>
    <row r="1345" spans="1:3" x14ac:dyDescent="0.3">
      <c r="A1345" s="28">
        <v>40707</v>
      </c>
      <c r="B1345" s="36">
        <v>62023</v>
      </c>
      <c r="C1345">
        <f t="shared" si="84"/>
        <v>-1.0750115635516866E-2</v>
      </c>
    </row>
    <row r="1346" spans="1:3" x14ac:dyDescent="0.3">
      <c r="A1346" s="28">
        <v>40708</v>
      </c>
      <c r="B1346" s="36">
        <v>62205</v>
      </c>
      <c r="C1346">
        <f t="shared" si="84"/>
        <v>2.9343953049674187E-3</v>
      </c>
    </row>
    <row r="1347" spans="1:3" x14ac:dyDescent="0.3">
      <c r="A1347" s="28">
        <v>40709</v>
      </c>
      <c r="B1347" s="36">
        <v>61604</v>
      </c>
      <c r="C1347">
        <f t="shared" si="84"/>
        <v>-9.6616027650510139E-3</v>
      </c>
    </row>
    <row r="1348" spans="1:3" x14ac:dyDescent="0.3">
      <c r="A1348" s="28">
        <v>40710</v>
      </c>
      <c r="B1348" s="36">
        <v>60881</v>
      </c>
      <c r="C1348">
        <f t="shared" ref="C1348:C1411" si="85">B1348/B1347-1</f>
        <v>-1.1736250892799172E-2</v>
      </c>
    </row>
    <row r="1349" spans="1:3" x14ac:dyDescent="0.3">
      <c r="A1349" s="28">
        <v>40711</v>
      </c>
      <c r="B1349" s="36">
        <v>61060</v>
      </c>
      <c r="C1349">
        <f t="shared" si="85"/>
        <v>2.9401619552897884E-3</v>
      </c>
    </row>
    <row r="1350" spans="1:3" x14ac:dyDescent="0.3">
      <c r="A1350" s="28">
        <v>40714</v>
      </c>
      <c r="B1350" s="36">
        <v>61168</v>
      </c>
      <c r="C1350">
        <f t="shared" si="85"/>
        <v>1.768752047166755E-3</v>
      </c>
    </row>
    <row r="1351" spans="1:3" x14ac:dyDescent="0.3">
      <c r="A1351" s="28">
        <v>40715</v>
      </c>
      <c r="B1351" s="36">
        <v>61424</v>
      </c>
      <c r="C1351">
        <f t="shared" si="85"/>
        <v>4.1851948731361777E-3</v>
      </c>
    </row>
    <row r="1352" spans="1:3" x14ac:dyDescent="0.3">
      <c r="A1352" s="28">
        <v>40716</v>
      </c>
      <c r="B1352" s="36">
        <v>61194</v>
      </c>
      <c r="C1352">
        <f t="shared" si="85"/>
        <v>-3.7444647043500812E-3</v>
      </c>
    </row>
    <row r="1353" spans="1:3" x14ac:dyDescent="0.3">
      <c r="A1353" s="28">
        <v>40718</v>
      </c>
      <c r="B1353" s="36">
        <v>61017</v>
      </c>
      <c r="C1353">
        <f t="shared" si="85"/>
        <v>-2.8924404353367628E-3</v>
      </c>
    </row>
    <row r="1354" spans="1:3" x14ac:dyDescent="0.3">
      <c r="A1354" s="28">
        <v>40721</v>
      </c>
      <c r="B1354" s="36">
        <v>61217</v>
      </c>
      <c r="C1354">
        <f t="shared" si="85"/>
        <v>3.2777750462986699E-3</v>
      </c>
    </row>
    <row r="1355" spans="1:3" x14ac:dyDescent="0.3">
      <c r="A1355" s="28">
        <v>40722</v>
      </c>
      <c r="B1355" s="36">
        <v>62303</v>
      </c>
      <c r="C1355">
        <f t="shared" si="85"/>
        <v>1.7740170214156192E-2</v>
      </c>
    </row>
    <row r="1356" spans="1:3" x14ac:dyDescent="0.3">
      <c r="A1356" s="28">
        <v>40723</v>
      </c>
      <c r="B1356" s="36">
        <v>62334</v>
      </c>
      <c r="C1356">
        <f t="shared" si="85"/>
        <v>4.9756833539316148E-4</v>
      </c>
    </row>
    <row r="1357" spans="1:3" x14ac:dyDescent="0.3">
      <c r="A1357" s="28">
        <v>40724</v>
      </c>
      <c r="B1357" s="36">
        <v>62404</v>
      </c>
      <c r="C1357">
        <f t="shared" si="85"/>
        <v>1.1229826418968081E-3</v>
      </c>
    </row>
    <row r="1358" spans="1:3" x14ac:dyDescent="0.3">
      <c r="A1358" s="28">
        <v>40725</v>
      </c>
      <c r="B1358" s="36">
        <v>63394</v>
      </c>
      <c r="C1358">
        <f t="shared" si="85"/>
        <v>1.586436766873911E-2</v>
      </c>
    </row>
    <row r="1359" spans="1:3" x14ac:dyDescent="0.3">
      <c r="A1359" s="28">
        <v>40728</v>
      </c>
      <c r="B1359" s="36">
        <v>63891</v>
      </c>
      <c r="C1359">
        <f t="shared" si="85"/>
        <v>7.8398586617030031E-3</v>
      </c>
    </row>
    <row r="1360" spans="1:3" x14ac:dyDescent="0.3">
      <c r="A1360" s="28">
        <v>40729</v>
      </c>
      <c r="B1360" s="36">
        <v>63039</v>
      </c>
      <c r="C1360">
        <f t="shared" si="85"/>
        <v>-1.3335211532140678E-2</v>
      </c>
    </row>
    <row r="1361" spans="1:3" x14ac:dyDescent="0.3">
      <c r="A1361" s="28">
        <v>40730</v>
      </c>
      <c r="B1361" s="36">
        <v>62565</v>
      </c>
      <c r="C1361">
        <f t="shared" si="85"/>
        <v>-7.5191548089278415E-3</v>
      </c>
    </row>
    <row r="1362" spans="1:3" x14ac:dyDescent="0.3">
      <c r="A1362" s="28">
        <v>40731</v>
      </c>
      <c r="B1362" s="36">
        <v>62207</v>
      </c>
      <c r="C1362">
        <f t="shared" si="85"/>
        <v>-5.7220490689682268E-3</v>
      </c>
    </row>
    <row r="1363" spans="1:3" x14ac:dyDescent="0.3">
      <c r="A1363" s="28">
        <v>40732</v>
      </c>
      <c r="B1363" s="36">
        <v>61513</v>
      </c>
      <c r="C1363">
        <f t="shared" si="85"/>
        <v>-1.1156300737859115E-2</v>
      </c>
    </row>
    <row r="1364" spans="1:3" x14ac:dyDescent="0.3">
      <c r="A1364" s="28">
        <v>40735</v>
      </c>
      <c r="B1364" s="36">
        <v>60224</v>
      </c>
      <c r="C1364">
        <f t="shared" si="85"/>
        <v>-2.0954920098190666E-2</v>
      </c>
    </row>
    <row r="1365" spans="1:3" x14ac:dyDescent="0.3">
      <c r="A1365" s="28">
        <v>40736</v>
      </c>
      <c r="B1365" s="36">
        <v>59705</v>
      </c>
      <c r="C1365">
        <f t="shared" si="85"/>
        <v>-8.6178267800212094E-3</v>
      </c>
    </row>
    <row r="1366" spans="1:3" x14ac:dyDescent="0.3">
      <c r="A1366" s="28">
        <v>40737</v>
      </c>
      <c r="B1366" s="36">
        <v>60670</v>
      </c>
      <c r="C1366">
        <f t="shared" si="85"/>
        <v>1.6162800435474356E-2</v>
      </c>
    </row>
    <row r="1367" spans="1:3" x14ac:dyDescent="0.3">
      <c r="A1367" s="28">
        <v>40738</v>
      </c>
      <c r="B1367" s="36">
        <v>59679</v>
      </c>
      <c r="C1367">
        <f t="shared" si="85"/>
        <v>-1.6334267347947962E-2</v>
      </c>
    </row>
    <row r="1368" spans="1:3" x14ac:dyDescent="0.3">
      <c r="A1368" s="28">
        <v>40739</v>
      </c>
      <c r="B1368" s="36">
        <v>59478</v>
      </c>
      <c r="C1368">
        <f t="shared" si="85"/>
        <v>-3.3680189011210393E-3</v>
      </c>
    </row>
    <row r="1369" spans="1:3" x14ac:dyDescent="0.3">
      <c r="A1369" s="28">
        <v>40742</v>
      </c>
      <c r="B1369" s="36">
        <v>58838</v>
      </c>
      <c r="C1369">
        <f t="shared" si="85"/>
        <v>-1.0760281112344061E-2</v>
      </c>
    </row>
    <row r="1370" spans="1:3" x14ac:dyDescent="0.3">
      <c r="A1370" s="28">
        <v>40743</v>
      </c>
      <c r="B1370" s="36">
        <v>59082</v>
      </c>
      <c r="C1370">
        <f t="shared" si="85"/>
        <v>4.1469798429585314E-3</v>
      </c>
    </row>
    <row r="1371" spans="1:3" x14ac:dyDescent="0.3">
      <c r="A1371" s="28">
        <v>40744</v>
      </c>
      <c r="B1371" s="36">
        <v>59120</v>
      </c>
      <c r="C1371">
        <f t="shared" si="85"/>
        <v>6.4317389391010948E-4</v>
      </c>
    </row>
    <row r="1372" spans="1:3" x14ac:dyDescent="0.3">
      <c r="A1372" s="28">
        <v>40745</v>
      </c>
      <c r="B1372" s="36">
        <v>60263</v>
      </c>
      <c r="C1372">
        <f t="shared" si="85"/>
        <v>1.933355886332877E-2</v>
      </c>
    </row>
    <row r="1373" spans="1:3" x14ac:dyDescent="0.3">
      <c r="A1373" s="28">
        <v>40746</v>
      </c>
      <c r="B1373" s="36">
        <v>60270</v>
      </c>
      <c r="C1373">
        <f t="shared" si="85"/>
        <v>1.1615750958293702E-4</v>
      </c>
    </row>
    <row r="1374" spans="1:3" x14ac:dyDescent="0.3">
      <c r="A1374" s="28">
        <v>40749</v>
      </c>
      <c r="B1374" s="36">
        <v>59971</v>
      </c>
      <c r="C1374">
        <f t="shared" si="85"/>
        <v>-4.9610087937613789E-3</v>
      </c>
    </row>
    <row r="1375" spans="1:3" x14ac:dyDescent="0.3">
      <c r="A1375" s="28">
        <v>40750</v>
      </c>
      <c r="B1375" s="36">
        <v>59340</v>
      </c>
      <c r="C1375">
        <f t="shared" si="85"/>
        <v>-1.0521752180220445E-2</v>
      </c>
    </row>
    <row r="1376" spans="1:3" x14ac:dyDescent="0.3">
      <c r="A1376" s="28">
        <v>40751</v>
      </c>
      <c r="B1376" s="36">
        <v>58288</v>
      </c>
      <c r="C1376">
        <f t="shared" si="85"/>
        <v>-1.7728345129760736E-2</v>
      </c>
    </row>
    <row r="1377" spans="1:3" x14ac:dyDescent="0.3">
      <c r="A1377" s="28">
        <v>40752</v>
      </c>
      <c r="B1377" s="36">
        <v>58708</v>
      </c>
      <c r="C1377">
        <f t="shared" si="85"/>
        <v>7.2055997804008065E-3</v>
      </c>
    </row>
    <row r="1378" spans="1:3" x14ac:dyDescent="0.3">
      <c r="A1378" s="28">
        <v>40753</v>
      </c>
      <c r="B1378" s="36">
        <v>58823</v>
      </c>
      <c r="C1378">
        <f t="shared" si="85"/>
        <v>1.9588471758533732E-3</v>
      </c>
    </row>
    <row r="1379" spans="1:3" x14ac:dyDescent="0.3">
      <c r="A1379" s="28">
        <v>40756</v>
      </c>
      <c r="B1379" s="36">
        <v>58536</v>
      </c>
      <c r="C1379">
        <f t="shared" si="85"/>
        <v>-4.8790439113951534E-3</v>
      </c>
    </row>
    <row r="1380" spans="1:3" x14ac:dyDescent="0.3">
      <c r="A1380" s="28">
        <v>40757</v>
      </c>
      <c r="B1380" s="36">
        <v>57311</v>
      </c>
      <c r="C1380">
        <f t="shared" si="85"/>
        <v>-2.0927292606259362E-2</v>
      </c>
    </row>
    <row r="1381" spans="1:3" x14ac:dyDescent="0.3">
      <c r="A1381" s="28">
        <v>40758</v>
      </c>
      <c r="B1381" s="36">
        <v>56017</v>
      </c>
      <c r="C1381">
        <f t="shared" si="85"/>
        <v>-2.2578562579609551E-2</v>
      </c>
    </row>
    <row r="1382" spans="1:3" x14ac:dyDescent="0.3">
      <c r="A1382" s="28">
        <v>40759</v>
      </c>
      <c r="B1382" s="36">
        <v>52811</v>
      </c>
      <c r="C1382">
        <f t="shared" si="85"/>
        <v>-5.7232625810021975E-2</v>
      </c>
    </row>
    <row r="1383" spans="1:3" x14ac:dyDescent="0.3">
      <c r="A1383" s="28">
        <v>40760</v>
      </c>
      <c r="B1383" s="36">
        <v>52949</v>
      </c>
      <c r="C1383">
        <f t="shared" si="85"/>
        <v>2.6130919694760113E-3</v>
      </c>
    </row>
    <row r="1384" spans="1:3" x14ac:dyDescent="0.3">
      <c r="A1384" s="28">
        <v>40763</v>
      </c>
      <c r="B1384" s="36">
        <v>48668</v>
      </c>
      <c r="C1384">
        <f t="shared" si="85"/>
        <v>-8.0851385295284128E-2</v>
      </c>
    </row>
    <row r="1385" spans="1:3" x14ac:dyDescent="0.3">
      <c r="A1385" s="28">
        <v>40764</v>
      </c>
      <c r="B1385" s="36">
        <v>51151</v>
      </c>
      <c r="C1385">
        <f t="shared" si="85"/>
        <v>5.1019150160269477E-2</v>
      </c>
    </row>
    <row r="1386" spans="1:3" x14ac:dyDescent="0.3">
      <c r="A1386" s="28">
        <v>40765</v>
      </c>
      <c r="B1386" s="36">
        <v>51395</v>
      </c>
      <c r="C1386">
        <f t="shared" si="85"/>
        <v>4.7701902211101377E-3</v>
      </c>
    </row>
    <row r="1387" spans="1:3" x14ac:dyDescent="0.3">
      <c r="A1387" s="28">
        <v>40766</v>
      </c>
      <c r="B1387" s="36">
        <v>53343</v>
      </c>
      <c r="C1387">
        <f t="shared" si="85"/>
        <v>3.790251970035996E-2</v>
      </c>
    </row>
    <row r="1388" spans="1:3" x14ac:dyDescent="0.3">
      <c r="A1388" s="28">
        <v>40767</v>
      </c>
      <c r="B1388" s="36">
        <v>53473</v>
      </c>
      <c r="C1388">
        <f t="shared" si="85"/>
        <v>2.4370582831860776E-3</v>
      </c>
    </row>
    <row r="1389" spans="1:3" x14ac:dyDescent="0.3">
      <c r="A1389" s="28">
        <v>40770</v>
      </c>
      <c r="B1389" s="36">
        <v>54652</v>
      </c>
      <c r="C1389">
        <f t="shared" si="85"/>
        <v>2.2048510463224424E-2</v>
      </c>
    </row>
    <row r="1390" spans="1:3" x14ac:dyDescent="0.3">
      <c r="A1390" s="28">
        <v>40771</v>
      </c>
      <c r="B1390" s="36">
        <v>54324</v>
      </c>
      <c r="C1390">
        <f t="shared" si="85"/>
        <v>-6.0016101880991934E-3</v>
      </c>
    </row>
    <row r="1391" spans="1:3" x14ac:dyDescent="0.3">
      <c r="A1391" s="28">
        <v>40772</v>
      </c>
      <c r="B1391" s="36">
        <v>55073</v>
      </c>
      <c r="C1391">
        <f t="shared" si="85"/>
        <v>1.3787644503350238E-2</v>
      </c>
    </row>
    <row r="1392" spans="1:3" x14ac:dyDescent="0.3">
      <c r="A1392" s="28">
        <v>40773</v>
      </c>
      <c r="B1392" s="36">
        <v>53134</v>
      </c>
      <c r="C1392">
        <f t="shared" si="85"/>
        <v>-3.5207815081800486E-2</v>
      </c>
    </row>
    <row r="1393" spans="1:3" x14ac:dyDescent="0.3">
      <c r="A1393" s="28">
        <v>40774</v>
      </c>
      <c r="B1393" s="36">
        <v>52448</v>
      </c>
      <c r="C1393">
        <f t="shared" si="85"/>
        <v>-1.2910753942861453E-2</v>
      </c>
    </row>
    <row r="1394" spans="1:3" x14ac:dyDescent="0.3">
      <c r="A1394" s="28">
        <v>40777</v>
      </c>
      <c r="B1394" s="36">
        <v>52440</v>
      </c>
      <c r="C1394">
        <f t="shared" si="85"/>
        <v>-1.5253203172671537E-4</v>
      </c>
    </row>
    <row r="1395" spans="1:3" x14ac:dyDescent="0.3">
      <c r="A1395" s="28">
        <v>40778</v>
      </c>
      <c r="B1395" s="36">
        <v>53787</v>
      </c>
      <c r="C1395">
        <f t="shared" si="85"/>
        <v>2.5686498855835183E-2</v>
      </c>
    </row>
    <row r="1396" spans="1:3" x14ac:dyDescent="0.3">
      <c r="A1396" s="28">
        <v>40779</v>
      </c>
      <c r="B1396" s="36">
        <v>53796</v>
      </c>
      <c r="C1396">
        <f t="shared" si="85"/>
        <v>1.6732667745000818E-4</v>
      </c>
    </row>
    <row r="1397" spans="1:3" x14ac:dyDescent="0.3">
      <c r="A1397" s="28">
        <v>40780</v>
      </c>
      <c r="B1397" s="36">
        <v>52953</v>
      </c>
      <c r="C1397">
        <f t="shared" si="85"/>
        <v>-1.5670310060227566E-2</v>
      </c>
    </row>
    <row r="1398" spans="1:3" x14ac:dyDescent="0.3">
      <c r="A1398" s="28">
        <v>40781</v>
      </c>
      <c r="B1398" s="36">
        <v>53351</v>
      </c>
      <c r="C1398">
        <f t="shared" si="85"/>
        <v>7.5160991822937895E-3</v>
      </c>
    </row>
    <row r="1399" spans="1:3" x14ac:dyDescent="0.3">
      <c r="A1399" s="28">
        <v>40784</v>
      </c>
      <c r="B1399" s="36">
        <v>54861</v>
      </c>
      <c r="C1399">
        <f t="shared" si="85"/>
        <v>2.8303124589979634E-2</v>
      </c>
    </row>
    <row r="1400" spans="1:3" x14ac:dyDescent="0.3">
      <c r="A1400" s="28">
        <v>40785</v>
      </c>
      <c r="B1400" s="36">
        <v>55385</v>
      </c>
      <c r="C1400">
        <f t="shared" si="85"/>
        <v>9.5514117496946493E-3</v>
      </c>
    </row>
    <row r="1401" spans="1:3" x14ac:dyDescent="0.3">
      <c r="A1401" s="28">
        <v>40786</v>
      </c>
      <c r="B1401" s="36">
        <v>56495</v>
      </c>
      <c r="C1401">
        <f t="shared" si="85"/>
        <v>2.0041527489392363E-2</v>
      </c>
    </row>
    <row r="1402" spans="1:3" x14ac:dyDescent="0.3">
      <c r="A1402" s="28">
        <v>40787</v>
      </c>
      <c r="B1402" s="36">
        <v>58118</v>
      </c>
      <c r="C1402">
        <f t="shared" si="85"/>
        <v>2.8728206035932402E-2</v>
      </c>
    </row>
    <row r="1403" spans="1:3" x14ac:dyDescent="0.3">
      <c r="A1403" s="28">
        <v>40788</v>
      </c>
      <c r="B1403" s="36">
        <v>56532</v>
      </c>
      <c r="C1403">
        <f t="shared" si="85"/>
        <v>-2.7289307959668219E-2</v>
      </c>
    </row>
    <row r="1404" spans="1:3" x14ac:dyDescent="0.3">
      <c r="A1404" s="28">
        <v>40791</v>
      </c>
      <c r="B1404" s="36">
        <v>54998</v>
      </c>
      <c r="C1404">
        <f t="shared" si="85"/>
        <v>-2.7135073940423138E-2</v>
      </c>
    </row>
    <row r="1405" spans="1:3" x14ac:dyDescent="0.3">
      <c r="A1405" s="28">
        <v>40792</v>
      </c>
      <c r="B1405" s="36">
        <v>56607</v>
      </c>
      <c r="C1405">
        <f t="shared" si="85"/>
        <v>2.9255609294883467E-2</v>
      </c>
    </row>
    <row r="1406" spans="1:3" x14ac:dyDescent="0.3">
      <c r="A1406" s="28">
        <v>40794</v>
      </c>
      <c r="B1406" s="36">
        <v>57624</v>
      </c>
      <c r="C1406">
        <f t="shared" si="85"/>
        <v>1.7965975939371548E-2</v>
      </c>
    </row>
    <row r="1407" spans="1:3" x14ac:dyDescent="0.3">
      <c r="A1407" s="28">
        <v>40795</v>
      </c>
      <c r="B1407" s="36">
        <v>55778</v>
      </c>
      <c r="C1407">
        <f t="shared" si="85"/>
        <v>-3.2035263084825738E-2</v>
      </c>
    </row>
    <row r="1408" spans="1:3" x14ac:dyDescent="0.3">
      <c r="A1408" s="28">
        <v>40798</v>
      </c>
      <c r="B1408" s="36">
        <v>55685</v>
      </c>
      <c r="C1408">
        <f t="shared" si="85"/>
        <v>-1.6673240345655982E-3</v>
      </c>
    </row>
    <row r="1409" spans="1:3" x14ac:dyDescent="0.3">
      <c r="A1409" s="28">
        <v>40799</v>
      </c>
      <c r="B1409" s="36">
        <v>55544</v>
      </c>
      <c r="C1409">
        <f t="shared" si="85"/>
        <v>-2.5321002065188392E-3</v>
      </c>
    </row>
    <row r="1410" spans="1:3" x14ac:dyDescent="0.3">
      <c r="A1410" s="28">
        <v>40800</v>
      </c>
      <c r="B1410" s="36">
        <v>56286</v>
      </c>
      <c r="C1410">
        <f t="shared" si="85"/>
        <v>1.3358778625954137E-2</v>
      </c>
    </row>
    <row r="1411" spans="1:3" x14ac:dyDescent="0.3">
      <c r="A1411" s="28">
        <v>40801</v>
      </c>
      <c r="B1411" s="36">
        <v>56381</v>
      </c>
      <c r="C1411">
        <f t="shared" si="85"/>
        <v>1.6878086913263424E-3</v>
      </c>
    </row>
    <row r="1412" spans="1:3" x14ac:dyDescent="0.3">
      <c r="A1412" s="28">
        <v>40802</v>
      </c>
      <c r="B1412" s="36">
        <v>57210</v>
      </c>
      <c r="C1412">
        <f t="shared" ref="C1412:C1475" si="86">B1412/B1411-1</f>
        <v>1.4703534878771185E-2</v>
      </c>
    </row>
    <row r="1413" spans="1:3" x14ac:dyDescent="0.3">
      <c r="A1413" s="28">
        <v>40805</v>
      </c>
      <c r="B1413" s="36">
        <v>57103</v>
      </c>
      <c r="C1413">
        <f t="shared" si="86"/>
        <v>-1.8703023946862185E-3</v>
      </c>
    </row>
    <row r="1414" spans="1:3" x14ac:dyDescent="0.3">
      <c r="A1414" s="28">
        <v>40806</v>
      </c>
      <c r="B1414" s="36">
        <v>56379</v>
      </c>
      <c r="C1414">
        <f t="shared" si="86"/>
        <v>-1.2678843493336589E-2</v>
      </c>
    </row>
    <row r="1415" spans="1:3" x14ac:dyDescent="0.3">
      <c r="A1415" s="28">
        <v>40807</v>
      </c>
      <c r="B1415" s="36">
        <v>55982</v>
      </c>
      <c r="C1415">
        <f t="shared" si="86"/>
        <v>-7.041628975327674E-3</v>
      </c>
    </row>
    <row r="1416" spans="1:3" x14ac:dyDescent="0.3">
      <c r="A1416" s="28">
        <v>40808</v>
      </c>
      <c r="B1416" s="36">
        <v>53280</v>
      </c>
      <c r="C1416">
        <f t="shared" si="86"/>
        <v>-4.8265513915187075E-2</v>
      </c>
    </row>
    <row r="1417" spans="1:3" x14ac:dyDescent="0.3">
      <c r="A1417" s="28">
        <v>40809</v>
      </c>
      <c r="B1417" s="36">
        <v>53230</v>
      </c>
      <c r="C1417">
        <f t="shared" si="86"/>
        <v>-9.3843843843843811E-4</v>
      </c>
    </row>
    <row r="1418" spans="1:3" x14ac:dyDescent="0.3">
      <c r="A1418" s="28">
        <v>40812</v>
      </c>
      <c r="B1418" s="36">
        <v>53748</v>
      </c>
      <c r="C1418">
        <f t="shared" si="86"/>
        <v>9.7313544993424816E-3</v>
      </c>
    </row>
    <row r="1419" spans="1:3" x14ac:dyDescent="0.3">
      <c r="A1419" s="28">
        <v>40813</v>
      </c>
      <c r="B1419" s="36">
        <v>53920</v>
      </c>
      <c r="C1419">
        <f t="shared" si="86"/>
        <v>3.2001190741981489E-3</v>
      </c>
    </row>
    <row r="1420" spans="1:3" x14ac:dyDescent="0.3">
      <c r="A1420" s="28">
        <v>40814</v>
      </c>
      <c r="B1420" s="36">
        <v>53270</v>
      </c>
      <c r="C1420">
        <f t="shared" si="86"/>
        <v>-1.2054896142433269E-2</v>
      </c>
    </row>
    <row r="1421" spans="1:3" x14ac:dyDescent="0.3">
      <c r="A1421" s="28">
        <v>40815</v>
      </c>
      <c r="B1421" s="36">
        <v>53385</v>
      </c>
      <c r="C1421">
        <f t="shared" si="86"/>
        <v>2.1588135911394524E-3</v>
      </c>
    </row>
    <row r="1422" spans="1:3" x14ac:dyDescent="0.3">
      <c r="A1422" s="28">
        <v>40816</v>
      </c>
      <c r="B1422" s="36">
        <v>52324</v>
      </c>
      <c r="C1422">
        <f t="shared" si="86"/>
        <v>-1.9874496581436696E-2</v>
      </c>
    </row>
    <row r="1423" spans="1:3" x14ac:dyDescent="0.3">
      <c r="A1423" s="28">
        <v>40819</v>
      </c>
      <c r="B1423" s="36">
        <v>50792</v>
      </c>
      <c r="C1423">
        <f t="shared" si="86"/>
        <v>-2.9279107101903512E-2</v>
      </c>
    </row>
    <row r="1424" spans="1:3" x14ac:dyDescent="0.3">
      <c r="A1424" s="28">
        <v>40820</v>
      </c>
      <c r="B1424" s="36">
        <v>50686</v>
      </c>
      <c r="C1424">
        <f t="shared" si="86"/>
        <v>-2.0869428256418132E-3</v>
      </c>
    </row>
    <row r="1425" spans="1:3" x14ac:dyDescent="0.3">
      <c r="A1425" s="28">
        <v>40821</v>
      </c>
      <c r="B1425" s="36">
        <v>51014</v>
      </c>
      <c r="C1425">
        <f t="shared" si="86"/>
        <v>6.4712149311447753E-3</v>
      </c>
    </row>
    <row r="1426" spans="1:3" x14ac:dyDescent="0.3">
      <c r="A1426" s="28">
        <v>40822</v>
      </c>
      <c r="B1426" s="36">
        <v>52290</v>
      </c>
      <c r="C1426">
        <f t="shared" si="86"/>
        <v>2.5012741600344945E-2</v>
      </c>
    </row>
    <row r="1427" spans="1:3" x14ac:dyDescent="0.3">
      <c r="A1427" s="28">
        <v>40823</v>
      </c>
      <c r="B1427" s="36">
        <v>51244</v>
      </c>
      <c r="C1427">
        <f t="shared" si="86"/>
        <v>-2.0003824823101923E-2</v>
      </c>
    </row>
    <row r="1428" spans="1:3" x14ac:dyDescent="0.3">
      <c r="A1428" s="28">
        <v>40826</v>
      </c>
      <c r="B1428" s="36">
        <v>53273</v>
      </c>
      <c r="C1428">
        <f t="shared" si="86"/>
        <v>3.9594879400515204E-2</v>
      </c>
    </row>
    <row r="1429" spans="1:3" x14ac:dyDescent="0.3">
      <c r="A1429" s="28">
        <v>40827</v>
      </c>
      <c r="B1429" s="36">
        <v>53838</v>
      </c>
      <c r="C1429">
        <f t="shared" si="86"/>
        <v>1.0605747752144623E-2</v>
      </c>
    </row>
    <row r="1430" spans="1:3" x14ac:dyDescent="0.3">
      <c r="A1430" s="28">
        <v>40829</v>
      </c>
      <c r="B1430" s="36">
        <v>54601</v>
      </c>
      <c r="C1430">
        <f t="shared" si="86"/>
        <v>1.4172146067833236E-2</v>
      </c>
    </row>
    <row r="1431" spans="1:3" x14ac:dyDescent="0.3">
      <c r="A1431" s="28">
        <v>40830</v>
      </c>
      <c r="B1431" s="36">
        <v>55030</v>
      </c>
      <c r="C1431">
        <f t="shared" si="86"/>
        <v>7.856998956063066E-3</v>
      </c>
    </row>
    <row r="1432" spans="1:3" x14ac:dyDescent="0.3">
      <c r="A1432" s="28">
        <v>40833</v>
      </c>
      <c r="B1432" s="36">
        <v>53911</v>
      </c>
      <c r="C1432">
        <f t="shared" si="86"/>
        <v>-2.0334363074686501E-2</v>
      </c>
    </row>
    <row r="1433" spans="1:3" x14ac:dyDescent="0.3">
      <c r="A1433" s="28">
        <v>40834</v>
      </c>
      <c r="B1433" s="36">
        <v>55032</v>
      </c>
      <c r="C1433">
        <f t="shared" si="86"/>
        <v>2.0793530077349631E-2</v>
      </c>
    </row>
    <row r="1434" spans="1:3" x14ac:dyDescent="0.3">
      <c r="A1434" s="28">
        <v>40835</v>
      </c>
      <c r="B1434" s="36">
        <v>54966</v>
      </c>
      <c r="C1434">
        <f t="shared" si="86"/>
        <v>-1.1993022241605367E-3</v>
      </c>
    </row>
    <row r="1435" spans="1:3" x14ac:dyDescent="0.3">
      <c r="A1435" s="28">
        <v>40836</v>
      </c>
      <c r="B1435" s="36">
        <v>54010</v>
      </c>
      <c r="C1435">
        <f t="shared" si="86"/>
        <v>-1.739256995233418E-2</v>
      </c>
    </row>
    <row r="1436" spans="1:3" x14ac:dyDescent="0.3">
      <c r="A1436" s="28">
        <v>40837</v>
      </c>
      <c r="B1436" s="36">
        <v>55255</v>
      </c>
      <c r="C1436">
        <f t="shared" si="86"/>
        <v>2.3051286798740911E-2</v>
      </c>
    </row>
    <row r="1437" spans="1:3" x14ac:dyDescent="0.3">
      <c r="A1437" s="28">
        <v>40840</v>
      </c>
      <c r="B1437" s="36">
        <v>56892</v>
      </c>
      <c r="C1437">
        <f t="shared" si="86"/>
        <v>2.9626278164871955E-2</v>
      </c>
    </row>
    <row r="1438" spans="1:3" x14ac:dyDescent="0.3">
      <c r="A1438" s="28">
        <v>40841</v>
      </c>
      <c r="B1438" s="36">
        <v>56286</v>
      </c>
      <c r="C1438">
        <f t="shared" si="86"/>
        <v>-1.0651761231807666E-2</v>
      </c>
    </row>
    <row r="1439" spans="1:3" x14ac:dyDescent="0.3">
      <c r="A1439" s="28">
        <v>40842</v>
      </c>
      <c r="B1439" s="36">
        <v>57144</v>
      </c>
      <c r="C1439">
        <f t="shared" si="86"/>
        <v>1.5243577443769363E-2</v>
      </c>
    </row>
    <row r="1440" spans="1:3" x14ac:dyDescent="0.3">
      <c r="A1440" s="28">
        <v>40843</v>
      </c>
      <c r="B1440" s="36">
        <v>59270</v>
      </c>
      <c r="C1440">
        <f t="shared" si="86"/>
        <v>3.7204255914881745E-2</v>
      </c>
    </row>
    <row r="1441" spans="1:3" x14ac:dyDescent="0.3">
      <c r="A1441" s="28">
        <v>40844</v>
      </c>
      <c r="B1441" s="36">
        <v>59513</v>
      </c>
      <c r="C1441">
        <f t="shared" si="86"/>
        <v>4.0998818964061989E-3</v>
      </c>
    </row>
    <row r="1442" spans="1:3" x14ac:dyDescent="0.3">
      <c r="A1442" s="28">
        <v>40847</v>
      </c>
      <c r="B1442" s="36">
        <v>58338</v>
      </c>
      <c r="C1442">
        <f t="shared" si="86"/>
        <v>-1.9743585435115008E-2</v>
      </c>
    </row>
    <row r="1443" spans="1:3" x14ac:dyDescent="0.3">
      <c r="A1443" s="28">
        <v>40848</v>
      </c>
      <c r="B1443" s="36">
        <v>57323</v>
      </c>
      <c r="C1443">
        <f t="shared" si="86"/>
        <v>-1.7398608111351077E-2</v>
      </c>
    </row>
    <row r="1444" spans="1:3" x14ac:dyDescent="0.3">
      <c r="A1444" s="28">
        <v>40850</v>
      </c>
      <c r="B1444" s="36">
        <v>58196</v>
      </c>
      <c r="C1444">
        <f t="shared" si="86"/>
        <v>1.522948903581467E-2</v>
      </c>
    </row>
    <row r="1445" spans="1:3" x14ac:dyDescent="0.3">
      <c r="A1445" s="28">
        <v>40851</v>
      </c>
      <c r="B1445" s="36">
        <v>58670</v>
      </c>
      <c r="C1445">
        <f t="shared" si="86"/>
        <v>8.1448896831397555E-3</v>
      </c>
    </row>
    <row r="1446" spans="1:3" x14ac:dyDescent="0.3">
      <c r="A1446" s="28">
        <v>40854</v>
      </c>
      <c r="B1446" s="36">
        <v>59199</v>
      </c>
      <c r="C1446">
        <f t="shared" si="86"/>
        <v>9.0165331515255076E-3</v>
      </c>
    </row>
    <row r="1447" spans="1:3" x14ac:dyDescent="0.3">
      <c r="A1447" s="28">
        <v>40855</v>
      </c>
      <c r="B1447" s="36">
        <v>59026</v>
      </c>
      <c r="C1447">
        <f t="shared" si="86"/>
        <v>-2.9223466612611215E-3</v>
      </c>
    </row>
    <row r="1448" spans="1:3" x14ac:dyDescent="0.3">
      <c r="A1448" s="28">
        <v>40856</v>
      </c>
      <c r="B1448" s="36">
        <v>57550</v>
      </c>
      <c r="C1448">
        <f t="shared" si="86"/>
        <v>-2.5005929590349973E-2</v>
      </c>
    </row>
    <row r="1449" spans="1:3" x14ac:dyDescent="0.3">
      <c r="A1449" s="28">
        <v>40857</v>
      </c>
      <c r="B1449" s="36">
        <v>57322</v>
      </c>
      <c r="C1449">
        <f t="shared" si="86"/>
        <v>-3.9617723718505804E-3</v>
      </c>
    </row>
    <row r="1450" spans="1:3" x14ac:dyDescent="0.3">
      <c r="A1450" s="28">
        <v>40858</v>
      </c>
      <c r="B1450" s="36">
        <v>58547</v>
      </c>
      <c r="C1450">
        <f t="shared" si="86"/>
        <v>2.1370503471616509E-2</v>
      </c>
    </row>
    <row r="1451" spans="1:3" x14ac:dyDescent="0.3">
      <c r="A1451" s="28">
        <v>40861</v>
      </c>
      <c r="B1451" s="36">
        <v>58258</v>
      </c>
      <c r="C1451">
        <f t="shared" si="86"/>
        <v>-4.9362051001758944E-3</v>
      </c>
    </row>
    <row r="1452" spans="1:3" x14ac:dyDescent="0.3">
      <c r="A1452" s="28">
        <v>40863</v>
      </c>
      <c r="B1452" s="36">
        <v>58560</v>
      </c>
      <c r="C1452">
        <f t="shared" si="86"/>
        <v>5.1838374128874154E-3</v>
      </c>
    </row>
    <row r="1453" spans="1:3" x14ac:dyDescent="0.3">
      <c r="A1453" s="28">
        <v>40864</v>
      </c>
      <c r="B1453" s="36">
        <v>56989</v>
      </c>
      <c r="C1453">
        <f t="shared" si="86"/>
        <v>-2.6827185792349773E-2</v>
      </c>
    </row>
    <row r="1454" spans="1:3" x14ac:dyDescent="0.3">
      <c r="A1454" s="28">
        <v>40865</v>
      </c>
      <c r="B1454" s="36">
        <v>56731</v>
      </c>
      <c r="C1454">
        <f t="shared" si="86"/>
        <v>-4.5271894576146554E-3</v>
      </c>
    </row>
    <row r="1455" spans="1:3" x14ac:dyDescent="0.3">
      <c r="A1455" s="28">
        <v>40868</v>
      </c>
      <c r="B1455" s="36">
        <v>56285</v>
      </c>
      <c r="C1455">
        <f t="shared" si="86"/>
        <v>-7.8616629356084156E-3</v>
      </c>
    </row>
    <row r="1456" spans="1:3" x14ac:dyDescent="0.3">
      <c r="A1456" s="28">
        <v>40869</v>
      </c>
      <c r="B1456" s="36">
        <v>55878</v>
      </c>
      <c r="C1456">
        <f t="shared" si="86"/>
        <v>-7.2310562316780791E-3</v>
      </c>
    </row>
    <row r="1457" spans="1:3" x14ac:dyDescent="0.3">
      <c r="A1457" s="28">
        <v>40870</v>
      </c>
      <c r="B1457" s="36">
        <v>54972</v>
      </c>
      <c r="C1457">
        <f t="shared" si="86"/>
        <v>-1.6213894555996977E-2</v>
      </c>
    </row>
    <row r="1458" spans="1:3" x14ac:dyDescent="0.3">
      <c r="A1458" s="28">
        <v>40871</v>
      </c>
      <c r="B1458" s="36">
        <v>55280</v>
      </c>
      <c r="C1458">
        <f t="shared" si="86"/>
        <v>5.6028523612021708E-3</v>
      </c>
    </row>
    <row r="1459" spans="1:3" x14ac:dyDescent="0.3">
      <c r="A1459" s="28">
        <v>40872</v>
      </c>
      <c r="B1459" s="36">
        <v>54894</v>
      </c>
      <c r="C1459">
        <f t="shared" si="86"/>
        <v>-6.9826338639652485E-3</v>
      </c>
    </row>
    <row r="1460" spans="1:3" x14ac:dyDescent="0.3">
      <c r="A1460" s="28">
        <v>40875</v>
      </c>
      <c r="B1460" s="36">
        <v>56017</v>
      </c>
      <c r="C1460">
        <f t="shared" si="86"/>
        <v>2.0457609210478456E-2</v>
      </c>
    </row>
    <row r="1461" spans="1:3" x14ac:dyDescent="0.3">
      <c r="A1461" s="28">
        <v>40876</v>
      </c>
      <c r="B1461" s="36">
        <v>55300</v>
      </c>
      <c r="C1461">
        <f t="shared" si="86"/>
        <v>-1.2799685809664951E-2</v>
      </c>
    </row>
    <row r="1462" spans="1:3" x14ac:dyDescent="0.3">
      <c r="A1462" s="28">
        <v>40877</v>
      </c>
      <c r="B1462" s="36">
        <v>56875</v>
      </c>
      <c r="C1462">
        <f t="shared" si="86"/>
        <v>2.8481012658227778E-2</v>
      </c>
    </row>
    <row r="1463" spans="1:3" x14ac:dyDescent="0.3">
      <c r="A1463" s="28">
        <v>40878</v>
      </c>
      <c r="B1463" s="36">
        <v>58143</v>
      </c>
      <c r="C1463">
        <f t="shared" si="86"/>
        <v>2.2294505494505401E-2</v>
      </c>
    </row>
    <row r="1464" spans="1:3" x14ac:dyDescent="0.3">
      <c r="A1464" s="28">
        <v>40879</v>
      </c>
      <c r="B1464" s="36">
        <v>57886</v>
      </c>
      <c r="C1464">
        <f t="shared" si="86"/>
        <v>-4.4201365598610654E-3</v>
      </c>
    </row>
    <row r="1465" spans="1:3" x14ac:dyDescent="0.3">
      <c r="A1465" s="28">
        <v>40882</v>
      </c>
      <c r="B1465" s="36">
        <v>58910</v>
      </c>
      <c r="C1465">
        <f t="shared" si="86"/>
        <v>1.7689942300383565E-2</v>
      </c>
    </row>
    <row r="1466" spans="1:3" x14ac:dyDescent="0.3">
      <c r="A1466" s="28">
        <v>40883</v>
      </c>
      <c r="B1466" s="36">
        <v>59536</v>
      </c>
      <c r="C1466">
        <f t="shared" si="86"/>
        <v>1.0626379222542948E-2</v>
      </c>
    </row>
    <row r="1467" spans="1:3" x14ac:dyDescent="0.3">
      <c r="A1467" s="28">
        <v>40884</v>
      </c>
      <c r="B1467" s="36">
        <v>58663</v>
      </c>
      <c r="C1467">
        <f t="shared" si="86"/>
        <v>-1.4663396936307471E-2</v>
      </c>
    </row>
    <row r="1468" spans="1:3" x14ac:dyDescent="0.3">
      <c r="A1468" s="28">
        <v>40885</v>
      </c>
      <c r="B1468" s="36">
        <v>57455</v>
      </c>
      <c r="C1468">
        <f t="shared" si="86"/>
        <v>-2.0592196103165539E-2</v>
      </c>
    </row>
    <row r="1469" spans="1:3" x14ac:dyDescent="0.3">
      <c r="A1469" s="28">
        <v>40886</v>
      </c>
      <c r="B1469" s="36">
        <v>58236</v>
      </c>
      <c r="C1469">
        <f t="shared" si="86"/>
        <v>1.3593246888869537E-2</v>
      </c>
    </row>
    <row r="1470" spans="1:3" x14ac:dyDescent="0.3">
      <c r="A1470" s="28">
        <v>40889</v>
      </c>
      <c r="B1470" s="36">
        <v>57347</v>
      </c>
      <c r="C1470">
        <f t="shared" si="86"/>
        <v>-1.5265471529637975E-2</v>
      </c>
    </row>
    <row r="1471" spans="1:3" x14ac:dyDescent="0.3">
      <c r="A1471" s="28">
        <v>40890</v>
      </c>
      <c r="B1471" s="36">
        <v>57495</v>
      </c>
      <c r="C1471">
        <f t="shared" si="86"/>
        <v>2.5807801628681126E-3</v>
      </c>
    </row>
    <row r="1472" spans="1:3" x14ac:dyDescent="0.3">
      <c r="A1472" s="28">
        <v>40891</v>
      </c>
      <c r="B1472" s="36">
        <v>56647</v>
      </c>
      <c r="C1472">
        <f t="shared" si="86"/>
        <v>-1.4749108618140716E-2</v>
      </c>
    </row>
    <row r="1473" spans="1:3" x14ac:dyDescent="0.3">
      <c r="A1473" s="28">
        <v>40892</v>
      </c>
      <c r="B1473" s="36">
        <v>56331</v>
      </c>
      <c r="C1473">
        <f t="shared" si="86"/>
        <v>-5.5784066234751961E-3</v>
      </c>
    </row>
    <row r="1474" spans="1:3" x14ac:dyDescent="0.3">
      <c r="A1474" s="28">
        <v>40893</v>
      </c>
      <c r="B1474" s="36">
        <v>56097</v>
      </c>
      <c r="C1474">
        <f t="shared" si="86"/>
        <v>-4.1540182137721482E-3</v>
      </c>
    </row>
    <row r="1475" spans="1:3" x14ac:dyDescent="0.3">
      <c r="A1475" s="28">
        <v>40896</v>
      </c>
      <c r="B1475" s="36">
        <v>55298</v>
      </c>
      <c r="C1475">
        <f t="shared" si="86"/>
        <v>-1.4243185910119971E-2</v>
      </c>
    </row>
    <row r="1476" spans="1:3" x14ac:dyDescent="0.3">
      <c r="A1476" s="28">
        <v>40897</v>
      </c>
      <c r="B1476" s="36">
        <v>56865</v>
      </c>
      <c r="C1476">
        <f t="shared" ref="C1476:C1539" si="87">B1476/B1475-1</f>
        <v>2.8337372056855603E-2</v>
      </c>
    </row>
    <row r="1477" spans="1:3" x14ac:dyDescent="0.3">
      <c r="A1477" s="28">
        <v>40898</v>
      </c>
      <c r="B1477" s="36">
        <v>56653</v>
      </c>
      <c r="C1477">
        <f t="shared" si="87"/>
        <v>-3.728128022509436E-3</v>
      </c>
    </row>
    <row r="1478" spans="1:3" x14ac:dyDescent="0.3">
      <c r="A1478" s="28">
        <v>40899</v>
      </c>
      <c r="B1478" s="36">
        <v>57348</v>
      </c>
      <c r="C1478">
        <f t="shared" si="87"/>
        <v>1.2267664554392432E-2</v>
      </c>
    </row>
    <row r="1479" spans="1:3" x14ac:dyDescent="0.3">
      <c r="A1479" s="28">
        <v>40900</v>
      </c>
      <c r="B1479" s="36">
        <v>57701</v>
      </c>
      <c r="C1479">
        <f t="shared" si="87"/>
        <v>6.155402106437835E-3</v>
      </c>
    </row>
    <row r="1480" spans="1:3" x14ac:dyDescent="0.3">
      <c r="A1480" s="28">
        <v>40903</v>
      </c>
      <c r="B1480" s="36">
        <v>57669</v>
      </c>
      <c r="C1480">
        <f t="shared" si="87"/>
        <v>-5.5458310947820166E-4</v>
      </c>
    </row>
    <row r="1481" spans="1:3" x14ac:dyDescent="0.3">
      <c r="A1481" s="28">
        <v>40904</v>
      </c>
      <c r="B1481" s="36">
        <v>58005</v>
      </c>
      <c r="C1481">
        <f t="shared" si="87"/>
        <v>5.8263538469540688E-3</v>
      </c>
    </row>
    <row r="1482" spans="1:3" x14ac:dyDescent="0.3">
      <c r="A1482" s="28">
        <v>40905</v>
      </c>
      <c r="B1482" s="36">
        <v>56534</v>
      </c>
      <c r="C1482">
        <f t="shared" si="87"/>
        <v>-2.5359882768726805E-2</v>
      </c>
    </row>
    <row r="1483" spans="1:3" x14ac:dyDescent="0.3">
      <c r="A1483" s="28">
        <v>40906</v>
      </c>
      <c r="B1483" s="36">
        <v>56754</v>
      </c>
      <c r="C1483">
        <f t="shared" si="87"/>
        <v>3.8914635440618905E-3</v>
      </c>
    </row>
    <row r="1484" spans="1:3" x14ac:dyDescent="0.3">
      <c r="A1484" s="28">
        <v>40910</v>
      </c>
      <c r="B1484" s="36">
        <v>57829</v>
      </c>
      <c r="C1484">
        <f t="shared" si="87"/>
        <v>1.8941396201148875E-2</v>
      </c>
    </row>
    <row r="1485" spans="1:3" x14ac:dyDescent="0.3">
      <c r="A1485" s="28">
        <v>40911</v>
      </c>
      <c r="B1485" s="36">
        <v>59265</v>
      </c>
      <c r="C1485">
        <f t="shared" si="87"/>
        <v>2.483183177990278E-2</v>
      </c>
    </row>
    <row r="1486" spans="1:3" x14ac:dyDescent="0.3">
      <c r="A1486" s="28">
        <v>40912</v>
      </c>
      <c r="B1486" s="36">
        <v>59365</v>
      </c>
      <c r="C1486">
        <f t="shared" si="87"/>
        <v>1.6873365392726658E-3</v>
      </c>
    </row>
    <row r="1487" spans="1:3" x14ac:dyDescent="0.3">
      <c r="A1487" s="28">
        <v>40913</v>
      </c>
      <c r="B1487" s="36">
        <v>58546</v>
      </c>
      <c r="C1487">
        <f t="shared" si="87"/>
        <v>-1.3796007748673511E-2</v>
      </c>
    </row>
    <row r="1488" spans="1:3" x14ac:dyDescent="0.3">
      <c r="A1488" s="28">
        <v>40914</v>
      </c>
      <c r="B1488" s="36">
        <v>58600</v>
      </c>
      <c r="C1488">
        <f t="shared" si="87"/>
        <v>9.2235165510889949E-4</v>
      </c>
    </row>
    <row r="1489" spans="1:3" x14ac:dyDescent="0.3">
      <c r="A1489" s="28">
        <v>40917</v>
      </c>
      <c r="B1489" s="36">
        <v>59083</v>
      </c>
      <c r="C1489">
        <f t="shared" si="87"/>
        <v>8.2423208191126918E-3</v>
      </c>
    </row>
    <row r="1490" spans="1:3" x14ac:dyDescent="0.3">
      <c r="A1490" s="28">
        <v>40918</v>
      </c>
      <c r="B1490" s="36">
        <v>59806</v>
      </c>
      <c r="C1490">
        <f t="shared" si="87"/>
        <v>1.2237022493780003E-2</v>
      </c>
    </row>
    <row r="1491" spans="1:3" x14ac:dyDescent="0.3">
      <c r="A1491" s="28">
        <v>40919</v>
      </c>
      <c r="B1491" s="36">
        <v>59962</v>
      </c>
      <c r="C1491">
        <f t="shared" si="87"/>
        <v>2.6084339363943165E-3</v>
      </c>
    </row>
    <row r="1492" spans="1:3" x14ac:dyDescent="0.3">
      <c r="A1492" s="28">
        <v>40920</v>
      </c>
      <c r="B1492" s="36">
        <v>59921</v>
      </c>
      <c r="C1492">
        <f t="shared" si="87"/>
        <v>-6.8376638537737122E-4</v>
      </c>
    </row>
    <row r="1493" spans="1:3" x14ac:dyDescent="0.3">
      <c r="A1493" s="28">
        <v>40921</v>
      </c>
      <c r="B1493" s="36">
        <v>59147</v>
      </c>
      <c r="C1493">
        <f t="shared" si="87"/>
        <v>-1.2917007393067559E-2</v>
      </c>
    </row>
    <row r="1494" spans="1:3" x14ac:dyDescent="0.3">
      <c r="A1494" s="28">
        <v>40924</v>
      </c>
      <c r="B1494" s="36">
        <v>59956</v>
      </c>
      <c r="C1494">
        <f t="shared" si="87"/>
        <v>1.3677785855580105E-2</v>
      </c>
    </row>
    <row r="1495" spans="1:3" x14ac:dyDescent="0.3">
      <c r="A1495" s="28">
        <v>40925</v>
      </c>
      <c r="B1495" s="36">
        <v>60646</v>
      </c>
      <c r="C1495">
        <f t="shared" si="87"/>
        <v>1.1508439522316394E-2</v>
      </c>
    </row>
    <row r="1496" spans="1:3" x14ac:dyDescent="0.3">
      <c r="A1496" s="28">
        <v>40926</v>
      </c>
      <c r="B1496" s="36">
        <v>61723</v>
      </c>
      <c r="C1496">
        <f t="shared" si="87"/>
        <v>1.7758796952808131E-2</v>
      </c>
    </row>
    <row r="1497" spans="1:3" x14ac:dyDescent="0.3">
      <c r="A1497" s="28">
        <v>40927</v>
      </c>
      <c r="B1497" s="36">
        <v>61927</v>
      </c>
      <c r="C1497">
        <f t="shared" si="87"/>
        <v>3.3050888647667698E-3</v>
      </c>
    </row>
    <row r="1498" spans="1:3" x14ac:dyDescent="0.3">
      <c r="A1498" s="28">
        <v>40928</v>
      </c>
      <c r="B1498" s="36">
        <v>62312</v>
      </c>
      <c r="C1498">
        <f t="shared" si="87"/>
        <v>6.2169974324608468E-3</v>
      </c>
    </row>
    <row r="1499" spans="1:3" x14ac:dyDescent="0.3">
      <c r="A1499" s="28">
        <v>40931</v>
      </c>
      <c r="B1499" s="36">
        <v>62386</v>
      </c>
      <c r="C1499">
        <f t="shared" si="87"/>
        <v>1.1875722172294267E-3</v>
      </c>
    </row>
    <row r="1500" spans="1:3" x14ac:dyDescent="0.3">
      <c r="A1500" s="28">
        <v>40932</v>
      </c>
      <c r="B1500" s="36">
        <v>62486</v>
      </c>
      <c r="C1500">
        <f t="shared" si="87"/>
        <v>1.602923732888728E-3</v>
      </c>
    </row>
    <row r="1501" spans="1:3" x14ac:dyDescent="0.3">
      <c r="A1501" s="28">
        <v>40934</v>
      </c>
      <c r="B1501" s="36">
        <v>62953</v>
      </c>
      <c r="C1501">
        <f t="shared" si="87"/>
        <v>7.4736741029990394E-3</v>
      </c>
    </row>
    <row r="1502" spans="1:3" x14ac:dyDescent="0.3">
      <c r="A1502" s="28">
        <v>40935</v>
      </c>
      <c r="B1502" s="36">
        <v>62904</v>
      </c>
      <c r="C1502">
        <f t="shared" si="87"/>
        <v>-7.7835845789719915E-4</v>
      </c>
    </row>
    <row r="1503" spans="1:3" x14ac:dyDescent="0.3">
      <c r="A1503" s="28">
        <v>40938</v>
      </c>
      <c r="B1503" s="36">
        <v>62770</v>
      </c>
      <c r="C1503">
        <f t="shared" si="87"/>
        <v>-2.130230192038618E-3</v>
      </c>
    </row>
    <row r="1504" spans="1:3" x14ac:dyDescent="0.3">
      <c r="A1504" s="28">
        <v>40939</v>
      </c>
      <c r="B1504" s="36">
        <v>63072</v>
      </c>
      <c r="C1504">
        <f t="shared" si="87"/>
        <v>4.8112155488291286E-3</v>
      </c>
    </row>
    <row r="1505" spans="1:3" x14ac:dyDescent="0.3">
      <c r="A1505" s="28">
        <v>40940</v>
      </c>
      <c r="B1505" s="36">
        <v>64567</v>
      </c>
      <c r="C1505">
        <f t="shared" si="87"/>
        <v>2.3703069507863939E-2</v>
      </c>
    </row>
    <row r="1506" spans="1:3" x14ac:dyDescent="0.3">
      <c r="A1506" s="28">
        <v>40941</v>
      </c>
      <c r="B1506" s="36">
        <v>64593</v>
      </c>
      <c r="C1506">
        <f t="shared" si="87"/>
        <v>4.0268248486063918E-4</v>
      </c>
    </row>
    <row r="1507" spans="1:3" x14ac:dyDescent="0.3">
      <c r="A1507" s="28">
        <v>40942</v>
      </c>
      <c r="B1507" s="36">
        <v>65217</v>
      </c>
      <c r="C1507">
        <f t="shared" si="87"/>
        <v>9.6604895267289326E-3</v>
      </c>
    </row>
    <row r="1508" spans="1:3" x14ac:dyDescent="0.3">
      <c r="A1508" s="28">
        <v>40945</v>
      </c>
      <c r="B1508" s="36">
        <v>65224</v>
      </c>
      <c r="C1508">
        <f t="shared" si="87"/>
        <v>1.0733397733719841E-4</v>
      </c>
    </row>
    <row r="1509" spans="1:3" x14ac:dyDescent="0.3">
      <c r="A1509" s="28">
        <v>40946</v>
      </c>
      <c r="B1509" s="36">
        <v>65917</v>
      </c>
      <c r="C1509">
        <f t="shared" si="87"/>
        <v>1.0624923341101544E-2</v>
      </c>
    </row>
    <row r="1510" spans="1:3" x14ac:dyDescent="0.3">
      <c r="A1510" s="28">
        <v>40947</v>
      </c>
      <c r="B1510" s="36">
        <v>65831</v>
      </c>
      <c r="C1510">
        <f t="shared" si="87"/>
        <v>-1.3046710256837679E-3</v>
      </c>
    </row>
    <row r="1511" spans="1:3" x14ac:dyDescent="0.3">
      <c r="A1511" s="28">
        <v>40948</v>
      </c>
      <c r="B1511" s="36">
        <v>65530</v>
      </c>
      <c r="C1511">
        <f t="shared" si="87"/>
        <v>-4.5723139554313397E-3</v>
      </c>
    </row>
    <row r="1512" spans="1:3" x14ac:dyDescent="0.3">
      <c r="A1512" s="28">
        <v>40949</v>
      </c>
      <c r="B1512" s="36">
        <v>63998</v>
      </c>
      <c r="C1512">
        <f t="shared" si="87"/>
        <v>-2.3378605218983717E-2</v>
      </c>
    </row>
    <row r="1513" spans="1:3" x14ac:dyDescent="0.3">
      <c r="A1513" s="28">
        <v>40952</v>
      </c>
      <c r="B1513" s="36">
        <v>65692</v>
      </c>
      <c r="C1513">
        <f t="shared" si="87"/>
        <v>2.6469577174286663E-2</v>
      </c>
    </row>
    <row r="1514" spans="1:3" x14ac:dyDescent="0.3">
      <c r="A1514" s="28">
        <v>40953</v>
      </c>
      <c r="B1514" s="36">
        <v>65039</v>
      </c>
      <c r="C1514">
        <f t="shared" si="87"/>
        <v>-9.9403275893563681E-3</v>
      </c>
    </row>
    <row r="1515" spans="1:3" x14ac:dyDescent="0.3">
      <c r="A1515" s="28">
        <v>40954</v>
      </c>
      <c r="B1515" s="36">
        <v>65368</v>
      </c>
      <c r="C1515">
        <f t="shared" si="87"/>
        <v>5.0585033595227369E-3</v>
      </c>
    </row>
    <row r="1516" spans="1:3" x14ac:dyDescent="0.3">
      <c r="A1516" s="28">
        <v>40955</v>
      </c>
      <c r="B1516" s="36">
        <v>66142</v>
      </c>
      <c r="C1516">
        <f t="shared" si="87"/>
        <v>1.1840655978460513E-2</v>
      </c>
    </row>
    <row r="1517" spans="1:3" x14ac:dyDescent="0.3">
      <c r="A1517" s="28">
        <v>40956</v>
      </c>
      <c r="B1517" s="36">
        <v>66204</v>
      </c>
      <c r="C1517">
        <f t="shared" si="87"/>
        <v>9.3737715823527523E-4</v>
      </c>
    </row>
    <row r="1518" spans="1:3" x14ac:dyDescent="0.3">
      <c r="A1518" s="28">
        <v>40962</v>
      </c>
      <c r="B1518" s="36">
        <v>65820</v>
      </c>
      <c r="C1518">
        <f t="shared" si="87"/>
        <v>-5.8002537611020477E-3</v>
      </c>
    </row>
    <row r="1519" spans="1:3" x14ac:dyDescent="0.3">
      <c r="A1519" s="28">
        <v>40963</v>
      </c>
      <c r="B1519" s="36">
        <v>65943</v>
      </c>
      <c r="C1519">
        <f t="shared" si="87"/>
        <v>1.8687329079307702E-3</v>
      </c>
    </row>
    <row r="1520" spans="1:3" x14ac:dyDescent="0.3">
      <c r="A1520" s="28">
        <v>40966</v>
      </c>
      <c r="B1520" s="36">
        <v>65241</v>
      </c>
      <c r="C1520">
        <f t="shared" si="87"/>
        <v>-1.0645557526955063E-2</v>
      </c>
    </row>
    <row r="1521" spans="1:3" x14ac:dyDescent="0.3">
      <c r="A1521" s="28">
        <v>40967</v>
      </c>
      <c r="B1521" s="36">
        <v>65959</v>
      </c>
      <c r="C1521">
        <f t="shared" si="87"/>
        <v>1.1005349396851605E-2</v>
      </c>
    </row>
    <row r="1522" spans="1:3" x14ac:dyDescent="0.3">
      <c r="A1522" s="28">
        <v>40968</v>
      </c>
      <c r="B1522" s="36">
        <v>65812</v>
      </c>
      <c r="C1522">
        <f t="shared" si="87"/>
        <v>-2.2286571961369628E-3</v>
      </c>
    </row>
    <row r="1523" spans="1:3" x14ac:dyDescent="0.3">
      <c r="A1523" s="28">
        <v>40969</v>
      </c>
      <c r="B1523" s="36">
        <v>66810</v>
      </c>
      <c r="C1523">
        <f t="shared" si="87"/>
        <v>1.5164407706801164E-2</v>
      </c>
    </row>
    <row r="1524" spans="1:3" x14ac:dyDescent="0.3">
      <c r="A1524" s="28">
        <v>40970</v>
      </c>
      <c r="B1524" s="36">
        <v>67782</v>
      </c>
      <c r="C1524">
        <f t="shared" si="87"/>
        <v>1.4548720251459368E-2</v>
      </c>
    </row>
    <row r="1525" spans="1:3" x14ac:dyDescent="0.3">
      <c r="A1525" s="28">
        <v>40973</v>
      </c>
      <c r="B1525" s="36">
        <v>66964</v>
      </c>
      <c r="C1525">
        <f t="shared" si="87"/>
        <v>-1.2068100675695637E-2</v>
      </c>
    </row>
    <row r="1526" spans="1:3" x14ac:dyDescent="0.3">
      <c r="A1526" s="28">
        <v>40974</v>
      </c>
      <c r="B1526" s="36">
        <v>65114</v>
      </c>
      <c r="C1526">
        <f t="shared" si="87"/>
        <v>-2.7626784540947358E-2</v>
      </c>
    </row>
    <row r="1527" spans="1:3" x14ac:dyDescent="0.3">
      <c r="A1527" s="28">
        <v>40975</v>
      </c>
      <c r="B1527" s="36">
        <v>66017</v>
      </c>
      <c r="C1527">
        <f t="shared" si="87"/>
        <v>1.3867985379488301E-2</v>
      </c>
    </row>
    <row r="1528" spans="1:3" x14ac:dyDescent="0.3">
      <c r="A1528" s="28">
        <v>40976</v>
      </c>
      <c r="B1528" s="36">
        <v>66908</v>
      </c>
      <c r="C1528">
        <f t="shared" si="87"/>
        <v>1.3496523622703149E-2</v>
      </c>
    </row>
    <row r="1529" spans="1:3" x14ac:dyDescent="0.3">
      <c r="A1529" s="28">
        <v>40977</v>
      </c>
      <c r="B1529" s="36">
        <v>66704</v>
      </c>
      <c r="C1529">
        <f t="shared" si="87"/>
        <v>-3.0489627548275777E-3</v>
      </c>
    </row>
    <row r="1530" spans="1:3" x14ac:dyDescent="0.3">
      <c r="A1530" s="28">
        <v>40980</v>
      </c>
      <c r="B1530" s="36">
        <v>66385</v>
      </c>
      <c r="C1530">
        <f t="shared" si="87"/>
        <v>-4.7823218997361527E-3</v>
      </c>
    </row>
    <row r="1531" spans="1:3" x14ac:dyDescent="0.3">
      <c r="A1531" s="28">
        <v>40981</v>
      </c>
      <c r="B1531" s="36">
        <v>68394</v>
      </c>
      <c r="C1531">
        <f t="shared" si="87"/>
        <v>3.0262860585975826E-2</v>
      </c>
    </row>
    <row r="1532" spans="1:3" x14ac:dyDescent="0.3">
      <c r="A1532" s="28">
        <v>40982</v>
      </c>
      <c r="B1532" s="36">
        <v>68257</v>
      </c>
      <c r="C1532">
        <f t="shared" si="87"/>
        <v>-2.0030996871071016E-3</v>
      </c>
    </row>
    <row r="1533" spans="1:3" x14ac:dyDescent="0.3">
      <c r="A1533" s="28">
        <v>40983</v>
      </c>
      <c r="B1533" s="36">
        <v>67749</v>
      </c>
      <c r="C1533">
        <f t="shared" si="87"/>
        <v>-7.4424601139809754E-3</v>
      </c>
    </row>
    <row r="1534" spans="1:3" x14ac:dyDescent="0.3">
      <c r="A1534" s="28">
        <v>40984</v>
      </c>
      <c r="B1534" s="36">
        <v>67684</v>
      </c>
      <c r="C1534">
        <f t="shared" si="87"/>
        <v>-9.5942375533220048E-4</v>
      </c>
    </row>
    <row r="1535" spans="1:3" x14ac:dyDescent="0.3">
      <c r="A1535" s="28">
        <v>40987</v>
      </c>
      <c r="B1535" s="36">
        <v>67730</v>
      </c>
      <c r="C1535">
        <f t="shared" si="87"/>
        <v>6.7962886354244745E-4</v>
      </c>
    </row>
    <row r="1536" spans="1:3" x14ac:dyDescent="0.3">
      <c r="A1536" s="28">
        <v>40988</v>
      </c>
      <c r="B1536" s="36">
        <v>67296</v>
      </c>
      <c r="C1536">
        <f t="shared" si="87"/>
        <v>-6.4077956592352159E-3</v>
      </c>
    </row>
    <row r="1537" spans="1:3" x14ac:dyDescent="0.3">
      <c r="A1537" s="28">
        <v>40989</v>
      </c>
      <c r="B1537" s="36">
        <v>66860</v>
      </c>
      <c r="C1537">
        <f t="shared" si="87"/>
        <v>-6.4788397527342223E-3</v>
      </c>
    </row>
    <row r="1538" spans="1:3" x14ac:dyDescent="0.3">
      <c r="A1538" s="28">
        <v>40990</v>
      </c>
      <c r="B1538" s="36">
        <v>65828</v>
      </c>
      <c r="C1538">
        <f t="shared" si="87"/>
        <v>-1.5435237810349944E-2</v>
      </c>
    </row>
    <row r="1539" spans="1:3" x14ac:dyDescent="0.3">
      <c r="A1539" s="28">
        <v>40991</v>
      </c>
      <c r="B1539" s="36">
        <v>65813</v>
      </c>
      <c r="C1539">
        <f t="shared" si="87"/>
        <v>-2.2786656134166083E-4</v>
      </c>
    </row>
    <row r="1540" spans="1:3" x14ac:dyDescent="0.3">
      <c r="A1540" s="28">
        <v>40994</v>
      </c>
      <c r="B1540" s="36">
        <v>66685</v>
      </c>
      <c r="C1540">
        <f t="shared" ref="C1540:C1603" si="88">B1540/B1539-1</f>
        <v>1.3249661920897049E-2</v>
      </c>
    </row>
    <row r="1541" spans="1:3" x14ac:dyDescent="0.3">
      <c r="A1541" s="28">
        <v>40995</v>
      </c>
      <c r="B1541" s="36">
        <v>66037</v>
      </c>
      <c r="C1541">
        <f t="shared" si="88"/>
        <v>-9.7173277348728826E-3</v>
      </c>
    </row>
    <row r="1542" spans="1:3" x14ac:dyDescent="0.3">
      <c r="A1542" s="28">
        <v>40996</v>
      </c>
      <c r="B1542" s="36">
        <v>65079</v>
      </c>
      <c r="C1542">
        <f t="shared" si="88"/>
        <v>-1.4507018792495163E-2</v>
      </c>
    </row>
    <row r="1543" spans="1:3" x14ac:dyDescent="0.3">
      <c r="A1543" s="28">
        <v>40997</v>
      </c>
      <c r="B1543" s="36">
        <v>64872</v>
      </c>
      <c r="C1543">
        <f t="shared" si="88"/>
        <v>-3.180749550546258E-3</v>
      </c>
    </row>
    <row r="1544" spans="1:3" x14ac:dyDescent="0.3">
      <c r="A1544" s="28">
        <v>40998</v>
      </c>
      <c r="B1544" s="36">
        <v>64511</v>
      </c>
      <c r="C1544">
        <f t="shared" si="88"/>
        <v>-5.5648045381674338E-3</v>
      </c>
    </row>
    <row r="1545" spans="1:3" x14ac:dyDescent="0.3">
      <c r="A1545" s="28">
        <v>41001</v>
      </c>
      <c r="B1545" s="36">
        <v>65216</v>
      </c>
      <c r="C1545">
        <f t="shared" si="88"/>
        <v>1.092836880532011E-2</v>
      </c>
    </row>
    <row r="1546" spans="1:3" x14ac:dyDescent="0.3">
      <c r="A1546" s="28">
        <v>41002</v>
      </c>
      <c r="B1546" s="36">
        <v>64284</v>
      </c>
      <c r="C1546">
        <f t="shared" si="88"/>
        <v>-1.4290971540726227E-2</v>
      </c>
    </row>
    <row r="1547" spans="1:3" x14ac:dyDescent="0.3">
      <c r="A1547" s="28">
        <v>41003</v>
      </c>
      <c r="B1547" s="36">
        <v>63529</v>
      </c>
      <c r="C1547">
        <f t="shared" si="88"/>
        <v>-1.174475763798144E-2</v>
      </c>
    </row>
    <row r="1548" spans="1:3" x14ac:dyDescent="0.3">
      <c r="A1548" s="28">
        <v>41004</v>
      </c>
      <c r="B1548" s="36">
        <v>63691</v>
      </c>
      <c r="C1548">
        <f t="shared" si="88"/>
        <v>2.5500165278848907E-3</v>
      </c>
    </row>
    <row r="1549" spans="1:3" x14ac:dyDescent="0.3">
      <c r="A1549" s="28">
        <v>41008</v>
      </c>
      <c r="B1549" s="36">
        <v>62923</v>
      </c>
      <c r="C1549">
        <f t="shared" si="88"/>
        <v>-1.2058218586613489E-2</v>
      </c>
    </row>
    <row r="1550" spans="1:3" x14ac:dyDescent="0.3">
      <c r="A1550" s="28">
        <v>41009</v>
      </c>
      <c r="B1550" s="36">
        <v>61738</v>
      </c>
      <c r="C1550">
        <f t="shared" si="88"/>
        <v>-1.8832541360075061E-2</v>
      </c>
    </row>
    <row r="1551" spans="1:3" x14ac:dyDescent="0.3">
      <c r="A1551" s="28">
        <v>41010</v>
      </c>
      <c r="B1551" s="36">
        <v>61293</v>
      </c>
      <c r="C1551">
        <f t="shared" si="88"/>
        <v>-7.2078784541125263E-3</v>
      </c>
    </row>
    <row r="1552" spans="1:3" x14ac:dyDescent="0.3">
      <c r="A1552" s="28">
        <v>41011</v>
      </c>
      <c r="B1552" s="36">
        <v>63058</v>
      </c>
      <c r="C1552">
        <f t="shared" si="88"/>
        <v>2.8796110485699744E-2</v>
      </c>
    </row>
    <row r="1553" spans="1:3" x14ac:dyDescent="0.3">
      <c r="A1553" s="28">
        <v>41012</v>
      </c>
      <c r="B1553" s="36">
        <v>62106</v>
      </c>
      <c r="C1553">
        <f t="shared" si="88"/>
        <v>-1.5097212090456447E-2</v>
      </c>
    </row>
    <row r="1554" spans="1:3" x14ac:dyDescent="0.3">
      <c r="A1554" s="28">
        <v>41015</v>
      </c>
      <c r="B1554" s="36">
        <v>61955</v>
      </c>
      <c r="C1554">
        <f t="shared" si="88"/>
        <v>-2.4313270859498415E-3</v>
      </c>
    </row>
    <row r="1555" spans="1:3" x14ac:dyDescent="0.3">
      <c r="A1555" s="28">
        <v>41016</v>
      </c>
      <c r="B1555" s="36">
        <v>62699</v>
      </c>
      <c r="C1555">
        <f t="shared" si="88"/>
        <v>1.2008716003550912E-2</v>
      </c>
    </row>
    <row r="1556" spans="1:3" x14ac:dyDescent="0.3">
      <c r="A1556" s="28">
        <v>41017</v>
      </c>
      <c r="B1556" s="36">
        <v>63010</v>
      </c>
      <c r="C1556">
        <f t="shared" si="88"/>
        <v>4.9602067018612583E-3</v>
      </c>
    </row>
    <row r="1557" spans="1:3" x14ac:dyDescent="0.3">
      <c r="A1557" s="28">
        <v>41018</v>
      </c>
      <c r="B1557" s="36">
        <v>62618</v>
      </c>
      <c r="C1557">
        <f t="shared" si="88"/>
        <v>-6.2212347246468624E-3</v>
      </c>
    </row>
    <row r="1558" spans="1:3" x14ac:dyDescent="0.3">
      <c r="A1558" s="28">
        <v>41019</v>
      </c>
      <c r="B1558" s="36">
        <v>62494</v>
      </c>
      <c r="C1558">
        <f t="shared" si="88"/>
        <v>-1.9802612667284558E-3</v>
      </c>
    </row>
    <row r="1559" spans="1:3" x14ac:dyDescent="0.3">
      <c r="A1559" s="28">
        <v>41022</v>
      </c>
      <c r="B1559" s="36">
        <v>61539</v>
      </c>
      <c r="C1559">
        <f t="shared" si="88"/>
        <v>-1.5281467020833994E-2</v>
      </c>
    </row>
    <row r="1560" spans="1:3" x14ac:dyDescent="0.3">
      <c r="A1560" s="28">
        <v>41023</v>
      </c>
      <c r="B1560" s="36">
        <v>61971</v>
      </c>
      <c r="C1560">
        <f t="shared" si="88"/>
        <v>7.0199385755373989E-3</v>
      </c>
    </row>
    <row r="1561" spans="1:3" x14ac:dyDescent="0.3">
      <c r="A1561" s="28">
        <v>41024</v>
      </c>
      <c r="B1561" s="36">
        <v>61750</v>
      </c>
      <c r="C1561">
        <f t="shared" si="88"/>
        <v>-3.5661841829243146E-3</v>
      </c>
    </row>
    <row r="1562" spans="1:3" x14ac:dyDescent="0.3">
      <c r="A1562" s="28">
        <v>41025</v>
      </c>
      <c r="B1562" s="36">
        <v>62198</v>
      </c>
      <c r="C1562">
        <f t="shared" si="88"/>
        <v>7.2550607287449331E-3</v>
      </c>
    </row>
    <row r="1563" spans="1:3" x14ac:dyDescent="0.3">
      <c r="A1563" s="28">
        <v>41026</v>
      </c>
      <c r="B1563" s="36">
        <v>61691</v>
      </c>
      <c r="C1563">
        <f t="shared" si="88"/>
        <v>-8.151387504421348E-3</v>
      </c>
    </row>
    <row r="1564" spans="1:3" x14ac:dyDescent="0.3">
      <c r="A1564" s="28">
        <v>41029</v>
      </c>
      <c r="B1564" s="36">
        <v>61820</v>
      </c>
      <c r="C1564">
        <f t="shared" si="88"/>
        <v>2.0910667682481066E-3</v>
      </c>
    </row>
    <row r="1565" spans="1:3" x14ac:dyDescent="0.3">
      <c r="A1565" s="28">
        <v>41031</v>
      </c>
      <c r="B1565" s="36">
        <v>62424</v>
      </c>
      <c r="C1565">
        <f t="shared" si="88"/>
        <v>9.7703008735037233E-3</v>
      </c>
    </row>
    <row r="1566" spans="1:3" x14ac:dyDescent="0.3">
      <c r="A1566" s="28">
        <v>41032</v>
      </c>
      <c r="B1566" s="36">
        <v>62104</v>
      </c>
      <c r="C1566">
        <f t="shared" si="88"/>
        <v>-5.126233499935906E-3</v>
      </c>
    </row>
    <row r="1567" spans="1:3" x14ac:dyDescent="0.3">
      <c r="A1567" s="28">
        <v>41033</v>
      </c>
      <c r="B1567" s="36">
        <v>60821</v>
      </c>
      <c r="C1567">
        <f t="shared" si="88"/>
        <v>-2.0658894757181523E-2</v>
      </c>
    </row>
    <row r="1568" spans="1:3" x14ac:dyDescent="0.3">
      <c r="A1568" s="28">
        <v>41036</v>
      </c>
      <c r="B1568" s="36">
        <v>61220</v>
      </c>
      <c r="C1568">
        <f t="shared" si="88"/>
        <v>6.5602341296591149E-3</v>
      </c>
    </row>
    <row r="1569" spans="1:3" x14ac:dyDescent="0.3">
      <c r="A1569" s="28">
        <v>41037</v>
      </c>
      <c r="B1569" s="36">
        <v>60365</v>
      </c>
      <c r="C1569">
        <f t="shared" si="88"/>
        <v>-1.3966024175106173E-2</v>
      </c>
    </row>
    <row r="1570" spans="1:3" x14ac:dyDescent="0.3">
      <c r="A1570" s="28">
        <v>41038</v>
      </c>
      <c r="B1570" s="36">
        <v>59786</v>
      </c>
      <c r="C1570">
        <f t="shared" si="88"/>
        <v>-9.5916507910213111E-3</v>
      </c>
    </row>
    <row r="1571" spans="1:3" x14ac:dyDescent="0.3">
      <c r="A1571" s="28">
        <v>41039</v>
      </c>
      <c r="B1571" s="36">
        <v>59702</v>
      </c>
      <c r="C1571">
        <f t="shared" si="88"/>
        <v>-1.4050112066370524E-3</v>
      </c>
    </row>
    <row r="1572" spans="1:3" x14ac:dyDescent="0.3">
      <c r="A1572" s="28">
        <v>41040</v>
      </c>
      <c r="B1572" s="36">
        <v>59445</v>
      </c>
      <c r="C1572">
        <f t="shared" si="88"/>
        <v>-4.3047134099359896E-3</v>
      </c>
    </row>
    <row r="1573" spans="1:3" x14ac:dyDescent="0.3">
      <c r="A1573" s="28">
        <v>41043</v>
      </c>
      <c r="B1573" s="36">
        <v>57540</v>
      </c>
      <c r="C1573">
        <f t="shared" si="88"/>
        <v>-3.2046429472621707E-2</v>
      </c>
    </row>
    <row r="1574" spans="1:3" x14ac:dyDescent="0.3">
      <c r="A1574" s="28">
        <v>41044</v>
      </c>
      <c r="B1574" s="36">
        <v>56238</v>
      </c>
      <c r="C1574">
        <f t="shared" si="88"/>
        <v>-2.2627737226277422E-2</v>
      </c>
    </row>
    <row r="1575" spans="1:3" x14ac:dyDescent="0.3">
      <c r="A1575" s="28">
        <v>41045</v>
      </c>
      <c r="B1575" s="36">
        <v>55888</v>
      </c>
      <c r="C1575">
        <f t="shared" si="88"/>
        <v>-6.2235499128703298E-3</v>
      </c>
    </row>
    <row r="1576" spans="1:3" x14ac:dyDescent="0.3">
      <c r="A1576" s="28">
        <v>41046</v>
      </c>
      <c r="B1576" s="36">
        <v>54038</v>
      </c>
      <c r="C1576">
        <f t="shared" si="88"/>
        <v>-3.3101918121958174E-2</v>
      </c>
    </row>
    <row r="1577" spans="1:3" x14ac:dyDescent="0.3">
      <c r="A1577" s="28">
        <v>41047</v>
      </c>
      <c r="B1577" s="36">
        <v>54513</v>
      </c>
      <c r="C1577">
        <f t="shared" si="88"/>
        <v>8.7901106628669456E-3</v>
      </c>
    </row>
    <row r="1578" spans="1:3" x14ac:dyDescent="0.3">
      <c r="A1578" s="28">
        <v>41050</v>
      </c>
      <c r="B1578" s="36">
        <v>56590</v>
      </c>
      <c r="C1578">
        <f t="shared" si="88"/>
        <v>3.8101003430374369E-2</v>
      </c>
    </row>
    <row r="1579" spans="1:3" x14ac:dyDescent="0.3">
      <c r="A1579" s="28">
        <v>41051</v>
      </c>
      <c r="B1579" s="36">
        <v>55039</v>
      </c>
      <c r="C1579">
        <f t="shared" si="88"/>
        <v>-2.7407669199505214E-2</v>
      </c>
    </row>
    <row r="1580" spans="1:3" x14ac:dyDescent="0.3">
      <c r="A1580" s="28">
        <v>41052</v>
      </c>
      <c r="B1580" s="36">
        <v>54619</v>
      </c>
      <c r="C1580">
        <f t="shared" si="88"/>
        <v>-7.6309525972492187E-3</v>
      </c>
    </row>
    <row r="1581" spans="1:3" x14ac:dyDescent="0.3">
      <c r="A1581" s="28">
        <v>41053</v>
      </c>
      <c r="B1581" s="36">
        <v>54063</v>
      </c>
      <c r="C1581">
        <f t="shared" si="88"/>
        <v>-1.0179607828777582E-2</v>
      </c>
    </row>
    <row r="1582" spans="1:3" x14ac:dyDescent="0.3">
      <c r="A1582" s="28">
        <v>41054</v>
      </c>
      <c r="B1582" s="36">
        <v>54463</v>
      </c>
      <c r="C1582">
        <f t="shared" si="88"/>
        <v>7.3987755026543311E-3</v>
      </c>
    </row>
    <row r="1583" spans="1:3" x14ac:dyDescent="0.3">
      <c r="A1583" s="28">
        <v>41057</v>
      </c>
      <c r="B1583" s="36">
        <v>55213</v>
      </c>
      <c r="C1583">
        <f t="shared" si="88"/>
        <v>1.3770816884857595E-2</v>
      </c>
    </row>
    <row r="1584" spans="1:3" x14ac:dyDescent="0.3">
      <c r="A1584" s="28">
        <v>41058</v>
      </c>
      <c r="B1584" s="36">
        <v>54633</v>
      </c>
      <c r="C1584">
        <f t="shared" si="88"/>
        <v>-1.0504772426783493E-2</v>
      </c>
    </row>
    <row r="1585" spans="1:3" x14ac:dyDescent="0.3">
      <c r="A1585" s="28">
        <v>41059</v>
      </c>
      <c r="B1585" s="36">
        <v>53798</v>
      </c>
      <c r="C1585">
        <f t="shared" si="88"/>
        <v>-1.5283802829791471E-2</v>
      </c>
    </row>
    <row r="1586" spans="1:3" x14ac:dyDescent="0.3">
      <c r="A1586" s="28">
        <v>41060</v>
      </c>
      <c r="B1586" s="36">
        <v>54490</v>
      </c>
      <c r="C1586">
        <f t="shared" si="88"/>
        <v>1.2862931707498415E-2</v>
      </c>
    </row>
    <row r="1587" spans="1:3" x14ac:dyDescent="0.3">
      <c r="A1587" s="28">
        <v>41061</v>
      </c>
      <c r="B1587" s="36">
        <v>53403</v>
      </c>
      <c r="C1587">
        <f t="shared" si="88"/>
        <v>-1.9948614424665112E-2</v>
      </c>
    </row>
    <row r="1588" spans="1:3" x14ac:dyDescent="0.3">
      <c r="A1588" s="28">
        <v>41064</v>
      </c>
      <c r="B1588" s="36">
        <v>53417</v>
      </c>
      <c r="C1588">
        <f t="shared" si="88"/>
        <v>2.6215755669167784E-4</v>
      </c>
    </row>
    <row r="1589" spans="1:3" x14ac:dyDescent="0.3">
      <c r="A1589" s="28">
        <v>41065</v>
      </c>
      <c r="B1589" s="36">
        <v>52481</v>
      </c>
      <c r="C1589">
        <f t="shared" si="88"/>
        <v>-1.7522511559990295E-2</v>
      </c>
    </row>
    <row r="1590" spans="1:3" x14ac:dyDescent="0.3">
      <c r="A1590" s="28">
        <v>41066</v>
      </c>
      <c r="B1590" s="36">
        <v>54156</v>
      </c>
      <c r="C1590">
        <f t="shared" si="88"/>
        <v>3.1916312570263505E-2</v>
      </c>
    </row>
    <row r="1591" spans="1:3" x14ac:dyDescent="0.3">
      <c r="A1591" s="28">
        <v>41068</v>
      </c>
      <c r="B1591" s="36">
        <v>54430</v>
      </c>
      <c r="C1591">
        <f t="shared" si="88"/>
        <v>5.059457862471417E-3</v>
      </c>
    </row>
    <row r="1592" spans="1:3" x14ac:dyDescent="0.3">
      <c r="A1592" s="28">
        <v>41071</v>
      </c>
      <c r="B1592" s="36">
        <v>54001</v>
      </c>
      <c r="C1592">
        <f t="shared" si="88"/>
        <v>-7.8816828954620943E-3</v>
      </c>
    </row>
    <row r="1593" spans="1:3" x14ac:dyDescent="0.3">
      <c r="A1593" s="28">
        <v>41072</v>
      </c>
      <c r="B1593" s="36">
        <v>55049</v>
      </c>
      <c r="C1593">
        <f t="shared" si="88"/>
        <v>1.940704801762938E-2</v>
      </c>
    </row>
    <row r="1594" spans="1:3" x14ac:dyDescent="0.3">
      <c r="A1594" s="28">
        <v>41073</v>
      </c>
      <c r="B1594" s="36">
        <v>55651</v>
      </c>
      <c r="C1594">
        <f t="shared" si="88"/>
        <v>1.0935711820378113E-2</v>
      </c>
    </row>
    <row r="1595" spans="1:3" x14ac:dyDescent="0.3">
      <c r="A1595" s="28">
        <v>41074</v>
      </c>
      <c r="B1595" s="36">
        <v>55352</v>
      </c>
      <c r="C1595">
        <f t="shared" si="88"/>
        <v>-5.3727695818583943E-3</v>
      </c>
    </row>
    <row r="1596" spans="1:3" x14ac:dyDescent="0.3">
      <c r="A1596" s="28">
        <v>41075</v>
      </c>
      <c r="B1596" s="36">
        <v>56105</v>
      </c>
      <c r="C1596">
        <f t="shared" si="88"/>
        <v>1.3603844486197447E-2</v>
      </c>
    </row>
    <row r="1597" spans="1:3" x14ac:dyDescent="0.3">
      <c r="A1597" s="28">
        <v>41078</v>
      </c>
      <c r="B1597" s="36">
        <v>56195</v>
      </c>
      <c r="C1597">
        <f t="shared" si="88"/>
        <v>1.6041351038231788E-3</v>
      </c>
    </row>
    <row r="1598" spans="1:3" x14ac:dyDescent="0.3">
      <c r="A1598" s="28">
        <v>41079</v>
      </c>
      <c r="B1598" s="36">
        <v>57195</v>
      </c>
      <c r="C1598">
        <f t="shared" si="88"/>
        <v>1.7795177506895632E-2</v>
      </c>
    </row>
    <row r="1599" spans="1:3" x14ac:dyDescent="0.3">
      <c r="A1599" s="28">
        <v>41080</v>
      </c>
      <c r="B1599" s="36">
        <v>57167</v>
      </c>
      <c r="C1599">
        <f t="shared" si="88"/>
        <v>-4.8955328262956233E-4</v>
      </c>
    </row>
    <row r="1600" spans="1:3" x14ac:dyDescent="0.3">
      <c r="A1600" s="28">
        <v>41081</v>
      </c>
      <c r="B1600" s="36">
        <v>55505</v>
      </c>
      <c r="C1600">
        <f t="shared" si="88"/>
        <v>-2.9072716777161611E-2</v>
      </c>
    </row>
    <row r="1601" spans="1:3" x14ac:dyDescent="0.3">
      <c r="A1601" s="28">
        <v>41082</v>
      </c>
      <c r="B1601" s="36">
        <v>55440</v>
      </c>
      <c r="C1601">
        <f t="shared" si="88"/>
        <v>-1.1710656697594413E-3</v>
      </c>
    </row>
    <row r="1602" spans="1:3" x14ac:dyDescent="0.3">
      <c r="A1602" s="28">
        <v>41085</v>
      </c>
      <c r="B1602" s="36">
        <v>53805</v>
      </c>
      <c r="C1602">
        <f t="shared" si="88"/>
        <v>-2.9491341991341957E-2</v>
      </c>
    </row>
    <row r="1603" spans="1:3" x14ac:dyDescent="0.3">
      <c r="A1603" s="28">
        <v>41086</v>
      </c>
      <c r="B1603" s="36">
        <v>53837</v>
      </c>
      <c r="C1603">
        <f t="shared" si="88"/>
        <v>5.9474026577466255E-4</v>
      </c>
    </row>
    <row r="1604" spans="1:3" x14ac:dyDescent="0.3">
      <c r="A1604" s="28">
        <v>41087</v>
      </c>
      <c r="B1604" s="36">
        <v>53109</v>
      </c>
      <c r="C1604">
        <f t="shared" ref="C1604:C1667" si="89">B1604/B1603-1</f>
        <v>-1.3522298790794474E-2</v>
      </c>
    </row>
    <row r="1605" spans="1:3" x14ac:dyDescent="0.3">
      <c r="A1605" s="28">
        <v>41088</v>
      </c>
      <c r="B1605" s="36">
        <v>52652</v>
      </c>
      <c r="C1605">
        <f t="shared" si="89"/>
        <v>-8.604944548005089E-3</v>
      </c>
    </row>
    <row r="1606" spans="1:3" x14ac:dyDescent="0.3">
      <c r="A1606" s="28">
        <v>41089</v>
      </c>
      <c r="B1606" s="36">
        <v>54355</v>
      </c>
      <c r="C1606">
        <f t="shared" si="89"/>
        <v>3.2344450353262832E-2</v>
      </c>
    </row>
    <row r="1607" spans="1:3" x14ac:dyDescent="0.3">
      <c r="A1607" s="28">
        <v>41092</v>
      </c>
      <c r="B1607" s="36">
        <v>54693</v>
      </c>
      <c r="C1607">
        <f t="shared" si="89"/>
        <v>6.2183791739489624E-3</v>
      </c>
    </row>
    <row r="1608" spans="1:3" x14ac:dyDescent="0.3">
      <c r="A1608" s="28">
        <v>41093</v>
      </c>
      <c r="B1608" s="36">
        <v>55780</v>
      </c>
      <c r="C1608">
        <f t="shared" si="89"/>
        <v>1.987457261441139E-2</v>
      </c>
    </row>
    <row r="1609" spans="1:3" x14ac:dyDescent="0.3">
      <c r="A1609" s="28">
        <v>41094</v>
      </c>
      <c r="B1609" s="36">
        <v>56077</v>
      </c>
      <c r="C1609">
        <f t="shared" si="89"/>
        <v>5.3244890641808151E-3</v>
      </c>
    </row>
    <row r="1610" spans="1:3" x14ac:dyDescent="0.3">
      <c r="A1610" s="28">
        <v>41095</v>
      </c>
      <c r="B1610" s="36">
        <v>56379</v>
      </c>
      <c r="C1610">
        <f t="shared" si="89"/>
        <v>5.3854521461562666E-3</v>
      </c>
    </row>
    <row r="1611" spans="1:3" x14ac:dyDescent="0.3">
      <c r="A1611" s="28">
        <v>41096</v>
      </c>
      <c r="B1611" s="36">
        <v>55394</v>
      </c>
      <c r="C1611">
        <f t="shared" si="89"/>
        <v>-1.7471044183117845E-2</v>
      </c>
    </row>
    <row r="1612" spans="1:3" x14ac:dyDescent="0.3">
      <c r="A1612" s="28">
        <v>41100</v>
      </c>
      <c r="B1612" s="36">
        <v>53706</v>
      </c>
      <c r="C1612">
        <f t="shared" si="89"/>
        <v>-3.0472614362566319E-2</v>
      </c>
    </row>
    <row r="1613" spans="1:3" x14ac:dyDescent="0.3">
      <c r="A1613" s="28">
        <v>41101</v>
      </c>
      <c r="B1613" s="36">
        <v>53569</v>
      </c>
      <c r="C1613">
        <f t="shared" si="89"/>
        <v>-2.5509254087067168E-3</v>
      </c>
    </row>
    <row r="1614" spans="1:3" x14ac:dyDescent="0.3">
      <c r="A1614" s="28">
        <v>41102</v>
      </c>
      <c r="B1614" s="36">
        <v>53421</v>
      </c>
      <c r="C1614">
        <f t="shared" si="89"/>
        <v>-2.7627919132333645E-3</v>
      </c>
    </row>
    <row r="1615" spans="1:3" x14ac:dyDescent="0.3">
      <c r="A1615" s="28">
        <v>41103</v>
      </c>
      <c r="B1615" s="36">
        <v>54331</v>
      </c>
      <c r="C1615">
        <f t="shared" si="89"/>
        <v>1.7034499541378922E-2</v>
      </c>
    </row>
    <row r="1616" spans="1:3" x14ac:dyDescent="0.3">
      <c r="A1616" s="28">
        <v>41106</v>
      </c>
      <c r="B1616" s="36">
        <v>53402</v>
      </c>
      <c r="C1616">
        <f t="shared" si="89"/>
        <v>-1.709889381752594E-2</v>
      </c>
    </row>
    <row r="1617" spans="1:3" x14ac:dyDescent="0.3">
      <c r="A1617" s="28">
        <v>41107</v>
      </c>
      <c r="B1617" s="36">
        <v>53909</v>
      </c>
      <c r="C1617">
        <f t="shared" si="89"/>
        <v>9.494026440957315E-3</v>
      </c>
    </row>
    <row r="1618" spans="1:3" x14ac:dyDescent="0.3">
      <c r="A1618" s="28">
        <v>41108</v>
      </c>
      <c r="B1618" s="36">
        <v>54583</v>
      </c>
      <c r="C1618">
        <f t="shared" si="89"/>
        <v>1.2502550594520434E-2</v>
      </c>
    </row>
    <row r="1619" spans="1:3" x14ac:dyDescent="0.3">
      <c r="A1619" s="28">
        <v>41109</v>
      </c>
      <c r="B1619" s="36">
        <v>55347</v>
      </c>
      <c r="C1619">
        <f t="shared" si="89"/>
        <v>1.3997032042943669E-2</v>
      </c>
    </row>
    <row r="1620" spans="1:3" x14ac:dyDescent="0.3">
      <c r="A1620" s="28">
        <v>41110</v>
      </c>
      <c r="B1620" s="36">
        <v>54195</v>
      </c>
      <c r="C1620">
        <f t="shared" si="89"/>
        <v>-2.0814136267548355E-2</v>
      </c>
    </row>
    <row r="1621" spans="1:3" x14ac:dyDescent="0.3">
      <c r="A1621" s="28">
        <v>41113</v>
      </c>
      <c r="B1621" s="36">
        <v>53034</v>
      </c>
      <c r="C1621">
        <f t="shared" si="89"/>
        <v>-2.1422640464987541E-2</v>
      </c>
    </row>
    <row r="1622" spans="1:3" x14ac:dyDescent="0.3">
      <c r="A1622" s="28">
        <v>41114</v>
      </c>
      <c r="B1622" s="36">
        <v>52639</v>
      </c>
      <c r="C1622">
        <f t="shared" si="89"/>
        <v>-7.4480521929328747E-3</v>
      </c>
    </row>
    <row r="1623" spans="1:3" x14ac:dyDescent="0.3">
      <c r="A1623" s="28">
        <v>41115</v>
      </c>
      <c r="B1623" s="36">
        <v>52608</v>
      </c>
      <c r="C1623">
        <f t="shared" si="89"/>
        <v>-5.8891696270824134E-4</v>
      </c>
    </row>
    <row r="1624" spans="1:3" x14ac:dyDescent="0.3">
      <c r="A1624" s="28">
        <v>41116</v>
      </c>
      <c r="B1624" s="36">
        <v>54003</v>
      </c>
      <c r="C1624">
        <f t="shared" si="89"/>
        <v>2.6516879562043849E-2</v>
      </c>
    </row>
    <row r="1625" spans="1:3" x14ac:dyDescent="0.3">
      <c r="A1625" s="28">
        <v>41117</v>
      </c>
      <c r="B1625" s="36">
        <v>56553</v>
      </c>
      <c r="C1625">
        <f t="shared" si="89"/>
        <v>4.7219598911171667E-2</v>
      </c>
    </row>
    <row r="1626" spans="1:3" x14ac:dyDescent="0.3">
      <c r="A1626" s="28">
        <v>41120</v>
      </c>
      <c r="B1626" s="36">
        <v>57241</v>
      </c>
      <c r="C1626">
        <f t="shared" si="89"/>
        <v>1.2165579191201203E-2</v>
      </c>
    </row>
    <row r="1627" spans="1:3" x14ac:dyDescent="0.3">
      <c r="A1627" s="28">
        <v>41121</v>
      </c>
      <c r="B1627" s="36">
        <v>56097</v>
      </c>
      <c r="C1627">
        <f t="shared" si="89"/>
        <v>-1.9985674603867909E-2</v>
      </c>
    </row>
    <row r="1628" spans="1:3" x14ac:dyDescent="0.3">
      <c r="A1628" s="28">
        <v>41122</v>
      </c>
      <c r="B1628" s="36">
        <v>55623</v>
      </c>
      <c r="C1628">
        <f t="shared" si="89"/>
        <v>-8.4496497138883964E-3</v>
      </c>
    </row>
    <row r="1629" spans="1:3" x14ac:dyDescent="0.3">
      <c r="A1629" s="28">
        <v>41123</v>
      </c>
      <c r="B1629" s="36">
        <v>55520</v>
      </c>
      <c r="C1629">
        <f t="shared" si="89"/>
        <v>-1.8517519731046095E-3</v>
      </c>
    </row>
    <row r="1630" spans="1:3" x14ac:dyDescent="0.3">
      <c r="A1630" s="28">
        <v>41124</v>
      </c>
      <c r="B1630" s="36">
        <v>57255</v>
      </c>
      <c r="C1630">
        <f t="shared" si="89"/>
        <v>3.125E-2</v>
      </c>
    </row>
    <row r="1631" spans="1:3" x14ac:dyDescent="0.3">
      <c r="A1631" s="28">
        <v>41127</v>
      </c>
      <c r="B1631" s="36">
        <v>58345</v>
      </c>
      <c r="C1631">
        <f t="shared" si="89"/>
        <v>1.9037638634180398E-2</v>
      </c>
    </row>
    <row r="1632" spans="1:3" x14ac:dyDescent="0.3">
      <c r="A1632" s="28">
        <v>41128</v>
      </c>
      <c r="B1632" s="36">
        <v>57726</v>
      </c>
      <c r="C1632">
        <f t="shared" si="89"/>
        <v>-1.060930671008653E-2</v>
      </c>
    </row>
    <row r="1633" spans="1:3" x14ac:dyDescent="0.3">
      <c r="A1633" s="28">
        <v>41129</v>
      </c>
      <c r="B1633" s="36">
        <v>58951</v>
      </c>
      <c r="C1633">
        <f t="shared" si="89"/>
        <v>2.1220940304195635E-2</v>
      </c>
    </row>
    <row r="1634" spans="1:3" x14ac:dyDescent="0.3">
      <c r="A1634" s="28">
        <v>41130</v>
      </c>
      <c r="B1634" s="36">
        <v>58797</v>
      </c>
      <c r="C1634">
        <f t="shared" si="89"/>
        <v>-2.612339061254243E-3</v>
      </c>
    </row>
    <row r="1635" spans="1:3" x14ac:dyDescent="0.3">
      <c r="A1635" s="28">
        <v>41131</v>
      </c>
      <c r="B1635" s="36">
        <v>59281</v>
      </c>
      <c r="C1635">
        <f t="shared" si="89"/>
        <v>8.2317125023385618E-3</v>
      </c>
    </row>
    <row r="1636" spans="1:3" x14ac:dyDescent="0.3">
      <c r="A1636" s="28">
        <v>41134</v>
      </c>
      <c r="B1636" s="36">
        <v>59123</v>
      </c>
      <c r="C1636">
        <f t="shared" si="89"/>
        <v>-2.6652721782696176E-3</v>
      </c>
    </row>
    <row r="1637" spans="1:3" x14ac:dyDescent="0.3">
      <c r="A1637" s="28">
        <v>41135</v>
      </c>
      <c r="B1637" s="36">
        <v>58083</v>
      </c>
      <c r="C1637">
        <f t="shared" si="89"/>
        <v>-1.7590447034149137E-2</v>
      </c>
    </row>
    <row r="1638" spans="1:3" x14ac:dyDescent="0.3">
      <c r="A1638" s="28">
        <v>41136</v>
      </c>
      <c r="B1638" s="36">
        <v>58189</v>
      </c>
      <c r="C1638">
        <f t="shared" si="89"/>
        <v>1.8249746053062843E-3</v>
      </c>
    </row>
    <row r="1639" spans="1:3" x14ac:dyDescent="0.3">
      <c r="A1639" s="28">
        <v>41137</v>
      </c>
      <c r="B1639" s="36">
        <v>59446</v>
      </c>
      <c r="C1639">
        <f t="shared" si="89"/>
        <v>2.1602021000532767E-2</v>
      </c>
    </row>
    <row r="1640" spans="1:3" x14ac:dyDescent="0.3">
      <c r="A1640" s="28">
        <v>41138</v>
      </c>
      <c r="B1640" s="36">
        <v>59082</v>
      </c>
      <c r="C1640">
        <f t="shared" si="89"/>
        <v>-6.123204252599046E-3</v>
      </c>
    </row>
    <row r="1641" spans="1:3" x14ac:dyDescent="0.3">
      <c r="A1641" s="28">
        <v>41141</v>
      </c>
      <c r="B1641" s="36">
        <v>59283</v>
      </c>
      <c r="C1641">
        <f t="shared" si="89"/>
        <v>3.4020513862089707E-3</v>
      </c>
    </row>
    <row r="1642" spans="1:3" x14ac:dyDescent="0.3">
      <c r="A1642" s="28">
        <v>41142</v>
      </c>
      <c r="B1642" s="36">
        <v>58918</v>
      </c>
      <c r="C1642">
        <f t="shared" si="89"/>
        <v>-6.1569083885768539E-3</v>
      </c>
    </row>
    <row r="1643" spans="1:3" x14ac:dyDescent="0.3">
      <c r="A1643" s="28">
        <v>41143</v>
      </c>
      <c r="B1643" s="36">
        <v>59381</v>
      </c>
      <c r="C1643">
        <f t="shared" si="89"/>
        <v>7.8583794426152487E-3</v>
      </c>
    </row>
    <row r="1644" spans="1:3" x14ac:dyDescent="0.3">
      <c r="A1644" s="28">
        <v>41144</v>
      </c>
      <c r="B1644" s="36">
        <v>58512</v>
      </c>
      <c r="C1644">
        <f t="shared" si="89"/>
        <v>-1.4634310638082848E-2</v>
      </c>
    </row>
    <row r="1645" spans="1:3" x14ac:dyDescent="0.3">
      <c r="A1645" s="28">
        <v>41145</v>
      </c>
      <c r="B1645" s="36">
        <v>58426</v>
      </c>
      <c r="C1645">
        <f t="shared" si="89"/>
        <v>-1.4697839759365561E-3</v>
      </c>
    </row>
    <row r="1646" spans="1:3" x14ac:dyDescent="0.3">
      <c r="A1646" s="28">
        <v>41148</v>
      </c>
      <c r="B1646" s="36">
        <v>58111</v>
      </c>
      <c r="C1646">
        <f t="shared" si="89"/>
        <v>-5.3914353198918352E-3</v>
      </c>
    </row>
    <row r="1647" spans="1:3" x14ac:dyDescent="0.3">
      <c r="A1647" s="28">
        <v>41149</v>
      </c>
      <c r="B1647" s="36">
        <v>58406</v>
      </c>
      <c r="C1647">
        <f t="shared" si="89"/>
        <v>5.0764915420489221E-3</v>
      </c>
    </row>
    <row r="1648" spans="1:3" x14ac:dyDescent="0.3">
      <c r="A1648" s="28">
        <v>41150</v>
      </c>
      <c r="B1648" s="36">
        <v>57369</v>
      </c>
      <c r="C1648">
        <f t="shared" si="89"/>
        <v>-1.7755025168647021E-2</v>
      </c>
    </row>
    <row r="1649" spans="1:3" x14ac:dyDescent="0.3">
      <c r="A1649" s="28">
        <v>41151</v>
      </c>
      <c r="B1649" s="36">
        <v>57256</v>
      </c>
      <c r="C1649">
        <f t="shared" si="89"/>
        <v>-1.9697048928863925E-3</v>
      </c>
    </row>
    <row r="1650" spans="1:3" x14ac:dyDescent="0.3">
      <c r="A1650" s="28">
        <v>41152</v>
      </c>
      <c r="B1650" s="36">
        <v>57061</v>
      </c>
      <c r="C1650">
        <f t="shared" si="89"/>
        <v>-3.4057566019282115E-3</v>
      </c>
    </row>
    <row r="1651" spans="1:3" x14ac:dyDescent="0.3">
      <c r="A1651" s="28">
        <v>41155</v>
      </c>
      <c r="B1651" s="36">
        <v>57281</v>
      </c>
      <c r="C1651">
        <f t="shared" si="89"/>
        <v>3.8555230367500748E-3</v>
      </c>
    </row>
    <row r="1652" spans="1:3" x14ac:dyDescent="0.3">
      <c r="A1652" s="28">
        <v>41156</v>
      </c>
      <c r="B1652" s="36">
        <v>56234</v>
      </c>
      <c r="C1652">
        <f t="shared" si="89"/>
        <v>-1.8278312180304068E-2</v>
      </c>
    </row>
    <row r="1653" spans="1:3" x14ac:dyDescent="0.3">
      <c r="A1653" s="28">
        <v>41157</v>
      </c>
      <c r="B1653" s="36">
        <v>56864</v>
      </c>
      <c r="C1653">
        <f t="shared" si="89"/>
        <v>1.1203186684212385E-2</v>
      </c>
    </row>
    <row r="1654" spans="1:3" x14ac:dyDescent="0.3">
      <c r="A1654" s="28">
        <v>41158</v>
      </c>
      <c r="B1654" s="36">
        <v>58321</v>
      </c>
      <c r="C1654">
        <f t="shared" si="89"/>
        <v>2.562253798536851E-2</v>
      </c>
    </row>
    <row r="1655" spans="1:3" x14ac:dyDescent="0.3">
      <c r="A1655" s="28">
        <v>41162</v>
      </c>
      <c r="B1655" s="36">
        <v>58404</v>
      </c>
      <c r="C1655">
        <f t="shared" si="89"/>
        <v>1.4231580391281806E-3</v>
      </c>
    </row>
    <row r="1656" spans="1:3" x14ac:dyDescent="0.3">
      <c r="A1656" s="28">
        <v>41163</v>
      </c>
      <c r="B1656" s="36">
        <v>59423</v>
      </c>
      <c r="C1656">
        <f t="shared" si="89"/>
        <v>1.7447435107184495E-2</v>
      </c>
    </row>
    <row r="1657" spans="1:3" x14ac:dyDescent="0.3">
      <c r="A1657" s="28">
        <v>41164</v>
      </c>
      <c r="B1657" s="36">
        <v>59922</v>
      </c>
      <c r="C1657">
        <f t="shared" si="89"/>
        <v>8.3974218736853068E-3</v>
      </c>
    </row>
    <row r="1658" spans="1:3" x14ac:dyDescent="0.3">
      <c r="A1658" s="28">
        <v>41165</v>
      </c>
      <c r="B1658" s="36">
        <v>61958</v>
      </c>
      <c r="C1658">
        <f t="shared" si="89"/>
        <v>3.3977504088648525E-2</v>
      </c>
    </row>
    <row r="1659" spans="1:3" x14ac:dyDescent="0.3">
      <c r="A1659" s="28">
        <v>41166</v>
      </c>
      <c r="B1659" s="36">
        <v>62105</v>
      </c>
      <c r="C1659">
        <f t="shared" si="89"/>
        <v>2.3725749701410948E-3</v>
      </c>
    </row>
    <row r="1660" spans="1:3" x14ac:dyDescent="0.3">
      <c r="A1660" s="28">
        <v>41169</v>
      </c>
      <c r="B1660" s="36">
        <v>61806</v>
      </c>
      <c r="C1660">
        <f t="shared" si="89"/>
        <v>-4.8144271797762039E-3</v>
      </c>
    </row>
    <row r="1661" spans="1:3" x14ac:dyDescent="0.3">
      <c r="A1661" s="28">
        <v>41170</v>
      </c>
      <c r="B1661" s="36">
        <v>61804</v>
      </c>
      <c r="C1661">
        <f t="shared" si="89"/>
        <v>-3.2359317865604531E-5</v>
      </c>
    </row>
    <row r="1662" spans="1:3" x14ac:dyDescent="0.3">
      <c r="A1662" s="28">
        <v>41171</v>
      </c>
      <c r="B1662" s="36">
        <v>61652</v>
      </c>
      <c r="C1662">
        <f t="shared" si="89"/>
        <v>-2.4593877418936927E-3</v>
      </c>
    </row>
    <row r="1663" spans="1:3" x14ac:dyDescent="0.3">
      <c r="A1663" s="28">
        <v>41172</v>
      </c>
      <c r="B1663" s="36">
        <v>61688</v>
      </c>
      <c r="C1663">
        <f t="shared" si="89"/>
        <v>5.8392266268736392E-4</v>
      </c>
    </row>
    <row r="1664" spans="1:3" x14ac:dyDescent="0.3">
      <c r="A1664" s="28">
        <v>41173</v>
      </c>
      <c r="B1664" s="36">
        <v>61320</v>
      </c>
      <c r="C1664">
        <f t="shared" si="89"/>
        <v>-5.9655038257034887E-3</v>
      </c>
    </row>
    <row r="1665" spans="1:3" x14ac:dyDescent="0.3">
      <c r="A1665" s="28">
        <v>41176</v>
      </c>
      <c r="B1665" s="36">
        <v>61910</v>
      </c>
      <c r="C1665">
        <f t="shared" si="89"/>
        <v>9.6216568819309511E-3</v>
      </c>
    </row>
    <row r="1666" spans="1:3" x14ac:dyDescent="0.3">
      <c r="A1666" s="28">
        <v>41177</v>
      </c>
      <c r="B1666" s="36">
        <v>60501</v>
      </c>
      <c r="C1666">
        <f t="shared" si="89"/>
        <v>-2.2758843482474589E-2</v>
      </c>
    </row>
    <row r="1667" spans="1:3" x14ac:dyDescent="0.3">
      <c r="A1667" s="28">
        <v>41178</v>
      </c>
      <c r="B1667" s="36">
        <v>60478</v>
      </c>
      <c r="C1667">
        <f t="shared" si="89"/>
        <v>-3.8015900563626026E-4</v>
      </c>
    </row>
    <row r="1668" spans="1:3" x14ac:dyDescent="0.3">
      <c r="A1668" s="28">
        <v>41179</v>
      </c>
      <c r="B1668" s="36">
        <v>60240</v>
      </c>
      <c r="C1668">
        <f t="shared" ref="C1668:C1731" si="90">B1668/B1667-1</f>
        <v>-3.9353153212738912E-3</v>
      </c>
    </row>
    <row r="1669" spans="1:3" x14ac:dyDescent="0.3">
      <c r="A1669" s="28">
        <v>41180</v>
      </c>
      <c r="B1669" s="36">
        <v>59176</v>
      </c>
      <c r="C1669">
        <f t="shared" si="90"/>
        <v>-1.7662682602921698E-2</v>
      </c>
    </row>
    <row r="1670" spans="1:3" x14ac:dyDescent="0.3">
      <c r="A1670" s="28">
        <v>41183</v>
      </c>
      <c r="B1670" s="36">
        <v>59571</v>
      </c>
      <c r="C1670">
        <f t="shared" si="90"/>
        <v>6.6750033797484676E-3</v>
      </c>
    </row>
    <row r="1671" spans="1:3" x14ac:dyDescent="0.3">
      <c r="A1671" s="28">
        <v>41184</v>
      </c>
      <c r="B1671" s="36">
        <v>59222</v>
      </c>
      <c r="C1671">
        <f t="shared" si="90"/>
        <v>-5.858555337328597E-3</v>
      </c>
    </row>
    <row r="1672" spans="1:3" x14ac:dyDescent="0.3">
      <c r="A1672" s="28">
        <v>41185</v>
      </c>
      <c r="B1672" s="36">
        <v>58627</v>
      </c>
      <c r="C1672">
        <f t="shared" si="90"/>
        <v>-1.0046942014791838E-2</v>
      </c>
    </row>
    <row r="1673" spans="1:3" x14ac:dyDescent="0.3">
      <c r="A1673" s="28">
        <v>41186</v>
      </c>
      <c r="B1673" s="36">
        <v>58458</v>
      </c>
      <c r="C1673">
        <f t="shared" si="90"/>
        <v>-2.882630869735836E-3</v>
      </c>
    </row>
    <row r="1674" spans="1:3" x14ac:dyDescent="0.3">
      <c r="A1674" s="28">
        <v>41187</v>
      </c>
      <c r="B1674" s="36">
        <v>58572</v>
      </c>
      <c r="C1674">
        <f t="shared" si="90"/>
        <v>1.9501180334600132E-3</v>
      </c>
    </row>
    <row r="1675" spans="1:3" x14ac:dyDescent="0.3">
      <c r="A1675" s="28">
        <v>41190</v>
      </c>
      <c r="B1675" s="36">
        <v>59317</v>
      </c>
      <c r="C1675">
        <f t="shared" si="90"/>
        <v>1.2719388103530793E-2</v>
      </c>
    </row>
    <row r="1676" spans="1:3" x14ac:dyDescent="0.3">
      <c r="A1676" s="28">
        <v>41191</v>
      </c>
      <c r="B1676" s="36">
        <v>58939</v>
      </c>
      <c r="C1676">
        <f t="shared" si="90"/>
        <v>-6.3725407556012303E-3</v>
      </c>
    </row>
    <row r="1677" spans="1:3" x14ac:dyDescent="0.3">
      <c r="A1677" s="28">
        <v>41192</v>
      </c>
      <c r="B1677" s="36">
        <v>58456</v>
      </c>
      <c r="C1677">
        <f t="shared" si="90"/>
        <v>-8.1949133850252043E-3</v>
      </c>
    </row>
    <row r="1678" spans="1:3" x14ac:dyDescent="0.3">
      <c r="A1678" s="28">
        <v>41193</v>
      </c>
      <c r="B1678" s="36">
        <v>59162</v>
      </c>
      <c r="C1678">
        <f t="shared" si="90"/>
        <v>1.2077459969891846E-2</v>
      </c>
    </row>
    <row r="1679" spans="1:3" x14ac:dyDescent="0.3">
      <c r="A1679" s="28">
        <v>41197</v>
      </c>
      <c r="B1679" s="36">
        <v>59602</v>
      </c>
      <c r="C1679">
        <f t="shared" si="90"/>
        <v>7.4372063148642198E-3</v>
      </c>
    </row>
    <row r="1680" spans="1:3" x14ac:dyDescent="0.3">
      <c r="A1680" s="28">
        <v>41198</v>
      </c>
      <c r="B1680" s="36">
        <v>59744</v>
      </c>
      <c r="C1680">
        <f t="shared" si="90"/>
        <v>2.3824703868997599E-3</v>
      </c>
    </row>
    <row r="1681" spans="1:3" x14ac:dyDescent="0.3">
      <c r="A1681" s="28">
        <v>41199</v>
      </c>
      <c r="B1681" s="36">
        <v>60087</v>
      </c>
      <c r="C1681">
        <f t="shared" si="90"/>
        <v>5.741162292447699E-3</v>
      </c>
    </row>
    <row r="1682" spans="1:3" x14ac:dyDescent="0.3">
      <c r="A1682" s="28">
        <v>41200</v>
      </c>
      <c r="B1682" s="36">
        <v>59734</v>
      </c>
      <c r="C1682">
        <f t="shared" si="90"/>
        <v>-5.8748148517981935E-3</v>
      </c>
    </row>
    <row r="1683" spans="1:3" x14ac:dyDescent="0.3">
      <c r="A1683" s="28">
        <v>41201</v>
      </c>
      <c r="B1683" s="36">
        <v>58922</v>
      </c>
      <c r="C1683">
        <f t="shared" si="90"/>
        <v>-1.3593598285733366E-2</v>
      </c>
    </row>
    <row r="1684" spans="1:3" x14ac:dyDescent="0.3">
      <c r="A1684" s="28">
        <v>41204</v>
      </c>
      <c r="B1684" s="36">
        <v>58700</v>
      </c>
      <c r="C1684">
        <f t="shared" si="90"/>
        <v>-3.7676928821153144E-3</v>
      </c>
    </row>
    <row r="1685" spans="1:3" x14ac:dyDescent="0.3">
      <c r="A1685" s="28">
        <v>41205</v>
      </c>
      <c r="B1685" s="36">
        <v>57690</v>
      </c>
      <c r="C1685">
        <f t="shared" si="90"/>
        <v>-1.7206132879046043E-2</v>
      </c>
    </row>
    <row r="1686" spans="1:3" x14ac:dyDescent="0.3">
      <c r="A1686" s="28">
        <v>41206</v>
      </c>
      <c r="B1686" s="36">
        <v>57161</v>
      </c>
      <c r="C1686">
        <f t="shared" si="90"/>
        <v>-9.1697001213382201E-3</v>
      </c>
    </row>
    <row r="1687" spans="1:3" x14ac:dyDescent="0.3">
      <c r="A1687" s="28">
        <v>41207</v>
      </c>
      <c r="B1687" s="36">
        <v>57837</v>
      </c>
      <c r="C1687">
        <f t="shared" si="90"/>
        <v>1.1826245167159355E-2</v>
      </c>
    </row>
    <row r="1688" spans="1:3" x14ac:dyDescent="0.3">
      <c r="A1688" s="28">
        <v>41208</v>
      </c>
      <c r="B1688" s="36">
        <v>57277</v>
      </c>
      <c r="C1688">
        <f t="shared" si="90"/>
        <v>-9.6823832494770112E-3</v>
      </c>
    </row>
    <row r="1689" spans="1:3" x14ac:dyDescent="0.3">
      <c r="A1689" s="28">
        <v>41211</v>
      </c>
      <c r="B1689" s="36">
        <v>57177</v>
      </c>
      <c r="C1689">
        <f t="shared" si="90"/>
        <v>-1.7459014962375452E-3</v>
      </c>
    </row>
    <row r="1690" spans="1:3" x14ac:dyDescent="0.3">
      <c r="A1690" s="28">
        <v>41212</v>
      </c>
      <c r="B1690" s="36">
        <v>57684</v>
      </c>
      <c r="C1690">
        <f t="shared" si="90"/>
        <v>8.8672018468964886E-3</v>
      </c>
    </row>
    <row r="1691" spans="1:3" x14ac:dyDescent="0.3">
      <c r="A1691" s="28">
        <v>41213</v>
      </c>
      <c r="B1691" s="36">
        <v>57068</v>
      </c>
      <c r="C1691">
        <f t="shared" si="90"/>
        <v>-1.067887109077037E-2</v>
      </c>
    </row>
    <row r="1692" spans="1:3" x14ac:dyDescent="0.3">
      <c r="A1692" s="28">
        <v>41214</v>
      </c>
      <c r="B1692" s="36">
        <v>58383</v>
      </c>
      <c r="C1692">
        <f t="shared" si="90"/>
        <v>2.3042685918553296E-2</v>
      </c>
    </row>
    <row r="1693" spans="1:3" x14ac:dyDescent="0.3">
      <c r="A1693" s="28">
        <v>41218</v>
      </c>
      <c r="B1693" s="36">
        <v>58210</v>
      </c>
      <c r="C1693">
        <f t="shared" si="90"/>
        <v>-2.9631913399448262E-3</v>
      </c>
    </row>
    <row r="1694" spans="1:3" x14ac:dyDescent="0.3">
      <c r="A1694" s="28">
        <v>41219</v>
      </c>
      <c r="B1694" s="36">
        <v>59459</v>
      </c>
      <c r="C1694">
        <f t="shared" si="90"/>
        <v>2.1456794365229293E-2</v>
      </c>
    </row>
    <row r="1695" spans="1:3" x14ac:dyDescent="0.3">
      <c r="A1695" s="28">
        <v>41220</v>
      </c>
      <c r="B1695" s="36">
        <v>58517</v>
      </c>
      <c r="C1695">
        <f t="shared" si="90"/>
        <v>-1.5842849694747696E-2</v>
      </c>
    </row>
    <row r="1696" spans="1:3" x14ac:dyDescent="0.3">
      <c r="A1696" s="28">
        <v>41221</v>
      </c>
      <c r="B1696" s="36">
        <v>57524</v>
      </c>
      <c r="C1696">
        <f t="shared" si="90"/>
        <v>-1.6969427687680505E-2</v>
      </c>
    </row>
    <row r="1697" spans="1:3" x14ac:dyDescent="0.3">
      <c r="A1697" s="28">
        <v>41222</v>
      </c>
      <c r="B1697" s="36">
        <v>57358</v>
      </c>
      <c r="C1697">
        <f t="shared" si="90"/>
        <v>-2.8857520339337084E-3</v>
      </c>
    </row>
    <row r="1698" spans="1:3" x14ac:dyDescent="0.3">
      <c r="A1698" s="28">
        <v>41225</v>
      </c>
      <c r="B1698" s="36">
        <v>57064</v>
      </c>
      <c r="C1698">
        <f t="shared" si="90"/>
        <v>-5.1257017329753296E-3</v>
      </c>
    </row>
    <row r="1699" spans="1:3" x14ac:dyDescent="0.3">
      <c r="A1699" s="28">
        <v>41226</v>
      </c>
      <c r="B1699" s="36">
        <v>57486</v>
      </c>
      <c r="C1699">
        <f t="shared" si="90"/>
        <v>7.3952053834291931E-3</v>
      </c>
    </row>
    <row r="1700" spans="1:3" x14ac:dyDescent="0.3">
      <c r="A1700" s="28">
        <v>41227</v>
      </c>
      <c r="B1700" s="36">
        <v>56279</v>
      </c>
      <c r="C1700">
        <f t="shared" si="90"/>
        <v>-2.0996416518804573E-2</v>
      </c>
    </row>
    <row r="1701" spans="1:3" x14ac:dyDescent="0.3">
      <c r="A1701" s="28">
        <v>41229</v>
      </c>
      <c r="B1701" s="36">
        <v>55402</v>
      </c>
      <c r="C1701">
        <f t="shared" si="90"/>
        <v>-1.5583077169103898E-2</v>
      </c>
    </row>
    <row r="1702" spans="1:3" x14ac:dyDescent="0.3">
      <c r="A1702" s="28">
        <v>41232</v>
      </c>
      <c r="B1702" s="36">
        <v>56451</v>
      </c>
      <c r="C1702">
        <f t="shared" si="90"/>
        <v>1.893433450055948E-2</v>
      </c>
    </row>
    <row r="1703" spans="1:3" x14ac:dyDescent="0.3">
      <c r="A1703" s="28">
        <v>41234</v>
      </c>
      <c r="B1703" s="36">
        <v>56242</v>
      </c>
      <c r="C1703">
        <f t="shared" si="90"/>
        <v>-3.7023259109670859E-3</v>
      </c>
    </row>
    <row r="1704" spans="1:3" x14ac:dyDescent="0.3">
      <c r="A1704" s="28">
        <v>41235</v>
      </c>
      <c r="B1704" s="36">
        <v>56437</v>
      </c>
      <c r="C1704">
        <f t="shared" si="90"/>
        <v>3.4671597738344939E-3</v>
      </c>
    </row>
    <row r="1705" spans="1:3" x14ac:dyDescent="0.3">
      <c r="A1705" s="28">
        <v>41236</v>
      </c>
      <c r="B1705" s="36">
        <v>57574</v>
      </c>
      <c r="C1705">
        <f t="shared" si="90"/>
        <v>2.0146357885784116E-2</v>
      </c>
    </row>
    <row r="1706" spans="1:3" x14ac:dyDescent="0.3">
      <c r="A1706" s="28">
        <v>41239</v>
      </c>
      <c r="B1706" s="36">
        <v>56737</v>
      </c>
      <c r="C1706">
        <f t="shared" si="90"/>
        <v>-1.4537812206898981E-2</v>
      </c>
    </row>
    <row r="1707" spans="1:3" x14ac:dyDescent="0.3">
      <c r="A1707" s="28">
        <v>41240</v>
      </c>
      <c r="B1707" s="36">
        <v>56248</v>
      </c>
      <c r="C1707">
        <f t="shared" si="90"/>
        <v>-8.6187144191620657E-3</v>
      </c>
    </row>
    <row r="1708" spans="1:3" x14ac:dyDescent="0.3">
      <c r="A1708" s="28">
        <v>41241</v>
      </c>
      <c r="B1708" s="36">
        <v>56539</v>
      </c>
      <c r="C1708">
        <f t="shared" si="90"/>
        <v>5.1735172806144369E-3</v>
      </c>
    </row>
    <row r="1709" spans="1:3" x14ac:dyDescent="0.3">
      <c r="A1709" s="28">
        <v>41242</v>
      </c>
      <c r="B1709" s="36">
        <v>57853</v>
      </c>
      <c r="C1709">
        <f t="shared" si="90"/>
        <v>2.3240594987530727E-2</v>
      </c>
    </row>
    <row r="1710" spans="1:3" x14ac:dyDescent="0.3">
      <c r="A1710" s="28">
        <v>41243</v>
      </c>
      <c r="B1710" s="36">
        <v>57475</v>
      </c>
      <c r="C1710">
        <f t="shared" si="90"/>
        <v>-6.5338011857639655E-3</v>
      </c>
    </row>
    <row r="1711" spans="1:3" x14ac:dyDescent="0.3">
      <c r="A1711" s="28">
        <v>41246</v>
      </c>
      <c r="B1711" s="36">
        <v>58202</v>
      </c>
      <c r="C1711">
        <f t="shared" si="90"/>
        <v>1.2648977816442031E-2</v>
      </c>
    </row>
    <row r="1712" spans="1:3" x14ac:dyDescent="0.3">
      <c r="A1712" s="28">
        <v>41247</v>
      </c>
      <c r="B1712" s="36">
        <v>57563</v>
      </c>
      <c r="C1712">
        <f t="shared" si="90"/>
        <v>-1.0979004157932737E-2</v>
      </c>
    </row>
    <row r="1713" spans="1:3" x14ac:dyDescent="0.3">
      <c r="A1713" s="28">
        <v>41248</v>
      </c>
      <c r="B1713" s="36">
        <v>57679</v>
      </c>
      <c r="C1713">
        <f t="shared" si="90"/>
        <v>2.0151833643138328E-3</v>
      </c>
    </row>
    <row r="1714" spans="1:3" x14ac:dyDescent="0.3">
      <c r="A1714" s="28">
        <v>41249</v>
      </c>
      <c r="B1714" s="36">
        <v>57656</v>
      </c>
      <c r="C1714">
        <f t="shared" si="90"/>
        <v>-3.9875864699456809E-4</v>
      </c>
    </row>
    <row r="1715" spans="1:3" x14ac:dyDescent="0.3">
      <c r="A1715" s="28">
        <v>41250</v>
      </c>
      <c r="B1715" s="36">
        <v>58487</v>
      </c>
      <c r="C1715">
        <f t="shared" si="90"/>
        <v>1.4413070625780566E-2</v>
      </c>
    </row>
    <row r="1716" spans="1:3" x14ac:dyDescent="0.3">
      <c r="A1716" s="28">
        <v>41253</v>
      </c>
      <c r="B1716" s="36">
        <v>59248</v>
      </c>
      <c r="C1716">
        <f t="shared" si="90"/>
        <v>1.3011438439311407E-2</v>
      </c>
    </row>
    <row r="1717" spans="1:3" x14ac:dyDescent="0.3">
      <c r="A1717" s="28">
        <v>41254</v>
      </c>
      <c r="B1717" s="36">
        <v>59623</v>
      </c>
      <c r="C1717">
        <f t="shared" si="90"/>
        <v>6.3293275722386966E-3</v>
      </c>
    </row>
    <row r="1718" spans="1:3" x14ac:dyDescent="0.3">
      <c r="A1718" s="28">
        <v>41255</v>
      </c>
      <c r="B1718" s="36">
        <v>59474</v>
      </c>
      <c r="C1718">
        <f t="shared" si="90"/>
        <v>-2.4990356070644371E-3</v>
      </c>
    </row>
    <row r="1719" spans="1:3" x14ac:dyDescent="0.3">
      <c r="A1719" s="28">
        <v>41256</v>
      </c>
      <c r="B1719" s="36">
        <v>59317</v>
      </c>
      <c r="C1719">
        <f t="shared" si="90"/>
        <v>-2.6398089921646495E-3</v>
      </c>
    </row>
    <row r="1720" spans="1:3" x14ac:dyDescent="0.3">
      <c r="A1720" s="28">
        <v>41257</v>
      </c>
      <c r="B1720" s="36">
        <v>59605</v>
      </c>
      <c r="C1720">
        <f t="shared" si="90"/>
        <v>4.8552691471248632E-3</v>
      </c>
    </row>
    <row r="1721" spans="1:3" x14ac:dyDescent="0.3">
      <c r="A1721" s="28">
        <v>41260</v>
      </c>
      <c r="B1721" s="36">
        <v>59567</v>
      </c>
      <c r="C1721">
        <f t="shared" si="90"/>
        <v>-6.3753040852276843E-4</v>
      </c>
    </row>
    <row r="1722" spans="1:3" x14ac:dyDescent="0.3">
      <c r="A1722" s="28">
        <v>41261</v>
      </c>
      <c r="B1722" s="36">
        <v>60461</v>
      </c>
      <c r="C1722">
        <f t="shared" si="90"/>
        <v>1.5008309970285572E-2</v>
      </c>
    </row>
    <row r="1723" spans="1:3" x14ac:dyDescent="0.3">
      <c r="A1723" s="28">
        <v>41262</v>
      </c>
      <c r="B1723" s="36">
        <v>60998</v>
      </c>
      <c r="C1723">
        <f t="shared" si="90"/>
        <v>8.8817584889433476E-3</v>
      </c>
    </row>
    <row r="1724" spans="1:3" x14ac:dyDescent="0.3">
      <c r="A1724" s="28">
        <v>41263</v>
      </c>
      <c r="B1724" s="36">
        <v>61276</v>
      </c>
      <c r="C1724">
        <f t="shared" si="90"/>
        <v>4.5575264762778289E-3</v>
      </c>
    </row>
    <row r="1725" spans="1:3" x14ac:dyDescent="0.3">
      <c r="A1725" s="28">
        <v>41264</v>
      </c>
      <c r="B1725" s="36">
        <v>61007</v>
      </c>
      <c r="C1725">
        <f t="shared" si="90"/>
        <v>-4.3899732358508858E-3</v>
      </c>
    </row>
    <row r="1726" spans="1:3" x14ac:dyDescent="0.3">
      <c r="A1726" s="28">
        <v>41269</v>
      </c>
      <c r="B1726" s="36">
        <v>60960</v>
      </c>
      <c r="C1726">
        <f t="shared" si="90"/>
        <v>-7.7040339633160926E-4</v>
      </c>
    </row>
    <row r="1727" spans="1:3" x14ac:dyDescent="0.3">
      <c r="A1727" s="28">
        <v>41270</v>
      </c>
      <c r="B1727" s="36">
        <v>60416</v>
      </c>
      <c r="C1727">
        <f t="shared" si="90"/>
        <v>-8.9238845144357093E-3</v>
      </c>
    </row>
    <row r="1728" spans="1:3" x14ac:dyDescent="0.3">
      <c r="A1728" s="28">
        <v>41271</v>
      </c>
      <c r="B1728" s="36">
        <v>60952</v>
      </c>
      <c r="C1728">
        <f t="shared" si="90"/>
        <v>8.8718220338983578E-3</v>
      </c>
    </row>
    <row r="1729" spans="1:3" x14ac:dyDescent="0.3">
      <c r="A1729" s="28">
        <v>41276</v>
      </c>
      <c r="B1729" s="36">
        <v>62550</v>
      </c>
      <c r="C1729">
        <f t="shared" si="90"/>
        <v>2.621735135844605E-2</v>
      </c>
    </row>
    <row r="1730" spans="1:3" x14ac:dyDescent="0.3">
      <c r="A1730" s="28">
        <v>41277</v>
      </c>
      <c r="B1730" s="36">
        <v>63312</v>
      </c>
      <c r="C1730">
        <f t="shared" si="90"/>
        <v>1.2182254196642761E-2</v>
      </c>
    </row>
    <row r="1731" spans="1:3" x14ac:dyDescent="0.3">
      <c r="A1731" s="28">
        <v>41278</v>
      </c>
      <c r="B1731" s="36">
        <v>62523</v>
      </c>
      <c r="C1731">
        <f t="shared" si="90"/>
        <v>-1.2462092494313848E-2</v>
      </c>
    </row>
    <row r="1732" spans="1:3" x14ac:dyDescent="0.3">
      <c r="A1732" s="28">
        <v>41281</v>
      </c>
      <c r="B1732" s="36">
        <v>61933</v>
      </c>
      <c r="C1732">
        <f t="shared" ref="C1732:C1795" si="91">B1732/B1731-1</f>
        <v>-9.4365273579323228E-3</v>
      </c>
    </row>
    <row r="1733" spans="1:3" x14ac:dyDescent="0.3">
      <c r="A1733" s="28">
        <v>41282</v>
      </c>
      <c r="B1733" s="36">
        <v>61128</v>
      </c>
      <c r="C1733">
        <f t="shared" si="91"/>
        <v>-1.2997917103967138E-2</v>
      </c>
    </row>
    <row r="1734" spans="1:3" x14ac:dyDescent="0.3">
      <c r="A1734" s="28">
        <v>41283</v>
      </c>
      <c r="B1734" s="36">
        <v>61579</v>
      </c>
      <c r="C1734">
        <f t="shared" si="91"/>
        <v>7.3779609998692042E-3</v>
      </c>
    </row>
    <row r="1735" spans="1:3" x14ac:dyDescent="0.3">
      <c r="A1735" s="28">
        <v>41284</v>
      </c>
      <c r="B1735" s="36">
        <v>61678</v>
      </c>
      <c r="C1735">
        <f t="shared" si="91"/>
        <v>1.6076909335975831E-3</v>
      </c>
    </row>
    <row r="1736" spans="1:3" x14ac:dyDescent="0.3">
      <c r="A1736" s="28">
        <v>41285</v>
      </c>
      <c r="B1736" s="36">
        <v>61497</v>
      </c>
      <c r="C1736">
        <f t="shared" si="91"/>
        <v>-2.9345958040144504E-3</v>
      </c>
    </row>
    <row r="1737" spans="1:3" x14ac:dyDescent="0.3">
      <c r="A1737" s="28">
        <v>41288</v>
      </c>
      <c r="B1737" s="36">
        <v>62081</v>
      </c>
      <c r="C1737">
        <f t="shared" si="91"/>
        <v>9.4963981982860712E-3</v>
      </c>
    </row>
    <row r="1738" spans="1:3" x14ac:dyDescent="0.3">
      <c r="A1738" s="28">
        <v>41289</v>
      </c>
      <c r="B1738" s="36">
        <v>61728</v>
      </c>
      <c r="C1738">
        <f t="shared" si="91"/>
        <v>-5.6861197467824587E-3</v>
      </c>
    </row>
    <row r="1739" spans="1:3" x14ac:dyDescent="0.3">
      <c r="A1739" s="28">
        <v>41290</v>
      </c>
      <c r="B1739" s="36">
        <v>61787</v>
      </c>
      <c r="C1739">
        <f t="shared" si="91"/>
        <v>9.5580611715906372E-4</v>
      </c>
    </row>
    <row r="1740" spans="1:3" x14ac:dyDescent="0.3">
      <c r="A1740" s="28">
        <v>41291</v>
      </c>
      <c r="B1740" s="36">
        <v>62194</v>
      </c>
      <c r="C1740">
        <f t="shared" si="91"/>
        <v>6.5871461634323669E-3</v>
      </c>
    </row>
    <row r="1741" spans="1:3" x14ac:dyDescent="0.3">
      <c r="A1741" s="28">
        <v>41292</v>
      </c>
      <c r="B1741" s="36">
        <v>61956</v>
      </c>
      <c r="C1741">
        <f t="shared" si="91"/>
        <v>-3.8267356979773126E-3</v>
      </c>
    </row>
    <row r="1742" spans="1:3" x14ac:dyDescent="0.3">
      <c r="A1742" s="28">
        <v>41295</v>
      </c>
      <c r="B1742" s="36">
        <v>61900</v>
      </c>
      <c r="C1742">
        <f t="shared" si="91"/>
        <v>-9.0386726063662604E-4</v>
      </c>
    </row>
    <row r="1743" spans="1:3" x14ac:dyDescent="0.3">
      <c r="A1743" s="28">
        <v>41296</v>
      </c>
      <c r="B1743" s="36">
        <v>61692</v>
      </c>
      <c r="C1743">
        <f t="shared" si="91"/>
        <v>-3.3602584814216296E-3</v>
      </c>
    </row>
    <row r="1744" spans="1:3" x14ac:dyDescent="0.3">
      <c r="A1744" s="28">
        <v>41297</v>
      </c>
      <c r="B1744" s="36">
        <v>61966</v>
      </c>
      <c r="C1744">
        <f t="shared" si="91"/>
        <v>4.4414186604422312E-3</v>
      </c>
    </row>
    <row r="1745" spans="1:3" x14ac:dyDescent="0.3">
      <c r="A1745" s="28">
        <v>41298</v>
      </c>
      <c r="B1745" s="36">
        <v>61170</v>
      </c>
      <c r="C1745">
        <f t="shared" si="91"/>
        <v>-1.2845754123228859E-2</v>
      </c>
    </row>
    <row r="1746" spans="1:3" x14ac:dyDescent="0.3">
      <c r="A1746" s="28">
        <v>41302</v>
      </c>
      <c r="B1746" s="36">
        <v>60027</v>
      </c>
      <c r="C1746">
        <f t="shared" si="91"/>
        <v>-1.8685630210887649E-2</v>
      </c>
    </row>
    <row r="1747" spans="1:3" x14ac:dyDescent="0.3">
      <c r="A1747" s="28">
        <v>41303</v>
      </c>
      <c r="B1747" s="36">
        <v>60406</v>
      </c>
      <c r="C1747">
        <f t="shared" si="91"/>
        <v>6.3138254452164144E-3</v>
      </c>
    </row>
    <row r="1748" spans="1:3" x14ac:dyDescent="0.3">
      <c r="A1748" s="28">
        <v>41304</v>
      </c>
      <c r="B1748" s="36">
        <v>59337</v>
      </c>
      <c r="C1748">
        <f t="shared" si="91"/>
        <v>-1.7696917524749223E-2</v>
      </c>
    </row>
    <row r="1749" spans="1:3" x14ac:dyDescent="0.3">
      <c r="A1749" s="28">
        <v>41305</v>
      </c>
      <c r="B1749" s="36">
        <v>59761</v>
      </c>
      <c r="C1749">
        <f t="shared" si="91"/>
        <v>7.1456258321114241E-3</v>
      </c>
    </row>
    <row r="1750" spans="1:3" x14ac:dyDescent="0.3">
      <c r="A1750" s="28">
        <v>41306</v>
      </c>
      <c r="B1750" s="36">
        <v>60351</v>
      </c>
      <c r="C1750">
        <f t="shared" si="91"/>
        <v>9.8726594267164458E-3</v>
      </c>
    </row>
    <row r="1751" spans="1:3" x14ac:dyDescent="0.3">
      <c r="A1751" s="28">
        <v>41309</v>
      </c>
      <c r="B1751" s="36">
        <v>59576</v>
      </c>
      <c r="C1751">
        <f t="shared" si="91"/>
        <v>-1.2841543636393782E-2</v>
      </c>
    </row>
    <row r="1752" spans="1:3" x14ac:dyDescent="0.3">
      <c r="A1752" s="28">
        <v>41310</v>
      </c>
      <c r="B1752" s="36">
        <v>59445</v>
      </c>
      <c r="C1752">
        <f t="shared" si="91"/>
        <v>-2.198872029004928E-3</v>
      </c>
    </row>
    <row r="1753" spans="1:3" x14ac:dyDescent="0.3">
      <c r="A1753" s="28">
        <v>41311</v>
      </c>
      <c r="B1753" s="36">
        <v>58951</v>
      </c>
      <c r="C1753">
        <f t="shared" si="91"/>
        <v>-8.3102027083858943E-3</v>
      </c>
    </row>
    <row r="1754" spans="1:3" x14ac:dyDescent="0.3">
      <c r="A1754" s="28">
        <v>41312</v>
      </c>
      <c r="B1754" s="36">
        <v>58372</v>
      </c>
      <c r="C1754">
        <f t="shared" si="91"/>
        <v>-9.8217163406897345E-3</v>
      </c>
    </row>
    <row r="1755" spans="1:3" x14ac:dyDescent="0.3">
      <c r="A1755" s="28">
        <v>41313</v>
      </c>
      <c r="B1755" s="36">
        <v>58498</v>
      </c>
      <c r="C1755">
        <f t="shared" si="91"/>
        <v>2.1585691770027449E-3</v>
      </c>
    </row>
    <row r="1756" spans="1:3" x14ac:dyDescent="0.3">
      <c r="A1756" s="28">
        <v>41318</v>
      </c>
      <c r="B1756" s="36">
        <v>58406</v>
      </c>
      <c r="C1756">
        <f t="shared" si="91"/>
        <v>-1.572703340285142E-3</v>
      </c>
    </row>
    <row r="1757" spans="1:3" x14ac:dyDescent="0.3">
      <c r="A1757" s="28">
        <v>41319</v>
      </c>
      <c r="B1757" s="36">
        <v>58077</v>
      </c>
      <c r="C1757">
        <f t="shared" si="91"/>
        <v>-5.6329829127144126E-3</v>
      </c>
    </row>
    <row r="1758" spans="1:3" x14ac:dyDescent="0.3">
      <c r="A1758" s="28">
        <v>41320</v>
      </c>
      <c r="B1758" s="36">
        <v>57903</v>
      </c>
      <c r="C1758">
        <f t="shared" si="91"/>
        <v>-2.9960225218245151E-3</v>
      </c>
    </row>
    <row r="1759" spans="1:3" x14ac:dyDescent="0.3">
      <c r="A1759" s="28">
        <v>41323</v>
      </c>
      <c r="B1759" s="36">
        <v>57614</v>
      </c>
      <c r="C1759">
        <f t="shared" si="91"/>
        <v>-4.9911058148973675E-3</v>
      </c>
    </row>
    <row r="1760" spans="1:3" x14ac:dyDescent="0.3">
      <c r="A1760" s="28">
        <v>41324</v>
      </c>
      <c r="B1760" s="36">
        <v>57314</v>
      </c>
      <c r="C1760">
        <f t="shared" si="91"/>
        <v>-5.2070677265941834E-3</v>
      </c>
    </row>
    <row r="1761" spans="1:3" x14ac:dyDescent="0.3">
      <c r="A1761" s="28">
        <v>41325</v>
      </c>
      <c r="B1761" s="36">
        <v>56178</v>
      </c>
      <c r="C1761">
        <f t="shared" si="91"/>
        <v>-1.982063719161109E-2</v>
      </c>
    </row>
    <row r="1762" spans="1:3" x14ac:dyDescent="0.3">
      <c r="A1762" s="28">
        <v>41326</v>
      </c>
      <c r="B1762" s="36">
        <v>56155</v>
      </c>
      <c r="C1762">
        <f t="shared" si="91"/>
        <v>-4.0941293744878315E-4</v>
      </c>
    </row>
    <row r="1763" spans="1:3" x14ac:dyDescent="0.3">
      <c r="A1763" s="28">
        <v>41327</v>
      </c>
      <c r="B1763" s="36">
        <v>56697</v>
      </c>
      <c r="C1763">
        <f t="shared" si="91"/>
        <v>9.651856468702702E-3</v>
      </c>
    </row>
    <row r="1764" spans="1:3" x14ac:dyDescent="0.3">
      <c r="A1764" s="28">
        <v>41330</v>
      </c>
      <c r="B1764" s="36">
        <v>56618</v>
      </c>
      <c r="C1764">
        <f t="shared" si="91"/>
        <v>-1.3933717833395365E-3</v>
      </c>
    </row>
    <row r="1765" spans="1:3" x14ac:dyDescent="0.3">
      <c r="A1765" s="28">
        <v>41331</v>
      </c>
      <c r="B1765" s="36">
        <v>56949</v>
      </c>
      <c r="C1765">
        <f t="shared" si="91"/>
        <v>5.8461973224062103E-3</v>
      </c>
    </row>
    <row r="1766" spans="1:3" x14ac:dyDescent="0.3">
      <c r="A1766" s="28">
        <v>41332</v>
      </c>
      <c r="B1766" s="36">
        <v>57274</v>
      </c>
      <c r="C1766">
        <f t="shared" si="91"/>
        <v>5.7068605243288939E-3</v>
      </c>
    </row>
    <row r="1767" spans="1:3" x14ac:dyDescent="0.3">
      <c r="A1767" s="28">
        <v>41333</v>
      </c>
      <c r="B1767" s="36">
        <v>57424</v>
      </c>
      <c r="C1767">
        <f t="shared" si="91"/>
        <v>2.6189894192827357E-3</v>
      </c>
    </row>
    <row r="1768" spans="1:3" x14ac:dyDescent="0.3">
      <c r="A1768" s="28">
        <v>41334</v>
      </c>
      <c r="B1768" s="36">
        <v>56884</v>
      </c>
      <c r="C1768">
        <f t="shared" si="91"/>
        <v>-9.4037336305377028E-3</v>
      </c>
    </row>
    <row r="1769" spans="1:3" x14ac:dyDescent="0.3">
      <c r="A1769" s="28">
        <v>41337</v>
      </c>
      <c r="B1769" s="36">
        <v>56499</v>
      </c>
      <c r="C1769">
        <f t="shared" si="91"/>
        <v>-6.7681597637296864E-3</v>
      </c>
    </row>
    <row r="1770" spans="1:3" x14ac:dyDescent="0.3">
      <c r="A1770" s="28">
        <v>41338</v>
      </c>
      <c r="B1770" s="36">
        <v>55951</v>
      </c>
      <c r="C1770">
        <f t="shared" si="91"/>
        <v>-9.6992867130392124E-3</v>
      </c>
    </row>
    <row r="1771" spans="1:3" x14ac:dyDescent="0.3">
      <c r="A1771" s="28">
        <v>41339</v>
      </c>
      <c r="B1771" s="36">
        <v>57940</v>
      </c>
      <c r="C1771">
        <f t="shared" si="91"/>
        <v>3.5548962485031588E-2</v>
      </c>
    </row>
    <row r="1772" spans="1:3" x14ac:dyDescent="0.3">
      <c r="A1772" s="28">
        <v>41340</v>
      </c>
      <c r="B1772" s="36">
        <v>58847</v>
      </c>
      <c r="C1772">
        <f t="shared" si="91"/>
        <v>1.5654124956851811E-2</v>
      </c>
    </row>
    <row r="1773" spans="1:3" x14ac:dyDescent="0.3">
      <c r="A1773" s="28">
        <v>41341</v>
      </c>
      <c r="B1773" s="36">
        <v>58433</v>
      </c>
      <c r="C1773">
        <f t="shared" si="91"/>
        <v>-7.035192958009806E-3</v>
      </c>
    </row>
    <row r="1774" spans="1:3" x14ac:dyDescent="0.3">
      <c r="A1774" s="28">
        <v>41344</v>
      </c>
      <c r="B1774" s="36">
        <v>58545</v>
      </c>
      <c r="C1774">
        <f t="shared" si="91"/>
        <v>1.91672513819241E-3</v>
      </c>
    </row>
    <row r="1775" spans="1:3" x14ac:dyDescent="0.3">
      <c r="A1775" s="28">
        <v>41345</v>
      </c>
      <c r="B1775" s="36">
        <v>58209</v>
      </c>
      <c r="C1775">
        <f t="shared" si="91"/>
        <v>-5.7391749935946645E-3</v>
      </c>
    </row>
    <row r="1776" spans="1:3" x14ac:dyDescent="0.3">
      <c r="A1776" s="28">
        <v>41346</v>
      </c>
      <c r="B1776" s="36">
        <v>57386</v>
      </c>
      <c r="C1776">
        <f t="shared" si="91"/>
        <v>-1.4138707072789414E-2</v>
      </c>
    </row>
    <row r="1777" spans="1:3" x14ac:dyDescent="0.3">
      <c r="A1777" s="28">
        <v>41347</v>
      </c>
      <c r="B1777" s="36">
        <v>57281</v>
      </c>
      <c r="C1777">
        <f t="shared" si="91"/>
        <v>-1.8297145645279622E-3</v>
      </c>
    </row>
    <row r="1778" spans="1:3" x14ac:dyDescent="0.3">
      <c r="A1778" s="28">
        <v>41348</v>
      </c>
      <c r="B1778" s="36">
        <v>56869</v>
      </c>
      <c r="C1778">
        <f t="shared" si="91"/>
        <v>-7.1926118608264256E-3</v>
      </c>
    </row>
    <row r="1779" spans="1:3" x14ac:dyDescent="0.3">
      <c r="A1779" s="28">
        <v>41351</v>
      </c>
      <c r="B1779" s="36">
        <v>56973</v>
      </c>
      <c r="C1779">
        <f t="shared" si="91"/>
        <v>1.828764353162482E-3</v>
      </c>
    </row>
    <row r="1780" spans="1:3" x14ac:dyDescent="0.3">
      <c r="A1780" s="28">
        <v>41352</v>
      </c>
      <c r="B1780" s="36">
        <v>56361</v>
      </c>
      <c r="C1780">
        <f t="shared" si="91"/>
        <v>-1.074193038807858E-2</v>
      </c>
    </row>
    <row r="1781" spans="1:3" x14ac:dyDescent="0.3">
      <c r="A1781" s="28">
        <v>41353</v>
      </c>
      <c r="B1781" s="36">
        <v>56030</v>
      </c>
      <c r="C1781">
        <f t="shared" si="91"/>
        <v>-5.8728553432337849E-3</v>
      </c>
    </row>
    <row r="1782" spans="1:3" x14ac:dyDescent="0.3">
      <c r="A1782" s="28">
        <v>41354</v>
      </c>
      <c r="B1782" s="36">
        <v>55577</v>
      </c>
      <c r="C1782">
        <f t="shared" si="91"/>
        <v>-8.0849544886667513E-3</v>
      </c>
    </row>
    <row r="1783" spans="1:3" x14ac:dyDescent="0.3">
      <c r="A1783" s="28">
        <v>41355</v>
      </c>
      <c r="B1783" s="36">
        <v>55243</v>
      </c>
      <c r="C1783">
        <f t="shared" si="91"/>
        <v>-6.0096802634183044E-3</v>
      </c>
    </row>
    <row r="1784" spans="1:3" x14ac:dyDescent="0.3">
      <c r="A1784" s="28">
        <v>41358</v>
      </c>
      <c r="B1784" s="36">
        <v>54873</v>
      </c>
      <c r="C1784">
        <f t="shared" si="91"/>
        <v>-6.6976811541733516E-3</v>
      </c>
    </row>
    <row r="1785" spans="1:3" x14ac:dyDescent="0.3">
      <c r="A1785" s="28">
        <v>41359</v>
      </c>
      <c r="B1785" s="36">
        <v>55671</v>
      </c>
      <c r="C1785">
        <f t="shared" si="91"/>
        <v>1.4542671259089257E-2</v>
      </c>
    </row>
    <row r="1786" spans="1:3" x14ac:dyDescent="0.3">
      <c r="A1786" s="28">
        <v>41360</v>
      </c>
      <c r="B1786" s="36">
        <v>56034</v>
      </c>
      <c r="C1786">
        <f t="shared" si="91"/>
        <v>6.5204505038529703E-3</v>
      </c>
    </row>
    <row r="1787" spans="1:3" x14ac:dyDescent="0.3">
      <c r="A1787" s="28">
        <v>41361</v>
      </c>
      <c r="B1787" s="36">
        <v>56352</v>
      </c>
      <c r="C1787">
        <f t="shared" si="91"/>
        <v>5.6751258164686735E-3</v>
      </c>
    </row>
    <row r="1788" spans="1:3" x14ac:dyDescent="0.3">
      <c r="A1788" s="28">
        <v>41365</v>
      </c>
      <c r="B1788" s="36">
        <v>55902</v>
      </c>
      <c r="C1788">
        <f t="shared" si="91"/>
        <v>-7.9855195911413546E-3</v>
      </c>
    </row>
    <row r="1789" spans="1:3" x14ac:dyDescent="0.3">
      <c r="A1789" s="28">
        <v>41366</v>
      </c>
      <c r="B1789" s="36">
        <v>54889</v>
      </c>
      <c r="C1789">
        <f t="shared" si="91"/>
        <v>-1.8120997459840416E-2</v>
      </c>
    </row>
    <row r="1790" spans="1:3" x14ac:dyDescent="0.3">
      <c r="A1790" s="28">
        <v>41367</v>
      </c>
      <c r="B1790" s="36">
        <v>55563</v>
      </c>
      <c r="C1790">
        <f t="shared" si="91"/>
        <v>1.2279327369782544E-2</v>
      </c>
    </row>
    <row r="1791" spans="1:3" x14ac:dyDescent="0.3">
      <c r="A1791" s="28">
        <v>41368</v>
      </c>
      <c r="B1791" s="36">
        <v>54648</v>
      </c>
      <c r="C1791">
        <f t="shared" si="91"/>
        <v>-1.64677933156957E-2</v>
      </c>
    </row>
    <row r="1792" spans="1:3" x14ac:dyDescent="0.3">
      <c r="A1792" s="28">
        <v>41369</v>
      </c>
      <c r="B1792" s="36">
        <v>55051</v>
      </c>
      <c r="C1792">
        <f t="shared" si="91"/>
        <v>7.3744693309911735E-3</v>
      </c>
    </row>
    <row r="1793" spans="1:3" x14ac:dyDescent="0.3">
      <c r="A1793" s="28">
        <v>41372</v>
      </c>
      <c r="B1793" s="36">
        <v>55092</v>
      </c>
      <c r="C1793">
        <f t="shared" si="91"/>
        <v>7.4476394615907715E-4</v>
      </c>
    </row>
    <row r="1794" spans="1:3" x14ac:dyDescent="0.3">
      <c r="A1794" s="28">
        <v>41373</v>
      </c>
      <c r="B1794" s="36">
        <v>55912</v>
      </c>
      <c r="C1794">
        <f t="shared" si="91"/>
        <v>1.4884193712335625E-2</v>
      </c>
    </row>
    <row r="1795" spans="1:3" x14ac:dyDescent="0.3">
      <c r="A1795" s="28">
        <v>41374</v>
      </c>
      <c r="B1795" s="36">
        <v>56187</v>
      </c>
      <c r="C1795">
        <f t="shared" si="91"/>
        <v>4.9184432679925116E-3</v>
      </c>
    </row>
    <row r="1796" spans="1:3" x14ac:dyDescent="0.3">
      <c r="A1796" s="28">
        <v>41375</v>
      </c>
      <c r="B1796" s="36">
        <v>55401</v>
      </c>
      <c r="C1796">
        <f t="shared" ref="C1796:C1859" si="92">B1796/B1795-1</f>
        <v>-1.3989001014469538E-2</v>
      </c>
    </row>
    <row r="1797" spans="1:3" x14ac:dyDescent="0.3">
      <c r="A1797" s="28">
        <v>41376</v>
      </c>
      <c r="B1797" s="36">
        <v>54963</v>
      </c>
      <c r="C1797">
        <f t="shared" si="92"/>
        <v>-7.9059944766339818E-3</v>
      </c>
    </row>
    <row r="1798" spans="1:3" x14ac:dyDescent="0.3">
      <c r="A1798" s="28">
        <v>41379</v>
      </c>
      <c r="B1798" s="36">
        <v>52950</v>
      </c>
      <c r="C1798">
        <f t="shared" si="92"/>
        <v>-3.6624638393100817E-2</v>
      </c>
    </row>
    <row r="1799" spans="1:3" x14ac:dyDescent="0.3">
      <c r="A1799" s="28">
        <v>41380</v>
      </c>
      <c r="B1799" s="36">
        <v>53991</v>
      </c>
      <c r="C1799">
        <f t="shared" si="92"/>
        <v>1.9660056657223812E-2</v>
      </c>
    </row>
    <row r="1800" spans="1:3" x14ac:dyDescent="0.3">
      <c r="A1800" s="28">
        <v>41381</v>
      </c>
      <c r="B1800" s="36">
        <v>52882</v>
      </c>
      <c r="C1800">
        <f t="shared" si="92"/>
        <v>-2.0540460447111553E-2</v>
      </c>
    </row>
    <row r="1801" spans="1:3" x14ac:dyDescent="0.3">
      <c r="A1801" s="28">
        <v>41382</v>
      </c>
      <c r="B1801" s="36">
        <v>53166</v>
      </c>
      <c r="C1801">
        <f t="shared" si="92"/>
        <v>5.3704474112175049E-3</v>
      </c>
    </row>
    <row r="1802" spans="1:3" x14ac:dyDescent="0.3">
      <c r="A1802" s="28">
        <v>41383</v>
      </c>
      <c r="B1802" s="36">
        <v>53929</v>
      </c>
      <c r="C1802">
        <f t="shared" si="92"/>
        <v>1.4351277132001572E-2</v>
      </c>
    </row>
    <row r="1803" spans="1:3" x14ac:dyDescent="0.3">
      <c r="A1803" s="28">
        <v>41386</v>
      </c>
      <c r="B1803" s="36">
        <v>54298</v>
      </c>
      <c r="C1803">
        <f t="shared" si="92"/>
        <v>6.8423297298298991E-3</v>
      </c>
    </row>
    <row r="1804" spans="1:3" x14ac:dyDescent="0.3">
      <c r="A1804" s="28">
        <v>41387</v>
      </c>
      <c r="B1804" s="36">
        <v>54885</v>
      </c>
      <c r="C1804">
        <f t="shared" si="92"/>
        <v>1.0810711260083261E-2</v>
      </c>
    </row>
    <row r="1805" spans="1:3" x14ac:dyDescent="0.3">
      <c r="A1805" s="28">
        <v>41388</v>
      </c>
      <c r="B1805" s="36">
        <v>54984</v>
      </c>
      <c r="C1805">
        <f t="shared" si="92"/>
        <v>1.8037715222738449E-3</v>
      </c>
    </row>
    <row r="1806" spans="1:3" x14ac:dyDescent="0.3">
      <c r="A1806" s="28">
        <v>41389</v>
      </c>
      <c r="B1806" s="36">
        <v>54963</v>
      </c>
      <c r="C1806">
        <f t="shared" si="92"/>
        <v>-3.8192928852032182E-4</v>
      </c>
    </row>
    <row r="1807" spans="1:3" x14ac:dyDescent="0.3">
      <c r="A1807" s="28">
        <v>41390</v>
      </c>
      <c r="B1807" s="36">
        <v>54252</v>
      </c>
      <c r="C1807">
        <f t="shared" si="92"/>
        <v>-1.2935975110528908E-2</v>
      </c>
    </row>
    <row r="1808" spans="1:3" x14ac:dyDescent="0.3">
      <c r="A1808" s="28">
        <v>41393</v>
      </c>
      <c r="B1808" s="36">
        <v>54887</v>
      </c>
      <c r="C1808">
        <f t="shared" si="92"/>
        <v>1.1704637617046432E-2</v>
      </c>
    </row>
    <row r="1809" spans="1:3" x14ac:dyDescent="0.3">
      <c r="A1809" s="28">
        <v>41394</v>
      </c>
      <c r="B1809" s="36">
        <v>55910</v>
      </c>
      <c r="C1809">
        <f t="shared" si="92"/>
        <v>1.8638293220616831E-2</v>
      </c>
    </row>
    <row r="1810" spans="1:3" x14ac:dyDescent="0.3">
      <c r="A1810" s="28">
        <v>41396</v>
      </c>
      <c r="B1810" s="36">
        <v>55322</v>
      </c>
      <c r="C1810">
        <f t="shared" si="92"/>
        <v>-1.0516902164192432E-2</v>
      </c>
    </row>
    <row r="1811" spans="1:3" x14ac:dyDescent="0.3">
      <c r="A1811" s="28">
        <v>41397</v>
      </c>
      <c r="B1811" s="36">
        <v>55488</v>
      </c>
      <c r="C1811">
        <f t="shared" si="92"/>
        <v>3.0006145837098153E-3</v>
      </c>
    </row>
    <row r="1812" spans="1:3" x14ac:dyDescent="0.3">
      <c r="A1812" s="28">
        <v>41400</v>
      </c>
      <c r="B1812" s="36">
        <v>55430</v>
      </c>
      <c r="C1812">
        <f t="shared" si="92"/>
        <v>-1.0452710495962858E-3</v>
      </c>
    </row>
    <row r="1813" spans="1:3" x14ac:dyDescent="0.3">
      <c r="A1813" s="28">
        <v>41401</v>
      </c>
      <c r="B1813" s="36">
        <v>56275</v>
      </c>
      <c r="C1813">
        <f t="shared" si="92"/>
        <v>1.524445246256545E-2</v>
      </c>
    </row>
    <row r="1814" spans="1:3" x14ac:dyDescent="0.3">
      <c r="A1814" s="28">
        <v>41402</v>
      </c>
      <c r="B1814" s="36">
        <v>55805</v>
      </c>
      <c r="C1814">
        <f t="shared" si="92"/>
        <v>-8.3518436250554773E-3</v>
      </c>
    </row>
    <row r="1815" spans="1:3" x14ac:dyDescent="0.3">
      <c r="A1815" s="28">
        <v>41403</v>
      </c>
      <c r="B1815" s="36">
        <v>55448</v>
      </c>
      <c r="C1815">
        <f t="shared" si="92"/>
        <v>-6.3972762297285213E-3</v>
      </c>
    </row>
    <row r="1816" spans="1:3" x14ac:dyDescent="0.3">
      <c r="A1816" s="28">
        <v>41404</v>
      </c>
      <c r="B1816" s="36">
        <v>55108</v>
      </c>
      <c r="C1816">
        <f t="shared" si="92"/>
        <v>-6.1318713028423177E-3</v>
      </c>
    </row>
    <row r="1817" spans="1:3" x14ac:dyDescent="0.3">
      <c r="A1817" s="28">
        <v>41407</v>
      </c>
      <c r="B1817" s="36">
        <v>54448</v>
      </c>
      <c r="C1817">
        <f t="shared" si="92"/>
        <v>-1.197648254336936E-2</v>
      </c>
    </row>
    <row r="1818" spans="1:3" x14ac:dyDescent="0.3">
      <c r="A1818" s="28">
        <v>41408</v>
      </c>
      <c r="B1818" s="36">
        <v>54667</v>
      </c>
      <c r="C1818">
        <f t="shared" si="92"/>
        <v>4.022186306200437E-3</v>
      </c>
    </row>
    <row r="1819" spans="1:3" x14ac:dyDescent="0.3">
      <c r="A1819" s="28">
        <v>41409</v>
      </c>
      <c r="B1819" s="36">
        <v>54936</v>
      </c>
      <c r="C1819">
        <f t="shared" si="92"/>
        <v>4.9207017030383771E-3</v>
      </c>
    </row>
    <row r="1820" spans="1:3" x14ac:dyDescent="0.3">
      <c r="A1820" s="28">
        <v>41410</v>
      </c>
      <c r="B1820" s="36">
        <v>54773</v>
      </c>
      <c r="C1820">
        <f t="shared" si="92"/>
        <v>-2.967088976263299E-3</v>
      </c>
    </row>
    <row r="1821" spans="1:3" x14ac:dyDescent="0.3">
      <c r="A1821" s="28">
        <v>41411</v>
      </c>
      <c r="B1821" s="36">
        <v>55164</v>
      </c>
      <c r="C1821">
        <f t="shared" si="92"/>
        <v>7.1385536669525962E-3</v>
      </c>
    </row>
    <row r="1822" spans="1:3" x14ac:dyDescent="0.3">
      <c r="A1822" s="28">
        <v>41414</v>
      </c>
      <c r="B1822" s="36">
        <v>55701</v>
      </c>
      <c r="C1822">
        <f t="shared" si="92"/>
        <v>9.7346095279529088E-3</v>
      </c>
    </row>
    <row r="1823" spans="1:3" x14ac:dyDescent="0.3">
      <c r="A1823" s="28">
        <v>41415</v>
      </c>
      <c r="B1823" s="36">
        <v>56265</v>
      </c>
      <c r="C1823">
        <f t="shared" si="92"/>
        <v>1.0125491463348846E-2</v>
      </c>
    </row>
    <row r="1824" spans="1:3" x14ac:dyDescent="0.3">
      <c r="A1824" s="28">
        <v>41416</v>
      </c>
      <c r="B1824" s="36">
        <v>56429</v>
      </c>
      <c r="C1824">
        <f t="shared" si="92"/>
        <v>2.91477828134723E-3</v>
      </c>
    </row>
    <row r="1825" spans="1:3" x14ac:dyDescent="0.3">
      <c r="A1825" s="28">
        <v>41417</v>
      </c>
      <c r="B1825" s="36">
        <v>56350</v>
      </c>
      <c r="C1825">
        <f t="shared" si="92"/>
        <v>-1.3999893671693409E-3</v>
      </c>
    </row>
    <row r="1826" spans="1:3" x14ac:dyDescent="0.3">
      <c r="A1826" s="28">
        <v>41418</v>
      </c>
      <c r="B1826" s="36">
        <v>56406</v>
      </c>
      <c r="C1826">
        <f t="shared" si="92"/>
        <v>9.9378881987588485E-4</v>
      </c>
    </row>
    <row r="1827" spans="1:3" x14ac:dyDescent="0.3">
      <c r="A1827" s="28">
        <v>41421</v>
      </c>
      <c r="B1827" s="36">
        <v>56396</v>
      </c>
      <c r="C1827">
        <f t="shared" si="92"/>
        <v>-1.7728610431511083E-4</v>
      </c>
    </row>
    <row r="1828" spans="1:3" x14ac:dyDescent="0.3">
      <c r="A1828" s="28">
        <v>41422</v>
      </c>
      <c r="B1828" s="36">
        <v>56036</v>
      </c>
      <c r="C1828">
        <f t="shared" si="92"/>
        <v>-6.3834314490389676E-3</v>
      </c>
    </row>
    <row r="1829" spans="1:3" x14ac:dyDescent="0.3">
      <c r="A1829" s="28">
        <v>41423</v>
      </c>
      <c r="B1829" s="36">
        <v>54635</v>
      </c>
      <c r="C1829">
        <f t="shared" si="92"/>
        <v>-2.5001784567064034E-2</v>
      </c>
    </row>
    <row r="1830" spans="1:3" x14ac:dyDescent="0.3">
      <c r="A1830" s="28">
        <v>41425</v>
      </c>
      <c r="B1830" s="36">
        <v>53506</v>
      </c>
      <c r="C1830">
        <f t="shared" si="92"/>
        <v>-2.0664409261462402E-2</v>
      </c>
    </row>
    <row r="1831" spans="1:3" x14ac:dyDescent="0.3">
      <c r="A1831" s="28">
        <v>41428</v>
      </c>
      <c r="B1831" s="36">
        <v>53944</v>
      </c>
      <c r="C1831">
        <f t="shared" si="92"/>
        <v>8.1859978320188986E-3</v>
      </c>
    </row>
    <row r="1832" spans="1:3" x14ac:dyDescent="0.3">
      <c r="A1832" s="28">
        <v>41429</v>
      </c>
      <c r="B1832" s="36">
        <v>54018</v>
      </c>
      <c r="C1832">
        <f t="shared" si="92"/>
        <v>1.3717929704879506E-3</v>
      </c>
    </row>
    <row r="1833" spans="1:3" x14ac:dyDescent="0.3">
      <c r="A1833" s="28">
        <v>41430</v>
      </c>
      <c r="B1833" s="36">
        <v>52799</v>
      </c>
      <c r="C1833">
        <f t="shared" si="92"/>
        <v>-2.2566551890110698E-2</v>
      </c>
    </row>
    <row r="1834" spans="1:3" x14ac:dyDescent="0.3">
      <c r="A1834" s="28">
        <v>41431</v>
      </c>
      <c r="B1834" s="36">
        <v>52885</v>
      </c>
      <c r="C1834">
        <f t="shared" si="92"/>
        <v>1.6288187276274346E-3</v>
      </c>
    </row>
    <row r="1835" spans="1:3" x14ac:dyDescent="0.3">
      <c r="A1835" s="28">
        <v>41432</v>
      </c>
      <c r="B1835" s="36">
        <v>51619</v>
      </c>
      <c r="C1835">
        <f t="shared" si="92"/>
        <v>-2.3938734991018285E-2</v>
      </c>
    </row>
    <row r="1836" spans="1:3" x14ac:dyDescent="0.3">
      <c r="A1836" s="28">
        <v>41435</v>
      </c>
      <c r="B1836" s="36">
        <v>51317</v>
      </c>
      <c r="C1836">
        <f t="shared" si="92"/>
        <v>-5.8505589027295635E-3</v>
      </c>
    </row>
    <row r="1837" spans="1:3" x14ac:dyDescent="0.3">
      <c r="A1837" s="28">
        <v>41436</v>
      </c>
      <c r="B1837" s="36">
        <v>49770</v>
      </c>
      <c r="C1837">
        <f t="shared" si="92"/>
        <v>-3.0145955531305391E-2</v>
      </c>
    </row>
    <row r="1838" spans="1:3" x14ac:dyDescent="0.3">
      <c r="A1838" s="28">
        <v>41437</v>
      </c>
      <c r="B1838" s="36">
        <v>49181</v>
      </c>
      <c r="C1838">
        <f t="shared" si="92"/>
        <v>-1.1834438416716941E-2</v>
      </c>
    </row>
    <row r="1839" spans="1:3" x14ac:dyDescent="0.3">
      <c r="A1839" s="28">
        <v>41438</v>
      </c>
      <c r="B1839" s="36">
        <v>50415</v>
      </c>
      <c r="C1839">
        <f t="shared" si="92"/>
        <v>2.5090990423130899E-2</v>
      </c>
    </row>
    <row r="1840" spans="1:3" x14ac:dyDescent="0.3">
      <c r="A1840" s="28">
        <v>41439</v>
      </c>
      <c r="B1840" s="36">
        <v>49332</v>
      </c>
      <c r="C1840">
        <f t="shared" si="92"/>
        <v>-2.1481701874442094E-2</v>
      </c>
    </row>
    <row r="1841" spans="1:3" x14ac:dyDescent="0.3">
      <c r="A1841" s="28">
        <v>41442</v>
      </c>
      <c r="B1841" s="36">
        <v>49089</v>
      </c>
      <c r="C1841">
        <f t="shared" si="92"/>
        <v>-4.9258088056434168E-3</v>
      </c>
    </row>
    <row r="1842" spans="1:3" x14ac:dyDescent="0.3">
      <c r="A1842" s="28">
        <v>41443</v>
      </c>
      <c r="B1842" s="36">
        <v>49465</v>
      </c>
      <c r="C1842">
        <f t="shared" si="92"/>
        <v>7.6595571309254762E-3</v>
      </c>
    </row>
    <row r="1843" spans="1:3" x14ac:dyDescent="0.3">
      <c r="A1843" s="28">
        <v>41444</v>
      </c>
      <c r="B1843" s="36">
        <v>47893</v>
      </c>
      <c r="C1843">
        <f t="shared" si="92"/>
        <v>-3.1780046497523529E-2</v>
      </c>
    </row>
    <row r="1844" spans="1:3" x14ac:dyDescent="0.3">
      <c r="A1844" s="28">
        <v>41445</v>
      </c>
      <c r="B1844" s="36">
        <v>48214</v>
      </c>
      <c r="C1844">
        <f t="shared" si="92"/>
        <v>6.7024408577454064E-3</v>
      </c>
    </row>
    <row r="1845" spans="1:3" x14ac:dyDescent="0.3">
      <c r="A1845" s="28">
        <v>41446</v>
      </c>
      <c r="B1845" s="36">
        <v>47056</v>
      </c>
      <c r="C1845">
        <f t="shared" si="92"/>
        <v>-2.4017920106193191E-2</v>
      </c>
    </row>
    <row r="1846" spans="1:3" x14ac:dyDescent="0.3">
      <c r="A1846" s="28">
        <v>41449</v>
      </c>
      <c r="B1846" s="36">
        <v>45965</v>
      </c>
      <c r="C1846">
        <f t="shared" si="92"/>
        <v>-2.3185141108466478E-2</v>
      </c>
    </row>
    <row r="1847" spans="1:3" x14ac:dyDescent="0.3">
      <c r="A1847" s="28">
        <v>41450</v>
      </c>
      <c r="B1847" s="36">
        <v>46893</v>
      </c>
      <c r="C1847">
        <f t="shared" si="92"/>
        <v>2.018927444794949E-2</v>
      </c>
    </row>
    <row r="1848" spans="1:3" x14ac:dyDescent="0.3">
      <c r="A1848" s="28">
        <v>41451</v>
      </c>
      <c r="B1848" s="36">
        <v>47172</v>
      </c>
      <c r="C1848">
        <f t="shared" si="92"/>
        <v>5.9497153093213129E-3</v>
      </c>
    </row>
    <row r="1849" spans="1:3" x14ac:dyDescent="0.3">
      <c r="A1849" s="28">
        <v>41452</v>
      </c>
      <c r="B1849" s="36">
        <v>47609</v>
      </c>
      <c r="C1849">
        <f t="shared" si="92"/>
        <v>9.2639701517849282E-3</v>
      </c>
    </row>
    <row r="1850" spans="1:3" x14ac:dyDescent="0.3">
      <c r="A1850" s="28">
        <v>41453</v>
      </c>
      <c r="B1850" s="36">
        <v>47457</v>
      </c>
      <c r="C1850">
        <f t="shared" si="92"/>
        <v>-3.1926736541409984E-3</v>
      </c>
    </row>
    <row r="1851" spans="1:3" x14ac:dyDescent="0.3">
      <c r="A1851" s="28">
        <v>41456</v>
      </c>
      <c r="B1851" s="36">
        <v>47230</v>
      </c>
      <c r="C1851">
        <f t="shared" si="92"/>
        <v>-4.7832774933097566E-3</v>
      </c>
    </row>
    <row r="1852" spans="1:3" x14ac:dyDescent="0.3">
      <c r="A1852" s="28">
        <v>41457</v>
      </c>
      <c r="B1852" s="36">
        <v>45229</v>
      </c>
      <c r="C1852">
        <f t="shared" si="92"/>
        <v>-4.2367139529959741E-2</v>
      </c>
    </row>
    <row r="1853" spans="1:3" x14ac:dyDescent="0.3">
      <c r="A1853" s="28">
        <v>41458</v>
      </c>
      <c r="B1853" s="36">
        <v>45044</v>
      </c>
      <c r="C1853">
        <f t="shared" si="92"/>
        <v>-4.0902960489951345E-3</v>
      </c>
    </row>
    <row r="1854" spans="1:3" x14ac:dyDescent="0.3">
      <c r="A1854" s="28">
        <v>41459</v>
      </c>
      <c r="B1854" s="36">
        <v>45763</v>
      </c>
      <c r="C1854">
        <f t="shared" si="92"/>
        <v>1.5962170322351588E-2</v>
      </c>
    </row>
    <row r="1855" spans="1:3" x14ac:dyDescent="0.3">
      <c r="A1855" s="28">
        <v>41460</v>
      </c>
      <c r="B1855" s="36">
        <v>45210</v>
      </c>
      <c r="C1855">
        <f t="shared" si="92"/>
        <v>-1.2083997989642326E-2</v>
      </c>
    </row>
    <row r="1856" spans="1:3" x14ac:dyDescent="0.3">
      <c r="A1856" s="28">
        <v>41463</v>
      </c>
      <c r="B1856" s="36">
        <v>45076</v>
      </c>
      <c r="C1856">
        <f t="shared" si="92"/>
        <v>-2.9639460296394526E-3</v>
      </c>
    </row>
    <row r="1857" spans="1:3" x14ac:dyDescent="0.3">
      <c r="A1857" s="28">
        <v>41465</v>
      </c>
      <c r="B1857" s="36">
        <v>45483</v>
      </c>
      <c r="C1857">
        <f t="shared" si="92"/>
        <v>9.0291951371017642E-3</v>
      </c>
    </row>
    <row r="1858" spans="1:3" x14ac:dyDescent="0.3">
      <c r="A1858" s="28">
        <v>41466</v>
      </c>
      <c r="B1858" s="36">
        <v>46626</v>
      </c>
      <c r="C1858">
        <f t="shared" si="92"/>
        <v>2.5130268451948989E-2</v>
      </c>
    </row>
    <row r="1859" spans="1:3" x14ac:dyDescent="0.3">
      <c r="A1859" s="28">
        <v>41467</v>
      </c>
      <c r="B1859" s="36">
        <v>45533</v>
      </c>
      <c r="C1859">
        <f t="shared" si="92"/>
        <v>-2.3441856474928136E-2</v>
      </c>
    </row>
    <row r="1860" spans="1:3" x14ac:dyDescent="0.3">
      <c r="A1860" s="28">
        <v>41470</v>
      </c>
      <c r="B1860" s="36">
        <v>46739</v>
      </c>
      <c r="C1860">
        <f t="shared" ref="C1860:C1923" si="93">B1860/B1859-1</f>
        <v>2.6486284672655014E-2</v>
      </c>
    </row>
    <row r="1861" spans="1:3" x14ac:dyDescent="0.3">
      <c r="A1861" s="28">
        <v>41471</v>
      </c>
      <c r="B1861" s="36">
        <v>46869</v>
      </c>
      <c r="C1861">
        <f t="shared" si="93"/>
        <v>2.7814031108923665E-3</v>
      </c>
    </row>
    <row r="1862" spans="1:3" x14ac:dyDescent="0.3">
      <c r="A1862" s="28">
        <v>41472</v>
      </c>
      <c r="B1862" s="36">
        <v>47407</v>
      </c>
      <c r="C1862">
        <f t="shared" si="93"/>
        <v>1.1478802620068729E-2</v>
      </c>
    </row>
    <row r="1863" spans="1:3" x14ac:dyDescent="0.3">
      <c r="A1863" s="28">
        <v>41473</v>
      </c>
      <c r="B1863" s="36">
        <v>47657</v>
      </c>
      <c r="C1863">
        <f t="shared" si="93"/>
        <v>5.2734828189928695E-3</v>
      </c>
    </row>
    <row r="1864" spans="1:3" x14ac:dyDescent="0.3">
      <c r="A1864" s="28">
        <v>41474</v>
      </c>
      <c r="B1864" s="36">
        <v>47400</v>
      </c>
      <c r="C1864">
        <f t="shared" si="93"/>
        <v>-5.3927020164928896E-3</v>
      </c>
    </row>
    <row r="1865" spans="1:3" x14ac:dyDescent="0.3">
      <c r="A1865" s="28">
        <v>41477</v>
      </c>
      <c r="B1865" s="36">
        <v>48574</v>
      </c>
      <c r="C1865">
        <f t="shared" si="93"/>
        <v>2.4767932489451416E-2</v>
      </c>
    </row>
    <row r="1866" spans="1:3" x14ac:dyDescent="0.3">
      <c r="A1866" s="28">
        <v>41478</v>
      </c>
      <c r="B1866" s="36">
        <v>48820</v>
      </c>
      <c r="C1866">
        <f t="shared" si="93"/>
        <v>5.0644377650594929E-3</v>
      </c>
    </row>
    <row r="1867" spans="1:3" x14ac:dyDescent="0.3">
      <c r="A1867" s="28">
        <v>41479</v>
      </c>
      <c r="B1867" s="36">
        <v>48374</v>
      </c>
      <c r="C1867">
        <f t="shared" si="93"/>
        <v>-9.1356001638672746E-3</v>
      </c>
    </row>
    <row r="1868" spans="1:3" x14ac:dyDescent="0.3">
      <c r="A1868" s="28">
        <v>41480</v>
      </c>
      <c r="B1868" s="36">
        <v>49067</v>
      </c>
      <c r="C1868">
        <f t="shared" si="93"/>
        <v>1.4325877537520126E-2</v>
      </c>
    </row>
    <row r="1869" spans="1:3" x14ac:dyDescent="0.3">
      <c r="A1869" s="28">
        <v>41481</v>
      </c>
      <c r="B1869" s="36">
        <v>49422</v>
      </c>
      <c r="C1869">
        <f t="shared" si="93"/>
        <v>7.2350051969756191E-3</v>
      </c>
    </row>
    <row r="1870" spans="1:3" x14ac:dyDescent="0.3">
      <c r="A1870" s="28">
        <v>41484</v>
      </c>
      <c r="B1870" s="36">
        <v>49212</v>
      </c>
      <c r="C1870">
        <f t="shared" si="93"/>
        <v>-4.2491198251790596E-3</v>
      </c>
    </row>
    <row r="1871" spans="1:3" x14ac:dyDescent="0.3">
      <c r="A1871" s="28">
        <v>41485</v>
      </c>
      <c r="B1871" s="36">
        <v>48562</v>
      </c>
      <c r="C1871">
        <f t="shared" si="93"/>
        <v>-1.3208160611232977E-2</v>
      </c>
    </row>
    <row r="1872" spans="1:3" x14ac:dyDescent="0.3">
      <c r="A1872" s="28">
        <v>41486</v>
      </c>
      <c r="B1872" s="36">
        <v>48234</v>
      </c>
      <c r="C1872">
        <f t="shared" si="93"/>
        <v>-6.7542522960339912E-3</v>
      </c>
    </row>
    <row r="1873" spans="1:3" x14ac:dyDescent="0.3">
      <c r="A1873" s="28">
        <v>41487</v>
      </c>
      <c r="B1873" s="36">
        <v>49141</v>
      </c>
      <c r="C1873">
        <f t="shared" si="93"/>
        <v>1.8804163038520505E-2</v>
      </c>
    </row>
    <row r="1874" spans="1:3" x14ac:dyDescent="0.3">
      <c r="A1874" s="28">
        <v>41488</v>
      </c>
      <c r="B1874" s="36">
        <v>48474</v>
      </c>
      <c r="C1874">
        <f t="shared" si="93"/>
        <v>-1.3573187358824623E-2</v>
      </c>
    </row>
    <row r="1875" spans="1:3" x14ac:dyDescent="0.3">
      <c r="A1875" s="28">
        <v>41491</v>
      </c>
      <c r="B1875" s="36">
        <v>48436</v>
      </c>
      <c r="C1875">
        <f t="shared" si="93"/>
        <v>-7.8392540330896043E-4</v>
      </c>
    </row>
    <row r="1876" spans="1:3" x14ac:dyDescent="0.3">
      <c r="A1876" s="28">
        <v>41492</v>
      </c>
      <c r="B1876" s="36">
        <v>47422</v>
      </c>
      <c r="C1876">
        <f t="shared" si="93"/>
        <v>-2.0934841853167074E-2</v>
      </c>
    </row>
    <row r="1877" spans="1:3" x14ac:dyDescent="0.3">
      <c r="A1877" s="28">
        <v>41493</v>
      </c>
      <c r="B1877" s="36">
        <v>47447</v>
      </c>
      <c r="C1877">
        <f t="shared" si="93"/>
        <v>5.2718147695163253E-4</v>
      </c>
    </row>
    <row r="1878" spans="1:3" x14ac:dyDescent="0.3">
      <c r="A1878" s="28">
        <v>41494</v>
      </c>
      <c r="B1878" s="36">
        <v>48929</v>
      </c>
      <c r="C1878">
        <f t="shared" si="93"/>
        <v>3.1234851518536555E-2</v>
      </c>
    </row>
    <row r="1879" spans="1:3" x14ac:dyDescent="0.3">
      <c r="A1879" s="28">
        <v>41495</v>
      </c>
      <c r="B1879" s="36">
        <v>49875</v>
      </c>
      <c r="C1879">
        <f t="shared" si="93"/>
        <v>1.9334137219235936E-2</v>
      </c>
    </row>
    <row r="1880" spans="1:3" x14ac:dyDescent="0.3">
      <c r="A1880" s="28">
        <v>41498</v>
      </c>
      <c r="B1880" s="36">
        <v>50299</v>
      </c>
      <c r="C1880">
        <f t="shared" si="93"/>
        <v>8.5012531328321206E-3</v>
      </c>
    </row>
    <row r="1881" spans="1:3" x14ac:dyDescent="0.3">
      <c r="A1881" s="28">
        <v>41499</v>
      </c>
      <c r="B1881" s="36">
        <v>50601</v>
      </c>
      <c r="C1881">
        <f t="shared" si="93"/>
        <v>6.0040955088569437E-3</v>
      </c>
    </row>
    <row r="1882" spans="1:3" x14ac:dyDescent="0.3">
      <c r="A1882" s="28">
        <v>41500</v>
      </c>
      <c r="B1882" s="36">
        <v>50896</v>
      </c>
      <c r="C1882">
        <f t="shared" si="93"/>
        <v>5.8299243097963416E-3</v>
      </c>
    </row>
    <row r="1883" spans="1:3" x14ac:dyDescent="0.3">
      <c r="A1883" s="28">
        <v>41501</v>
      </c>
      <c r="B1883" s="36">
        <v>50908</v>
      </c>
      <c r="C1883">
        <f t="shared" si="93"/>
        <v>2.3577491354909164E-4</v>
      </c>
    </row>
    <row r="1884" spans="1:3" x14ac:dyDescent="0.3">
      <c r="A1884" s="28">
        <v>41502</v>
      </c>
      <c r="B1884" s="36">
        <v>51539</v>
      </c>
      <c r="C1884">
        <f t="shared" si="93"/>
        <v>1.2394908462324272E-2</v>
      </c>
    </row>
    <row r="1885" spans="1:3" x14ac:dyDescent="0.3">
      <c r="A1885" s="28">
        <v>41505</v>
      </c>
      <c r="B1885" s="36">
        <v>51574</v>
      </c>
      <c r="C1885">
        <f t="shared" si="93"/>
        <v>6.7909738256455299E-4</v>
      </c>
    </row>
    <row r="1886" spans="1:3" x14ac:dyDescent="0.3">
      <c r="A1886" s="28">
        <v>41506</v>
      </c>
      <c r="B1886" s="36">
        <v>50507</v>
      </c>
      <c r="C1886">
        <f t="shared" si="93"/>
        <v>-2.068871912203829E-2</v>
      </c>
    </row>
    <row r="1887" spans="1:3" x14ac:dyDescent="0.3">
      <c r="A1887" s="28">
        <v>41507</v>
      </c>
      <c r="B1887" s="36">
        <v>50405</v>
      </c>
      <c r="C1887">
        <f t="shared" si="93"/>
        <v>-2.0195220464489516E-3</v>
      </c>
    </row>
    <row r="1888" spans="1:3" x14ac:dyDescent="0.3">
      <c r="A1888" s="28">
        <v>41508</v>
      </c>
      <c r="B1888" s="36">
        <v>51398</v>
      </c>
      <c r="C1888">
        <f t="shared" si="93"/>
        <v>1.9700426544985605E-2</v>
      </c>
    </row>
    <row r="1889" spans="1:3" x14ac:dyDescent="0.3">
      <c r="A1889" s="28">
        <v>41509</v>
      </c>
      <c r="B1889" s="36">
        <v>52197</v>
      </c>
      <c r="C1889">
        <f t="shared" si="93"/>
        <v>1.5545351959220133E-2</v>
      </c>
    </row>
    <row r="1890" spans="1:3" x14ac:dyDescent="0.3">
      <c r="A1890" s="28">
        <v>41512</v>
      </c>
      <c r="B1890" s="36">
        <v>51429</v>
      </c>
      <c r="C1890">
        <f t="shared" si="93"/>
        <v>-1.4713489280993142E-2</v>
      </c>
    </row>
    <row r="1891" spans="1:3" x14ac:dyDescent="0.3">
      <c r="A1891" s="28">
        <v>41513</v>
      </c>
      <c r="B1891" s="36">
        <v>50092</v>
      </c>
      <c r="C1891">
        <f t="shared" si="93"/>
        <v>-2.5997005580509103E-2</v>
      </c>
    </row>
    <row r="1892" spans="1:3" x14ac:dyDescent="0.3">
      <c r="A1892" s="28">
        <v>41514</v>
      </c>
      <c r="B1892" s="36">
        <v>49867</v>
      </c>
      <c r="C1892">
        <f t="shared" si="93"/>
        <v>-4.4917352072186834E-3</v>
      </c>
    </row>
    <row r="1893" spans="1:3" x14ac:dyDescent="0.3">
      <c r="A1893" s="28">
        <v>41515</v>
      </c>
      <c r="B1893" s="36">
        <v>49922</v>
      </c>
      <c r="C1893">
        <f t="shared" si="93"/>
        <v>1.1029338039183489E-3</v>
      </c>
    </row>
    <row r="1894" spans="1:3" x14ac:dyDescent="0.3">
      <c r="A1894" s="28">
        <v>41516</v>
      </c>
      <c r="B1894" s="36">
        <v>50008</v>
      </c>
      <c r="C1894">
        <f t="shared" si="93"/>
        <v>1.7226873923319452E-3</v>
      </c>
    </row>
    <row r="1895" spans="1:3" x14ac:dyDescent="0.3">
      <c r="A1895" s="28">
        <v>41519</v>
      </c>
      <c r="B1895" s="36">
        <v>51835</v>
      </c>
      <c r="C1895">
        <f t="shared" si="93"/>
        <v>3.6534154535274421E-2</v>
      </c>
    </row>
    <row r="1896" spans="1:3" x14ac:dyDescent="0.3">
      <c r="A1896" s="28">
        <v>41520</v>
      </c>
      <c r="B1896" s="36">
        <v>51626</v>
      </c>
      <c r="C1896">
        <f t="shared" si="93"/>
        <v>-4.0320246937397553E-3</v>
      </c>
    </row>
    <row r="1897" spans="1:3" x14ac:dyDescent="0.3">
      <c r="A1897" s="28">
        <v>41521</v>
      </c>
      <c r="B1897" s="36">
        <v>51716</v>
      </c>
      <c r="C1897">
        <f t="shared" si="93"/>
        <v>1.7433076356874189E-3</v>
      </c>
    </row>
    <row r="1898" spans="1:3" x14ac:dyDescent="0.3">
      <c r="A1898" s="28">
        <v>41522</v>
      </c>
      <c r="B1898" s="36">
        <v>52352</v>
      </c>
      <c r="C1898">
        <f t="shared" si="93"/>
        <v>1.2297934875087124E-2</v>
      </c>
    </row>
    <row r="1899" spans="1:3" x14ac:dyDescent="0.3">
      <c r="A1899" s="28">
        <v>41523</v>
      </c>
      <c r="B1899" s="36">
        <v>53749</v>
      </c>
      <c r="C1899">
        <f t="shared" si="93"/>
        <v>2.6684749388752982E-2</v>
      </c>
    </row>
    <row r="1900" spans="1:3" x14ac:dyDescent="0.3">
      <c r="A1900" s="28">
        <v>41526</v>
      </c>
      <c r="B1900" s="36">
        <v>54252</v>
      </c>
      <c r="C1900">
        <f t="shared" si="93"/>
        <v>9.3583136430446245E-3</v>
      </c>
    </row>
    <row r="1901" spans="1:3" x14ac:dyDescent="0.3">
      <c r="A1901" s="28">
        <v>41527</v>
      </c>
      <c r="B1901" s="36">
        <v>53979</v>
      </c>
      <c r="C1901">
        <f t="shared" si="93"/>
        <v>-5.0320725503206765E-3</v>
      </c>
    </row>
    <row r="1902" spans="1:3" x14ac:dyDescent="0.3">
      <c r="A1902" s="28">
        <v>41528</v>
      </c>
      <c r="B1902" s="36">
        <v>53570</v>
      </c>
      <c r="C1902">
        <f t="shared" si="93"/>
        <v>-7.5770206932325168E-3</v>
      </c>
    </row>
    <row r="1903" spans="1:3" x14ac:dyDescent="0.3">
      <c r="A1903" s="28">
        <v>41529</v>
      </c>
      <c r="B1903" s="36">
        <v>53307</v>
      </c>
      <c r="C1903">
        <f t="shared" si="93"/>
        <v>-4.9094642523800358E-3</v>
      </c>
    </row>
    <row r="1904" spans="1:3" x14ac:dyDescent="0.3">
      <c r="A1904" s="28">
        <v>41530</v>
      </c>
      <c r="B1904" s="36">
        <v>53798</v>
      </c>
      <c r="C1904">
        <f t="shared" si="93"/>
        <v>9.2107978314293071E-3</v>
      </c>
    </row>
    <row r="1905" spans="1:3" x14ac:dyDescent="0.3">
      <c r="A1905" s="28">
        <v>41533</v>
      </c>
      <c r="B1905" s="36">
        <v>53822</v>
      </c>
      <c r="C1905">
        <f t="shared" si="93"/>
        <v>4.4611323841037276E-4</v>
      </c>
    </row>
    <row r="1906" spans="1:3" x14ac:dyDescent="0.3">
      <c r="A1906" s="28">
        <v>41534</v>
      </c>
      <c r="B1906" s="36">
        <v>54271</v>
      </c>
      <c r="C1906">
        <f t="shared" si="93"/>
        <v>8.3423135520790392E-3</v>
      </c>
    </row>
    <row r="1907" spans="1:3" x14ac:dyDescent="0.3">
      <c r="A1907" s="28">
        <v>41535</v>
      </c>
      <c r="B1907" s="36">
        <v>55703</v>
      </c>
      <c r="C1907">
        <f t="shared" si="93"/>
        <v>2.638609939009795E-2</v>
      </c>
    </row>
    <row r="1908" spans="1:3" x14ac:dyDescent="0.3">
      <c r="A1908" s="28">
        <v>41536</v>
      </c>
      <c r="B1908" s="36">
        <v>55096</v>
      </c>
      <c r="C1908">
        <f t="shared" si="93"/>
        <v>-1.0897079151930722E-2</v>
      </c>
    </row>
    <row r="1909" spans="1:3" x14ac:dyDescent="0.3">
      <c r="A1909" s="28">
        <v>41537</v>
      </c>
      <c r="B1909" s="36">
        <v>54110</v>
      </c>
      <c r="C1909">
        <f t="shared" si="93"/>
        <v>-1.7896036009873661E-2</v>
      </c>
    </row>
    <row r="1910" spans="1:3" x14ac:dyDescent="0.3">
      <c r="A1910" s="28">
        <v>41540</v>
      </c>
      <c r="B1910" s="36">
        <v>54602</v>
      </c>
      <c r="C1910">
        <f t="shared" si="93"/>
        <v>9.0925891702089423E-3</v>
      </c>
    </row>
    <row r="1911" spans="1:3" x14ac:dyDescent="0.3">
      <c r="A1911" s="28">
        <v>41541</v>
      </c>
      <c r="B1911" s="36">
        <v>54431</v>
      </c>
      <c r="C1911">
        <f t="shared" si="93"/>
        <v>-3.1317534156257709E-3</v>
      </c>
    </row>
    <row r="1912" spans="1:3" x14ac:dyDescent="0.3">
      <c r="A1912" s="28">
        <v>41542</v>
      </c>
      <c r="B1912" s="36">
        <v>54261</v>
      </c>
      <c r="C1912">
        <f t="shared" si="93"/>
        <v>-3.1232202237695406E-3</v>
      </c>
    </row>
    <row r="1913" spans="1:3" x14ac:dyDescent="0.3">
      <c r="A1913" s="28">
        <v>41543</v>
      </c>
      <c r="B1913" s="36">
        <v>53783</v>
      </c>
      <c r="C1913">
        <f t="shared" si="93"/>
        <v>-8.8092736956562057E-3</v>
      </c>
    </row>
    <row r="1914" spans="1:3" x14ac:dyDescent="0.3">
      <c r="A1914" s="28">
        <v>41544</v>
      </c>
      <c r="B1914" s="36">
        <v>53739</v>
      </c>
      <c r="C1914">
        <f t="shared" si="93"/>
        <v>-8.1810237435619992E-4</v>
      </c>
    </row>
    <row r="1915" spans="1:3" x14ac:dyDescent="0.3">
      <c r="A1915" s="28">
        <v>41547</v>
      </c>
      <c r="B1915" s="36">
        <v>52338</v>
      </c>
      <c r="C1915">
        <f t="shared" si="93"/>
        <v>-2.607045162730981E-2</v>
      </c>
    </row>
    <row r="1916" spans="1:3" x14ac:dyDescent="0.3">
      <c r="A1916" s="28">
        <v>41548</v>
      </c>
      <c r="B1916" s="36">
        <v>53179</v>
      </c>
      <c r="C1916">
        <f t="shared" si="93"/>
        <v>1.6068630822729135E-2</v>
      </c>
    </row>
    <row r="1917" spans="1:3" x14ac:dyDescent="0.3">
      <c r="A1917" s="28">
        <v>41549</v>
      </c>
      <c r="B1917" s="36">
        <v>53100</v>
      </c>
      <c r="C1917">
        <f t="shared" si="93"/>
        <v>-1.4855488068598044E-3</v>
      </c>
    </row>
    <row r="1918" spans="1:3" x14ac:dyDescent="0.3">
      <c r="A1918" s="28">
        <v>41550</v>
      </c>
      <c r="B1918" s="36">
        <v>52490</v>
      </c>
      <c r="C1918">
        <f t="shared" si="93"/>
        <v>-1.1487758945386117E-2</v>
      </c>
    </row>
    <row r="1919" spans="1:3" x14ac:dyDescent="0.3">
      <c r="A1919" s="28">
        <v>41551</v>
      </c>
      <c r="B1919" s="36">
        <v>52849</v>
      </c>
      <c r="C1919">
        <f t="shared" si="93"/>
        <v>6.8393979805676519E-3</v>
      </c>
    </row>
    <row r="1920" spans="1:3" x14ac:dyDescent="0.3">
      <c r="A1920" s="28">
        <v>41554</v>
      </c>
      <c r="B1920" s="36">
        <v>52417</v>
      </c>
      <c r="C1920">
        <f t="shared" si="93"/>
        <v>-8.174232246589308E-3</v>
      </c>
    </row>
    <row r="1921" spans="1:3" x14ac:dyDescent="0.3">
      <c r="A1921" s="28">
        <v>41555</v>
      </c>
      <c r="B1921" s="36">
        <v>52312</v>
      </c>
      <c r="C1921">
        <f t="shared" si="93"/>
        <v>-2.0031669114981554E-3</v>
      </c>
    </row>
    <row r="1922" spans="1:3" x14ac:dyDescent="0.3">
      <c r="A1922" s="28">
        <v>41556</v>
      </c>
      <c r="B1922" s="36">
        <v>52548</v>
      </c>
      <c r="C1922">
        <f t="shared" si="93"/>
        <v>4.5113931793852036E-3</v>
      </c>
    </row>
    <row r="1923" spans="1:3" x14ac:dyDescent="0.3">
      <c r="A1923" s="28">
        <v>41557</v>
      </c>
      <c r="B1923" s="36">
        <v>52997</v>
      </c>
      <c r="C1923">
        <f t="shared" si="93"/>
        <v>8.5445687752150334E-3</v>
      </c>
    </row>
    <row r="1924" spans="1:3" x14ac:dyDescent="0.3">
      <c r="A1924" s="28">
        <v>41558</v>
      </c>
      <c r="B1924" s="36">
        <v>53150</v>
      </c>
      <c r="C1924">
        <f t="shared" ref="C1924:C1987" si="94">B1924/B1923-1</f>
        <v>2.8869558654263106E-3</v>
      </c>
    </row>
    <row r="1925" spans="1:3" x14ac:dyDescent="0.3">
      <c r="A1925" s="28">
        <v>41561</v>
      </c>
      <c r="B1925" s="36">
        <v>54171</v>
      </c>
      <c r="C1925">
        <f t="shared" si="94"/>
        <v>1.920978363123238E-2</v>
      </c>
    </row>
    <row r="1926" spans="1:3" x14ac:dyDescent="0.3">
      <c r="A1926" s="28">
        <v>41562</v>
      </c>
      <c r="B1926" s="36">
        <v>54981</v>
      </c>
      <c r="C1926">
        <f t="shared" si="94"/>
        <v>1.495264994185086E-2</v>
      </c>
    </row>
    <row r="1927" spans="1:3" x14ac:dyDescent="0.3">
      <c r="A1927" s="28">
        <v>41563</v>
      </c>
      <c r="B1927" s="36">
        <v>55973</v>
      </c>
      <c r="C1927">
        <f t="shared" si="94"/>
        <v>1.8042596533347943E-2</v>
      </c>
    </row>
    <row r="1928" spans="1:3" x14ac:dyDescent="0.3">
      <c r="A1928" s="28">
        <v>41564</v>
      </c>
      <c r="B1928" s="36">
        <v>55358</v>
      </c>
      <c r="C1928">
        <f t="shared" si="94"/>
        <v>-1.0987440373037005E-2</v>
      </c>
    </row>
    <row r="1929" spans="1:3" x14ac:dyDescent="0.3">
      <c r="A1929" s="28">
        <v>41565</v>
      </c>
      <c r="B1929" s="36">
        <v>55378</v>
      </c>
      <c r="C1929">
        <f t="shared" si="94"/>
        <v>3.6128472849461524E-4</v>
      </c>
    </row>
    <row r="1930" spans="1:3" x14ac:dyDescent="0.3">
      <c r="A1930" s="28">
        <v>41568</v>
      </c>
      <c r="B1930" s="36">
        <v>56077</v>
      </c>
      <c r="C1930">
        <f t="shared" si="94"/>
        <v>1.2622341001841786E-2</v>
      </c>
    </row>
    <row r="1931" spans="1:3" x14ac:dyDescent="0.3">
      <c r="A1931" s="28">
        <v>41569</v>
      </c>
      <c r="B1931" s="36">
        <v>56460</v>
      </c>
      <c r="C1931">
        <f t="shared" si="94"/>
        <v>6.8298946091980284E-3</v>
      </c>
    </row>
    <row r="1932" spans="1:3" x14ac:dyDescent="0.3">
      <c r="A1932" s="28">
        <v>41570</v>
      </c>
      <c r="B1932" s="36">
        <v>55440</v>
      </c>
      <c r="C1932">
        <f t="shared" si="94"/>
        <v>-1.8065887353878818E-2</v>
      </c>
    </row>
    <row r="1933" spans="1:3" x14ac:dyDescent="0.3">
      <c r="A1933" s="28">
        <v>41571</v>
      </c>
      <c r="B1933" s="36">
        <v>54877</v>
      </c>
      <c r="C1933">
        <f t="shared" si="94"/>
        <v>-1.0155122655122639E-2</v>
      </c>
    </row>
    <row r="1934" spans="1:3" x14ac:dyDescent="0.3">
      <c r="A1934" s="28">
        <v>41572</v>
      </c>
      <c r="B1934" s="36">
        <v>54154</v>
      </c>
      <c r="C1934">
        <f t="shared" si="94"/>
        <v>-1.3174918453997098E-2</v>
      </c>
    </row>
    <row r="1935" spans="1:3" x14ac:dyDescent="0.3">
      <c r="A1935" s="28">
        <v>41575</v>
      </c>
      <c r="B1935" s="36">
        <v>55073</v>
      </c>
      <c r="C1935">
        <f t="shared" si="94"/>
        <v>1.6970122243970875E-2</v>
      </c>
    </row>
    <row r="1936" spans="1:3" x14ac:dyDescent="0.3">
      <c r="A1936" s="28">
        <v>41576</v>
      </c>
      <c r="B1936" s="36">
        <v>54539</v>
      </c>
      <c r="C1936">
        <f t="shared" si="94"/>
        <v>-9.6962213788971408E-3</v>
      </c>
    </row>
    <row r="1937" spans="1:3" x14ac:dyDescent="0.3">
      <c r="A1937" s="28">
        <v>41577</v>
      </c>
      <c r="B1937" s="36">
        <v>54173</v>
      </c>
      <c r="C1937">
        <f t="shared" si="94"/>
        <v>-6.7107941106364644E-3</v>
      </c>
    </row>
    <row r="1938" spans="1:3" x14ac:dyDescent="0.3">
      <c r="A1938" s="28">
        <v>41578</v>
      </c>
      <c r="B1938" s="36">
        <v>54256</v>
      </c>
      <c r="C1938">
        <f t="shared" si="94"/>
        <v>1.5321285511231686E-3</v>
      </c>
    </row>
    <row r="1939" spans="1:3" x14ac:dyDescent="0.3">
      <c r="A1939" s="28">
        <v>41579</v>
      </c>
      <c r="B1939" s="36">
        <v>54013</v>
      </c>
      <c r="C1939">
        <f t="shared" si="94"/>
        <v>-4.4787673252727478E-3</v>
      </c>
    </row>
    <row r="1940" spans="1:3" x14ac:dyDescent="0.3">
      <c r="A1940" s="28">
        <v>41582</v>
      </c>
      <c r="B1940" s="36">
        <v>54437</v>
      </c>
      <c r="C1940">
        <f t="shared" si="94"/>
        <v>7.8499620461740527E-3</v>
      </c>
    </row>
    <row r="1941" spans="1:3" x14ac:dyDescent="0.3">
      <c r="A1941" s="28">
        <v>41583</v>
      </c>
      <c r="B1941" s="36">
        <v>53832</v>
      </c>
      <c r="C1941">
        <f t="shared" si="94"/>
        <v>-1.1113764535150672E-2</v>
      </c>
    </row>
    <row r="1942" spans="1:3" x14ac:dyDescent="0.3">
      <c r="A1942" s="28">
        <v>41584</v>
      </c>
      <c r="B1942" s="36">
        <v>53385</v>
      </c>
      <c r="C1942">
        <f t="shared" si="94"/>
        <v>-8.3036112349531566E-3</v>
      </c>
    </row>
    <row r="1943" spans="1:3" x14ac:dyDescent="0.3">
      <c r="A1943" s="28">
        <v>41585</v>
      </c>
      <c r="B1943" s="36">
        <v>52741</v>
      </c>
      <c r="C1943">
        <f t="shared" si="94"/>
        <v>-1.206331366488711E-2</v>
      </c>
    </row>
    <row r="1944" spans="1:3" x14ac:dyDescent="0.3">
      <c r="A1944" s="28">
        <v>41586</v>
      </c>
      <c r="B1944" s="36">
        <v>52249</v>
      </c>
      <c r="C1944">
        <f t="shared" si="94"/>
        <v>-9.3286058284826057E-3</v>
      </c>
    </row>
    <row r="1945" spans="1:3" x14ac:dyDescent="0.3">
      <c r="A1945" s="28">
        <v>41589</v>
      </c>
      <c r="B1945" s="36">
        <v>52624</v>
      </c>
      <c r="C1945">
        <f t="shared" si="94"/>
        <v>7.1771708549446256E-3</v>
      </c>
    </row>
    <row r="1946" spans="1:3" x14ac:dyDescent="0.3">
      <c r="A1946" s="28">
        <v>41590</v>
      </c>
      <c r="B1946" s="36">
        <v>51804</v>
      </c>
      <c r="C1946">
        <f t="shared" si="94"/>
        <v>-1.5582243843113464E-2</v>
      </c>
    </row>
    <row r="1947" spans="1:3" x14ac:dyDescent="0.3">
      <c r="A1947" s="28">
        <v>41591</v>
      </c>
      <c r="B1947" s="36">
        <v>52230</v>
      </c>
      <c r="C1947">
        <f t="shared" si="94"/>
        <v>8.2233032198286704E-3</v>
      </c>
    </row>
    <row r="1948" spans="1:3" x14ac:dyDescent="0.3">
      <c r="A1948" s="28">
        <v>41592</v>
      </c>
      <c r="B1948" s="36">
        <v>53452</v>
      </c>
      <c r="C1948">
        <f t="shared" si="94"/>
        <v>2.3396515412598129E-2</v>
      </c>
    </row>
    <row r="1949" spans="1:3" x14ac:dyDescent="0.3">
      <c r="A1949" s="28">
        <v>41596</v>
      </c>
      <c r="B1949" s="36">
        <v>54307</v>
      </c>
      <c r="C1949">
        <f t="shared" si="94"/>
        <v>1.5995659657262573E-2</v>
      </c>
    </row>
    <row r="1950" spans="1:3" x14ac:dyDescent="0.3">
      <c r="A1950" s="28">
        <v>41597</v>
      </c>
      <c r="B1950" s="36">
        <v>53033</v>
      </c>
      <c r="C1950">
        <f t="shared" si="94"/>
        <v>-2.3459222567993043E-2</v>
      </c>
    </row>
    <row r="1951" spans="1:3" x14ac:dyDescent="0.3">
      <c r="A1951" s="28">
        <v>41599</v>
      </c>
      <c r="B1951" s="36">
        <v>52688</v>
      </c>
      <c r="C1951">
        <f t="shared" si="94"/>
        <v>-6.5053834404993349E-3</v>
      </c>
    </row>
    <row r="1952" spans="1:3" x14ac:dyDescent="0.3">
      <c r="A1952" s="28">
        <v>41600</v>
      </c>
      <c r="B1952" s="36">
        <v>52801</v>
      </c>
      <c r="C1952">
        <f t="shared" si="94"/>
        <v>2.1447008806558809E-3</v>
      </c>
    </row>
    <row r="1953" spans="1:3" x14ac:dyDescent="0.3">
      <c r="A1953" s="28">
        <v>41603</v>
      </c>
      <c r="B1953" s="36">
        <v>52264</v>
      </c>
      <c r="C1953">
        <f t="shared" si="94"/>
        <v>-1.0170261926857438E-2</v>
      </c>
    </row>
    <row r="1954" spans="1:3" x14ac:dyDescent="0.3">
      <c r="A1954" s="28">
        <v>41604</v>
      </c>
      <c r="B1954" s="36">
        <v>51447</v>
      </c>
      <c r="C1954">
        <f t="shared" si="94"/>
        <v>-1.5632175110975033E-2</v>
      </c>
    </row>
    <row r="1955" spans="1:3" x14ac:dyDescent="0.3">
      <c r="A1955" s="28">
        <v>41605</v>
      </c>
      <c r="B1955" s="36">
        <v>51861</v>
      </c>
      <c r="C1955">
        <f t="shared" si="94"/>
        <v>8.0471164499387182E-3</v>
      </c>
    </row>
    <row r="1956" spans="1:3" x14ac:dyDescent="0.3">
      <c r="A1956" s="28">
        <v>41606</v>
      </c>
      <c r="B1956" s="36">
        <v>51847</v>
      </c>
      <c r="C1956">
        <f t="shared" si="94"/>
        <v>-2.6995237268856442E-4</v>
      </c>
    </row>
    <row r="1957" spans="1:3" x14ac:dyDescent="0.3">
      <c r="A1957" s="28">
        <v>41607</v>
      </c>
      <c r="B1957" s="36">
        <v>52482</v>
      </c>
      <c r="C1957">
        <f t="shared" si="94"/>
        <v>1.2247574594479893E-2</v>
      </c>
    </row>
    <row r="1958" spans="1:3" x14ac:dyDescent="0.3">
      <c r="A1958" s="28">
        <v>41610</v>
      </c>
      <c r="B1958" s="36">
        <v>51245</v>
      </c>
      <c r="C1958">
        <f t="shared" si="94"/>
        <v>-2.3569985899927648E-2</v>
      </c>
    </row>
    <row r="1959" spans="1:3" x14ac:dyDescent="0.3">
      <c r="A1959" s="28">
        <v>41611</v>
      </c>
      <c r="B1959" s="36">
        <v>50349</v>
      </c>
      <c r="C1959">
        <f t="shared" si="94"/>
        <v>-1.748463264708755E-2</v>
      </c>
    </row>
    <row r="1960" spans="1:3" x14ac:dyDescent="0.3">
      <c r="A1960" s="28">
        <v>41612</v>
      </c>
      <c r="B1960" s="36">
        <v>50216</v>
      </c>
      <c r="C1960">
        <f t="shared" si="94"/>
        <v>-2.6415618979522826E-3</v>
      </c>
    </row>
    <row r="1961" spans="1:3" x14ac:dyDescent="0.3">
      <c r="A1961" s="28">
        <v>41613</v>
      </c>
      <c r="B1961" s="36">
        <v>50788</v>
      </c>
      <c r="C1961">
        <f t="shared" si="94"/>
        <v>1.139079177951241E-2</v>
      </c>
    </row>
    <row r="1962" spans="1:3" x14ac:dyDescent="0.3">
      <c r="A1962" s="28">
        <v>41614</v>
      </c>
      <c r="B1962" s="36">
        <v>50944</v>
      </c>
      <c r="C1962">
        <f t="shared" si="94"/>
        <v>3.0715917145782701E-3</v>
      </c>
    </row>
    <row r="1963" spans="1:3" x14ac:dyDescent="0.3">
      <c r="A1963" s="28">
        <v>41617</v>
      </c>
      <c r="B1963" s="36">
        <v>51165</v>
      </c>
      <c r="C1963">
        <f t="shared" si="94"/>
        <v>4.3380967336683618E-3</v>
      </c>
    </row>
    <row r="1964" spans="1:3" x14ac:dyDescent="0.3">
      <c r="A1964" s="28">
        <v>41618</v>
      </c>
      <c r="B1964" s="36">
        <v>50993</v>
      </c>
      <c r="C1964">
        <f t="shared" si="94"/>
        <v>-3.3616730186650789E-3</v>
      </c>
    </row>
    <row r="1965" spans="1:3" x14ac:dyDescent="0.3">
      <c r="A1965" s="28">
        <v>41619</v>
      </c>
      <c r="B1965" s="36">
        <v>50068</v>
      </c>
      <c r="C1965">
        <f t="shared" si="94"/>
        <v>-1.8139744670837121E-2</v>
      </c>
    </row>
    <row r="1966" spans="1:3" x14ac:dyDescent="0.3">
      <c r="A1966" s="28">
        <v>41620</v>
      </c>
      <c r="B1966" s="36">
        <v>50122</v>
      </c>
      <c r="C1966">
        <f t="shared" si="94"/>
        <v>1.0785331948550692E-3</v>
      </c>
    </row>
    <row r="1967" spans="1:3" x14ac:dyDescent="0.3">
      <c r="A1967" s="28">
        <v>41621</v>
      </c>
      <c r="B1967" s="36">
        <v>50051</v>
      </c>
      <c r="C1967">
        <f t="shared" si="94"/>
        <v>-1.4165436335341619E-3</v>
      </c>
    </row>
    <row r="1968" spans="1:3" x14ac:dyDescent="0.3">
      <c r="A1968" s="28">
        <v>41624</v>
      </c>
      <c r="B1968" s="36">
        <v>50280</v>
      </c>
      <c r="C1968">
        <f t="shared" si="94"/>
        <v>4.5753331601765534E-3</v>
      </c>
    </row>
    <row r="1969" spans="1:3" x14ac:dyDescent="0.3">
      <c r="A1969" s="28">
        <v>41625</v>
      </c>
      <c r="B1969" s="36">
        <v>50090</v>
      </c>
      <c r="C1969">
        <f t="shared" si="94"/>
        <v>-3.7788385043755479E-3</v>
      </c>
    </row>
    <row r="1970" spans="1:3" x14ac:dyDescent="0.3">
      <c r="A1970" s="28">
        <v>41626</v>
      </c>
      <c r="B1970" s="36">
        <v>50563</v>
      </c>
      <c r="C1970">
        <f t="shared" si="94"/>
        <v>9.4430025953284868E-3</v>
      </c>
    </row>
    <row r="1971" spans="1:3" x14ac:dyDescent="0.3">
      <c r="A1971" s="28">
        <v>41627</v>
      </c>
      <c r="B1971" s="36">
        <v>50819</v>
      </c>
      <c r="C1971">
        <f t="shared" si="94"/>
        <v>5.0629907244428285E-3</v>
      </c>
    </row>
    <row r="1972" spans="1:3" x14ac:dyDescent="0.3">
      <c r="A1972" s="28">
        <v>41628</v>
      </c>
      <c r="B1972" s="36">
        <v>51186</v>
      </c>
      <c r="C1972">
        <f t="shared" si="94"/>
        <v>7.2217084161436684E-3</v>
      </c>
    </row>
    <row r="1973" spans="1:3" x14ac:dyDescent="0.3">
      <c r="A1973" s="28">
        <v>41631</v>
      </c>
      <c r="B1973" s="36">
        <v>51356</v>
      </c>
      <c r="C1973">
        <f t="shared" si="94"/>
        <v>3.3212206462704952E-3</v>
      </c>
    </row>
    <row r="1974" spans="1:3" x14ac:dyDescent="0.3">
      <c r="A1974" s="28">
        <v>41634</v>
      </c>
      <c r="B1974" s="36">
        <v>51221</v>
      </c>
      <c r="C1974">
        <f t="shared" si="94"/>
        <v>-2.6287094010436496E-3</v>
      </c>
    </row>
    <row r="1975" spans="1:3" x14ac:dyDescent="0.3">
      <c r="A1975" s="28">
        <v>41635</v>
      </c>
      <c r="B1975" s="36">
        <v>51267</v>
      </c>
      <c r="C1975">
        <f t="shared" si="94"/>
        <v>8.9806915132473186E-4</v>
      </c>
    </row>
    <row r="1976" spans="1:3" x14ac:dyDescent="0.3">
      <c r="A1976" s="28">
        <v>41638</v>
      </c>
      <c r="B1976" s="36">
        <v>51507</v>
      </c>
      <c r="C1976">
        <f t="shared" si="94"/>
        <v>4.6813739832640699E-3</v>
      </c>
    </row>
    <row r="1977" spans="1:3" x14ac:dyDescent="0.3">
      <c r="A1977" s="28">
        <v>41641</v>
      </c>
      <c r="B1977" s="36">
        <v>50341</v>
      </c>
      <c r="C1977">
        <f t="shared" si="94"/>
        <v>-2.2637699730133742E-2</v>
      </c>
    </row>
    <row r="1978" spans="1:3" x14ac:dyDescent="0.3">
      <c r="A1978" s="28">
        <v>41642</v>
      </c>
      <c r="B1978" s="36">
        <v>50981</v>
      </c>
      <c r="C1978">
        <f t="shared" si="94"/>
        <v>1.2713295325877505E-2</v>
      </c>
    </row>
    <row r="1979" spans="1:3" x14ac:dyDescent="0.3">
      <c r="A1979" s="28">
        <v>41645</v>
      </c>
      <c r="B1979" s="36">
        <v>50974</v>
      </c>
      <c r="C1979">
        <f t="shared" si="94"/>
        <v>-1.3730605519701733E-4</v>
      </c>
    </row>
    <row r="1980" spans="1:3" x14ac:dyDescent="0.3">
      <c r="A1980" s="28">
        <v>41646</v>
      </c>
      <c r="B1980" s="36">
        <v>50430</v>
      </c>
      <c r="C1980">
        <f t="shared" si="94"/>
        <v>-1.0672107348844495E-2</v>
      </c>
    </row>
    <row r="1981" spans="1:3" x14ac:dyDescent="0.3">
      <c r="A1981" s="28">
        <v>41647</v>
      </c>
      <c r="B1981" s="36">
        <v>50577</v>
      </c>
      <c r="C1981">
        <f t="shared" si="94"/>
        <v>2.9149315883403304E-3</v>
      </c>
    </row>
    <row r="1982" spans="1:3" x14ac:dyDescent="0.3">
      <c r="A1982" s="28">
        <v>41648</v>
      </c>
      <c r="B1982" s="36">
        <v>49322</v>
      </c>
      <c r="C1982">
        <f t="shared" si="94"/>
        <v>-2.4813650473535454E-2</v>
      </c>
    </row>
    <row r="1983" spans="1:3" x14ac:dyDescent="0.3">
      <c r="A1983" s="28">
        <v>41649</v>
      </c>
      <c r="B1983" s="36">
        <v>49696</v>
      </c>
      <c r="C1983">
        <f t="shared" si="94"/>
        <v>7.5828230809780184E-3</v>
      </c>
    </row>
    <row r="1984" spans="1:3" x14ac:dyDescent="0.3">
      <c r="A1984" s="28">
        <v>41652</v>
      </c>
      <c r="B1984" s="36">
        <v>49427</v>
      </c>
      <c r="C1984">
        <f t="shared" si="94"/>
        <v>-5.4129104958146046E-3</v>
      </c>
    </row>
    <row r="1985" spans="1:3" x14ac:dyDescent="0.3">
      <c r="A1985" s="28">
        <v>41653</v>
      </c>
      <c r="B1985" s="36">
        <v>49703</v>
      </c>
      <c r="C1985">
        <f t="shared" si="94"/>
        <v>5.5839925546765645E-3</v>
      </c>
    </row>
    <row r="1986" spans="1:3" x14ac:dyDescent="0.3">
      <c r="A1986" s="28">
        <v>41654</v>
      </c>
      <c r="B1986" s="36">
        <v>50105</v>
      </c>
      <c r="C1986">
        <f t="shared" si="94"/>
        <v>8.088042975273213E-3</v>
      </c>
    </row>
    <row r="1987" spans="1:3" x14ac:dyDescent="0.3">
      <c r="A1987" s="28">
        <v>41655</v>
      </c>
      <c r="B1987" s="36">
        <v>49696</v>
      </c>
      <c r="C1987">
        <f t="shared" si="94"/>
        <v>-8.1628579982038207E-3</v>
      </c>
    </row>
    <row r="1988" spans="1:3" x14ac:dyDescent="0.3">
      <c r="A1988" s="28">
        <v>41656</v>
      </c>
      <c r="B1988" s="36">
        <v>49182</v>
      </c>
      <c r="C1988">
        <f t="shared" ref="C1988:C2051" si="95">B1988/B1987-1</f>
        <v>-1.0342884739214409E-2</v>
      </c>
    </row>
    <row r="1989" spans="1:3" x14ac:dyDescent="0.3">
      <c r="A1989" s="28">
        <v>41659</v>
      </c>
      <c r="B1989" s="36">
        <v>48708</v>
      </c>
      <c r="C1989">
        <f t="shared" si="95"/>
        <v>-9.637672319141144E-3</v>
      </c>
    </row>
    <row r="1990" spans="1:3" x14ac:dyDescent="0.3">
      <c r="A1990" s="28">
        <v>41660</v>
      </c>
      <c r="B1990" s="36">
        <v>48542</v>
      </c>
      <c r="C1990">
        <f t="shared" si="95"/>
        <v>-3.4080643836741364E-3</v>
      </c>
    </row>
    <row r="1991" spans="1:3" x14ac:dyDescent="0.3">
      <c r="A1991" s="28">
        <v>41661</v>
      </c>
      <c r="B1991" s="36">
        <v>49300</v>
      </c>
      <c r="C1991">
        <f t="shared" si="95"/>
        <v>1.5615343413950766E-2</v>
      </c>
    </row>
    <row r="1992" spans="1:3" x14ac:dyDescent="0.3">
      <c r="A1992" s="28">
        <v>41662</v>
      </c>
      <c r="B1992" s="36">
        <v>48321</v>
      </c>
      <c r="C1992">
        <f t="shared" si="95"/>
        <v>-1.9858012170385408E-2</v>
      </c>
    </row>
    <row r="1993" spans="1:3" x14ac:dyDescent="0.3">
      <c r="A1993" s="28">
        <v>41663</v>
      </c>
      <c r="B1993" s="36">
        <v>47787</v>
      </c>
      <c r="C1993">
        <f t="shared" si="95"/>
        <v>-1.1051095796858479E-2</v>
      </c>
    </row>
    <row r="1994" spans="1:3" x14ac:dyDescent="0.3">
      <c r="A1994" s="28">
        <v>41666</v>
      </c>
      <c r="B1994" s="36">
        <v>47701</v>
      </c>
      <c r="C1994">
        <f t="shared" si="95"/>
        <v>-1.799652625190995E-3</v>
      </c>
    </row>
    <row r="1995" spans="1:3" x14ac:dyDescent="0.3">
      <c r="A1995" s="28">
        <v>41667</v>
      </c>
      <c r="B1995" s="36">
        <v>47841</v>
      </c>
      <c r="C1995">
        <f t="shared" si="95"/>
        <v>2.9349489528520678E-3</v>
      </c>
    </row>
    <row r="1996" spans="1:3" x14ac:dyDescent="0.3">
      <c r="A1996" s="28">
        <v>41668</v>
      </c>
      <c r="B1996" s="36">
        <v>47557</v>
      </c>
      <c r="C1996">
        <f t="shared" si="95"/>
        <v>-5.9363307623168104E-3</v>
      </c>
    </row>
    <row r="1997" spans="1:3" x14ac:dyDescent="0.3">
      <c r="A1997" s="28">
        <v>41669</v>
      </c>
      <c r="B1997" s="36">
        <v>47244</v>
      </c>
      <c r="C1997">
        <f t="shared" si="95"/>
        <v>-6.5815757932585761E-3</v>
      </c>
    </row>
    <row r="1998" spans="1:3" x14ac:dyDescent="0.3">
      <c r="A1998" s="28">
        <v>41670</v>
      </c>
      <c r="B1998" s="36">
        <v>47639</v>
      </c>
      <c r="C1998">
        <f t="shared" si="95"/>
        <v>8.3608500550333975E-3</v>
      </c>
    </row>
    <row r="1999" spans="1:3" x14ac:dyDescent="0.3">
      <c r="A1999" s="28">
        <v>41673</v>
      </c>
      <c r="B1999" s="36">
        <v>46148</v>
      </c>
      <c r="C1999">
        <f t="shared" si="95"/>
        <v>-3.1297886185688184E-2</v>
      </c>
    </row>
    <row r="2000" spans="1:3" x14ac:dyDescent="0.3">
      <c r="A2000" s="28">
        <v>41674</v>
      </c>
      <c r="B2000" s="36">
        <v>46964</v>
      </c>
      <c r="C2000">
        <f t="shared" si="95"/>
        <v>1.7682239750368423E-2</v>
      </c>
    </row>
    <row r="2001" spans="1:3" x14ac:dyDescent="0.3">
      <c r="A2001" s="28">
        <v>41675</v>
      </c>
      <c r="B2001" s="36">
        <v>46624</v>
      </c>
      <c r="C2001">
        <f t="shared" si="95"/>
        <v>-7.2395877693552935E-3</v>
      </c>
    </row>
    <row r="2002" spans="1:3" x14ac:dyDescent="0.3">
      <c r="A2002" s="28">
        <v>41676</v>
      </c>
      <c r="B2002" s="36">
        <v>47738</v>
      </c>
      <c r="C2002">
        <f t="shared" si="95"/>
        <v>2.3893273850377428E-2</v>
      </c>
    </row>
    <row r="2003" spans="1:3" x14ac:dyDescent="0.3">
      <c r="A2003" s="28">
        <v>41677</v>
      </c>
      <c r="B2003" s="36">
        <v>48074</v>
      </c>
      <c r="C2003">
        <f t="shared" si="95"/>
        <v>7.0384180317566436E-3</v>
      </c>
    </row>
    <row r="2004" spans="1:3" x14ac:dyDescent="0.3">
      <c r="A2004" s="28">
        <v>41680</v>
      </c>
      <c r="B2004" s="36">
        <v>47711</v>
      </c>
      <c r="C2004">
        <f t="shared" si="95"/>
        <v>-7.5508590922328533E-3</v>
      </c>
    </row>
    <row r="2005" spans="1:3" x14ac:dyDescent="0.3">
      <c r="A2005" s="28">
        <v>41681</v>
      </c>
      <c r="B2005" s="36">
        <v>48463</v>
      </c>
      <c r="C2005">
        <f t="shared" si="95"/>
        <v>1.5761564419106699E-2</v>
      </c>
    </row>
    <row r="2006" spans="1:3" x14ac:dyDescent="0.3">
      <c r="A2006" s="28">
        <v>41682</v>
      </c>
      <c r="B2006" s="36">
        <v>48217</v>
      </c>
      <c r="C2006">
        <f t="shared" si="95"/>
        <v>-5.0760373893485866E-3</v>
      </c>
    </row>
    <row r="2007" spans="1:3" x14ac:dyDescent="0.3">
      <c r="A2007" s="28">
        <v>41683</v>
      </c>
      <c r="B2007" s="36">
        <v>47813</v>
      </c>
      <c r="C2007">
        <f t="shared" si="95"/>
        <v>-8.3787875645519039E-3</v>
      </c>
    </row>
    <row r="2008" spans="1:3" x14ac:dyDescent="0.3">
      <c r="A2008" s="28">
        <v>41684</v>
      </c>
      <c r="B2008" s="36">
        <v>48201</v>
      </c>
      <c r="C2008">
        <f t="shared" si="95"/>
        <v>8.1149478175390755E-3</v>
      </c>
    </row>
    <row r="2009" spans="1:3" x14ac:dyDescent="0.3">
      <c r="A2009" s="28">
        <v>41687</v>
      </c>
      <c r="B2009" s="36">
        <v>47576</v>
      </c>
      <c r="C2009">
        <f t="shared" si="95"/>
        <v>-1.2966535963984116E-2</v>
      </c>
    </row>
    <row r="2010" spans="1:3" x14ac:dyDescent="0.3">
      <c r="A2010" s="28">
        <v>41688</v>
      </c>
      <c r="B2010" s="36">
        <v>46600</v>
      </c>
      <c r="C2010">
        <f t="shared" si="95"/>
        <v>-2.0514545148814567E-2</v>
      </c>
    </row>
    <row r="2011" spans="1:3" x14ac:dyDescent="0.3">
      <c r="A2011" s="28">
        <v>41689</v>
      </c>
      <c r="B2011" s="36">
        <v>47151</v>
      </c>
      <c r="C2011">
        <f t="shared" si="95"/>
        <v>1.1824034334763978E-2</v>
      </c>
    </row>
    <row r="2012" spans="1:3" x14ac:dyDescent="0.3">
      <c r="A2012" s="28">
        <v>41690</v>
      </c>
      <c r="B2012" s="36">
        <v>47289</v>
      </c>
      <c r="C2012">
        <f t="shared" si="95"/>
        <v>2.9267671947572627E-3</v>
      </c>
    </row>
    <row r="2013" spans="1:3" x14ac:dyDescent="0.3">
      <c r="A2013" s="28">
        <v>41691</v>
      </c>
      <c r="B2013" s="36">
        <v>47380</v>
      </c>
      <c r="C2013">
        <f t="shared" si="95"/>
        <v>1.9243375837931787E-3</v>
      </c>
    </row>
    <row r="2014" spans="1:3" x14ac:dyDescent="0.3">
      <c r="A2014" s="28">
        <v>41694</v>
      </c>
      <c r="B2014" s="36">
        <v>47393</v>
      </c>
      <c r="C2014">
        <f t="shared" si="95"/>
        <v>2.7437737441959875E-4</v>
      </c>
    </row>
    <row r="2015" spans="1:3" x14ac:dyDescent="0.3">
      <c r="A2015" s="28">
        <v>41695</v>
      </c>
      <c r="B2015" s="36">
        <v>46716</v>
      </c>
      <c r="C2015">
        <f t="shared" si="95"/>
        <v>-1.428480999303694E-2</v>
      </c>
    </row>
    <row r="2016" spans="1:3" x14ac:dyDescent="0.3">
      <c r="A2016" s="28">
        <v>41696</v>
      </c>
      <c r="B2016" s="36">
        <v>46599</v>
      </c>
      <c r="C2016">
        <f t="shared" si="95"/>
        <v>-2.5044952478807669E-3</v>
      </c>
    </row>
    <row r="2017" spans="1:3" x14ac:dyDescent="0.3">
      <c r="A2017" s="28">
        <v>41697</v>
      </c>
      <c r="B2017" s="36">
        <v>47607</v>
      </c>
      <c r="C2017">
        <f t="shared" si="95"/>
        <v>2.1631365479945819E-2</v>
      </c>
    </row>
    <row r="2018" spans="1:3" x14ac:dyDescent="0.3">
      <c r="A2018" s="28">
        <v>41698</v>
      </c>
      <c r="B2018" s="36">
        <v>47094</v>
      </c>
      <c r="C2018">
        <f t="shared" si="95"/>
        <v>-1.0775726258743457E-2</v>
      </c>
    </row>
    <row r="2019" spans="1:3" x14ac:dyDescent="0.3">
      <c r="A2019" s="28">
        <v>41703</v>
      </c>
      <c r="B2019" s="36">
        <v>46589</v>
      </c>
      <c r="C2019">
        <f t="shared" si="95"/>
        <v>-1.0723234382299274E-2</v>
      </c>
    </row>
    <row r="2020" spans="1:3" x14ac:dyDescent="0.3">
      <c r="A2020" s="28">
        <v>41704</v>
      </c>
      <c r="B2020" s="36">
        <v>47093</v>
      </c>
      <c r="C2020">
        <f t="shared" si="95"/>
        <v>1.081800424993018E-2</v>
      </c>
    </row>
    <row r="2021" spans="1:3" x14ac:dyDescent="0.3">
      <c r="A2021" s="28">
        <v>41705</v>
      </c>
      <c r="B2021" s="36">
        <v>46244</v>
      </c>
      <c r="C2021">
        <f t="shared" si="95"/>
        <v>-1.802815705094174E-2</v>
      </c>
    </row>
    <row r="2022" spans="1:3" x14ac:dyDescent="0.3">
      <c r="A2022" s="28">
        <v>41708</v>
      </c>
      <c r="B2022" s="36">
        <v>45533</v>
      </c>
      <c r="C2022">
        <f t="shared" si="95"/>
        <v>-1.5374967563359543E-2</v>
      </c>
    </row>
    <row r="2023" spans="1:3" x14ac:dyDescent="0.3">
      <c r="A2023" s="28">
        <v>41709</v>
      </c>
      <c r="B2023" s="36">
        <v>45698</v>
      </c>
      <c r="C2023">
        <f t="shared" si="95"/>
        <v>3.6237454154131044E-3</v>
      </c>
    </row>
    <row r="2024" spans="1:3" x14ac:dyDescent="0.3">
      <c r="A2024" s="28">
        <v>41710</v>
      </c>
      <c r="B2024" s="36">
        <v>45862</v>
      </c>
      <c r="C2024">
        <f t="shared" si="95"/>
        <v>3.5887785023414054E-3</v>
      </c>
    </row>
    <row r="2025" spans="1:3" x14ac:dyDescent="0.3">
      <c r="A2025" s="28">
        <v>41711</v>
      </c>
      <c r="B2025" s="36">
        <v>45444</v>
      </c>
      <c r="C2025">
        <f t="shared" si="95"/>
        <v>-9.1142994199990834E-3</v>
      </c>
    </row>
    <row r="2026" spans="1:3" x14ac:dyDescent="0.3">
      <c r="A2026" s="28">
        <v>41712</v>
      </c>
      <c r="B2026" s="36">
        <v>44966</v>
      </c>
      <c r="C2026">
        <f t="shared" si="95"/>
        <v>-1.0518440278144525E-2</v>
      </c>
    </row>
    <row r="2027" spans="1:3" x14ac:dyDescent="0.3">
      <c r="A2027" s="28">
        <v>41715</v>
      </c>
      <c r="B2027" s="36">
        <v>45118</v>
      </c>
      <c r="C2027">
        <f t="shared" si="95"/>
        <v>3.3803318062535226E-3</v>
      </c>
    </row>
    <row r="2028" spans="1:3" x14ac:dyDescent="0.3">
      <c r="A2028" s="28">
        <v>41716</v>
      </c>
      <c r="B2028" s="36">
        <v>46150</v>
      </c>
      <c r="C2028">
        <f t="shared" si="95"/>
        <v>2.2873354315350758E-2</v>
      </c>
    </row>
    <row r="2029" spans="1:3" x14ac:dyDescent="0.3">
      <c r="A2029" s="28">
        <v>41717</v>
      </c>
      <c r="B2029" s="36">
        <v>46567</v>
      </c>
      <c r="C2029">
        <f t="shared" si="95"/>
        <v>9.035752979414946E-3</v>
      </c>
    </row>
    <row r="2030" spans="1:3" x14ac:dyDescent="0.3">
      <c r="A2030" s="28">
        <v>41718</v>
      </c>
      <c r="B2030" s="36">
        <v>47278</v>
      </c>
      <c r="C2030">
        <f t="shared" si="95"/>
        <v>1.5268323061395472E-2</v>
      </c>
    </row>
    <row r="2031" spans="1:3" x14ac:dyDescent="0.3">
      <c r="A2031" s="28">
        <v>41719</v>
      </c>
      <c r="B2031" s="36">
        <v>47381</v>
      </c>
      <c r="C2031">
        <f t="shared" si="95"/>
        <v>2.1786031558017616E-3</v>
      </c>
    </row>
    <row r="2032" spans="1:3" x14ac:dyDescent="0.3">
      <c r="A2032" s="28">
        <v>41722</v>
      </c>
      <c r="B2032" s="36">
        <v>47993</v>
      </c>
      <c r="C2032">
        <f t="shared" si="95"/>
        <v>1.2916569933095534E-2</v>
      </c>
    </row>
    <row r="2033" spans="1:3" x14ac:dyDescent="0.3">
      <c r="A2033" s="28">
        <v>41723</v>
      </c>
      <c r="B2033" s="36">
        <v>48180</v>
      </c>
      <c r="C2033">
        <f t="shared" si="95"/>
        <v>3.8964015585605249E-3</v>
      </c>
    </row>
    <row r="2034" spans="1:3" x14ac:dyDescent="0.3">
      <c r="A2034" s="28">
        <v>41724</v>
      </c>
      <c r="B2034" s="36">
        <v>47966</v>
      </c>
      <c r="C2034">
        <f t="shared" si="95"/>
        <v>-4.4416770444167808E-3</v>
      </c>
    </row>
    <row r="2035" spans="1:3" x14ac:dyDescent="0.3">
      <c r="A2035" s="28">
        <v>41725</v>
      </c>
      <c r="B2035" s="36">
        <v>49647</v>
      </c>
      <c r="C2035">
        <f t="shared" si="95"/>
        <v>3.5045657340616376E-2</v>
      </c>
    </row>
    <row r="2036" spans="1:3" x14ac:dyDescent="0.3">
      <c r="A2036" s="28">
        <v>41726</v>
      </c>
      <c r="B2036" s="36">
        <v>49768</v>
      </c>
      <c r="C2036">
        <f t="shared" si="95"/>
        <v>2.4372066791549241E-3</v>
      </c>
    </row>
    <row r="2037" spans="1:3" x14ac:dyDescent="0.3">
      <c r="A2037" s="28">
        <v>41729</v>
      </c>
      <c r="B2037" s="36">
        <v>50415</v>
      </c>
      <c r="C2037">
        <f t="shared" si="95"/>
        <v>1.3000321491721589E-2</v>
      </c>
    </row>
    <row r="2038" spans="1:3" x14ac:dyDescent="0.3">
      <c r="A2038" s="28">
        <v>41730</v>
      </c>
      <c r="B2038" s="36">
        <v>50270</v>
      </c>
      <c r="C2038">
        <f t="shared" si="95"/>
        <v>-2.8761281364673152E-3</v>
      </c>
    </row>
    <row r="2039" spans="1:3" x14ac:dyDescent="0.3">
      <c r="A2039" s="28">
        <v>41731</v>
      </c>
      <c r="B2039" s="36">
        <v>51701</v>
      </c>
      <c r="C2039">
        <f t="shared" si="95"/>
        <v>2.8466282076785365E-2</v>
      </c>
    </row>
    <row r="2040" spans="1:3" x14ac:dyDescent="0.3">
      <c r="A2040" s="28">
        <v>41732</v>
      </c>
      <c r="B2040" s="36">
        <v>51408</v>
      </c>
      <c r="C2040">
        <f t="shared" si="95"/>
        <v>-5.6672017949362941E-3</v>
      </c>
    </row>
    <row r="2041" spans="1:3" x14ac:dyDescent="0.3">
      <c r="A2041" s="28">
        <v>41733</v>
      </c>
      <c r="B2041" s="36">
        <v>51082</v>
      </c>
      <c r="C2041">
        <f t="shared" si="95"/>
        <v>-6.3414254590725694E-3</v>
      </c>
    </row>
    <row r="2042" spans="1:3" x14ac:dyDescent="0.3">
      <c r="A2042" s="28">
        <v>41736</v>
      </c>
      <c r="B2042" s="36">
        <v>52155</v>
      </c>
      <c r="C2042">
        <f t="shared" si="95"/>
        <v>2.1005442230139781E-2</v>
      </c>
    </row>
    <row r="2043" spans="1:3" x14ac:dyDescent="0.3">
      <c r="A2043" s="28">
        <v>41737</v>
      </c>
      <c r="B2043" s="36">
        <v>51629</v>
      </c>
      <c r="C2043">
        <f t="shared" si="95"/>
        <v>-1.0085322596107726E-2</v>
      </c>
    </row>
    <row r="2044" spans="1:3" x14ac:dyDescent="0.3">
      <c r="A2044" s="28">
        <v>41738</v>
      </c>
      <c r="B2044" s="36">
        <v>51185</v>
      </c>
      <c r="C2044">
        <f t="shared" si="95"/>
        <v>-8.5998179317825496E-3</v>
      </c>
    </row>
    <row r="2045" spans="1:3" x14ac:dyDescent="0.3">
      <c r="A2045" s="28">
        <v>41739</v>
      </c>
      <c r="B2045" s="36">
        <v>51127</v>
      </c>
      <c r="C2045">
        <f t="shared" si="95"/>
        <v>-1.1331444759207221E-3</v>
      </c>
    </row>
    <row r="2046" spans="1:3" x14ac:dyDescent="0.3">
      <c r="A2046" s="28">
        <v>41740</v>
      </c>
      <c r="B2046" s="36">
        <v>51867</v>
      </c>
      <c r="C2046">
        <f t="shared" si="95"/>
        <v>1.4473761417646225E-2</v>
      </c>
    </row>
    <row r="2047" spans="1:3" x14ac:dyDescent="0.3">
      <c r="A2047" s="28">
        <v>41743</v>
      </c>
      <c r="B2047" s="36">
        <v>51596</v>
      </c>
      <c r="C2047">
        <f t="shared" si="95"/>
        <v>-5.2249021535851758E-3</v>
      </c>
    </row>
    <row r="2048" spans="1:3" x14ac:dyDescent="0.3">
      <c r="A2048" s="28">
        <v>41744</v>
      </c>
      <c r="B2048" s="36">
        <v>50454</v>
      </c>
      <c r="C2048">
        <f t="shared" si="95"/>
        <v>-2.2133498720831035E-2</v>
      </c>
    </row>
    <row r="2049" spans="1:3" x14ac:dyDescent="0.3">
      <c r="A2049" s="28">
        <v>41745</v>
      </c>
      <c r="B2049" s="36">
        <v>51201</v>
      </c>
      <c r="C2049">
        <f t="shared" si="95"/>
        <v>1.4805565465572545E-2</v>
      </c>
    </row>
    <row r="2050" spans="1:3" x14ac:dyDescent="0.3">
      <c r="A2050" s="28">
        <v>41746</v>
      </c>
      <c r="B2050" s="36">
        <v>52112</v>
      </c>
      <c r="C2050">
        <f t="shared" si="95"/>
        <v>1.7792621237866513E-2</v>
      </c>
    </row>
    <row r="2051" spans="1:3" x14ac:dyDescent="0.3">
      <c r="A2051" s="28">
        <v>41751</v>
      </c>
      <c r="B2051" s="36">
        <v>51977</v>
      </c>
      <c r="C2051">
        <f t="shared" si="95"/>
        <v>-2.5905741479889111E-3</v>
      </c>
    </row>
    <row r="2052" spans="1:3" x14ac:dyDescent="0.3">
      <c r="A2052" s="28">
        <v>41752</v>
      </c>
      <c r="B2052" s="36">
        <v>51570</v>
      </c>
      <c r="C2052">
        <f t="shared" ref="C2052:C2115" si="96">B2052/B2051-1</f>
        <v>-7.8303865171133191E-3</v>
      </c>
    </row>
    <row r="2053" spans="1:3" x14ac:dyDescent="0.3">
      <c r="A2053" s="28">
        <v>41753</v>
      </c>
      <c r="B2053" s="36">
        <v>51817</v>
      </c>
      <c r="C2053">
        <f t="shared" si="96"/>
        <v>4.7896063602870242E-3</v>
      </c>
    </row>
    <row r="2054" spans="1:3" x14ac:dyDescent="0.3">
      <c r="A2054" s="28">
        <v>41754</v>
      </c>
      <c r="B2054" s="36">
        <v>51399</v>
      </c>
      <c r="C2054">
        <f t="shared" si="96"/>
        <v>-8.0668506474709245E-3</v>
      </c>
    </row>
    <row r="2055" spans="1:3" x14ac:dyDescent="0.3">
      <c r="A2055" s="28">
        <v>41757</v>
      </c>
      <c r="B2055" s="36">
        <v>51384</v>
      </c>
      <c r="C2055">
        <f t="shared" si="96"/>
        <v>-2.9183447148772856E-4</v>
      </c>
    </row>
    <row r="2056" spans="1:3" x14ac:dyDescent="0.3">
      <c r="A2056" s="28">
        <v>41758</v>
      </c>
      <c r="B2056" s="36">
        <v>51839</v>
      </c>
      <c r="C2056">
        <f t="shared" si="96"/>
        <v>8.8548964658259344E-3</v>
      </c>
    </row>
    <row r="2057" spans="1:3" x14ac:dyDescent="0.3">
      <c r="A2057" s="28">
        <v>41759</v>
      </c>
      <c r="B2057" s="36">
        <v>51626</v>
      </c>
      <c r="C2057">
        <f t="shared" si="96"/>
        <v>-4.1088755570131141E-3</v>
      </c>
    </row>
    <row r="2058" spans="1:3" x14ac:dyDescent="0.3">
      <c r="A2058" s="28">
        <v>41761</v>
      </c>
      <c r="B2058" s="36">
        <v>52980</v>
      </c>
      <c r="C2058">
        <f t="shared" si="96"/>
        <v>2.622709487467545E-2</v>
      </c>
    </row>
    <row r="2059" spans="1:3" x14ac:dyDescent="0.3">
      <c r="A2059" s="28">
        <v>41764</v>
      </c>
      <c r="B2059" s="36">
        <v>53446</v>
      </c>
      <c r="C2059">
        <f t="shared" si="96"/>
        <v>8.7957719894300457E-3</v>
      </c>
    </row>
    <row r="2060" spans="1:3" x14ac:dyDescent="0.3">
      <c r="A2060" s="28">
        <v>41765</v>
      </c>
      <c r="B2060" s="36">
        <v>53780</v>
      </c>
      <c r="C2060">
        <f t="shared" si="96"/>
        <v>6.2492983572204341E-3</v>
      </c>
    </row>
    <row r="2061" spans="1:3" x14ac:dyDescent="0.3">
      <c r="A2061" s="28">
        <v>41766</v>
      </c>
      <c r="B2061" s="36">
        <v>54053</v>
      </c>
      <c r="C2061">
        <f t="shared" si="96"/>
        <v>5.0762365191521219E-3</v>
      </c>
    </row>
    <row r="2062" spans="1:3" x14ac:dyDescent="0.3">
      <c r="A2062" s="28">
        <v>41767</v>
      </c>
      <c r="B2062" s="36">
        <v>53422</v>
      </c>
      <c r="C2062">
        <f t="shared" si="96"/>
        <v>-1.1673727637688924E-2</v>
      </c>
    </row>
    <row r="2063" spans="1:3" x14ac:dyDescent="0.3">
      <c r="A2063" s="28">
        <v>41768</v>
      </c>
      <c r="B2063" s="36">
        <v>53100</v>
      </c>
      <c r="C2063">
        <f t="shared" si="96"/>
        <v>-6.0274793156377404E-3</v>
      </c>
    </row>
    <row r="2064" spans="1:3" x14ac:dyDescent="0.3">
      <c r="A2064" s="28">
        <v>41771</v>
      </c>
      <c r="B2064" s="36">
        <v>54053</v>
      </c>
      <c r="C2064">
        <f t="shared" si="96"/>
        <v>1.7947269303201452E-2</v>
      </c>
    </row>
    <row r="2065" spans="1:3" x14ac:dyDescent="0.3">
      <c r="A2065" s="28">
        <v>41772</v>
      </c>
      <c r="B2065" s="36">
        <v>53907</v>
      </c>
      <c r="C2065">
        <f t="shared" si="96"/>
        <v>-2.7010526705271154E-3</v>
      </c>
    </row>
    <row r="2066" spans="1:3" x14ac:dyDescent="0.3">
      <c r="A2066" s="28">
        <v>41773</v>
      </c>
      <c r="B2066" s="36">
        <v>54413</v>
      </c>
      <c r="C2066">
        <f t="shared" si="96"/>
        <v>9.3865360713822898E-3</v>
      </c>
    </row>
    <row r="2067" spans="1:3" x14ac:dyDescent="0.3">
      <c r="A2067" s="28">
        <v>41774</v>
      </c>
      <c r="B2067" s="36">
        <v>53856</v>
      </c>
      <c r="C2067">
        <f t="shared" si="96"/>
        <v>-1.0236524359987453E-2</v>
      </c>
    </row>
    <row r="2068" spans="1:3" x14ac:dyDescent="0.3">
      <c r="A2068" s="28">
        <v>41775</v>
      </c>
      <c r="B2068" s="36">
        <v>53976</v>
      </c>
      <c r="C2068">
        <f t="shared" si="96"/>
        <v>2.2281639928698471E-3</v>
      </c>
    </row>
    <row r="2069" spans="1:3" x14ac:dyDescent="0.3">
      <c r="A2069" s="28">
        <v>41778</v>
      </c>
      <c r="B2069" s="36">
        <v>53353</v>
      </c>
      <c r="C2069">
        <f t="shared" si="96"/>
        <v>-1.1542166888987682E-2</v>
      </c>
    </row>
    <row r="2070" spans="1:3" x14ac:dyDescent="0.3">
      <c r="A2070" s="28">
        <v>41779</v>
      </c>
      <c r="B2070" s="36">
        <v>52366</v>
      </c>
      <c r="C2070">
        <f t="shared" si="96"/>
        <v>-1.8499428335801205E-2</v>
      </c>
    </row>
    <row r="2071" spans="1:3" x14ac:dyDescent="0.3">
      <c r="A2071" s="28">
        <v>41780</v>
      </c>
      <c r="B2071" s="36">
        <v>52203</v>
      </c>
      <c r="C2071">
        <f t="shared" si="96"/>
        <v>-3.1127067180994894E-3</v>
      </c>
    </row>
    <row r="2072" spans="1:3" x14ac:dyDescent="0.3">
      <c r="A2072" s="28">
        <v>41781</v>
      </c>
      <c r="B2072" s="36">
        <v>52806</v>
      </c>
      <c r="C2072">
        <f t="shared" si="96"/>
        <v>1.1551060283891745E-2</v>
      </c>
    </row>
    <row r="2073" spans="1:3" x14ac:dyDescent="0.3">
      <c r="A2073" s="28">
        <v>41782</v>
      </c>
      <c r="B2073" s="36">
        <v>52626</v>
      </c>
      <c r="C2073">
        <f t="shared" si="96"/>
        <v>-3.4087035564140944E-3</v>
      </c>
    </row>
    <row r="2074" spans="1:3" x14ac:dyDescent="0.3">
      <c r="A2074" s="28">
        <v>41785</v>
      </c>
      <c r="B2074" s="36">
        <v>52932</v>
      </c>
      <c r="C2074">
        <f t="shared" si="96"/>
        <v>5.8146163493331127E-3</v>
      </c>
    </row>
    <row r="2075" spans="1:3" x14ac:dyDescent="0.3">
      <c r="A2075" s="28">
        <v>41786</v>
      </c>
      <c r="B2075" s="36">
        <v>52172</v>
      </c>
      <c r="C2075">
        <f t="shared" si="96"/>
        <v>-1.4358044283231286E-2</v>
      </c>
    </row>
    <row r="2076" spans="1:3" x14ac:dyDescent="0.3">
      <c r="A2076" s="28">
        <v>41787</v>
      </c>
      <c r="B2076" s="36">
        <v>52640</v>
      </c>
      <c r="C2076">
        <f t="shared" si="96"/>
        <v>8.970328912060177E-3</v>
      </c>
    </row>
    <row r="2077" spans="1:3" x14ac:dyDescent="0.3">
      <c r="A2077" s="28">
        <v>41788</v>
      </c>
      <c r="B2077" s="36">
        <v>52239</v>
      </c>
      <c r="C2077">
        <f t="shared" si="96"/>
        <v>-7.617781155015213E-3</v>
      </c>
    </row>
    <row r="2078" spans="1:3" x14ac:dyDescent="0.3">
      <c r="A2078" s="28">
        <v>41789</v>
      </c>
      <c r="B2078" s="36">
        <v>51239</v>
      </c>
      <c r="C2078">
        <f t="shared" si="96"/>
        <v>-1.914278604108044E-2</v>
      </c>
    </row>
    <row r="2079" spans="1:3" x14ac:dyDescent="0.3">
      <c r="A2079" s="28">
        <v>41792</v>
      </c>
      <c r="B2079" s="36">
        <v>51606</v>
      </c>
      <c r="C2079">
        <f t="shared" si="96"/>
        <v>7.1625129296044587E-3</v>
      </c>
    </row>
    <row r="2080" spans="1:3" x14ac:dyDescent="0.3">
      <c r="A2080" s="28">
        <v>41793</v>
      </c>
      <c r="B2080" s="36">
        <v>52032</v>
      </c>
      <c r="C2080">
        <f t="shared" si="96"/>
        <v>8.2548540867342091E-3</v>
      </c>
    </row>
    <row r="2081" spans="1:3" x14ac:dyDescent="0.3">
      <c r="A2081" s="28">
        <v>41794</v>
      </c>
      <c r="B2081" s="36">
        <v>51833</v>
      </c>
      <c r="C2081">
        <f t="shared" si="96"/>
        <v>-3.8245694956949849E-3</v>
      </c>
    </row>
    <row r="2082" spans="1:3" x14ac:dyDescent="0.3">
      <c r="A2082" s="28">
        <v>41795</v>
      </c>
      <c r="B2082" s="36">
        <v>51559</v>
      </c>
      <c r="C2082">
        <f t="shared" si="96"/>
        <v>-5.2862076283448634E-3</v>
      </c>
    </row>
    <row r="2083" spans="1:3" x14ac:dyDescent="0.3">
      <c r="A2083" s="28">
        <v>41796</v>
      </c>
      <c r="B2083" s="36">
        <v>53129</v>
      </c>
      <c r="C2083">
        <f t="shared" si="96"/>
        <v>3.0450551795030867E-2</v>
      </c>
    </row>
    <row r="2084" spans="1:3" x14ac:dyDescent="0.3">
      <c r="A2084" s="28">
        <v>41799</v>
      </c>
      <c r="B2084" s="36">
        <v>54273</v>
      </c>
      <c r="C2084">
        <f t="shared" si="96"/>
        <v>2.1532496376743371E-2</v>
      </c>
    </row>
    <row r="2085" spans="1:3" x14ac:dyDescent="0.3">
      <c r="A2085" s="28">
        <v>41800</v>
      </c>
      <c r="B2085" s="36">
        <v>54604</v>
      </c>
      <c r="C2085">
        <f t="shared" si="96"/>
        <v>6.0987968234664791E-3</v>
      </c>
    </row>
    <row r="2086" spans="1:3" x14ac:dyDescent="0.3">
      <c r="A2086" s="28">
        <v>41801</v>
      </c>
      <c r="B2086" s="36">
        <v>55102</v>
      </c>
      <c r="C2086">
        <f t="shared" si="96"/>
        <v>9.1202109735550874E-3</v>
      </c>
    </row>
    <row r="2087" spans="1:3" x14ac:dyDescent="0.3">
      <c r="A2087" s="28">
        <v>41803</v>
      </c>
      <c r="B2087" s="36">
        <v>54807</v>
      </c>
      <c r="C2087">
        <f t="shared" si="96"/>
        <v>-5.3537076694131214E-3</v>
      </c>
    </row>
    <row r="2088" spans="1:3" x14ac:dyDescent="0.3">
      <c r="A2088" s="28">
        <v>41806</v>
      </c>
      <c r="B2088" s="36">
        <v>54630</v>
      </c>
      <c r="C2088">
        <f t="shared" si="96"/>
        <v>-3.2295144780776219E-3</v>
      </c>
    </row>
    <row r="2089" spans="1:3" x14ac:dyDescent="0.3">
      <c r="A2089" s="28">
        <v>41807</v>
      </c>
      <c r="B2089" s="36">
        <v>54300</v>
      </c>
      <c r="C2089">
        <f t="shared" si="96"/>
        <v>-6.0406370126304676E-3</v>
      </c>
    </row>
    <row r="2090" spans="1:3" x14ac:dyDescent="0.3">
      <c r="A2090" s="28">
        <v>41808</v>
      </c>
      <c r="B2090" s="36">
        <v>55203</v>
      </c>
      <c r="C2090">
        <f t="shared" si="96"/>
        <v>1.662983425414355E-2</v>
      </c>
    </row>
    <row r="2091" spans="1:3" x14ac:dyDescent="0.3">
      <c r="A2091" s="28">
        <v>41810</v>
      </c>
      <c r="B2091" s="36">
        <v>54638</v>
      </c>
      <c r="C2091">
        <f t="shared" si="96"/>
        <v>-1.0234950999039927E-2</v>
      </c>
    </row>
    <row r="2092" spans="1:3" x14ac:dyDescent="0.3">
      <c r="A2092" s="28">
        <v>41813</v>
      </c>
      <c r="B2092" s="36">
        <v>54210</v>
      </c>
      <c r="C2092">
        <f t="shared" si="96"/>
        <v>-7.833376038654416E-3</v>
      </c>
    </row>
    <row r="2093" spans="1:3" x14ac:dyDescent="0.3">
      <c r="A2093" s="28">
        <v>41814</v>
      </c>
      <c r="B2093" s="36">
        <v>54281</v>
      </c>
      <c r="C2093">
        <f t="shared" si="96"/>
        <v>1.3097214536064161E-3</v>
      </c>
    </row>
    <row r="2094" spans="1:3" x14ac:dyDescent="0.3">
      <c r="A2094" s="28">
        <v>41815</v>
      </c>
      <c r="B2094" s="36">
        <v>53426</v>
      </c>
      <c r="C2094">
        <f t="shared" si="96"/>
        <v>-1.5751367881947642E-2</v>
      </c>
    </row>
    <row r="2095" spans="1:3" x14ac:dyDescent="0.3">
      <c r="A2095" s="28">
        <v>41816</v>
      </c>
      <c r="B2095" s="36">
        <v>53506</v>
      </c>
      <c r="C2095">
        <f t="shared" si="96"/>
        <v>1.4973982705051014E-3</v>
      </c>
    </row>
    <row r="2096" spans="1:3" x14ac:dyDescent="0.3">
      <c r="A2096" s="28">
        <v>41817</v>
      </c>
      <c r="B2096" s="36">
        <v>53157</v>
      </c>
      <c r="C2096">
        <f t="shared" si="96"/>
        <v>-6.5226329757410717E-3</v>
      </c>
    </row>
    <row r="2097" spans="1:3" x14ac:dyDescent="0.3">
      <c r="A2097" s="28">
        <v>41820</v>
      </c>
      <c r="B2097" s="36">
        <v>53168</v>
      </c>
      <c r="C2097">
        <f t="shared" si="96"/>
        <v>2.0693417611972187E-4</v>
      </c>
    </row>
    <row r="2098" spans="1:3" x14ac:dyDescent="0.3">
      <c r="A2098" s="28">
        <v>41821</v>
      </c>
      <c r="B2098" s="36">
        <v>53171</v>
      </c>
      <c r="C2098">
        <f t="shared" si="96"/>
        <v>5.6424917243447226E-5</v>
      </c>
    </row>
    <row r="2099" spans="1:3" x14ac:dyDescent="0.3">
      <c r="A2099" s="28">
        <v>41822</v>
      </c>
      <c r="B2099" s="36">
        <v>53029</v>
      </c>
      <c r="C2099">
        <f t="shared" si="96"/>
        <v>-2.6706287261852868E-3</v>
      </c>
    </row>
    <row r="2100" spans="1:3" x14ac:dyDescent="0.3">
      <c r="A2100" s="28">
        <v>41823</v>
      </c>
      <c r="B2100" s="36">
        <v>53875</v>
      </c>
      <c r="C2100">
        <f t="shared" si="96"/>
        <v>1.5953534858285101E-2</v>
      </c>
    </row>
    <row r="2101" spans="1:3" x14ac:dyDescent="0.3">
      <c r="A2101" s="28">
        <v>41824</v>
      </c>
      <c r="B2101" s="36">
        <v>54055</v>
      </c>
      <c r="C2101">
        <f t="shared" si="96"/>
        <v>3.3410672853828594E-3</v>
      </c>
    </row>
    <row r="2102" spans="1:3" x14ac:dyDescent="0.3">
      <c r="A2102" s="28">
        <v>41827</v>
      </c>
      <c r="B2102" s="36">
        <v>53802</v>
      </c>
      <c r="C2102">
        <f t="shared" si="96"/>
        <v>-4.6804180926833805E-3</v>
      </c>
    </row>
    <row r="2103" spans="1:3" x14ac:dyDescent="0.3">
      <c r="A2103" s="28">
        <v>41828</v>
      </c>
      <c r="B2103" s="36">
        <v>53635</v>
      </c>
      <c r="C2103">
        <f t="shared" si="96"/>
        <v>-3.1039738299691866E-3</v>
      </c>
    </row>
    <row r="2104" spans="1:3" x14ac:dyDescent="0.3">
      <c r="A2104" s="28">
        <v>41830</v>
      </c>
      <c r="B2104" s="36">
        <v>54593</v>
      </c>
      <c r="C2104">
        <f t="shared" si="96"/>
        <v>1.7861471054348765E-2</v>
      </c>
    </row>
    <row r="2105" spans="1:3" x14ac:dyDescent="0.3">
      <c r="A2105" s="28">
        <v>41831</v>
      </c>
      <c r="B2105" s="36">
        <v>54786</v>
      </c>
      <c r="C2105">
        <f t="shared" si="96"/>
        <v>3.5352517722051502E-3</v>
      </c>
    </row>
    <row r="2106" spans="1:3" x14ac:dyDescent="0.3">
      <c r="A2106" s="28">
        <v>41834</v>
      </c>
      <c r="B2106" s="36">
        <v>55744</v>
      </c>
      <c r="C2106">
        <f t="shared" si="96"/>
        <v>1.7486219107071044E-2</v>
      </c>
    </row>
    <row r="2107" spans="1:3" x14ac:dyDescent="0.3">
      <c r="A2107" s="28">
        <v>41835</v>
      </c>
      <c r="B2107" s="36">
        <v>55974</v>
      </c>
      <c r="C2107">
        <f t="shared" si="96"/>
        <v>4.1260045924225164E-3</v>
      </c>
    </row>
    <row r="2108" spans="1:3" x14ac:dyDescent="0.3">
      <c r="A2108" s="28">
        <v>41836</v>
      </c>
      <c r="B2108" s="36">
        <v>55717</v>
      </c>
      <c r="C2108">
        <f t="shared" si="96"/>
        <v>-4.5914174438131949E-3</v>
      </c>
    </row>
    <row r="2109" spans="1:3" x14ac:dyDescent="0.3">
      <c r="A2109" s="28">
        <v>41837</v>
      </c>
      <c r="B2109" s="36">
        <v>55638</v>
      </c>
      <c r="C2109">
        <f t="shared" si="96"/>
        <v>-1.4178796417609885E-3</v>
      </c>
    </row>
    <row r="2110" spans="1:3" x14ac:dyDescent="0.3">
      <c r="A2110" s="28">
        <v>41838</v>
      </c>
      <c r="B2110" s="36">
        <v>57013</v>
      </c>
      <c r="C2110">
        <f t="shared" si="96"/>
        <v>2.4713325425069099E-2</v>
      </c>
    </row>
    <row r="2111" spans="1:3" x14ac:dyDescent="0.3">
      <c r="A2111" s="28">
        <v>41841</v>
      </c>
      <c r="B2111" s="36">
        <v>57634</v>
      </c>
      <c r="C2111">
        <f t="shared" si="96"/>
        <v>1.0892252644133738E-2</v>
      </c>
    </row>
    <row r="2112" spans="1:3" x14ac:dyDescent="0.3">
      <c r="A2112" s="28">
        <v>41842</v>
      </c>
      <c r="B2112" s="36">
        <v>57983</v>
      </c>
      <c r="C2112">
        <f t="shared" si="96"/>
        <v>6.0554533782142261E-3</v>
      </c>
    </row>
    <row r="2113" spans="1:3" x14ac:dyDescent="0.3">
      <c r="A2113" s="28">
        <v>41843</v>
      </c>
      <c r="B2113" s="36">
        <v>57420</v>
      </c>
      <c r="C2113">
        <f t="shared" si="96"/>
        <v>-9.7097425107358637E-3</v>
      </c>
    </row>
    <row r="2114" spans="1:3" x14ac:dyDescent="0.3">
      <c r="A2114" s="28">
        <v>41844</v>
      </c>
      <c r="B2114" s="36">
        <v>57978</v>
      </c>
      <c r="C2114">
        <f t="shared" si="96"/>
        <v>9.7178683385579223E-3</v>
      </c>
    </row>
    <row r="2115" spans="1:3" x14ac:dyDescent="0.3">
      <c r="A2115" s="28">
        <v>41845</v>
      </c>
      <c r="B2115" s="36">
        <v>57821</v>
      </c>
      <c r="C2115">
        <f t="shared" si="96"/>
        <v>-2.7079236951946806E-3</v>
      </c>
    </row>
    <row r="2116" spans="1:3" x14ac:dyDescent="0.3">
      <c r="A2116" s="28">
        <v>41848</v>
      </c>
      <c r="B2116" s="36">
        <v>57696</v>
      </c>
      <c r="C2116">
        <f t="shared" ref="C2116:C2179" si="97">B2116/B2115-1</f>
        <v>-2.1618443126200093E-3</v>
      </c>
    </row>
    <row r="2117" spans="1:3" x14ac:dyDescent="0.3">
      <c r="A2117" s="28">
        <v>41849</v>
      </c>
      <c r="B2117" s="36">
        <v>57119</v>
      </c>
      <c r="C2117">
        <f t="shared" si="97"/>
        <v>-1.0000693288962803E-2</v>
      </c>
    </row>
    <row r="2118" spans="1:3" x14ac:dyDescent="0.3">
      <c r="A2118" s="28">
        <v>41850</v>
      </c>
      <c r="B2118" s="36">
        <v>56878</v>
      </c>
      <c r="C2118">
        <f t="shared" si="97"/>
        <v>-4.2192615416936086E-3</v>
      </c>
    </row>
    <row r="2119" spans="1:3" x14ac:dyDescent="0.3">
      <c r="A2119" s="28">
        <v>41851</v>
      </c>
      <c r="B2119" s="36">
        <v>55829</v>
      </c>
      <c r="C2119">
        <f t="shared" si="97"/>
        <v>-1.8442983227258347E-2</v>
      </c>
    </row>
    <row r="2120" spans="1:3" x14ac:dyDescent="0.3">
      <c r="A2120" s="28">
        <v>41852</v>
      </c>
      <c r="B2120" s="36">
        <v>55903</v>
      </c>
      <c r="C2120">
        <f t="shared" si="97"/>
        <v>1.325476007093096E-3</v>
      </c>
    </row>
    <row r="2121" spans="1:3" x14ac:dyDescent="0.3">
      <c r="A2121" s="28">
        <v>41855</v>
      </c>
      <c r="B2121" s="36">
        <v>56616</v>
      </c>
      <c r="C2121">
        <f t="shared" si="97"/>
        <v>1.2754235014221127E-2</v>
      </c>
    </row>
    <row r="2122" spans="1:3" x14ac:dyDescent="0.3">
      <c r="A2122" s="28">
        <v>41856</v>
      </c>
      <c r="B2122" s="36">
        <v>56202</v>
      </c>
      <c r="C2122">
        <f t="shared" si="97"/>
        <v>-7.3124205171682943E-3</v>
      </c>
    </row>
    <row r="2123" spans="1:3" x14ac:dyDescent="0.3">
      <c r="A2123" s="28">
        <v>41857</v>
      </c>
      <c r="B2123" s="36">
        <v>56487</v>
      </c>
      <c r="C2123">
        <f t="shared" si="97"/>
        <v>5.0709939148072536E-3</v>
      </c>
    </row>
    <row r="2124" spans="1:3" x14ac:dyDescent="0.3">
      <c r="A2124" s="28">
        <v>41858</v>
      </c>
      <c r="B2124" s="36">
        <v>56188</v>
      </c>
      <c r="C2124">
        <f t="shared" si="97"/>
        <v>-5.2932533149220307E-3</v>
      </c>
    </row>
    <row r="2125" spans="1:3" x14ac:dyDescent="0.3">
      <c r="A2125" s="28">
        <v>41859</v>
      </c>
      <c r="B2125" s="36">
        <v>55573</v>
      </c>
      <c r="C2125">
        <f t="shared" si="97"/>
        <v>-1.0945397593792316E-2</v>
      </c>
    </row>
    <row r="2126" spans="1:3" x14ac:dyDescent="0.3">
      <c r="A2126" s="28">
        <v>41862</v>
      </c>
      <c r="B2126" s="36">
        <v>56613</v>
      </c>
      <c r="C2126">
        <f t="shared" si="97"/>
        <v>1.8714123765137813E-2</v>
      </c>
    </row>
    <row r="2127" spans="1:3" x14ac:dyDescent="0.3">
      <c r="A2127" s="28">
        <v>41863</v>
      </c>
      <c r="B2127" s="36">
        <v>56442</v>
      </c>
      <c r="C2127">
        <f t="shared" si="97"/>
        <v>-3.0205076572518141E-3</v>
      </c>
    </row>
    <row r="2128" spans="1:3" x14ac:dyDescent="0.3">
      <c r="A2128" s="28">
        <v>41864</v>
      </c>
      <c r="B2128" s="36">
        <v>55581</v>
      </c>
      <c r="C2128">
        <f t="shared" si="97"/>
        <v>-1.5254597640055323E-2</v>
      </c>
    </row>
    <row r="2129" spans="1:3" x14ac:dyDescent="0.3">
      <c r="A2129" s="28">
        <v>41865</v>
      </c>
      <c r="B2129" s="36">
        <v>55780</v>
      </c>
      <c r="C2129">
        <f t="shared" si="97"/>
        <v>3.5803601950306074E-3</v>
      </c>
    </row>
    <row r="2130" spans="1:3" x14ac:dyDescent="0.3">
      <c r="A2130" s="28">
        <v>41866</v>
      </c>
      <c r="B2130" s="36">
        <v>56964</v>
      </c>
      <c r="C2130">
        <f t="shared" si="97"/>
        <v>2.1226245966296187E-2</v>
      </c>
    </row>
    <row r="2131" spans="1:3" x14ac:dyDescent="0.3">
      <c r="A2131" s="28">
        <v>41869</v>
      </c>
      <c r="B2131" s="36">
        <v>57561</v>
      </c>
      <c r="C2131">
        <f t="shared" si="97"/>
        <v>1.0480303349483799E-2</v>
      </c>
    </row>
    <row r="2132" spans="1:3" x14ac:dyDescent="0.3">
      <c r="A2132" s="28">
        <v>41870</v>
      </c>
      <c r="B2132" s="36">
        <v>58449</v>
      </c>
      <c r="C2132">
        <f t="shared" si="97"/>
        <v>1.542711210715586E-2</v>
      </c>
    </row>
    <row r="2133" spans="1:3" x14ac:dyDescent="0.3">
      <c r="A2133" s="28">
        <v>41871</v>
      </c>
      <c r="B2133" s="36">
        <v>58878</v>
      </c>
      <c r="C2133">
        <f t="shared" si="97"/>
        <v>7.3397320741159788E-3</v>
      </c>
    </row>
    <row r="2134" spans="1:3" x14ac:dyDescent="0.3">
      <c r="A2134" s="28">
        <v>41872</v>
      </c>
      <c r="B2134" s="36">
        <v>58992</v>
      </c>
      <c r="C2134">
        <f t="shared" si="97"/>
        <v>1.9362070722510616E-3</v>
      </c>
    </row>
    <row r="2135" spans="1:3" x14ac:dyDescent="0.3">
      <c r="A2135" s="28">
        <v>41873</v>
      </c>
      <c r="B2135" s="36">
        <v>58407</v>
      </c>
      <c r="C2135">
        <f t="shared" si="97"/>
        <v>-9.9165988608624911E-3</v>
      </c>
    </row>
    <row r="2136" spans="1:3" x14ac:dyDescent="0.3">
      <c r="A2136" s="28">
        <v>41876</v>
      </c>
      <c r="B2136" s="36">
        <v>59735</v>
      </c>
      <c r="C2136">
        <f t="shared" si="97"/>
        <v>2.2737000701970711E-2</v>
      </c>
    </row>
    <row r="2137" spans="1:3" x14ac:dyDescent="0.3">
      <c r="A2137" s="28">
        <v>41877</v>
      </c>
      <c r="B2137" s="36">
        <v>59821</v>
      </c>
      <c r="C2137">
        <f t="shared" si="97"/>
        <v>1.439691972880297E-3</v>
      </c>
    </row>
    <row r="2138" spans="1:3" x14ac:dyDescent="0.3">
      <c r="A2138" s="28">
        <v>41878</v>
      </c>
      <c r="B2138" s="36">
        <v>60951</v>
      </c>
      <c r="C2138">
        <f t="shared" si="97"/>
        <v>1.8889687567910984E-2</v>
      </c>
    </row>
    <row r="2139" spans="1:3" x14ac:dyDescent="0.3">
      <c r="A2139" s="28">
        <v>41879</v>
      </c>
      <c r="B2139" s="36">
        <v>60291</v>
      </c>
      <c r="C2139">
        <f t="shared" si="97"/>
        <v>-1.0828370330265291E-2</v>
      </c>
    </row>
    <row r="2140" spans="1:3" x14ac:dyDescent="0.3">
      <c r="A2140" s="28">
        <v>41880</v>
      </c>
      <c r="B2140" s="36">
        <v>61288</v>
      </c>
      <c r="C2140">
        <f t="shared" si="97"/>
        <v>1.6536464812326956E-2</v>
      </c>
    </row>
    <row r="2141" spans="1:3" x14ac:dyDescent="0.3">
      <c r="A2141" s="28">
        <v>41883</v>
      </c>
      <c r="B2141" s="36">
        <v>61141</v>
      </c>
      <c r="C2141">
        <f t="shared" si="97"/>
        <v>-2.3985119436105151E-3</v>
      </c>
    </row>
    <row r="2142" spans="1:3" x14ac:dyDescent="0.3">
      <c r="A2142" s="28">
        <v>41884</v>
      </c>
      <c r="B2142" s="36">
        <v>61896</v>
      </c>
      <c r="C2142">
        <f t="shared" si="97"/>
        <v>1.2348505912562757E-2</v>
      </c>
    </row>
    <row r="2143" spans="1:3" x14ac:dyDescent="0.3">
      <c r="A2143" s="28">
        <v>41885</v>
      </c>
      <c r="B2143" s="36">
        <v>61837</v>
      </c>
      <c r="C2143">
        <f t="shared" si="97"/>
        <v>-9.5321183921415198E-4</v>
      </c>
    </row>
    <row r="2144" spans="1:3" x14ac:dyDescent="0.3">
      <c r="A2144" s="28">
        <v>41886</v>
      </c>
      <c r="B2144" s="36">
        <v>60800</v>
      </c>
      <c r="C2144">
        <f t="shared" si="97"/>
        <v>-1.6769895046654937E-2</v>
      </c>
    </row>
    <row r="2145" spans="1:3" x14ac:dyDescent="0.3">
      <c r="A2145" s="28">
        <v>41887</v>
      </c>
      <c r="B2145" s="36">
        <v>60681</v>
      </c>
      <c r="C2145">
        <f t="shared" si="97"/>
        <v>-1.9572368421052477E-3</v>
      </c>
    </row>
    <row r="2146" spans="1:3" x14ac:dyDescent="0.3">
      <c r="A2146" s="28">
        <v>41890</v>
      </c>
      <c r="B2146" s="36">
        <v>59193</v>
      </c>
      <c r="C2146">
        <f t="shared" si="97"/>
        <v>-2.4521678943985714E-2</v>
      </c>
    </row>
    <row r="2147" spans="1:3" x14ac:dyDescent="0.3">
      <c r="A2147" s="28">
        <v>41891</v>
      </c>
      <c r="B2147" s="36">
        <v>58676</v>
      </c>
      <c r="C2147">
        <f t="shared" si="97"/>
        <v>-8.7341408612504612E-3</v>
      </c>
    </row>
    <row r="2148" spans="1:3" x14ac:dyDescent="0.3">
      <c r="A2148" s="28">
        <v>41892</v>
      </c>
      <c r="B2148" s="36">
        <v>58199</v>
      </c>
      <c r="C2148">
        <f t="shared" si="97"/>
        <v>-8.1293885063740134E-3</v>
      </c>
    </row>
    <row r="2149" spans="1:3" x14ac:dyDescent="0.3">
      <c r="A2149" s="28">
        <v>41893</v>
      </c>
      <c r="B2149" s="36">
        <v>58337</v>
      </c>
      <c r="C2149">
        <f t="shared" si="97"/>
        <v>2.3711747624528545E-3</v>
      </c>
    </row>
    <row r="2150" spans="1:3" x14ac:dyDescent="0.3">
      <c r="A2150" s="28">
        <v>41894</v>
      </c>
      <c r="B2150" s="36">
        <v>56928</v>
      </c>
      <c r="C2150">
        <f t="shared" si="97"/>
        <v>-2.4152767540326026E-2</v>
      </c>
    </row>
    <row r="2151" spans="1:3" x14ac:dyDescent="0.3">
      <c r="A2151" s="28">
        <v>41897</v>
      </c>
      <c r="B2151" s="36">
        <v>57949</v>
      </c>
      <c r="C2151">
        <f t="shared" si="97"/>
        <v>1.7934935356942017E-2</v>
      </c>
    </row>
    <row r="2152" spans="1:3" x14ac:dyDescent="0.3">
      <c r="A2152" s="28">
        <v>41898</v>
      </c>
      <c r="B2152" s="36">
        <v>59115</v>
      </c>
      <c r="C2152">
        <f t="shared" si="97"/>
        <v>2.0121141003295984E-2</v>
      </c>
    </row>
    <row r="2153" spans="1:3" x14ac:dyDescent="0.3">
      <c r="A2153" s="28">
        <v>41899</v>
      </c>
      <c r="B2153" s="36">
        <v>59108</v>
      </c>
      <c r="C2153">
        <f t="shared" si="97"/>
        <v>-1.1841326228534399E-4</v>
      </c>
    </row>
    <row r="2154" spans="1:3" x14ac:dyDescent="0.3">
      <c r="A2154" s="28">
        <v>41900</v>
      </c>
      <c r="B2154" s="36">
        <v>58374</v>
      </c>
      <c r="C2154">
        <f t="shared" si="97"/>
        <v>-1.2417946809230584E-2</v>
      </c>
    </row>
    <row r="2155" spans="1:3" x14ac:dyDescent="0.3">
      <c r="A2155" s="28">
        <v>41901</v>
      </c>
      <c r="B2155" s="36">
        <v>57789</v>
      </c>
      <c r="C2155">
        <f t="shared" si="97"/>
        <v>-1.0021584952204732E-2</v>
      </c>
    </row>
    <row r="2156" spans="1:3" x14ac:dyDescent="0.3">
      <c r="A2156" s="28">
        <v>41904</v>
      </c>
      <c r="B2156" s="36">
        <v>56818</v>
      </c>
      <c r="C2156">
        <f t="shared" si="97"/>
        <v>-1.6802505667168455E-2</v>
      </c>
    </row>
    <row r="2157" spans="1:3" x14ac:dyDescent="0.3">
      <c r="A2157" s="28">
        <v>41905</v>
      </c>
      <c r="B2157" s="36">
        <v>56541</v>
      </c>
      <c r="C2157">
        <f t="shared" si="97"/>
        <v>-4.8752156006899305E-3</v>
      </c>
    </row>
    <row r="2158" spans="1:3" x14ac:dyDescent="0.3">
      <c r="A2158" s="28">
        <v>41906</v>
      </c>
      <c r="B2158" s="36">
        <v>56824</v>
      </c>
      <c r="C2158">
        <f t="shared" si="97"/>
        <v>5.0052174528218973E-3</v>
      </c>
    </row>
    <row r="2159" spans="1:3" x14ac:dyDescent="0.3">
      <c r="A2159" s="28">
        <v>41907</v>
      </c>
      <c r="B2159" s="36">
        <v>55962</v>
      </c>
      <c r="C2159">
        <f t="shared" si="97"/>
        <v>-1.5169646628185318E-2</v>
      </c>
    </row>
    <row r="2160" spans="1:3" x14ac:dyDescent="0.3">
      <c r="A2160" s="28">
        <v>41908</v>
      </c>
      <c r="B2160" s="36">
        <v>57212</v>
      </c>
      <c r="C2160">
        <f t="shared" si="97"/>
        <v>2.2336585540188025E-2</v>
      </c>
    </row>
    <row r="2161" spans="1:3" x14ac:dyDescent="0.3">
      <c r="A2161" s="28">
        <v>41911</v>
      </c>
      <c r="B2161" s="36">
        <v>54625</v>
      </c>
      <c r="C2161">
        <f t="shared" si="97"/>
        <v>-4.5217786478361166E-2</v>
      </c>
    </row>
    <row r="2162" spans="1:3" x14ac:dyDescent="0.3">
      <c r="A2162" s="28">
        <v>41912</v>
      </c>
      <c r="B2162" s="36">
        <v>54116</v>
      </c>
      <c r="C2162">
        <f t="shared" si="97"/>
        <v>-9.3180778032037059E-3</v>
      </c>
    </row>
    <row r="2163" spans="1:3" x14ac:dyDescent="0.3">
      <c r="A2163" s="28">
        <v>41913</v>
      </c>
      <c r="B2163" s="36">
        <v>52858</v>
      </c>
      <c r="C2163">
        <f t="shared" si="97"/>
        <v>-2.3246359671816097E-2</v>
      </c>
    </row>
    <row r="2164" spans="1:3" x14ac:dyDescent="0.3">
      <c r="A2164" s="28">
        <v>41914</v>
      </c>
      <c r="B2164" s="36">
        <v>53519</v>
      </c>
      <c r="C2164">
        <f t="shared" si="97"/>
        <v>1.2505202618335876E-2</v>
      </c>
    </row>
    <row r="2165" spans="1:3" x14ac:dyDescent="0.3">
      <c r="A2165" s="28">
        <v>41915</v>
      </c>
      <c r="B2165" s="36">
        <v>54540</v>
      </c>
      <c r="C2165">
        <f t="shared" si="97"/>
        <v>1.9077337020497298E-2</v>
      </c>
    </row>
    <row r="2166" spans="1:3" x14ac:dyDescent="0.3">
      <c r="A2166" s="28">
        <v>41918</v>
      </c>
      <c r="B2166" s="36">
        <v>57116</v>
      </c>
      <c r="C2166">
        <f t="shared" si="97"/>
        <v>4.7231389805647339E-2</v>
      </c>
    </row>
    <row r="2167" spans="1:3" x14ac:dyDescent="0.3">
      <c r="A2167" s="28">
        <v>41919</v>
      </c>
      <c r="B2167" s="36">
        <v>57436</v>
      </c>
      <c r="C2167">
        <f t="shared" si="97"/>
        <v>5.6026332376217791E-3</v>
      </c>
    </row>
    <row r="2168" spans="1:3" x14ac:dyDescent="0.3">
      <c r="A2168" s="28">
        <v>41920</v>
      </c>
      <c r="B2168" s="36">
        <v>57058</v>
      </c>
      <c r="C2168">
        <f t="shared" si="97"/>
        <v>-6.5812382477888898E-3</v>
      </c>
    </row>
    <row r="2169" spans="1:3" x14ac:dyDescent="0.3">
      <c r="A2169" s="28">
        <v>41921</v>
      </c>
      <c r="B2169" s="36">
        <v>57268</v>
      </c>
      <c r="C2169">
        <f t="shared" si="97"/>
        <v>3.6804654912545587E-3</v>
      </c>
    </row>
    <row r="2170" spans="1:3" x14ac:dyDescent="0.3">
      <c r="A2170" s="28">
        <v>41922</v>
      </c>
      <c r="B2170" s="36">
        <v>55312</v>
      </c>
      <c r="C2170">
        <f t="shared" si="97"/>
        <v>-3.4155200111755213E-2</v>
      </c>
    </row>
    <row r="2171" spans="1:3" x14ac:dyDescent="0.3">
      <c r="A2171" s="28">
        <v>41925</v>
      </c>
      <c r="B2171" s="36">
        <v>57957</v>
      </c>
      <c r="C2171">
        <f t="shared" si="97"/>
        <v>4.7819641307492056E-2</v>
      </c>
    </row>
    <row r="2172" spans="1:3" x14ac:dyDescent="0.3">
      <c r="A2172" s="28">
        <v>41926</v>
      </c>
      <c r="B2172" s="36">
        <v>58015</v>
      </c>
      <c r="C2172">
        <f t="shared" si="97"/>
        <v>1.0007419293613928E-3</v>
      </c>
    </row>
    <row r="2173" spans="1:3" x14ac:dyDescent="0.3">
      <c r="A2173" s="28">
        <v>41927</v>
      </c>
      <c r="B2173" s="36">
        <v>56135</v>
      </c>
      <c r="C2173">
        <f t="shared" si="97"/>
        <v>-3.24054123933466E-2</v>
      </c>
    </row>
    <row r="2174" spans="1:3" x14ac:dyDescent="0.3">
      <c r="A2174" s="28">
        <v>41928</v>
      </c>
      <c r="B2174" s="36">
        <v>54298</v>
      </c>
      <c r="C2174">
        <f t="shared" si="97"/>
        <v>-3.2724681571212222E-2</v>
      </c>
    </row>
    <row r="2175" spans="1:3" x14ac:dyDescent="0.3">
      <c r="A2175" s="28">
        <v>41929</v>
      </c>
      <c r="B2175" s="36">
        <v>55724</v>
      </c>
      <c r="C2175">
        <f t="shared" si="97"/>
        <v>2.6262477439316312E-2</v>
      </c>
    </row>
    <row r="2176" spans="1:3" x14ac:dyDescent="0.3">
      <c r="A2176" s="28">
        <v>41932</v>
      </c>
      <c r="B2176" s="36">
        <v>54303</v>
      </c>
      <c r="C2176">
        <f t="shared" si="97"/>
        <v>-2.5500681932380975E-2</v>
      </c>
    </row>
    <row r="2177" spans="1:3" x14ac:dyDescent="0.3">
      <c r="A2177" s="28">
        <v>41933</v>
      </c>
      <c r="B2177" s="36">
        <v>52432</v>
      </c>
      <c r="C2177">
        <f t="shared" si="97"/>
        <v>-3.4454818334161974E-2</v>
      </c>
    </row>
    <row r="2178" spans="1:3" x14ac:dyDescent="0.3">
      <c r="A2178" s="28">
        <v>41934</v>
      </c>
      <c r="B2178" s="36">
        <v>52411</v>
      </c>
      <c r="C2178">
        <f t="shared" si="97"/>
        <v>-4.0051876716507007E-4</v>
      </c>
    </row>
    <row r="2179" spans="1:3" x14ac:dyDescent="0.3">
      <c r="A2179" s="28">
        <v>41935</v>
      </c>
      <c r="B2179" s="36">
        <v>50713</v>
      </c>
      <c r="C2179">
        <f t="shared" si="97"/>
        <v>-3.2397779092175338E-2</v>
      </c>
    </row>
    <row r="2180" spans="1:3" x14ac:dyDescent="0.3">
      <c r="A2180" s="28">
        <v>41936</v>
      </c>
      <c r="B2180" s="36">
        <v>51941</v>
      </c>
      <c r="C2180">
        <f t="shared" ref="C2180:C2243" si="98">B2180/B2179-1</f>
        <v>2.421469840080448E-2</v>
      </c>
    </row>
    <row r="2181" spans="1:3" x14ac:dyDescent="0.3">
      <c r="A2181" s="28">
        <v>41939</v>
      </c>
      <c r="B2181" s="36">
        <v>50504</v>
      </c>
      <c r="C2181">
        <f t="shared" si="98"/>
        <v>-2.7666005660268334E-2</v>
      </c>
    </row>
    <row r="2182" spans="1:3" x14ac:dyDescent="0.3">
      <c r="A2182" s="28">
        <v>41940</v>
      </c>
      <c r="B2182" s="36">
        <v>52330</v>
      </c>
      <c r="C2182">
        <f t="shared" si="98"/>
        <v>3.6155552035482375E-2</v>
      </c>
    </row>
    <row r="2183" spans="1:3" x14ac:dyDescent="0.3">
      <c r="A2183" s="28">
        <v>41941</v>
      </c>
      <c r="B2183" s="36">
        <v>51049</v>
      </c>
      <c r="C2183">
        <f t="shared" si="98"/>
        <v>-2.4479266195299054E-2</v>
      </c>
    </row>
    <row r="2184" spans="1:3" x14ac:dyDescent="0.3">
      <c r="A2184" s="28">
        <v>41942</v>
      </c>
      <c r="B2184" s="36">
        <v>52337</v>
      </c>
      <c r="C2184">
        <f t="shared" si="98"/>
        <v>2.5230660737722621E-2</v>
      </c>
    </row>
    <row r="2185" spans="1:3" x14ac:dyDescent="0.3">
      <c r="A2185" s="28">
        <v>41943</v>
      </c>
      <c r="B2185" s="36">
        <v>54629</v>
      </c>
      <c r="C2185">
        <f t="shared" si="98"/>
        <v>4.379311003687647E-2</v>
      </c>
    </row>
    <row r="2186" spans="1:3" x14ac:dyDescent="0.3">
      <c r="A2186" s="28">
        <v>41946</v>
      </c>
      <c r="B2186" s="36">
        <v>53947</v>
      </c>
      <c r="C2186">
        <f t="shared" si="98"/>
        <v>-1.2484211682439739E-2</v>
      </c>
    </row>
    <row r="2187" spans="1:3" x14ac:dyDescent="0.3">
      <c r="A2187" s="28">
        <v>41947</v>
      </c>
      <c r="B2187" s="36">
        <v>54384</v>
      </c>
      <c r="C2187">
        <f t="shared" si="98"/>
        <v>8.1005431256604421E-3</v>
      </c>
    </row>
    <row r="2188" spans="1:3" x14ac:dyDescent="0.3">
      <c r="A2188" s="28">
        <v>41948</v>
      </c>
      <c r="B2188" s="36">
        <v>53698</v>
      </c>
      <c r="C2188">
        <f t="shared" si="98"/>
        <v>-1.2614004118858491E-2</v>
      </c>
    </row>
    <row r="2189" spans="1:3" x14ac:dyDescent="0.3">
      <c r="A2189" s="28">
        <v>41949</v>
      </c>
      <c r="B2189" s="36">
        <v>52637</v>
      </c>
      <c r="C2189">
        <f t="shared" si="98"/>
        <v>-1.9758650229058761E-2</v>
      </c>
    </row>
    <row r="2190" spans="1:3" x14ac:dyDescent="0.3">
      <c r="A2190" s="28">
        <v>41950</v>
      </c>
      <c r="B2190" s="36">
        <v>53223</v>
      </c>
      <c r="C2190">
        <f t="shared" si="98"/>
        <v>1.113285331610836E-2</v>
      </c>
    </row>
    <row r="2191" spans="1:3" x14ac:dyDescent="0.3">
      <c r="A2191" s="28">
        <v>41953</v>
      </c>
      <c r="B2191" s="36">
        <v>52725</v>
      </c>
      <c r="C2191">
        <f t="shared" si="98"/>
        <v>-9.3568569979144423E-3</v>
      </c>
    </row>
    <row r="2192" spans="1:3" x14ac:dyDescent="0.3">
      <c r="A2192" s="28">
        <v>41954</v>
      </c>
      <c r="B2192" s="36">
        <v>52474</v>
      </c>
      <c r="C2192">
        <f t="shared" si="98"/>
        <v>-4.760550023707899E-3</v>
      </c>
    </row>
    <row r="2193" spans="1:3" x14ac:dyDescent="0.3">
      <c r="A2193" s="28">
        <v>41955</v>
      </c>
      <c r="B2193" s="36">
        <v>52979</v>
      </c>
      <c r="C2193">
        <f t="shared" si="98"/>
        <v>9.6238136982125244E-3</v>
      </c>
    </row>
    <row r="2194" spans="1:3" x14ac:dyDescent="0.3">
      <c r="A2194" s="28">
        <v>41956</v>
      </c>
      <c r="B2194" s="36">
        <v>51846</v>
      </c>
      <c r="C2194">
        <f t="shared" si="98"/>
        <v>-2.1385832122161608E-2</v>
      </c>
    </row>
    <row r="2195" spans="1:3" x14ac:dyDescent="0.3">
      <c r="A2195" s="28">
        <v>41957</v>
      </c>
      <c r="B2195" s="36">
        <v>51772</v>
      </c>
      <c r="C2195">
        <f t="shared" si="98"/>
        <v>-1.4273039385873654E-3</v>
      </c>
    </row>
    <row r="2196" spans="1:3" x14ac:dyDescent="0.3">
      <c r="A2196" s="28">
        <v>41960</v>
      </c>
      <c r="B2196" s="36">
        <v>51257</v>
      </c>
      <c r="C2196">
        <f t="shared" si="98"/>
        <v>-9.9474619485435678E-3</v>
      </c>
    </row>
    <row r="2197" spans="1:3" x14ac:dyDescent="0.3">
      <c r="A2197" s="28">
        <v>41961</v>
      </c>
      <c r="B2197" s="36">
        <v>52062</v>
      </c>
      <c r="C2197">
        <f t="shared" si="98"/>
        <v>1.5705171976510446E-2</v>
      </c>
    </row>
    <row r="2198" spans="1:3" x14ac:dyDescent="0.3">
      <c r="A2198" s="28">
        <v>41962</v>
      </c>
      <c r="B2198" s="36">
        <v>53403</v>
      </c>
      <c r="C2198">
        <f t="shared" si="98"/>
        <v>2.5757750374553412E-2</v>
      </c>
    </row>
    <row r="2199" spans="1:3" x14ac:dyDescent="0.3">
      <c r="A2199" s="28">
        <v>41964</v>
      </c>
      <c r="B2199" s="36">
        <v>56084</v>
      </c>
      <c r="C2199">
        <f t="shared" si="98"/>
        <v>5.0203172106435989E-2</v>
      </c>
    </row>
    <row r="2200" spans="1:3" x14ac:dyDescent="0.3">
      <c r="A2200" s="28">
        <v>41967</v>
      </c>
      <c r="B2200" s="36">
        <v>55407</v>
      </c>
      <c r="C2200">
        <f t="shared" si="98"/>
        <v>-1.2071178945866956E-2</v>
      </c>
    </row>
    <row r="2201" spans="1:3" x14ac:dyDescent="0.3">
      <c r="A2201" s="28">
        <v>41968</v>
      </c>
      <c r="B2201" s="36">
        <v>55561</v>
      </c>
      <c r="C2201">
        <f t="shared" si="98"/>
        <v>2.7794322017073991E-3</v>
      </c>
    </row>
    <row r="2202" spans="1:3" x14ac:dyDescent="0.3">
      <c r="A2202" s="28">
        <v>41969</v>
      </c>
      <c r="B2202" s="36">
        <v>55098</v>
      </c>
      <c r="C2202">
        <f t="shared" si="98"/>
        <v>-8.3331833480319029E-3</v>
      </c>
    </row>
    <row r="2203" spans="1:3" x14ac:dyDescent="0.3">
      <c r="A2203" s="28">
        <v>41970</v>
      </c>
      <c r="B2203" s="36">
        <v>54721</v>
      </c>
      <c r="C2203">
        <f t="shared" si="98"/>
        <v>-6.8423536244509586E-3</v>
      </c>
    </row>
    <row r="2204" spans="1:3" x14ac:dyDescent="0.3">
      <c r="A2204" s="28">
        <v>41971</v>
      </c>
      <c r="B2204" s="36">
        <v>54664</v>
      </c>
      <c r="C2204">
        <f t="shared" si="98"/>
        <v>-1.0416476307084643E-3</v>
      </c>
    </row>
    <row r="2205" spans="1:3" x14ac:dyDescent="0.3">
      <c r="A2205" s="28">
        <v>41974</v>
      </c>
      <c r="B2205" s="36">
        <v>52276</v>
      </c>
      <c r="C2205">
        <f t="shared" si="98"/>
        <v>-4.3685057807697936E-2</v>
      </c>
    </row>
    <row r="2206" spans="1:3" x14ac:dyDescent="0.3">
      <c r="A2206" s="28">
        <v>41975</v>
      </c>
      <c r="B2206" s="36">
        <v>51612</v>
      </c>
      <c r="C2206">
        <f t="shared" si="98"/>
        <v>-1.2701813451679533E-2</v>
      </c>
    </row>
    <row r="2207" spans="1:3" x14ac:dyDescent="0.3">
      <c r="A2207" s="28">
        <v>41976</v>
      </c>
      <c r="B2207" s="36">
        <v>52320</v>
      </c>
      <c r="C2207">
        <f t="shared" si="98"/>
        <v>1.3717740060451122E-2</v>
      </c>
    </row>
    <row r="2208" spans="1:3" x14ac:dyDescent="0.3">
      <c r="A2208" s="28">
        <v>41977</v>
      </c>
      <c r="B2208" s="36">
        <v>51427</v>
      </c>
      <c r="C2208">
        <f t="shared" si="98"/>
        <v>-1.7068042813455642E-2</v>
      </c>
    </row>
    <row r="2209" spans="1:3" x14ac:dyDescent="0.3">
      <c r="A2209" s="28">
        <v>41978</v>
      </c>
      <c r="B2209" s="36">
        <v>51992</v>
      </c>
      <c r="C2209">
        <f t="shared" si="98"/>
        <v>1.0986446808096906E-2</v>
      </c>
    </row>
    <row r="2210" spans="1:3" x14ac:dyDescent="0.3">
      <c r="A2210" s="28">
        <v>41981</v>
      </c>
      <c r="B2210" s="36">
        <v>50274</v>
      </c>
      <c r="C2210">
        <f t="shared" si="98"/>
        <v>-3.3043545160793997E-2</v>
      </c>
    </row>
    <row r="2211" spans="1:3" x14ac:dyDescent="0.3">
      <c r="A2211" s="28">
        <v>41982</v>
      </c>
      <c r="B2211" s="36">
        <v>50193</v>
      </c>
      <c r="C2211">
        <f t="shared" si="98"/>
        <v>-1.6111707841031109E-3</v>
      </c>
    </row>
    <row r="2212" spans="1:3" x14ac:dyDescent="0.3">
      <c r="A2212" s="28">
        <v>41983</v>
      </c>
      <c r="B2212" s="36">
        <v>49548</v>
      </c>
      <c r="C2212">
        <f t="shared" si="98"/>
        <v>-1.2850397465782093E-2</v>
      </c>
    </row>
    <row r="2213" spans="1:3" x14ac:dyDescent="0.3">
      <c r="A2213" s="28">
        <v>41984</v>
      </c>
      <c r="B2213" s="36">
        <v>49861</v>
      </c>
      <c r="C2213">
        <f t="shared" si="98"/>
        <v>6.3171066440623758E-3</v>
      </c>
    </row>
    <row r="2214" spans="1:3" x14ac:dyDescent="0.3">
      <c r="A2214" s="28">
        <v>41985</v>
      </c>
      <c r="B2214" s="36">
        <v>48002</v>
      </c>
      <c r="C2214">
        <f t="shared" si="98"/>
        <v>-3.728364854294941E-2</v>
      </c>
    </row>
    <row r="2215" spans="1:3" x14ac:dyDescent="0.3">
      <c r="A2215" s="28">
        <v>41988</v>
      </c>
      <c r="B2215" s="36">
        <v>47019</v>
      </c>
      <c r="C2215">
        <f t="shared" si="98"/>
        <v>-2.0478313403608173E-2</v>
      </c>
    </row>
    <row r="2216" spans="1:3" x14ac:dyDescent="0.3">
      <c r="A2216" s="28">
        <v>41989</v>
      </c>
      <c r="B2216" s="36">
        <v>47008</v>
      </c>
      <c r="C2216">
        <f t="shared" si="98"/>
        <v>-2.3394797847675619E-4</v>
      </c>
    </row>
    <row r="2217" spans="1:3" x14ac:dyDescent="0.3">
      <c r="A2217" s="28">
        <v>41990</v>
      </c>
      <c r="B2217" s="36">
        <v>48714</v>
      </c>
      <c r="C2217">
        <f t="shared" si="98"/>
        <v>3.629169503063312E-2</v>
      </c>
    </row>
    <row r="2218" spans="1:3" x14ac:dyDescent="0.3">
      <c r="A2218" s="28">
        <v>41991</v>
      </c>
      <c r="B2218" s="36">
        <v>48496</v>
      </c>
      <c r="C2218">
        <f t="shared" si="98"/>
        <v>-4.4750995607012456E-3</v>
      </c>
    </row>
    <row r="2219" spans="1:3" x14ac:dyDescent="0.3">
      <c r="A2219" s="28">
        <v>41992</v>
      </c>
      <c r="B2219" s="36">
        <v>49651</v>
      </c>
      <c r="C2219">
        <f t="shared" si="98"/>
        <v>2.3816397228637376E-2</v>
      </c>
    </row>
    <row r="2220" spans="1:3" x14ac:dyDescent="0.3">
      <c r="A2220" s="28">
        <v>41995</v>
      </c>
      <c r="B2220" s="36">
        <v>50121</v>
      </c>
      <c r="C2220">
        <f t="shared" si="98"/>
        <v>9.4660731908722262E-3</v>
      </c>
    </row>
    <row r="2221" spans="1:3" x14ac:dyDescent="0.3">
      <c r="A2221" s="28">
        <v>41996</v>
      </c>
      <c r="B2221" s="36">
        <v>50890</v>
      </c>
      <c r="C2221">
        <f t="shared" si="98"/>
        <v>1.5342870253985286E-2</v>
      </c>
    </row>
    <row r="2222" spans="1:3" x14ac:dyDescent="0.3">
      <c r="A2222" s="28">
        <v>41999</v>
      </c>
      <c r="B2222" s="36">
        <v>50145</v>
      </c>
      <c r="C2222">
        <f t="shared" si="98"/>
        <v>-1.4639418353311062E-2</v>
      </c>
    </row>
    <row r="2223" spans="1:3" x14ac:dyDescent="0.3">
      <c r="A2223" s="28">
        <v>42002</v>
      </c>
      <c r="B2223" s="36">
        <v>50594</v>
      </c>
      <c r="C2223">
        <f t="shared" si="98"/>
        <v>8.9540333034201502E-3</v>
      </c>
    </row>
    <row r="2224" spans="1:3" x14ac:dyDescent="0.3">
      <c r="A2224" s="28">
        <v>42003</v>
      </c>
      <c r="B2224" s="36">
        <v>50007</v>
      </c>
      <c r="C2224">
        <f t="shared" si="98"/>
        <v>-1.1602166264774505E-2</v>
      </c>
    </row>
    <row r="2225" spans="1:3" x14ac:dyDescent="0.3">
      <c r="A2225" s="28">
        <v>42006</v>
      </c>
      <c r="B2225" s="36">
        <v>48512</v>
      </c>
      <c r="C2225">
        <f t="shared" si="98"/>
        <v>-2.9895814585957914E-2</v>
      </c>
    </row>
    <row r="2226" spans="1:3" x14ac:dyDescent="0.3">
      <c r="A2226" s="28">
        <v>42009</v>
      </c>
      <c r="B2226" s="36">
        <v>47517</v>
      </c>
      <c r="C2226">
        <f t="shared" si="98"/>
        <v>-2.0510389182058053E-2</v>
      </c>
    </row>
    <row r="2227" spans="1:3" x14ac:dyDescent="0.3">
      <c r="A2227" s="28">
        <v>42010</v>
      </c>
      <c r="B2227" s="36">
        <v>48001</v>
      </c>
      <c r="C2227">
        <f t="shared" si="98"/>
        <v>1.0185828229896776E-2</v>
      </c>
    </row>
    <row r="2228" spans="1:3" x14ac:dyDescent="0.3">
      <c r="A2228" s="28">
        <v>42011</v>
      </c>
      <c r="B2228" s="36">
        <v>49463</v>
      </c>
      <c r="C2228">
        <f t="shared" si="98"/>
        <v>3.045769879794169E-2</v>
      </c>
    </row>
    <row r="2229" spans="1:3" x14ac:dyDescent="0.3">
      <c r="A2229" s="28">
        <v>42012</v>
      </c>
      <c r="B2229" s="36">
        <v>49943</v>
      </c>
      <c r="C2229">
        <f t="shared" si="98"/>
        <v>9.7042233588742199E-3</v>
      </c>
    </row>
    <row r="2230" spans="1:3" x14ac:dyDescent="0.3">
      <c r="A2230" s="28">
        <v>42013</v>
      </c>
      <c r="B2230" s="36">
        <v>48840</v>
      </c>
      <c r="C2230">
        <f t="shared" si="98"/>
        <v>-2.208517710189617E-2</v>
      </c>
    </row>
    <row r="2231" spans="1:3" x14ac:dyDescent="0.3">
      <c r="A2231" s="28">
        <v>42016</v>
      </c>
      <c r="B2231" s="36">
        <v>48140</v>
      </c>
      <c r="C2231">
        <f t="shared" si="98"/>
        <v>-1.4332514332514368E-2</v>
      </c>
    </row>
    <row r="2232" spans="1:3" x14ac:dyDescent="0.3">
      <c r="A2232" s="28">
        <v>42017</v>
      </c>
      <c r="B2232" s="36">
        <v>48042</v>
      </c>
      <c r="C2232">
        <f t="shared" si="98"/>
        <v>-2.0357291233901176E-3</v>
      </c>
    </row>
    <row r="2233" spans="1:3" x14ac:dyDescent="0.3">
      <c r="A2233" s="28">
        <v>42018</v>
      </c>
      <c r="B2233" s="36">
        <v>47646</v>
      </c>
      <c r="C2233">
        <f t="shared" si="98"/>
        <v>-8.2427875608842571E-3</v>
      </c>
    </row>
    <row r="2234" spans="1:3" x14ac:dyDescent="0.3">
      <c r="A2234" s="28">
        <v>42019</v>
      </c>
      <c r="B2234" s="36">
        <v>48026</v>
      </c>
      <c r="C2234">
        <f t="shared" si="98"/>
        <v>7.9754858749947477E-3</v>
      </c>
    </row>
    <row r="2235" spans="1:3" x14ac:dyDescent="0.3">
      <c r="A2235" s="28">
        <v>42020</v>
      </c>
      <c r="B2235" s="36">
        <v>49017</v>
      </c>
      <c r="C2235">
        <f t="shared" si="98"/>
        <v>2.0634656227876524E-2</v>
      </c>
    </row>
    <row r="2236" spans="1:3" x14ac:dyDescent="0.3">
      <c r="A2236" s="28">
        <v>42023</v>
      </c>
      <c r="B2236" s="36">
        <v>47758</v>
      </c>
      <c r="C2236">
        <f t="shared" si="98"/>
        <v>-2.5684966440214674E-2</v>
      </c>
    </row>
    <row r="2237" spans="1:3" x14ac:dyDescent="0.3">
      <c r="A2237" s="28">
        <v>42024</v>
      </c>
      <c r="B2237" s="36">
        <v>47877</v>
      </c>
      <c r="C2237">
        <f t="shared" si="98"/>
        <v>2.4917291343857784E-3</v>
      </c>
    </row>
    <row r="2238" spans="1:3" x14ac:dyDescent="0.3">
      <c r="A2238" s="28">
        <v>42025</v>
      </c>
      <c r="B2238" s="36">
        <v>49224</v>
      </c>
      <c r="C2238">
        <f t="shared" si="98"/>
        <v>2.8134594899429821E-2</v>
      </c>
    </row>
    <row r="2239" spans="1:3" x14ac:dyDescent="0.3">
      <c r="A2239" s="28">
        <v>42026</v>
      </c>
      <c r="B2239" s="36">
        <v>49443</v>
      </c>
      <c r="C2239">
        <f t="shared" si="98"/>
        <v>4.4490492442710305E-3</v>
      </c>
    </row>
    <row r="2240" spans="1:3" x14ac:dyDescent="0.3">
      <c r="A2240" s="28">
        <v>42027</v>
      </c>
      <c r="B2240" s="36">
        <v>48775</v>
      </c>
      <c r="C2240">
        <f t="shared" si="98"/>
        <v>-1.3510507048520526E-2</v>
      </c>
    </row>
    <row r="2241" spans="1:3" x14ac:dyDescent="0.3">
      <c r="A2241" s="28">
        <v>42030</v>
      </c>
      <c r="B2241" s="36">
        <v>48577</v>
      </c>
      <c r="C2241">
        <f t="shared" si="98"/>
        <v>-4.0594566888775274E-3</v>
      </c>
    </row>
    <row r="2242" spans="1:3" x14ac:dyDescent="0.3">
      <c r="A2242" s="28">
        <v>42031</v>
      </c>
      <c r="B2242" s="36">
        <v>48591</v>
      </c>
      <c r="C2242">
        <f t="shared" si="98"/>
        <v>2.8820223562586733E-4</v>
      </c>
    </row>
    <row r="2243" spans="1:3" x14ac:dyDescent="0.3">
      <c r="A2243" s="28">
        <v>42032</v>
      </c>
      <c r="B2243" s="36">
        <v>47695</v>
      </c>
      <c r="C2243">
        <f t="shared" si="98"/>
        <v>-1.8439628737832114E-2</v>
      </c>
    </row>
    <row r="2244" spans="1:3" x14ac:dyDescent="0.3">
      <c r="A2244" s="28">
        <v>42033</v>
      </c>
      <c r="B2244" s="36">
        <v>47762</v>
      </c>
      <c r="C2244">
        <f t="shared" ref="C2244:C2307" si="99">B2244/B2243-1</f>
        <v>1.4047594087429616E-3</v>
      </c>
    </row>
    <row r="2245" spans="1:3" x14ac:dyDescent="0.3">
      <c r="A2245" s="28">
        <v>42034</v>
      </c>
      <c r="B2245" s="36">
        <v>46908</v>
      </c>
      <c r="C2245">
        <f t="shared" si="99"/>
        <v>-1.7880323269544807E-2</v>
      </c>
    </row>
    <row r="2246" spans="1:3" x14ac:dyDescent="0.3">
      <c r="A2246" s="28">
        <v>42037</v>
      </c>
      <c r="B2246" s="36">
        <v>47651</v>
      </c>
      <c r="C2246">
        <f t="shared" si="99"/>
        <v>1.5839515647650737E-2</v>
      </c>
    </row>
    <row r="2247" spans="1:3" x14ac:dyDescent="0.3">
      <c r="A2247" s="28">
        <v>42038</v>
      </c>
      <c r="B2247" s="36">
        <v>48964</v>
      </c>
      <c r="C2247">
        <f t="shared" si="99"/>
        <v>2.7554510923170517E-2</v>
      </c>
    </row>
    <row r="2248" spans="1:3" x14ac:dyDescent="0.3">
      <c r="A2248" s="28">
        <v>42039</v>
      </c>
      <c r="B2248" s="36">
        <v>49301</v>
      </c>
      <c r="C2248">
        <f t="shared" si="99"/>
        <v>6.8826076300956274E-3</v>
      </c>
    </row>
    <row r="2249" spans="1:3" x14ac:dyDescent="0.3">
      <c r="A2249" s="28">
        <v>42040</v>
      </c>
      <c r="B2249" s="36">
        <v>49234</v>
      </c>
      <c r="C2249">
        <f t="shared" si="99"/>
        <v>-1.3589988032697287E-3</v>
      </c>
    </row>
    <row r="2250" spans="1:3" x14ac:dyDescent="0.3">
      <c r="A2250" s="28">
        <v>42041</v>
      </c>
      <c r="B2250" s="36">
        <v>48792</v>
      </c>
      <c r="C2250">
        <f t="shared" si="99"/>
        <v>-8.9775358492099055E-3</v>
      </c>
    </row>
    <row r="2251" spans="1:3" x14ac:dyDescent="0.3">
      <c r="A2251" s="28">
        <v>42044</v>
      </c>
      <c r="B2251" s="36">
        <v>49383</v>
      </c>
      <c r="C2251">
        <f t="shared" si="99"/>
        <v>1.2112641416625713E-2</v>
      </c>
    </row>
    <row r="2252" spans="1:3" x14ac:dyDescent="0.3">
      <c r="A2252" s="28">
        <v>42045</v>
      </c>
      <c r="B2252" s="36">
        <v>48510</v>
      </c>
      <c r="C2252">
        <f t="shared" si="99"/>
        <v>-1.7678148350646961E-2</v>
      </c>
    </row>
    <row r="2253" spans="1:3" x14ac:dyDescent="0.3">
      <c r="A2253" s="28">
        <v>42046</v>
      </c>
      <c r="B2253" s="36">
        <v>48240</v>
      </c>
      <c r="C2253">
        <f t="shared" si="99"/>
        <v>-5.5658627087198376E-3</v>
      </c>
    </row>
    <row r="2254" spans="1:3" x14ac:dyDescent="0.3">
      <c r="A2254" s="28">
        <v>42047</v>
      </c>
      <c r="B2254" s="36">
        <v>49533</v>
      </c>
      <c r="C2254">
        <f t="shared" si="99"/>
        <v>2.6803482587064664E-2</v>
      </c>
    </row>
    <row r="2255" spans="1:3" x14ac:dyDescent="0.3">
      <c r="A2255" s="28">
        <v>42048</v>
      </c>
      <c r="B2255" s="36">
        <v>50636</v>
      </c>
      <c r="C2255">
        <f t="shared" si="99"/>
        <v>2.2267982960854305E-2</v>
      </c>
    </row>
    <row r="2256" spans="1:3" x14ac:dyDescent="0.3">
      <c r="A2256" s="28">
        <v>42053</v>
      </c>
      <c r="B2256" s="36">
        <v>51280</v>
      </c>
      <c r="C2256">
        <f t="shared" si="99"/>
        <v>1.2718224188324578E-2</v>
      </c>
    </row>
    <row r="2257" spans="1:3" x14ac:dyDescent="0.3">
      <c r="A2257" s="28">
        <v>42054</v>
      </c>
      <c r="B2257" s="36">
        <v>51294</v>
      </c>
      <c r="C2257">
        <f t="shared" si="99"/>
        <v>2.730109204367448E-4</v>
      </c>
    </row>
    <row r="2258" spans="1:3" x14ac:dyDescent="0.3">
      <c r="A2258" s="28">
        <v>42055</v>
      </c>
      <c r="B2258" s="36">
        <v>51238</v>
      </c>
      <c r="C2258">
        <f t="shared" si="99"/>
        <v>-1.0917456232697464E-3</v>
      </c>
    </row>
    <row r="2259" spans="1:3" x14ac:dyDescent="0.3">
      <c r="A2259" s="28">
        <v>42058</v>
      </c>
      <c r="B2259" s="36">
        <v>51281</v>
      </c>
      <c r="C2259">
        <f t="shared" si="99"/>
        <v>8.3922089074506268E-4</v>
      </c>
    </row>
    <row r="2260" spans="1:3" x14ac:dyDescent="0.3">
      <c r="A2260" s="28">
        <v>42059</v>
      </c>
      <c r="B2260" s="36">
        <v>51874</v>
      </c>
      <c r="C2260">
        <f t="shared" si="99"/>
        <v>1.1563737056609735E-2</v>
      </c>
    </row>
    <row r="2261" spans="1:3" x14ac:dyDescent="0.3">
      <c r="A2261" s="28">
        <v>42060</v>
      </c>
      <c r="B2261" s="36">
        <v>51811</v>
      </c>
      <c r="C2261">
        <f t="shared" si="99"/>
        <v>-1.2144812430119334E-3</v>
      </c>
    </row>
    <row r="2262" spans="1:3" x14ac:dyDescent="0.3">
      <c r="A2262" s="28">
        <v>42061</v>
      </c>
      <c r="B2262" s="36">
        <v>51761</v>
      </c>
      <c r="C2262">
        <f t="shared" si="99"/>
        <v>-9.6504603269575995E-4</v>
      </c>
    </row>
    <row r="2263" spans="1:3" x14ac:dyDescent="0.3">
      <c r="A2263" s="28">
        <v>42062</v>
      </c>
      <c r="B2263" s="36">
        <v>51583</v>
      </c>
      <c r="C2263">
        <f t="shared" si="99"/>
        <v>-3.4388825563648195E-3</v>
      </c>
    </row>
    <row r="2264" spans="1:3" x14ac:dyDescent="0.3">
      <c r="A2264" s="28">
        <v>42065</v>
      </c>
      <c r="B2264" s="36">
        <v>51021</v>
      </c>
      <c r="C2264">
        <f t="shared" si="99"/>
        <v>-1.0895062326735538E-2</v>
      </c>
    </row>
    <row r="2265" spans="1:3" x14ac:dyDescent="0.3">
      <c r="A2265" s="28">
        <v>42066</v>
      </c>
      <c r="B2265" s="36">
        <v>51304</v>
      </c>
      <c r="C2265">
        <f t="shared" si="99"/>
        <v>5.5467356578664528E-3</v>
      </c>
    </row>
    <row r="2266" spans="1:3" x14ac:dyDescent="0.3">
      <c r="A2266" s="28">
        <v>42067</v>
      </c>
      <c r="B2266" s="36">
        <v>50468</v>
      </c>
      <c r="C2266">
        <f t="shared" si="99"/>
        <v>-1.6295025728988E-2</v>
      </c>
    </row>
    <row r="2267" spans="1:3" x14ac:dyDescent="0.3">
      <c r="A2267" s="28">
        <v>42068</v>
      </c>
      <c r="B2267" s="36">
        <v>50365</v>
      </c>
      <c r="C2267">
        <f t="shared" si="99"/>
        <v>-2.0408972021874749E-3</v>
      </c>
    </row>
    <row r="2268" spans="1:3" x14ac:dyDescent="0.3">
      <c r="A2268" s="28">
        <v>42069</v>
      </c>
      <c r="B2268" s="36">
        <v>49981</v>
      </c>
      <c r="C2268">
        <f t="shared" si="99"/>
        <v>-7.6243423012012368E-3</v>
      </c>
    </row>
    <row r="2269" spans="1:3" x14ac:dyDescent="0.3">
      <c r="A2269" s="28">
        <v>42072</v>
      </c>
      <c r="B2269" s="36">
        <v>49181</v>
      </c>
      <c r="C2269">
        <f t="shared" si="99"/>
        <v>-1.6006082311278313E-2</v>
      </c>
    </row>
    <row r="2270" spans="1:3" x14ac:dyDescent="0.3">
      <c r="A2270" s="28">
        <v>42073</v>
      </c>
      <c r="B2270" s="36">
        <v>48293</v>
      </c>
      <c r="C2270">
        <f t="shared" si="99"/>
        <v>-1.8055753238039096E-2</v>
      </c>
    </row>
    <row r="2271" spans="1:3" x14ac:dyDescent="0.3">
      <c r="A2271" s="28">
        <v>42074</v>
      </c>
      <c r="B2271" s="36">
        <v>48906</v>
      </c>
      <c r="C2271">
        <f t="shared" si="99"/>
        <v>1.2693351003250974E-2</v>
      </c>
    </row>
    <row r="2272" spans="1:3" x14ac:dyDescent="0.3">
      <c r="A2272" s="28">
        <v>42075</v>
      </c>
      <c r="B2272" s="36">
        <v>48880</v>
      </c>
      <c r="C2272">
        <f t="shared" si="99"/>
        <v>-5.3163211057949411E-4</v>
      </c>
    </row>
    <row r="2273" spans="1:3" x14ac:dyDescent="0.3">
      <c r="A2273" s="28">
        <v>42076</v>
      </c>
      <c r="B2273" s="36">
        <v>48596</v>
      </c>
      <c r="C2273">
        <f t="shared" si="99"/>
        <v>-5.8101472995090164E-3</v>
      </c>
    </row>
    <row r="2274" spans="1:3" x14ac:dyDescent="0.3">
      <c r="A2274" s="28">
        <v>42079</v>
      </c>
      <c r="B2274" s="36">
        <v>48848</v>
      </c>
      <c r="C2274">
        <f t="shared" si="99"/>
        <v>5.1856119845254955E-3</v>
      </c>
    </row>
    <row r="2275" spans="1:3" x14ac:dyDescent="0.3">
      <c r="A2275" s="28">
        <v>42080</v>
      </c>
      <c r="B2275" s="36">
        <v>50285</v>
      </c>
      <c r="C2275">
        <f t="shared" si="99"/>
        <v>2.9417785784474182E-2</v>
      </c>
    </row>
    <row r="2276" spans="1:3" x14ac:dyDescent="0.3">
      <c r="A2276" s="28">
        <v>42081</v>
      </c>
      <c r="B2276" s="36">
        <v>51526</v>
      </c>
      <c r="C2276">
        <f t="shared" si="99"/>
        <v>2.4679327831361286E-2</v>
      </c>
    </row>
    <row r="2277" spans="1:3" x14ac:dyDescent="0.3">
      <c r="A2277" s="28">
        <v>42082</v>
      </c>
      <c r="B2277" s="36">
        <v>50954</v>
      </c>
      <c r="C2277">
        <f t="shared" si="99"/>
        <v>-1.1101191631409435E-2</v>
      </c>
    </row>
    <row r="2278" spans="1:3" x14ac:dyDescent="0.3">
      <c r="A2278" s="28">
        <v>42083</v>
      </c>
      <c r="B2278" s="36">
        <v>51967</v>
      </c>
      <c r="C2278">
        <f t="shared" si="99"/>
        <v>1.9880676688778021E-2</v>
      </c>
    </row>
    <row r="2279" spans="1:3" x14ac:dyDescent="0.3">
      <c r="A2279" s="28">
        <v>42086</v>
      </c>
      <c r="B2279" s="36">
        <v>51908</v>
      </c>
      <c r="C2279">
        <f t="shared" si="99"/>
        <v>-1.135335886235489E-3</v>
      </c>
    </row>
    <row r="2280" spans="1:3" x14ac:dyDescent="0.3">
      <c r="A2280" s="28">
        <v>42087</v>
      </c>
      <c r="B2280" s="36">
        <v>51506</v>
      </c>
      <c r="C2280">
        <f t="shared" si="99"/>
        <v>-7.7444709871310469E-3</v>
      </c>
    </row>
    <row r="2281" spans="1:3" x14ac:dyDescent="0.3">
      <c r="A2281" s="28">
        <v>42088</v>
      </c>
      <c r="B2281" s="36">
        <v>51858</v>
      </c>
      <c r="C2281">
        <f t="shared" si="99"/>
        <v>6.8341552440491782E-3</v>
      </c>
    </row>
    <row r="2282" spans="1:3" x14ac:dyDescent="0.3">
      <c r="A2282" s="28">
        <v>42089</v>
      </c>
      <c r="B2282" s="36">
        <v>50580</v>
      </c>
      <c r="C2282">
        <f t="shared" si="99"/>
        <v>-2.4644220756681712E-2</v>
      </c>
    </row>
    <row r="2283" spans="1:3" x14ac:dyDescent="0.3">
      <c r="A2283" s="28">
        <v>42090</v>
      </c>
      <c r="B2283" s="36">
        <v>50095</v>
      </c>
      <c r="C2283">
        <f t="shared" si="99"/>
        <v>-9.5887702649268824E-3</v>
      </c>
    </row>
    <row r="2284" spans="1:3" x14ac:dyDescent="0.3">
      <c r="A2284" s="28">
        <v>42093</v>
      </c>
      <c r="B2284" s="36">
        <v>51243</v>
      </c>
      <c r="C2284">
        <f t="shared" si="99"/>
        <v>2.2916458728416078E-2</v>
      </c>
    </row>
    <row r="2285" spans="1:3" x14ac:dyDescent="0.3">
      <c r="A2285" s="28">
        <v>42094</v>
      </c>
      <c r="B2285" s="36">
        <v>51150</v>
      </c>
      <c r="C2285">
        <f t="shared" si="99"/>
        <v>-1.8148820326678861E-3</v>
      </c>
    </row>
    <row r="2286" spans="1:3" x14ac:dyDescent="0.3">
      <c r="A2286" s="28">
        <v>42095</v>
      </c>
      <c r="B2286" s="36">
        <v>52322</v>
      </c>
      <c r="C2286">
        <f t="shared" si="99"/>
        <v>2.2913000977517139E-2</v>
      </c>
    </row>
    <row r="2287" spans="1:3" x14ac:dyDescent="0.3">
      <c r="A2287" s="28">
        <v>42096</v>
      </c>
      <c r="B2287" s="36">
        <v>53123</v>
      </c>
      <c r="C2287">
        <f t="shared" si="99"/>
        <v>1.5309047819273003E-2</v>
      </c>
    </row>
    <row r="2288" spans="1:3" x14ac:dyDescent="0.3">
      <c r="A2288" s="28">
        <v>42100</v>
      </c>
      <c r="B2288" s="36">
        <v>53737</v>
      </c>
      <c r="C2288">
        <f t="shared" si="99"/>
        <v>1.1558082186623464E-2</v>
      </c>
    </row>
    <row r="2289" spans="1:3" x14ac:dyDescent="0.3">
      <c r="A2289" s="28">
        <v>42101</v>
      </c>
      <c r="B2289" s="36">
        <v>53729</v>
      </c>
      <c r="C2289">
        <f t="shared" si="99"/>
        <v>-1.4887321584755586E-4</v>
      </c>
    </row>
    <row r="2290" spans="1:3" x14ac:dyDescent="0.3">
      <c r="A2290" s="28">
        <v>42102</v>
      </c>
      <c r="B2290" s="36">
        <v>53661</v>
      </c>
      <c r="C2290">
        <f t="shared" si="99"/>
        <v>-1.2656107502465597E-3</v>
      </c>
    </row>
    <row r="2291" spans="1:3" x14ac:dyDescent="0.3">
      <c r="A2291" s="28">
        <v>42103</v>
      </c>
      <c r="B2291" s="36">
        <v>53803</v>
      </c>
      <c r="C2291">
        <f t="shared" si="99"/>
        <v>2.646242149792144E-3</v>
      </c>
    </row>
    <row r="2292" spans="1:3" x14ac:dyDescent="0.3">
      <c r="A2292" s="28">
        <v>42104</v>
      </c>
      <c r="B2292" s="36">
        <v>54214</v>
      </c>
      <c r="C2292">
        <f t="shared" si="99"/>
        <v>7.6389792390758604E-3</v>
      </c>
    </row>
    <row r="2293" spans="1:3" x14ac:dyDescent="0.3">
      <c r="A2293" s="28">
        <v>42107</v>
      </c>
      <c r="B2293" s="36">
        <v>54240</v>
      </c>
      <c r="C2293">
        <f t="shared" si="99"/>
        <v>4.7958092005750963E-4</v>
      </c>
    </row>
    <row r="2294" spans="1:3" x14ac:dyDescent="0.3">
      <c r="A2294" s="28">
        <v>42108</v>
      </c>
      <c r="B2294" s="36">
        <v>53982</v>
      </c>
      <c r="C2294">
        <f t="shared" si="99"/>
        <v>-4.7566371681415642E-3</v>
      </c>
    </row>
    <row r="2295" spans="1:3" x14ac:dyDescent="0.3">
      <c r="A2295" s="28">
        <v>42109</v>
      </c>
      <c r="B2295" s="36">
        <v>54919</v>
      </c>
      <c r="C2295">
        <f t="shared" si="99"/>
        <v>1.7357637731095554E-2</v>
      </c>
    </row>
    <row r="2296" spans="1:3" x14ac:dyDescent="0.3">
      <c r="A2296" s="28">
        <v>42110</v>
      </c>
      <c r="B2296" s="36">
        <v>54674</v>
      </c>
      <c r="C2296">
        <f t="shared" si="99"/>
        <v>-4.4611154609516257E-3</v>
      </c>
    </row>
    <row r="2297" spans="1:3" x14ac:dyDescent="0.3">
      <c r="A2297" s="28">
        <v>42111</v>
      </c>
      <c r="B2297" s="36">
        <v>53955</v>
      </c>
      <c r="C2297">
        <f t="shared" si="99"/>
        <v>-1.3150674909463311E-2</v>
      </c>
    </row>
    <row r="2298" spans="1:3" x14ac:dyDescent="0.3">
      <c r="A2298" s="28">
        <v>42114</v>
      </c>
      <c r="B2298" s="36">
        <v>53761</v>
      </c>
      <c r="C2298">
        <f t="shared" si="99"/>
        <v>-3.5955889166898736E-3</v>
      </c>
    </row>
    <row r="2299" spans="1:3" x14ac:dyDescent="0.3">
      <c r="A2299" s="28">
        <v>42116</v>
      </c>
      <c r="B2299" s="36">
        <v>54617</v>
      </c>
      <c r="C2299">
        <f t="shared" si="99"/>
        <v>1.5922322873458405E-2</v>
      </c>
    </row>
    <row r="2300" spans="1:3" x14ac:dyDescent="0.3">
      <c r="A2300" s="28">
        <v>42117</v>
      </c>
      <c r="B2300" s="36">
        <v>55685</v>
      </c>
      <c r="C2300">
        <f t="shared" si="99"/>
        <v>1.9554351209330356E-2</v>
      </c>
    </row>
    <row r="2301" spans="1:3" x14ac:dyDescent="0.3">
      <c r="A2301" s="28">
        <v>42118</v>
      </c>
      <c r="B2301" s="36">
        <v>56594</v>
      </c>
      <c r="C2301">
        <f t="shared" si="99"/>
        <v>1.6323965161174403E-2</v>
      </c>
    </row>
    <row r="2302" spans="1:3" x14ac:dyDescent="0.3">
      <c r="A2302" s="28">
        <v>42121</v>
      </c>
      <c r="B2302" s="36">
        <v>55535</v>
      </c>
      <c r="C2302">
        <f t="shared" si="99"/>
        <v>-1.8712230978549016E-2</v>
      </c>
    </row>
    <row r="2303" spans="1:3" x14ac:dyDescent="0.3">
      <c r="A2303" s="28">
        <v>42122</v>
      </c>
      <c r="B2303" s="36">
        <v>55812</v>
      </c>
      <c r="C2303">
        <f t="shared" si="99"/>
        <v>4.9878455028360413E-3</v>
      </c>
    </row>
    <row r="2304" spans="1:3" x14ac:dyDescent="0.3">
      <c r="A2304" s="28">
        <v>42123</v>
      </c>
      <c r="B2304" s="36">
        <v>55325</v>
      </c>
      <c r="C2304">
        <f t="shared" si="99"/>
        <v>-8.7257220669390012E-3</v>
      </c>
    </row>
    <row r="2305" spans="1:3" x14ac:dyDescent="0.3">
      <c r="A2305" s="28">
        <v>42124</v>
      </c>
      <c r="B2305" s="36">
        <v>56229</v>
      </c>
      <c r="C2305">
        <f t="shared" si="99"/>
        <v>1.6339810212381289E-2</v>
      </c>
    </row>
    <row r="2306" spans="1:3" x14ac:dyDescent="0.3">
      <c r="A2306" s="28">
        <v>42128</v>
      </c>
      <c r="B2306" s="36">
        <v>57354</v>
      </c>
      <c r="C2306">
        <f t="shared" si="99"/>
        <v>2.0007469455263216E-2</v>
      </c>
    </row>
    <row r="2307" spans="1:3" x14ac:dyDescent="0.3">
      <c r="A2307" s="28">
        <v>42129</v>
      </c>
      <c r="B2307" s="36">
        <v>58052</v>
      </c>
      <c r="C2307">
        <f t="shared" si="99"/>
        <v>1.2170031732747555E-2</v>
      </c>
    </row>
    <row r="2308" spans="1:3" x14ac:dyDescent="0.3">
      <c r="A2308" s="28">
        <v>42130</v>
      </c>
      <c r="B2308" s="36">
        <v>57103</v>
      </c>
      <c r="C2308">
        <f t="shared" ref="C2308:C2371" si="100">B2308/B2307-1</f>
        <v>-1.6347412664507677E-2</v>
      </c>
    </row>
    <row r="2309" spans="1:3" x14ac:dyDescent="0.3">
      <c r="A2309" s="28">
        <v>42131</v>
      </c>
      <c r="B2309" s="36">
        <v>56921</v>
      </c>
      <c r="C2309">
        <f t="shared" si="100"/>
        <v>-3.1872230881039298E-3</v>
      </c>
    </row>
    <row r="2310" spans="1:3" x14ac:dyDescent="0.3">
      <c r="A2310" s="28">
        <v>42132</v>
      </c>
      <c r="B2310" s="36">
        <v>57149</v>
      </c>
      <c r="C2310">
        <f t="shared" si="100"/>
        <v>4.0055515539081377E-3</v>
      </c>
    </row>
    <row r="2311" spans="1:3" x14ac:dyDescent="0.3">
      <c r="A2311" s="28">
        <v>42135</v>
      </c>
      <c r="B2311" s="36">
        <v>57197</v>
      </c>
      <c r="C2311">
        <f t="shared" si="100"/>
        <v>8.3990970970626577E-4</v>
      </c>
    </row>
    <row r="2312" spans="1:3" x14ac:dyDescent="0.3">
      <c r="A2312" s="28">
        <v>42136</v>
      </c>
      <c r="B2312" s="36">
        <v>56792</v>
      </c>
      <c r="C2312">
        <f t="shared" si="100"/>
        <v>-7.0807909505743449E-3</v>
      </c>
    </row>
    <row r="2313" spans="1:3" x14ac:dyDescent="0.3">
      <c r="A2313" s="28">
        <v>42137</v>
      </c>
      <c r="B2313" s="36">
        <v>56372</v>
      </c>
      <c r="C2313">
        <f t="shared" si="100"/>
        <v>-7.3954078039160098E-3</v>
      </c>
    </row>
    <row r="2314" spans="1:3" x14ac:dyDescent="0.3">
      <c r="A2314" s="28">
        <v>42138</v>
      </c>
      <c r="B2314" s="36">
        <v>56657</v>
      </c>
      <c r="C2314">
        <f t="shared" si="100"/>
        <v>5.0557014120484745E-3</v>
      </c>
    </row>
    <row r="2315" spans="1:3" x14ac:dyDescent="0.3">
      <c r="A2315" s="28">
        <v>42139</v>
      </c>
      <c r="B2315" s="36">
        <v>57249</v>
      </c>
      <c r="C2315">
        <f t="shared" si="100"/>
        <v>1.0448841272923115E-2</v>
      </c>
    </row>
    <row r="2316" spans="1:3" x14ac:dyDescent="0.3">
      <c r="A2316" s="28">
        <v>42142</v>
      </c>
      <c r="B2316" s="36">
        <v>56204</v>
      </c>
      <c r="C2316">
        <f t="shared" si="100"/>
        <v>-1.8253593949239311E-2</v>
      </c>
    </row>
    <row r="2317" spans="1:3" x14ac:dyDescent="0.3">
      <c r="A2317" s="28">
        <v>42143</v>
      </c>
      <c r="B2317" s="36">
        <v>55499</v>
      </c>
      <c r="C2317">
        <f t="shared" si="100"/>
        <v>-1.2543591203473037E-2</v>
      </c>
    </row>
    <row r="2318" spans="1:3" x14ac:dyDescent="0.3">
      <c r="A2318" s="28">
        <v>42144</v>
      </c>
      <c r="B2318" s="36">
        <v>54901</v>
      </c>
      <c r="C2318">
        <f t="shared" si="100"/>
        <v>-1.077496891835894E-2</v>
      </c>
    </row>
    <row r="2319" spans="1:3" x14ac:dyDescent="0.3">
      <c r="A2319" s="28">
        <v>42145</v>
      </c>
      <c r="B2319" s="36">
        <v>55112</v>
      </c>
      <c r="C2319">
        <f t="shared" si="100"/>
        <v>3.8432815431412859E-3</v>
      </c>
    </row>
    <row r="2320" spans="1:3" x14ac:dyDescent="0.3">
      <c r="A2320" s="28">
        <v>42146</v>
      </c>
      <c r="B2320" s="36">
        <v>54377</v>
      </c>
      <c r="C2320">
        <f t="shared" si="100"/>
        <v>-1.3336478443896072E-2</v>
      </c>
    </row>
    <row r="2321" spans="1:3" x14ac:dyDescent="0.3">
      <c r="A2321" s="28">
        <v>42149</v>
      </c>
      <c r="B2321" s="36">
        <v>54609</v>
      </c>
      <c r="C2321">
        <f t="shared" si="100"/>
        <v>4.2665097375729211E-3</v>
      </c>
    </row>
    <row r="2322" spans="1:3" x14ac:dyDescent="0.3">
      <c r="A2322" s="28">
        <v>42150</v>
      </c>
      <c r="B2322" s="36">
        <v>53630</v>
      </c>
      <c r="C2322">
        <f t="shared" si="100"/>
        <v>-1.7927447856580403E-2</v>
      </c>
    </row>
    <row r="2323" spans="1:3" x14ac:dyDescent="0.3">
      <c r="A2323" s="28">
        <v>42151</v>
      </c>
      <c r="B2323" s="36">
        <v>54236</v>
      </c>
      <c r="C2323">
        <f t="shared" si="100"/>
        <v>1.1299645720678653E-2</v>
      </c>
    </row>
    <row r="2324" spans="1:3" x14ac:dyDescent="0.3">
      <c r="A2324" s="28">
        <v>42152</v>
      </c>
      <c r="B2324" s="36">
        <v>53976</v>
      </c>
      <c r="C2324">
        <f t="shared" si="100"/>
        <v>-4.7938638542665002E-3</v>
      </c>
    </row>
    <row r="2325" spans="1:3" x14ac:dyDescent="0.3">
      <c r="A2325" s="28">
        <v>42153</v>
      </c>
      <c r="B2325" s="36">
        <v>52760</v>
      </c>
      <c r="C2325">
        <f t="shared" si="100"/>
        <v>-2.2528531199051405E-2</v>
      </c>
    </row>
    <row r="2326" spans="1:3" x14ac:dyDescent="0.3">
      <c r="A2326" s="28">
        <v>42156</v>
      </c>
      <c r="B2326" s="36">
        <v>53031</v>
      </c>
      <c r="C2326">
        <f t="shared" si="100"/>
        <v>5.1364670204701035E-3</v>
      </c>
    </row>
    <row r="2327" spans="1:3" x14ac:dyDescent="0.3">
      <c r="A2327" s="28">
        <v>42157</v>
      </c>
      <c r="B2327" s="36">
        <v>54236</v>
      </c>
      <c r="C2327">
        <f t="shared" si="100"/>
        <v>2.2722558503516899E-2</v>
      </c>
    </row>
    <row r="2328" spans="1:3" x14ac:dyDescent="0.3">
      <c r="A2328" s="28">
        <v>42158</v>
      </c>
      <c r="B2328" s="36">
        <v>53523</v>
      </c>
      <c r="C2328">
        <f t="shared" si="100"/>
        <v>-1.3146249723430925E-2</v>
      </c>
    </row>
    <row r="2329" spans="1:3" x14ac:dyDescent="0.3">
      <c r="A2329" s="28">
        <v>42160</v>
      </c>
      <c r="B2329" s="36">
        <v>52973</v>
      </c>
      <c r="C2329">
        <f t="shared" si="100"/>
        <v>-1.0275956131009067E-2</v>
      </c>
    </row>
    <row r="2330" spans="1:3" x14ac:dyDescent="0.3">
      <c r="A2330" s="28">
        <v>42163</v>
      </c>
      <c r="B2330" s="36">
        <v>52810</v>
      </c>
      <c r="C2330">
        <f t="shared" si="100"/>
        <v>-3.0770392464085639E-3</v>
      </c>
    </row>
    <row r="2331" spans="1:3" x14ac:dyDescent="0.3">
      <c r="A2331" s="28">
        <v>42164</v>
      </c>
      <c r="B2331" s="36">
        <v>52816</v>
      </c>
      <c r="C2331">
        <f t="shared" si="100"/>
        <v>1.1361484567307123E-4</v>
      </c>
    </row>
    <row r="2332" spans="1:3" x14ac:dyDescent="0.3">
      <c r="A2332" s="28">
        <v>42165</v>
      </c>
      <c r="B2332" s="36">
        <v>53876</v>
      </c>
      <c r="C2332">
        <f t="shared" si="100"/>
        <v>2.0069675855801217E-2</v>
      </c>
    </row>
    <row r="2333" spans="1:3" x14ac:dyDescent="0.3">
      <c r="A2333" s="28">
        <v>42166</v>
      </c>
      <c r="B2333" s="36">
        <v>53689</v>
      </c>
      <c r="C2333">
        <f t="shared" si="100"/>
        <v>-3.4709332541391635E-3</v>
      </c>
    </row>
    <row r="2334" spans="1:3" x14ac:dyDescent="0.3">
      <c r="A2334" s="28">
        <v>42167</v>
      </c>
      <c r="B2334" s="36">
        <v>53348</v>
      </c>
      <c r="C2334">
        <f t="shared" si="100"/>
        <v>-6.3513941403267049E-3</v>
      </c>
    </row>
    <row r="2335" spans="1:3" x14ac:dyDescent="0.3">
      <c r="A2335" s="28">
        <v>42170</v>
      </c>
      <c r="B2335" s="36">
        <v>53138</v>
      </c>
      <c r="C2335">
        <f t="shared" si="100"/>
        <v>-3.936417485191579E-3</v>
      </c>
    </row>
    <row r="2336" spans="1:3" x14ac:dyDescent="0.3">
      <c r="A2336" s="28">
        <v>42171</v>
      </c>
      <c r="B2336" s="36">
        <v>53702</v>
      </c>
      <c r="C2336">
        <f t="shared" si="100"/>
        <v>1.0613873311001498E-2</v>
      </c>
    </row>
    <row r="2337" spans="1:3" x14ac:dyDescent="0.3">
      <c r="A2337" s="28">
        <v>42172</v>
      </c>
      <c r="B2337" s="36">
        <v>53249</v>
      </c>
      <c r="C2337">
        <f t="shared" si="100"/>
        <v>-8.4354400208558333E-3</v>
      </c>
    </row>
    <row r="2338" spans="1:3" x14ac:dyDescent="0.3">
      <c r="A2338" s="28">
        <v>42173</v>
      </c>
      <c r="B2338" s="36">
        <v>54239</v>
      </c>
      <c r="C2338">
        <f t="shared" si="100"/>
        <v>1.8591898439407339E-2</v>
      </c>
    </row>
    <row r="2339" spans="1:3" x14ac:dyDescent="0.3">
      <c r="A2339" s="28">
        <v>42174</v>
      </c>
      <c r="B2339" s="36">
        <v>53749</v>
      </c>
      <c r="C2339">
        <f t="shared" si="100"/>
        <v>-9.0340898615387522E-3</v>
      </c>
    </row>
    <row r="2340" spans="1:3" x14ac:dyDescent="0.3">
      <c r="A2340" s="28">
        <v>42177</v>
      </c>
      <c r="B2340" s="36">
        <v>53864</v>
      </c>
      <c r="C2340">
        <f t="shared" si="100"/>
        <v>2.1395746897616696E-3</v>
      </c>
    </row>
    <row r="2341" spans="1:3" x14ac:dyDescent="0.3">
      <c r="A2341" s="28">
        <v>42178</v>
      </c>
      <c r="B2341" s="36">
        <v>53772</v>
      </c>
      <c r="C2341">
        <f t="shared" si="100"/>
        <v>-1.7080053467993794E-3</v>
      </c>
    </row>
    <row r="2342" spans="1:3" x14ac:dyDescent="0.3">
      <c r="A2342" s="28">
        <v>42179</v>
      </c>
      <c r="B2342" s="36">
        <v>53843</v>
      </c>
      <c r="C2342">
        <f t="shared" si="100"/>
        <v>1.3203897939448872E-3</v>
      </c>
    </row>
    <row r="2343" spans="1:3" x14ac:dyDescent="0.3">
      <c r="A2343" s="28">
        <v>42180</v>
      </c>
      <c r="B2343" s="36">
        <v>53176</v>
      </c>
      <c r="C2343">
        <f t="shared" si="100"/>
        <v>-1.2387868432293891E-2</v>
      </c>
    </row>
    <row r="2344" spans="1:3" x14ac:dyDescent="0.3">
      <c r="A2344" s="28">
        <v>42181</v>
      </c>
      <c r="B2344" s="36">
        <v>54017</v>
      </c>
      <c r="C2344">
        <f t="shared" si="100"/>
        <v>1.5815405446065967E-2</v>
      </c>
    </row>
    <row r="2345" spans="1:3" x14ac:dyDescent="0.3">
      <c r="A2345" s="28">
        <v>42184</v>
      </c>
      <c r="B2345" s="36">
        <v>53014</v>
      </c>
      <c r="C2345">
        <f t="shared" si="100"/>
        <v>-1.8568228520650876E-2</v>
      </c>
    </row>
    <row r="2346" spans="1:3" x14ac:dyDescent="0.3">
      <c r="A2346" s="28">
        <v>42185</v>
      </c>
      <c r="B2346" s="36">
        <v>53081</v>
      </c>
      <c r="C2346">
        <f t="shared" si="100"/>
        <v>1.2638171049157432E-3</v>
      </c>
    </row>
    <row r="2347" spans="1:3" x14ac:dyDescent="0.3">
      <c r="A2347" s="28">
        <v>42186</v>
      </c>
      <c r="B2347" s="36">
        <v>52758</v>
      </c>
      <c r="C2347">
        <f t="shared" si="100"/>
        <v>-6.0850398447654941E-3</v>
      </c>
    </row>
    <row r="2348" spans="1:3" x14ac:dyDescent="0.3">
      <c r="A2348" s="28">
        <v>42187</v>
      </c>
      <c r="B2348" s="36">
        <v>53106</v>
      </c>
      <c r="C2348">
        <f t="shared" si="100"/>
        <v>6.5961560332081781E-3</v>
      </c>
    </row>
    <row r="2349" spans="1:3" x14ac:dyDescent="0.3">
      <c r="A2349" s="28">
        <v>42188</v>
      </c>
      <c r="B2349" s="36">
        <v>52519</v>
      </c>
      <c r="C2349">
        <f t="shared" si="100"/>
        <v>-1.1053364968176882E-2</v>
      </c>
    </row>
    <row r="2350" spans="1:3" x14ac:dyDescent="0.3">
      <c r="A2350" s="28">
        <v>42191</v>
      </c>
      <c r="B2350" s="36">
        <v>52149</v>
      </c>
      <c r="C2350">
        <f t="shared" si="100"/>
        <v>-7.0450694034539518E-3</v>
      </c>
    </row>
    <row r="2351" spans="1:3" x14ac:dyDescent="0.3">
      <c r="A2351" s="28">
        <v>42192</v>
      </c>
      <c r="B2351" s="36">
        <v>52344</v>
      </c>
      <c r="C2351">
        <f t="shared" si="100"/>
        <v>3.7392855088305144E-3</v>
      </c>
    </row>
    <row r="2352" spans="1:3" x14ac:dyDescent="0.3">
      <c r="A2352" s="28">
        <v>42193</v>
      </c>
      <c r="B2352" s="36">
        <v>51782</v>
      </c>
      <c r="C2352">
        <f t="shared" si="100"/>
        <v>-1.0736665138315726E-2</v>
      </c>
    </row>
    <row r="2353" spans="1:3" x14ac:dyDescent="0.3">
      <c r="A2353" s="28">
        <v>42195</v>
      </c>
      <c r="B2353" s="36">
        <v>52591</v>
      </c>
      <c r="C2353">
        <f t="shared" si="100"/>
        <v>1.5623189525317605E-2</v>
      </c>
    </row>
    <row r="2354" spans="1:3" x14ac:dyDescent="0.3">
      <c r="A2354" s="28">
        <v>42198</v>
      </c>
      <c r="B2354" s="36">
        <v>53119</v>
      </c>
      <c r="C2354">
        <f t="shared" si="100"/>
        <v>1.0039740640033434E-2</v>
      </c>
    </row>
    <row r="2355" spans="1:3" x14ac:dyDescent="0.3">
      <c r="A2355" s="28">
        <v>42199</v>
      </c>
      <c r="B2355" s="36">
        <v>53239</v>
      </c>
      <c r="C2355">
        <f t="shared" si="100"/>
        <v>2.259078672414816E-3</v>
      </c>
    </row>
    <row r="2356" spans="1:3" x14ac:dyDescent="0.3">
      <c r="A2356" s="28">
        <v>42200</v>
      </c>
      <c r="B2356" s="36">
        <v>52902</v>
      </c>
      <c r="C2356">
        <f t="shared" si="100"/>
        <v>-6.3299460921505402E-3</v>
      </c>
    </row>
    <row r="2357" spans="1:3" x14ac:dyDescent="0.3">
      <c r="A2357" s="28">
        <v>42201</v>
      </c>
      <c r="B2357" s="36">
        <v>53070</v>
      </c>
      <c r="C2357">
        <f t="shared" si="100"/>
        <v>3.1756833390041983E-3</v>
      </c>
    </row>
    <row r="2358" spans="1:3" x14ac:dyDescent="0.3">
      <c r="A2358" s="28">
        <v>42202</v>
      </c>
      <c r="B2358" s="36">
        <v>52342</v>
      </c>
      <c r="C2358">
        <f t="shared" si="100"/>
        <v>-1.3717731298285241E-2</v>
      </c>
    </row>
    <row r="2359" spans="1:3" x14ac:dyDescent="0.3">
      <c r="A2359" s="28">
        <v>42205</v>
      </c>
      <c r="B2359" s="36">
        <v>51600</v>
      </c>
      <c r="C2359">
        <f t="shared" si="100"/>
        <v>-1.4175996331817653E-2</v>
      </c>
    </row>
    <row r="2360" spans="1:3" x14ac:dyDescent="0.3">
      <c r="A2360" s="28">
        <v>42206</v>
      </c>
      <c r="B2360" s="36">
        <v>51474</v>
      </c>
      <c r="C2360">
        <f t="shared" si="100"/>
        <v>-2.4418604651162967E-3</v>
      </c>
    </row>
    <row r="2361" spans="1:3" x14ac:dyDescent="0.3">
      <c r="A2361" s="28">
        <v>42207</v>
      </c>
      <c r="B2361" s="36">
        <v>50916</v>
      </c>
      <c r="C2361">
        <f t="shared" si="100"/>
        <v>-1.0840424291875483E-2</v>
      </c>
    </row>
    <row r="2362" spans="1:3" x14ac:dyDescent="0.3">
      <c r="A2362" s="28">
        <v>42208</v>
      </c>
      <c r="B2362" s="36">
        <v>49807</v>
      </c>
      <c r="C2362">
        <f t="shared" si="100"/>
        <v>-2.1780972582292391E-2</v>
      </c>
    </row>
    <row r="2363" spans="1:3" x14ac:dyDescent="0.3">
      <c r="A2363" s="28">
        <v>42209</v>
      </c>
      <c r="B2363" s="36">
        <v>49246</v>
      </c>
      <c r="C2363">
        <f t="shared" si="100"/>
        <v>-1.1263477021302259E-2</v>
      </c>
    </row>
    <row r="2364" spans="1:3" x14ac:dyDescent="0.3">
      <c r="A2364" s="28">
        <v>42212</v>
      </c>
      <c r="B2364" s="36">
        <v>48736</v>
      </c>
      <c r="C2364">
        <f t="shared" si="100"/>
        <v>-1.0356171059578423E-2</v>
      </c>
    </row>
    <row r="2365" spans="1:3" x14ac:dyDescent="0.3">
      <c r="A2365" s="28">
        <v>42213</v>
      </c>
      <c r="B2365" s="36">
        <v>49602</v>
      </c>
      <c r="C2365">
        <f t="shared" si="100"/>
        <v>1.7769205515430153E-2</v>
      </c>
    </row>
    <row r="2366" spans="1:3" x14ac:dyDescent="0.3">
      <c r="A2366" s="28">
        <v>42214</v>
      </c>
      <c r="B2366" s="36">
        <v>50245</v>
      </c>
      <c r="C2366">
        <f t="shared" si="100"/>
        <v>1.2963186968267371E-2</v>
      </c>
    </row>
    <row r="2367" spans="1:3" x14ac:dyDescent="0.3">
      <c r="A2367" s="28">
        <v>42215</v>
      </c>
      <c r="B2367" s="36">
        <v>49897</v>
      </c>
      <c r="C2367">
        <f t="shared" si="100"/>
        <v>-6.9260622947556749E-3</v>
      </c>
    </row>
    <row r="2368" spans="1:3" x14ac:dyDescent="0.3">
      <c r="A2368" s="28">
        <v>42216</v>
      </c>
      <c r="B2368" s="36">
        <v>50865</v>
      </c>
      <c r="C2368">
        <f t="shared" si="100"/>
        <v>1.9399963925686992E-2</v>
      </c>
    </row>
    <row r="2369" spans="1:3" x14ac:dyDescent="0.3">
      <c r="A2369" s="28">
        <v>42219</v>
      </c>
      <c r="B2369" s="36">
        <v>50138</v>
      </c>
      <c r="C2369">
        <f t="shared" si="100"/>
        <v>-1.4292735672859491E-2</v>
      </c>
    </row>
    <row r="2370" spans="1:3" x14ac:dyDescent="0.3">
      <c r="A2370" s="28">
        <v>42220</v>
      </c>
      <c r="B2370" s="36">
        <v>50058</v>
      </c>
      <c r="C2370">
        <f t="shared" si="100"/>
        <v>-1.5955961546132436E-3</v>
      </c>
    </row>
    <row r="2371" spans="1:3" x14ac:dyDescent="0.3">
      <c r="A2371" s="28">
        <v>42221</v>
      </c>
      <c r="B2371" s="36">
        <v>50287</v>
      </c>
      <c r="C2371">
        <f t="shared" si="100"/>
        <v>4.574693355707371E-3</v>
      </c>
    </row>
    <row r="2372" spans="1:3" x14ac:dyDescent="0.3">
      <c r="A2372" s="28">
        <v>42222</v>
      </c>
      <c r="B2372" s="36">
        <v>50011</v>
      </c>
      <c r="C2372">
        <f t="shared" ref="C2372:C2435" si="101">B2372/B2371-1</f>
        <v>-5.4884960327719057E-3</v>
      </c>
    </row>
    <row r="2373" spans="1:3" x14ac:dyDescent="0.3">
      <c r="A2373" s="28">
        <v>42223</v>
      </c>
      <c r="B2373" s="36">
        <v>48577</v>
      </c>
      <c r="C2373">
        <f t="shared" si="101"/>
        <v>-2.8673691787806654E-2</v>
      </c>
    </row>
    <row r="2374" spans="1:3" x14ac:dyDescent="0.3">
      <c r="A2374" s="28">
        <v>42226</v>
      </c>
      <c r="B2374" s="36">
        <v>49353</v>
      </c>
      <c r="C2374">
        <f t="shared" si="101"/>
        <v>1.5974638203264835E-2</v>
      </c>
    </row>
    <row r="2375" spans="1:3" x14ac:dyDescent="0.3">
      <c r="A2375" s="28">
        <v>42227</v>
      </c>
      <c r="B2375" s="36">
        <v>49072</v>
      </c>
      <c r="C2375">
        <f t="shared" si="101"/>
        <v>-5.6936761696351201E-3</v>
      </c>
    </row>
    <row r="2376" spans="1:3" x14ac:dyDescent="0.3">
      <c r="A2376" s="28">
        <v>42228</v>
      </c>
      <c r="B2376" s="36">
        <v>48388</v>
      </c>
      <c r="C2376">
        <f t="shared" si="101"/>
        <v>-1.3938702314965745E-2</v>
      </c>
    </row>
    <row r="2377" spans="1:3" x14ac:dyDescent="0.3">
      <c r="A2377" s="28">
        <v>42229</v>
      </c>
      <c r="B2377" s="36">
        <v>48010</v>
      </c>
      <c r="C2377">
        <f t="shared" si="101"/>
        <v>-7.8118541787219886E-3</v>
      </c>
    </row>
    <row r="2378" spans="1:3" x14ac:dyDescent="0.3">
      <c r="A2378" s="28">
        <v>42230</v>
      </c>
      <c r="B2378" s="36">
        <v>47508</v>
      </c>
      <c r="C2378">
        <f t="shared" si="101"/>
        <v>-1.0456154967715015E-2</v>
      </c>
    </row>
    <row r="2379" spans="1:3" x14ac:dyDescent="0.3">
      <c r="A2379" s="28">
        <v>42233</v>
      </c>
      <c r="B2379" s="36">
        <v>47217</v>
      </c>
      <c r="C2379">
        <f t="shared" si="101"/>
        <v>-6.1252841626673327E-3</v>
      </c>
    </row>
    <row r="2380" spans="1:3" x14ac:dyDescent="0.3">
      <c r="A2380" s="28">
        <v>42234</v>
      </c>
      <c r="B2380" s="36">
        <v>47451</v>
      </c>
      <c r="C2380">
        <f t="shared" si="101"/>
        <v>4.9558421754876125E-3</v>
      </c>
    </row>
    <row r="2381" spans="1:3" x14ac:dyDescent="0.3">
      <c r="A2381" s="28">
        <v>42235</v>
      </c>
      <c r="B2381" s="36">
        <v>46588</v>
      </c>
      <c r="C2381">
        <f t="shared" si="101"/>
        <v>-1.8187182567279914E-2</v>
      </c>
    </row>
    <row r="2382" spans="1:3" x14ac:dyDescent="0.3">
      <c r="A2382" s="28">
        <v>42236</v>
      </c>
      <c r="B2382" s="36">
        <v>46649</v>
      </c>
      <c r="C2382">
        <f t="shared" si="101"/>
        <v>1.3093500472225461E-3</v>
      </c>
    </row>
    <row r="2383" spans="1:3" x14ac:dyDescent="0.3">
      <c r="A2383" s="28">
        <v>42237</v>
      </c>
      <c r="B2383" s="36">
        <v>45720</v>
      </c>
      <c r="C2383">
        <f t="shared" si="101"/>
        <v>-1.991468198675217E-2</v>
      </c>
    </row>
    <row r="2384" spans="1:3" x14ac:dyDescent="0.3">
      <c r="A2384" s="28">
        <v>42240</v>
      </c>
      <c r="B2384" s="36">
        <v>44336</v>
      </c>
      <c r="C2384">
        <f t="shared" si="101"/>
        <v>-3.0271216097987774E-2</v>
      </c>
    </row>
    <row r="2385" spans="1:3" x14ac:dyDescent="0.3">
      <c r="A2385" s="28">
        <v>42241</v>
      </c>
      <c r="B2385" s="36">
        <v>44545</v>
      </c>
      <c r="C2385">
        <f t="shared" si="101"/>
        <v>4.714002165283393E-3</v>
      </c>
    </row>
    <row r="2386" spans="1:3" x14ac:dyDescent="0.3">
      <c r="A2386" s="28">
        <v>42242</v>
      </c>
      <c r="B2386" s="36">
        <v>46038</v>
      </c>
      <c r="C2386">
        <f t="shared" si="101"/>
        <v>3.3516668537433958E-2</v>
      </c>
    </row>
    <row r="2387" spans="1:3" x14ac:dyDescent="0.3">
      <c r="A2387" s="28">
        <v>42243</v>
      </c>
      <c r="B2387" s="36">
        <v>47715</v>
      </c>
      <c r="C2387">
        <f t="shared" si="101"/>
        <v>3.6426430340153804E-2</v>
      </c>
    </row>
    <row r="2388" spans="1:3" x14ac:dyDescent="0.3">
      <c r="A2388" s="28">
        <v>42244</v>
      </c>
      <c r="B2388" s="36">
        <v>47154</v>
      </c>
      <c r="C2388">
        <f t="shared" si="101"/>
        <v>-1.1757309022319973E-2</v>
      </c>
    </row>
    <row r="2389" spans="1:3" x14ac:dyDescent="0.3">
      <c r="A2389" s="28">
        <v>42247</v>
      </c>
      <c r="B2389" s="36">
        <v>46626</v>
      </c>
      <c r="C2389">
        <f t="shared" si="101"/>
        <v>-1.1197353352843886E-2</v>
      </c>
    </row>
    <row r="2390" spans="1:3" x14ac:dyDescent="0.3">
      <c r="A2390" s="28">
        <v>42248</v>
      </c>
      <c r="B2390" s="36">
        <v>45477</v>
      </c>
      <c r="C2390">
        <f t="shared" si="101"/>
        <v>-2.4642903101273927E-2</v>
      </c>
    </row>
    <row r="2391" spans="1:3" x14ac:dyDescent="0.3">
      <c r="A2391" s="28">
        <v>42249</v>
      </c>
      <c r="B2391" s="36">
        <v>46464</v>
      </c>
      <c r="C2391">
        <f t="shared" si="101"/>
        <v>2.1703278580381236E-2</v>
      </c>
    </row>
    <row r="2392" spans="1:3" x14ac:dyDescent="0.3">
      <c r="A2392" s="28">
        <v>42250</v>
      </c>
      <c r="B2392" s="36">
        <v>47366</v>
      </c>
      <c r="C2392">
        <f t="shared" si="101"/>
        <v>1.9412878787878896E-2</v>
      </c>
    </row>
    <row r="2393" spans="1:3" x14ac:dyDescent="0.3">
      <c r="A2393" s="28">
        <v>42251</v>
      </c>
      <c r="B2393" s="36">
        <v>46498</v>
      </c>
      <c r="C2393">
        <f t="shared" si="101"/>
        <v>-1.8325381075032676E-2</v>
      </c>
    </row>
    <row r="2394" spans="1:3" x14ac:dyDescent="0.3">
      <c r="A2394" s="28">
        <v>42255</v>
      </c>
      <c r="B2394" s="36">
        <v>46762</v>
      </c>
      <c r="C2394">
        <f t="shared" si="101"/>
        <v>5.6776635554216526E-3</v>
      </c>
    </row>
    <row r="2395" spans="1:3" x14ac:dyDescent="0.3">
      <c r="A2395" s="28">
        <v>42256</v>
      </c>
      <c r="B2395" s="36">
        <v>46657</v>
      </c>
      <c r="C2395">
        <f t="shared" si="101"/>
        <v>-2.2454129421325408E-3</v>
      </c>
    </row>
    <row r="2396" spans="1:3" x14ac:dyDescent="0.3">
      <c r="A2396" s="28">
        <v>42257</v>
      </c>
      <c r="B2396" s="36">
        <v>46504</v>
      </c>
      <c r="C2396">
        <f t="shared" si="101"/>
        <v>-3.2792507019311357E-3</v>
      </c>
    </row>
    <row r="2397" spans="1:3" x14ac:dyDescent="0.3">
      <c r="A2397" s="28">
        <v>42258</v>
      </c>
      <c r="B2397" s="36">
        <v>46401</v>
      </c>
      <c r="C2397">
        <f t="shared" si="101"/>
        <v>-2.2148632375709187E-3</v>
      </c>
    </row>
    <row r="2398" spans="1:3" x14ac:dyDescent="0.3">
      <c r="A2398" s="28">
        <v>42261</v>
      </c>
      <c r="B2398" s="36">
        <v>47282</v>
      </c>
      <c r="C2398">
        <f t="shared" si="101"/>
        <v>1.8986659770263481E-2</v>
      </c>
    </row>
    <row r="2399" spans="1:3" x14ac:dyDescent="0.3">
      <c r="A2399" s="28">
        <v>42262</v>
      </c>
      <c r="B2399" s="36">
        <v>47364</v>
      </c>
      <c r="C2399">
        <f t="shared" si="101"/>
        <v>1.7342751998645767E-3</v>
      </c>
    </row>
    <row r="2400" spans="1:3" x14ac:dyDescent="0.3">
      <c r="A2400" s="28">
        <v>42263</v>
      </c>
      <c r="B2400" s="36">
        <v>48553</v>
      </c>
      <c r="C2400">
        <f t="shared" si="101"/>
        <v>2.5103454100160461E-2</v>
      </c>
    </row>
    <row r="2401" spans="1:3" x14ac:dyDescent="0.3">
      <c r="A2401" s="28">
        <v>42264</v>
      </c>
      <c r="B2401" s="36">
        <v>48551</v>
      </c>
      <c r="C2401">
        <f t="shared" si="101"/>
        <v>-4.1192099355380485E-5</v>
      </c>
    </row>
    <row r="2402" spans="1:3" x14ac:dyDescent="0.3">
      <c r="A2402" s="28">
        <v>42265</v>
      </c>
      <c r="B2402" s="36">
        <v>47264</v>
      </c>
      <c r="C2402">
        <f t="shared" si="101"/>
        <v>-2.6508207863895739E-2</v>
      </c>
    </row>
    <row r="2403" spans="1:3" x14ac:dyDescent="0.3">
      <c r="A2403" s="28">
        <v>42268</v>
      </c>
      <c r="B2403" s="36">
        <v>46590</v>
      </c>
      <c r="C2403">
        <f t="shared" si="101"/>
        <v>-1.4260324983073835E-2</v>
      </c>
    </row>
    <row r="2404" spans="1:3" x14ac:dyDescent="0.3">
      <c r="A2404" s="28">
        <v>42269</v>
      </c>
      <c r="B2404" s="36">
        <v>46265</v>
      </c>
      <c r="C2404">
        <f t="shared" si="101"/>
        <v>-6.9757458682120355E-3</v>
      </c>
    </row>
    <row r="2405" spans="1:3" x14ac:dyDescent="0.3">
      <c r="A2405" s="28">
        <v>42270</v>
      </c>
      <c r="B2405" s="36">
        <v>45340</v>
      </c>
      <c r="C2405">
        <f t="shared" si="101"/>
        <v>-1.9993515616556823E-2</v>
      </c>
    </row>
    <row r="2406" spans="1:3" x14ac:dyDescent="0.3">
      <c r="A2406" s="28">
        <v>42271</v>
      </c>
      <c r="B2406" s="36">
        <v>45292</v>
      </c>
      <c r="C2406">
        <f t="shared" si="101"/>
        <v>-1.0586678429642671E-3</v>
      </c>
    </row>
    <row r="2407" spans="1:3" x14ac:dyDescent="0.3">
      <c r="A2407" s="28">
        <v>42272</v>
      </c>
      <c r="B2407" s="36">
        <v>44831</v>
      </c>
      <c r="C2407">
        <f t="shared" si="101"/>
        <v>-1.0178397951073004E-2</v>
      </c>
    </row>
    <row r="2408" spans="1:3" x14ac:dyDescent="0.3">
      <c r="A2408" s="28">
        <v>42275</v>
      </c>
      <c r="B2408" s="36">
        <v>43957</v>
      </c>
      <c r="C2408">
        <f t="shared" si="101"/>
        <v>-1.9495438424304568E-2</v>
      </c>
    </row>
    <row r="2409" spans="1:3" x14ac:dyDescent="0.3">
      <c r="A2409" s="28">
        <v>42276</v>
      </c>
      <c r="B2409" s="36">
        <v>44132</v>
      </c>
      <c r="C2409">
        <f t="shared" si="101"/>
        <v>3.9811634096957871E-3</v>
      </c>
    </row>
    <row r="2410" spans="1:3" x14ac:dyDescent="0.3">
      <c r="A2410" s="28">
        <v>42277</v>
      </c>
      <c r="B2410" s="36">
        <v>45059</v>
      </c>
      <c r="C2410">
        <f t="shared" si="101"/>
        <v>2.1005166319224111E-2</v>
      </c>
    </row>
    <row r="2411" spans="1:3" x14ac:dyDescent="0.3">
      <c r="A2411" s="28">
        <v>42278</v>
      </c>
      <c r="B2411" s="36">
        <v>45313</v>
      </c>
      <c r="C2411">
        <f t="shared" si="101"/>
        <v>5.6370536407821525E-3</v>
      </c>
    </row>
    <row r="2412" spans="1:3" x14ac:dyDescent="0.3">
      <c r="A2412" s="28">
        <v>42279</v>
      </c>
      <c r="B2412" s="36">
        <v>47033</v>
      </c>
      <c r="C2412">
        <f t="shared" si="101"/>
        <v>3.7958201840531336E-2</v>
      </c>
    </row>
    <row r="2413" spans="1:3" x14ac:dyDescent="0.3">
      <c r="A2413" s="28">
        <v>42282</v>
      </c>
      <c r="B2413" s="36">
        <v>47598</v>
      </c>
      <c r="C2413">
        <f t="shared" si="101"/>
        <v>1.2012842047073313E-2</v>
      </c>
    </row>
    <row r="2414" spans="1:3" x14ac:dyDescent="0.3">
      <c r="A2414" s="28">
        <v>42283</v>
      </c>
      <c r="B2414" s="36">
        <v>47735</v>
      </c>
      <c r="C2414">
        <f t="shared" si="101"/>
        <v>2.8782721963107605E-3</v>
      </c>
    </row>
    <row r="2415" spans="1:3" x14ac:dyDescent="0.3">
      <c r="A2415" s="28">
        <v>42284</v>
      </c>
      <c r="B2415" s="36">
        <v>48914</v>
      </c>
      <c r="C2415">
        <f t="shared" si="101"/>
        <v>2.4698858280087999E-2</v>
      </c>
    </row>
    <row r="2416" spans="1:3" x14ac:dyDescent="0.3">
      <c r="A2416" s="28">
        <v>42285</v>
      </c>
      <c r="B2416" s="36">
        <v>49107</v>
      </c>
      <c r="C2416">
        <f t="shared" si="101"/>
        <v>3.945700617410175E-3</v>
      </c>
    </row>
    <row r="2417" spans="1:3" x14ac:dyDescent="0.3">
      <c r="A2417" s="28">
        <v>42286</v>
      </c>
      <c r="B2417" s="36">
        <v>49338</v>
      </c>
      <c r="C2417">
        <f t="shared" si="101"/>
        <v>4.7040136844034297E-3</v>
      </c>
    </row>
    <row r="2418" spans="1:3" x14ac:dyDescent="0.3">
      <c r="A2418" s="28">
        <v>42290</v>
      </c>
      <c r="B2418" s="36">
        <v>47363</v>
      </c>
      <c r="C2418">
        <f t="shared" si="101"/>
        <v>-4.0029997162430608E-2</v>
      </c>
    </row>
    <row r="2419" spans="1:3" x14ac:dyDescent="0.3">
      <c r="A2419" s="28">
        <v>42291</v>
      </c>
      <c r="B2419" s="36">
        <v>46710</v>
      </c>
      <c r="C2419">
        <f t="shared" si="101"/>
        <v>-1.3787133416379826E-2</v>
      </c>
    </row>
    <row r="2420" spans="1:3" x14ac:dyDescent="0.3">
      <c r="A2420" s="28">
        <v>42292</v>
      </c>
      <c r="B2420" s="36">
        <v>47161</v>
      </c>
      <c r="C2420">
        <f t="shared" si="101"/>
        <v>9.6553200599442945E-3</v>
      </c>
    </row>
    <row r="2421" spans="1:3" x14ac:dyDescent="0.3">
      <c r="A2421" s="28">
        <v>42293</v>
      </c>
      <c r="B2421" s="36">
        <v>47236</v>
      </c>
      <c r="C2421">
        <f t="shared" si="101"/>
        <v>1.5902970674921413E-3</v>
      </c>
    </row>
    <row r="2422" spans="1:3" x14ac:dyDescent="0.3">
      <c r="A2422" s="28">
        <v>42296</v>
      </c>
      <c r="B2422" s="36">
        <v>47447</v>
      </c>
      <c r="C2422">
        <f t="shared" si="101"/>
        <v>4.4669320010162217E-3</v>
      </c>
    </row>
    <row r="2423" spans="1:3" x14ac:dyDescent="0.3">
      <c r="A2423" s="28">
        <v>42297</v>
      </c>
      <c r="B2423" s="36">
        <v>47077</v>
      </c>
      <c r="C2423">
        <f t="shared" si="101"/>
        <v>-7.7981748055725442E-3</v>
      </c>
    </row>
    <row r="2424" spans="1:3" x14ac:dyDescent="0.3">
      <c r="A2424" s="28">
        <v>42298</v>
      </c>
      <c r="B2424" s="36">
        <v>47026</v>
      </c>
      <c r="C2424">
        <f t="shared" si="101"/>
        <v>-1.0833315631837426E-3</v>
      </c>
    </row>
    <row r="2425" spans="1:3" x14ac:dyDescent="0.3">
      <c r="A2425" s="28">
        <v>42299</v>
      </c>
      <c r="B2425" s="36">
        <v>47772</v>
      </c>
      <c r="C2425">
        <f t="shared" si="101"/>
        <v>1.5863564836473332E-2</v>
      </c>
    </row>
    <row r="2426" spans="1:3" x14ac:dyDescent="0.3">
      <c r="A2426" s="28">
        <v>42300</v>
      </c>
      <c r="B2426" s="36">
        <v>47597</v>
      </c>
      <c r="C2426">
        <f t="shared" si="101"/>
        <v>-3.6632336933768439E-3</v>
      </c>
    </row>
    <row r="2427" spans="1:3" x14ac:dyDescent="0.3">
      <c r="A2427" s="28">
        <v>42303</v>
      </c>
      <c r="B2427" s="36">
        <v>47209</v>
      </c>
      <c r="C2427">
        <f t="shared" si="101"/>
        <v>-8.1517742714877217E-3</v>
      </c>
    </row>
    <row r="2428" spans="1:3" x14ac:dyDescent="0.3">
      <c r="A2428" s="28">
        <v>42304</v>
      </c>
      <c r="B2428" s="36">
        <v>47043</v>
      </c>
      <c r="C2428">
        <f t="shared" si="101"/>
        <v>-3.5162786756762765E-3</v>
      </c>
    </row>
    <row r="2429" spans="1:3" x14ac:dyDescent="0.3">
      <c r="A2429" s="28">
        <v>42305</v>
      </c>
      <c r="B2429" s="36">
        <v>46741</v>
      </c>
      <c r="C2429">
        <f t="shared" si="101"/>
        <v>-6.4196586102076569E-3</v>
      </c>
    </row>
    <row r="2430" spans="1:3" x14ac:dyDescent="0.3">
      <c r="A2430" s="28">
        <v>42306</v>
      </c>
      <c r="B2430" s="36">
        <v>45628</v>
      </c>
      <c r="C2430">
        <f t="shared" si="101"/>
        <v>-2.3812070772983085E-2</v>
      </c>
    </row>
    <row r="2431" spans="1:3" x14ac:dyDescent="0.3">
      <c r="A2431" s="28">
        <v>42307</v>
      </c>
      <c r="B2431" s="36">
        <v>45869</v>
      </c>
      <c r="C2431">
        <f t="shared" si="101"/>
        <v>5.2818444814588528E-3</v>
      </c>
    </row>
    <row r="2432" spans="1:3" x14ac:dyDescent="0.3">
      <c r="A2432" s="28">
        <v>42311</v>
      </c>
      <c r="B2432" s="36">
        <v>48054</v>
      </c>
      <c r="C2432">
        <f t="shared" si="101"/>
        <v>4.7635658069720366E-2</v>
      </c>
    </row>
    <row r="2433" spans="1:3" x14ac:dyDescent="0.3">
      <c r="A2433" s="28">
        <v>42312</v>
      </c>
      <c r="B2433" s="36">
        <v>47710</v>
      </c>
      <c r="C2433">
        <f t="shared" si="101"/>
        <v>-7.1586132267865699E-3</v>
      </c>
    </row>
    <row r="2434" spans="1:3" x14ac:dyDescent="0.3">
      <c r="A2434" s="28">
        <v>42313</v>
      </c>
      <c r="B2434" s="36">
        <v>48047</v>
      </c>
      <c r="C2434">
        <f t="shared" si="101"/>
        <v>7.0635086983861228E-3</v>
      </c>
    </row>
    <row r="2435" spans="1:3" x14ac:dyDescent="0.3">
      <c r="A2435" s="28">
        <v>42314</v>
      </c>
      <c r="B2435" s="36">
        <v>46919</v>
      </c>
      <c r="C2435">
        <f t="shared" si="101"/>
        <v>-2.3477012092326222E-2</v>
      </c>
    </row>
    <row r="2436" spans="1:3" x14ac:dyDescent="0.3">
      <c r="A2436" s="28">
        <v>42317</v>
      </c>
      <c r="B2436" s="36">
        <v>46195</v>
      </c>
      <c r="C2436">
        <f t="shared" ref="C2436:C2499" si="102">B2436/B2435-1</f>
        <v>-1.5430848909823269E-2</v>
      </c>
    </row>
    <row r="2437" spans="1:3" x14ac:dyDescent="0.3">
      <c r="A2437" s="28">
        <v>42318</v>
      </c>
      <c r="B2437" s="36">
        <v>46179</v>
      </c>
      <c r="C2437">
        <f t="shared" si="102"/>
        <v>-3.4635783093406314E-4</v>
      </c>
    </row>
    <row r="2438" spans="1:3" x14ac:dyDescent="0.3">
      <c r="A2438" s="28">
        <v>42319</v>
      </c>
      <c r="B2438" s="36">
        <v>47065</v>
      </c>
      <c r="C2438">
        <f t="shared" si="102"/>
        <v>1.9186210182117414E-2</v>
      </c>
    </row>
    <row r="2439" spans="1:3" x14ac:dyDescent="0.3">
      <c r="A2439" s="28">
        <v>42320</v>
      </c>
      <c r="B2439" s="36">
        <v>46884</v>
      </c>
      <c r="C2439">
        <f t="shared" si="102"/>
        <v>-3.8457452459365049E-3</v>
      </c>
    </row>
    <row r="2440" spans="1:3" x14ac:dyDescent="0.3">
      <c r="A2440" s="28">
        <v>42321</v>
      </c>
      <c r="B2440" s="36">
        <v>46517</v>
      </c>
      <c r="C2440">
        <f t="shared" si="102"/>
        <v>-7.8278303898984269E-3</v>
      </c>
    </row>
    <row r="2441" spans="1:3" x14ac:dyDescent="0.3">
      <c r="A2441" s="28">
        <v>42324</v>
      </c>
      <c r="B2441" s="36">
        <v>46847</v>
      </c>
      <c r="C2441">
        <f t="shared" si="102"/>
        <v>7.0941806221380688E-3</v>
      </c>
    </row>
    <row r="2442" spans="1:3" x14ac:dyDescent="0.3">
      <c r="A2442" s="28">
        <v>42325</v>
      </c>
      <c r="B2442" s="36">
        <v>47248</v>
      </c>
      <c r="C2442">
        <f t="shared" si="102"/>
        <v>8.5597797084124849E-3</v>
      </c>
    </row>
    <row r="2443" spans="1:3" x14ac:dyDescent="0.3">
      <c r="A2443" s="28">
        <v>42326</v>
      </c>
      <c r="B2443" s="36">
        <v>47436</v>
      </c>
      <c r="C2443">
        <f t="shared" si="102"/>
        <v>3.9790044023026994E-3</v>
      </c>
    </row>
    <row r="2444" spans="1:3" x14ac:dyDescent="0.3">
      <c r="A2444" s="28">
        <v>42327</v>
      </c>
      <c r="B2444" s="36">
        <v>48139</v>
      </c>
      <c r="C2444">
        <f t="shared" si="102"/>
        <v>1.4819967956825941E-2</v>
      </c>
    </row>
    <row r="2445" spans="1:3" x14ac:dyDescent="0.3">
      <c r="A2445" s="28">
        <v>42331</v>
      </c>
      <c r="B2445" s="36">
        <v>48150</v>
      </c>
      <c r="C2445">
        <f t="shared" si="102"/>
        <v>2.2850495440285279E-4</v>
      </c>
    </row>
    <row r="2446" spans="1:3" x14ac:dyDescent="0.3">
      <c r="A2446" s="28">
        <v>42332</v>
      </c>
      <c r="B2446" s="36">
        <v>48284</v>
      </c>
      <c r="C2446">
        <f t="shared" si="102"/>
        <v>2.7829698857735341E-3</v>
      </c>
    </row>
    <row r="2447" spans="1:3" x14ac:dyDescent="0.3">
      <c r="A2447" s="28">
        <v>42333</v>
      </c>
      <c r="B2447" s="36">
        <v>46867</v>
      </c>
      <c r="C2447">
        <f t="shared" si="102"/>
        <v>-2.9347195758429256E-2</v>
      </c>
    </row>
    <row r="2448" spans="1:3" x14ac:dyDescent="0.3">
      <c r="A2448" s="28">
        <v>42334</v>
      </c>
      <c r="B2448" s="36">
        <v>47146</v>
      </c>
      <c r="C2448">
        <f t="shared" si="102"/>
        <v>5.9530159813940831E-3</v>
      </c>
    </row>
    <row r="2449" spans="1:3" x14ac:dyDescent="0.3">
      <c r="A2449" s="28">
        <v>42335</v>
      </c>
      <c r="B2449" s="36">
        <v>45873</v>
      </c>
      <c r="C2449">
        <f t="shared" si="102"/>
        <v>-2.7001230221015526E-2</v>
      </c>
    </row>
    <row r="2450" spans="1:3" x14ac:dyDescent="0.3">
      <c r="A2450" s="28">
        <v>42338</v>
      </c>
      <c r="B2450" s="36">
        <v>45120</v>
      </c>
      <c r="C2450">
        <f t="shared" si="102"/>
        <v>-1.6414884572624411E-2</v>
      </c>
    </row>
    <row r="2451" spans="1:3" x14ac:dyDescent="0.3">
      <c r="A2451" s="28">
        <v>42339</v>
      </c>
      <c r="B2451" s="36">
        <v>45047</v>
      </c>
      <c r="C2451">
        <f t="shared" si="102"/>
        <v>-1.6179078014184611E-3</v>
      </c>
    </row>
    <row r="2452" spans="1:3" x14ac:dyDescent="0.3">
      <c r="A2452" s="28">
        <v>42340</v>
      </c>
      <c r="B2452" s="36">
        <v>44915</v>
      </c>
      <c r="C2452">
        <f t="shared" si="102"/>
        <v>-2.9302728261593192E-3</v>
      </c>
    </row>
    <row r="2453" spans="1:3" x14ac:dyDescent="0.3">
      <c r="A2453" s="28">
        <v>42341</v>
      </c>
      <c r="B2453" s="36">
        <v>46393</v>
      </c>
      <c r="C2453">
        <f t="shared" si="102"/>
        <v>3.2906601358120957E-2</v>
      </c>
    </row>
    <row r="2454" spans="1:3" x14ac:dyDescent="0.3">
      <c r="A2454" s="28">
        <v>42342</v>
      </c>
      <c r="B2454" s="36">
        <v>45361</v>
      </c>
      <c r="C2454">
        <f t="shared" si="102"/>
        <v>-2.2244735197120225E-2</v>
      </c>
    </row>
    <row r="2455" spans="1:3" x14ac:dyDescent="0.3">
      <c r="A2455" s="28">
        <v>42345</v>
      </c>
      <c r="B2455" s="36">
        <v>45223</v>
      </c>
      <c r="C2455">
        <f t="shared" si="102"/>
        <v>-3.0422609730825778E-3</v>
      </c>
    </row>
    <row r="2456" spans="1:3" x14ac:dyDescent="0.3">
      <c r="A2456" s="28">
        <v>42346</v>
      </c>
      <c r="B2456" s="36">
        <v>44443</v>
      </c>
      <c r="C2456">
        <f t="shared" si="102"/>
        <v>-1.7247860601906084E-2</v>
      </c>
    </row>
    <row r="2457" spans="1:3" x14ac:dyDescent="0.3">
      <c r="A2457" s="28">
        <v>42347</v>
      </c>
      <c r="B2457" s="36">
        <v>46108</v>
      </c>
      <c r="C2457">
        <f t="shared" si="102"/>
        <v>3.7463717570821009E-2</v>
      </c>
    </row>
    <row r="2458" spans="1:3" x14ac:dyDescent="0.3">
      <c r="A2458" s="28">
        <v>42348</v>
      </c>
      <c r="B2458" s="36">
        <v>45631</v>
      </c>
      <c r="C2458">
        <f t="shared" si="102"/>
        <v>-1.0345276307799134E-2</v>
      </c>
    </row>
    <row r="2459" spans="1:3" x14ac:dyDescent="0.3">
      <c r="A2459" s="28">
        <v>42349</v>
      </c>
      <c r="B2459" s="36">
        <v>45263</v>
      </c>
      <c r="C2459">
        <f t="shared" si="102"/>
        <v>-8.0646928623084868E-3</v>
      </c>
    </row>
    <row r="2460" spans="1:3" x14ac:dyDescent="0.3">
      <c r="A2460" s="28">
        <v>42352</v>
      </c>
      <c r="B2460" s="36">
        <v>44747</v>
      </c>
      <c r="C2460">
        <f t="shared" si="102"/>
        <v>-1.1400039767580639E-2</v>
      </c>
    </row>
    <row r="2461" spans="1:3" x14ac:dyDescent="0.3">
      <c r="A2461" s="28">
        <v>42353</v>
      </c>
      <c r="B2461" s="36">
        <v>44872</v>
      </c>
      <c r="C2461">
        <f t="shared" si="102"/>
        <v>2.7934833620131272E-3</v>
      </c>
    </row>
    <row r="2462" spans="1:3" x14ac:dyDescent="0.3">
      <c r="A2462" s="28">
        <v>42354</v>
      </c>
      <c r="B2462" s="36">
        <v>45016</v>
      </c>
      <c r="C2462">
        <f t="shared" si="102"/>
        <v>3.2091281868424915E-3</v>
      </c>
    </row>
    <row r="2463" spans="1:3" x14ac:dyDescent="0.3">
      <c r="A2463" s="28">
        <v>42355</v>
      </c>
      <c r="B2463" s="36">
        <v>45261</v>
      </c>
      <c r="C2463">
        <f t="shared" si="102"/>
        <v>5.4425093300158878E-3</v>
      </c>
    </row>
    <row r="2464" spans="1:3" x14ac:dyDescent="0.3">
      <c r="A2464" s="28">
        <v>42356</v>
      </c>
      <c r="B2464" s="36">
        <v>43911</v>
      </c>
      <c r="C2464">
        <f t="shared" si="102"/>
        <v>-2.982700338039368E-2</v>
      </c>
    </row>
    <row r="2465" spans="1:3" x14ac:dyDescent="0.3">
      <c r="A2465" s="28">
        <v>42359</v>
      </c>
      <c r="B2465" s="36">
        <v>43200</v>
      </c>
      <c r="C2465">
        <f t="shared" si="102"/>
        <v>-1.6191842590694838E-2</v>
      </c>
    </row>
    <row r="2466" spans="1:3" x14ac:dyDescent="0.3">
      <c r="A2466" s="28">
        <v>42360</v>
      </c>
      <c r="B2466" s="36">
        <v>43470</v>
      </c>
      <c r="C2466">
        <f t="shared" si="102"/>
        <v>6.2500000000000888E-3</v>
      </c>
    </row>
    <row r="2467" spans="1:3" x14ac:dyDescent="0.3">
      <c r="A2467" s="28">
        <v>42361</v>
      </c>
      <c r="B2467" s="36">
        <v>44015</v>
      </c>
      <c r="C2467">
        <f t="shared" si="102"/>
        <v>1.2537382102599581E-2</v>
      </c>
    </row>
    <row r="2468" spans="1:3" x14ac:dyDescent="0.3">
      <c r="A2468" s="28">
        <v>42366</v>
      </c>
      <c r="B2468" s="36">
        <v>43764</v>
      </c>
      <c r="C2468">
        <f t="shared" si="102"/>
        <v>-5.7026013858911817E-3</v>
      </c>
    </row>
    <row r="2469" spans="1:3" x14ac:dyDescent="0.3">
      <c r="A2469" s="28">
        <v>42367</v>
      </c>
      <c r="B2469" s="36">
        <v>43654</v>
      </c>
      <c r="C2469">
        <f t="shared" si="102"/>
        <v>-2.5134814002376604E-3</v>
      </c>
    </row>
    <row r="2470" spans="1:3" x14ac:dyDescent="0.3">
      <c r="A2470" s="28">
        <v>42368</v>
      </c>
      <c r="B2470" s="36">
        <v>43350</v>
      </c>
      <c r="C2470">
        <f t="shared" si="102"/>
        <v>-6.9638521097723505E-3</v>
      </c>
    </row>
    <row r="2471" spans="1:3" x14ac:dyDescent="0.3">
      <c r="A2471" s="28">
        <v>42373</v>
      </c>
      <c r="B2471" s="36">
        <v>42141</v>
      </c>
      <c r="C2471">
        <f t="shared" si="102"/>
        <v>-2.7889273356401345E-2</v>
      </c>
    </row>
    <row r="2472" spans="1:3" x14ac:dyDescent="0.3">
      <c r="A2472" s="28">
        <v>42374</v>
      </c>
      <c r="B2472" s="36">
        <v>42419</v>
      </c>
      <c r="C2472">
        <f t="shared" si="102"/>
        <v>6.5969008803776763E-3</v>
      </c>
    </row>
    <row r="2473" spans="1:3" x14ac:dyDescent="0.3">
      <c r="A2473" s="28">
        <v>42375</v>
      </c>
      <c r="B2473" s="36">
        <v>41773</v>
      </c>
      <c r="C2473">
        <f t="shared" si="102"/>
        <v>-1.5229024729484397E-2</v>
      </c>
    </row>
    <row r="2474" spans="1:3" x14ac:dyDescent="0.3">
      <c r="A2474" s="28">
        <v>42376</v>
      </c>
      <c r="B2474" s="36">
        <v>40695</v>
      </c>
      <c r="C2474">
        <f t="shared" si="102"/>
        <v>-2.580614272376891E-2</v>
      </c>
    </row>
    <row r="2475" spans="1:3" x14ac:dyDescent="0.3">
      <c r="A2475" s="28">
        <v>42377</v>
      </c>
      <c r="B2475" s="36">
        <v>40612</v>
      </c>
      <c r="C2475">
        <f t="shared" si="102"/>
        <v>-2.0395625998279598E-3</v>
      </c>
    </row>
    <row r="2476" spans="1:3" x14ac:dyDescent="0.3">
      <c r="A2476" s="28">
        <v>42380</v>
      </c>
      <c r="B2476" s="36">
        <v>39950</v>
      </c>
      <c r="C2476">
        <f t="shared" si="102"/>
        <v>-1.6300600807643062E-2</v>
      </c>
    </row>
    <row r="2477" spans="1:3" x14ac:dyDescent="0.3">
      <c r="A2477" s="28">
        <v>42381</v>
      </c>
      <c r="B2477" s="36">
        <v>39514</v>
      </c>
      <c r="C2477">
        <f t="shared" si="102"/>
        <v>-1.0913642052565731E-2</v>
      </c>
    </row>
    <row r="2478" spans="1:3" x14ac:dyDescent="0.3">
      <c r="A2478" s="28">
        <v>42382</v>
      </c>
      <c r="B2478" s="36">
        <v>38944</v>
      </c>
      <c r="C2478">
        <f t="shared" si="102"/>
        <v>-1.4425266993976837E-2</v>
      </c>
    </row>
    <row r="2479" spans="1:3" x14ac:dyDescent="0.3">
      <c r="A2479" s="28">
        <v>42383</v>
      </c>
      <c r="B2479" s="36">
        <v>39500</v>
      </c>
      <c r="C2479">
        <f t="shared" si="102"/>
        <v>1.427691043549717E-2</v>
      </c>
    </row>
    <row r="2480" spans="1:3" x14ac:dyDescent="0.3">
      <c r="A2480" s="28">
        <v>42384</v>
      </c>
      <c r="B2480" s="36">
        <v>38569</v>
      </c>
      <c r="C2480">
        <f t="shared" si="102"/>
        <v>-2.3569620253164558E-2</v>
      </c>
    </row>
    <row r="2481" spans="1:3" x14ac:dyDescent="0.3">
      <c r="A2481" s="28">
        <v>42387</v>
      </c>
      <c r="B2481" s="36">
        <v>37937</v>
      </c>
      <c r="C2481">
        <f t="shared" si="102"/>
        <v>-1.6386216909953566E-2</v>
      </c>
    </row>
    <row r="2482" spans="1:3" x14ac:dyDescent="0.3">
      <c r="A2482" s="28">
        <v>42388</v>
      </c>
      <c r="B2482" s="36">
        <v>38057</v>
      </c>
      <c r="C2482">
        <f t="shared" si="102"/>
        <v>3.1631388881567801E-3</v>
      </c>
    </row>
    <row r="2483" spans="1:3" x14ac:dyDescent="0.3">
      <c r="A2483" s="28">
        <v>42389</v>
      </c>
      <c r="B2483" s="36">
        <v>37645</v>
      </c>
      <c r="C2483">
        <f t="shared" si="102"/>
        <v>-1.082586646346273E-2</v>
      </c>
    </row>
    <row r="2484" spans="1:3" x14ac:dyDescent="0.3">
      <c r="A2484" s="28">
        <v>42390</v>
      </c>
      <c r="B2484" s="36">
        <v>37717</v>
      </c>
      <c r="C2484">
        <f t="shared" si="102"/>
        <v>1.9126045955637494E-3</v>
      </c>
    </row>
    <row r="2485" spans="1:3" x14ac:dyDescent="0.3">
      <c r="A2485" s="28">
        <v>42391</v>
      </c>
      <c r="B2485" s="36">
        <v>38031</v>
      </c>
      <c r="C2485">
        <f t="shared" si="102"/>
        <v>8.3251584166290638E-3</v>
      </c>
    </row>
    <row r="2486" spans="1:3" x14ac:dyDescent="0.3">
      <c r="A2486" s="28">
        <v>42395</v>
      </c>
      <c r="B2486" s="36">
        <v>37497</v>
      </c>
      <c r="C2486">
        <f t="shared" si="102"/>
        <v>-1.4041176934605937E-2</v>
      </c>
    </row>
    <row r="2487" spans="1:3" x14ac:dyDescent="0.3">
      <c r="A2487" s="28">
        <v>42396</v>
      </c>
      <c r="B2487" s="36">
        <v>38376</v>
      </c>
      <c r="C2487">
        <f t="shared" si="102"/>
        <v>2.3441875350028063E-2</v>
      </c>
    </row>
    <row r="2488" spans="1:3" x14ac:dyDescent="0.3">
      <c r="A2488" s="28">
        <v>42397</v>
      </c>
      <c r="B2488" s="36">
        <v>38630</v>
      </c>
      <c r="C2488">
        <f t="shared" si="102"/>
        <v>6.6187200333542862E-3</v>
      </c>
    </row>
    <row r="2489" spans="1:3" x14ac:dyDescent="0.3">
      <c r="A2489" s="28">
        <v>42398</v>
      </c>
      <c r="B2489" s="36">
        <v>40406</v>
      </c>
      <c r="C2489">
        <f t="shared" si="102"/>
        <v>4.5974631115713205E-2</v>
      </c>
    </row>
    <row r="2490" spans="1:3" x14ac:dyDescent="0.3">
      <c r="A2490" s="28">
        <v>42401</v>
      </c>
      <c r="B2490" s="36">
        <v>40570</v>
      </c>
      <c r="C2490">
        <f t="shared" si="102"/>
        <v>4.0588031480472964E-3</v>
      </c>
    </row>
    <row r="2491" spans="1:3" x14ac:dyDescent="0.3">
      <c r="A2491" s="28">
        <v>42402</v>
      </c>
      <c r="B2491" s="36">
        <v>38596</v>
      </c>
      <c r="C2491">
        <f t="shared" si="102"/>
        <v>-4.8656642839536635E-2</v>
      </c>
    </row>
    <row r="2492" spans="1:3" x14ac:dyDescent="0.3">
      <c r="A2492" s="28">
        <v>42403</v>
      </c>
      <c r="B2492" s="36">
        <v>39589</v>
      </c>
      <c r="C2492">
        <f t="shared" si="102"/>
        <v>2.5728054720696392E-2</v>
      </c>
    </row>
    <row r="2493" spans="1:3" x14ac:dyDescent="0.3">
      <c r="A2493" s="28">
        <v>42404</v>
      </c>
      <c r="B2493" s="36">
        <v>40822</v>
      </c>
      <c r="C2493">
        <f t="shared" si="102"/>
        <v>3.1145015029427459E-2</v>
      </c>
    </row>
    <row r="2494" spans="1:3" x14ac:dyDescent="0.3">
      <c r="A2494" s="28">
        <v>42405</v>
      </c>
      <c r="B2494" s="36">
        <v>40592</v>
      </c>
      <c r="C2494">
        <f t="shared" si="102"/>
        <v>-5.6342168438586748E-3</v>
      </c>
    </row>
    <row r="2495" spans="1:3" x14ac:dyDescent="0.3">
      <c r="A2495" s="28">
        <v>42410</v>
      </c>
      <c r="B2495" s="36">
        <v>40377</v>
      </c>
      <c r="C2495">
        <f t="shared" si="102"/>
        <v>-5.2966101694915668E-3</v>
      </c>
    </row>
    <row r="2496" spans="1:3" x14ac:dyDescent="0.3">
      <c r="A2496" s="28">
        <v>42411</v>
      </c>
      <c r="B2496" s="36">
        <v>39318</v>
      </c>
      <c r="C2496">
        <f t="shared" si="102"/>
        <v>-2.6227802957129009E-2</v>
      </c>
    </row>
    <row r="2497" spans="1:3" x14ac:dyDescent="0.3">
      <c r="A2497" s="28">
        <v>42412</v>
      </c>
      <c r="B2497" s="36">
        <v>39808</v>
      </c>
      <c r="C2497">
        <f t="shared" si="102"/>
        <v>1.2462485375654975E-2</v>
      </c>
    </row>
    <row r="2498" spans="1:3" x14ac:dyDescent="0.3">
      <c r="A2498" s="28">
        <v>42415</v>
      </c>
      <c r="B2498" s="36">
        <v>40093</v>
      </c>
      <c r="C2498">
        <f t="shared" si="102"/>
        <v>7.1593649517684987E-3</v>
      </c>
    </row>
    <row r="2499" spans="1:3" x14ac:dyDescent="0.3">
      <c r="A2499" s="28">
        <v>42416</v>
      </c>
      <c r="B2499" s="36">
        <v>40948</v>
      </c>
      <c r="C2499">
        <f t="shared" si="102"/>
        <v>2.1325418402214913E-2</v>
      </c>
    </row>
    <row r="2500" spans="1:3" x14ac:dyDescent="0.3">
      <c r="A2500" s="28">
        <v>42417</v>
      </c>
      <c r="B2500" s="36">
        <v>41631</v>
      </c>
      <c r="C2500">
        <f t="shared" ref="C2500:C2563" si="103">B2500/B2499-1</f>
        <v>1.6679691315815148E-2</v>
      </c>
    </row>
    <row r="2501" spans="1:3" x14ac:dyDescent="0.3">
      <c r="A2501" s="28">
        <v>42418</v>
      </c>
      <c r="B2501" s="36">
        <v>41478</v>
      </c>
      <c r="C2501">
        <f t="shared" si="103"/>
        <v>-3.6751459249116936E-3</v>
      </c>
    </row>
    <row r="2502" spans="1:3" x14ac:dyDescent="0.3">
      <c r="A2502" s="28">
        <v>42419</v>
      </c>
      <c r="B2502" s="36">
        <v>41543</v>
      </c>
      <c r="C2502">
        <f t="shared" si="103"/>
        <v>1.5670958098268351E-3</v>
      </c>
    </row>
    <row r="2503" spans="1:3" x14ac:dyDescent="0.3">
      <c r="A2503" s="28">
        <v>42422</v>
      </c>
      <c r="B2503" s="36">
        <v>43235</v>
      </c>
      <c r="C2503">
        <f t="shared" si="103"/>
        <v>4.0728883325710674E-2</v>
      </c>
    </row>
    <row r="2504" spans="1:3" x14ac:dyDescent="0.3">
      <c r="A2504" s="28">
        <v>42423</v>
      </c>
      <c r="B2504" s="36">
        <v>42521</v>
      </c>
      <c r="C2504">
        <f t="shared" si="103"/>
        <v>-1.651439805712962E-2</v>
      </c>
    </row>
    <row r="2505" spans="1:3" x14ac:dyDescent="0.3">
      <c r="A2505" s="28">
        <v>42424</v>
      </c>
      <c r="B2505" s="36">
        <v>42085</v>
      </c>
      <c r="C2505">
        <f t="shared" si="103"/>
        <v>-1.02537569671457E-2</v>
      </c>
    </row>
    <row r="2506" spans="1:3" x14ac:dyDescent="0.3">
      <c r="A2506" s="28">
        <v>42425</v>
      </c>
      <c r="B2506" s="36">
        <v>41888</v>
      </c>
      <c r="C2506">
        <f t="shared" si="103"/>
        <v>-4.6810027325649983E-3</v>
      </c>
    </row>
    <row r="2507" spans="1:3" x14ac:dyDescent="0.3">
      <c r="A2507" s="28">
        <v>42426</v>
      </c>
      <c r="B2507" s="36">
        <v>41593</v>
      </c>
      <c r="C2507">
        <f t="shared" si="103"/>
        <v>-7.0425897631779533E-3</v>
      </c>
    </row>
    <row r="2508" spans="1:3" x14ac:dyDescent="0.3">
      <c r="A2508" s="28">
        <v>42429</v>
      </c>
      <c r="B2508" s="36">
        <v>42794</v>
      </c>
      <c r="C2508">
        <f t="shared" si="103"/>
        <v>2.887505109032773E-2</v>
      </c>
    </row>
    <row r="2509" spans="1:3" x14ac:dyDescent="0.3">
      <c r="A2509" s="28">
        <v>42430</v>
      </c>
      <c r="B2509" s="36">
        <v>44122</v>
      </c>
      <c r="C2509">
        <f t="shared" si="103"/>
        <v>3.1032387717904397E-2</v>
      </c>
    </row>
    <row r="2510" spans="1:3" x14ac:dyDescent="0.3">
      <c r="A2510" s="28">
        <v>42431</v>
      </c>
      <c r="B2510" s="36">
        <v>44893</v>
      </c>
      <c r="C2510">
        <f t="shared" si="103"/>
        <v>1.7474275871447453E-2</v>
      </c>
    </row>
    <row r="2511" spans="1:3" x14ac:dyDescent="0.3">
      <c r="A2511" s="28">
        <v>42432</v>
      </c>
      <c r="B2511" s="36">
        <v>47193</v>
      </c>
      <c r="C2511">
        <f t="shared" si="103"/>
        <v>5.1232931637449131E-2</v>
      </c>
    </row>
    <row r="2512" spans="1:3" x14ac:dyDescent="0.3">
      <c r="A2512" s="28">
        <v>42433</v>
      </c>
      <c r="B2512" s="36">
        <v>49085</v>
      </c>
      <c r="C2512">
        <f t="shared" si="103"/>
        <v>4.0090691416099888E-2</v>
      </c>
    </row>
    <row r="2513" spans="1:3" x14ac:dyDescent="0.3">
      <c r="A2513" s="28">
        <v>42436</v>
      </c>
      <c r="B2513" s="36">
        <v>49246</v>
      </c>
      <c r="C2513">
        <f t="shared" si="103"/>
        <v>3.2800244473871754E-3</v>
      </c>
    </row>
    <row r="2514" spans="1:3" x14ac:dyDescent="0.3">
      <c r="A2514" s="28">
        <v>42437</v>
      </c>
      <c r="B2514" s="36">
        <v>49102</v>
      </c>
      <c r="C2514">
        <f t="shared" si="103"/>
        <v>-2.9240953579986462E-3</v>
      </c>
    </row>
    <row r="2515" spans="1:3" x14ac:dyDescent="0.3">
      <c r="A2515" s="28">
        <v>42438</v>
      </c>
      <c r="B2515" s="36">
        <v>48665</v>
      </c>
      <c r="C2515">
        <f t="shared" si="103"/>
        <v>-8.8998411470001537E-3</v>
      </c>
    </row>
    <row r="2516" spans="1:3" x14ac:dyDescent="0.3">
      <c r="A2516" s="28">
        <v>42439</v>
      </c>
      <c r="B2516" s="36">
        <v>49571</v>
      </c>
      <c r="C2516">
        <f t="shared" si="103"/>
        <v>1.8617075927257698E-2</v>
      </c>
    </row>
    <row r="2517" spans="1:3" x14ac:dyDescent="0.3">
      <c r="A2517" s="28">
        <v>42440</v>
      </c>
      <c r="B2517" s="36">
        <v>49639</v>
      </c>
      <c r="C2517">
        <f t="shared" si="103"/>
        <v>1.371769784753285E-3</v>
      </c>
    </row>
    <row r="2518" spans="1:3" x14ac:dyDescent="0.3">
      <c r="A2518" s="28">
        <v>42443</v>
      </c>
      <c r="B2518" s="36">
        <v>48867</v>
      </c>
      <c r="C2518">
        <f t="shared" si="103"/>
        <v>-1.5552287515864571E-2</v>
      </c>
    </row>
    <row r="2519" spans="1:3" x14ac:dyDescent="0.3">
      <c r="A2519" s="28">
        <v>42444</v>
      </c>
      <c r="B2519" s="36">
        <v>47130</v>
      </c>
      <c r="C2519">
        <f t="shared" si="103"/>
        <v>-3.5545460126465755E-2</v>
      </c>
    </row>
    <row r="2520" spans="1:3" x14ac:dyDescent="0.3">
      <c r="A2520" s="28">
        <v>42445</v>
      </c>
      <c r="B2520" s="36">
        <v>47763</v>
      </c>
      <c r="C2520">
        <f t="shared" si="103"/>
        <v>1.3430935709739078E-2</v>
      </c>
    </row>
    <row r="2521" spans="1:3" x14ac:dyDescent="0.3">
      <c r="A2521" s="28">
        <v>42446</v>
      </c>
      <c r="B2521" s="36">
        <v>50914</v>
      </c>
      <c r="C2521">
        <f t="shared" si="103"/>
        <v>6.5971567950086962E-2</v>
      </c>
    </row>
    <row r="2522" spans="1:3" x14ac:dyDescent="0.3">
      <c r="A2522" s="28">
        <v>42447</v>
      </c>
      <c r="B2522" s="36">
        <v>50815</v>
      </c>
      <c r="C2522">
        <f t="shared" si="103"/>
        <v>-1.9444553560906686E-3</v>
      </c>
    </row>
    <row r="2523" spans="1:3" x14ac:dyDescent="0.3">
      <c r="A2523" s="28">
        <v>42450</v>
      </c>
      <c r="B2523" s="36">
        <v>51172</v>
      </c>
      <c r="C2523">
        <f t="shared" si="103"/>
        <v>7.0254846010036065E-3</v>
      </c>
    </row>
    <row r="2524" spans="1:3" x14ac:dyDescent="0.3">
      <c r="A2524" s="28">
        <v>42451</v>
      </c>
      <c r="B2524" s="36">
        <v>51010</v>
      </c>
      <c r="C2524">
        <f t="shared" si="103"/>
        <v>-3.1657937934808089E-3</v>
      </c>
    </row>
    <row r="2525" spans="1:3" x14ac:dyDescent="0.3">
      <c r="A2525" s="28">
        <v>42452</v>
      </c>
      <c r="B2525" s="36">
        <v>49690</v>
      </c>
      <c r="C2525">
        <f t="shared" si="103"/>
        <v>-2.5877278964908879E-2</v>
      </c>
    </row>
    <row r="2526" spans="1:3" x14ac:dyDescent="0.3">
      <c r="A2526" s="28">
        <v>42453</v>
      </c>
      <c r="B2526" s="36">
        <v>49657</v>
      </c>
      <c r="C2526">
        <f t="shared" si="103"/>
        <v>-6.6411752867778784E-4</v>
      </c>
    </row>
    <row r="2527" spans="1:3" x14ac:dyDescent="0.3">
      <c r="A2527" s="28">
        <v>42457</v>
      </c>
      <c r="B2527" s="36">
        <v>50838</v>
      </c>
      <c r="C2527">
        <f t="shared" si="103"/>
        <v>2.3783152425639997E-2</v>
      </c>
    </row>
    <row r="2528" spans="1:3" x14ac:dyDescent="0.3">
      <c r="A2528" s="28">
        <v>42458</v>
      </c>
      <c r="B2528" s="36">
        <v>51155</v>
      </c>
      <c r="C2528">
        <f t="shared" si="103"/>
        <v>6.2354931350565579E-3</v>
      </c>
    </row>
    <row r="2529" spans="1:3" x14ac:dyDescent="0.3">
      <c r="A2529" s="28">
        <v>42459</v>
      </c>
      <c r="B2529" s="36">
        <v>51249</v>
      </c>
      <c r="C2529">
        <f t="shared" si="103"/>
        <v>1.8375525364089373E-3</v>
      </c>
    </row>
    <row r="2530" spans="1:3" x14ac:dyDescent="0.3">
      <c r="A2530" s="28">
        <v>42460</v>
      </c>
      <c r="B2530" s="36">
        <v>50055</v>
      </c>
      <c r="C2530">
        <f t="shared" si="103"/>
        <v>-2.3298015571035502E-2</v>
      </c>
    </row>
    <row r="2531" spans="1:3" x14ac:dyDescent="0.3">
      <c r="A2531" s="28">
        <v>42461</v>
      </c>
      <c r="B2531" s="36">
        <v>50562</v>
      </c>
      <c r="C2531">
        <f t="shared" si="103"/>
        <v>1.0128858255918471E-2</v>
      </c>
    </row>
    <row r="2532" spans="1:3" x14ac:dyDescent="0.3">
      <c r="A2532" s="28">
        <v>42464</v>
      </c>
      <c r="B2532" s="36">
        <v>48780</v>
      </c>
      <c r="C2532">
        <f t="shared" si="103"/>
        <v>-3.524385902456395E-2</v>
      </c>
    </row>
    <row r="2533" spans="1:3" x14ac:dyDescent="0.3">
      <c r="A2533" s="28">
        <v>42465</v>
      </c>
      <c r="B2533" s="36">
        <v>49054</v>
      </c>
      <c r="C2533">
        <f t="shared" si="103"/>
        <v>5.6170561705617406E-3</v>
      </c>
    </row>
    <row r="2534" spans="1:3" x14ac:dyDescent="0.3">
      <c r="A2534" s="28">
        <v>42466</v>
      </c>
      <c r="B2534" s="36">
        <v>48096</v>
      </c>
      <c r="C2534">
        <f t="shared" si="103"/>
        <v>-1.9529498104130183E-2</v>
      </c>
    </row>
    <row r="2535" spans="1:3" x14ac:dyDescent="0.3">
      <c r="A2535" s="28">
        <v>42467</v>
      </c>
      <c r="B2535" s="36">
        <v>48513</v>
      </c>
      <c r="C2535">
        <f t="shared" si="103"/>
        <v>8.6701596806386672E-3</v>
      </c>
    </row>
    <row r="2536" spans="1:3" x14ac:dyDescent="0.3">
      <c r="A2536" s="28">
        <v>42468</v>
      </c>
      <c r="B2536" s="36">
        <v>50293</v>
      </c>
      <c r="C2536">
        <f t="shared" si="103"/>
        <v>3.6691196174221341E-2</v>
      </c>
    </row>
    <row r="2537" spans="1:3" x14ac:dyDescent="0.3">
      <c r="A2537" s="28">
        <v>42471</v>
      </c>
      <c r="B2537" s="36">
        <v>50165</v>
      </c>
      <c r="C2537">
        <f t="shared" si="103"/>
        <v>-2.5450857972282304E-3</v>
      </c>
    </row>
    <row r="2538" spans="1:3" x14ac:dyDescent="0.3">
      <c r="A2538" s="28">
        <v>42472</v>
      </c>
      <c r="B2538" s="36">
        <v>52002</v>
      </c>
      <c r="C2538">
        <f t="shared" si="103"/>
        <v>3.661915678261729E-2</v>
      </c>
    </row>
    <row r="2539" spans="1:3" x14ac:dyDescent="0.3">
      <c r="A2539" s="28">
        <v>42473</v>
      </c>
      <c r="B2539" s="36">
        <v>53150</v>
      </c>
      <c r="C2539">
        <f t="shared" si="103"/>
        <v>2.2076073997153944E-2</v>
      </c>
    </row>
    <row r="2540" spans="1:3" x14ac:dyDescent="0.3">
      <c r="A2540" s="28">
        <v>42474</v>
      </c>
      <c r="B2540" s="36">
        <v>52411</v>
      </c>
      <c r="C2540">
        <f t="shared" si="103"/>
        <v>-1.3904045155221034E-2</v>
      </c>
    </row>
    <row r="2541" spans="1:3" x14ac:dyDescent="0.3">
      <c r="A2541" s="28">
        <v>42475</v>
      </c>
      <c r="B2541" s="36">
        <v>53228</v>
      </c>
      <c r="C2541">
        <f t="shared" si="103"/>
        <v>1.558833069393839E-2</v>
      </c>
    </row>
    <row r="2542" spans="1:3" x14ac:dyDescent="0.3">
      <c r="A2542" s="28">
        <v>42478</v>
      </c>
      <c r="B2542" s="36">
        <v>52894</v>
      </c>
      <c r="C2542">
        <f t="shared" si="103"/>
        <v>-6.2748929135041376E-3</v>
      </c>
    </row>
    <row r="2543" spans="1:3" x14ac:dyDescent="0.3">
      <c r="A2543" s="28">
        <v>42479</v>
      </c>
      <c r="B2543" s="36">
        <v>53710</v>
      </c>
      <c r="C2543">
        <f t="shared" si="103"/>
        <v>1.5427080576246865E-2</v>
      </c>
    </row>
    <row r="2544" spans="1:3" x14ac:dyDescent="0.3">
      <c r="A2544" s="28">
        <v>42480</v>
      </c>
      <c r="B2544" s="36">
        <v>53631</v>
      </c>
      <c r="C2544">
        <f t="shared" si="103"/>
        <v>-1.4708620368646397E-3</v>
      </c>
    </row>
    <row r="2545" spans="1:3" x14ac:dyDescent="0.3">
      <c r="A2545" s="28">
        <v>42482</v>
      </c>
      <c r="B2545" s="36">
        <v>52908</v>
      </c>
      <c r="C2545">
        <f t="shared" si="103"/>
        <v>-1.3481009117860987E-2</v>
      </c>
    </row>
    <row r="2546" spans="1:3" x14ac:dyDescent="0.3">
      <c r="A2546" s="28">
        <v>42485</v>
      </c>
      <c r="B2546" s="36">
        <v>51862</v>
      </c>
      <c r="C2546">
        <f t="shared" si="103"/>
        <v>-1.9770167082482804E-2</v>
      </c>
    </row>
    <row r="2547" spans="1:3" x14ac:dyDescent="0.3">
      <c r="A2547" s="28">
        <v>42486</v>
      </c>
      <c r="B2547" s="36">
        <v>53083</v>
      </c>
      <c r="C2547">
        <f t="shared" si="103"/>
        <v>2.354324939261887E-2</v>
      </c>
    </row>
    <row r="2548" spans="1:3" x14ac:dyDescent="0.3">
      <c r="A2548" s="28">
        <v>42487</v>
      </c>
      <c r="B2548" s="36">
        <v>54478</v>
      </c>
      <c r="C2548">
        <f t="shared" si="103"/>
        <v>2.6279599871898762E-2</v>
      </c>
    </row>
    <row r="2549" spans="1:3" x14ac:dyDescent="0.3">
      <c r="A2549" s="28">
        <v>42488</v>
      </c>
      <c r="B2549" s="36">
        <v>54312</v>
      </c>
      <c r="C2549">
        <f t="shared" si="103"/>
        <v>-3.047101582290046E-3</v>
      </c>
    </row>
    <row r="2550" spans="1:3" x14ac:dyDescent="0.3">
      <c r="A2550" s="28">
        <v>42489</v>
      </c>
      <c r="B2550" s="36">
        <v>53911</v>
      </c>
      <c r="C2550">
        <f t="shared" si="103"/>
        <v>-7.3832670496390973E-3</v>
      </c>
    </row>
    <row r="2551" spans="1:3" x14ac:dyDescent="0.3">
      <c r="A2551" s="28">
        <v>42492</v>
      </c>
      <c r="B2551" s="36">
        <v>53562</v>
      </c>
      <c r="C2551">
        <f t="shared" si="103"/>
        <v>-6.4736324683274393E-3</v>
      </c>
    </row>
    <row r="2552" spans="1:3" x14ac:dyDescent="0.3">
      <c r="A2552" s="28">
        <v>42493</v>
      </c>
      <c r="B2552" s="36">
        <v>52260</v>
      </c>
      <c r="C2552">
        <f t="shared" si="103"/>
        <v>-2.4308278256973237E-2</v>
      </c>
    </row>
    <row r="2553" spans="1:3" x14ac:dyDescent="0.3">
      <c r="A2553" s="28">
        <v>42494</v>
      </c>
      <c r="B2553" s="36">
        <v>52553</v>
      </c>
      <c r="C2553">
        <f t="shared" si="103"/>
        <v>5.6065824722542068E-3</v>
      </c>
    </row>
    <row r="2554" spans="1:3" x14ac:dyDescent="0.3">
      <c r="A2554" s="28">
        <v>42495</v>
      </c>
      <c r="B2554" s="36">
        <v>51671</v>
      </c>
      <c r="C2554">
        <f t="shared" si="103"/>
        <v>-1.6783057104256649E-2</v>
      </c>
    </row>
    <row r="2555" spans="1:3" x14ac:dyDescent="0.3">
      <c r="A2555" s="28">
        <v>42496</v>
      </c>
      <c r="B2555" s="36">
        <v>51718</v>
      </c>
      <c r="C2555">
        <f t="shared" si="103"/>
        <v>9.0960113022786615E-4</v>
      </c>
    </row>
    <row r="2556" spans="1:3" x14ac:dyDescent="0.3">
      <c r="A2556" s="28">
        <v>42499</v>
      </c>
      <c r="B2556" s="36">
        <v>50990</v>
      </c>
      <c r="C2556">
        <f t="shared" si="103"/>
        <v>-1.407633705866429E-2</v>
      </c>
    </row>
    <row r="2557" spans="1:3" x14ac:dyDescent="0.3">
      <c r="A2557" s="28">
        <v>42500</v>
      </c>
      <c r="B2557" s="36">
        <v>53071</v>
      </c>
      <c r="C2557">
        <f t="shared" si="103"/>
        <v>4.0811923906648451E-2</v>
      </c>
    </row>
    <row r="2558" spans="1:3" x14ac:dyDescent="0.3">
      <c r="A2558" s="28">
        <v>42501</v>
      </c>
      <c r="B2558" s="36">
        <v>52764</v>
      </c>
      <c r="C2558">
        <f t="shared" si="103"/>
        <v>-5.784703510391731E-3</v>
      </c>
    </row>
    <row r="2559" spans="1:3" x14ac:dyDescent="0.3">
      <c r="A2559" s="28">
        <v>42502</v>
      </c>
      <c r="B2559" s="36">
        <v>53241</v>
      </c>
      <c r="C2559">
        <f t="shared" si="103"/>
        <v>9.0402547191266169E-3</v>
      </c>
    </row>
    <row r="2560" spans="1:3" x14ac:dyDescent="0.3">
      <c r="A2560" s="28">
        <v>42503</v>
      </c>
      <c r="B2560" s="36">
        <v>51804</v>
      </c>
      <c r="C2560">
        <f t="shared" si="103"/>
        <v>-2.6990477263762913E-2</v>
      </c>
    </row>
    <row r="2561" spans="1:3" x14ac:dyDescent="0.3">
      <c r="A2561" s="28">
        <v>42506</v>
      </c>
      <c r="B2561" s="36">
        <v>51803</v>
      </c>
      <c r="C2561">
        <f t="shared" si="103"/>
        <v>-1.930352868506624E-5</v>
      </c>
    </row>
    <row r="2562" spans="1:3" x14ac:dyDescent="0.3">
      <c r="A2562" s="28">
        <v>42507</v>
      </c>
      <c r="B2562" s="36">
        <v>50839</v>
      </c>
      <c r="C2562">
        <f t="shared" si="103"/>
        <v>-1.8608960870992064E-2</v>
      </c>
    </row>
    <row r="2563" spans="1:3" x14ac:dyDescent="0.3">
      <c r="A2563" s="28">
        <v>42508</v>
      </c>
      <c r="B2563" s="36">
        <v>50562</v>
      </c>
      <c r="C2563">
        <f t="shared" si="103"/>
        <v>-5.4485729459666787E-3</v>
      </c>
    </row>
    <row r="2564" spans="1:3" x14ac:dyDescent="0.3">
      <c r="A2564" s="28">
        <v>42509</v>
      </c>
      <c r="B2564" s="36">
        <v>50133</v>
      </c>
      <c r="C2564">
        <f t="shared" ref="C2564:C2627" si="104">B2564/B2563-1</f>
        <v>-8.4846327281357103E-3</v>
      </c>
    </row>
    <row r="2565" spans="1:3" x14ac:dyDescent="0.3">
      <c r="A2565" s="28">
        <v>42510</v>
      </c>
      <c r="B2565" s="36">
        <v>49723</v>
      </c>
      <c r="C2565">
        <f t="shared" si="104"/>
        <v>-8.1782458659964696E-3</v>
      </c>
    </row>
    <row r="2566" spans="1:3" x14ac:dyDescent="0.3">
      <c r="A2566" s="28">
        <v>42513</v>
      </c>
      <c r="B2566" s="36">
        <v>49330</v>
      </c>
      <c r="C2566">
        <f t="shared" si="104"/>
        <v>-7.9037869798684879E-3</v>
      </c>
    </row>
    <row r="2567" spans="1:3" x14ac:dyDescent="0.3">
      <c r="A2567" s="28">
        <v>42514</v>
      </c>
      <c r="B2567" s="36">
        <v>49345</v>
      </c>
      <c r="C2567">
        <f t="shared" si="104"/>
        <v>3.0407459963521788E-4</v>
      </c>
    </row>
    <row r="2568" spans="1:3" x14ac:dyDescent="0.3">
      <c r="A2568" s="28">
        <v>42515</v>
      </c>
      <c r="B2568" s="36">
        <v>49483</v>
      </c>
      <c r="C2568">
        <f t="shared" si="104"/>
        <v>2.7966359306921262E-3</v>
      </c>
    </row>
    <row r="2569" spans="1:3" x14ac:dyDescent="0.3">
      <c r="A2569" s="28">
        <v>42517</v>
      </c>
      <c r="B2569" s="36">
        <v>49051</v>
      </c>
      <c r="C2569">
        <f t="shared" si="104"/>
        <v>-8.730271002162393E-3</v>
      </c>
    </row>
    <row r="2570" spans="1:3" x14ac:dyDescent="0.3">
      <c r="A2570" s="28">
        <v>42520</v>
      </c>
      <c r="B2570" s="36">
        <v>48964</v>
      </c>
      <c r="C2570">
        <f t="shared" si="104"/>
        <v>-1.7736641454811908E-3</v>
      </c>
    </row>
    <row r="2571" spans="1:3" x14ac:dyDescent="0.3">
      <c r="A2571" s="28">
        <v>42521</v>
      </c>
      <c r="B2571" s="36">
        <v>48472</v>
      </c>
      <c r="C2571">
        <f t="shared" si="104"/>
        <v>-1.004819867657869E-2</v>
      </c>
    </row>
    <row r="2572" spans="1:3" x14ac:dyDescent="0.3">
      <c r="A2572" s="28">
        <v>42522</v>
      </c>
      <c r="B2572" s="36">
        <v>49013</v>
      </c>
      <c r="C2572">
        <f t="shared" si="104"/>
        <v>1.1161082686911961E-2</v>
      </c>
    </row>
    <row r="2573" spans="1:3" x14ac:dyDescent="0.3">
      <c r="A2573" s="28">
        <v>42523</v>
      </c>
      <c r="B2573" s="36">
        <v>49887</v>
      </c>
      <c r="C2573">
        <f t="shared" si="104"/>
        <v>1.7832003754105985E-2</v>
      </c>
    </row>
    <row r="2574" spans="1:3" x14ac:dyDescent="0.3">
      <c r="A2574" s="28">
        <v>42524</v>
      </c>
      <c r="B2574" s="36">
        <v>50619</v>
      </c>
      <c r="C2574">
        <f t="shared" si="104"/>
        <v>1.4673161344638919E-2</v>
      </c>
    </row>
    <row r="2575" spans="1:3" x14ac:dyDescent="0.3">
      <c r="A2575" s="28">
        <v>42527</v>
      </c>
      <c r="B2575" s="36">
        <v>50432</v>
      </c>
      <c r="C2575">
        <f t="shared" si="104"/>
        <v>-3.694264999308583E-3</v>
      </c>
    </row>
    <row r="2576" spans="1:3" x14ac:dyDescent="0.3">
      <c r="A2576" s="28">
        <v>42528</v>
      </c>
      <c r="B2576" s="36">
        <v>50488</v>
      </c>
      <c r="C2576">
        <f t="shared" si="104"/>
        <v>1.110406091370475E-3</v>
      </c>
    </row>
    <row r="2577" spans="1:3" x14ac:dyDescent="0.3">
      <c r="A2577" s="28">
        <v>42529</v>
      </c>
      <c r="B2577" s="36">
        <v>51629</v>
      </c>
      <c r="C2577">
        <f t="shared" si="104"/>
        <v>2.2599429567421891E-2</v>
      </c>
    </row>
    <row r="2578" spans="1:3" x14ac:dyDescent="0.3">
      <c r="A2578" s="28">
        <v>42530</v>
      </c>
      <c r="B2578" s="36">
        <v>51118</v>
      </c>
      <c r="C2578">
        <f t="shared" si="104"/>
        <v>-9.8975382052722827E-3</v>
      </c>
    </row>
    <row r="2579" spans="1:3" x14ac:dyDescent="0.3">
      <c r="A2579" s="28">
        <v>42531</v>
      </c>
      <c r="B2579" s="36">
        <v>49422</v>
      </c>
      <c r="C2579">
        <f t="shared" si="104"/>
        <v>-3.3178136859814522E-2</v>
      </c>
    </row>
    <row r="2580" spans="1:3" x14ac:dyDescent="0.3">
      <c r="A2580" s="28">
        <v>42534</v>
      </c>
      <c r="B2580" s="36">
        <v>49661</v>
      </c>
      <c r="C2580">
        <f t="shared" si="104"/>
        <v>4.8359030391322833E-3</v>
      </c>
    </row>
    <row r="2581" spans="1:3" x14ac:dyDescent="0.3">
      <c r="A2581" s="28">
        <v>42535</v>
      </c>
      <c r="B2581" s="36">
        <v>48648</v>
      </c>
      <c r="C2581">
        <f t="shared" si="104"/>
        <v>-2.0398300477235676E-2</v>
      </c>
    </row>
    <row r="2582" spans="1:3" x14ac:dyDescent="0.3">
      <c r="A2582" s="28">
        <v>42536</v>
      </c>
      <c r="B2582" s="36">
        <v>48915</v>
      </c>
      <c r="C2582">
        <f t="shared" si="104"/>
        <v>5.4884065120868186E-3</v>
      </c>
    </row>
    <row r="2583" spans="1:3" x14ac:dyDescent="0.3">
      <c r="A2583" s="28">
        <v>42537</v>
      </c>
      <c r="B2583" s="36">
        <v>49412</v>
      </c>
      <c r="C2583">
        <f t="shared" si="104"/>
        <v>1.0160482469590004E-2</v>
      </c>
    </row>
    <row r="2584" spans="1:3" x14ac:dyDescent="0.3">
      <c r="A2584" s="28">
        <v>42538</v>
      </c>
      <c r="B2584" s="36">
        <v>49534</v>
      </c>
      <c r="C2584">
        <f t="shared" si="104"/>
        <v>2.4690358617340813E-3</v>
      </c>
    </row>
    <row r="2585" spans="1:3" x14ac:dyDescent="0.3">
      <c r="A2585" s="28">
        <v>42541</v>
      </c>
      <c r="B2585" s="36">
        <v>50329</v>
      </c>
      <c r="C2585">
        <f t="shared" si="104"/>
        <v>1.6049582105220672E-2</v>
      </c>
    </row>
    <row r="2586" spans="1:3" x14ac:dyDescent="0.3">
      <c r="A2586" s="28">
        <v>42542</v>
      </c>
      <c r="B2586" s="36">
        <v>50838</v>
      </c>
      <c r="C2586">
        <f t="shared" si="104"/>
        <v>1.0113453476127132E-2</v>
      </c>
    </row>
    <row r="2587" spans="1:3" x14ac:dyDescent="0.3">
      <c r="A2587" s="28">
        <v>42543</v>
      </c>
      <c r="B2587" s="36">
        <v>50156</v>
      </c>
      <c r="C2587">
        <f t="shared" si="104"/>
        <v>-1.3415161886777605E-2</v>
      </c>
    </row>
    <row r="2588" spans="1:3" x14ac:dyDescent="0.3">
      <c r="A2588" s="28">
        <v>42544</v>
      </c>
      <c r="B2588" s="36">
        <v>51560</v>
      </c>
      <c r="C2588">
        <f t="shared" si="104"/>
        <v>2.7992662891777709E-2</v>
      </c>
    </row>
    <row r="2589" spans="1:3" x14ac:dyDescent="0.3">
      <c r="A2589" s="28">
        <v>42545</v>
      </c>
      <c r="B2589" s="36">
        <v>50105</v>
      </c>
      <c r="C2589">
        <f t="shared" si="104"/>
        <v>-2.8219550038789731E-2</v>
      </c>
    </row>
    <row r="2590" spans="1:3" x14ac:dyDescent="0.3">
      <c r="A2590" s="28">
        <v>42548</v>
      </c>
      <c r="B2590" s="36">
        <v>49246</v>
      </c>
      <c r="C2590">
        <f t="shared" si="104"/>
        <v>-1.7143997605029493E-2</v>
      </c>
    </row>
    <row r="2591" spans="1:3" x14ac:dyDescent="0.3">
      <c r="A2591" s="28">
        <v>42549</v>
      </c>
      <c r="B2591" s="36">
        <v>50007</v>
      </c>
      <c r="C2591">
        <f t="shared" si="104"/>
        <v>1.5453031718312138E-2</v>
      </c>
    </row>
    <row r="2592" spans="1:3" x14ac:dyDescent="0.3">
      <c r="A2592" s="28">
        <v>42550</v>
      </c>
      <c r="B2592" s="36">
        <v>51002</v>
      </c>
      <c r="C2592">
        <f t="shared" si="104"/>
        <v>1.9897214389985374E-2</v>
      </c>
    </row>
    <row r="2593" spans="1:3" x14ac:dyDescent="0.3">
      <c r="A2593" s="28">
        <v>42551</v>
      </c>
      <c r="B2593" s="36">
        <v>51527</v>
      </c>
      <c r="C2593">
        <f t="shared" si="104"/>
        <v>1.0293713972001184E-2</v>
      </c>
    </row>
    <row r="2594" spans="1:3" x14ac:dyDescent="0.3">
      <c r="A2594" s="28">
        <v>42552</v>
      </c>
      <c r="B2594" s="36">
        <v>52233</v>
      </c>
      <c r="C2594">
        <f t="shared" si="104"/>
        <v>1.3701554524812254E-2</v>
      </c>
    </row>
    <row r="2595" spans="1:3" x14ac:dyDescent="0.3">
      <c r="A2595" s="28">
        <v>42555</v>
      </c>
      <c r="B2595" s="36">
        <v>52569</v>
      </c>
      <c r="C2595">
        <f t="shared" si="104"/>
        <v>6.4327149503187186E-3</v>
      </c>
    </row>
    <row r="2596" spans="1:3" x14ac:dyDescent="0.3">
      <c r="A2596" s="28">
        <v>42556</v>
      </c>
      <c r="B2596" s="36">
        <v>51842</v>
      </c>
      <c r="C2596">
        <f t="shared" si="104"/>
        <v>-1.3829443207974301E-2</v>
      </c>
    </row>
    <row r="2597" spans="1:3" x14ac:dyDescent="0.3">
      <c r="A2597" s="28">
        <v>42557</v>
      </c>
      <c r="B2597" s="36">
        <v>51902</v>
      </c>
      <c r="C2597">
        <f t="shared" si="104"/>
        <v>1.1573627560665933E-3</v>
      </c>
    </row>
    <row r="2598" spans="1:3" x14ac:dyDescent="0.3">
      <c r="A2598" s="28">
        <v>42558</v>
      </c>
      <c r="B2598" s="36">
        <v>52015</v>
      </c>
      <c r="C2598">
        <f t="shared" si="104"/>
        <v>2.1771800701322341E-3</v>
      </c>
    </row>
    <row r="2599" spans="1:3" x14ac:dyDescent="0.3">
      <c r="A2599" s="28">
        <v>42559</v>
      </c>
      <c r="B2599" s="36">
        <v>53141</v>
      </c>
      <c r="C2599">
        <f t="shared" si="104"/>
        <v>2.1647601653369319E-2</v>
      </c>
    </row>
    <row r="2600" spans="1:3" x14ac:dyDescent="0.3">
      <c r="A2600" s="28">
        <v>42562</v>
      </c>
      <c r="B2600" s="36">
        <v>53960</v>
      </c>
      <c r="C2600">
        <f t="shared" si="104"/>
        <v>1.5411828907999414E-2</v>
      </c>
    </row>
    <row r="2601" spans="1:3" x14ac:dyDescent="0.3">
      <c r="A2601" s="28">
        <v>42563</v>
      </c>
      <c r="B2601" s="36">
        <v>54256</v>
      </c>
      <c r="C2601">
        <f t="shared" si="104"/>
        <v>5.4855448480355395E-3</v>
      </c>
    </row>
    <row r="2602" spans="1:3" x14ac:dyDescent="0.3">
      <c r="A2602" s="28">
        <v>42564</v>
      </c>
      <c r="B2602" s="36">
        <v>54598</v>
      </c>
      <c r="C2602">
        <f t="shared" si="104"/>
        <v>6.3034503096430772E-3</v>
      </c>
    </row>
    <row r="2603" spans="1:3" x14ac:dyDescent="0.3">
      <c r="A2603" s="28">
        <v>42565</v>
      </c>
      <c r="B2603" s="36">
        <v>55481</v>
      </c>
      <c r="C2603">
        <f t="shared" si="104"/>
        <v>1.6172753580717236E-2</v>
      </c>
    </row>
    <row r="2604" spans="1:3" x14ac:dyDescent="0.3">
      <c r="A2604" s="28">
        <v>42566</v>
      </c>
      <c r="B2604" s="36">
        <v>55578</v>
      </c>
      <c r="C2604">
        <f t="shared" si="104"/>
        <v>1.7483462807086347E-3</v>
      </c>
    </row>
    <row r="2605" spans="1:3" x14ac:dyDescent="0.3">
      <c r="A2605" s="28">
        <v>42569</v>
      </c>
      <c r="B2605" s="36">
        <v>56484</v>
      </c>
      <c r="C2605">
        <f t="shared" si="104"/>
        <v>1.6301414228651723E-2</v>
      </c>
    </row>
    <row r="2606" spans="1:3" x14ac:dyDescent="0.3">
      <c r="A2606" s="28">
        <v>42570</v>
      </c>
      <c r="B2606" s="36">
        <v>56698</v>
      </c>
      <c r="C2606">
        <f t="shared" si="104"/>
        <v>3.7886835209970382E-3</v>
      </c>
    </row>
    <row r="2607" spans="1:3" x14ac:dyDescent="0.3">
      <c r="A2607" s="28">
        <v>42571</v>
      </c>
      <c r="B2607" s="36">
        <v>56578</v>
      </c>
      <c r="C2607">
        <f t="shared" si="104"/>
        <v>-2.1164767716674859E-3</v>
      </c>
    </row>
    <row r="2608" spans="1:3" x14ac:dyDescent="0.3">
      <c r="A2608" s="28">
        <v>42572</v>
      </c>
      <c r="B2608" s="36">
        <v>56641</v>
      </c>
      <c r="C2608">
        <f t="shared" si="104"/>
        <v>1.1135070168617478E-3</v>
      </c>
    </row>
    <row r="2609" spans="1:3" x14ac:dyDescent="0.3">
      <c r="A2609" s="28">
        <v>42573</v>
      </c>
      <c r="B2609" s="36">
        <v>57002</v>
      </c>
      <c r="C2609">
        <f t="shared" si="104"/>
        <v>6.373475044578969E-3</v>
      </c>
    </row>
    <row r="2610" spans="1:3" x14ac:dyDescent="0.3">
      <c r="A2610" s="28">
        <v>42576</v>
      </c>
      <c r="B2610" s="36">
        <v>56873</v>
      </c>
      <c r="C2610">
        <f t="shared" si="104"/>
        <v>-2.2630784884740685E-3</v>
      </c>
    </row>
    <row r="2611" spans="1:3" x14ac:dyDescent="0.3">
      <c r="A2611" s="28">
        <v>42577</v>
      </c>
      <c r="B2611" s="36">
        <v>56783</v>
      </c>
      <c r="C2611">
        <f t="shared" si="104"/>
        <v>-1.5824732298278521E-3</v>
      </c>
    </row>
    <row r="2612" spans="1:3" x14ac:dyDescent="0.3">
      <c r="A2612" s="28">
        <v>42578</v>
      </c>
      <c r="B2612" s="36">
        <v>56853</v>
      </c>
      <c r="C2612">
        <f t="shared" si="104"/>
        <v>1.2327633270521332E-3</v>
      </c>
    </row>
    <row r="2613" spans="1:3" x14ac:dyDescent="0.3">
      <c r="A2613" s="28">
        <v>42579</v>
      </c>
      <c r="B2613" s="36">
        <v>56667</v>
      </c>
      <c r="C2613">
        <f t="shared" si="104"/>
        <v>-3.2715951664820109E-3</v>
      </c>
    </row>
    <row r="2614" spans="1:3" x14ac:dyDescent="0.3">
      <c r="A2614" s="28">
        <v>42580</v>
      </c>
      <c r="B2614" s="36">
        <v>57308</v>
      </c>
      <c r="C2614">
        <f t="shared" si="104"/>
        <v>1.1311698166481365E-2</v>
      </c>
    </row>
    <row r="2615" spans="1:3" x14ac:dyDescent="0.3">
      <c r="A2615" s="28">
        <v>42583</v>
      </c>
      <c r="B2615" s="36">
        <v>56756</v>
      </c>
      <c r="C2615">
        <f t="shared" si="104"/>
        <v>-9.6321630487889998E-3</v>
      </c>
    </row>
    <row r="2616" spans="1:3" x14ac:dyDescent="0.3">
      <c r="A2616" s="28">
        <v>42584</v>
      </c>
      <c r="B2616" s="36">
        <v>56162</v>
      </c>
      <c r="C2616">
        <f t="shared" si="104"/>
        <v>-1.046585383043197E-2</v>
      </c>
    </row>
    <row r="2617" spans="1:3" x14ac:dyDescent="0.3">
      <c r="A2617" s="28">
        <v>42585</v>
      </c>
      <c r="B2617" s="36">
        <v>57077</v>
      </c>
      <c r="C2617">
        <f t="shared" si="104"/>
        <v>1.6292154837790784E-2</v>
      </c>
    </row>
    <row r="2618" spans="1:3" x14ac:dyDescent="0.3">
      <c r="A2618" s="28">
        <v>42586</v>
      </c>
      <c r="B2618" s="36">
        <v>57594</v>
      </c>
      <c r="C2618">
        <f t="shared" si="104"/>
        <v>9.057939275014526E-3</v>
      </c>
    </row>
    <row r="2619" spans="1:3" x14ac:dyDescent="0.3">
      <c r="A2619" s="28">
        <v>42587</v>
      </c>
      <c r="B2619" s="36">
        <v>57661</v>
      </c>
      <c r="C2619">
        <f t="shared" si="104"/>
        <v>1.1633156231551922E-3</v>
      </c>
    </row>
    <row r="2620" spans="1:3" x14ac:dyDescent="0.3">
      <c r="A2620" s="28">
        <v>42590</v>
      </c>
      <c r="B2620" s="36">
        <v>57635</v>
      </c>
      <c r="C2620">
        <f t="shared" si="104"/>
        <v>-4.5091136123198705E-4</v>
      </c>
    </row>
    <row r="2621" spans="1:3" x14ac:dyDescent="0.3">
      <c r="A2621" s="28">
        <v>42591</v>
      </c>
      <c r="B2621" s="36">
        <v>57689</v>
      </c>
      <c r="C2621">
        <f t="shared" si="104"/>
        <v>9.3693068447997518E-4</v>
      </c>
    </row>
    <row r="2622" spans="1:3" x14ac:dyDescent="0.3">
      <c r="A2622" s="28">
        <v>42592</v>
      </c>
      <c r="B2622" s="36">
        <v>56920</v>
      </c>
      <c r="C2622">
        <f t="shared" si="104"/>
        <v>-1.3330097592262002E-2</v>
      </c>
    </row>
    <row r="2623" spans="1:3" x14ac:dyDescent="0.3">
      <c r="A2623" s="28">
        <v>42593</v>
      </c>
      <c r="B2623" s="36">
        <v>58300</v>
      </c>
      <c r="C2623">
        <f t="shared" si="104"/>
        <v>2.4244553759662724E-2</v>
      </c>
    </row>
    <row r="2624" spans="1:3" x14ac:dyDescent="0.3">
      <c r="A2624" s="28">
        <v>42594</v>
      </c>
      <c r="B2624" s="36">
        <v>58298</v>
      </c>
      <c r="C2624">
        <f t="shared" si="104"/>
        <v>-3.4305317324179185E-5</v>
      </c>
    </row>
    <row r="2625" spans="1:3" x14ac:dyDescent="0.3">
      <c r="A2625" s="28">
        <v>42597</v>
      </c>
      <c r="B2625" s="36">
        <v>59146</v>
      </c>
      <c r="C2625">
        <f t="shared" si="104"/>
        <v>1.4545953549006896E-2</v>
      </c>
    </row>
    <row r="2626" spans="1:3" x14ac:dyDescent="0.3">
      <c r="A2626" s="28">
        <v>42598</v>
      </c>
      <c r="B2626" s="36">
        <v>58855</v>
      </c>
      <c r="C2626">
        <f t="shared" si="104"/>
        <v>-4.9200284042877351E-3</v>
      </c>
    </row>
    <row r="2627" spans="1:3" x14ac:dyDescent="0.3">
      <c r="A2627" s="28">
        <v>42599</v>
      </c>
      <c r="B2627" s="36">
        <v>59324</v>
      </c>
      <c r="C2627">
        <f t="shared" si="104"/>
        <v>7.9687367258516328E-3</v>
      </c>
    </row>
    <row r="2628" spans="1:3" x14ac:dyDescent="0.3">
      <c r="A2628" s="28">
        <v>42600</v>
      </c>
      <c r="B2628" s="36">
        <v>59166</v>
      </c>
      <c r="C2628">
        <f t="shared" ref="C2628:C2691" si="105">B2628/B2627-1</f>
        <v>-2.6633403007214618E-3</v>
      </c>
    </row>
    <row r="2629" spans="1:3" x14ac:dyDescent="0.3">
      <c r="A2629" s="28">
        <v>42601</v>
      </c>
      <c r="B2629" s="36">
        <v>59099</v>
      </c>
      <c r="C2629">
        <f t="shared" si="105"/>
        <v>-1.1324071257140522E-3</v>
      </c>
    </row>
    <row r="2630" spans="1:3" x14ac:dyDescent="0.3">
      <c r="A2630" s="28">
        <v>42604</v>
      </c>
      <c r="B2630" s="36">
        <v>57781</v>
      </c>
      <c r="C2630">
        <f t="shared" si="105"/>
        <v>-2.2301561786155388E-2</v>
      </c>
    </row>
    <row r="2631" spans="1:3" x14ac:dyDescent="0.3">
      <c r="A2631" s="28">
        <v>42605</v>
      </c>
      <c r="B2631" s="36">
        <v>58020</v>
      </c>
      <c r="C2631">
        <f t="shared" si="105"/>
        <v>4.1363077828351358E-3</v>
      </c>
    </row>
    <row r="2632" spans="1:3" x14ac:dyDescent="0.3">
      <c r="A2632" s="28">
        <v>42606</v>
      </c>
      <c r="B2632" s="36">
        <v>57718</v>
      </c>
      <c r="C2632">
        <f t="shared" si="105"/>
        <v>-5.2051016890727331E-3</v>
      </c>
    </row>
    <row r="2633" spans="1:3" x14ac:dyDescent="0.3">
      <c r="A2633" s="28">
        <v>42607</v>
      </c>
      <c r="B2633" s="36">
        <v>57722</v>
      </c>
      <c r="C2633">
        <f t="shared" si="105"/>
        <v>6.930247063308137E-5</v>
      </c>
    </row>
    <row r="2634" spans="1:3" x14ac:dyDescent="0.3">
      <c r="A2634" s="28">
        <v>42608</v>
      </c>
      <c r="B2634" s="36">
        <v>57716</v>
      </c>
      <c r="C2634">
        <f t="shared" si="105"/>
        <v>-1.0394650220024726E-4</v>
      </c>
    </row>
    <row r="2635" spans="1:3" x14ac:dyDescent="0.3">
      <c r="A2635" s="28">
        <v>42611</v>
      </c>
      <c r="B2635" s="36">
        <v>58610</v>
      </c>
      <c r="C2635">
        <f t="shared" si="105"/>
        <v>1.5489638921616145E-2</v>
      </c>
    </row>
    <row r="2636" spans="1:3" x14ac:dyDescent="0.3">
      <c r="A2636" s="28">
        <v>42612</v>
      </c>
      <c r="B2636" s="36">
        <v>58575</v>
      </c>
      <c r="C2636">
        <f t="shared" si="105"/>
        <v>-5.9716771881934694E-4</v>
      </c>
    </row>
    <row r="2637" spans="1:3" x14ac:dyDescent="0.3">
      <c r="A2637" s="28">
        <v>42613</v>
      </c>
      <c r="B2637" s="36">
        <v>57901</v>
      </c>
      <c r="C2637">
        <f t="shared" si="105"/>
        <v>-1.1506615450277424E-2</v>
      </c>
    </row>
    <row r="2638" spans="1:3" x14ac:dyDescent="0.3">
      <c r="A2638" s="28">
        <v>42614</v>
      </c>
      <c r="B2638" s="36">
        <v>58236</v>
      </c>
      <c r="C2638">
        <f t="shared" si="105"/>
        <v>5.7857377247370056E-3</v>
      </c>
    </row>
    <row r="2639" spans="1:3" x14ac:dyDescent="0.3">
      <c r="A2639" s="28">
        <v>42615</v>
      </c>
      <c r="B2639" s="36">
        <v>59616</v>
      </c>
      <c r="C2639">
        <f t="shared" si="105"/>
        <v>2.3696682464454888E-2</v>
      </c>
    </row>
    <row r="2640" spans="1:3" x14ac:dyDescent="0.3">
      <c r="A2640" s="28">
        <v>42618</v>
      </c>
      <c r="B2640" s="36">
        <v>59566</v>
      </c>
      <c r="C2640">
        <f t="shared" si="105"/>
        <v>-8.3870101986038836E-4</v>
      </c>
    </row>
    <row r="2641" spans="1:3" x14ac:dyDescent="0.3">
      <c r="A2641" s="28">
        <v>42619</v>
      </c>
      <c r="B2641" s="36">
        <v>60129</v>
      </c>
      <c r="C2641">
        <f t="shared" si="105"/>
        <v>9.451700634590221E-3</v>
      </c>
    </row>
    <row r="2642" spans="1:3" x14ac:dyDescent="0.3">
      <c r="A2642" s="28">
        <v>42621</v>
      </c>
      <c r="B2642" s="36">
        <v>60232</v>
      </c>
      <c r="C2642">
        <f t="shared" si="105"/>
        <v>1.7129837516007829E-3</v>
      </c>
    </row>
    <row r="2643" spans="1:3" x14ac:dyDescent="0.3">
      <c r="A2643" s="28">
        <v>42622</v>
      </c>
      <c r="B2643" s="36">
        <v>58000</v>
      </c>
      <c r="C2643">
        <f t="shared" si="105"/>
        <v>-3.7056714039048977E-2</v>
      </c>
    </row>
    <row r="2644" spans="1:3" x14ac:dyDescent="0.3">
      <c r="A2644" s="28">
        <v>42625</v>
      </c>
      <c r="B2644" s="36">
        <v>58586</v>
      </c>
      <c r="C2644">
        <f t="shared" si="105"/>
        <v>1.0103448275861959E-2</v>
      </c>
    </row>
    <row r="2645" spans="1:3" x14ac:dyDescent="0.3">
      <c r="A2645" s="28">
        <v>42626</v>
      </c>
      <c r="B2645" s="36">
        <v>56821</v>
      </c>
      <c r="C2645">
        <f t="shared" si="105"/>
        <v>-3.012665141842763E-2</v>
      </c>
    </row>
    <row r="2646" spans="1:3" x14ac:dyDescent="0.3">
      <c r="A2646" s="28">
        <v>42627</v>
      </c>
      <c r="B2646" s="36">
        <v>57059</v>
      </c>
      <c r="C2646">
        <f t="shared" si="105"/>
        <v>4.1885922458246849E-3</v>
      </c>
    </row>
    <row r="2647" spans="1:3" x14ac:dyDescent="0.3">
      <c r="A2647" s="28">
        <v>42628</v>
      </c>
      <c r="B2647" s="36">
        <v>57909</v>
      </c>
      <c r="C2647">
        <f t="shared" si="105"/>
        <v>1.4896861143728346E-2</v>
      </c>
    </row>
    <row r="2648" spans="1:3" x14ac:dyDescent="0.3">
      <c r="A2648" s="28">
        <v>42629</v>
      </c>
      <c r="B2648" s="36">
        <v>57080</v>
      </c>
      <c r="C2648">
        <f t="shared" si="105"/>
        <v>-1.431556407466883E-2</v>
      </c>
    </row>
    <row r="2649" spans="1:3" x14ac:dyDescent="0.3">
      <c r="A2649" s="28">
        <v>42632</v>
      </c>
      <c r="B2649" s="36">
        <v>57350</v>
      </c>
      <c r="C2649">
        <f t="shared" si="105"/>
        <v>4.7302032235458924E-3</v>
      </c>
    </row>
    <row r="2650" spans="1:3" x14ac:dyDescent="0.3">
      <c r="A2650" s="28">
        <v>42633</v>
      </c>
      <c r="B2650" s="36">
        <v>57736</v>
      </c>
      <c r="C2650">
        <f t="shared" si="105"/>
        <v>6.7306015693111565E-3</v>
      </c>
    </row>
    <row r="2651" spans="1:3" x14ac:dyDescent="0.3">
      <c r="A2651" s="28">
        <v>42634</v>
      </c>
      <c r="B2651" s="36">
        <v>58394</v>
      </c>
      <c r="C2651">
        <f t="shared" si="105"/>
        <v>1.139670223084388E-2</v>
      </c>
    </row>
    <row r="2652" spans="1:3" x14ac:dyDescent="0.3">
      <c r="A2652" s="28">
        <v>42635</v>
      </c>
      <c r="B2652" s="36">
        <v>58994</v>
      </c>
      <c r="C2652">
        <f t="shared" si="105"/>
        <v>1.0275028256327756E-2</v>
      </c>
    </row>
    <row r="2653" spans="1:3" x14ac:dyDescent="0.3">
      <c r="A2653" s="28">
        <v>42636</v>
      </c>
      <c r="B2653" s="36">
        <v>58697</v>
      </c>
      <c r="C2653">
        <f t="shared" si="105"/>
        <v>-5.0344102790114142E-3</v>
      </c>
    </row>
    <row r="2654" spans="1:3" x14ac:dyDescent="0.3">
      <c r="A2654" s="28">
        <v>42639</v>
      </c>
      <c r="B2654" s="36">
        <v>58054</v>
      </c>
      <c r="C2654">
        <f t="shared" si="105"/>
        <v>-1.0954563265584305E-2</v>
      </c>
    </row>
    <row r="2655" spans="1:3" x14ac:dyDescent="0.3">
      <c r="A2655" s="28">
        <v>42640</v>
      </c>
      <c r="B2655" s="36">
        <v>58382</v>
      </c>
      <c r="C2655">
        <f t="shared" si="105"/>
        <v>5.6499121507562755E-3</v>
      </c>
    </row>
    <row r="2656" spans="1:3" x14ac:dyDescent="0.3">
      <c r="A2656" s="28">
        <v>42641</v>
      </c>
      <c r="B2656" s="36">
        <v>59356</v>
      </c>
      <c r="C2656">
        <f t="shared" si="105"/>
        <v>1.6683224281456521E-2</v>
      </c>
    </row>
    <row r="2657" spans="1:3" x14ac:dyDescent="0.3">
      <c r="A2657" s="28">
        <v>42642</v>
      </c>
      <c r="B2657" s="36">
        <v>58351</v>
      </c>
      <c r="C2657">
        <f t="shared" si="105"/>
        <v>-1.6931733944335892E-2</v>
      </c>
    </row>
    <row r="2658" spans="1:3" x14ac:dyDescent="0.3">
      <c r="A2658" s="28">
        <v>42643</v>
      </c>
      <c r="B2658" s="36">
        <v>58367</v>
      </c>
      <c r="C2658">
        <f t="shared" si="105"/>
        <v>2.7420267004840682E-4</v>
      </c>
    </row>
    <row r="2659" spans="1:3" x14ac:dyDescent="0.3">
      <c r="A2659" s="28">
        <v>42646</v>
      </c>
      <c r="B2659" s="36">
        <v>59461</v>
      </c>
      <c r="C2659">
        <f t="shared" si="105"/>
        <v>1.874346805557936E-2</v>
      </c>
    </row>
    <row r="2660" spans="1:3" x14ac:dyDescent="0.3">
      <c r="A2660" s="28">
        <v>42647</v>
      </c>
      <c r="B2660" s="36">
        <v>59339</v>
      </c>
      <c r="C2660">
        <f t="shared" si="105"/>
        <v>-2.0517650224517459E-3</v>
      </c>
    </row>
    <row r="2661" spans="1:3" x14ac:dyDescent="0.3">
      <c r="A2661" s="28">
        <v>42648</v>
      </c>
      <c r="B2661" s="36">
        <v>60254</v>
      </c>
      <c r="C2661">
        <f t="shared" si="105"/>
        <v>1.5419875629855584E-2</v>
      </c>
    </row>
    <row r="2662" spans="1:3" x14ac:dyDescent="0.3">
      <c r="A2662" s="28">
        <v>42649</v>
      </c>
      <c r="B2662" s="36">
        <v>60644</v>
      </c>
      <c r="C2662">
        <f t="shared" si="105"/>
        <v>6.4725993295051687E-3</v>
      </c>
    </row>
    <row r="2663" spans="1:3" x14ac:dyDescent="0.3">
      <c r="A2663" s="28">
        <v>42650</v>
      </c>
      <c r="B2663" s="36">
        <v>61109</v>
      </c>
      <c r="C2663">
        <f t="shared" si="105"/>
        <v>7.66770001978756E-3</v>
      </c>
    </row>
    <row r="2664" spans="1:3" x14ac:dyDescent="0.3">
      <c r="A2664" s="28">
        <v>42653</v>
      </c>
      <c r="B2664" s="36">
        <v>61668</v>
      </c>
      <c r="C2664">
        <f t="shared" si="105"/>
        <v>9.1475887348835272E-3</v>
      </c>
    </row>
    <row r="2665" spans="1:3" x14ac:dyDescent="0.3">
      <c r="A2665" s="28">
        <v>42654</v>
      </c>
      <c r="B2665" s="36">
        <v>61022</v>
      </c>
      <c r="C2665">
        <f t="shared" si="105"/>
        <v>-1.0475449179477181E-2</v>
      </c>
    </row>
    <row r="2666" spans="1:3" x14ac:dyDescent="0.3">
      <c r="A2666" s="28">
        <v>42656</v>
      </c>
      <c r="B2666" s="36">
        <v>61119</v>
      </c>
      <c r="C2666">
        <f t="shared" si="105"/>
        <v>1.5895906394414183E-3</v>
      </c>
    </row>
    <row r="2667" spans="1:3" x14ac:dyDescent="0.3">
      <c r="A2667" s="28">
        <v>42657</v>
      </c>
      <c r="B2667" s="36">
        <v>61767</v>
      </c>
      <c r="C2667">
        <f t="shared" si="105"/>
        <v>1.0602267707259694E-2</v>
      </c>
    </row>
    <row r="2668" spans="1:3" x14ac:dyDescent="0.3">
      <c r="A2668" s="28">
        <v>42660</v>
      </c>
      <c r="B2668" s="36">
        <v>62696</v>
      </c>
      <c r="C2668">
        <f t="shared" si="105"/>
        <v>1.5040393737756341E-2</v>
      </c>
    </row>
    <row r="2669" spans="1:3" x14ac:dyDescent="0.3">
      <c r="A2669" s="28">
        <v>42661</v>
      </c>
      <c r="B2669" s="36">
        <v>63782</v>
      </c>
      <c r="C2669">
        <f t="shared" si="105"/>
        <v>1.7321679213984975E-2</v>
      </c>
    </row>
    <row r="2670" spans="1:3" x14ac:dyDescent="0.3">
      <c r="A2670" s="28">
        <v>42662</v>
      </c>
      <c r="B2670" s="36">
        <v>63506</v>
      </c>
      <c r="C2670">
        <f t="shared" si="105"/>
        <v>-4.3272396600921859E-3</v>
      </c>
    </row>
    <row r="2671" spans="1:3" x14ac:dyDescent="0.3">
      <c r="A2671" s="28">
        <v>42663</v>
      </c>
      <c r="B2671" s="36">
        <v>63838</v>
      </c>
      <c r="C2671">
        <f t="shared" si="105"/>
        <v>5.2278524863791365E-3</v>
      </c>
    </row>
    <row r="2672" spans="1:3" x14ac:dyDescent="0.3">
      <c r="A2672" s="28">
        <v>42664</v>
      </c>
      <c r="B2672" s="36">
        <v>64108</v>
      </c>
      <c r="C2672">
        <f t="shared" si="105"/>
        <v>4.2294558100191004E-3</v>
      </c>
    </row>
    <row r="2673" spans="1:3" x14ac:dyDescent="0.3">
      <c r="A2673" s="28">
        <v>42667</v>
      </c>
      <c r="B2673" s="36">
        <v>64060</v>
      </c>
      <c r="C2673">
        <f t="shared" si="105"/>
        <v>-7.4873650714424311E-4</v>
      </c>
    </row>
    <row r="2674" spans="1:3" x14ac:dyDescent="0.3">
      <c r="A2674" s="28">
        <v>42668</v>
      </c>
      <c r="B2674" s="36">
        <v>63866</v>
      </c>
      <c r="C2674">
        <f t="shared" si="105"/>
        <v>-3.0284108648142016E-3</v>
      </c>
    </row>
    <row r="2675" spans="1:3" x14ac:dyDescent="0.3">
      <c r="A2675" s="28">
        <v>42669</v>
      </c>
      <c r="B2675" s="36">
        <v>63826</v>
      </c>
      <c r="C2675">
        <f t="shared" si="105"/>
        <v>-6.2631133936674743E-4</v>
      </c>
    </row>
    <row r="2676" spans="1:3" x14ac:dyDescent="0.3">
      <c r="A2676" s="28">
        <v>42670</v>
      </c>
      <c r="B2676" s="36">
        <v>64250</v>
      </c>
      <c r="C2676">
        <f t="shared" si="105"/>
        <v>6.6430608216088149E-3</v>
      </c>
    </row>
    <row r="2677" spans="1:3" x14ac:dyDescent="0.3">
      <c r="A2677" s="28">
        <v>42671</v>
      </c>
      <c r="B2677" s="36">
        <v>64308</v>
      </c>
      <c r="C2677">
        <f t="shared" si="105"/>
        <v>9.0272373540845052E-4</v>
      </c>
    </row>
    <row r="2678" spans="1:3" x14ac:dyDescent="0.3">
      <c r="A2678" s="28">
        <v>42674</v>
      </c>
      <c r="B2678" s="36">
        <v>64925</v>
      </c>
      <c r="C2678">
        <f t="shared" si="105"/>
        <v>9.5944517011881114E-3</v>
      </c>
    </row>
    <row r="2679" spans="1:3" x14ac:dyDescent="0.3">
      <c r="A2679" s="28">
        <v>42675</v>
      </c>
      <c r="B2679" s="36">
        <v>63326</v>
      </c>
      <c r="C2679">
        <f t="shared" si="105"/>
        <v>-2.4628417404697678E-2</v>
      </c>
    </row>
    <row r="2680" spans="1:3" x14ac:dyDescent="0.3">
      <c r="A2680" s="28">
        <v>42677</v>
      </c>
      <c r="B2680" s="36">
        <v>61750</v>
      </c>
      <c r="C2680">
        <f t="shared" si="105"/>
        <v>-2.4887092189621929E-2</v>
      </c>
    </row>
    <row r="2681" spans="1:3" x14ac:dyDescent="0.3">
      <c r="A2681" s="28">
        <v>42678</v>
      </c>
      <c r="B2681" s="36">
        <v>61598</v>
      </c>
      <c r="C2681">
        <f t="shared" si="105"/>
        <v>-2.461538461538515E-3</v>
      </c>
    </row>
    <row r="2682" spans="1:3" x14ac:dyDescent="0.3">
      <c r="A2682" s="28">
        <v>42681</v>
      </c>
      <c r="B2682" s="36">
        <v>64052</v>
      </c>
      <c r="C2682">
        <f t="shared" si="105"/>
        <v>3.9838955810253651E-2</v>
      </c>
    </row>
    <row r="2683" spans="1:3" x14ac:dyDescent="0.3">
      <c r="A2683" s="28">
        <v>42682</v>
      </c>
      <c r="B2683" s="36">
        <v>64158</v>
      </c>
      <c r="C2683">
        <f t="shared" si="105"/>
        <v>1.6549053893710752E-3</v>
      </c>
    </row>
    <row r="2684" spans="1:3" x14ac:dyDescent="0.3">
      <c r="A2684" s="28">
        <v>42683</v>
      </c>
      <c r="B2684" s="36">
        <v>63258</v>
      </c>
      <c r="C2684">
        <f t="shared" si="105"/>
        <v>-1.402786869914896E-2</v>
      </c>
    </row>
    <row r="2685" spans="1:3" x14ac:dyDescent="0.3">
      <c r="A2685" s="28">
        <v>42684</v>
      </c>
      <c r="B2685" s="36">
        <v>61201</v>
      </c>
      <c r="C2685">
        <f t="shared" si="105"/>
        <v>-3.2517626229093599E-2</v>
      </c>
    </row>
    <row r="2686" spans="1:3" x14ac:dyDescent="0.3">
      <c r="A2686" s="28">
        <v>42685</v>
      </c>
      <c r="B2686" s="36">
        <v>59184</v>
      </c>
      <c r="C2686">
        <f t="shared" si="105"/>
        <v>-3.2956977827159673E-2</v>
      </c>
    </row>
    <row r="2687" spans="1:3" x14ac:dyDescent="0.3">
      <c r="A2687" s="28">
        <v>42688</v>
      </c>
      <c r="B2687" s="36">
        <v>59657</v>
      </c>
      <c r="C2687">
        <f t="shared" si="105"/>
        <v>7.9920248715870112E-3</v>
      </c>
    </row>
    <row r="2688" spans="1:3" x14ac:dyDescent="0.3">
      <c r="A2688" s="28">
        <v>42690</v>
      </c>
      <c r="B2688" s="36">
        <v>60759</v>
      </c>
      <c r="C2688">
        <f t="shared" si="105"/>
        <v>1.8472266456576847E-2</v>
      </c>
    </row>
    <row r="2689" spans="1:3" x14ac:dyDescent="0.3">
      <c r="A2689" s="28">
        <v>42691</v>
      </c>
      <c r="B2689" s="36">
        <v>59770</v>
      </c>
      <c r="C2689">
        <f t="shared" si="105"/>
        <v>-1.6277423920736056E-2</v>
      </c>
    </row>
    <row r="2690" spans="1:3" x14ac:dyDescent="0.3">
      <c r="A2690" s="28">
        <v>42692</v>
      </c>
      <c r="B2690" s="36">
        <v>59962</v>
      </c>
      <c r="C2690">
        <f t="shared" si="105"/>
        <v>3.2123138698343379E-3</v>
      </c>
    </row>
    <row r="2691" spans="1:3" x14ac:dyDescent="0.3">
      <c r="A2691" s="28">
        <v>42695</v>
      </c>
      <c r="B2691" s="36">
        <v>61070</v>
      </c>
      <c r="C2691">
        <f t="shared" si="105"/>
        <v>1.8478369634101544E-2</v>
      </c>
    </row>
    <row r="2692" spans="1:3" x14ac:dyDescent="0.3">
      <c r="A2692" s="28">
        <v>42696</v>
      </c>
      <c r="B2692" s="36">
        <v>61954</v>
      </c>
      <c r="C2692">
        <f t="shared" ref="C2692:C2755" si="106">B2692/B2691-1</f>
        <v>1.4475192402161552E-2</v>
      </c>
    </row>
    <row r="2693" spans="1:3" x14ac:dyDescent="0.3">
      <c r="A2693" s="28">
        <v>42697</v>
      </c>
      <c r="B2693" s="36">
        <v>61986</v>
      </c>
      <c r="C2693">
        <f t="shared" si="106"/>
        <v>5.1651225102489207E-4</v>
      </c>
    </row>
    <row r="2694" spans="1:3" x14ac:dyDescent="0.3">
      <c r="A2694" s="28">
        <v>42698</v>
      </c>
      <c r="B2694" s="36">
        <v>61396</v>
      </c>
      <c r="C2694">
        <f t="shared" si="106"/>
        <v>-9.5182783209111221E-3</v>
      </c>
    </row>
    <row r="2695" spans="1:3" x14ac:dyDescent="0.3">
      <c r="A2695" s="28">
        <v>42699</v>
      </c>
      <c r="B2695" s="36">
        <v>61559</v>
      </c>
      <c r="C2695">
        <f t="shared" si="106"/>
        <v>2.6548960844354763E-3</v>
      </c>
    </row>
    <row r="2696" spans="1:3" x14ac:dyDescent="0.3">
      <c r="A2696" s="28">
        <v>42702</v>
      </c>
      <c r="B2696" s="36">
        <v>62855</v>
      </c>
      <c r="C2696">
        <f t="shared" si="106"/>
        <v>2.1052973570071076E-2</v>
      </c>
    </row>
    <row r="2697" spans="1:3" x14ac:dyDescent="0.3">
      <c r="A2697" s="28">
        <v>42703</v>
      </c>
      <c r="B2697" s="36">
        <v>60987</v>
      </c>
      <c r="C2697">
        <f t="shared" si="106"/>
        <v>-2.9719194972555929E-2</v>
      </c>
    </row>
    <row r="2698" spans="1:3" x14ac:dyDescent="0.3">
      <c r="A2698" s="28">
        <v>42704</v>
      </c>
      <c r="B2698" s="36">
        <v>61906</v>
      </c>
      <c r="C2698">
        <f t="shared" si="106"/>
        <v>1.5068785150933905E-2</v>
      </c>
    </row>
    <row r="2699" spans="1:3" x14ac:dyDescent="0.3">
      <c r="A2699" s="28">
        <v>42705</v>
      </c>
      <c r="B2699" s="36">
        <v>59507</v>
      </c>
      <c r="C2699">
        <f t="shared" si="106"/>
        <v>-3.8752301877039375E-2</v>
      </c>
    </row>
    <row r="2700" spans="1:3" x14ac:dyDescent="0.3">
      <c r="A2700" s="28">
        <v>42706</v>
      </c>
      <c r="B2700" s="36">
        <v>60316</v>
      </c>
      <c r="C2700">
        <f t="shared" si="106"/>
        <v>1.3595039239081119E-2</v>
      </c>
    </row>
    <row r="2701" spans="1:3" x14ac:dyDescent="0.3">
      <c r="A2701" s="28">
        <v>42709</v>
      </c>
      <c r="B2701" s="36">
        <v>59832</v>
      </c>
      <c r="C2701">
        <f t="shared" si="106"/>
        <v>-8.0244048013794478E-3</v>
      </c>
    </row>
    <row r="2702" spans="1:3" x14ac:dyDescent="0.3">
      <c r="A2702" s="28">
        <v>42710</v>
      </c>
      <c r="B2702" s="36">
        <v>61088</v>
      </c>
      <c r="C2702">
        <f t="shared" si="106"/>
        <v>2.0992111244818812E-2</v>
      </c>
    </row>
    <row r="2703" spans="1:3" x14ac:dyDescent="0.3">
      <c r="A2703" s="28">
        <v>42711</v>
      </c>
      <c r="B2703" s="36">
        <v>61414</v>
      </c>
      <c r="C2703">
        <f t="shared" si="106"/>
        <v>5.3365636458879706E-3</v>
      </c>
    </row>
    <row r="2704" spans="1:3" x14ac:dyDescent="0.3">
      <c r="A2704" s="28">
        <v>42712</v>
      </c>
      <c r="B2704" s="36">
        <v>60677</v>
      </c>
      <c r="C2704">
        <f t="shared" si="106"/>
        <v>-1.2000521053831426E-2</v>
      </c>
    </row>
    <row r="2705" spans="1:3" x14ac:dyDescent="0.3">
      <c r="A2705" s="28">
        <v>42713</v>
      </c>
      <c r="B2705" s="36">
        <v>60501</v>
      </c>
      <c r="C2705">
        <f t="shared" si="106"/>
        <v>-2.9006048420323616E-3</v>
      </c>
    </row>
    <row r="2706" spans="1:3" x14ac:dyDescent="0.3">
      <c r="A2706" s="28">
        <v>42716</v>
      </c>
      <c r="B2706" s="36">
        <v>59179</v>
      </c>
      <c r="C2706">
        <f t="shared" si="106"/>
        <v>-2.1850878497876036E-2</v>
      </c>
    </row>
    <row r="2707" spans="1:3" x14ac:dyDescent="0.3">
      <c r="A2707" s="28">
        <v>42717</v>
      </c>
      <c r="B2707" s="36">
        <v>59281</v>
      </c>
      <c r="C2707">
        <f t="shared" si="106"/>
        <v>1.7235843795941896E-3</v>
      </c>
    </row>
    <row r="2708" spans="1:3" x14ac:dyDescent="0.3">
      <c r="A2708" s="28">
        <v>42718</v>
      </c>
      <c r="B2708" s="36">
        <v>58212</v>
      </c>
      <c r="C2708">
        <f t="shared" si="106"/>
        <v>-1.8032759231456974E-2</v>
      </c>
    </row>
    <row r="2709" spans="1:3" x14ac:dyDescent="0.3">
      <c r="A2709" s="28">
        <v>42719</v>
      </c>
      <c r="B2709" s="36">
        <v>58396</v>
      </c>
      <c r="C2709">
        <f t="shared" si="106"/>
        <v>3.1608603037174277E-3</v>
      </c>
    </row>
    <row r="2710" spans="1:3" x14ac:dyDescent="0.3">
      <c r="A2710" s="28">
        <v>42720</v>
      </c>
      <c r="B2710" s="36">
        <v>58389</v>
      </c>
      <c r="C2710">
        <f t="shared" si="106"/>
        <v>-1.1987122405643369E-4</v>
      </c>
    </row>
    <row r="2711" spans="1:3" x14ac:dyDescent="0.3">
      <c r="A2711" s="28">
        <v>42723</v>
      </c>
      <c r="B2711" s="36">
        <v>57111</v>
      </c>
      <c r="C2711">
        <f t="shared" si="106"/>
        <v>-2.1887684324102152E-2</v>
      </c>
    </row>
    <row r="2712" spans="1:3" x14ac:dyDescent="0.3">
      <c r="A2712" s="28">
        <v>42724</v>
      </c>
      <c r="B2712" s="36">
        <v>57583</v>
      </c>
      <c r="C2712">
        <f t="shared" si="106"/>
        <v>8.2646075186916246E-3</v>
      </c>
    </row>
    <row r="2713" spans="1:3" x14ac:dyDescent="0.3">
      <c r="A2713" s="28">
        <v>42725</v>
      </c>
      <c r="B2713" s="36">
        <v>57647</v>
      </c>
      <c r="C2713">
        <f t="shared" si="106"/>
        <v>1.1114391400239843E-3</v>
      </c>
    </row>
    <row r="2714" spans="1:3" x14ac:dyDescent="0.3">
      <c r="A2714" s="28">
        <v>42726</v>
      </c>
      <c r="B2714" s="36">
        <v>57255</v>
      </c>
      <c r="C2714">
        <f t="shared" si="106"/>
        <v>-6.8000069387825768E-3</v>
      </c>
    </row>
    <row r="2715" spans="1:3" x14ac:dyDescent="0.3">
      <c r="A2715" s="28">
        <v>42727</v>
      </c>
      <c r="B2715" s="36">
        <v>57937</v>
      </c>
      <c r="C2715">
        <f t="shared" si="106"/>
        <v>1.1911623439000874E-2</v>
      </c>
    </row>
    <row r="2716" spans="1:3" x14ac:dyDescent="0.3">
      <c r="A2716" s="28">
        <v>42730</v>
      </c>
      <c r="B2716" s="36">
        <v>58620</v>
      </c>
      <c r="C2716">
        <f t="shared" si="106"/>
        <v>1.1788667000362407E-2</v>
      </c>
    </row>
    <row r="2717" spans="1:3" x14ac:dyDescent="0.3">
      <c r="A2717" s="28">
        <v>42731</v>
      </c>
      <c r="B2717" s="36">
        <v>58697</v>
      </c>
      <c r="C2717">
        <f t="shared" si="106"/>
        <v>1.3135448652337178E-3</v>
      </c>
    </row>
    <row r="2718" spans="1:3" x14ac:dyDescent="0.3">
      <c r="A2718" s="28">
        <v>42732</v>
      </c>
      <c r="B2718" s="36">
        <v>59782</v>
      </c>
      <c r="C2718">
        <f t="shared" si="106"/>
        <v>1.8484760720309357E-2</v>
      </c>
    </row>
    <row r="2719" spans="1:3" x14ac:dyDescent="0.3">
      <c r="A2719" s="28">
        <v>42733</v>
      </c>
      <c r="B2719" s="36">
        <v>60227</v>
      </c>
      <c r="C2719">
        <f t="shared" si="106"/>
        <v>7.4437121541601758E-3</v>
      </c>
    </row>
    <row r="2720" spans="1:3" x14ac:dyDescent="0.3">
      <c r="A2720" s="28">
        <v>42737</v>
      </c>
      <c r="B2720" s="36">
        <v>59589</v>
      </c>
      <c r="C2720">
        <f t="shared" si="106"/>
        <v>-1.0593255516628708E-2</v>
      </c>
    </row>
    <row r="2721" spans="1:3" x14ac:dyDescent="0.3">
      <c r="A2721" s="28">
        <v>42738</v>
      </c>
      <c r="B2721" s="36">
        <v>61814</v>
      </c>
      <c r="C2721">
        <f t="shared" si="106"/>
        <v>3.7339106210877882E-2</v>
      </c>
    </row>
    <row r="2722" spans="1:3" x14ac:dyDescent="0.3">
      <c r="A2722" s="28">
        <v>42739</v>
      </c>
      <c r="B2722" s="36">
        <v>61589</v>
      </c>
      <c r="C2722">
        <f t="shared" si="106"/>
        <v>-3.6399521144077074E-3</v>
      </c>
    </row>
    <row r="2723" spans="1:3" x14ac:dyDescent="0.3">
      <c r="A2723" s="28">
        <v>42740</v>
      </c>
      <c r="B2723" s="36">
        <v>62071</v>
      </c>
      <c r="C2723">
        <f t="shared" si="106"/>
        <v>7.8260728376819966E-3</v>
      </c>
    </row>
    <row r="2724" spans="1:3" x14ac:dyDescent="0.3">
      <c r="A2724" s="28">
        <v>42741</v>
      </c>
      <c r="B2724" s="36">
        <v>61665</v>
      </c>
      <c r="C2724">
        <f t="shared" si="106"/>
        <v>-6.5408967150520914E-3</v>
      </c>
    </row>
    <row r="2725" spans="1:3" x14ac:dyDescent="0.3">
      <c r="A2725" s="28">
        <v>42744</v>
      </c>
      <c r="B2725" s="36">
        <v>61700</v>
      </c>
      <c r="C2725">
        <f t="shared" si="106"/>
        <v>5.6758290764613584E-4</v>
      </c>
    </row>
    <row r="2726" spans="1:3" x14ac:dyDescent="0.3">
      <c r="A2726" s="28">
        <v>42745</v>
      </c>
      <c r="B2726" s="36">
        <v>62132</v>
      </c>
      <c r="C2726">
        <f t="shared" si="106"/>
        <v>7.0016207455430024E-3</v>
      </c>
    </row>
    <row r="2727" spans="1:3" x14ac:dyDescent="0.3">
      <c r="A2727" s="28">
        <v>42746</v>
      </c>
      <c r="B2727" s="36">
        <v>62446</v>
      </c>
      <c r="C2727">
        <f t="shared" si="106"/>
        <v>5.053756518380137E-3</v>
      </c>
    </row>
    <row r="2728" spans="1:3" x14ac:dyDescent="0.3">
      <c r="A2728" s="28">
        <v>42747</v>
      </c>
      <c r="B2728" s="36">
        <v>63954</v>
      </c>
      <c r="C2728">
        <f t="shared" si="106"/>
        <v>2.4148864619030874E-2</v>
      </c>
    </row>
    <row r="2729" spans="1:3" x14ac:dyDescent="0.3">
      <c r="A2729" s="28">
        <v>42748</v>
      </c>
      <c r="B2729" s="36">
        <v>63652</v>
      </c>
      <c r="C2729">
        <f t="shared" si="106"/>
        <v>-4.7221440410294413E-3</v>
      </c>
    </row>
    <row r="2730" spans="1:3" x14ac:dyDescent="0.3">
      <c r="A2730" s="28">
        <v>42751</v>
      </c>
      <c r="B2730" s="36">
        <v>63831</v>
      </c>
      <c r="C2730">
        <f t="shared" si="106"/>
        <v>2.8121661534594722E-3</v>
      </c>
    </row>
    <row r="2731" spans="1:3" x14ac:dyDescent="0.3">
      <c r="A2731" s="28">
        <v>42752</v>
      </c>
      <c r="B2731" s="36">
        <v>64354</v>
      </c>
      <c r="C2731">
        <f t="shared" si="106"/>
        <v>8.1935109899577974E-3</v>
      </c>
    </row>
    <row r="2732" spans="1:3" x14ac:dyDescent="0.3">
      <c r="A2732" s="28">
        <v>42753</v>
      </c>
      <c r="B2732" s="36">
        <v>64150</v>
      </c>
      <c r="C2732">
        <f t="shared" si="106"/>
        <v>-3.1699661248717481E-3</v>
      </c>
    </row>
    <row r="2733" spans="1:3" x14ac:dyDescent="0.3">
      <c r="A2733" s="28">
        <v>42754</v>
      </c>
      <c r="B2733" s="36">
        <v>63951</v>
      </c>
      <c r="C2733">
        <f t="shared" si="106"/>
        <v>-3.1021044427124167E-3</v>
      </c>
    </row>
    <row r="2734" spans="1:3" x14ac:dyDescent="0.3">
      <c r="A2734" s="28">
        <v>42755</v>
      </c>
      <c r="B2734" s="36">
        <v>64521</v>
      </c>
      <c r="C2734">
        <f t="shared" si="106"/>
        <v>8.9130740723366575E-3</v>
      </c>
    </row>
    <row r="2735" spans="1:3" x14ac:dyDescent="0.3">
      <c r="A2735" s="28">
        <v>42758</v>
      </c>
      <c r="B2735" s="36">
        <v>65749</v>
      </c>
      <c r="C2735">
        <f t="shared" si="106"/>
        <v>1.9032563041490258E-2</v>
      </c>
    </row>
    <row r="2736" spans="1:3" x14ac:dyDescent="0.3">
      <c r="A2736" s="28">
        <v>42759</v>
      </c>
      <c r="B2736" s="36">
        <v>65840</v>
      </c>
      <c r="C2736">
        <f t="shared" si="106"/>
        <v>1.3840514684633209E-3</v>
      </c>
    </row>
    <row r="2737" spans="1:3" x14ac:dyDescent="0.3">
      <c r="A2737" s="28">
        <v>42761</v>
      </c>
      <c r="B2737" s="36">
        <v>66191</v>
      </c>
      <c r="C2737">
        <f t="shared" si="106"/>
        <v>5.3311057108140769E-3</v>
      </c>
    </row>
    <row r="2738" spans="1:3" x14ac:dyDescent="0.3">
      <c r="A2738" s="28">
        <v>42762</v>
      </c>
      <c r="B2738" s="36">
        <v>66034</v>
      </c>
      <c r="C2738">
        <f t="shared" si="106"/>
        <v>-2.3719236754241591E-3</v>
      </c>
    </row>
    <row r="2739" spans="1:3" x14ac:dyDescent="0.3">
      <c r="A2739" s="28">
        <v>42765</v>
      </c>
      <c r="B2739" s="36">
        <v>64302</v>
      </c>
      <c r="C2739">
        <f t="shared" si="106"/>
        <v>-2.6228912378471692E-2</v>
      </c>
    </row>
    <row r="2740" spans="1:3" x14ac:dyDescent="0.3">
      <c r="A2740" s="28">
        <v>42766</v>
      </c>
      <c r="B2740" s="36">
        <v>64671</v>
      </c>
      <c r="C2740">
        <f t="shared" si="106"/>
        <v>5.7385462349537342E-3</v>
      </c>
    </row>
    <row r="2741" spans="1:3" x14ac:dyDescent="0.3">
      <c r="A2741" s="28">
        <v>42767</v>
      </c>
      <c r="B2741" s="36">
        <v>64836</v>
      </c>
      <c r="C2741">
        <f t="shared" si="106"/>
        <v>2.5513754232964203E-3</v>
      </c>
    </row>
    <row r="2742" spans="1:3" x14ac:dyDescent="0.3">
      <c r="A2742" s="28">
        <v>42768</v>
      </c>
      <c r="B2742" s="36">
        <v>64578</v>
      </c>
      <c r="C2742">
        <f t="shared" si="106"/>
        <v>-3.9792707754950918E-3</v>
      </c>
    </row>
    <row r="2743" spans="1:3" x14ac:dyDescent="0.3">
      <c r="A2743" s="28">
        <v>42769</v>
      </c>
      <c r="B2743" s="36">
        <v>64954</v>
      </c>
      <c r="C2743">
        <f t="shared" si="106"/>
        <v>5.8224163027655873E-3</v>
      </c>
    </row>
    <row r="2744" spans="1:3" x14ac:dyDescent="0.3">
      <c r="A2744" s="28">
        <v>42772</v>
      </c>
      <c r="B2744" s="36">
        <v>63993</v>
      </c>
      <c r="C2744">
        <f t="shared" si="106"/>
        <v>-1.4795085752994375E-2</v>
      </c>
    </row>
    <row r="2745" spans="1:3" x14ac:dyDescent="0.3">
      <c r="A2745" s="28">
        <v>42773</v>
      </c>
      <c r="B2745" s="36">
        <v>64199</v>
      </c>
      <c r="C2745">
        <f t="shared" si="106"/>
        <v>3.2191020892911038E-3</v>
      </c>
    </row>
    <row r="2746" spans="1:3" x14ac:dyDescent="0.3">
      <c r="A2746" s="28">
        <v>42774</v>
      </c>
      <c r="B2746" s="36">
        <v>64835</v>
      </c>
      <c r="C2746">
        <f t="shared" si="106"/>
        <v>9.9066963659870666E-3</v>
      </c>
    </row>
    <row r="2747" spans="1:3" x14ac:dyDescent="0.3">
      <c r="A2747" s="28">
        <v>42775</v>
      </c>
      <c r="B2747" s="36">
        <v>64965</v>
      </c>
      <c r="C2747">
        <f t="shared" si="106"/>
        <v>2.0050898434487152E-3</v>
      </c>
    </row>
    <row r="2748" spans="1:3" x14ac:dyDescent="0.3">
      <c r="A2748" s="28">
        <v>42776</v>
      </c>
      <c r="B2748" s="36">
        <v>66125</v>
      </c>
      <c r="C2748">
        <f t="shared" si="106"/>
        <v>1.7855768490725676E-2</v>
      </c>
    </row>
    <row r="2749" spans="1:3" x14ac:dyDescent="0.3">
      <c r="A2749" s="28">
        <v>42779</v>
      </c>
      <c r="B2749" s="36">
        <v>66968</v>
      </c>
      <c r="C2749">
        <f t="shared" si="106"/>
        <v>1.2748582230623917E-2</v>
      </c>
    </row>
    <row r="2750" spans="1:3" x14ac:dyDescent="0.3">
      <c r="A2750" s="28">
        <v>42780</v>
      </c>
      <c r="B2750" s="36">
        <v>66713</v>
      </c>
      <c r="C2750">
        <f t="shared" si="106"/>
        <v>-3.8077887946481592E-3</v>
      </c>
    </row>
    <row r="2751" spans="1:3" x14ac:dyDescent="0.3">
      <c r="A2751" s="28">
        <v>42781</v>
      </c>
      <c r="B2751" s="36">
        <v>67976</v>
      </c>
      <c r="C2751">
        <f t="shared" si="106"/>
        <v>1.8931842369553253E-2</v>
      </c>
    </row>
    <row r="2752" spans="1:3" x14ac:dyDescent="0.3">
      <c r="A2752" s="28">
        <v>42782</v>
      </c>
      <c r="B2752" s="36">
        <v>67814</v>
      </c>
      <c r="C2752">
        <f t="shared" si="106"/>
        <v>-2.3831940684947428E-3</v>
      </c>
    </row>
    <row r="2753" spans="1:3" x14ac:dyDescent="0.3">
      <c r="A2753" s="28">
        <v>42783</v>
      </c>
      <c r="B2753" s="36">
        <v>67748</v>
      </c>
      <c r="C2753">
        <f t="shared" si="106"/>
        <v>-9.7325036128237397E-4</v>
      </c>
    </row>
    <row r="2754" spans="1:3" x14ac:dyDescent="0.3">
      <c r="A2754" s="28">
        <v>42786</v>
      </c>
      <c r="B2754" s="36">
        <v>68533</v>
      </c>
      <c r="C2754">
        <f t="shared" si="106"/>
        <v>1.1587057920529054E-2</v>
      </c>
    </row>
    <row r="2755" spans="1:3" x14ac:dyDescent="0.3">
      <c r="A2755" s="28">
        <v>42787</v>
      </c>
      <c r="B2755" s="36">
        <v>69052</v>
      </c>
      <c r="C2755">
        <f t="shared" si="106"/>
        <v>7.5729940320721223E-3</v>
      </c>
    </row>
    <row r="2756" spans="1:3" x14ac:dyDescent="0.3">
      <c r="A2756" s="28">
        <v>42788</v>
      </c>
      <c r="B2756" s="36">
        <v>68590</v>
      </c>
      <c r="C2756">
        <f t="shared" ref="C2756:C2819" si="107">B2756/B2755-1</f>
        <v>-6.6906099750911885E-3</v>
      </c>
    </row>
    <row r="2757" spans="1:3" x14ac:dyDescent="0.3">
      <c r="A2757" s="28">
        <v>42789</v>
      </c>
      <c r="B2757" s="36">
        <v>67461</v>
      </c>
      <c r="C2757">
        <f t="shared" si="107"/>
        <v>-1.6460125382708801E-2</v>
      </c>
    </row>
    <row r="2758" spans="1:3" x14ac:dyDescent="0.3">
      <c r="A2758" s="28">
        <v>42790</v>
      </c>
      <c r="B2758" s="36">
        <v>66662</v>
      </c>
      <c r="C2758">
        <f t="shared" si="107"/>
        <v>-1.1843880167800691E-2</v>
      </c>
    </row>
    <row r="2759" spans="1:3" x14ac:dyDescent="0.3">
      <c r="A2759" s="28">
        <v>42795</v>
      </c>
      <c r="B2759" s="36">
        <v>66989</v>
      </c>
      <c r="C2759">
        <f t="shared" si="107"/>
        <v>4.9053433740362529E-3</v>
      </c>
    </row>
    <row r="2760" spans="1:3" x14ac:dyDescent="0.3">
      <c r="A2760" s="28">
        <v>42796</v>
      </c>
      <c r="B2760" s="36">
        <v>65855</v>
      </c>
      <c r="C2760">
        <f t="shared" si="107"/>
        <v>-1.6928152383227091E-2</v>
      </c>
    </row>
    <row r="2761" spans="1:3" x14ac:dyDescent="0.3">
      <c r="A2761" s="28">
        <v>42797</v>
      </c>
      <c r="B2761" s="36">
        <v>66786</v>
      </c>
      <c r="C2761">
        <f t="shared" si="107"/>
        <v>1.4137119429048717E-2</v>
      </c>
    </row>
    <row r="2762" spans="1:3" x14ac:dyDescent="0.3">
      <c r="A2762" s="28">
        <v>42800</v>
      </c>
      <c r="B2762" s="36">
        <v>66341</v>
      </c>
      <c r="C2762">
        <f t="shared" si="107"/>
        <v>-6.6630730991524834E-3</v>
      </c>
    </row>
    <row r="2763" spans="1:3" x14ac:dyDescent="0.3">
      <c r="A2763" s="28">
        <v>42801</v>
      </c>
      <c r="B2763" s="36">
        <v>65742</v>
      </c>
      <c r="C2763">
        <f t="shared" si="107"/>
        <v>-9.029107188616381E-3</v>
      </c>
    </row>
    <row r="2764" spans="1:3" x14ac:dyDescent="0.3">
      <c r="A2764" s="28">
        <v>42802</v>
      </c>
      <c r="B2764" s="36">
        <v>64718</v>
      </c>
      <c r="C2764">
        <f t="shared" si="107"/>
        <v>-1.5576039670226027E-2</v>
      </c>
    </row>
    <row r="2765" spans="1:3" x14ac:dyDescent="0.3">
      <c r="A2765" s="28">
        <v>42803</v>
      </c>
      <c r="B2765" s="36">
        <v>64585</v>
      </c>
      <c r="C2765">
        <f t="shared" si="107"/>
        <v>-2.0550696869495733E-3</v>
      </c>
    </row>
    <row r="2766" spans="1:3" x14ac:dyDescent="0.3">
      <c r="A2766" s="28">
        <v>42804</v>
      </c>
      <c r="B2766" s="36">
        <v>64675</v>
      </c>
      <c r="C2766">
        <f t="shared" si="107"/>
        <v>1.3935124254857989E-3</v>
      </c>
    </row>
    <row r="2767" spans="1:3" x14ac:dyDescent="0.3">
      <c r="A2767" s="28">
        <v>42807</v>
      </c>
      <c r="B2767" s="36">
        <v>65534</v>
      </c>
      <c r="C2767">
        <f t="shared" si="107"/>
        <v>1.3281793583301171E-2</v>
      </c>
    </row>
    <row r="2768" spans="1:3" x14ac:dyDescent="0.3">
      <c r="A2768" s="28">
        <v>42808</v>
      </c>
      <c r="B2768" s="36">
        <v>64699</v>
      </c>
      <c r="C2768">
        <f t="shared" si="107"/>
        <v>-1.2741477706228799E-2</v>
      </c>
    </row>
    <row r="2769" spans="1:3" x14ac:dyDescent="0.3">
      <c r="A2769" s="28">
        <v>42809</v>
      </c>
      <c r="B2769" s="36">
        <v>66235</v>
      </c>
      <c r="C2769">
        <f t="shared" si="107"/>
        <v>2.3740706966104641E-2</v>
      </c>
    </row>
    <row r="2770" spans="1:3" x14ac:dyDescent="0.3">
      <c r="A2770" s="28">
        <v>42810</v>
      </c>
      <c r="B2770" s="36">
        <v>65783</v>
      </c>
      <c r="C2770">
        <f t="shared" si="107"/>
        <v>-6.8241866082886515E-3</v>
      </c>
    </row>
    <row r="2771" spans="1:3" x14ac:dyDescent="0.3">
      <c r="A2771" s="28">
        <v>42811</v>
      </c>
      <c r="B2771" s="36">
        <v>64210</v>
      </c>
      <c r="C2771">
        <f t="shared" si="107"/>
        <v>-2.3911952936168879E-2</v>
      </c>
    </row>
    <row r="2772" spans="1:3" x14ac:dyDescent="0.3">
      <c r="A2772" s="28">
        <v>42814</v>
      </c>
      <c r="B2772" s="36">
        <v>64884</v>
      </c>
      <c r="C2772">
        <f t="shared" si="107"/>
        <v>1.0496807350879989E-2</v>
      </c>
    </row>
    <row r="2773" spans="1:3" x14ac:dyDescent="0.3">
      <c r="A2773" s="28">
        <v>42815</v>
      </c>
      <c r="B2773" s="36">
        <v>62980</v>
      </c>
      <c r="C2773">
        <f t="shared" si="107"/>
        <v>-2.9344676653720536E-2</v>
      </c>
    </row>
    <row r="2774" spans="1:3" x14ac:dyDescent="0.3">
      <c r="A2774" s="28">
        <v>42816</v>
      </c>
      <c r="B2774" s="36">
        <v>63521</v>
      </c>
      <c r="C2774">
        <f t="shared" si="107"/>
        <v>8.5900285805018406E-3</v>
      </c>
    </row>
    <row r="2775" spans="1:3" x14ac:dyDescent="0.3">
      <c r="A2775" s="28">
        <v>42817</v>
      </c>
      <c r="B2775" s="36">
        <v>63531</v>
      </c>
      <c r="C2775">
        <f t="shared" si="107"/>
        <v>1.5742825207420985E-4</v>
      </c>
    </row>
    <row r="2776" spans="1:3" x14ac:dyDescent="0.3">
      <c r="A2776" s="28">
        <v>42818</v>
      </c>
      <c r="B2776" s="36">
        <v>63854</v>
      </c>
      <c r="C2776">
        <f t="shared" si="107"/>
        <v>5.0841321559553787E-3</v>
      </c>
    </row>
    <row r="2777" spans="1:3" x14ac:dyDescent="0.3">
      <c r="A2777" s="28">
        <v>42821</v>
      </c>
      <c r="B2777" s="36">
        <v>64308</v>
      </c>
      <c r="C2777">
        <f t="shared" si="107"/>
        <v>7.1099696181915473E-3</v>
      </c>
    </row>
    <row r="2778" spans="1:3" x14ac:dyDescent="0.3">
      <c r="A2778" s="28">
        <v>42822</v>
      </c>
      <c r="B2778" s="36">
        <v>64640</v>
      </c>
      <c r="C2778">
        <f t="shared" si="107"/>
        <v>5.1626547241401255E-3</v>
      </c>
    </row>
    <row r="2779" spans="1:3" x14ac:dyDescent="0.3">
      <c r="A2779" s="28">
        <v>42823</v>
      </c>
      <c r="B2779" s="36">
        <v>65528</v>
      </c>
      <c r="C2779">
        <f t="shared" si="107"/>
        <v>1.3737623762376305E-2</v>
      </c>
    </row>
    <row r="2780" spans="1:3" x14ac:dyDescent="0.3">
      <c r="A2780" s="28">
        <v>42824</v>
      </c>
      <c r="B2780" s="36">
        <v>65266</v>
      </c>
      <c r="C2780">
        <f t="shared" si="107"/>
        <v>-3.9982908069833289E-3</v>
      </c>
    </row>
    <row r="2781" spans="1:3" x14ac:dyDescent="0.3">
      <c r="A2781" s="28">
        <v>42825</v>
      </c>
      <c r="B2781" s="36">
        <v>64984</v>
      </c>
      <c r="C2781">
        <f t="shared" si="107"/>
        <v>-4.3207795789538261E-3</v>
      </c>
    </row>
    <row r="2782" spans="1:3" x14ac:dyDescent="0.3">
      <c r="A2782" s="28">
        <v>42828</v>
      </c>
      <c r="B2782" s="36">
        <v>65211</v>
      </c>
      <c r="C2782">
        <f t="shared" si="107"/>
        <v>3.4931675489351388E-3</v>
      </c>
    </row>
    <row r="2783" spans="1:3" x14ac:dyDescent="0.3">
      <c r="A2783" s="28">
        <v>42829</v>
      </c>
      <c r="B2783" s="36">
        <v>65769</v>
      </c>
      <c r="C2783">
        <f t="shared" si="107"/>
        <v>8.5568385701799698E-3</v>
      </c>
    </row>
    <row r="2784" spans="1:3" x14ac:dyDescent="0.3">
      <c r="A2784" s="28">
        <v>42830</v>
      </c>
      <c r="B2784" s="36">
        <v>64775</v>
      </c>
      <c r="C2784">
        <f t="shared" si="107"/>
        <v>-1.5113503322233934E-2</v>
      </c>
    </row>
    <row r="2785" spans="1:3" x14ac:dyDescent="0.3">
      <c r="A2785" s="28">
        <v>42831</v>
      </c>
      <c r="B2785" s="36">
        <v>64223</v>
      </c>
      <c r="C2785">
        <f t="shared" si="107"/>
        <v>-8.5218062524121674E-3</v>
      </c>
    </row>
    <row r="2786" spans="1:3" x14ac:dyDescent="0.3">
      <c r="A2786" s="28">
        <v>42832</v>
      </c>
      <c r="B2786" s="36">
        <v>64593</v>
      </c>
      <c r="C2786">
        <f t="shared" si="107"/>
        <v>5.7611759027140774E-3</v>
      </c>
    </row>
    <row r="2787" spans="1:3" x14ac:dyDescent="0.3">
      <c r="A2787" s="28">
        <v>42835</v>
      </c>
      <c r="B2787" s="36">
        <v>64650</v>
      </c>
      <c r="C2787">
        <f t="shared" si="107"/>
        <v>8.8244856253782977E-4</v>
      </c>
    </row>
    <row r="2788" spans="1:3" x14ac:dyDescent="0.3">
      <c r="A2788" s="28">
        <v>42836</v>
      </c>
      <c r="B2788" s="36">
        <v>64360</v>
      </c>
      <c r="C2788">
        <f t="shared" si="107"/>
        <v>-4.4856921887084233E-3</v>
      </c>
    </row>
    <row r="2789" spans="1:3" x14ac:dyDescent="0.3">
      <c r="A2789" s="28">
        <v>42837</v>
      </c>
      <c r="B2789" s="36">
        <v>63892</v>
      </c>
      <c r="C2789">
        <f t="shared" si="107"/>
        <v>-7.2715972653821792E-3</v>
      </c>
    </row>
    <row r="2790" spans="1:3" x14ac:dyDescent="0.3">
      <c r="A2790" s="28">
        <v>42838</v>
      </c>
      <c r="B2790" s="36">
        <v>62826</v>
      </c>
      <c r="C2790">
        <f t="shared" si="107"/>
        <v>-1.6684404933325014E-2</v>
      </c>
    </row>
    <row r="2791" spans="1:3" x14ac:dyDescent="0.3">
      <c r="A2791" s="28">
        <v>42842</v>
      </c>
      <c r="B2791" s="36">
        <v>64335</v>
      </c>
      <c r="C2791">
        <f t="shared" si="107"/>
        <v>2.4018718365008018E-2</v>
      </c>
    </row>
    <row r="2792" spans="1:3" x14ac:dyDescent="0.3">
      <c r="A2792" s="28">
        <v>42843</v>
      </c>
      <c r="B2792" s="36">
        <v>64159</v>
      </c>
      <c r="C2792">
        <f t="shared" si="107"/>
        <v>-2.7356804227869347E-3</v>
      </c>
    </row>
    <row r="2793" spans="1:3" x14ac:dyDescent="0.3">
      <c r="A2793" s="28">
        <v>42844</v>
      </c>
      <c r="B2793" s="36">
        <v>63407</v>
      </c>
      <c r="C2793">
        <f t="shared" si="107"/>
        <v>-1.1720880936423539E-2</v>
      </c>
    </row>
    <row r="2794" spans="1:3" x14ac:dyDescent="0.3">
      <c r="A2794" s="28">
        <v>42845</v>
      </c>
      <c r="B2794" s="36">
        <v>63761</v>
      </c>
      <c r="C2794">
        <f t="shared" si="107"/>
        <v>5.5829797971833628E-3</v>
      </c>
    </row>
    <row r="2795" spans="1:3" x14ac:dyDescent="0.3">
      <c r="A2795" s="28">
        <v>42849</v>
      </c>
      <c r="B2795" s="36">
        <v>64389</v>
      </c>
      <c r="C2795">
        <f t="shared" si="107"/>
        <v>9.8492809083923216E-3</v>
      </c>
    </row>
    <row r="2796" spans="1:3" x14ac:dyDescent="0.3">
      <c r="A2796" s="28">
        <v>42850</v>
      </c>
      <c r="B2796" s="36">
        <v>65148</v>
      </c>
      <c r="C2796">
        <f t="shared" si="107"/>
        <v>1.1787727717467167E-2</v>
      </c>
    </row>
    <row r="2797" spans="1:3" x14ac:dyDescent="0.3">
      <c r="A2797" s="28">
        <v>42851</v>
      </c>
      <c r="B2797" s="36">
        <v>64862</v>
      </c>
      <c r="C2797">
        <f t="shared" si="107"/>
        <v>-4.3900042979062581E-3</v>
      </c>
    </row>
    <row r="2798" spans="1:3" x14ac:dyDescent="0.3">
      <c r="A2798" s="28">
        <v>42852</v>
      </c>
      <c r="B2798" s="36">
        <v>64677</v>
      </c>
      <c r="C2798">
        <f t="shared" si="107"/>
        <v>-2.8522093059110132E-3</v>
      </c>
    </row>
    <row r="2799" spans="1:3" x14ac:dyDescent="0.3">
      <c r="A2799" s="28">
        <v>42853</v>
      </c>
      <c r="B2799" s="36">
        <v>65403</v>
      </c>
      <c r="C2799">
        <f t="shared" si="107"/>
        <v>1.1225010436476612E-2</v>
      </c>
    </row>
    <row r="2800" spans="1:3" x14ac:dyDescent="0.3">
      <c r="A2800" s="28">
        <v>42857</v>
      </c>
      <c r="B2800" s="36">
        <v>66722</v>
      </c>
      <c r="C2800">
        <f t="shared" si="107"/>
        <v>2.0167270614497745E-2</v>
      </c>
    </row>
    <row r="2801" spans="1:3" x14ac:dyDescent="0.3">
      <c r="A2801" s="28">
        <v>42858</v>
      </c>
      <c r="B2801" s="36">
        <v>66094</v>
      </c>
      <c r="C2801">
        <f t="shared" si="107"/>
        <v>-9.4121878840561779E-3</v>
      </c>
    </row>
    <row r="2802" spans="1:3" x14ac:dyDescent="0.3">
      <c r="A2802" s="28">
        <v>42859</v>
      </c>
      <c r="B2802" s="36">
        <v>64863</v>
      </c>
      <c r="C2802">
        <f t="shared" si="107"/>
        <v>-1.8624988652525154E-2</v>
      </c>
    </row>
    <row r="2803" spans="1:3" x14ac:dyDescent="0.3">
      <c r="A2803" s="28">
        <v>42860</v>
      </c>
      <c r="B2803" s="36">
        <v>65710</v>
      </c>
      <c r="C2803">
        <f t="shared" si="107"/>
        <v>1.3058292092564372E-2</v>
      </c>
    </row>
    <row r="2804" spans="1:3" x14ac:dyDescent="0.3">
      <c r="A2804" s="28">
        <v>42863</v>
      </c>
      <c r="B2804" s="36">
        <v>65526</v>
      </c>
      <c r="C2804">
        <f t="shared" si="107"/>
        <v>-2.8001826206056624E-3</v>
      </c>
    </row>
    <row r="2805" spans="1:3" x14ac:dyDescent="0.3">
      <c r="A2805" s="28">
        <v>42864</v>
      </c>
      <c r="B2805" s="36">
        <v>66278</v>
      </c>
      <c r="C2805">
        <f t="shared" si="107"/>
        <v>1.1476360528645202E-2</v>
      </c>
    </row>
    <row r="2806" spans="1:3" x14ac:dyDescent="0.3">
      <c r="A2806" s="28">
        <v>42865</v>
      </c>
      <c r="B2806" s="36">
        <v>67350</v>
      </c>
      <c r="C2806">
        <f t="shared" si="107"/>
        <v>1.6174296146534317E-2</v>
      </c>
    </row>
    <row r="2807" spans="1:3" x14ac:dyDescent="0.3">
      <c r="A2807" s="28">
        <v>42866</v>
      </c>
      <c r="B2807" s="36">
        <v>67538</v>
      </c>
      <c r="C2807">
        <f t="shared" si="107"/>
        <v>2.7913882702301773E-3</v>
      </c>
    </row>
    <row r="2808" spans="1:3" x14ac:dyDescent="0.3">
      <c r="A2808" s="28">
        <v>42867</v>
      </c>
      <c r="B2808" s="36">
        <v>68222</v>
      </c>
      <c r="C2808">
        <f t="shared" si="107"/>
        <v>1.0127631851698293E-2</v>
      </c>
    </row>
    <row r="2809" spans="1:3" x14ac:dyDescent="0.3">
      <c r="A2809" s="28">
        <v>42870</v>
      </c>
      <c r="B2809" s="36">
        <v>68474</v>
      </c>
      <c r="C2809">
        <f t="shared" si="107"/>
        <v>3.6938231069156835E-3</v>
      </c>
    </row>
    <row r="2810" spans="1:3" x14ac:dyDescent="0.3">
      <c r="A2810" s="28">
        <v>42871</v>
      </c>
      <c r="B2810" s="36">
        <v>68684</v>
      </c>
      <c r="C2810">
        <f t="shared" si="107"/>
        <v>3.066857493355224E-3</v>
      </c>
    </row>
    <row r="2811" spans="1:3" x14ac:dyDescent="0.3">
      <c r="A2811" s="28">
        <v>42872</v>
      </c>
      <c r="B2811" s="36">
        <v>67540</v>
      </c>
      <c r="C2811">
        <f t="shared" si="107"/>
        <v>-1.6655989750160138E-2</v>
      </c>
    </row>
    <row r="2812" spans="1:3" x14ac:dyDescent="0.3">
      <c r="A2812" s="28">
        <v>42873</v>
      </c>
      <c r="B2812" s="36">
        <v>61597</v>
      </c>
      <c r="C2812">
        <f t="shared" si="107"/>
        <v>-8.7992300858750316E-2</v>
      </c>
    </row>
    <row r="2813" spans="1:3" x14ac:dyDescent="0.3">
      <c r="A2813" s="28">
        <v>42874</v>
      </c>
      <c r="B2813" s="36">
        <v>62639</v>
      </c>
      <c r="C2813">
        <f t="shared" si="107"/>
        <v>1.6916408266636429E-2</v>
      </c>
    </row>
    <row r="2814" spans="1:3" x14ac:dyDescent="0.3">
      <c r="A2814" s="28">
        <v>42877</v>
      </c>
      <c r="B2814" s="36">
        <v>61673</v>
      </c>
      <c r="C2814">
        <f t="shared" si="107"/>
        <v>-1.542170213445293E-2</v>
      </c>
    </row>
    <row r="2815" spans="1:3" x14ac:dyDescent="0.3">
      <c r="A2815" s="28">
        <v>42878</v>
      </c>
      <c r="B2815" s="36">
        <v>62662</v>
      </c>
      <c r="C2815">
        <f t="shared" si="107"/>
        <v>1.603619087769359E-2</v>
      </c>
    </row>
    <row r="2816" spans="1:3" x14ac:dyDescent="0.3">
      <c r="A2816" s="28">
        <v>42879</v>
      </c>
      <c r="B2816" s="36">
        <v>63257</v>
      </c>
      <c r="C2816">
        <f t="shared" si="107"/>
        <v>9.4953879544221742E-3</v>
      </c>
    </row>
    <row r="2817" spans="1:3" x14ac:dyDescent="0.3">
      <c r="A2817" s="28">
        <v>42880</v>
      </c>
      <c r="B2817" s="36">
        <v>63227</v>
      </c>
      <c r="C2817">
        <f t="shared" si="107"/>
        <v>-4.7425581358584434E-4</v>
      </c>
    </row>
    <row r="2818" spans="1:3" x14ac:dyDescent="0.3">
      <c r="A2818" s="28">
        <v>42881</v>
      </c>
      <c r="B2818" s="36">
        <v>64085</v>
      </c>
      <c r="C2818">
        <f t="shared" si="107"/>
        <v>1.3570151992028823E-2</v>
      </c>
    </row>
    <row r="2819" spans="1:3" x14ac:dyDescent="0.3">
      <c r="A2819" s="28">
        <v>42884</v>
      </c>
      <c r="B2819" s="36">
        <v>63761</v>
      </c>
      <c r="C2819">
        <f t="shared" si="107"/>
        <v>-5.0557852851681462E-3</v>
      </c>
    </row>
    <row r="2820" spans="1:3" x14ac:dyDescent="0.3">
      <c r="A2820" s="28">
        <v>42885</v>
      </c>
      <c r="B2820" s="36">
        <v>63962</v>
      </c>
      <c r="C2820">
        <f t="shared" ref="C2820:C2883" si="108">B2820/B2819-1</f>
        <v>3.1523972334186467E-3</v>
      </c>
    </row>
    <row r="2821" spans="1:3" x14ac:dyDescent="0.3">
      <c r="A2821" s="28">
        <v>42886</v>
      </c>
      <c r="B2821" s="36">
        <v>62711</v>
      </c>
      <c r="C2821">
        <f t="shared" si="108"/>
        <v>-1.9558487852162187E-2</v>
      </c>
    </row>
    <row r="2822" spans="1:3" x14ac:dyDescent="0.3">
      <c r="A2822" s="28">
        <v>42887</v>
      </c>
      <c r="B2822" s="36">
        <v>62289</v>
      </c>
      <c r="C2822">
        <f t="shared" si="108"/>
        <v>-6.7292819441565621E-3</v>
      </c>
    </row>
    <row r="2823" spans="1:3" x14ac:dyDescent="0.3">
      <c r="A2823" s="28">
        <v>42888</v>
      </c>
      <c r="B2823" s="36">
        <v>62511</v>
      </c>
      <c r="C2823">
        <f t="shared" si="108"/>
        <v>3.5640321726146951E-3</v>
      </c>
    </row>
    <row r="2824" spans="1:3" x14ac:dyDescent="0.3">
      <c r="A2824" s="28">
        <v>42891</v>
      </c>
      <c r="B2824" s="36">
        <v>62450</v>
      </c>
      <c r="C2824">
        <f t="shared" si="108"/>
        <v>-9.7582825422726227E-4</v>
      </c>
    </row>
    <row r="2825" spans="1:3" x14ac:dyDescent="0.3">
      <c r="A2825" s="28">
        <v>42892</v>
      </c>
      <c r="B2825" s="36">
        <v>62955</v>
      </c>
      <c r="C2825">
        <f t="shared" si="108"/>
        <v>8.0864691753401718E-3</v>
      </c>
    </row>
    <row r="2826" spans="1:3" x14ac:dyDescent="0.3">
      <c r="A2826" s="28">
        <v>42893</v>
      </c>
      <c r="B2826" s="36">
        <v>63171</v>
      </c>
      <c r="C2826">
        <f t="shared" si="108"/>
        <v>3.4310221586848488E-3</v>
      </c>
    </row>
    <row r="2827" spans="1:3" x14ac:dyDescent="0.3">
      <c r="A2827" s="28">
        <v>42894</v>
      </c>
      <c r="B2827" s="36">
        <v>62756</v>
      </c>
      <c r="C2827">
        <f t="shared" si="108"/>
        <v>-6.5694701682733614E-3</v>
      </c>
    </row>
    <row r="2828" spans="1:3" x14ac:dyDescent="0.3">
      <c r="A2828" s="28">
        <v>42895</v>
      </c>
      <c r="B2828" s="36">
        <v>62211</v>
      </c>
      <c r="C2828">
        <f t="shared" si="108"/>
        <v>-8.6844285805340871E-3</v>
      </c>
    </row>
    <row r="2829" spans="1:3" x14ac:dyDescent="0.3">
      <c r="A2829" s="28">
        <v>42898</v>
      </c>
      <c r="B2829" s="36">
        <v>61700</v>
      </c>
      <c r="C2829">
        <f t="shared" si="108"/>
        <v>-8.2139814502258934E-3</v>
      </c>
    </row>
    <row r="2830" spans="1:3" x14ac:dyDescent="0.3">
      <c r="A2830" s="28">
        <v>42899</v>
      </c>
      <c r="B2830" s="36">
        <v>61829</v>
      </c>
      <c r="C2830">
        <f t="shared" si="108"/>
        <v>2.0907617504051235E-3</v>
      </c>
    </row>
    <row r="2831" spans="1:3" x14ac:dyDescent="0.3">
      <c r="A2831" s="28">
        <v>42900</v>
      </c>
      <c r="B2831" s="36">
        <v>61923</v>
      </c>
      <c r="C2831">
        <f t="shared" si="108"/>
        <v>1.5203221789128474E-3</v>
      </c>
    </row>
    <row r="2832" spans="1:3" x14ac:dyDescent="0.3">
      <c r="A2832" s="28">
        <v>42902</v>
      </c>
      <c r="B2832" s="36">
        <v>61626</v>
      </c>
      <c r="C2832">
        <f t="shared" si="108"/>
        <v>-4.7962792500363394E-3</v>
      </c>
    </row>
    <row r="2833" spans="1:3" x14ac:dyDescent="0.3">
      <c r="A2833" s="28">
        <v>42905</v>
      </c>
      <c r="B2833" s="36">
        <v>62014</v>
      </c>
      <c r="C2833">
        <f t="shared" si="108"/>
        <v>6.2960438775840899E-3</v>
      </c>
    </row>
    <row r="2834" spans="1:3" x14ac:dyDescent="0.3">
      <c r="A2834" s="28">
        <v>42906</v>
      </c>
      <c r="B2834" s="36">
        <v>60766</v>
      </c>
      <c r="C2834">
        <f t="shared" si="108"/>
        <v>-2.0124488018834485E-2</v>
      </c>
    </row>
    <row r="2835" spans="1:3" x14ac:dyDescent="0.3">
      <c r="A2835" s="28">
        <v>42907</v>
      </c>
      <c r="B2835" s="36">
        <v>60762</v>
      </c>
      <c r="C2835">
        <f t="shared" si="108"/>
        <v>-6.582628443541072E-5</v>
      </c>
    </row>
    <row r="2836" spans="1:3" x14ac:dyDescent="0.3">
      <c r="A2836" s="28">
        <v>42908</v>
      </c>
      <c r="B2836" s="36">
        <v>61272</v>
      </c>
      <c r="C2836">
        <f t="shared" si="108"/>
        <v>8.3934037720942989E-3</v>
      </c>
    </row>
    <row r="2837" spans="1:3" x14ac:dyDescent="0.3">
      <c r="A2837" s="28">
        <v>42909</v>
      </c>
      <c r="B2837" s="36">
        <v>61087</v>
      </c>
      <c r="C2837">
        <f t="shared" si="108"/>
        <v>-3.0193236714975979E-3</v>
      </c>
    </row>
    <row r="2838" spans="1:3" x14ac:dyDescent="0.3">
      <c r="A2838" s="28">
        <v>42912</v>
      </c>
      <c r="B2838" s="36">
        <v>62188</v>
      </c>
      <c r="C2838">
        <f t="shared" si="108"/>
        <v>1.8023474716388099E-2</v>
      </c>
    </row>
    <row r="2839" spans="1:3" x14ac:dyDescent="0.3">
      <c r="A2839" s="28">
        <v>42913</v>
      </c>
      <c r="B2839" s="36">
        <v>61675</v>
      </c>
      <c r="C2839">
        <f t="shared" si="108"/>
        <v>-8.2491799060911974E-3</v>
      </c>
    </row>
    <row r="2840" spans="1:3" x14ac:dyDescent="0.3">
      <c r="A2840" s="28">
        <v>42914</v>
      </c>
      <c r="B2840" s="36">
        <v>62018</v>
      </c>
      <c r="C2840">
        <f t="shared" si="108"/>
        <v>5.5614106201864466E-3</v>
      </c>
    </row>
    <row r="2841" spans="1:3" x14ac:dyDescent="0.3">
      <c r="A2841" s="28">
        <v>42915</v>
      </c>
      <c r="B2841" s="36">
        <v>62239</v>
      </c>
      <c r="C2841">
        <f t="shared" si="108"/>
        <v>3.5634815698668554E-3</v>
      </c>
    </row>
    <row r="2842" spans="1:3" x14ac:dyDescent="0.3">
      <c r="A2842" s="28">
        <v>42916</v>
      </c>
      <c r="B2842" s="36">
        <v>62900</v>
      </c>
      <c r="C2842">
        <f t="shared" si="108"/>
        <v>1.0620350584038984E-2</v>
      </c>
    </row>
    <row r="2843" spans="1:3" x14ac:dyDescent="0.3">
      <c r="A2843" s="28">
        <v>42919</v>
      </c>
      <c r="B2843" s="36">
        <v>63280</v>
      </c>
      <c r="C2843">
        <f t="shared" si="108"/>
        <v>6.0413354531001495E-3</v>
      </c>
    </row>
    <row r="2844" spans="1:3" x14ac:dyDescent="0.3">
      <c r="A2844" s="28">
        <v>42920</v>
      </c>
      <c r="B2844" s="36">
        <v>63232</v>
      </c>
      <c r="C2844">
        <f t="shared" si="108"/>
        <v>-7.5853350189636348E-4</v>
      </c>
    </row>
    <row r="2845" spans="1:3" x14ac:dyDescent="0.3">
      <c r="A2845" s="28">
        <v>42921</v>
      </c>
      <c r="B2845" s="36">
        <v>63154</v>
      </c>
      <c r="C2845">
        <f t="shared" si="108"/>
        <v>-1.2335526315789824E-3</v>
      </c>
    </row>
    <row r="2846" spans="1:3" x14ac:dyDescent="0.3">
      <c r="A2846" s="28">
        <v>42922</v>
      </c>
      <c r="B2846" s="36">
        <v>62470</v>
      </c>
      <c r="C2846">
        <f t="shared" si="108"/>
        <v>-1.0830667891186585E-2</v>
      </c>
    </row>
    <row r="2847" spans="1:3" x14ac:dyDescent="0.3">
      <c r="A2847" s="28">
        <v>42923</v>
      </c>
      <c r="B2847" s="36">
        <v>62322</v>
      </c>
      <c r="C2847">
        <f t="shared" si="108"/>
        <v>-2.3691371858491905E-3</v>
      </c>
    </row>
    <row r="2848" spans="1:3" x14ac:dyDescent="0.3">
      <c r="A2848" s="28">
        <v>42926</v>
      </c>
      <c r="B2848" s="36">
        <v>63025</v>
      </c>
      <c r="C2848">
        <f t="shared" si="108"/>
        <v>1.1280125798273533E-2</v>
      </c>
    </row>
    <row r="2849" spans="1:3" x14ac:dyDescent="0.3">
      <c r="A2849" s="28">
        <v>42927</v>
      </c>
      <c r="B2849" s="36">
        <v>63832</v>
      </c>
      <c r="C2849">
        <f t="shared" si="108"/>
        <v>1.2804442681475514E-2</v>
      </c>
    </row>
    <row r="2850" spans="1:3" x14ac:dyDescent="0.3">
      <c r="A2850" s="28">
        <v>42928</v>
      </c>
      <c r="B2850" s="36">
        <v>64836</v>
      </c>
      <c r="C2850">
        <f t="shared" si="108"/>
        <v>1.5728788068680277E-2</v>
      </c>
    </row>
    <row r="2851" spans="1:3" x14ac:dyDescent="0.3">
      <c r="A2851" s="28">
        <v>42929</v>
      </c>
      <c r="B2851" s="36">
        <v>65178</v>
      </c>
      <c r="C2851">
        <f t="shared" si="108"/>
        <v>5.2748473070516333E-3</v>
      </c>
    </row>
    <row r="2852" spans="1:3" x14ac:dyDescent="0.3">
      <c r="A2852" s="28">
        <v>42930</v>
      </c>
      <c r="B2852" s="36">
        <v>65436</v>
      </c>
      <c r="C2852">
        <f t="shared" si="108"/>
        <v>3.9583908680842494E-3</v>
      </c>
    </row>
    <row r="2853" spans="1:3" x14ac:dyDescent="0.3">
      <c r="A2853" s="28">
        <v>42933</v>
      </c>
      <c r="B2853" s="36">
        <v>65212</v>
      </c>
      <c r="C2853">
        <f t="shared" si="108"/>
        <v>-3.4231921266580922E-3</v>
      </c>
    </row>
    <row r="2854" spans="1:3" x14ac:dyDescent="0.3">
      <c r="A2854" s="28">
        <v>42934</v>
      </c>
      <c r="B2854" s="36">
        <v>65338</v>
      </c>
      <c r="C2854">
        <f t="shared" si="108"/>
        <v>1.9321597252039968E-3</v>
      </c>
    </row>
    <row r="2855" spans="1:3" x14ac:dyDescent="0.3">
      <c r="A2855" s="28">
        <v>42935</v>
      </c>
      <c r="B2855" s="36">
        <v>65180</v>
      </c>
      <c r="C2855">
        <f t="shared" si="108"/>
        <v>-2.4181946187517012E-3</v>
      </c>
    </row>
    <row r="2856" spans="1:3" x14ac:dyDescent="0.3">
      <c r="A2856" s="28">
        <v>42936</v>
      </c>
      <c r="B2856" s="36">
        <v>64938</v>
      </c>
      <c r="C2856">
        <f t="shared" si="108"/>
        <v>-3.7127953359926691E-3</v>
      </c>
    </row>
    <row r="2857" spans="1:3" x14ac:dyDescent="0.3">
      <c r="A2857" s="28">
        <v>42937</v>
      </c>
      <c r="B2857" s="36">
        <v>64684</v>
      </c>
      <c r="C2857">
        <f t="shared" si="108"/>
        <v>-3.911423203671216E-3</v>
      </c>
    </row>
    <row r="2858" spans="1:3" x14ac:dyDescent="0.3">
      <c r="A2858" s="28">
        <v>42940</v>
      </c>
      <c r="B2858" s="36">
        <v>65100</v>
      </c>
      <c r="C2858">
        <f t="shared" si="108"/>
        <v>6.4312658462679639E-3</v>
      </c>
    </row>
    <row r="2859" spans="1:3" x14ac:dyDescent="0.3">
      <c r="A2859" s="28">
        <v>42941</v>
      </c>
      <c r="B2859" s="36">
        <v>65668</v>
      </c>
      <c r="C2859">
        <f t="shared" si="108"/>
        <v>8.7250384024577521E-3</v>
      </c>
    </row>
    <row r="2860" spans="1:3" x14ac:dyDescent="0.3">
      <c r="A2860" s="28">
        <v>42942</v>
      </c>
      <c r="B2860" s="36">
        <v>65011</v>
      </c>
      <c r="C2860">
        <f t="shared" si="108"/>
        <v>-1.0004872997502634E-2</v>
      </c>
    </row>
    <row r="2861" spans="1:3" x14ac:dyDescent="0.3">
      <c r="A2861" s="28">
        <v>42943</v>
      </c>
      <c r="B2861" s="36">
        <v>65277</v>
      </c>
      <c r="C2861">
        <f t="shared" si="108"/>
        <v>4.0916152651089277E-3</v>
      </c>
    </row>
    <row r="2862" spans="1:3" x14ac:dyDescent="0.3">
      <c r="A2862" s="28">
        <v>42944</v>
      </c>
      <c r="B2862" s="36">
        <v>65497</v>
      </c>
      <c r="C2862">
        <f t="shared" si="108"/>
        <v>3.37025292216242E-3</v>
      </c>
    </row>
    <row r="2863" spans="1:3" x14ac:dyDescent="0.3">
      <c r="A2863" s="28">
        <v>42947</v>
      </c>
      <c r="B2863" s="36">
        <v>65920</v>
      </c>
      <c r="C2863">
        <f t="shared" si="108"/>
        <v>6.4583110676825761E-3</v>
      </c>
    </row>
    <row r="2864" spans="1:3" x14ac:dyDescent="0.3">
      <c r="A2864" s="28">
        <v>42948</v>
      </c>
      <c r="B2864" s="36">
        <v>66516</v>
      </c>
      <c r="C2864">
        <f t="shared" si="108"/>
        <v>9.0412621359223788E-3</v>
      </c>
    </row>
    <row r="2865" spans="1:3" x14ac:dyDescent="0.3">
      <c r="A2865" s="28">
        <v>42949</v>
      </c>
      <c r="B2865" s="36">
        <v>67136</v>
      </c>
      <c r="C2865">
        <f t="shared" si="108"/>
        <v>9.3210656082747256E-3</v>
      </c>
    </row>
    <row r="2866" spans="1:3" x14ac:dyDescent="0.3">
      <c r="A2866" s="28">
        <v>42950</v>
      </c>
      <c r="B2866" s="36">
        <v>66777</v>
      </c>
      <c r="C2866">
        <f t="shared" si="108"/>
        <v>-5.3473546234509284E-3</v>
      </c>
    </row>
    <row r="2867" spans="1:3" x14ac:dyDescent="0.3">
      <c r="A2867" s="28">
        <v>42951</v>
      </c>
      <c r="B2867" s="36">
        <v>66898</v>
      </c>
      <c r="C2867">
        <f t="shared" si="108"/>
        <v>1.8120011381164147E-3</v>
      </c>
    </row>
    <row r="2868" spans="1:3" x14ac:dyDescent="0.3">
      <c r="A2868" s="28">
        <v>42954</v>
      </c>
      <c r="B2868" s="36">
        <v>67940</v>
      </c>
      <c r="C2868">
        <f t="shared" si="108"/>
        <v>1.5575951448473901E-2</v>
      </c>
    </row>
    <row r="2869" spans="1:3" x14ac:dyDescent="0.3">
      <c r="A2869" s="28">
        <v>42955</v>
      </c>
      <c r="B2869" s="36">
        <v>67899</v>
      </c>
      <c r="C2869">
        <f t="shared" si="108"/>
        <v>-6.0347365322344082E-4</v>
      </c>
    </row>
    <row r="2870" spans="1:3" x14ac:dyDescent="0.3">
      <c r="A2870" s="28">
        <v>42956</v>
      </c>
      <c r="B2870" s="36">
        <v>67671</v>
      </c>
      <c r="C2870">
        <f t="shared" si="108"/>
        <v>-3.3579286881986192E-3</v>
      </c>
    </row>
    <row r="2871" spans="1:3" x14ac:dyDescent="0.3">
      <c r="A2871" s="28">
        <v>42957</v>
      </c>
      <c r="B2871" s="36">
        <v>66992</v>
      </c>
      <c r="C2871">
        <f t="shared" si="108"/>
        <v>-1.0033840197425814E-2</v>
      </c>
    </row>
    <row r="2872" spans="1:3" x14ac:dyDescent="0.3">
      <c r="A2872" s="28">
        <v>42958</v>
      </c>
      <c r="B2872" s="36">
        <v>67359</v>
      </c>
      <c r="C2872">
        <f t="shared" si="108"/>
        <v>5.4782660616192747E-3</v>
      </c>
    </row>
    <row r="2873" spans="1:3" x14ac:dyDescent="0.3">
      <c r="A2873" s="28">
        <v>42961</v>
      </c>
      <c r="B2873" s="36">
        <v>68285</v>
      </c>
      <c r="C2873">
        <f t="shared" si="108"/>
        <v>1.3747234964889721E-2</v>
      </c>
    </row>
    <row r="2874" spans="1:3" x14ac:dyDescent="0.3">
      <c r="A2874" s="28">
        <v>42962</v>
      </c>
      <c r="B2874" s="36">
        <v>68355</v>
      </c>
      <c r="C2874">
        <f t="shared" si="108"/>
        <v>1.025115325474113E-3</v>
      </c>
    </row>
    <row r="2875" spans="1:3" x14ac:dyDescent="0.3">
      <c r="A2875" s="28">
        <v>42963</v>
      </c>
      <c r="B2875" s="36">
        <v>68594</v>
      </c>
      <c r="C2875">
        <f t="shared" si="108"/>
        <v>3.4964523443785644E-3</v>
      </c>
    </row>
    <row r="2876" spans="1:3" x14ac:dyDescent="0.3">
      <c r="A2876" s="28">
        <v>42964</v>
      </c>
      <c r="B2876" s="36">
        <v>67977</v>
      </c>
      <c r="C2876">
        <f t="shared" si="108"/>
        <v>-8.9949558270402408E-3</v>
      </c>
    </row>
    <row r="2877" spans="1:3" x14ac:dyDescent="0.3">
      <c r="A2877" s="28">
        <v>42965</v>
      </c>
      <c r="B2877" s="36">
        <v>68715</v>
      </c>
      <c r="C2877">
        <f t="shared" si="108"/>
        <v>1.0856613266251758E-2</v>
      </c>
    </row>
    <row r="2878" spans="1:3" x14ac:dyDescent="0.3">
      <c r="A2878" s="28">
        <v>42968</v>
      </c>
      <c r="B2878" s="36">
        <v>68635</v>
      </c>
      <c r="C2878">
        <f t="shared" si="108"/>
        <v>-1.164229062067923E-3</v>
      </c>
    </row>
    <row r="2879" spans="1:3" x14ac:dyDescent="0.3">
      <c r="A2879" s="28">
        <v>42969</v>
      </c>
      <c r="B2879" s="36">
        <v>70011</v>
      </c>
      <c r="C2879">
        <f t="shared" si="108"/>
        <v>2.0048080425438819E-2</v>
      </c>
    </row>
    <row r="2880" spans="1:3" x14ac:dyDescent="0.3">
      <c r="A2880" s="28">
        <v>42970</v>
      </c>
      <c r="B2880" s="36">
        <v>70478</v>
      </c>
      <c r="C2880">
        <f t="shared" si="108"/>
        <v>6.6703803687990781E-3</v>
      </c>
    </row>
    <row r="2881" spans="1:3" x14ac:dyDescent="0.3">
      <c r="A2881" s="28">
        <v>42971</v>
      </c>
      <c r="B2881" s="36">
        <v>71133</v>
      </c>
      <c r="C2881">
        <f t="shared" si="108"/>
        <v>9.2936802973977439E-3</v>
      </c>
    </row>
    <row r="2882" spans="1:3" x14ac:dyDescent="0.3">
      <c r="A2882" s="28">
        <v>42972</v>
      </c>
      <c r="B2882" s="36">
        <v>71074</v>
      </c>
      <c r="C2882">
        <f t="shared" si="108"/>
        <v>-8.2943219040387817E-4</v>
      </c>
    </row>
    <row r="2883" spans="1:3" x14ac:dyDescent="0.3">
      <c r="A2883" s="28">
        <v>42975</v>
      </c>
      <c r="B2883" s="36">
        <v>71017</v>
      </c>
      <c r="C2883">
        <f t="shared" si="108"/>
        <v>-8.0198103385209496E-4</v>
      </c>
    </row>
    <row r="2884" spans="1:3" x14ac:dyDescent="0.3">
      <c r="A2884" s="28">
        <v>42976</v>
      </c>
      <c r="B2884" s="36">
        <v>71330</v>
      </c>
      <c r="C2884">
        <f t="shared" ref="C2884:C2947" si="109">B2884/B2883-1</f>
        <v>4.4073954123660108E-3</v>
      </c>
    </row>
    <row r="2885" spans="1:3" x14ac:dyDescent="0.3">
      <c r="A2885" s="28">
        <v>42977</v>
      </c>
      <c r="B2885" s="36">
        <v>70886</v>
      </c>
      <c r="C2885">
        <f t="shared" si="109"/>
        <v>-6.224589934109126E-3</v>
      </c>
    </row>
    <row r="2886" spans="1:3" x14ac:dyDescent="0.3">
      <c r="A2886" s="28">
        <v>42978</v>
      </c>
      <c r="B2886" s="36">
        <v>70835</v>
      </c>
      <c r="C2886">
        <f t="shared" si="109"/>
        <v>-7.1946505656972359E-4</v>
      </c>
    </row>
    <row r="2887" spans="1:3" x14ac:dyDescent="0.3">
      <c r="A2887" s="28">
        <v>42979</v>
      </c>
      <c r="B2887" s="36">
        <v>71923</v>
      </c>
      <c r="C2887">
        <f t="shared" si="109"/>
        <v>1.5359638596738945E-2</v>
      </c>
    </row>
    <row r="2888" spans="1:3" x14ac:dyDescent="0.3">
      <c r="A2888" s="28">
        <v>42982</v>
      </c>
      <c r="B2888" s="36">
        <v>72129</v>
      </c>
      <c r="C2888">
        <f t="shared" si="109"/>
        <v>2.8641741862824865E-3</v>
      </c>
    </row>
    <row r="2889" spans="1:3" x14ac:dyDescent="0.3">
      <c r="A2889" s="28">
        <v>42983</v>
      </c>
      <c r="B2889" s="36">
        <v>72151</v>
      </c>
      <c r="C2889">
        <f t="shared" si="109"/>
        <v>3.0500908095221213E-4</v>
      </c>
    </row>
    <row r="2890" spans="1:3" x14ac:dyDescent="0.3">
      <c r="A2890" s="28">
        <v>42984</v>
      </c>
      <c r="B2890" s="36">
        <v>73412</v>
      </c>
      <c r="C2890">
        <f t="shared" si="109"/>
        <v>1.7477235242754796E-2</v>
      </c>
    </row>
    <row r="2891" spans="1:3" x14ac:dyDescent="0.3">
      <c r="A2891" s="28">
        <v>42986</v>
      </c>
      <c r="B2891" s="36">
        <v>73079</v>
      </c>
      <c r="C2891">
        <f t="shared" si="109"/>
        <v>-4.5360431537078139E-3</v>
      </c>
    </row>
    <row r="2892" spans="1:3" x14ac:dyDescent="0.3">
      <c r="A2892" s="28">
        <v>42989</v>
      </c>
      <c r="B2892" s="36">
        <v>74319</v>
      </c>
      <c r="C2892">
        <f t="shared" si="109"/>
        <v>1.6967938805949823E-2</v>
      </c>
    </row>
    <row r="2893" spans="1:3" x14ac:dyDescent="0.3">
      <c r="A2893" s="28">
        <v>42990</v>
      </c>
      <c r="B2893" s="36">
        <v>74539</v>
      </c>
      <c r="C2893">
        <f t="shared" si="109"/>
        <v>2.9602120588274605E-3</v>
      </c>
    </row>
    <row r="2894" spans="1:3" x14ac:dyDescent="0.3">
      <c r="A2894" s="28">
        <v>42991</v>
      </c>
      <c r="B2894" s="36">
        <v>74788</v>
      </c>
      <c r="C2894">
        <f t="shared" si="109"/>
        <v>3.340533143723512E-3</v>
      </c>
    </row>
    <row r="2895" spans="1:3" x14ac:dyDescent="0.3">
      <c r="A2895" s="28">
        <v>42992</v>
      </c>
      <c r="B2895" s="36">
        <v>74657</v>
      </c>
      <c r="C2895">
        <f t="shared" si="109"/>
        <v>-1.7516179066160431E-3</v>
      </c>
    </row>
    <row r="2896" spans="1:3" x14ac:dyDescent="0.3">
      <c r="A2896" s="28">
        <v>42993</v>
      </c>
      <c r="B2896" s="36">
        <v>75757</v>
      </c>
      <c r="C2896">
        <f t="shared" si="109"/>
        <v>1.473405039045228E-2</v>
      </c>
    </row>
    <row r="2897" spans="1:3" x14ac:dyDescent="0.3">
      <c r="A2897" s="28">
        <v>42996</v>
      </c>
      <c r="B2897" s="36">
        <v>75990</v>
      </c>
      <c r="C2897">
        <f t="shared" si="109"/>
        <v>3.0756233747375461E-3</v>
      </c>
    </row>
    <row r="2898" spans="1:3" x14ac:dyDescent="0.3">
      <c r="A2898" s="28">
        <v>42997</v>
      </c>
      <c r="B2898" s="36">
        <v>75974</v>
      </c>
      <c r="C2898">
        <f t="shared" si="109"/>
        <v>-2.1055402026581849E-4</v>
      </c>
    </row>
    <row r="2899" spans="1:3" x14ac:dyDescent="0.3">
      <c r="A2899" s="28">
        <v>42998</v>
      </c>
      <c r="B2899" s="36">
        <v>76004</v>
      </c>
      <c r="C2899">
        <f t="shared" si="109"/>
        <v>3.9487192987075481E-4</v>
      </c>
    </row>
    <row r="2900" spans="1:3" x14ac:dyDescent="0.3">
      <c r="A2900" s="28">
        <v>42999</v>
      </c>
      <c r="B2900" s="36">
        <v>75604</v>
      </c>
      <c r="C2900">
        <f t="shared" si="109"/>
        <v>-5.2628809010052402E-3</v>
      </c>
    </row>
    <row r="2901" spans="1:3" x14ac:dyDescent="0.3">
      <c r="A2901" s="28">
        <v>43000</v>
      </c>
      <c r="B2901" s="36">
        <v>75390</v>
      </c>
      <c r="C2901">
        <f t="shared" si="109"/>
        <v>-2.8305380667689173E-3</v>
      </c>
    </row>
    <row r="2902" spans="1:3" x14ac:dyDescent="0.3">
      <c r="A2902" s="28">
        <v>43003</v>
      </c>
      <c r="B2902" s="36">
        <v>74443</v>
      </c>
      <c r="C2902">
        <f t="shared" si="109"/>
        <v>-1.2561347658840649E-2</v>
      </c>
    </row>
    <row r="2903" spans="1:3" x14ac:dyDescent="0.3">
      <c r="A2903" s="28">
        <v>43004</v>
      </c>
      <c r="B2903" s="36">
        <v>74319</v>
      </c>
      <c r="C2903">
        <f t="shared" si="109"/>
        <v>-1.6657039614201841E-3</v>
      </c>
    </row>
    <row r="2904" spans="1:3" x14ac:dyDescent="0.3">
      <c r="A2904" s="28">
        <v>43005</v>
      </c>
      <c r="B2904" s="36">
        <v>73797</v>
      </c>
      <c r="C2904">
        <f t="shared" si="109"/>
        <v>-7.0237758850361098E-3</v>
      </c>
    </row>
    <row r="2905" spans="1:3" x14ac:dyDescent="0.3">
      <c r="A2905" s="28">
        <v>43006</v>
      </c>
      <c r="B2905" s="36">
        <v>73567</v>
      </c>
      <c r="C2905">
        <f t="shared" si="109"/>
        <v>-3.1166578587205063E-3</v>
      </c>
    </row>
    <row r="2906" spans="1:3" x14ac:dyDescent="0.3">
      <c r="A2906" s="28">
        <v>43007</v>
      </c>
      <c r="B2906" s="36">
        <v>74294</v>
      </c>
      <c r="C2906">
        <f t="shared" si="109"/>
        <v>9.8821482458166798E-3</v>
      </c>
    </row>
    <row r="2907" spans="1:3" x14ac:dyDescent="0.3">
      <c r="A2907" s="28">
        <v>43010</v>
      </c>
      <c r="B2907" s="36">
        <v>74360</v>
      </c>
      <c r="C2907">
        <f t="shared" si="109"/>
        <v>8.8836245188028684E-4</v>
      </c>
    </row>
    <row r="2908" spans="1:3" x14ac:dyDescent="0.3">
      <c r="A2908" s="28">
        <v>43011</v>
      </c>
      <c r="B2908" s="36">
        <v>76763</v>
      </c>
      <c r="C2908">
        <f t="shared" si="109"/>
        <v>3.2315761161914924E-2</v>
      </c>
    </row>
    <row r="2909" spans="1:3" x14ac:dyDescent="0.3">
      <c r="A2909" s="28">
        <v>43012</v>
      </c>
      <c r="B2909" s="36">
        <v>76591</v>
      </c>
      <c r="C2909">
        <f t="shared" si="109"/>
        <v>-2.2406628193269995E-3</v>
      </c>
    </row>
    <row r="2910" spans="1:3" x14ac:dyDescent="0.3">
      <c r="A2910" s="28">
        <v>43013</v>
      </c>
      <c r="B2910" s="36">
        <v>76618</v>
      </c>
      <c r="C2910">
        <f t="shared" si="109"/>
        <v>3.5252183676925952E-4</v>
      </c>
    </row>
    <row r="2911" spans="1:3" x14ac:dyDescent="0.3">
      <c r="A2911" s="28">
        <v>43014</v>
      </c>
      <c r="B2911" s="36">
        <v>76055</v>
      </c>
      <c r="C2911">
        <f t="shared" si="109"/>
        <v>-7.3481427340833516E-3</v>
      </c>
    </row>
    <row r="2912" spans="1:3" x14ac:dyDescent="0.3">
      <c r="A2912" s="28">
        <v>43017</v>
      </c>
      <c r="B2912" s="36">
        <v>75727</v>
      </c>
      <c r="C2912">
        <f t="shared" si="109"/>
        <v>-4.3126684636118906E-3</v>
      </c>
    </row>
    <row r="2913" spans="1:3" x14ac:dyDescent="0.3">
      <c r="A2913" s="28">
        <v>43018</v>
      </c>
      <c r="B2913" s="36">
        <v>76897</v>
      </c>
      <c r="C2913">
        <f t="shared" si="109"/>
        <v>1.5450235715134708E-2</v>
      </c>
    </row>
    <row r="2914" spans="1:3" x14ac:dyDescent="0.3">
      <c r="A2914" s="28">
        <v>43019</v>
      </c>
      <c r="B2914" s="36">
        <v>76660</v>
      </c>
      <c r="C2914">
        <f t="shared" si="109"/>
        <v>-3.0820448131916311E-3</v>
      </c>
    </row>
    <row r="2915" spans="1:3" x14ac:dyDescent="0.3">
      <c r="A2915" s="28">
        <v>43021</v>
      </c>
      <c r="B2915" s="36">
        <v>76990</v>
      </c>
      <c r="C2915">
        <f t="shared" si="109"/>
        <v>4.3047221497520827E-3</v>
      </c>
    </row>
    <row r="2916" spans="1:3" x14ac:dyDescent="0.3">
      <c r="A2916" s="28">
        <v>43024</v>
      </c>
      <c r="B2916" s="36">
        <v>76892</v>
      </c>
      <c r="C2916">
        <f t="shared" si="109"/>
        <v>-1.272892583452423E-3</v>
      </c>
    </row>
    <row r="2917" spans="1:3" x14ac:dyDescent="0.3">
      <c r="A2917" s="28">
        <v>43025</v>
      </c>
      <c r="B2917" s="36">
        <v>76201</v>
      </c>
      <c r="C2917">
        <f t="shared" si="109"/>
        <v>-8.9866305987619244E-3</v>
      </c>
    </row>
    <row r="2918" spans="1:3" x14ac:dyDescent="0.3">
      <c r="A2918" s="28">
        <v>43026</v>
      </c>
      <c r="B2918" s="36">
        <v>76591</v>
      </c>
      <c r="C2918">
        <f t="shared" si="109"/>
        <v>5.1180430703008373E-3</v>
      </c>
    </row>
    <row r="2919" spans="1:3" x14ac:dyDescent="0.3">
      <c r="A2919" s="28">
        <v>43027</v>
      </c>
      <c r="B2919" s="36">
        <v>76283</v>
      </c>
      <c r="C2919">
        <f t="shared" si="109"/>
        <v>-4.0213602120353631E-3</v>
      </c>
    </row>
    <row r="2920" spans="1:3" x14ac:dyDescent="0.3">
      <c r="A2920" s="28">
        <v>43028</v>
      </c>
      <c r="B2920" s="36">
        <v>76391</v>
      </c>
      <c r="C2920">
        <f t="shared" si="109"/>
        <v>1.4157807112986642E-3</v>
      </c>
    </row>
    <row r="2921" spans="1:3" x14ac:dyDescent="0.3">
      <c r="A2921" s="28">
        <v>43031</v>
      </c>
      <c r="B2921" s="36">
        <v>75413</v>
      </c>
      <c r="C2921">
        <f t="shared" si="109"/>
        <v>-1.2802555274836092E-2</v>
      </c>
    </row>
    <row r="2922" spans="1:3" x14ac:dyDescent="0.3">
      <c r="A2922" s="28">
        <v>43032</v>
      </c>
      <c r="B2922" s="36">
        <v>76350</v>
      </c>
      <c r="C2922">
        <f t="shared" si="109"/>
        <v>1.2424913476456245E-2</v>
      </c>
    </row>
    <row r="2923" spans="1:3" x14ac:dyDescent="0.3">
      <c r="A2923" s="28">
        <v>43033</v>
      </c>
      <c r="B2923" s="36">
        <v>76671</v>
      </c>
      <c r="C2923">
        <f t="shared" si="109"/>
        <v>4.204322200392907E-3</v>
      </c>
    </row>
    <row r="2924" spans="1:3" x14ac:dyDescent="0.3">
      <c r="A2924" s="28">
        <v>43034</v>
      </c>
      <c r="B2924" s="36">
        <v>75896</v>
      </c>
      <c r="C2924">
        <f t="shared" si="109"/>
        <v>-1.0108124323407797E-2</v>
      </c>
    </row>
    <row r="2925" spans="1:3" x14ac:dyDescent="0.3">
      <c r="A2925" s="28">
        <v>43035</v>
      </c>
      <c r="B2925" s="36">
        <v>75976</v>
      </c>
      <c r="C2925">
        <f t="shared" si="109"/>
        <v>1.0540739959945533E-3</v>
      </c>
    </row>
    <row r="2926" spans="1:3" x14ac:dyDescent="0.3">
      <c r="A2926" s="28">
        <v>43038</v>
      </c>
      <c r="B2926" s="36">
        <v>74800</v>
      </c>
      <c r="C2926">
        <f t="shared" si="109"/>
        <v>-1.5478572180688599E-2</v>
      </c>
    </row>
    <row r="2927" spans="1:3" x14ac:dyDescent="0.3">
      <c r="A2927" s="28">
        <v>43039</v>
      </c>
      <c r="B2927" s="36">
        <v>74308</v>
      </c>
      <c r="C2927">
        <f t="shared" si="109"/>
        <v>-6.5775401069518846E-3</v>
      </c>
    </row>
    <row r="2928" spans="1:3" x14ac:dyDescent="0.3">
      <c r="A2928" s="28">
        <v>43040</v>
      </c>
      <c r="B2928" s="36">
        <v>73824</v>
      </c>
      <c r="C2928">
        <f t="shared" si="109"/>
        <v>-6.5134305862087905E-3</v>
      </c>
    </row>
    <row r="2929" spans="1:3" x14ac:dyDescent="0.3">
      <c r="A2929" s="28">
        <v>43042</v>
      </c>
      <c r="B2929" s="36">
        <v>73915</v>
      </c>
      <c r="C2929">
        <f t="shared" si="109"/>
        <v>1.232661465106144E-3</v>
      </c>
    </row>
    <row r="2930" spans="1:3" x14ac:dyDescent="0.3">
      <c r="A2930" s="28">
        <v>43045</v>
      </c>
      <c r="B2930" s="36">
        <v>74311</v>
      </c>
      <c r="C2930">
        <f t="shared" si="109"/>
        <v>5.3575052425083314E-3</v>
      </c>
    </row>
    <row r="2931" spans="1:3" x14ac:dyDescent="0.3">
      <c r="A2931" s="28">
        <v>43046</v>
      </c>
      <c r="B2931" s="36">
        <v>72415</v>
      </c>
      <c r="C2931">
        <f t="shared" si="109"/>
        <v>-2.5514392216495541E-2</v>
      </c>
    </row>
    <row r="2932" spans="1:3" x14ac:dyDescent="0.3">
      <c r="A2932" s="28">
        <v>43047</v>
      </c>
      <c r="B2932" s="36">
        <v>74363</v>
      </c>
      <c r="C2932">
        <f t="shared" si="109"/>
        <v>2.6900504039218287E-2</v>
      </c>
    </row>
    <row r="2933" spans="1:3" x14ac:dyDescent="0.3">
      <c r="A2933" s="28">
        <v>43048</v>
      </c>
      <c r="B2933" s="36">
        <v>72931</v>
      </c>
      <c r="C2933">
        <f t="shared" si="109"/>
        <v>-1.9256888506380854E-2</v>
      </c>
    </row>
    <row r="2934" spans="1:3" x14ac:dyDescent="0.3">
      <c r="A2934" s="28">
        <v>43049</v>
      </c>
      <c r="B2934" s="36">
        <v>72166</v>
      </c>
      <c r="C2934">
        <f t="shared" si="109"/>
        <v>-1.0489366661639132E-2</v>
      </c>
    </row>
    <row r="2935" spans="1:3" x14ac:dyDescent="0.3">
      <c r="A2935" s="28">
        <v>43052</v>
      </c>
      <c r="B2935" s="36">
        <v>72475</v>
      </c>
      <c r="C2935">
        <f t="shared" si="109"/>
        <v>4.281794750990775E-3</v>
      </c>
    </row>
    <row r="2936" spans="1:3" x14ac:dyDescent="0.3">
      <c r="A2936" s="28">
        <v>43053</v>
      </c>
      <c r="B2936" s="36">
        <v>70827</v>
      </c>
      <c r="C2936">
        <f t="shared" si="109"/>
        <v>-2.2738875474301534E-2</v>
      </c>
    </row>
    <row r="2937" spans="1:3" x14ac:dyDescent="0.3">
      <c r="A2937" s="28">
        <v>43054</v>
      </c>
      <c r="B2937" s="36">
        <v>70827</v>
      </c>
      <c r="C2937">
        <f t="shared" si="109"/>
        <v>0</v>
      </c>
    </row>
    <row r="2938" spans="1:3" x14ac:dyDescent="0.3">
      <c r="A2938" s="28">
        <v>43055</v>
      </c>
      <c r="B2938" s="36">
        <v>72512</v>
      </c>
      <c r="C2938">
        <f t="shared" si="109"/>
        <v>2.3790362432405621E-2</v>
      </c>
    </row>
    <row r="2939" spans="1:3" x14ac:dyDescent="0.3">
      <c r="A2939" s="28">
        <v>43056</v>
      </c>
      <c r="B2939" s="36">
        <v>73437</v>
      </c>
      <c r="C2939">
        <f t="shared" si="109"/>
        <v>1.2756509267431548E-2</v>
      </c>
    </row>
    <row r="2940" spans="1:3" x14ac:dyDescent="0.3">
      <c r="A2940" s="28">
        <v>43060</v>
      </c>
      <c r="B2940" s="36">
        <v>74595</v>
      </c>
      <c r="C2940">
        <f t="shared" si="109"/>
        <v>1.5768617999101231E-2</v>
      </c>
    </row>
    <row r="2941" spans="1:3" x14ac:dyDescent="0.3">
      <c r="A2941" s="28">
        <v>43061</v>
      </c>
      <c r="B2941" s="36">
        <v>74519</v>
      </c>
      <c r="C2941">
        <f t="shared" si="109"/>
        <v>-1.0188350425631709E-3</v>
      </c>
    </row>
    <row r="2942" spans="1:3" x14ac:dyDescent="0.3">
      <c r="A2942" s="28">
        <v>43062</v>
      </c>
      <c r="B2942" s="36">
        <v>74487</v>
      </c>
      <c r="C2942">
        <f t="shared" si="109"/>
        <v>-4.2942068465756655E-4</v>
      </c>
    </row>
    <row r="2943" spans="1:3" x14ac:dyDescent="0.3">
      <c r="A2943" s="28">
        <v>43063</v>
      </c>
      <c r="B2943" s="36">
        <v>74157</v>
      </c>
      <c r="C2943">
        <f t="shared" si="109"/>
        <v>-4.4303032743968629E-3</v>
      </c>
    </row>
    <row r="2944" spans="1:3" x14ac:dyDescent="0.3">
      <c r="A2944" s="28">
        <v>43066</v>
      </c>
      <c r="B2944" s="36">
        <v>74059</v>
      </c>
      <c r="C2944">
        <f t="shared" si="109"/>
        <v>-1.3215205577356004E-3</v>
      </c>
    </row>
    <row r="2945" spans="1:3" x14ac:dyDescent="0.3">
      <c r="A2945" s="28">
        <v>43067</v>
      </c>
      <c r="B2945" s="36">
        <v>74140</v>
      </c>
      <c r="C2945">
        <f t="shared" si="109"/>
        <v>1.0937225725435873E-3</v>
      </c>
    </row>
    <row r="2946" spans="1:3" x14ac:dyDescent="0.3">
      <c r="A2946" s="28">
        <v>43068</v>
      </c>
      <c r="B2946" s="36">
        <v>72700</v>
      </c>
      <c r="C2946">
        <f t="shared" si="109"/>
        <v>-1.9422713784731593E-2</v>
      </c>
    </row>
    <row r="2947" spans="1:3" x14ac:dyDescent="0.3">
      <c r="A2947" s="28">
        <v>43069</v>
      </c>
      <c r="B2947" s="36">
        <v>71971</v>
      </c>
      <c r="C2947">
        <f t="shared" si="109"/>
        <v>-1.0027510316368615E-2</v>
      </c>
    </row>
    <row r="2948" spans="1:3" x14ac:dyDescent="0.3">
      <c r="A2948" s="28">
        <v>43070</v>
      </c>
      <c r="B2948" s="36">
        <v>72264</v>
      </c>
      <c r="C2948">
        <f t="shared" ref="C2948:C3011" si="110">B2948/B2947-1</f>
        <v>4.0710841866862246E-3</v>
      </c>
    </row>
    <row r="2949" spans="1:3" x14ac:dyDescent="0.3">
      <c r="A2949" s="28">
        <v>43073</v>
      </c>
      <c r="B2949" s="36">
        <v>73090</v>
      </c>
      <c r="C2949">
        <f t="shared" si="110"/>
        <v>1.143031108158965E-2</v>
      </c>
    </row>
    <row r="2950" spans="1:3" x14ac:dyDescent="0.3">
      <c r="A2950" s="28">
        <v>43074</v>
      </c>
      <c r="B2950" s="36">
        <v>72546</v>
      </c>
      <c r="C2950">
        <f t="shared" si="110"/>
        <v>-7.4428786427691573E-3</v>
      </c>
    </row>
    <row r="2951" spans="1:3" x14ac:dyDescent="0.3">
      <c r="A2951" s="28">
        <v>43075</v>
      </c>
      <c r="B2951" s="36">
        <v>73268</v>
      </c>
      <c r="C2951">
        <f t="shared" si="110"/>
        <v>9.9523061230115673E-3</v>
      </c>
    </row>
    <row r="2952" spans="1:3" x14ac:dyDescent="0.3">
      <c r="A2952" s="28">
        <v>43076</v>
      </c>
      <c r="B2952" s="36">
        <v>72487</v>
      </c>
      <c r="C2952">
        <f t="shared" si="110"/>
        <v>-1.065949664246324E-2</v>
      </c>
    </row>
    <row r="2953" spans="1:3" x14ac:dyDescent="0.3">
      <c r="A2953" s="28">
        <v>43077</v>
      </c>
      <c r="B2953" s="36">
        <v>72732</v>
      </c>
      <c r="C2953">
        <f t="shared" si="110"/>
        <v>3.3799163988026404E-3</v>
      </c>
    </row>
    <row r="2954" spans="1:3" x14ac:dyDescent="0.3">
      <c r="A2954" s="28">
        <v>43080</v>
      </c>
      <c r="B2954" s="36">
        <v>72800</v>
      </c>
      <c r="C2954">
        <f t="shared" si="110"/>
        <v>9.3493922895016013E-4</v>
      </c>
    </row>
    <row r="2955" spans="1:3" x14ac:dyDescent="0.3">
      <c r="A2955" s="28">
        <v>43081</v>
      </c>
      <c r="B2955" s="36">
        <v>73814</v>
      </c>
      <c r="C2955">
        <f t="shared" si="110"/>
        <v>1.3928571428571512E-2</v>
      </c>
    </row>
    <row r="2956" spans="1:3" x14ac:dyDescent="0.3">
      <c r="A2956" s="28">
        <v>43082</v>
      </c>
      <c r="B2956" s="36">
        <v>72914</v>
      </c>
      <c r="C2956">
        <f t="shared" si="110"/>
        <v>-1.2192808952231293E-2</v>
      </c>
    </row>
    <row r="2957" spans="1:3" x14ac:dyDescent="0.3">
      <c r="A2957" s="28">
        <v>43083</v>
      </c>
      <c r="B2957" s="36">
        <v>72429</v>
      </c>
      <c r="C2957">
        <f t="shared" si="110"/>
        <v>-6.651671832569872E-3</v>
      </c>
    </row>
    <row r="2958" spans="1:3" x14ac:dyDescent="0.3">
      <c r="A2958" s="28">
        <v>43084</v>
      </c>
      <c r="B2958" s="36">
        <v>72608</v>
      </c>
      <c r="C2958">
        <f t="shared" si="110"/>
        <v>2.4713857708928977E-3</v>
      </c>
    </row>
    <row r="2959" spans="1:3" x14ac:dyDescent="0.3">
      <c r="A2959" s="28">
        <v>43087</v>
      </c>
      <c r="B2959" s="36">
        <v>73115</v>
      </c>
      <c r="C2959">
        <f t="shared" si="110"/>
        <v>6.9827016306742706E-3</v>
      </c>
    </row>
    <row r="2960" spans="1:3" x14ac:dyDescent="0.3">
      <c r="A2960" s="28">
        <v>43088</v>
      </c>
      <c r="B2960" s="36">
        <v>72680</v>
      </c>
      <c r="C2960">
        <f t="shared" si="110"/>
        <v>-5.9495315598714349E-3</v>
      </c>
    </row>
    <row r="2961" spans="1:3" x14ac:dyDescent="0.3">
      <c r="A2961" s="28">
        <v>43089</v>
      </c>
      <c r="B2961" s="36">
        <v>73367</v>
      </c>
      <c r="C2961">
        <f t="shared" si="110"/>
        <v>9.4523940561364039E-3</v>
      </c>
    </row>
    <row r="2962" spans="1:3" x14ac:dyDescent="0.3">
      <c r="A2962" s="28">
        <v>43090</v>
      </c>
      <c r="B2962" s="36">
        <v>75133</v>
      </c>
      <c r="C2962">
        <f t="shared" si="110"/>
        <v>2.4070767511279012E-2</v>
      </c>
    </row>
    <row r="2963" spans="1:3" x14ac:dyDescent="0.3">
      <c r="A2963" s="28">
        <v>43091</v>
      </c>
      <c r="B2963" s="36">
        <v>75187</v>
      </c>
      <c r="C2963">
        <f t="shared" si="110"/>
        <v>7.1872546018392214E-4</v>
      </c>
    </row>
    <row r="2964" spans="1:3" x14ac:dyDescent="0.3">
      <c r="A2964" s="28">
        <v>43095</v>
      </c>
      <c r="B2964" s="36">
        <v>75688</v>
      </c>
      <c r="C2964">
        <f t="shared" si="110"/>
        <v>6.6633859576787913E-3</v>
      </c>
    </row>
    <row r="2965" spans="1:3" x14ac:dyDescent="0.3">
      <c r="A2965" s="28">
        <v>43096</v>
      </c>
      <c r="B2965" s="36">
        <v>76073</v>
      </c>
      <c r="C2965">
        <f t="shared" si="110"/>
        <v>5.0866715991966238E-3</v>
      </c>
    </row>
    <row r="2966" spans="1:3" x14ac:dyDescent="0.3">
      <c r="A2966" s="28">
        <v>43097</v>
      </c>
      <c r="B2966" s="36">
        <v>76402</v>
      </c>
      <c r="C2966">
        <f t="shared" si="110"/>
        <v>4.324793290654938E-3</v>
      </c>
    </row>
    <row r="2967" spans="1:3" x14ac:dyDescent="0.3">
      <c r="A2967" s="28">
        <v>43098</v>
      </c>
      <c r="B2967" s="36">
        <v>76402</v>
      </c>
      <c r="C2967">
        <f t="shared" si="110"/>
        <v>0</v>
      </c>
    </row>
    <row r="2968" spans="1:3" x14ac:dyDescent="0.3">
      <c r="A2968" s="28">
        <v>43102</v>
      </c>
      <c r="B2968" s="36">
        <v>77891</v>
      </c>
      <c r="C2968">
        <f t="shared" si="110"/>
        <v>1.9489018612078191E-2</v>
      </c>
    </row>
    <row r="2969" spans="1:3" x14ac:dyDescent="0.3">
      <c r="A2969" s="28">
        <v>43103</v>
      </c>
      <c r="B2969" s="36">
        <v>77995</v>
      </c>
      <c r="C2969">
        <f t="shared" si="110"/>
        <v>1.3351991886096926E-3</v>
      </c>
    </row>
    <row r="2970" spans="1:3" x14ac:dyDescent="0.3">
      <c r="A2970" s="28">
        <v>43104</v>
      </c>
      <c r="B2970" s="36">
        <v>78647</v>
      </c>
      <c r="C2970">
        <f t="shared" si="110"/>
        <v>8.3595102250144659E-3</v>
      </c>
    </row>
    <row r="2971" spans="1:3" x14ac:dyDescent="0.3">
      <c r="A2971" s="28">
        <v>43105</v>
      </c>
      <c r="B2971" s="36">
        <v>79071</v>
      </c>
      <c r="C2971">
        <f t="shared" si="110"/>
        <v>5.391178303050248E-3</v>
      </c>
    </row>
    <row r="2972" spans="1:3" x14ac:dyDescent="0.3">
      <c r="A2972" s="28">
        <v>43108</v>
      </c>
      <c r="B2972" s="36">
        <v>79379</v>
      </c>
      <c r="C2972">
        <f t="shared" si="110"/>
        <v>3.8952333978323761E-3</v>
      </c>
    </row>
    <row r="2973" spans="1:3" x14ac:dyDescent="0.3">
      <c r="A2973" s="28">
        <v>43109</v>
      </c>
      <c r="B2973" s="36">
        <v>78864</v>
      </c>
      <c r="C2973">
        <f t="shared" si="110"/>
        <v>-6.487862029000091E-3</v>
      </c>
    </row>
    <row r="2974" spans="1:3" x14ac:dyDescent="0.3">
      <c r="A2974" s="28">
        <v>43110</v>
      </c>
      <c r="B2974" s="36">
        <v>78201</v>
      </c>
      <c r="C2974">
        <f t="shared" si="110"/>
        <v>-8.4068776628118957E-3</v>
      </c>
    </row>
    <row r="2975" spans="1:3" x14ac:dyDescent="0.3">
      <c r="A2975" s="28">
        <v>43111</v>
      </c>
      <c r="B2975" s="36">
        <v>79365</v>
      </c>
      <c r="C2975">
        <f t="shared" si="110"/>
        <v>1.488472014424369E-2</v>
      </c>
    </row>
    <row r="2976" spans="1:3" x14ac:dyDescent="0.3">
      <c r="A2976" s="28">
        <v>43112</v>
      </c>
      <c r="B2976" s="36">
        <v>79349</v>
      </c>
      <c r="C2976">
        <f t="shared" si="110"/>
        <v>-2.0160020160020498E-4</v>
      </c>
    </row>
    <row r="2977" spans="1:3" x14ac:dyDescent="0.3">
      <c r="A2977" s="28">
        <v>43115</v>
      </c>
      <c r="B2977" s="36">
        <v>79752</v>
      </c>
      <c r="C2977">
        <f t="shared" si="110"/>
        <v>5.078828970749516E-3</v>
      </c>
    </row>
    <row r="2978" spans="1:3" x14ac:dyDescent="0.3">
      <c r="A2978" s="28">
        <v>43116</v>
      </c>
      <c r="B2978" s="36">
        <v>79832</v>
      </c>
      <c r="C2978">
        <f t="shared" si="110"/>
        <v>1.0031096398837036E-3</v>
      </c>
    </row>
    <row r="2979" spans="1:3" x14ac:dyDescent="0.3">
      <c r="A2979" s="28">
        <v>43117</v>
      </c>
      <c r="B2979" s="36">
        <v>81189</v>
      </c>
      <c r="C2979">
        <f t="shared" si="110"/>
        <v>1.6998196212045347E-2</v>
      </c>
    </row>
    <row r="2980" spans="1:3" x14ac:dyDescent="0.3">
      <c r="A2980" s="28">
        <v>43118</v>
      </c>
      <c r="B2980" s="36">
        <v>80963</v>
      </c>
      <c r="C2980">
        <f t="shared" si="110"/>
        <v>-2.7836283240340043E-3</v>
      </c>
    </row>
    <row r="2981" spans="1:3" x14ac:dyDescent="0.3">
      <c r="A2981" s="28">
        <v>43119</v>
      </c>
      <c r="B2981" s="36">
        <v>81220</v>
      </c>
      <c r="C2981">
        <f t="shared" si="110"/>
        <v>3.1742894902608843E-3</v>
      </c>
    </row>
    <row r="2982" spans="1:3" x14ac:dyDescent="0.3">
      <c r="A2982" s="28">
        <v>43122</v>
      </c>
      <c r="B2982" s="36">
        <v>81675</v>
      </c>
      <c r="C2982">
        <f t="shared" si="110"/>
        <v>5.6020684560453837E-3</v>
      </c>
    </row>
    <row r="2983" spans="1:3" x14ac:dyDescent="0.3">
      <c r="A2983" s="28">
        <v>43123</v>
      </c>
      <c r="B2983" s="36">
        <v>80678</v>
      </c>
      <c r="C2983">
        <f t="shared" si="110"/>
        <v>-1.220691766146309E-2</v>
      </c>
    </row>
    <row r="2984" spans="1:3" x14ac:dyDescent="0.3">
      <c r="A2984" s="28">
        <v>43124</v>
      </c>
      <c r="B2984" s="36">
        <v>83680</v>
      </c>
      <c r="C2984">
        <f t="shared" si="110"/>
        <v>3.7209648231240289E-2</v>
      </c>
    </row>
    <row r="2985" spans="1:3" x14ac:dyDescent="0.3">
      <c r="A2985" s="28">
        <v>43125</v>
      </c>
      <c r="B2985" s="36">
        <v>83680</v>
      </c>
      <c r="C2985">
        <f t="shared" si="110"/>
        <v>0</v>
      </c>
    </row>
    <row r="2986" spans="1:3" x14ac:dyDescent="0.3">
      <c r="A2986" s="28">
        <v>43126</v>
      </c>
      <c r="B2986" s="36">
        <v>85531</v>
      </c>
      <c r="C2986">
        <f t="shared" si="110"/>
        <v>2.2119980879541146E-2</v>
      </c>
    </row>
    <row r="2987" spans="1:3" x14ac:dyDescent="0.3">
      <c r="A2987" s="28">
        <v>43129</v>
      </c>
      <c r="B2987" s="36">
        <v>84698</v>
      </c>
      <c r="C2987">
        <f t="shared" si="110"/>
        <v>-9.7391589014509394E-3</v>
      </c>
    </row>
    <row r="2988" spans="1:3" x14ac:dyDescent="0.3">
      <c r="A2988" s="28">
        <v>43130</v>
      </c>
      <c r="B2988" s="36">
        <v>84482</v>
      </c>
      <c r="C2988">
        <f t="shared" si="110"/>
        <v>-2.5502373137500367E-3</v>
      </c>
    </row>
    <row r="2989" spans="1:3" x14ac:dyDescent="0.3">
      <c r="A2989" s="28">
        <v>43131</v>
      </c>
      <c r="B2989" s="36">
        <v>84913</v>
      </c>
      <c r="C2989">
        <f t="shared" si="110"/>
        <v>5.1016784640514068E-3</v>
      </c>
    </row>
    <row r="2990" spans="1:3" x14ac:dyDescent="0.3">
      <c r="A2990" s="28">
        <v>43132</v>
      </c>
      <c r="B2990" s="36">
        <v>85495</v>
      </c>
      <c r="C2990">
        <f t="shared" si="110"/>
        <v>6.85407417003292E-3</v>
      </c>
    </row>
    <row r="2991" spans="1:3" x14ac:dyDescent="0.3">
      <c r="A2991" s="28">
        <v>43133</v>
      </c>
      <c r="B2991" s="36">
        <v>84041</v>
      </c>
      <c r="C2991">
        <f t="shared" si="110"/>
        <v>-1.7006842505409625E-2</v>
      </c>
    </row>
    <row r="2992" spans="1:3" x14ac:dyDescent="0.3">
      <c r="A2992" s="28">
        <v>43136</v>
      </c>
      <c r="B2992" s="36">
        <v>81861</v>
      </c>
      <c r="C2992">
        <f t="shared" si="110"/>
        <v>-2.5939719898620872E-2</v>
      </c>
    </row>
    <row r="2993" spans="1:3" x14ac:dyDescent="0.3">
      <c r="A2993" s="28">
        <v>43137</v>
      </c>
      <c r="B2993" s="36">
        <v>83894</v>
      </c>
      <c r="C2993">
        <f t="shared" si="110"/>
        <v>2.4834780909102072E-2</v>
      </c>
    </row>
    <row r="2994" spans="1:3" x14ac:dyDescent="0.3">
      <c r="A2994" s="28">
        <v>43138</v>
      </c>
      <c r="B2994" s="36">
        <v>82767</v>
      </c>
      <c r="C2994">
        <f t="shared" si="110"/>
        <v>-1.3433618613965193E-2</v>
      </c>
    </row>
    <row r="2995" spans="1:3" x14ac:dyDescent="0.3">
      <c r="A2995" s="28">
        <v>43139</v>
      </c>
      <c r="B2995" s="36">
        <v>81533</v>
      </c>
      <c r="C2995">
        <f t="shared" si="110"/>
        <v>-1.4909323764302207E-2</v>
      </c>
    </row>
    <row r="2996" spans="1:3" x14ac:dyDescent="0.3">
      <c r="A2996" s="28">
        <v>43140</v>
      </c>
      <c r="B2996" s="36">
        <v>80899</v>
      </c>
      <c r="C2996">
        <f t="shared" si="110"/>
        <v>-7.7759925428967369E-3</v>
      </c>
    </row>
    <row r="2997" spans="1:3" x14ac:dyDescent="0.3">
      <c r="A2997" s="28">
        <v>43146</v>
      </c>
      <c r="B2997" s="36">
        <v>84291</v>
      </c>
      <c r="C2997">
        <f t="shared" si="110"/>
        <v>4.1928824830962164E-2</v>
      </c>
    </row>
    <row r="2998" spans="1:3" x14ac:dyDescent="0.3">
      <c r="A2998" s="28">
        <v>43147</v>
      </c>
      <c r="B2998" s="36">
        <v>84525</v>
      </c>
      <c r="C2998">
        <f t="shared" si="110"/>
        <v>2.7760970922161565E-3</v>
      </c>
    </row>
    <row r="2999" spans="1:3" x14ac:dyDescent="0.3">
      <c r="A2999" s="28">
        <v>43150</v>
      </c>
      <c r="B2999" s="36">
        <v>84793</v>
      </c>
      <c r="C2999">
        <f t="shared" si="110"/>
        <v>3.1706595681750827E-3</v>
      </c>
    </row>
    <row r="3000" spans="1:3" x14ac:dyDescent="0.3">
      <c r="A3000" s="28">
        <v>43151</v>
      </c>
      <c r="B3000" s="36">
        <v>85804</v>
      </c>
      <c r="C3000">
        <f t="shared" si="110"/>
        <v>1.1923154033941508E-2</v>
      </c>
    </row>
    <row r="3001" spans="1:3" x14ac:dyDescent="0.3">
      <c r="A3001" s="28">
        <v>43152</v>
      </c>
      <c r="B3001" s="36">
        <v>86052</v>
      </c>
      <c r="C3001">
        <f t="shared" si="110"/>
        <v>2.8903081441424838E-3</v>
      </c>
    </row>
    <row r="3002" spans="1:3" x14ac:dyDescent="0.3">
      <c r="A3002" s="28">
        <v>43153</v>
      </c>
      <c r="B3002" s="36">
        <v>86686</v>
      </c>
      <c r="C3002">
        <f t="shared" si="110"/>
        <v>7.3676381722678208E-3</v>
      </c>
    </row>
    <row r="3003" spans="1:3" x14ac:dyDescent="0.3">
      <c r="A3003" s="28">
        <v>43154</v>
      </c>
      <c r="B3003" s="36">
        <v>87293</v>
      </c>
      <c r="C3003">
        <f t="shared" si="110"/>
        <v>7.0022841058532403E-3</v>
      </c>
    </row>
    <row r="3004" spans="1:3" x14ac:dyDescent="0.3">
      <c r="A3004" s="28">
        <v>43157</v>
      </c>
      <c r="B3004" s="36">
        <v>87653</v>
      </c>
      <c r="C3004">
        <f t="shared" si="110"/>
        <v>4.1240420194059713E-3</v>
      </c>
    </row>
    <row r="3005" spans="1:3" x14ac:dyDescent="0.3">
      <c r="A3005" s="28">
        <v>43158</v>
      </c>
      <c r="B3005" s="36">
        <v>86935</v>
      </c>
      <c r="C3005">
        <f t="shared" si="110"/>
        <v>-8.191391053358088E-3</v>
      </c>
    </row>
    <row r="3006" spans="1:3" x14ac:dyDescent="0.3">
      <c r="A3006" s="28">
        <v>43159</v>
      </c>
      <c r="B3006" s="36">
        <v>85481</v>
      </c>
      <c r="C3006">
        <f t="shared" si="110"/>
        <v>-1.6725139472019368E-2</v>
      </c>
    </row>
    <row r="3007" spans="1:3" x14ac:dyDescent="0.3">
      <c r="A3007" s="28">
        <v>43160</v>
      </c>
      <c r="B3007" s="36">
        <v>85378</v>
      </c>
      <c r="C3007">
        <f t="shared" si="110"/>
        <v>-1.2049461283794027E-3</v>
      </c>
    </row>
    <row r="3008" spans="1:3" x14ac:dyDescent="0.3">
      <c r="A3008" s="28">
        <v>43161</v>
      </c>
      <c r="B3008" s="36">
        <v>85761</v>
      </c>
      <c r="C3008">
        <f t="shared" si="110"/>
        <v>4.4859331443698469E-3</v>
      </c>
    </row>
    <row r="3009" spans="1:3" x14ac:dyDescent="0.3">
      <c r="A3009" s="28">
        <v>43164</v>
      </c>
      <c r="B3009" s="36">
        <v>86023</v>
      </c>
      <c r="C3009">
        <f t="shared" si="110"/>
        <v>3.0550016907451294E-3</v>
      </c>
    </row>
    <row r="3010" spans="1:3" x14ac:dyDescent="0.3">
      <c r="A3010" s="28">
        <v>43165</v>
      </c>
      <c r="B3010" s="36">
        <v>85653</v>
      </c>
      <c r="C3010">
        <f t="shared" si="110"/>
        <v>-4.3011752670797376E-3</v>
      </c>
    </row>
    <row r="3011" spans="1:3" x14ac:dyDescent="0.3">
      <c r="A3011" s="28">
        <v>43166</v>
      </c>
      <c r="B3011" s="36">
        <v>85484</v>
      </c>
      <c r="C3011">
        <f t="shared" si="110"/>
        <v>-1.9730774170197973E-3</v>
      </c>
    </row>
    <row r="3012" spans="1:3" x14ac:dyDescent="0.3">
      <c r="A3012" s="28">
        <v>43167</v>
      </c>
      <c r="B3012" s="36">
        <v>84985</v>
      </c>
      <c r="C3012">
        <f t="shared" ref="C3012:C3075" si="111">B3012/B3011-1</f>
        <v>-5.8373496794721369E-3</v>
      </c>
    </row>
    <row r="3013" spans="1:3" x14ac:dyDescent="0.3">
      <c r="A3013" s="28">
        <v>43168</v>
      </c>
      <c r="B3013" s="36">
        <v>86371</v>
      </c>
      <c r="C3013">
        <f t="shared" si="111"/>
        <v>1.6308760369476927E-2</v>
      </c>
    </row>
    <row r="3014" spans="1:3" x14ac:dyDescent="0.3">
      <c r="A3014" s="28">
        <v>43171</v>
      </c>
      <c r="B3014" s="36">
        <v>86900</v>
      </c>
      <c r="C3014">
        <f t="shared" si="111"/>
        <v>6.1247409431406385E-3</v>
      </c>
    </row>
    <row r="3015" spans="1:3" x14ac:dyDescent="0.3">
      <c r="A3015" s="28">
        <v>43172</v>
      </c>
      <c r="B3015" s="36">
        <v>86384</v>
      </c>
      <c r="C3015">
        <f t="shared" si="111"/>
        <v>-5.9378596087457103E-3</v>
      </c>
    </row>
    <row r="3016" spans="1:3" x14ac:dyDescent="0.3">
      <c r="A3016" s="28">
        <v>43173</v>
      </c>
      <c r="B3016" s="36">
        <v>86051</v>
      </c>
      <c r="C3016">
        <f t="shared" si="111"/>
        <v>-3.8548805334320813E-3</v>
      </c>
    </row>
    <row r="3017" spans="1:3" x14ac:dyDescent="0.3">
      <c r="A3017" s="28">
        <v>43174</v>
      </c>
      <c r="B3017" s="36">
        <v>84928</v>
      </c>
      <c r="C3017">
        <f t="shared" si="111"/>
        <v>-1.3050400343982083E-2</v>
      </c>
    </row>
    <row r="3018" spans="1:3" x14ac:dyDescent="0.3">
      <c r="A3018" s="28">
        <v>43175</v>
      </c>
      <c r="B3018" s="36">
        <v>84886</v>
      </c>
      <c r="C3018">
        <f t="shared" si="111"/>
        <v>-4.9453654860587282E-4</v>
      </c>
    </row>
    <row r="3019" spans="1:3" x14ac:dyDescent="0.3">
      <c r="A3019" s="28">
        <v>43178</v>
      </c>
      <c r="B3019" s="36">
        <v>83913</v>
      </c>
      <c r="C3019">
        <f t="shared" si="111"/>
        <v>-1.1462431967580011E-2</v>
      </c>
    </row>
    <row r="3020" spans="1:3" x14ac:dyDescent="0.3">
      <c r="A3020" s="28">
        <v>43179</v>
      </c>
      <c r="B3020" s="36">
        <v>84164</v>
      </c>
      <c r="C3020">
        <f t="shared" si="111"/>
        <v>2.9911932596855539E-3</v>
      </c>
    </row>
    <row r="3021" spans="1:3" x14ac:dyDescent="0.3">
      <c r="A3021" s="28">
        <v>43180</v>
      </c>
      <c r="B3021" s="36">
        <v>84977</v>
      </c>
      <c r="C3021">
        <f t="shared" si="111"/>
        <v>9.6597119908750084E-3</v>
      </c>
    </row>
    <row r="3022" spans="1:3" x14ac:dyDescent="0.3">
      <c r="A3022" s="28">
        <v>43181</v>
      </c>
      <c r="B3022" s="36">
        <v>84768</v>
      </c>
      <c r="C3022">
        <f t="shared" si="111"/>
        <v>-2.4594890382103607E-3</v>
      </c>
    </row>
    <row r="3023" spans="1:3" x14ac:dyDescent="0.3">
      <c r="A3023" s="28">
        <v>43182</v>
      </c>
      <c r="B3023" s="36">
        <v>84377</v>
      </c>
      <c r="C3023">
        <f t="shared" si="111"/>
        <v>-4.6125896564741531E-3</v>
      </c>
    </row>
    <row r="3024" spans="1:3" x14ac:dyDescent="0.3">
      <c r="A3024" s="28">
        <v>43185</v>
      </c>
      <c r="B3024" s="36">
        <v>85088</v>
      </c>
      <c r="C3024">
        <f t="shared" si="111"/>
        <v>8.4264669281912674E-3</v>
      </c>
    </row>
    <row r="3025" spans="1:3" x14ac:dyDescent="0.3">
      <c r="A3025" s="28">
        <v>43186</v>
      </c>
      <c r="B3025" s="36">
        <v>83808</v>
      </c>
      <c r="C3025">
        <f t="shared" si="111"/>
        <v>-1.5043249341857856E-2</v>
      </c>
    </row>
    <row r="3026" spans="1:3" x14ac:dyDescent="0.3">
      <c r="A3026" s="28">
        <v>43187</v>
      </c>
      <c r="B3026" s="36">
        <v>83874</v>
      </c>
      <c r="C3026">
        <f t="shared" si="111"/>
        <v>7.875143184421507E-4</v>
      </c>
    </row>
    <row r="3027" spans="1:3" x14ac:dyDescent="0.3">
      <c r="A3027" s="28">
        <v>43188</v>
      </c>
      <c r="B3027" s="36">
        <v>85366</v>
      </c>
      <c r="C3027">
        <f t="shared" si="111"/>
        <v>1.778858764336988E-2</v>
      </c>
    </row>
    <row r="3028" spans="1:3" x14ac:dyDescent="0.3">
      <c r="A3028" s="28">
        <v>43192</v>
      </c>
      <c r="B3028" s="36">
        <v>84666</v>
      </c>
      <c r="C3028">
        <f t="shared" si="111"/>
        <v>-8.1999859428812938E-3</v>
      </c>
    </row>
    <row r="3029" spans="1:3" x14ac:dyDescent="0.3">
      <c r="A3029" s="28">
        <v>43193</v>
      </c>
      <c r="B3029" s="36">
        <v>84623</v>
      </c>
      <c r="C3029">
        <f t="shared" si="111"/>
        <v>-5.0787801478746619E-4</v>
      </c>
    </row>
    <row r="3030" spans="1:3" x14ac:dyDescent="0.3">
      <c r="A3030" s="28">
        <v>43194</v>
      </c>
      <c r="B3030" s="36">
        <v>84360</v>
      </c>
      <c r="C3030">
        <f t="shared" si="111"/>
        <v>-3.1079021069921886E-3</v>
      </c>
    </row>
    <row r="3031" spans="1:3" x14ac:dyDescent="0.3">
      <c r="A3031" s="28">
        <v>43195</v>
      </c>
      <c r="B3031" s="36">
        <v>85210</v>
      </c>
      <c r="C3031">
        <f t="shared" si="111"/>
        <v>1.007586533902316E-2</v>
      </c>
    </row>
    <row r="3032" spans="1:3" x14ac:dyDescent="0.3">
      <c r="A3032" s="28">
        <v>43196</v>
      </c>
      <c r="B3032" s="36">
        <v>84820</v>
      </c>
      <c r="C3032">
        <f t="shared" si="111"/>
        <v>-4.5769275906584195E-3</v>
      </c>
    </row>
    <row r="3033" spans="1:3" x14ac:dyDescent="0.3">
      <c r="A3033" s="28">
        <v>43199</v>
      </c>
      <c r="B3033" s="36">
        <v>83307</v>
      </c>
      <c r="C3033">
        <f t="shared" si="111"/>
        <v>-1.7837774109879745E-2</v>
      </c>
    </row>
    <row r="3034" spans="1:3" x14ac:dyDescent="0.3">
      <c r="A3034" s="28">
        <v>43200</v>
      </c>
      <c r="B3034" s="36">
        <v>84510</v>
      </c>
      <c r="C3034">
        <f t="shared" si="111"/>
        <v>1.4440563217976932E-2</v>
      </c>
    </row>
    <row r="3035" spans="1:3" x14ac:dyDescent="0.3">
      <c r="A3035" s="28">
        <v>43201</v>
      </c>
      <c r="B3035" s="36">
        <v>85246</v>
      </c>
      <c r="C3035">
        <f t="shared" si="111"/>
        <v>8.7090285173352378E-3</v>
      </c>
    </row>
    <row r="3036" spans="1:3" x14ac:dyDescent="0.3">
      <c r="A3036" s="28">
        <v>43202</v>
      </c>
      <c r="B3036" s="36">
        <v>85444</v>
      </c>
      <c r="C3036">
        <f t="shared" si="111"/>
        <v>2.3226896276657971E-3</v>
      </c>
    </row>
    <row r="3037" spans="1:3" x14ac:dyDescent="0.3">
      <c r="A3037" s="28">
        <v>43203</v>
      </c>
      <c r="B3037" s="36">
        <v>84334</v>
      </c>
      <c r="C3037">
        <f t="shared" si="111"/>
        <v>-1.2990964842469976E-2</v>
      </c>
    </row>
    <row r="3038" spans="1:3" x14ac:dyDescent="0.3">
      <c r="A3038" s="28">
        <v>43206</v>
      </c>
      <c r="B3038" s="36">
        <v>82862</v>
      </c>
      <c r="C3038">
        <f t="shared" si="111"/>
        <v>-1.7454407475039679E-2</v>
      </c>
    </row>
    <row r="3039" spans="1:3" x14ac:dyDescent="0.3">
      <c r="A3039" s="28">
        <v>43207</v>
      </c>
      <c r="B3039" s="36">
        <v>84086</v>
      </c>
      <c r="C3039">
        <f t="shared" si="111"/>
        <v>1.4771547874779856E-2</v>
      </c>
    </row>
    <row r="3040" spans="1:3" x14ac:dyDescent="0.3">
      <c r="A3040" s="28">
        <v>43208</v>
      </c>
      <c r="B3040" s="36">
        <v>85776</v>
      </c>
      <c r="C3040">
        <f t="shared" si="111"/>
        <v>2.0098470613419517E-2</v>
      </c>
    </row>
    <row r="3041" spans="1:3" x14ac:dyDescent="0.3">
      <c r="A3041" s="28">
        <v>43209</v>
      </c>
      <c r="B3041" s="36">
        <v>85824</v>
      </c>
      <c r="C3041">
        <f t="shared" si="111"/>
        <v>5.5959709009512082E-4</v>
      </c>
    </row>
    <row r="3042" spans="1:3" x14ac:dyDescent="0.3">
      <c r="A3042" s="28">
        <v>43210</v>
      </c>
      <c r="B3042" s="36">
        <v>85550</v>
      </c>
      <c r="C3042">
        <f t="shared" si="111"/>
        <v>-3.1925801640566576E-3</v>
      </c>
    </row>
    <row r="3043" spans="1:3" x14ac:dyDescent="0.3">
      <c r="A3043" s="28">
        <v>43213</v>
      </c>
      <c r="B3043" s="36">
        <v>85602</v>
      </c>
      <c r="C3043">
        <f t="shared" si="111"/>
        <v>6.0783167738165389E-4</v>
      </c>
    </row>
    <row r="3044" spans="1:3" x14ac:dyDescent="0.3">
      <c r="A3044" s="28">
        <v>43214</v>
      </c>
      <c r="B3044" s="36">
        <v>85469</v>
      </c>
      <c r="C3044">
        <f t="shared" si="111"/>
        <v>-1.5537020163080006E-3</v>
      </c>
    </row>
    <row r="3045" spans="1:3" x14ac:dyDescent="0.3">
      <c r="A3045" s="28">
        <v>43215</v>
      </c>
      <c r="B3045" s="36">
        <v>85044</v>
      </c>
      <c r="C3045">
        <f t="shared" si="111"/>
        <v>-4.9725631515520341E-3</v>
      </c>
    </row>
    <row r="3046" spans="1:3" x14ac:dyDescent="0.3">
      <c r="A3046" s="28">
        <v>43216</v>
      </c>
      <c r="B3046" s="36">
        <v>86383</v>
      </c>
      <c r="C3046">
        <f t="shared" si="111"/>
        <v>1.5744790931752961E-2</v>
      </c>
    </row>
    <row r="3047" spans="1:3" x14ac:dyDescent="0.3">
      <c r="A3047" s="28">
        <v>43217</v>
      </c>
      <c r="B3047" s="36">
        <v>86445</v>
      </c>
      <c r="C3047">
        <f t="shared" si="111"/>
        <v>7.1773381336615039E-4</v>
      </c>
    </row>
    <row r="3048" spans="1:3" x14ac:dyDescent="0.3">
      <c r="A3048" s="28">
        <v>43220</v>
      </c>
      <c r="B3048" s="36">
        <v>86115</v>
      </c>
      <c r="C3048">
        <f t="shared" si="111"/>
        <v>-3.8174561860142564E-3</v>
      </c>
    </row>
    <row r="3049" spans="1:3" x14ac:dyDescent="0.3">
      <c r="A3049" s="28">
        <v>43222</v>
      </c>
      <c r="B3049" s="36">
        <v>84547</v>
      </c>
      <c r="C3049">
        <f t="shared" si="111"/>
        <v>-1.8208209951808607E-2</v>
      </c>
    </row>
    <row r="3050" spans="1:3" x14ac:dyDescent="0.3">
      <c r="A3050" s="28">
        <v>43223</v>
      </c>
      <c r="B3050" s="36">
        <v>83288</v>
      </c>
      <c r="C3050">
        <f t="shared" si="111"/>
        <v>-1.4891125646090297E-2</v>
      </c>
    </row>
    <row r="3051" spans="1:3" x14ac:dyDescent="0.3">
      <c r="A3051" s="28">
        <v>43224</v>
      </c>
      <c r="B3051" s="36">
        <v>83118</v>
      </c>
      <c r="C3051">
        <f t="shared" si="111"/>
        <v>-2.0411103640380901E-3</v>
      </c>
    </row>
    <row r="3052" spans="1:3" x14ac:dyDescent="0.3">
      <c r="A3052" s="28">
        <v>43227</v>
      </c>
      <c r="B3052" s="36">
        <v>82714</v>
      </c>
      <c r="C3052">
        <f t="shared" si="111"/>
        <v>-4.8605596862292266E-3</v>
      </c>
    </row>
    <row r="3053" spans="1:3" x14ac:dyDescent="0.3">
      <c r="A3053" s="28">
        <v>43228</v>
      </c>
      <c r="B3053" s="36">
        <v>82956</v>
      </c>
      <c r="C3053">
        <f t="shared" si="111"/>
        <v>2.9257441303769394E-3</v>
      </c>
    </row>
    <row r="3054" spans="1:3" x14ac:dyDescent="0.3">
      <c r="A3054" s="28">
        <v>43229</v>
      </c>
      <c r="B3054" s="36">
        <v>84265</v>
      </c>
      <c r="C3054">
        <f t="shared" si="111"/>
        <v>1.5779449346641661E-2</v>
      </c>
    </row>
    <row r="3055" spans="1:3" x14ac:dyDescent="0.3">
      <c r="A3055" s="28">
        <v>43230</v>
      </c>
      <c r="B3055" s="36">
        <v>85861</v>
      </c>
      <c r="C3055">
        <f t="shared" si="111"/>
        <v>1.8940248027057516E-2</v>
      </c>
    </row>
    <row r="3056" spans="1:3" x14ac:dyDescent="0.3">
      <c r="A3056" s="28">
        <v>43231</v>
      </c>
      <c r="B3056" s="36">
        <v>85220</v>
      </c>
      <c r="C3056">
        <f t="shared" si="111"/>
        <v>-7.4655547920475795E-3</v>
      </c>
    </row>
    <row r="3057" spans="1:3" x14ac:dyDescent="0.3">
      <c r="A3057" s="28">
        <v>43234</v>
      </c>
      <c r="B3057" s="36">
        <v>85232</v>
      </c>
      <c r="C3057">
        <f t="shared" si="111"/>
        <v>1.408120159587245E-4</v>
      </c>
    </row>
    <row r="3058" spans="1:3" x14ac:dyDescent="0.3">
      <c r="A3058" s="28">
        <v>43235</v>
      </c>
      <c r="B3058" s="36">
        <v>85130</v>
      </c>
      <c r="C3058">
        <f t="shared" si="111"/>
        <v>-1.1967336211751167E-3</v>
      </c>
    </row>
    <row r="3059" spans="1:3" x14ac:dyDescent="0.3">
      <c r="A3059" s="28">
        <v>43236</v>
      </c>
      <c r="B3059" s="36">
        <v>86537</v>
      </c>
      <c r="C3059">
        <f t="shared" si="111"/>
        <v>1.6527663573358442E-2</v>
      </c>
    </row>
    <row r="3060" spans="1:3" x14ac:dyDescent="0.3">
      <c r="A3060" s="28">
        <v>43237</v>
      </c>
      <c r="B3060" s="36">
        <v>83622</v>
      </c>
      <c r="C3060">
        <f t="shared" si="111"/>
        <v>-3.3685013346892112E-2</v>
      </c>
    </row>
    <row r="3061" spans="1:3" x14ac:dyDescent="0.3">
      <c r="A3061" s="28">
        <v>43238</v>
      </c>
      <c r="B3061" s="36">
        <v>83082</v>
      </c>
      <c r="C3061">
        <f t="shared" si="111"/>
        <v>-6.4576307670229927E-3</v>
      </c>
    </row>
    <row r="3062" spans="1:3" x14ac:dyDescent="0.3">
      <c r="A3062" s="28">
        <v>43241</v>
      </c>
      <c r="B3062" s="36">
        <v>81815</v>
      </c>
      <c r="C3062">
        <f t="shared" si="111"/>
        <v>-1.524999398184923E-2</v>
      </c>
    </row>
    <row r="3063" spans="1:3" x14ac:dyDescent="0.3">
      <c r="A3063" s="28">
        <v>43242</v>
      </c>
      <c r="B3063" s="36">
        <v>82739</v>
      </c>
      <c r="C3063">
        <f t="shared" si="111"/>
        <v>1.1293772535598601E-2</v>
      </c>
    </row>
    <row r="3064" spans="1:3" x14ac:dyDescent="0.3">
      <c r="A3064" s="28">
        <v>43243</v>
      </c>
      <c r="B3064" s="36">
        <v>80867</v>
      </c>
      <c r="C3064">
        <f t="shared" si="111"/>
        <v>-2.2625364096737988E-2</v>
      </c>
    </row>
    <row r="3065" spans="1:3" x14ac:dyDescent="0.3">
      <c r="A3065" s="28">
        <v>43244</v>
      </c>
      <c r="B3065" s="36">
        <v>80122</v>
      </c>
      <c r="C3065">
        <f t="shared" si="111"/>
        <v>-9.2126578208663323E-3</v>
      </c>
    </row>
    <row r="3066" spans="1:3" x14ac:dyDescent="0.3">
      <c r="A3066" s="28">
        <v>43245</v>
      </c>
      <c r="B3066" s="36">
        <v>78898</v>
      </c>
      <c r="C3066">
        <f t="shared" si="111"/>
        <v>-1.5276703027882532E-2</v>
      </c>
    </row>
    <row r="3067" spans="1:3" x14ac:dyDescent="0.3">
      <c r="A3067" s="28">
        <v>43248</v>
      </c>
      <c r="B3067" s="36">
        <v>75356</v>
      </c>
      <c r="C3067">
        <f t="shared" si="111"/>
        <v>-4.4893406676975389E-2</v>
      </c>
    </row>
    <row r="3068" spans="1:3" x14ac:dyDescent="0.3">
      <c r="A3068" s="28">
        <v>43249</v>
      </c>
      <c r="B3068" s="36">
        <v>76072</v>
      </c>
      <c r="C3068">
        <f t="shared" si="111"/>
        <v>9.5015659005255326E-3</v>
      </c>
    </row>
    <row r="3069" spans="1:3" x14ac:dyDescent="0.3">
      <c r="A3069" s="28">
        <v>43250</v>
      </c>
      <c r="B3069" s="36">
        <v>76754</v>
      </c>
      <c r="C3069">
        <f t="shared" si="111"/>
        <v>8.9651908718055839E-3</v>
      </c>
    </row>
    <row r="3070" spans="1:3" x14ac:dyDescent="0.3">
      <c r="A3070" s="28">
        <v>43252</v>
      </c>
      <c r="B3070" s="36">
        <v>77240</v>
      </c>
      <c r="C3070">
        <f t="shared" si="111"/>
        <v>6.331917554785349E-3</v>
      </c>
    </row>
    <row r="3071" spans="1:3" x14ac:dyDescent="0.3">
      <c r="A3071" s="28">
        <v>43255</v>
      </c>
      <c r="B3071" s="36">
        <v>78596</v>
      </c>
      <c r="C3071">
        <f t="shared" si="111"/>
        <v>1.7555670636975718E-2</v>
      </c>
    </row>
    <row r="3072" spans="1:3" x14ac:dyDescent="0.3">
      <c r="A3072" s="28">
        <v>43256</v>
      </c>
      <c r="B3072" s="36">
        <v>76642</v>
      </c>
      <c r="C3072">
        <f t="shared" si="111"/>
        <v>-2.4861316097511299E-2</v>
      </c>
    </row>
    <row r="3073" spans="1:3" x14ac:dyDescent="0.3">
      <c r="A3073" s="28">
        <v>43257</v>
      </c>
      <c r="B3073" s="36">
        <v>76117</v>
      </c>
      <c r="C3073">
        <f t="shared" si="111"/>
        <v>-6.850030009655228E-3</v>
      </c>
    </row>
    <row r="3074" spans="1:3" x14ac:dyDescent="0.3">
      <c r="A3074" s="28">
        <v>43258</v>
      </c>
      <c r="B3074" s="36">
        <v>73851</v>
      </c>
      <c r="C3074">
        <f t="shared" si="111"/>
        <v>-2.976995940460081E-2</v>
      </c>
    </row>
    <row r="3075" spans="1:3" x14ac:dyDescent="0.3">
      <c r="A3075" s="28">
        <v>43259</v>
      </c>
      <c r="B3075" s="36">
        <v>72942</v>
      </c>
      <c r="C3075">
        <f t="shared" si="111"/>
        <v>-1.2308567250274183E-2</v>
      </c>
    </row>
    <row r="3076" spans="1:3" x14ac:dyDescent="0.3">
      <c r="A3076" s="28">
        <v>43262</v>
      </c>
      <c r="B3076" s="36">
        <v>72308</v>
      </c>
      <c r="C3076">
        <f t="shared" ref="C3076:C3139" si="112">B3076/B3075-1</f>
        <v>-8.6918373502234969E-3</v>
      </c>
    </row>
    <row r="3077" spans="1:3" x14ac:dyDescent="0.3">
      <c r="A3077" s="28">
        <v>43263</v>
      </c>
      <c r="B3077" s="36">
        <v>72754</v>
      </c>
      <c r="C3077">
        <f t="shared" si="112"/>
        <v>6.1680588593240326E-3</v>
      </c>
    </row>
    <row r="3078" spans="1:3" x14ac:dyDescent="0.3">
      <c r="A3078" s="28">
        <v>43264</v>
      </c>
      <c r="B3078" s="36">
        <v>72122</v>
      </c>
      <c r="C3078">
        <f t="shared" si="112"/>
        <v>-8.6868075982076132E-3</v>
      </c>
    </row>
    <row r="3079" spans="1:3" x14ac:dyDescent="0.3">
      <c r="A3079" s="28">
        <v>43265</v>
      </c>
      <c r="B3079" s="36">
        <v>71421</v>
      </c>
      <c r="C3079">
        <f t="shared" si="112"/>
        <v>-9.719641718199723E-3</v>
      </c>
    </row>
    <row r="3080" spans="1:3" x14ac:dyDescent="0.3">
      <c r="A3080" s="28">
        <v>43266</v>
      </c>
      <c r="B3080" s="36">
        <v>70758</v>
      </c>
      <c r="C3080">
        <f t="shared" si="112"/>
        <v>-9.2829839963035621E-3</v>
      </c>
    </row>
    <row r="3081" spans="1:3" x14ac:dyDescent="0.3">
      <c r="A3081" s="28">
        <v>43269</v>
      </c>
      <c r="B3081" s="36">
        <v>69815</v>
      </c>
      <c r="C3081">
        <f t="shared" si="112"/>
        <v>-1.3327114955199448E-2</v>
      </c>
    </row>
    <row r="3082" spans="1:3" x14ac:dyDescent="0.3">
      <c r="A3082" s="28">
        <v>43270</v>
      </c>
      <c r="B3082" s="36">
        <v>71394</v>
      </c>
      <c r="C3082">
        <f t="shared" si="112"/>
        <v>2.2616916135500986E-2</v>
      </c>
    </row>
    <row r="3083" spans="1:3" x14ac:dyDescent="0.3">
      <c r="A3083" s="28">
        <v>43271</v>
      </c>
      <c r="B3083" s="36">
        <v>72123</v>
      </c>
      <c r="C3083">
        <f t="shared" si="112"/>
        <v>1.0210942095974396E-2</v>
      </c>
    </row>
    <row r="3084" spans="1:3" x14ac:dyDescent="0.3">
      <c r="A3084" s="28">
        <v>43272</v>
      </c>
      <c r="B3084" s="36">
        <v>70075</v>
      </c>
      <c r="C3084">
        <f t="shared" si="112"/>
        <v>-2.8395934722626581E-2</v>
      </c>
    </row>
    <row r="3085" spans="1:3" x14ac:dyDescent="0.3">
      <c r="A3085" s="28">
        <v>43273</v>
      </c>
      <c r="B3085" s="36">
        <v>70641</v>
      </c>
      <c r="C3085">
        <f t="shared" si="112"/>
        <v>8.0770602925437363E-3</v>
      </c>
    </row>
    <row r="3086" spans="1:3" x14ac:dyDescent="0.3">
      <c r="A3086" s="28">
        <v>43276</v>
      </c>
      <c r="B3086" s="36">
        <v>70953</v>
      </c>
      <c r="C3086">
        <f t="shared" si="112"/>
        <v>4.4166985178579754E-3</v>
      </c>
    </row>
    <row r="3087" spans="1:3" x14ac:dyDescent="0.3">
      <c r="A3087" s="28">
        <v>43277</v>
      </c>
      <c r="B3087" s="36">
        <v>71405</v>
      </c>
      <c r="C3087">
        <f t="shared" si="112"/>
        <v>6.3704142178624412E-3</v>
      </c>
    </row>
    <row r="3088" spans="1:3" x14ac:dyDescent="0.3">
      <c r="A3088" s="28">
        <v>43278</v>
      </c>
      <c r="B3088" s="36">
        <v>70609</v>
      </c>
      <c r="C3088">
        <f t="shared" si="112"/>
        <v>-1.1147678733982258E-2</v>
      </c>
    </row>
    <row r="3089" spans="1:3" x14ac:dyDescent="0.3">
      <c r="A3089" s="28">
        <v>43279</v>
      </c>
      <c r="B3089" s="36">
        <v>71767</v>
      </c>
      <c r="C3089">
        <f t="shared" si="112"/>
        <v>1.6400175615006507E-2</v>
      </c>
    </row>
    <row r="3090" spans="1:3" x14ac:dyDescent="0.3">
      <c r="A3090" s="28">
        <v>43280</v>
      </c>
      <c r="B3090" s="36">
        <v>72763</v>
      </c>
      <c r="C3090">
        <f t="shared" si="112"/>
        <v>1.38782448757786E-2</v>
      </c>
    </row>
    <row r="3091" spans="1:3" x14ac:dyDescent="0.3">
      <c r="A3091" s="28">
        <v>43283</v>
      </c>
      <c r="B3091" s="36">
        <v>72840</v>
      </c>
      <c r="C3091">
        <f t="shared" si="112"/>
        <v>1.0582301444415076E-3</v>
      </c>
    </row>
    <row r="3092" spans="1:3" x14ac:dyDescent="0.3">
      <c r="A3092" s="28">
        <v>43284</v>
      </c>
      <c r="B3092" s="36">
        <v>73668</v>
      </c>
      <c r="C3092">
        <f t="shared" si="112"/>
        <v>1.1367380560131757E-2</v>
      </c>
    </row>
    <row r="3093" spans="1:3" x14ac:dyDescent="0.3">
      <c r="A3093" s="28">
        <v>43285</v>
      </c>
      <c r="B3093" s="36">
        <v>74743</v>
      </c>
      <c r="C3093">
        <f t="shared" si="112"/>
        <v>1.4592496063419613E-2</v>
      </c>
    </row>
    <row r="3094" spans="1:3" x14ac:dyDescent="0.3">
      <c r="A3094" s="28">
        <v>43286</v>
      </c>
      <c r="B3094" s="36">
        <v>74553</v>
      </c>
      <c r="C3094">
        <f t="shared" si="112"/>
        <v>-2.5420440710166581E-3</v>
      </c>
    </row>
    <row r="3095" spans="1:3" x14ac:dyDescent="0.3">
      <c r="A3095" s="28">
        <v>43287</v>
      </c>
      <c r="B3095" s="36">
        <v>75010</v>
      </c>
      <c r="C3095">
        <f t="shared" si="112"/>
        <v>6.1298673426957162E-3</v>
      </c>
    </row>
    <row r="3096" spans="1:3" x14ac:dyDescent="0.3">
      <c r="A3096" s="28">
        <v>43291</v>
      </c>
      <c r="B3096" s="36">
        <v>74862</v>
      </c>
      <c r="C3096">
        <f t="shared" si="112"/>
        <v>-1.9730702572989811E-3</v>
      </c>
    </row>
    <row r="3097" spans="1:3" x14ac:dyDescent="0.3">
      <c r="A3097" s="28">
        <v>43292</v>
      </c>
      <c r="B3097" s="36">
        <v>74399</v>
      </c>
      <c r="C3097">
        <f t="shared" si="112"/>
        <v>-6.1847132056317422E-3</v>
      </c>
    </row>
    <row r="3098" spans="1:3" x14ac:dyDescent="0.3">
      <c r="A3098" s="28">
        <v>43293</v>
      </c>
      <c r="B3098" s="36">
        <v>75856</v>
      </c>
      <c r="C3098">
        <f t="shared" si="112"/>
        <v>1.958359655371722E-2</v>
      </c>
    </row>
    <row r="3099" spans="1:3" x14ac:dyDescent="0.3">
      <c r="A3099" s="28">
        <v>43294</v>
      </c>
      <c r="B3099" s="36">
        <v>76594</v>
      </c>
      <c r="C3099">
        <f t="shared" si="112"/>
        <v>9.7289601349925814E-3</v>
      </c>
    </row>
    <row r="3100" spans="1:3" x14ac:dyDescent="0.3">
      <c r="A3100" s="28">
        <v>43297</v>
      </c>
      <c r="B3100" s="36">
        <v>76653</v>
      </c>
      <c r="C3100">
        <f t="shared" si="112"/>
        <v>7.7029532339345508E-4</v>
      </c>
    </row>
    <row r="3101" spans="1:3" x14ac:dyDescent="0.3">
      <c r="A3101" s="28">
        <v>43298</v>
      </c>
      <c r="B3101" s="36">
        <v>78130</v>
      </c>
      <c r="C3101">
        <f t="shared" si="112"/>
        <v>1.9268652238007666E-2</v>
      </c>
    </row>
    <row r="3102" spans="1:3" x14ac:dyDescent="0.3">
      <c r="A3102" s="28">
        <v>43299</v>
      </c>
      <c r="B3102" s="36">
        <v>77363</v>
      </c>
      <c r="C3102">
        <f t="shared" si="112"/>
        <v>-9.8169717138103518E-3</v>
      </c>
    </row>
    <row r="3103" spans="1:3" x14ac:dyDescent="0.3">
      <c r="A3103" s="28">
        <v>43300</v>
      </c>
      <c r="B3103" s="36">
        <v>77487</v>
      </c>
      <c r="C3103">
        <f t="shared" si="112"/>
        <v>1.6028333958093555E-3</v>
      </c>
    </row>
    <row r="3104" spans="1:3" x14ac:dyDescent="0.3">
      <c r="A3104" s="28">
        <v>43301</v>
      </c>
      <c r="B3104" s="36">
        <v>78571</v>
      </c>
      <c r="C3104">
        <f t="shared" si="112"/>
        <v>1.3989443390504119E-2</v>
      </c>
    </row>
    <row r="3105" spans="1:3" x14ac:dyDescent="0.3">
      <c r="A3105" s="28">
        <v>43304</v>
      </c>
      <c r="B3105" s="36">
        <v>77996</v>
      </c>
      <c r="C3105">
        <f t="shared" si="112"/>
        <v>-7.3182217357549151E-3</v>
      </c>
    </row>
    <row r="3106" spans="1:3" x14ac:dyDescent="0.3">
      <c r="A3106" s="28">
        <v>43305</v>
      </c>
      <c r="B3106" s="36">
        <v>79155</v>
      </c>
      <c r="C3106">
        <f t="shared" si="112"/>
        <v>1.485973639673821E-2</v>
      </c>
    </row>
    <row r="3107" spans="1:3" x14ac:dyDescent="0.3">
      <c r="A3107" s="28">
        <v>43306</v>
      </c>
      <c r="B3107" s="36">
        <v>80218</v>
      </c>
      <c r="C3107">
        <f t="shared" si="112"/>
        <v>1.3429347482786902E-2</v>
      </c>
    </row>
    <row r="3108" spans="1:3" x14ac:dyDescent="0.3">
      <c r="A3108" s="28">
        <v>43307</v>
      </c>
      <c r="B3108" s="36">
        <v>79405</v>
      </c>
      <c r="C3108">
        <f t="shared" si="112"/>
        <v>-1.0134882445336446E-2</v>
      </c>
    </row>
    <row r="3109" spans="1:3" x14ac:dyDescent="0.3">
      <c r="A3109" s="28">
        <v>43308</v>
      </c>
      <c r="B3109" s="36">
        <v>79866</v>
      </c>
      <c r="C3109">
        <f t="shared" si="112"/>
        <v>5.8056797430892093E-3</v>
      </c>
    </row>
    <row r="3110" spans="1:3" x14ac:dyDescent="0.3">
      <c r="A3110" s="28">
        <v>43311</v>
      </c>
      <c r="B3110" s="36">
        <v>80276</v>
      </c>
      <c r="C3110">
        <f t="shared" si="112"/>
        <v>5.1335987779530523E-3</v>
      </c>
    </row>
    <row r="3111" spans="1:3" x14ac:dyDescent="0.3">
      <c r="A3111" s="28">
        <v>43312</v>
      </c>
      <c r="B3111" s="36">
        <v>79220</v>
      </c>
      <c r="C3111">
        <f t="shared" si="112"/>
        <v>-1.3154616572823796E-2</v>
      </c>
    </row>
    <row r="3112" spans="1:3" x14ac:dyDescent="0.3">
      <c r="A3112" s="28">
        <v>43313</v>
      </c>
      <c r="B3112" s="36">
        <v>79302</v>
      </c>
      <c r="C3112">
        <f t="shared" si="112"/>
        <v>1.0350921484474362E-3</v>
      </c>
    </row>
    <row r="3113" spans="1:3" x14ac:dyDescent="0.3">
      <c r="A3113" s="28">
        <v>43314</v>
      </c>
      <c r="B3113" s="36">
        <v>79637</v>
      </c>
      <c r="C3113">
        <f t="shared" si="112"/>
        <v>4.2243575193563476E-3</v>
      </c>
    </row>
    <row r="3114" spans="1:3" x14ac:dyDescent="0.3">
      <c r="A3114" s="28">
        <v>43315</v>
      </c>
      <c r="B3114" s="36">
        <v>81435</v>
      </c>
      <c r="C3114">
        <f t="shared" si="112"/>
        <v>2.2577445157401677E-2</v>
      </c>
    </row>
    <row r="3115" spans="1:3" x14ac:dyDescent="0.3">
      <c r="A3115" s="28">
        <v>43318</v>
      </c>
      <c r="B3115" s="36">
        <v>81051</v>
      </c>
      <c r="C3115">
        <f t="shared" si="112"/>
        <v>-4.7154172039050035E-3</v>
      </c>
    </row>
    <row r="3116" spans="1:3" x14ac:dyDescent="0.3">
      <c r="A3116" s="28">
        <v>43319</v>
      </c>
      <c r="B3116" s="36">
        <v>80347</v>
      </c>
      <c r="C3116">
        <f t="shared" si="112"/>
        <v>-8.6858891315344522E-3</v>
      </c>
    </row>
    <row r="3117" spans="1:3" x14ac:dyDescent="0.3">
      <c r="A3117" s="28">
        <v>43320</v>
      </c>
      <c r="B3117" s="36">
        <v>79152</v>
      </c>
      <c r="C3117">
        <f t="shared" si="112"/>
        <v>-1.4872988412759636E-2</v>
      </c>
    </row>
    <row r="3118" spans="1:3" x14ac:dyDescent="0.3">
      <c r="A3118" s="28">
        <v>43321</v>
      </c>
      <c r="B3118" s="36">
        <v>78768</v>
      </c>
      <c r="C3118">
        <f t="shared" si="112"/>
        <v>-4.851425106124907E-3</v>
      </c>
    </row>
    <row r="3119" spans="1:3" x14ac:dyDescent="0.3">
      <c r="A3119" s="28">
        <v>43322</v>
      </c>
      <c r="B3119" s="36">
        <v>76514</v>
      </c>
      <c r="C3119">
        <f t="shared" si="112"/>
        <v>-2.861568149502336E-2</v>
      </c>
    </row>
    <row r="3120" spans="1:3" x14ac:dyDescent="0.3">
      <c r="A3120" s="28">
        <v>43325</v>
      </c>
      <c r="B3120" s="36">
        <v>77496</v>
      </c>
      <c r="C3120">
        <f t="shared" si="112"/>
        <v>1.2834252555087966E-2</v>
      </c>
    </row>
    <row r="3121" spans="1:3" x14ac:dyDescent="0.3">
      <c r="A3121" s="28">
        <v>43326</v>
      </c>
      <c r="B3121" s="36">
        <v>78602</v>
      </c>
      <c r="C3121">
        <f t="shared" si="112"/>
        <v>1.4271704346030756E-2</v>
      </c>
    </row>
    <row r="3122" spans="1:3" x14ac:dyDescent="0.3">
      <c r="A3122" s="28">
        <v>43327</v>
      </c>
      <c r="B3122" s="36">
        <v>77078</v>
      </c>
      <c r="C3122">
        <f t="shared" si="112"/>
        <v>-1.9388819622910392E-2</v>
      </c>
    </row>
    <row r="3123" spans="1:3" x14ac:dyDescent="0.3">
      <c r="A3123" s="28">
        <v>43328</v>
      </c>
      <c r="B3123" s="36">
        <v>76819</v>
      </c>
      <c r="C3123">
        <f t="shared" si="112"/>
        <v>-3.3602324917615389E-3</v>
      </c>
    </row>
    <row r="3124" spans="1:3" x14ac:dyDescent="0.3">
      <c r="A3124" s="28">
        <v>43329</v>
      </c>
      <c r="B3124" s="36">
        <v>76029</v>
      </c>
      <c r="C3124">
        <f t="shared" si="112"/>
        <v>-1.0283914135825745E-2</v>
      </c>
    </row>
    <row r="3125" spans="1:3" x14ac:dyDescent="0.3">
      <c r="A3125" s="28">
        <v>43332</v>
      </c>
      <c r="B3125" s="36">
        <v>76328</v>
      </c>
      <c r="C3125">
        <f t="shared" si="112"/>
        <v>3.932709887016772E-3</v>
      </c>
    </row>
    <row r="3126" spans="1:3" x14ac:dyDescent="0.3">
      <c r="A3126" s="28">
        <v>43333</v>
      </c>
      <c r="B3126" s="36">
        <v>75180</v>
      </c>
      <c r="C3126">
        <f t="shared" si="112"/>
        <v>-1.5040352164343407E-2</v>
      </c>
    </row>
    <row r="3127" spans="1:3" x14ac:dyDescent="0.3">
      <c r="A3127" s="28">
        <v>43334</v>
      </c>
      <c r="B3127" s="36">
        <v>76902</v>
      </c>
      <c r="C3127">
        <f t="shared" si="112"/>
        <v>2.2905027932960786E-2</v>
      </c>
    </row>
    <row r="3128" spans="1:3" x14ac:dyDescent="0.3">
      <c r="A3128" s="28">
        <v>43335</v>
      </c>
      <c r="B3128" s="36">
        <v>75634</v>
      </c>
      <c r="C3128">
        <f t="shared" si="112"/>
        <v>-1.6488517853891937E-2</v>
      </c>
    </row>
    <row r="3129" spans="1:3" x14ac:dyDescent="0.3">
      <c r="A3129" s="28">
        <v>43336</v>
      </c>
      <c r="B3129" s="36">
        <v>76262</v>
      </c>
      <c r="C3129">
        <f t="shared" si="112"/>
        <v>8.3031440886374153E-3</v>
      </c>
    </row>
    <row r="3130" spans="1:3" x14ac:dyDescent="0.3">
      <c r="A3130" s="28">
        <v>43339</v>
      </c>
      <c r="B3130" s="36">
        <v>77930</v>
      </c>
      <c r="C3130">
        <f t="shared" si="112"/>
        <v>2.1871967690330729E-2</v>
      </c>
    </row>
    <row r="3131" spans="1:3" x14ac:dyDescent="0.3">
      <c r="A3131" s="28">
        <v>43340</v>
      </c>
      <c r="B3131" s="36">
        <v>77473</v>
      </c>
      <c r="C3131">
        <f t="shared" si="112"/>
        <v>-5.8642371358912371E-3</v>
      </c>
    </row>
    <row r="3132" spans="1:3" x14ac:dyDescent="0.3">
      <c r="A3132" s="28">
        <v>43341</v>
      </c>
      <c r="B3132" s="36">
        <v>78389</v>
      </c>
      <c r="C3132">
        <f t="shared" si="112"/>
        <v>1.1823473984484911E-2</v>
      </c>
    </row>
    <row r="3133" spans="1:3" x14ac:dyDescent="0.3">
      <c r="A3133" s="28">
        <v>43342</v>
      </c>
      <c r="B3133" s="36">
        <v>76404</v>
      </c>
      <c r="C3133">
        <f t="shared" si="112"/>
        <v>-2.5322430443046828E-2</v>
      </c>
    </row>
    <row r="3134" spans="1:3" x14ac:dyDescent="0.3">
      <c r="A3134" s="28">
        <v>43343</v>
      </c>
      <c r="B3134" s="36">
        <v>76678</v>
      </c>
      <c r="C3134">
        <f t="shared" si="112"/>
        <v>3.5861996754096293E-3</v>
      </c>
    </row>
    <row r="3135" spans="1:3" x14ac:dyDescent="0.3">
      <c r="A3135" s="28">
        <v>43346</v>
      </c>
      <c r="B3135" s="36">
        <v>76193</v>
      </c>
      <c r="C3135">
        <f t="shared" si="112"/>
        <v>-6.3251519340619122E-3</v>
      </c>
    </row>
    <row r="3136" spans="1:3" x14ac:dyDescent="0.3">
      <c r="A3136" s="28">
        <v>43347</v>
      </c>
      <c r="B3136" s="36">
        <v>74712</v>
      </c>
      <c r="C3136">
        <f t="shared" si="112"/>
        <v>-1.9437481133437462E-2</v>
      </c>
    </row>
    <row r="3137" spans="1:3" x14ac:dyDescent="0.3">
      <c r="A3137" s="28">
        <v>43348</v>
      </c>
      <c r="B3137" s="36">
        <v>75092</v>
      </c>
      <c r="C3137">
        <f t="shared" si="112"/>
        <v>5.0861976657030628E-3</v>
      </c>
    </row>
    <row r="3138" spans="1:3" x14ac:dyDescent="0.3">
      <c r="A3138" s="28">
        <v>43349</v>
      </c>
      <c r="B3138" s="36">
        <v>76416</v>
      </c>
      <c r="C3138">
        <f t="shared" si="112"/>
        <v>1.7631705108400286E-2</v>
      </c>
    </row>
    <row r="3139" spans="1:3" x14ac:dyDescent="0.3">
      <c r="A3139" s="28">
        <v>43353</v>
      </c>
      <c r="B3139" s="36">
        <v>76436</v>
      </c>
      <c r="C3139">
        <f t="shared" si="112"/>
        <v>2.6172529313228665E-4</v>
      </c>
    </row>
    <row r="3140" spans="1:3" x14ac:dyDescent="0.3">
      <c r="A3140" s="28">
        <v>43354</v>
      </c>
      <c r="B3140" s="36">
        <v>74657</v>
      </c>
      <c r="C3140">
        <f t="shared" ref="C3140:C3203" si="113">B3140/B3139-1</f>
        <v>-2.3274373331937825E-2</v>
      </c>
    </row>
    <row r="3141" spans="1:3" x14ac:dyDescent="0.3">
      <c r="A3141" s="28">
        <v>43355</v>
      </c>
      <c r="B3141" s="36">
        <v>75125</v>
      </c>
      <c r="C3141">
        <f t="shared" si="113"/>
        <v>6.2686687115742767E-3</v>
      </c>
    </row>
    <row r="3142" spans="1:3" x14ac:dyDescent="0.3">
      <c r="A3142" s="28">
        <v>43356</v>
      </c>
      <c r="B3142" s="36">
        <v>74687</v>
      </c>
      <c r="C3142">
        <f t="shared" si="113"/>
        <v>-5.8302828618967961E-3</v>
      </c>
    </row>
    <row r="3143" spans="1:3" x14ac:dyDescent="0.3">
      <c r="A3143" s="28">
        <v>43357</v>
      </c>
      <c r="B3143" s="36">
        <v>75429</v>
      </c>
      <c r="C3143">
        <f t="shared" si="113"/>
        <v>9.9347945425576345E-3</v>
      </c>
    </row>
    <row r="3144" spans="1:3" x14ac:dyDescent="0.3">
      <c r="A3144" s="28">
        <v>43360</v>
      </c>
      <c r="B3144" s="36">
        <v>76789</v>
      </c>
      <c r="C3144">
        <f t="shared" si="113"/>
        <v>1.8030200585981593E-2</v>
      </c>
    </row>
    <row r="3145" spans="1:3" x14ac:dyDescent="0.3">
      <c r="A3145" s="28">
        <v>43361</v>
      </c>
      <c r="B3145" s="36">
        <v>78314</v>
      </c>
      <c r="C3145">
        <f t="shared" si="113"/>
        <v>1.9859615309484324E-2</v>
      </c>
    </row>
    <row r="3146" spans="1:3" x14ac:dyDescent="0.3">
      <c r="A3146" s="28">
        <v>43362</v>
      </c>
      <c r="B3146" s="36">
        <v>78169</v>
      </c>
      <c r="C3146">
        <f t="shared" si="113"/>
        <v>-1.85152080087847E-3</v>
      </c>
    </row>
    <row r="3147" spans="1:3" x14ac:dyDescent="0.3">
      <c r="A3147" s="28">
        <v>43363</v>
      </c>
      <c r="B3147" s="36">
        <v>78116</v>
      </c>
      <c r="C3147">
        <f t="shared" si="113"/>
        <v>-6.7801814018342288E-4</v>
      </c>
    </row>
    <row r="3148" spans="1:3" x14ac:dyDescent="0.3">
      <c r="A3148" s="28">
        <v>43364</v>
      </c>
      <c r="B3148" s="36">
        <v>79444</v>
      </c>
      <c r="C3148">
        <f t="shared" si="113"/>
        <v>1.7000358441292329E-2</v>
      </c>
    </row>
    <row r="3149" spans="1:3" x14ac:dyDescent="0.3">
      <c r="A3149" s="28">
        <v>43367</v>
      </c>
      <c r="B3149" s="36">
        <v>77984</v>
      </c>
      <c r="C3149">
        <f t="shared" si="113"/>
        <v>-1.837772519007097E-2</v>
      </c>
    </row>
    <row r="3150" spans="1:3" x14ac:dyDescent="0.3">
      <c r="A3150" s="28">
        <v>43368</v>
      </c>
      <c r="B3150" s="36">
        <v>78630</v>
      </c>
      <c r="C3150">
        <f t="shared" si="113"/>
        <v>8.283750512925625E-3</v>
      </c>
    </row>
    <row r="3151" spans="1:3" x14ac:dyDescent="0.3">
      <c r="A3151" s="28">
        <v>43369</v>
      </c>
      <c r="B3151" s="36">
        <v>78656</v>
      </c>
      <c r="C3151">
        <f t="shared" si="113"/>
        <v>3.3066259697323019E-4</v>
      </c>
    </row>
    <row r="3152" spans="1:3" x14ac:dyDescent="0.3">
      <c r="A3152" s="28">
        <v>43370</v>
      </c>
      <c r="B3152" s="36">
        <v>80000</v>
      </c>
      <c r="C3152">
        <f t="shared" si="113"/>
        <v>1.708706265256299E-2</v>
      </c>
    </row>
    <row r="3153" spans="1:3" x14ac:dyDescent="0.3">
      <c r="A3153" s="28">
        <v>43371</v>
      </c>
      <c r="B3153" s="36">
        <v>79342</v>
      </c>
      <c r="C3153">
        <f t="shared" si="113"/>
        <v>-8.2250000000000378E-3</v>
      </c>
    </row>
    <row r="3154" spans="1:3" x14ac:dyDescent="0.3">
      <c r="A3154" s="28">
        <v>43374</v>
      </c>
      <c r="B3154" s="36">
        <v>78624</v>
      </c>
      <c r="C3154">
        <f t="shared" si="113"/>
        <v>-9.0494315747019494E-3</v>
      </c>
    </row>
    <row r="3155" spans="1:3" x14ac:dyDescent="0.3">
      <c r="A3155" s="28">
        <v>43375</v>
      </c>
      <c r="B3155" s="36">
        <v>81612</v>
      </c>
      <c r="C3155">
        <f t="shared" si="113"/>
        <v>3.8003663003663091E-2</v>
      </c>
    </row>
    <row r="3156" spans="1:3" x14ac:dyDescent="0.3">
      <c r="A3156" s="28">
        <v>43376</v>
      </c>
      <c r="B3156" s="36">
        <v>83273</v>
      </c>
      <c r="C3156">
        <f t="shared" si="113"/>
        <v>2.0352399156986722E-2</v>
      </c>
    </row>
    <row r="3157" spans="1:3" x14ac:dyDescent="0.3">
      <c r="A3157" s="28">
        <v>43377</v>
      </c>
      <c r="B3157" s="36">
        <v>82953</v>
      </c>
      <c r="C3157">
        <f t="shared" si="113"/>
        <v>-3.8427821742942347E-3</v>
      </c>
    </row>
    <row r="3158" spans="1:3" x14ac:dyDescent="0.3">
      <c r="A3158" s="28">
        <v>43378</v>
      </c>
      <c r="B3158" s="36">
        <v>82322</v>
      </c>
      <c r="C3158">
        <f t="shared" si="113"/>
        <v>-7.6067170566465059E-3</v>
      </c>
    </row>
    <row r="3159" spans="1:3" x14ac:dyDescent="0.3">
      <c r="A3159" s="28">
        <v>43381</v>
      </c>
      <c r="B3159" s="36">
        <v>86084</v>
      </c>
      <c r="C3159">
        <f t="shared" si="113"/>
        <v>4.56985981876048E-2</v>
      </c>
    </row>
    <row r="3160" spans="1:3" x14ac:dyDescent="0.3">
      <c r="A3160" s="28">
        <v>43382</v>
      </c>
      <c r="B3160" s="36">
        <v>86088</v>
      </c>
      <c r="C3160">
        <f t="shared" si="113"/>
        <v>4.6466242275000624E-5</v>
      </c>
    </row>
    <row r="3161" spans="1:3" x14ac:dyDescent="0.3">
      <c r="A3161" s="28">
        <v>43383</v>
      </c>
      <c r="B3161" s="36">
        <v>83679</v>
      </c>
      <c r="C3161">
        <f t="shared" si="113"/>
        <v>-2.7982994145525519E-2</v>
      </c>
    </row>
    <row r="3162" spans="1:3" x14ac:dyDescent="0.3">
      <c r="A3162" s="28">
        <v>43384</v>
      </c>
      <c r="B3162" s="36">
        <v>82921</v>
      </c>
      <c r="C3162">
        <f t="shared" si="113"/>
        <v>-9.0584256504021576E-3</v>
      </c>
    </row>
    <row r="3163" spans="1:3" x14ac:dyDescent="0.3">
      <c r="A3163" s="28">
        <v>43388</v>
      </c>
      <c r="B3163" s="36">
        <v>83360</v>
      </c>
      <c r="C3163">
        <f t="shared" si="113"/>
        <v>5.2941956802257106E-3</v>
      </c>
    </row>
    <row r="3164" spans="1:3" x14ac:dyDescent="0.3">
      <c r="A3164" s="28">
        <v>43389</v>
      </c>
      <c r="B3164" s="36">
        <v>85718</v>
      </c>
      <c r="C3164">
        <f t="shared" si="113"/>
        <v>2.8286948176583504E-2</v>
      </c>
    </row>
    <row r="3165" spans="1:3" x14ac:dyDescent="0.3">
      <c r="A3165" s="28">
        <v>43390</v>
      </c>
      <c r="B3165" s="36">
        <v>85764</v>
      </c>
      <c r="C3165">
        <f t="shared" si="113"/>
        <v>5.3664341211878686E-4</v>
      </c>
    </row>
    <row r="3166" spans="1:3" x14ac:dyDescent="0.3">
      <c r="A3166" s="28">
        <v>43391</v>
      </c>
      <c r="B3166" s="36">
        <v>83847</v>
      </c>
      <c r="C3166">
        <f t="shared" si="113"/>
        <v>-2.2352035819224847E-2</v>
      </c>
    </row>
    <row r="3167" spans="1:3" x14ac:dyDescent="0.3">
      <c r="A3167" s="28">
        <v>43392</v>
      </c>
      <c r="B3167" s="36">
        <v>84220</v>
      </c>
      <c r="C3167">
        <f t="shared" si="113"/>
        <v>4.4485789592949576E-3</v>
      </c>
    </row>
    <row r="3168" spans="1:3" x14ac:dyDescent="0.3">
      <c r="A3168" s="28">
        <v>43395</v>
      </c>
      <c r="B3168" s="36">
        <v>85597</v>
      </c>
      <c r="C3168">
        <f t="shared" si="113"/>
        <v>1.6350035620992687E-2</v>
      </c>
    </row>
    <row r="3169" spans="1:3" x14ac:dyDescent="0.3">
      <c r="A3169" s="28">
        <v>43396</v>
      </c>
      <c r="B3169" s="36">
        <v>85300</v>
      </c>
      <c r="C3169">
        <f t="shared" si="113"/>
        <v>-3.4697477715340819E-3</v>
      </c>
    </row>
    <row r="3170" spans="1:3" x14ac:dyDescent="0.3">
      <c r="A3170" s="28">
        <v>43397</v>
      </c>
      <c r="B3170" s="36">
        <v>83064</v>
      </c>
      <c r="C3170">
        <f t="shared" si="113"/>
        <v>-2.621336459554513E-2</v>
      </c>
    </row>
    <row r="3171" spans="1:3" x14ac:dyDescent="0.3">
      <c r="A3171" s="28">
        <v>43398</v>
      </c>
      <c r="B3171" s="36">
        <v>84084</v>
      </c>
      <c r="C3171">
        <f t="shared" si="113"/>
        <v>1.2279687951459062E-2</v>
      </c>
    </row>
    <row r="3172" spans="1:3" x14ac:dyDescent="0.3">
      <c r="A3172" s="28">
        <v>43399</v>
      </c>
      <c r="B3172" s="36">
        <v>85720</v>
      </c>
      <c r="C3172">
        <f t="shared" si="113"/>
        <v>1.9456733742448051E-2</v>
      </c>
    </row>
    <row r="3173" spans="1:3" x14ac:dyDescent="0.3">
      <c r="A3173" s="28">
        <v>43402</v>
      </c>
      <c r="B3173" s="36">
        <v>83797</v>
      </c>
      <c r="C3173">
        <f t="shared" si="113"/>
        <v>-2.2433504433037821E-2</v>
      </c>
    </row>
    <row r="3174" spans="1:3" x14ac:dyDescent="0.3">
      <c r="A3174" s="28">
        <v>43403</v>
      </c>
      <c r="B3174" s="36">
        <v>86886</v>
      </c>
      <c r="C3174">
        <f t="shared" si="113"/>
        <v>3.686289485303762E-2</v>
      </c>
    </row>
    <row r="3175" spans="1:3" x14ac:dyDescent="0.3">
      <c r="A3175" s="28">
        <v>43404</v>
      </c>
      <c r="B3175" s="36">
        <v>87424</v>
      </c>
      <c r="C3175">
        <f t="shared" si="113"/>
        <v>6.1920217296227431E-3</v>
      </c>
    </row>
    <row r="3176" spans="1:3" x14ac:dyDescent="0.3">
      <c r="A3176" s="28">
        <v>43405</v>
      </c>
      <c r="B3176" s="36">
        <v>88419</v>
      </c>
      <c r="C3176">
        <f t="shared" si="113"/>
        <v>1.1381314055636915E-2</v>
      </c>
    </row>
    <row r="3177" spans="1:3" x14ac:dyDescent="0.3">
      <c r="A3177" s="28">
        <v>43409</v>
      </c>
      <c r="B3177" s="36">
        <v>89598</v>
      </c>
      <c r="C3177">
        <f t="shared" si="113"/>
        <v>1.3334238116242014E-2</v>
      </c>
    </row>
    <row r="3178" spans="1:3" x14ac:dyDescent="0.3">
      <c r="A3178" s="28">
        <v>43410</v>
      </c>
      <c r="B3178" s="36">
        <v>88669</v>
      </c>
      <c r="C3178">
        <f t="shared" si="113"/>
        <v>-1.0368535011942237E-2</v>
      </c>
    </row>
    <row r="3179" spans="1:3" x14ac:dyDescent="0.3">
      <c r="A3179" s="28">
        <v>43411</v>
      </c>
      <c r="B3179" s="36">
        <v>87714</v>
      </c>
      <c r="C3179">
        <f t="shared" si="113"/>
        <v>-1.0770393260327693E-2</v>
      </c>
    </row>
    <row r="3180" spans="1:3" x14ac:dyDescent="0.3">
      <c r="A3180" s="28">
        <v>43412</v>
      </c>
      <c r="B3180" s="36">
        <v>85620</v>
      </c>
      <c r="C3180">
        <f t="shared" si="113"/>
        <v>-2.3873041931732675E-2</v>
      </c>
    </row>
    <row r="3181" spans="1:3" x14ac:dyDescent="0.3">
      <c r="A3181" s="28">
        <v>43413</v>
      </c>
      <c r="B3181" s="36">
        <v>85641</v>
      </c>
      <c r="C3181">
        <f t="shared" si="113"/>
        <v>2.4526979677652605E-4</v>
      </c>
    </row>
    <row r="3182" spans="1:3" x14ac:dyDescent="0.3">
      <c r="A3182" s="28">
        <v>43416</v>
      </c>
      <c r="B3182" s="36">
        <v>85525</v>
      </c>
      <c r="C3182">
        <f t="shared" si="113"/>
        <v>-1.3544914235004146E-3</v>
      </c>
    </row>
    <row r="3183" spans="1:3" x14ac:dyDescent="0.3">
      <c r="A3183" s="28">
        <v>43417</v>
      </c>
      <c r="B3183" s="36">
        <v>84914</v>
      </c>
      <c r="C3183">
        <f t="shared" si="113"/>
        <v>-7.1441099093831895E-3</v>
      </c>
    </row>
    <row r="3184" spans="1:3" x14ac:dyDescent="0.3">
      <c r="A3184" s="28">
        <v>43418</v>
      </c>
      <c r="B3184" s="36">
        <v>85973</v>
      </c>
      <c r="C3184">
        <f t="shared" si="113"/>
        <v>1.2471441693949092E-2</v>
      </c>
    </row>
    <row r="3185" spans="1:3" x14ac:dyDescent="0.3">
      <c r="A3185" s="28">
        <v>43420</v>
      </c>
      <c r="B3185" s="36">
        <v>88515</v>
      </c>
      <c r="C3185">
        <f t="shared" si="113"/>
        <v>2.9567422330266435E-2</v>
      </c>
    </row>
    <row r="3186" spans="1:3" x14ac:dyDescent="0.3">
      <c r="A3186" s="28">
        <v>43423</v>
      </c>
      <c r="B3186" s="36">
        <v>87901</v>
      </c>
      <c r="C3186">
        <f t="shared" si="113"/>
        <v>-6.9366773993108088E-3</v>
      </c>
    </row>
    <row r="3187" spans="1:3" x14ac:dyDescent="0.3">
      <c r="A3187" s="28">
        <v>43425</v>
      </c>
      <c r="B3187" s="36">
        <v>87269</v>
      </c>
      <c r="C3187">
        <f t="shared" si="113"/>
        <v>-7.1899068269986044E-3</v>
      </c>
    </row>
    <row r="3188" spans="1:3" x14ac:dyDescent="0.3">
      <c r="A3188" s="28">
        <v>43426</v>
      </c>
      <c r="B3188" s="36">
        <v>87477</v>
      </c>
      <c r="C3188">
        <f t="shared" si="113"/>
        <v>2.383435125875133E-3</v>
      </c>
    </row>
    <row r="3189" spans="1:3" x14ac:dyDescent="0.3">
      <c r="A3189" s="28">
        <v>43427</v>
      </c>
      <c r="B3189" s="36">
        <v>86230</v>
      </c>
      <c r="C3189">
        <f t="shared" si="113"/>
        <v>-1.4255175646169849E-2</v>
      </c>
    </row>
    <row r="3190" spans="1:3" x14ac:dyDescent="0.3">
      <c r="A3190" s="28">
        <v>43430</v>
      </c>
      <c r="B3190" s="36">
        <v>85547</v>
      </c>
      <c r="C3190">
        <f t="shared" si="113"/>
        <v>-7.9206772584947682E-3</v>
      </c>
    </row>
    <row r="3191" spans="1:3" x14ac:dyDescent="0.3">
      <c r="A3191" s="28">
        <v>43431</v>
      </c>
      <c r="B3191" s="36">
        <v>87891</v>
      </c>
      <c r="C3191">
        <f t="shared" si="113"/>
        <v>2.740014261166368E-2</v>
      </c>
    </row>
    <row r="3192" spans="1:3" x14ac:dyDescent="0.3">
      <c r="A3192" s="28">
        <v>43432</v>
      </c>
      <c r="B3192" s="36">
        <v>89251</v>
      </c>
      <c r="C3192">
        <f t="shared" si="113"/>
        <v>1.5473711756607722E-2</v>
      </c>
    </row>
    <row r="3193" spans="1:3" x14ac:dyDescent="0.3">
      <c r="A3193" s="28">
        <v>43433</v>
      </c>
      <c r="B3193" s="36">
        <v>89710</v>
      </c>
      <c r="C3193">
        <f t="shared" si="113"/>
        <v>5.1427995204536003E-3</v>
      </c>
    </row>
    <row r="3194" spans="1:3" x14ac:dyDescent="0.3">
      <c r="A3194" s="28">
        <v>43434</v>
      </c>
      <c r="B3194" s="36">
        <v>89504</v>
      </c>
      <c r="C3194">
        <f t="shared" si="113"/>
        <v>-2.2962880392375373E-3</v>
      </c>
    </row>
    <row r="3195" spans="1:3" x14ac:dyDescent="0.3">
      <c r="A3195" s="28">
        <v>43437</v>
      </c>
      <c r="B3195" s="36">
        <v>89820</v>
      </c>
      <c r="C3195">
        <f t="shared" si="113"/>
        <v>3.5305684662136905E-3</v>
      </c>
    </row>
    <row r="3196" spans="1:3" x14ac:dyDescent="0.3">
      <c r="A3196" s="28">
        <v>43438</v>
      </c>
      <c r="B3196" s="36">
        <v>88624</v>
      </c>
      <c r="C3196">
        <f t="shared" si="113"/>
        <v>-1.3315519928746355E-2</v>
      </c>
    </row>
    <row r="3197" spans="1:3" x14ac:dyDescent="0.3">
      <c r="A3197" s="28">
        <v>43439</v>
      </c>
      <c r="B3197" s="36">
        <v>89040</v>
      </c>
      <c r="C3197">
        <f t="shared" si="113"/>
        <v>4.6939880844918402E-3</v>
      </c>
    </row>
    <row r="3198" spans="1:3" x14ac:dyDescent="0.3">
      <c r="A3198" s="28">
        <v>43440</v>
      </c>
      <c r="B3198" s="36">
        <v>88846</v>
      </c>
      <c r="C3198">
        <f t="shared" si="113"/>
        <v>-2.1787960467205547E-3</v>
      </c>
    </row>
    <row r="3199" spans="1:3" x14ac:dyDescent="0.3">
      <c r="A3199" s="28">
        <v>43441</v>
      </c>
      <c r="B3199" s="36">
        <v>88115</v>
      </c>
      <c r="C3199">
        <f t="shared" si="113"/>
        <v>-8.2277198748396119E-3</v>
      </c>
    </row>
    <row r="3200" spans="1:3" x14ac:dyDescent="0.3">
      <c r="A3200" s="28">
        <v>43444</v>
      </c>
      <c r="B3200" s="36">
        <v>85915</v>
      </c>
      <c r="C3200">
        <f t="shared" si="113"/>
        <v>-2.496737218407763E-2</v>
      </c>
    </row>
    <row r="3201" spans="1:3" x14ac:dyDescent="0.3">
      <c r="A3201" s="28">
        <v>43445</v>
      </c>
      <c r="B3201" s="36">
        <v>86420</v>
      </c>
      <c r="C3201">
        <f t="shared" si="113"/>
        <v>5.8779025781294791E-3</v>
      </c>
    </row>
    <row r="3202" spans="1:3" x14ac:dyDescent="0.3">
      <c r="A3202" s="28">
        <v>43446</v>
      </c>
      <c r="B3202" s="36">
        <v>86977</v>
      </c>
      <c r="C3202">
        <f t="shared" si="113"/>
        <v>6.4452672992363347E-3</v>
      </c>
    </row>
    <row r="3203" spans="1:3" x14ac:dyDescent="0.3">
      <c r="A3203" s="28">
        <v>43447</v>
      </c>
      <c r="B3203" s="36">
        <v>87838</v>
      </c>
      <c r="C3203">
        <f t="shared" si="113"/>
        <v>9.8991687457603561E-3</v>
      </c>
    </row>
    <row r="3204" spans="1:3" x14ac:dyDescent="0.3">
      <c r="A3204" s="28">
        <v>43448</v>
      </c>
      <c r="B3204" s="36">
        <v>87450</v>
      </c>
      <c r="C3204">
        <f t="shared" ref="C3204:C3267" si="114">B3204/B3203-1</f>
        <v>-4.4172226143582849E-3</v>
      </c>
    </row>
    <row r="3205" spans="1:3" x14ac:dyDescent="0.3">
      <c r="A3205" s="28">
        <v>43451</v>
      </c>
      <c r="B3205" s="36">
        <v>86400</v>
      </c>
      <c r="C3205">
        <f t="shared" si="114"/>
        <v>-1.2006861063464824E-2</v>
      </c>
    </row>
    <row r="3206" spans="1:3" x14ac:dyDescent="0.3">
      <c r="A3206" s="28">
        <v>43452</v>
      </c>
      <c r="B3206" s="36">
        <v>86610</v>
      </c>
      <c r="C3206">
        <f t="shared" si="114"/>
        <v>2.4305555555554914E-3</v>
      </c>
    </row>
    <row r="3207" spans="1:3" x14ac:dyDescent="0.3">
      <c r="A3207" s="28">
        <v>43453</v>
      </c>
      <c r="B3207" s="36">
        <v>85674</v>
      </c>
      <c r="C3207">
        <f t="shared" si="114"/>
        <v>-1.0807066158642242E-2</v>
      </c>
    </row>
    <row r="3208" spans="1:3" x14ac:dyDescent="0.3">
      <c r="A3208" s="28">
        <v>43454</v>
      </c>
      <c r="B3208" s="36">
        <v>85269</v>
      </c>
      <c r="C3208">
        <f t="shared" si="114"/>
        <v>-4.7272217942433414E-3</v>
      </c>
    </row>
    <row r="3209" spans="1:3" x14ac:dyDescent="0.3">
      <c r="A3209" s="28">
        <v>43455</v>
      </c>
      <c r="B3209" s="36">
        <v>85697</v>
      </c>
      <c r="C3209">
        <f t="shared" si="114"/>
        <v>5.0194091639399474E-3</v>
      </c>
    </row>
    <row r="3210" spans="1:3" x14ac:dyDescent="0.3">
      <c r="A3210" s="28">
        <v>43460</v>
      </c>
      <c r="B3210" s="36">
        <v>85136</v>
      </c>
      <c r="C3210">
        <f t="shared" si="114"/>
        <v>-6.5463201745685762E-3</v>
      </c>
    </row>
    <row r="3211" spans="1:3" x14ac:dyDescent="0.3">
      <c r="A3211" s="28">
        <v>43461</v>
      </c>
      <c r="B3211" s="36">
        <v>85460</v>
      </c>
      <c r="C3211">
        <f t="shared" si="114"/>
        <v>3.805675624882543E-3</v>
      </c>
    </row>
    <row r="3212" spans="1:3" x14ac:dyDescent="0.3">
      <c r="A3212" s="28">
        <v>43462</v>
      </c>
      <c r="B3212" s="36">
        <v>87887</v>
      </c>
      <c r="C3212">
        <f t="shared" si="114"/>
        <v>2.8399251111631107E-2</v>
      </c>
    </row>
    <row r="3213" spans="1:3" x14ac:dyDescent="0.3">
      <c r="A3213" s="28">
        <v>43467</v>
      </c>
      <c r="B3213" s="36">
        <v>91012</v>
      </c>
      <c r="C3213">
        <f t="shared" si="114"/>
        <v>3.5557022085177525E-2</v>
      </c>
    </row>
    <row r="3214" spans="1:3" x14ac:dyDescent="0.3">
      <c r="A3214" s="28">
        <v>43468</v>
      </c>
      <c r="B3214" s="36">
        <v>91564</v>
      </c>
      <c r="C3214">
        <f t="shared" si="114"/>
        <v>6.0651342680086984E-3</v>
      </c>
    </row>
    <row r="3215" spans="1:3" x14ac:dyDescent="0.3">
      <c r="A3215" s="28">
        <v>43469</v>
      </c>
      <c r="B3215" s="36">
        <v>91841</v>
      </c>
      <c r="C3215">
        <f t="shared" si="114"/>
        <v>3.0252064130007472E-3</v>
      </c>
    </row>
    <row r="3216" spans="1:3" x14ac:dyDescent="0.3">
      <c r="A3216" s="28">
        <v>43472</v>
      </c>
      <c r="B3216" s="36">
        <v>91699</v>
      </c>
      <c r="C3216">
        <f t="shared" si="114"/>
        <v>-1.5461504121253578E-3</v>
      </c>
    </row>
    <row r="3217" spans="1:3" x14ac:dyDescent="0.3">
      <c r="A3217" s="28">
        <v>43473</v>
      </c>
      <c r="B3217" s="36">
        <v>92032</v>
      </c>
      <c r="C3217">
        <f t="shared" si="114"/>
        <v>3.6314463625557458E-3</v>
      </c>
    </row>
    <row r="3218" spans="1:3" x14ac:dyDescent="0.3">
      <c r="A3218" s="28">
        <v>43474</v>
      </c>
      <c r="B3218" s="36">
        <v>93613</v>
      </c>
      <c r="C3218">
        <f t="shared" si="114"/>
        <v>1.7178807371349025E-2</v>
      </c>
    </row>
    <row r="3219" spans="1:3" x14ac:dyDescent="0.3">
      <c r="A3219" s="28">
        <v>43475</v>
      </c>
      <c r="B3219" s="36">
        <v>93806</v>
      </c>
      <c r="C3219">
        <f t="shared" si="114"/>
        <v>2.0616794675953898E-3</v>
      </c>
    </row>
    <row r="3220" spans="1:3" x14ac:dyDescent="0.3">
      <c r="A3220" s="28">
        <v>43476</v>
      </c>
      <c r="B3220" s="36">
        <v>93658</v>
      </c>
      <c r="C3220">
        <f t="shared" si="114"/>
        <v>-1.5777242393876234E-3</v>
      </c>
    </row>
    <row r="3221" spans="1:3" x14ac:dyDescent="0.3">
      <c r="A3221" s="28">
        <v>43479</v>
      </c>
      <c r="B3221" s="36">
        <v>94474</v>
      </c>
      <c r="C3221">
        <f t="shared" si="114"/>
        <v>8.7125499156506248E-3</v>
      </c>
    </row>
    <row r="3222" spans="1:3" x14ac:dyDescent="0.3">
      <c r="A3222" s="28">
        <v>43480</v>
      </c>
      <c r="B3222" s="36">
        <v>94056</v>
      </c>
      <c r="C3222">
        <f t="shared" si="114"/>
        <v>-4.4244977454114265E-3</v>
      </c>
    </row>
    <row r="3223" spans="1:3" x14ac:dyDescent="0.3">
      <c r="A3223" s="28">
        <v>43481</v>
      </c>
      <c r="B3223" s="36">
        <v>94393</v>
      </c>
      <c r="C3223">
        <f t="shared" si="114"/>
        <v>3.582971846559424E-3</v>
      </c>
    </row>
    <row r="3224" spans="1:3" x14ac:dyDescent="0.3">
      <c r="A3224" s="28">
        <v>43482</v>
      </c>
      <c r="B3224" s="36">
        <v>95351</v>
      </c>
      <c r="C3224">
        <f t="shared" si="114"/>
        <v>1.0149057663174199E-2</v>
      </c>
    </row>
    <row r="3225" spans="1:3" x14ac:dyDescent="0.3">
      <c r="A3225" s="28">
        <v>43483</v>
      </c>
      <c r="B3225" s="36">
        <v>96097</v>
      </c>
      <c r="C3225">
        <f t="shared" si="114"/>
        <v>7.8237249740433779E-3</v>
      </c>
    </row>
    <row r="3226" spans="1:3" x14ac:dyDescent="0.3">
      <c r="A3226" s="28">
        <v>43486</v>
      </c>
      <c r="B3226" s="36">
        <v>96010</v>
      </c>
      <c r="C3226">
        <f t="shared" si="114"/>
        <v>-9.0533523419045192E-4</v>
      </c>
    </row>
    <row r="3227" spans="1:3" x14ac:dyDescent="0.3">
      <c r="A3227" s="28">
        <v>43487</v>
      </c>
      <c r="B3227" s="36">
        <v>95103</v>
      </c>
      <c r="C3227">
        <f t="shared" si="114"/>
        <v>-9.4469326111863428E-3</v>
      </c>
    </row>
    <row r="3228" spans="1:3" x14ac:dyDescent="0.3">
      <c r="A3228" s="28">
        <v>43488</v>
      </c>
      <c r="B3228" s="36">
        <v>96558</v>
      </c>
      <c r="C3228">
        <f t="shared" si="114"/>
        <v>1.5299201917920557E-2</v>
      </c>
    </row>
    <row r="3229" spans="1:3" x14ac:dyDescent="0.3">
      <c r="A3229" s="28">
        <v>43489</v>
      </c>
      <c r="B3229" s="36">
        <v>97677</v>
      </c>
      <c r="C3229">
        <f t="shared" si="114"/>
        <v>1.1588889579320139E-2</v>
      </c>
    </row>
    <row r="3230" spans="1:3" x14ac:dyDescent="0.3">
      <c r="A3230" s="28">
        <v>43493</v>
      </c>
      <c r="B3230" s="36">
        <v>95444</v>
      </c>
      <c r="C3230">
        <f t="shared" si="114"/>
        <v>-2.2861062481443928E-2</v>
      </c>
    </row>
    <row r="3231" spans="1:3" x14ac:dyDescent="0.3">
      <c r="A3231" s="28">
        <v>43494</v>
      </c>
      <c r="B3231" s="36">
        <v>95639</v>
      </c>
      <c r="C3231">
        <f t="shared" si="114"/>
        <v>2.0430828548678726E-3</v>
      </c>
    </row>
    <row r="3232" spans="1:3" x14ac:dyDescent="0.3">
      <c r="A3232" s="28">
        <v>43495</v>
      </c>
      <c r="B3232" s="36">
        <v>96996</v>
      </c>
      <c r="C3232">
        <f t="shared" si="114"/>
        <v>1.4188772362738966E-2</v>
      </c>
    </row>
    <row r="3233" spans="1:3" x14ac:dyDescent="0.3">
      <c r="A3233" s="28">
        <v>43496</v>
      </c>
      <c r="B3233" s="36">
        <v>97394</v>
      </c>
      <c r="C3233">
        <f t="shared" si="114"/>
        <v>4.1032619901850698E-3</v>
      </c>
    </row>
    <row r="3234" spans="1:3" x14ac:dyDescent="0.3">
      <c r="A3234" s="28">
        <v>43497</v>
      </c>
      <c r="B3234" s="36">
        <v>97861</v>
      </c>
      <c r="C3234">
        <f t="shared" si="114"/>
        <v>4.7949565681664197E-3</v>
      </c>
    </row>
    <row r="3235" spans="1:3" x14ac:dyDescent="0.3">
      <c r="A3235" s="28">
        <v>43500</v>
      </c>
      <c r="B3235" s="36">
        <v>98589</v>
      </c>
      <c r="C3235">
        <f t="shared" si="114"/>
        <v>7.4391228374939278E-3</v>
      </c>
    </row>
    <row r="3236" spans="1:3" x14ac:dyDescent="0.3">
      <c r="A3236" s="28">
        <v>43501</v>
      </c>
      <c r="B3236" s="36">
        <v>98311</v>
      </c>
      <c r="C3236">
        <f t="shared" si="114"/>
        <v>-2.8197871973546507E-3</v>
      </c>
    </row>
    <row r="3237" spans="1:3" x14ac:dyDescent="0.3">
      <c r="A3237" s="28">
        <v>43502</v>
      </c>
      <c r="B3237" s="36">
        <v>94636</v>
      </c>
      <c r="C3237">
        <f t="shared" si="114"/>
        <v>-3.7381371362309457E-2</v>
      </c>
    </row>
    <row r="3238" spans="1:3" x14ac:dyDescent="0.3">
      <c r="A3238" s="28">
        <v>43503</v>
      </c>
      <c r="B3238" s="36">
        <v>94406</v>
      </c>
      <c r="C3238">
        <f t="shared" si="114"/>
        <v>-2.4303647660509631E-3</v>
      </c>
    </row>
    <row r="3239" spans="1:3" x14ac:dyDescent="0.3">
      <c r="A3239" s="28">
        <v>43504</v>
      </c>
      <c r="B3239" s="36">
        <v>95343</v>
      </c>
      <c r="C3239">
        <f t="shared" si="114"/>
        <v>9.9252166175878287E-3</v>
      </c>
    </row>
    <row r="3240" spans="1:3" x14ac:dyDescent="0.3">
      <c r="A3240" s="28">
        <v>43507</v>
      </c>
      <c r="B3240" s="36">
        <v>94413</v>
      </c>
      <c r="C3240">
        <f t="shared" si="114"/>
        <v>-9.7542556873603248E-3</v>
      </c>
    </row>
    <row r="3241" spans="1:3" x14ac:dyDescent="0.3">
      <c r="A3241" s="28">
        <v>43508</v>
      </c>
      <c r="B3241" s="36">
        <v>96168</v>
      </c>
      <c r="C3241">
        <f t="shared" si="114"/>
        <v>1.8588541832162964E-2</v>
      </c>
    </row>
    <row r="3242" spans="1:3" x14ac:dyDescent="0.3">
      <c r="A3242" s="28">
        <v>43509</v>
      </c>
      <c r="B3242" s="36">
        <v>95842</v>
      </c>
      <c r="C3242">
        <f t="shared" si="114"/>
        <v>-3.3899010065718826E-3</v>
      </c>
    </row>
    <row r="3243" spans="1:3" x14ac:dyDescent="0.3">
      <c r="A3243" s="28">
        <v>43510</v>
      </c>
      <c r="B3243" s="36">
        <v>98015</v>
      </c>
      <c r="C3243">
        <f t="shared" si="114"/>
        <v>2.2672732205087476E-2</v>
      </c>
    </row>
    <row r="3244" spans="1:3" x14ac:dyDescent="0.3">
      <c r="A3244" s="28">
        <v>43511</v>
      </c>
      <c r="B3244" s="36">
        <v>97526</v>
      </c>
      <c r="C3244">
        <f t="shared" si="114"/>
        <v>-4.9890322909759144E-3</v>
      </c>
    </row>
    <row r="3245" spans="1:3" x14ac:dyDescent="0.3">
      <c r="A3245" s="28">
        <v>43514</v>
      </c>
      <c r="B3245" s="36">
        <v>96510</v>
      </c>
      <c r="C3245">
        <f t="shared" si="114"/>
        <v>-1.0417734757910746E-2</v>
      </c>
    </row>
    <row r="3246" spans="1:3" x14ac:dyDescent="0.3">
      <c r="A3246" s="28">
        <v>43515</v>
      </c>
      <c r="B3246" s="36">
        <v>97659</v>
      </c>
      <c r="C3246">
        <f t="shared" si="114"/>
        <v>1.1905502020516101E-2</v>
      </c>
    </row>
    <row r="3247" spans="1:3" x14ac:dyDescent="0.3">
      <c r="A3247" s="28">
        <v>43516</v>
      </c>
      <c r="B3247" s="36">
        <v>96545</v>
      </c>
      <c r="C3247">
        <f t="shared" si="114"/>
        <v>-1.1407038777788037E-2</v>
      </c>
    </row>
    <row r="3248" spans="1:3" x14ac:dyDescent="0.3">
      <c r="A3248" s="28">
        <v>43517</v>
      </c>
      <c r="B3248" s="36">
        <v>96932</v>
      </c>
      <c r="C3248">
        <f t="shared" si="114"/>
        <v>4.0084934486508406E-3</v>
      </c>
    </row>
    <row r="3249" spans="1:3" x14ac:dyDescent="0.3">
      <c r="A3249" s="28">
        <v>43518</v>
      </c>
      <c r="B3249" s="36">
        <v>97886</v>
      </c>
      <c r="C3249">
        <f t="shared" si="114"/>
        <v>9.8419510584739633E-3</v>
      </c>
    </row>
    <row r="3250" spans="1:3" x14ac:dyDescent="0.3">
      <c r="A3250" s="28">
        <v>43521</v>
      </c>
      <c r="B3250" s="36">
        <v>97240</v>
      </c>
      <c r="C3250">
        <f t="shared" si="114"/>
        <v>-6.5995137200416387E-3</v>
      </c>
    </row>
    <row r="3251" spans="1:3" x14ac:dyDescent="0.3">
      <c r="A3251" s="28">
        <v>43522</v>
      </c>
      <c r="B3251" s="36">
        <v>97603</v>
      </c>
      <c r="C3251">
        <f t="shared" si="114"/>
        <v>3.7330316742081315E-3</v>
      </c>
    </row>
    <row r="3252" spans="1:3" x14ac:dyDescent="0.3">
      <c r="A3252" s="28">
        <v>43523</v>
      </c>
      <c r="B3252" s="36">
        <v>97307</v>
      </c>
      <c r="C3252">
        <f t="shared" si="114"/>
        <v>-3.0326936672028237E-3</v>
      </c>
    </row>
    <row r="3253" spans="1:3" x14ac:dyDescent="0.3">
      <c r="A3253" s="28">
        <v>43524</v>
      </c>
      <c r="B3253" s="36">
        <v>95584</v>
      </c>
      <c r="C3253">
        <f t="shared" si="114"/>
        <v>-1.7706845345144773E-2</v>
      </c>
    </row>
    <row r="3254" spans="1:3" x14ac:dyDescent="0.3">
      <c r="A3254" s="28">
        <v>43525</v>
      </c>
      <c r="B3254" s="36">
        <v>94604</v>
      </c>
      <c r="C3254">
        <f t="shared" si="114"/>
        <v>-1.0252761968530311E-2</v>
      </c>
    </row>
    <row r="3255" spans="1:3" x14ac:dyDescent="0.3">
      <c r="A3255" s="28">
        <v>43531</v>
      </c>
      <c r="B3255" s="36">
        <v>94340</v>
      </c>
      <c r="C3255">
        <f t="shared" si="114"/>
        <v>-2.7905796795061333E-3</v>
      </c>
    </row>
    <row r="3256" spans="1:3" x14ac:dyDescent="0.3">
      <c r="A3256" s="28">
        <v>43532</v>
      </c>
      <c r="B3256" s="36">
        <v>95365</v>
      </c>
      <c r="C3256">
        <f t="shared" si="114"/>
        <v>1.0864956540173942E-2</v>
      </c>
    </row>
    <row r="3257" spans="1:3" x14ac:dyDescent="0.3">
      <c r="A3257" s="28">
        <v>43535</v>
      </c>
      <c r="B3257" s="36">
        <v>98027</v>
      </c>
      <c r="C3257">
        <f t="shared" si="114"/>
        <v>2.7913804855030699E-2</v>
      </c>
    </row>
    <row r="3258" spans="1:3" x14ac:dyDescent="0.3">
      <c r="A3258" s="28">
        <v>43536</v>
      </c>
      <c r="B3258" s="36">
        <v>97828</v>
      </c>
      <c r="C3258">
        <f t="shared" si="114"/>
        <v>-2.0300529445969051E-3</v>
      </c>
    </row>
    <row r="3259" spans="1:3" x14ac:dyDescent="0.3">
      <c r="A3259" s="28">
        <v>43537</v>
      </c>
      <c r="B3259" s="36">
        <v>98904</v>
      </c>
      <c r="C3259">
        <f t="shared" si="114"/>
        <v>1.0998896021588989E-2</v>
      </c>
    </row>
    <row r="3260" spans="1:3" x14ac:dyDescent="0.3">
      <c r="A3260" s="28">
        <v>43538</v>
      </c>
      <c r="B3260" s="36">
        <v>98605</v>
      </c>
      <c r="C3260">
        <f t="shared" si="114"/>
        <v>-3.0231335436382567E-3</v>
      </c>
    </row>
    <row r="3261" spans="1:3" x14ac:dyDescent="0.3">
      <c r="A3261" s="28">
        <v>43539</v>
      </c>
      <c r="B3261" s="36">
        <v>99137</v>
      </c>
      <c r="C3261">
        <f t="shared" si="114"/>
        <v>5.3952639318493034E-3</v>
      </c>
    </row>
    <row r="3262" spans="1:3" x14ac:dyDescent="0.3">
      <c r="A3262" s="28">
        <v>43542</v>
      </c>
      <c r="B3262" s="36">
        <v>99994</v>
      </c>
      <c r="C3262">
        <f t="shared" si="114"/>
        <v>8.6446029232274402E-3</v>
      </c>
    </row>
    <row r="3263" spans="1:3" x14ac:dyDescent="0.3">
      <c r="A3263" s="28">
        <v>43543</v>
      </c>
      <c r="B3263" s="36">
        <v>99588</v>
      </c>
      <c r="C3263">
        <f t="shared" si="114"/>
        <v>-4.0602436146168763E-3</v>
      </c>
    </row>
    <row r="3264" spans="1:3" x14ac:dyDescent="0.3">
      <c r="A3264" s="28">
        <v>43544</v>
      </c>
      <c r="B3264" s="36">
        <v>98041</v>
      </c>
      <c r="C3264">
        <f t="shared" si="114"/>
        <v>-1.5534000080331012E-2</v>
      </c>
    </row>
    <row r="3265" spans="1:3" x14ac:dyDescent="0.3">
      <c r="A3265" s="28">
        <v>43545</v>
      </c>
      <c r="B3265" s="36">
        <v>96729</v>
      </c>
      <c r="C3265">
        <f t="shared" si="114"/>
        <v>-1.3382156444752713E-2</v>
      </c>
    </row>
    <row r="3266" spans="1:3" x14ac:dyDescent="0.3">
      <c r="A3266" s="28">
        <v>43546</v>
      </c>
      <c r="B3266" s="36">
        <v>93735</v>
      </c>
      <c r="C3266">
        <f t="shared" si="114"/>
        <v>-3.0952454796389861E-2</v>
      </c>
    </row>
    <row r="3267" spans="1:3" x14ac:dyDescent="0.3">
      <c r="A3267" s="28">
        <v>43549</v>
      </c>
      <c r="B3267" s="36">
        <v>93662</v>
      </c>
      <c r="C3267">
        <f t="shared" si="114"/>
        <v>-7.787912732704072E-4</v>
      </c>
    </row>
    <row r="3268" spans="1:3" x14ac:dyDescent="0.3">
      <c r="A3268" s="28">
        <v>43550</v>
      </c>
      <c r="B3268" s="36">
        <v>95307</v>
      </c>
      <c r="C3268">
        <f t="shared" ref="C3268:C3331" si="115">B3268/B3267-1</f>
        <v>1.7563152612585675E-2</v>
      </c>
    </row>
    <row r="3269" spans="1:3" x14ac:dyDescent="0.3">
      <c r="A3269" s="28">
        <v>43551</v>
      </c>
      <c r="B3269" s="36">
        <v>91903</v>
      </c>
      <c r="C3269">
        <f t="shared" si="115"/>
        <v>-3.5716159358703981E-2</v>
      </c>
    </row>
    <row r="3270" spans="1:3" x14ac:dyDescent="0.3">
      <c r="A3270" s="28">
        <v>43552</v>
      </c>
      <c r="B3270" s="36">
        <v>94389</v>
      </c>
      <c r="C3270">
        <f t="shared" si="115"/>
        <v>2.7050259512747088E-2</v>
      </c>
    </row>
    <row r="3271" spans="1:3" x14ac:dyDescent="0.3">
      <c r="A3271" s="28">
        <v>43553</v>
      </c>
      <c r="B3271" s="36">
        <v>95415</v>
      </c>
      <c r="C3271">
        <f t="shared" si="115"/>
        <v>1.0869910688745543E-2</v>
      </c>
    </row>
    <row r="3272" spans="1:3" x14ac:dyDescent="0.3">
      <c r="A3272" s="28">
        <v>43556</v>
      </c>
      <c r="B3272" s="36">
        <v>96054</v>
      </c>
      <c r="C3272">
        <f t="shared" si="115"/>
        <v>6.6970602106586341E-3</v>
      </c>
    </row>
    <row r="3273" spans="1:3" x14ac:dyDescent="0.3">
      <c r="A3273" s="28">
        <v>43557</v>
      </c>
      <c r="B3273" s="36">
        <v>95387</v>
      </c>
      <c r="C3273">
        <f t="shared" si="115"/>
        <v>-6.9440106606700747E-3</v>
      </c>
    </row>
    <row r="3274" spans="1:3" x14ac:dyDescent="0.3">
      <c r="A3274" s="28">
        <v>43558</v>
      </c>
      <c r="B3274" s="36">
        <v>94491</v>
      </c>
      <c r="C3274">
        <f t="shared" si="115"/>
        <v>-9.3933135542578761E-3</v>
      </c>
    </row>
    <row r="3275" spans="1:3" x14ac:dyDescent="0.3">
      <c r="A3275" s="28">
        <v>43559</v>
      </c>
      <c r="B3275" s="36">
        <v>96313</v>
      </c>
      <c r="C3275">
        <f t="shared" si="115"/>
        <v>1.928225968610775E-2</v>
      </c>
    </row>
    <row r="3276" spans="1:3" x14ac:dyDescent="0.3">
      <c r="A3276" s="28">
        <v>43560</v>
      </c>
      <c r="B3276" s="36">
        <v>97108</v>
      </c>
      <c r="C3276">
        <f t="shared" si="115"/>
        <v>8.2543374207013631E-3</v>
      </c>
    </row>
    <row r="3277" spans="1:3" x14ac:dyDescent="0.3">
      <c r="A3277" s="28">
        <v>43563</v>
      </c>
      <c r="B3277" s="36">
        <v>97369</v>
      </c>
      <c r="C3277">
        <f t="shared" si="115"/>
        <v>2.6877291263336378E-3</v>
      </c>
    </row>
    <row r="3278" spans="1:3" x14ac:dyDescent="0.3">
      <c r="A3278" s="28">
        <v>43564</v>
      </c>
      <c r="B3278" s="36">
        <v>96292</v>
      </c>
      <c r="C3278">
        <f t="shared" si="115"/>
        <v>-1.106101531288195E-2</v>
      </c>
    </row>
    <row r="3279" spans="1:3" x14ac:dyDescent="0.3">
      <c r="A3279" s="28">
        <v>43565</v>
      </c>
      <c r="B3279" s="36">
        <v>95953</v>
      </c>
      <c r="C3279">
        <f t="shared" si="115"/>
        <v>-3.5205416857059246E-3</v>
      </c>
    </row>
    <row r="3280" spans="1:3" x14ac:dyDescent="0.3">
      <c r="A3280" s="28">
        <v>43566</v>
      </c>
      <c r="B3280" s="36">
        <v>94755</v>
      </c>
      <c r="C3280">
        <f t="shared" si="115"/>
        <v>-1.2485279251300163E-2</v>
      </c>
    </row>
    <row r="3281" spans="1:3" x14ac:dyDescent="0.3">
      <c r="A3281" s="28">
        <v>43567</v>
      </c>
      <c r="B3281" s="36">
        <v>92875</v>
      </c>
      <c r="C3281">
        <f t="shared" si="115"/>
        <v>-1.9840641654793933E-2</v>
      </c>
    </row>
    <row r="3282" spans="1:3" x14ac:dyDescent="0.3">
      <c r="A3282" s="28">
        <v>43570</v>
      </c>
      <c r="B3282" s="36">
        <v>93083</v>
      </c>
      <c r="C3282">
        <f t="shared" si="115"/>
        <v>2.2395693135934813E-3</v>
      </c>
    </row>
    <row r="3283" spans="1:3" x14ac:dyDescent="0.3">
      <c r="A3283" s="28">
        <v>43571</v>
      </c>
      <c r="B3283" s="36">
        <v>94333</v>
      </c>
      <c r="C3283">
        <f t="shared" si="115"/>
        <v>1.3428875304835497E-2</v>
      </c>
    </row>
    <row r="3284" spans="1:3" x14ac:dyDescent="0.3">
      <c r="A3284" s="28">
        <v>43572</v>
      </c>
      <c r="B3284" s="36">
        <v>93285</v>
      </c>
      <c r="C3284">
        <f t="shared" si="115"/>
        <v>-1.1109579892508492E-2</v>
      </c>
    </row>
    <row r="3285" spans="1:3" x14ac:dyDescent="0.3">
      <c r="A3285" s="28">
        <v>43573</v>
      </c>
      <c r="B3285" s="36">
        <v>94578</v>
      </c>
      <c r="C3285">
        <f t="shared" si="115"/>
        <v>1.3860749316610299E-2</v>
      </c>
    </row>
    <row r="3286" spans="1:3" x14ac:dyDescent="0.3">
      <c r="A3286" s="28">
        <v>43577</v>
      </c>
      <c r="B3286" s="36">
        <v>94588</v>
      </c>
      <c r="C3286">
        <f t="shared" si="115"/>
        <v>1.0573283427439684E-4</v>
      </c>
    </row>
    <row r="3287" spans="1:3" x14ac:dyDescent="0.3">
      <c r="A3287" s="28">
        <v>43578</v>
      </c>
      <c r="B3287" s="36">
        <v>95923</v>
      </c>
      <c r="C3287">
        <f t="shared" si="115"/>
        <v>1.4113841079206768E-2</v>
      </c>
    </row>
    <row r="3288" spans="1:3" x14ac:dyDescent="0.3">
      <c r="A3288" s="28">
        <v>43579</v>
      </c>
      <c r="B3288" s="36">
        <v>95045</v>
      </c>
      <c r="C3288">
        <f t="shared" si="115"/>
        <v>-9.1531749424017539E-3</v>
      </c>
    </row>
    <row r="3289" spans="1:3" x14ac:dyDescent="0.3">
      <c r="A3289" s="28">
        <v>43580</v>
      </c>
      <c r="B3289" s="36">
        <v>96552</v>
      </c>
      <c r="C3289">
        <f t="shared" si="115"/>
        <v>1.5855647324951372E-2</v>
      </c>
    </row>
    <row r="3290" spans="1:3" x14ac:dyDescent="0.3">
      <c r="A3290" s="28">
        <v>43581</v>
      </c>
      <c r="B3290" s="36">
        <v>96236</v>
      </c>
      <c r="C3290">
        <f t="shared" si="115"/>
        <v>-3.2728477918634313E-3</v>
      </c>
    </row>
    <row r="3291" spans="1:3" x14ac:dyDescent="0.3">
      <c r="A3291" s="28">
        <v>43584</v>
      </c>
      <c r="B3291" s="36">
        <v>96188</v>
      </c>
      <c r="C3291">
        <f t="shared" si="115"/>
        <v>-4.9877384762464505E-4</v>
      </c>
    </row>
    <row r="3292" spans="1:3" x14ac:dyDescent="0.3">
      <c r="A3292" s="28">
        <v>43585</v>
      </c>
      <c r="B3292" s="36">
        <v>96353</v>
      </c>
      <c r="C3292">
        <f t="shared" si="115"/>
        <v>1.7153906932256824E-3</v>
      </c>
    </row>
    <row r="3293" spans="1:3" x14ac:dyDescent="0.3">
      <c r="A3293" s="28">
        <v>43587</v>
      </c>
      <c r="B3293" s="36">
        <v>95528</v>
      </c>
      <c r="C3293">
        <f t="shared" si="115"/>
        <v>-8.5622658350025249E-3</v>
      </c>
    </row>
    <row r="3294" spans="1:3" x14ac:dyDescent="0.3">
      <c r="A3294" s="28">
        <v>43588</v>
      </c>
      <c r="B3294" s="36">
        <v>96008</v>
      </c>
      <c r="C3294">
        <f t="shared" si="115"/>
        <v>5.0247047985931825E-3</v>
      </c>
    </row>
    <row r="3295" spans="1:3" x14ac:dyDescent="0.3">
      <c r="A3295" s="28">
        <v>43591</v>
      </c>
      <c r="B3295" s="36">
        <v>95009</v>
      </c>
      <c r="C3295">
        <f t="shared" si="115"/>
        <v>-1.0405382884759562E-2</v>
      </c>
    </row>
    <row r="3296" spans="1:3" x14ac:dyDescent="0.3">
      <c r="A3296" s="28">
        <v>43592</v>
      </c>
      <c r="B3296" s="36">
        <v>94389</v>
      </c>
      <c r="C3296">
        <f t="shared" si="115"/>
        <v>-6.5256975654938154E-3</v>
      </c>
    </row>
    <row r="3297" spans="1:3" x14ac:dyDescent="0.3">
      <c r="A3297" s="28">
        <v>43593</v>
      </c>
      <c r="B3297" s="36">
        <v>95597</v>
      </c>
      <c r="C3297">
        <f t="shared" si="115"/>
        <v>1.279810147368865E-2</v>
      </c>
    </row>
    <row r="3298" spans="1:3" x14ac:dyDescent="0.3">
      <c r="A3298" s="28">
        <v>43594</v>
      </c>
      <c r="B3298" s="36">
        <v>94808</v>
      </c>
      <c r="C3298">
        <f t="shared" si="115"/>
        <v>-8.2533970731298867E-3</v>
      </c>
    </row>
    <row r="3299" spans="1:3" x14ac:dyDescent="0.3">
      <c r="A3299" s="28">
        <v>43595</v>
      </c>
      <c r="B3299" s="36">
        <v>94258</v>
      </c>
      <c r="C3299">
        <f t="shared" si="115"/>
        <v>-5.8011982111214611E-3</v>
      </c>
    </row>
    <row r="3300" spans="1:3" x14ac:dyDescent="0.3">
      <c r="A3300" s="28">
        <v>43598</v>
      </c>
      <c r="B3300" s="36">
        <v>91727</v>
      </c>
      <c r="C3300">
        <f t="shared" si="115"/>
        <v>-2.6851832205223913E-2</v>
      </c>
    </row>
    <row r="3301" spans="1:3" x14ac:dyDescent="0.3">
      <c r="A3301" s="28">
        <v>43599</v>
      </c>
      <c r="B3301" s="36">
        <v>92092</v>
      </c>
      <c r="C3301">
        <f t="shared" si="115"/>
        <v>3.979199145289769E-3</v>
      </c>
    </row>
    <row r="3302" spans="1:3" x14ac:dyDescent="0.3">
      <c r="A3302" s="28">
        <v>43600</v>
      </c>
      <c r="B3302" s="36">
        <v>91623</v>
      </c>
      <c r="C3302">
        <f t="shared" si="115"/>
        <v>-5.0927333536029407E-3</v>
      </c>
    </row>
    <row r="3303" spans="1:3" x14ac:dyDescent="0.3">
      <c r="A3303" s="28">
        <v>43601</v>
      </c>
      <c r="B3303" s="36">
        <v>90024</v>
      </c>
      <c r="C3303">
        <f t="shared" si="115"/>
        <v>-1.7451949837922753E-2</v>
      </c>
    </row>
    <row r="3304" spans="1:3" x14ac:dyDescent="0.3">
      <c r="A3304" s="28">
        <v>43602</v>
      </c>
      <c r="B3304" s="36">
        <v>89993</v>
      </c>
      <c r="C3304">
        <f t="shared" si="115"/>
        <v>-3.4435261707987941E-4</v>
      </c>
    </row>
    <row r="3305" spans="1:3" x14ac:dyDescent="0.3">
      <c r="A3305" s="28">
        <v>43605</v>
      </c>
      <c r="B3305" s="36">
        <v>91946</v>
      </c>
      <c r="C3305">
        <f t="shared" si="115"/>
        <v>2.1701687909059686E-2</v>
      </c>
    </row>
    <row r="3306" spans="1:3" x14ac:dyDescent="0.3">
      <c r="A3306" s="28">
        <v>43606</v>
      </c>
      <c r="B3306" s="36">
        <v>94485</v>
      </c>
      <c r="C3306">
        <f t="shared" si="115"/>
        <v>2.7614034324494829E-2</v>
      </c>
    </row>
    <row r="3307" spans="1:3" x14ac:dyDescent="0.3">
      <c r="A3307" s="28">
        <v>43607</v>
      </c>
      <c r="B3307" s="36">
        <v>94361</v>
      </c>
      <c r="C3307">
        <f t="shared" si="115"/>
        <v>-1.312377626078165E-3</v>
      </c>
    </row>
    <row r="3308" spans="1:3" x14ac:dyDescent="0.3">
      <c r="A3308" s="28">
        <v>43608</v>
      </c>
      <c r="B3308" s="36">
        <v>93910</v>
      </c>
      <c r="C3308">
        <f t="shared" si="115"/>
        <v>-4.7795169614565092E-3</v>
      </c>
    </row>
    <row r="3309" spans="1:3" x14ac:dyDescent="0.3">
      <c r="A3309" s="28">
        <v>43609</v>
      </c>
      <c r="B3309" s="36">
        <v>93628</v>
      </c>
      <c r="C3309">
        <f t="shared" si="115"/>
        <v>-3.0028750931743176E-3</v>
      </c>
    </row>
    <row r="3310" spans="1:3" x14ac:dyDescent="0.3">
      <c r="A3310" s="28">
        <v>43612</v>
      </c>
      <c r="B3310" s="36">
        <v>94864</v>
      </c>
      <c r="C3310">
        <f t="shared" si="115"/>
        <v>1.320117913444685E-2</v>
      </c>
    </row>
    <row r="3311" spans="1:3" x14ac:dyDescent="0.3">
      <c r="A3311" s="28">
        <v>43613</v>
      </c>
      <c r="B3311" s="36">
        <v>96393</v>
      </c>
      <c r="C3311">
        <f t="shared" si="115"/>
        <v>1.6117810760667872E-2</v>
      </c>
    </row>
    <row r="3312" spans="1:3" x14ac:dyDescent="0.3">
      <c r="A3312" s="28">
        <v>43614</v>
      </c>
      <c r="B3312" s="36">
        <v>96567</v>
      </c>
      <c r="C3312">
        <f t="shared" si="115"/>
        <v>1.8051103295881887E-3</v>
      </c>
    </row>
    <row r="3313" spans="1:3" x14ac:dyDescent="0.3">
      <c r="A3313" s="28">
        <v>43615</v>
      </c>
      <c r="B3313" s="36">
        <v>97457</v>
      </c>
      <c r="C3313">
        <f t="shared" si="115"/>
        <v>9.2163989768760946E-3</v>
      </c>
    </row>
    <row r="3314" spans="1:3" x14ac:dyDescent="0.3">
      <c r="A3314" s="28">
        <v>43616</v>
      </c>
      <c r="B3314" s="36">
        <v>97030</v>
      </c>
      <c r="C3314">
        <f t="shared" si="115"/>
        <v>-4.3814194978297749E-3</v>
      </c>
    </row>
    <row r="3315" spans="1:3" x14ac:dyDescent="0.3">
      <c r="A3315" s="28">
        <v>43619</v>
      </c>
      <c r="B3315" s="36">
        <v>97020</v>
      </c>
      <c r="C3315">
        <f t="shared" si="115"/>
        <v>-1.0306090899725451E-4</v>
      </c>
    </row>
    <row r="3316" spans="1:3" x14ac:dyDescent="0.3">
      <c r="A3316" s="28">
        <v>43620</v>
      </c>
      <c r="B3316" s="36">
        <v>97380</v>
      </c>
      <c r="C3316">
        <f t="shared" si="115"/>
        <v>3.7105751391466324E-3</v>
      </c>
    </row>
    <row r="3317" spans="1:3" x14ac:dyDescent="0.3">
      <c r="A3317" s="28">
        <v>43621</v>
      </c>
      <c r="B3317" s="36">
        <v>95999</v>
      </c>
      <c r="C3317">
        <f t="shared" si="115"/>
        <v>-1.4181556787841498E-2</v>
      </c>
    </row>
    <row r="3318" spans="1:3" x14ac:dyDescent="0.3">
      <c r="A3318" s="28">
        <v>43622</v>
      </c>
      <c r="B3318" s="36">
        <v>97205</v>
      </c>
      <c r="C3318">
        <f t="shared" si="115"/>
        <v>1.2562630860738055E-2</v>
      </c>
    </row>
    <row r="3319" spans="1:3" x14ac:dyDescent="0.3">
      <c r="A3319" s="28">
        <v>43623</v>
      </c>
      <c r="B3319" s="36">
        <v>97821</v>
      </c>
      <c r="C3319">
        <f t="shared" si="115"/>
        <v>6.3371225759991656E-3</v>
      </c>
    </row>
    <row r="3320" spans="1:3" x14ac:dyDescent="0.3">
      <c r="A3320" s="28">
        <v>43626</v>
      </c>
      <c r="B3320" s="36">
        <v>97467</v>
      </c>
      <c r="C3320">
        <f t="shared" si="115"/>
        <v>-3.6188548471187687E-3</v>
      </c>
    </row>
    <row r="3321" spans="1:3" x14ac:dyDescent="0.3">
      <c r="A3321" s="28">
        <v>43627</v>
      </c>
      <c r="B3321" s="36">
        <v>98960</v>
      </c>
      <c r="C3321">
        <f t="shared" si="115"/>
        <v>1.5318005068382101E-2</v>
      </c>
    </row>
    <row r="3322" spans="1:3" x14ac:dyDescent="0.3">
      <c r="A3322" s="28">
        <v>43628</v>
      </c>
      <c r="B3322" s="36">
        <v>98321</v>
      </c>
      <c r="C3322">
        <f t="shared" si="115"/>
        <v>-6.4571544058205088E-3</v>
      </c>
    </row>
    <row r="3323" spans="1:3" x14ac:dyDescent="0.3">
      <c r="A3323" s="28">
        <v>43629</v>
      </c>
      <c r="B3323" s="36">
        <v>98774</v>
      </c>
      <c r="C3323">
        <f t="shared" si="115"/>
        <v>4.6073575329788063E-3</v>
      </c>
    </row>
    <row r="3324" spans="1:3" x14ac:dyDescent="0.3">
      <c r="A3324" s="28">
        <v>43630</v>
      </c>
      <c r="B3324" s="36">
        <v>98040</v>
      </c>
      <c r="C3324">
        <f t="shared" si="115"/>
        <v>-7.4311053516107339E-3</v>
      </c>
    </row>
    <row r="3325" spans="1:3" x14ac:dyDescent="0.3">
      <c r="A3325" s="28">
        <v>43633</v>
      </c>
      <c r="B3325" s="36">
        <v>97623</v>
      </c>
      <c r="C3325">
        <f t="shared" si="115"/>
        <v>-4.2533659730722428E-3</v>
      </c>
    </row>
    <row r="3326" spans="1:3" x14ac:dyDescent="0.3">
      <c r="A3326" s="28">
        <v>43634</v>
      </c>
      <c r="B3326" s="36">
        <v>99404</v>
      </c>
      <c r="C3326">
        <f t="shared" si="115"/>
        <v>1.824365159849628E-2</v>
      </c>
    </row>
    <row r="3327" spans="1:3" x14ac:dyDescent="0.3">
      <c r="A3327" s="28">
        <v>43635</v>
      </c>
      <c r="B3327" s="36">
        <v>100303</v>
      </c>
      <c r="C3327">
        <f t="shared" si="115"/>
        <v>9.0439016538570449E-3</v>
      </c>
    </row>
    <row r="3328" spans="1:3" x14ac:dyDescent="0.3">
      <c r="A3328" s="28">
        <v>43637</v>
      </c>
      <c r="B3328" s="36">
        <v>102013</v>
      </c>
      <c r="C3328">
        <f t="shared" si="115"/>
        <v>1.7048343519137088E-2</v>
      </c>
    </row>
    <row r="3329" spans="1:3" x14ac:dyDescent="0.3">
      <c r="A3329" s="28">
        <v>43640</v>
      </c>
      <c r="B3329" s="36">
        <v>102062</v>
      </c>
      <c r="C3329">
        <f t="shared" si="115"/>
        <v>4.8033093821375772E-4</v>
      </c>
    </row>
    <row r="3330" spans="1:3" x14ac:dyDescent="0.3">
      <c r="A3330" s="28">
        <v>43641</v>
      </c>
      <c r="B3330" s="36">
        <v>100093</v>
      </c>
      <c r="C3330">
        <f t="shared" si="115"/>
        <v>-1.9292194940330409E-2</v>
      </c>
    </row>
    <row r="3331" spans="1:3" x14ac:dyDescent="0.3">
      <c r="A3331" s="28">
        <v>43642</v>
      </c>
      <c r="B3331" s="36">
        <v>100689</v>
      </c>
      <c r="C3331">
        <f t="shared" si="115"/>
        <v>5.9544623500145111E-3</v>
      </c>
    </row>
    <row r="3332" spans="1:3" x14ac:dyDescent="0.3">
      <c r="A3332" s="28">
        <v>43643</v>
      </c>
      <c r="B3332" s="36">
        <v>100724</v>
      </c>
      <c r="C3332">
        <f t="shared" ref="C3332:C3395" si="116">B3332/B3331-1</f>
        <v>3.4760500153940832E-4</v>
      </c>
    </row>
    <row r="3333" spans="1:3" x14ac:dyDescent="0.3">
      <c r="A3333" s="28">
        <v>43644</v>
      </c>
      <c r="B3333" s="36">
        <v>100967</v>
      </c>
      <c r="C3333">
        <f t="shared" si="116"/>
        <v>2.41253325920332E-3</v>
      </c>
    </row>
    <row r="3334" spans="1:3" x14ac:dyDescent="0.3">
      <c r="A3334" s="28">
        <v>43647</v>
      </c>
      <c r="B3334" s="36">
        <v>101340</v>
      </c>
      <c r="C3334">
        <f t="shared" si="116"/>
        <v>3.6942763477174623E-3</v>
      </c>
    </row>
    <row r="3335" spans="1:3" x14ac:dyDescent="0.3">
      <c r="A3335" s="28">
        <v>43648</v>
      </c>
      <c r="B3335" s="36">
        <v>100605</v>
      </c>
      <c r="C3335">
        <f t="shared" si="116"/>
        <v>-7.2528123149793178E-3</v>
      </c>
    </row>
    <row r="3336" spans="1:3" x14ac:dyDescent="0.3">
      <c r="A3336" s="28">
        <v>43649</v>
      </c>
      <c r="B3336" s="36">
        <v>102043</v>
      </c>
      <c r="C3336">
        <f t="shared" si="116"/>
        <v>1.4293524178718764E-2</v>
      </c>
    </row>
    <row r="3337" spans="1:3" x14ac:dyDescent="0.3">
      <c r="A3337" s="28">
        <v>43650</v>
      </c>
      <c r="B3337" s="36">
        <v>103636</v>
      </c>
      <c r="C3337">
        <f t="shared" si="116"/>
        <v>1.5611065923189171E-2</v>
      </c>
    </row>
    <row r="3338" spans="1:3" x14ac:dyDescent="0.3">
      <c r="A3338" s="28">
        <v>43651</v>
      </c>
      <c r="B3338" s="36">
        <v>104089</v>
      </c>
      <c r="C3338">
        <f t="shared" si="116"/>
        <v>4.3710679686594922E-3</v>
      </c>
    </row>
    <row r="3339" spans="1:3" x14ac:dyDescent="0.3">
      <c r="A3339" s="28">
        <v>43654</v>
      </c>
      <c r="B3339" s="36">
        <v>104530</v>
      </c>
      <c r="C3339">
        <f t="shared" si="116"/>
        <v>4.2367589274563411E-3</v>
      </c>
    </row>
    <row r="3340" spans="1:3" x14ac:dyDescent="0.3">
      <c r="A3340" s="28">
        <v>43656</v>
      </c>
      <c r="B3340" s="36">
        <v>105817</v>
      </c>
      <c r="C3340">
        <f t="shared" si="116"/>
        <v>1.2312254855065596E-2</v>
      </c>
    </row>
    <row r="3341" spans="1:3" x14ac:dyDescent="0.3">
      <c r="A3341" s="28">
        <v>43657</v>
      </c>
      <c r="B3341" s="36">
        <v>105146</v>
      </c>
      <c r="C3341">
        <f t="shared" si="116"/>
        <v>-6.3411361123448806E-3</v>
      </c>
    </row>
    <row r="3342" spans="1:3" x14ac:dyDescent="0.3">
      <c r="A3342" s="28">
        <v>43658</v>
      </c>
      <c r="B3342" s="36">
        <v>103906</v>
      </c>
      <c r="C3342">
        <f t="shared" si="116"/>
        <v>-1.1793125748958633E-2</v>
      </c>
    </row>
    <row r="3343" spans="1:3" x14ac:dyDescent="0.3">
      <c r="A3343" s="28">
        <v>43661</v>
      </c>
      <c r="B3343" s="36">
        <v>103803</v>
      </c>
      <c r="C3343">
        <f t="shared" si="116"/>
        <v>-9.9128058052466717E-4</v>
      </c>
    </row>
    <row r="3344" spans="1:3" x14ac:dyDescent="0.3">
      <c r="A3344" s="28">
        <v>43662</v>
      </c>
      <c r="B3344" s="36">
        <v>103775</v>
      </c>
      <c r="C3344">
        <f t="shared" si="116"/>
        <v>-2.6974172230087579E-4</v>
      </c>
    </row>
    <row r="3345" spans="1:3" x14ac:dyDescent="0.3">
      <c r="A3345" s="28">
        <v>43663</v>
      </c>
      <c r="B3345" s="36">
        <v>103856</v>
      </c>
      <c r="C3345">
        <f t="shared" si="116"/>
        <v>7.8053481088891097E-4</v>
      </c>
    </row>
    <row r="3346" spans="1:3" x14ac:dyDescent="0.3">
      <c r="A3346" s="28">
        <v>43664</v>
      </c>
      <c r="B3346" s="36">
        <v>104717</v>
      </c>
      <c r="C3346">
        <f t="shared" si="116"/>
        <v>8.2903250654753347E-3</v>
      </c>
    </row>
    <row r="3347" spans="1:3" x14ac:dyDescent="0.3">
      <c r="A3347" s="28">
        <v>43665</v>
      </c>
      <c r="B3347" s="36">
        <v>103452</v>
      </c>
      <c r="C3347">
        <f t="shared" si="116"/>
        <v>-1.2080178003571529E-2</v>
      </c>
    </row>
    <row r="3348" spans="1:3" x14ac:dyDescent="0.3">
      <c r="A3348" s="28">
        <v>43668</v>
      </c>
      <c r="B3348" s="36">
        <v>103949</v>
      </c>
      <c r="C3348">
        <f t="shared" si="116"/>
        <v>4.8041603835595748E-3</v>
      </c>
    </row>
    <row r="3349" spans="1:3" x14ac:dyDescent="0.3">
      <c r="A3349" s="28">
        <v>43669</v>
      </c>
      <c r="B3349" s="36">
        <v>103704</v>
      </c>
      <c r="C3349">
        <f t="shared" si="116"/>
        <v>-2.3569250305438549E-3</v>
      </c>
    </row>
    <row r="3350" spans="1:3" x14ac:dyDescent="0.3">
      <c r="A3350" s="28">
        <v>43670</v>
      </c>
      <c r="B3350" s="36">
        <v>104120</v>
      </c>
      <c r="C3350">
        <f t="shared" si="116"/>
        <v>4.0114171102367813E-3</v>
      </c>
    </row>
    <row r="3351" spans="1:3" x14ac:dyDescent="0.3">
      <c r="A3351" s="28">
        <v>43671</v>
      </c>
      <c r="B3351" s="36">
        <v>102655</v>
      </c>
      <c r="C3351">
        <f t="shared" si="116"/>
        <v>-1.4070303495966163E-2</v>
      </c>
    </row>
    <row r="3352" spans="1:3" x14ac:dyDescent="0.3">
      <c r="A3352" s="28">
        <v>43672</v>
      </c>
      <c r="B3352" s="36">
        <v>102819</v>
      </c>
      <c r="C3352">
        <f t="shared" si="116"/>
        <v>1.5975841410549307E-3</v>
      </c>
    </row>
    <row r="3353" spans="1:3" x14ac:dyDescent="0.3">
      <c r="A3353" s="28">
        <v>43675</v>
      </c>
      <c r="B3353" s="36">
        <v>103483</v>
      </c>
      <c r="C3353">
        <f t="shared" si="116"/>
        <v>6.4579503788211312E-3</v>
      </c>
    </row>
    <row r="3354" spans="1:3" x14ac:dyDescent="0.3">
      <c r="A3354" s="28">
        <v>43676</v>
      </c>
      <c r="B3354" s="36">
        <v>102933</v>
      </c>
      <c r="C3354">
        <f t="shared" si="116"/>
        <v>-5.3148826377279468E-3</v>
      </c>
    </row>
    <row r="3355" spans="1:3" x14ac:dyDescent="0.3">
      <c r="A3355" s="28">
        <v>43677</v>
      </c>
      <c r="B3355" s="36">
        <v>101812</v>
      </c>
      <c r="C3355">
        <f t="shared" si="116"/>
        <v>-1.0890579308870829E-2</v>
      </c>
    </row>
    <row r="3356" spans="1:3" x14ac:dyDescent="0.3">
      <c r="A3356" s="28">
        <v>43678</v>
      </c>
      <c r="B3356" s="36">
        <v>102126</v>
      </c>
      <c r="C3356">
        <f t="shared" si="116"/>
        <v>3.0841158213177344E-3</v>
      </c>
    </row>
    <row r="3357" spans="1:3" x14ac:dyDescent="0.3">
      <c r="A3357" s="28">
        <v>43679</v>
      </c>
      <c r="B3357" s="36">
        <v>102674</v>
      </c>
      <c r="C3357">
        <f t="shared" si="116"/>
        <v>5.3659205295419898E-3</v>
      </c>
    </row>
    <row r="3358" spans="1:3" x14ac:dyDescent="0.3">
      <c r="A3358" s="28">
        <v>43682</v>
      </c>
      <c r="B3358" s="36">
        <v>100098</v>
      </c>
      <c r="C3358">
        <f t="shared" si="116"/>
        <v>-2.5089117011122597E-2</v>
      </c>
    </row>
    <row r="3359" spans="1:3" x14ac:dyDescent="0.3">
      <c r="A3359" s="28">
        <v>43683</v>
      </c>
      <c r="B3359" s="36">
        <v>102164</v>
      </c>
      <c r="C3359">
        <f t="shared" si="116"/>
        <v>2.0639773022437913E-2</v>
      </c>
    </row>
    <row r="3360" spans="1:3" x14ac:dyDescent="0.3">
      <c r="A3360" s="28">
        <v>43684</v>
      </c>
      <c r="B3360" s="36">
        <v>102782</v>
      </c>
      <c r="C3360">
        <f t="shared" si="116"/>
        <v>6.0490975294624771E-3</v>
      </c>
    </row>
    <row r="3361" spans="1:3" x14ac:dyDescent="0.3">
      <c r="A3361" s="28">
        <v>43685</v>
      </c>
      <c r="B3361" s="36">
        <v>104115</v>
      </c>
      <c r="C3361">
        <f t="shared" si="116"/>
        <v>1.2969196941098549E-2</v>
      </c>
    </row>
    <row r="3362" spans="1:3" x14ac:dyDescent="0.3">
      <c r="A3362" s="28">
        <v>43686</v>
      </c>
      <c r="B3362" s="36">
        <v>103996</v>
      </c>
      <c r="C3362">
        <f t="shared" si="116"/>
        <v>-1.1429669115881058E-3</v>
      </c>
    </row>
    <row r="3363" spans="1:3" x14ac:dyDescent="0.3">
      <c r="A3363" s="28">
        <v>43689</v>
      </c>
      <c r="B3363" s="36">
        <v>101915</v>
      </c>
      <c r="C3363">
        <f t="shared" si="116"/>
        <v>-2.001038501480823E-2</v>
      </c>
    </row>
    <row r="3364" spans="1:3" x14ac:dyDescent="0.3">
      <c r="A3364" s="28">
        <v>43690</v>
      </c>
      <c r="B3364" s="36">
        <v>103299</v>
      </c>
      <c r="C3364">
        <f t="shared" si="116"/>
        <v>1.3579944071039574E-2</v>
      </c>
    </row>
    <row r="3365" spans="1:3" x14ac:dyDescent="0.3">
      <c r="A3365" s="28">
        <v>43691</v>
      </c>
      <c r="B3365" s="36">
        <v>100258</v>
      </c>
      <c r="C3365">
        <f t="shared" si="116"/>
        <v>-2.9438813541273423E-2</v>
      </c>
    </row>
    <row r="3366" spans="1:3" x14ac:dyDescent="0.3">
      <c r="A3366" s="28">
        <v>43692</v>
      </c>
      <c r="B3366" s="36">
        <v>99057</v>
      </c>
      <c r="C3366">
        <f t="shared" si="116"/>
        <v>-1.197909393764085E-2</v>
      </c>
    </row>
    <row r="3367" spans="1:3" x14ac:dyDescent="0.3">
      <c r="A3367" s="28">
        <v>43693</v>
      </c>
      <c r="B3367" s="36">
        <v>99806</v>
      </c>
      <c r="C3367">
        <f t="shared" si="116"/>
        <v>7.5613030881209742E-3</v>
      </c>
    </row>
    <row r="3368" spans="1:3" x14ac:dyDescent="0.3">
      <c r="A3368" s="28">
        <v>43696</v>
      </c>
      <c r="B3368" s="36">
        <v>99469</v>
      </c>
      <c r="C3368">
        <f t="shared" si="116"/>
        <v>-3.3765505079854652E-3</v>
      </c>
    </row>
    <row r="3369" spans="1:3" x14ac:dyDescent="0.3">
      <c r="A3369" s="28">
        <v>43697</v>
      </c>
      <c r="B3369" s="36">
        <v>99222</v>
      </c>
      <c r="C3369">
        <f t="shared" si="116"/>
        <v>-2.4831857161528026E-3</v>
      </c>
    </row>
    <row r="3370" spans="1:3" x14ac:dyDescent="0.3">
      <c r="A3370" s="28">
        <v>43698</v>
      </c>
      <c r="B3370" s="36">
        <v>101202</v>
      </c>
      <c r="C3370">
        <f t="shared" si="116"/>
        <v>1.9955251859466561E-2</v>
      </c>
    </row>
    <row r="3371" spans="1:3" x14ac:dyDescent="0.3">
      <c r="A3371" s="28">
        <v>43699</v>
      </c>
      <c r="B3371" s="36">
        <v>100011</v>
      </c>
      <c r="C3371">
        <f t="shared" si="116"/>
        <v>-1.1768542123673398E-2</v>
      </c>
    </row>
    <row r="3372" spans="1:3" x14ac:dyDescent="0.3">
      <c r="A3372" s="28">
        <v>43700</v>
      </c>
      <c r="B3372" s="36">
        <v>97667</v>
      </c>
      <c r="C3372">
        <f t="shared" si="116"/>
        <v>-2.3437421883592768E-2</v>
      </c>
    </row>
    <row r="3373" spans="1:3" x14ac:dyDescent="0.3">
      <c r="A3373" s="28">
        <v>43703</v>
      </c>
      <c r="B3373" s="36">
        <v>96430</v>
      </c>
      <c r="C3373">
        <f t="shared" si="116"/>
        <v>-1.2665485783324937E-2</v>
      </c>
    </row>
    <row r="3374" spans="1:3" x14ac:dyDescent="0.3">
      <c r="A3374" s="28">
        <v>43704</v>
      </c>
      <c r="B3374" s="36">
        <v>97276</v>
      </c>
      <c r="C3374">
        <f t="shared" si="116"/>
        <v>8.7732033599501325E-3</v>
      </c>
    </row>
    <row r="3375" spans="1:3" x14ac:dyDescent="0.3">
      <c r="A3375" s="28">
        <v>43705</v>
      </c>
      <c r="B3375" s="36">
        <v>98194</v>
      </c>
      <c r="C3375">
        <f t="shared" si="116"/>
        <v>9.4370656688185228E-3</v>
      </c>
    </row>
    <row r="3376" spans="1:3" x14ac:dyDescent="0.3">
      <c r="A3376" s="28">
        <v>43706</v>
      </c>
      <c r="B3376" s="36">
        <v>100524</v>
      </c>
      <c r="C3376">
        <f t="shared" si="116"/>
        <v>2.3728537385176329E-2</v>
      </c>
    </row>
    <row r="3377" spans="1:3" x14ac:dyDescent="0.3">
      <c r="A3377" s="28">
        <v>43707</v>
      </c>
      <c r="B3377" s="36">
        <v>101135</v>
      </c>
      <c r="C3377">
        <f t="shared" si="116"/>
        <v>6.0781504914249052E-3</v>
      </c>
    </row>
    <row r="3378" spans="1:3" x14ac:dyDescent="0.3">
      <c r="A3378" s="28">
        <v>43710</v>
      </c>
      <c r="B3378" s="36">
        <v>100626</v>
      </c>
      <c r="C3378">
        <f t="shared" si="116"/>
        <v>-5.0328768477777563E-3</v>
      </c>
    </row>
    <row r="3379" spans="1:3" x14ac:dyDescent="0.3">
      <c r="A3379" s="28">
        <v>43711</v>
      </c>
      <c r="B3379" s="36">
        <v>99681</v>
      </c>
      <c r="C3379">
        <f t="shared" si="116"/>
        <v>-9.3912110190209619E-3</v>
      </c>
    </row>
    <row r="3380" spans="1:3" x14ac:dyDescent="0.3">
      <c r="A3380" s="28">
        <v>43712</v>
      </c>
      <c r="B3380" s="36">
        <v>101201</v>
      </c>
      <c r="C3380">
        <f t="shared" si="116"/>
        <v>1.5248643171717813E-2</v>
      </c>
    </row>
    <row r="3381" spans="1:3" x14ac:dyDescent="0.3">
      <c r="A3381" s="28">
        <v>43713</v>
      </c>
      <c r="B3381" s="36">
        <v>102243</v>
      </c>
      <c r="C3381">
        <f t="shared" si="116"/>
        <v>1.0296340945247673E-2</v>
      </c>
    </row>
    <row r="3382" spans="1:3" x14ac:dyDescent="0.3">
      <c r="A3382" s="28">
        <v>43714</v>
      </c>
      <c r="B3382" s="36">
        <v>102935</v>
      </c>
      <c r="C3382">
        <f t="shared" si="116"/>
        <v>6.7681895093063549E-3</v>
      </c>
    </row>
    <row r="3383" spans="1:3" x14ac:dyDescent="0.3">
      <c r="A3383" s="28">
        <v>43717</v>
      </c>
      <c r="B3383" s="36">
        <v>103181</v>
      </c>
      <c r="C3383">
        <f t="shared" si="116"/>
        <v>2.3898576771748115E-3</v>
      </c>
    </row>
    <row r="3384" spans="1:3" x14ac:dyDescent="0.3">
      <c r="A3384" s="28">
        <v>43718</v>
      </c>
      <c r="B3384" s="36">
        <v>103032</v>
      </c>
      <c r="C3384">
        <f t="shared" si="116"/>
        <v>-1.4440643141663267E-3</v>
      </c>
    </row>
    <row r="3385" spans="1:3" x14ac:dyDescent="0.3">
      <c r="A3385" s="28">
        <v>43719</v>
      </c>
      <c r="B3385" s="36">
        <v>103446</v>
      </c>
      <c r="C3385">
        <f t="shared" si="116"/>
        <v>4.0181691125087404E-3</v>
      </c>
    </row>
    <row r="3386" spans="1:3" x14ac:dyDescent="0.3">
      <c r="A3386" s="28">
        <v>43720</v>
      </c>
      <c r="B3386" s="36">
        <v>104371</v>
      </c>
      <c r="C3386">
        <f t="shared" si="116"/>
        <v>8.9418633876612308E-3</v>
      </c>
    </row>
    <row r="3387" spans="1:3" x14ac:dyDescent="0.3">
      <c r="A3387" s="28">
        <v>43721</v>
      </c>
      <c r="B3387" s="36">
        <v>103501</v>
      </c>
      <c r="C3387">
        <f t="shared" si="116"/>
        <v>-8.335648791330974E-3</v>
      </c>
    </row>
    <row r="3388" spans="1:3" x14ac:dyDescent="0.3">
      <c r="A3388" s="28">
        <v>43724</v>
      </c>
      <c r="B3388" s="36">
        <v>103680</v>
      </c>
      <c r="C3388">
        <f t="shared" si="116"/>
        <v>1.7294518893538058E-3</v>
      </c>
    </row>
    <row r="3389" spans="1:3" x14ac:dyDescent="0.3">
      <c r="A3389" s="28">
        <v>43725</v>
      </c>
      <c r="B3389" s="36">
        <v>104617</v>
      </c>
      <c r="C3389">
        <f t="shared" si="116"/>
        <v>9.0374228395062595E-3</v>
      </c>
    </row>
    <row r="3390" spans="1:3" x14ac:dyDescent="0.3">
      <c r="A3390" s="28">
        <v>43726</v>
      </c>
      <c r="B3390" s="36">
        <v>104532</v>
      </c>
      <c r="C3390">
        <f t="shared" si="116"/>
        <v>-8.124874542377869E-4</v>
      </c>
    </row>
    <row r="3391" spans="1:3" x14ac:dyDescent="0.3">
      <c r="A3391" s="28">
        <v>43727</v>
      </c>
      <c r="B3391" s="36">
        <v>104339</v>
      </c>
      <c r="C3391">
        <f t="shared" si="116"/>
        <v>-1.8463245704664066E-3</v>
      </c>
    </row>
    <row r="3392" spans="1:3" x14ac:dyDescent="0.3">
      <c r="A3392" s="28">
        <v>43728</v>
      </c>
      <c r="B3392" s="36">
        <v>104817</v>
      </c>
      <c r="C3392">
        <f t="shared" si="116"/>
        <v>4.5812208282616229E-3</v>
      </c>
    </row>
    <row r="3393" spans="1:3" x14ac:dyDescent="0.3">
      <c r="A3393" s="28">
        <v>43731</v>
      </c>
      <c r="B3393" s="36">
        <v>104638</v>
      </c>
      <c r="C3393">
        <f t="shared" si="116"/>
        <v>-1.7077382485665149E-3</v>
      </c>
    </row>
    <row r="3394" spans="1:3" x14ac:dyDescent="0.3">
      <c r="A3394" s="28">
        <v>43732</v>
      </c>
      <c r="B3394" s="36">
        <v>103876</v>
      </c>
      <c r="C3394">
        <f t="shared" si="116"/>
        <v>-7.2822492784647697E-3</v>
      </c>
    </row>
    <row r="3395" spans="1:3" x14ac:dyDescent="0.3">
      <c r="A3395" s="28">
        <v>43733</v>
      </c>
      <c r="B3395" s="36">
        <v>104481</v>
      </c>
      <c r="C3395">
        <f t="shared" si="116"/>
        <v>5.8242519927607095E-3</v>
      </c>
    </row>
    <row r="3396" spans="1:3" x14ac:dyDescent="0.3">
      <c r="A3396" s="28">
        <v>43734</v>
      </c>
      <c r="B3396" s="36">
        <v>105319</v>
      </c>
      <c r="C3396">
        <f t="shared" ref="C3396:C3459" si="117">B3396/B3395-1</f>
        <v>8.0205970463529397E-3</v>
      </c>
    </row>
    <row r="3397" spans="1:3" x14ac:dyDescent="0.3">
      <c r="A3397" s="28">
        <v>43735</v>
      </c>
      <c r="B3397" s="36">
        <v>105078</v>
      </c>
      <c r="C3397">
        <f t="shared" si="117"/>
        <v>-2.288286064242917E-3</v>
      </c>
    </row>
    <row r="3398" spans="1:3" x14ac:dyDescent="0.3">
      <c r="A3398" s="28">
        <v>43738</v>
      </c>
      <c r="B3398" s="36">
        <v>104745</v>
      </c>
      <c r="C3398">
        <f t="shared" si="117"/>
        <v>-3.1690744018728623E-3</v>
      </c>
    </row>
    <row r="3399" spans="1:3" x14ac:dyDescent="0.3">
      <c r="A3399" s="28">
        <v>43739</v>
      </c>
      <c r="B3399" s="36">
        <v>104053</v>
      </c>
      <c r="C3399">
        <f t="shared" si="117"/>
        <v>-6.606520597641885E-3</v>
      </c>
    </row>
    <row r="3400" spans="1:3" x14ac:dyDescent="0.3">
      <c r="A3400" s="28">
        <v>43740</v>
      </c>
      <c r="B3400" s="36">
        <v>101031</v>
      </c>
      <c r="C3400">
        <f t="shared" si="117"/>
        <v>-2.9042891603317522E-2</v>
      </c>
    </row>
    <row r="3401" spans="1:3" x14ac:dyDescent="0.3">
      <c r="A3401" s="28">
        <v>43741</v>
      </c>
      <c r="B3401" s="36">
        <v>101516</v>
      </c>
      <c r="C3401">
        <f t="shared" si="117"/>
        <v>4.8005067751482056E-3</v>
      </c>
    </row>
    <row r="3402" spans="1:3" x14ac:dyDescent="0.3">
      <c r="A3402" s="28">
        <v>43742</v>
      </c>
      <c r="B3402" s="36">
        <v>102551</v>
      </c>
      <c r="C3402">
        <f t="shared" si="117"/>
        <v>1.0195437172465516E-2</v>
      </c>
    </row>
    <row r="3403" spans="1:3" x14ac:dyDescent="0.3">
      <c r="A3403" s="28">
        <v>43745</v>
      </c>
      <c r="B3403" s="36">
        <v>100573</v>
      </c>
      <c r="C3403">
        <f t="shared" si="117"/>
        <v>-1.9287964037405736E-2</v>
      </c>
    </row>
    <row r="3404" spans="1:3" x14ac:dyDescent="0.3">
      <c r="A3404" s="28">
        <v>43746</v>
      </c>
      <c r="B3404" s="36">
        <v>99981</v>
      </c>
      <c r="C3404">
        <f t="shared" si="117"/>
        <v>-5.8862716633688583E-3</v>
      </c>
    </row>
    <row r="3405" spans="1:3" x14ac:dyDescent="0.3">
      <c r="A3405" s="28">
        <v>43747</v>
      </c>
      <c r="B3405" s="36">
        <v>101249</v>
      </c>
      <c r="C3405">
        <f t="shared" si="117"/>
        <v>1.268240965783507E-2</v>
      </c>
    </row>
    <row r="3406" spans="1:3" x14ac:dyDescent="0.3">
      <c r="A3406" s="28">
        <v>43748</v>
      </c>
      <c r="B3406" s="36">
        <v>101817</v>
      </c>
      <c r="C3406">
        <f t="shared" si="117"/>
        <v>5.6099319499451905E-3</v>
      </c>
    </row>
    <row r="3407" spans="1:3" x14ac:dyDescent="0.3">
      <c r="A3407" s="28">
        <v>43749</v>
      </c>
      <c r="B3407" s="36">
        <v>103832</v>
      </c>
      <c r="C3407">
        <f t="shared" si="117"/>
        <v>1.9790408281524785E-2</v>
      </c>
    </row>
    <row r="3408" spans="1:3" x14ac:dyDescent="0.3">
      <c r="A3408" s="28">
        <v>43752</v>
      </c>
      <c r="B3408" s="36">
        <v>104302</v>
      </c>
      <c r="C3408">
        <f t="shared" si="117"/>
        <v>4.5265428769549754E-3</v>
      </c>
    </row>
    <row r="3409" spans="1:3" x14ac:dyDescent="0.3">
      <c r="A3409" s="28">
        <v>43753</v>
      </c>
      <c r="B3409" s="36">
        <v>104490</v>
      </c>
      <c r="C3409">
        <f t="shared" si="117"/>
        <v>1.8024582462465855E-3</v>
      </c>
    </row>
    <row r="3410" spans="1:3" x14ac:dyDescent="0.3">
      <c r="A3410" s="28">
        <v>43754</v>
      </c>
      <c r="B3410" s="36">
        <v>105423</v>
      </c>
      <c r="C3410">
        <f t="shared" si="117"/>
        <v>8.9290841228826245E-3</v>
      </c>
    </row>
    <row r="3411" spans="1:3" x14ac:dyDescent="0.3">
      <c r="A3411" s="28">
        <v>43755</v>
      </c>
      <c r="B3411" s="36">
        <v>105016</v>
      </c>
      <c r="C3411">
        <f t="shared" si="117"/>
        <v>-3.8606376217713567E-3</v>
      </c>
    </row>
    <row r="3412" spans="1:3" x14ac:dyDescent="0.3">
      <c r="A3412" s="28">
        <v>43756</v>
      </c>
      <c r="B3412" s="36">
        <v>104729</v>
      </c>
      <c r="C3412">
        <f t="shared" si="117"/>
        <v>-2.7329168888550193E-3</v>
      </c>
    </row>
    <row r="3413" spans="1:3" x14ac:dyDescent="0.3">
      <c r="A3413" s="28">
        <v>43759</v>
      </c>
      <c r="B3413" s="36">
        <v>106022</v>
      </c>
      <c r="C3413">
        <f t="shared" si="117"/>
        <v>1.234615054091992E-2</v>
      </c>
    </row>
    <row r="3414" spans="1:3" x14ac:dyDescent="0.3">
      <c r="A3414" s="28">
        <v>43760</v>
      </c>
      <c r="B3414" s="36">
        <v>107381</v>
      </c>
      <c r="C3414">
        <f t="shared" si="117"/>
        <v>1.2818094357774701E-2</v>
      </c>
    </row>
    <row r="3415" spans="1:3" x14ac:dyDescent="0.3">
      <c r="A3415" s="28">
        <v>43761</v>
      </c>
      <c r="B3415" s="36">
        <v>107544</v>
      </c>
      <c r="C3415">
        <f t="shared" si="117"/>
        <v>1.5179594155390053E-3</v>
      </c>
    </row>
    <row r="3416" spans="1:3" x14ac:dyDescent="0.3">
      <c r="A3416" s="28">
        <v>43762</v>
      </c>
      <c r="B3416" s="36">
        <v>106986</v>
      </c>
      <c r="C3416">
        <f t="shared" si="117"/>
        <v>-5.1885739790225038E-3</v>
      </c>
    </row>
    <row r="3417" spans="1:3" x14ac:dyDescent="0.3">
      <c r="A3417" s="28">
        <v>43763</v>
      </c>
      <c r="B3417" s="36">
        <v>107364</v>
      </c>
      <c r="C3417">
        <f t="shared" si="117"/>
        <v>3.5331725646345902E-3</v>
      </c>
    </row>
    <row r="3418" spans="1:3" x14ac:dyDescent="0.3">
      <c r="A3418" s="28">
        <v>43766</v>
      </c>
      <c r="B3418" s="36">
        <v>108187</v>
      </c>
      <c r="C3418">
        <f t="shared" si="117"/>
        <v>7.6655117171491316E-3</v>
      </c>
    </row>
    <row r="3419" spans="1:3" x14ac:dyDescent="0.3">
      <c r="A3419" s="28">
        <v>43767</v>
      </c>
      <c r="B3419" s="36">
        <v>107556</v>
      </c>
      <c r="C3419">
        <f t="shared" si="117"/>
        <v>-5.8324937376948993E-3</v>
      </c>
    </row>
    <row r="3420" spans="1:3" x14ac:dyDescent="0.3">
      <c r="A3420" s="28">
        <v>43768</v>
      </c>
      <c r="B3420" s="36">
        <v>108408</v>
      </c>
      <c r="C3420">
        <f t="shared" si="117"/>
        <v>7.9214548700212717E-3</v>
      </c>
    </row>
    <row r="3421" spans="1:3" x14ac:dyDescent="0.3">
      <c r="A3421" s="28">
        <v>43769</v>
      </c>
      <c r="B3421" s="36">
        <v>107220</v>
      </c>
      <c r="C3421">
        <f t="shared" si="117"/>
        <v>-1.0958600841266319E-2</v>
      </c>
    </row>
    <row r="3422" spans="1:3" x14ac:dyDescent="0.3">
      <c r="A3422" s="28">
        <v>43770</v>
      </c>
      <c r="B3422" s="36">
        <v>108196</v>
      </c>
      <c r="C3422">
        <f t="shared" si="117"/>
        <v>9.1027793322140393E-3</v>
      </c>
    </row>
    <row r="3423" spans="1:3" x14ac:dyDescent="0.3">
      <c r="A3423" s="28">
        <v>43773</v>
      </c>
      <c r="B3423" s="36">
        <v>108601</v>
      </c>
      <c r="C3423">
        <f t="shared" si="117"/>
        <v>3.7432067728937479E-3</v>
      </c>
    </row>
    <row r="3424" spans="1:3" x14ac:dyDescent="0.3">
      <c r="A3424" s="28">
        <v>43774</v>
      </c>
      <c r="B3424" s="36">
        <v>108451</v>
      </c>
      <c r="C3424">
        <f t="shared" si="117"/>
        <v>-1.3812027513558922E-3</v>
      </c>
    </row>
    <row r="3425" spans="1:3" x14ac:dyDescent="0.3">
      <c r="A3425" s="28">
        <v>43775</v>
      </c>
      <c r="B3425" s="36">
        <v>108336</v>
      </c>
      <c r="C3425">
        <f t="shared" si="117"/>
        <v>-1.0603867184257876E-3</v>
      </c>
    </row>
    <row r="3426" spans="1:3" x14ac:dyDescent="0.3">
      <c r="A3426" s="28">
        <v>43776</v>
      </c>
      <c r="B3426" s="36">
        <v>109581</v>
      </c>
      <c r="C3426">
        <f t="shared" si="117"/>
        <v>1.1492024811696977E-2</v>
      </c>
    </row>
    <row r="3427" spans="1:3" x14ac:dyDescent="0.3">
      <c r="A3427" s="28">
        <v>43777</v>
      </c>
      <c r="B3427" s="36">
        <v>107629</v>
      </c>
      <c r="C3427">
        <f t="shared" si="117"/>
        <v>-1.7813307051404936E-2</v>
      </c>
    </row>
    <row r="3428" spans="1:3" x14ac:dyDescent="0.3">
      <c r="A3428" s="28">
        <v>43780</v>
      </c>
      <c r="B3428" s="36">
        <v>108215</v>
      </c>
      <c r="C3428">
        <f t="shared" si="117"/>
        <v>5.4446292356149506E-3</v>
      </c>
    </row>
    <row r="3429" spans="1:3" x14ac:dyDescent="0.3">
      <c r="A3429" s="28">
        <v>43781</v>
      </c>
      <c r="B3429" s="36">
        <v>106785</v>
      </c>
      <c r="C3429">
        <f t="shared" si="117"/>
        <v>-1.3214434228156935E-2</v>
      </c>
    </row>
    <row r="3430" spans="1:3" x14ac:dyDescent="0.3">
      <c r="A3430" s="28">
        <v>43782</v>
      </c>
      <c r="B3430" s="36">
        <v>105914</v>
      </c>
      <c r="C3430">
        <f t="shared" si="117"/>
        <v>-8.156576298169238E-3</v>
      </c>
    </row>
    <row r="3431" spans="1:3" x14ac:dyDescent="0.3">
      <c r="A3431" s="28">
        <v>43783</v>
      </c>
      <c r="B3431" s="36">
        <v>106557</v>
      </c>
      <c r="C3431">
        <f t="shared" si="117"/>
        <v>6.0709632343221021E-3</v>
      </c>
    </row>
    <row r="3432" spans="1:3" x14ac:dyDescent="0.3">
      <c r="A3432" s="28">
        <v>43787</v>
      </c>
      <c r="B3432" s="36">
        <v>106347</v>
      </c>
      <c r="C3432">
        <f t="shared" si="117"/>
        <v>-1.9707762042849852E-3</v>
      </c>
    </row>
    <row r="3433" spans="1:3" x14ac:dyDescent="0.3">
      <c r="A3433" s="28">
        <v>43788</v>
      </c>
      <c r="B3433" s="36">
        <v>105618</v>
      </c>
      <c r="C3433">
        <f t="shared" si="117"/>
        <v>-6.8549183333803665E-3</v>
      </c>
    </row>
    <row r="3434" spans="1:3" x14ac:dyDescent="0.3">
      <c r="A3434" s="28">
        <v>43790</v>
      </c>
      <c r="B3434" s="36">
        <v>107497</v>
      </c>
      <c r="C3434">
        <f t="shared" si="117"/>
        <v>1.7790528129674854E-2</v>
      </c>
    </row>
    <row r="3435" spans="1:3" x14ac:dyDescent="0.3">
      <c r="A3435" s="28">
        <v>43791</v>
      </c>
      <c r="B3435" s="36">
        <v>108692</v>
      </c>
      <c r="C3435">
        <f t="shared" si="117"/>
        <v>1.1116589300166568E-2</v>
      </c>
    </row>
    <row r="3436" spans="1:3" x14ac:dyDescent="0.3">
      <c r="A3436" s="28">
        <v>43794</v>
      </c>
      <c r="B3436" s="36">
        <v>108424</v>
      </c>
      <c r="C3436">
        <f t="shared" si="117"/>
        <v>-2.4656828469437064E-3</v>
      </c>
    </row>
    <row r="3437" spans="1:3" x14ac:dyDescent="0.3">
      <c r="A3437" s="28">
        <v>43795</v>
      </c>
      <c r="B3437" s="36">
        <v>107059</v>
      </c>
      <c r="C3437">
        <f t="shared" si="117"/>
        <v>-1.2589463587397653E-2</v>
      </c>
    </row>
    <row r="3438" spans="1:3" x14ac:dyDescent="0.3">
      <c r="A3438" s="28">
        <v>43796</v>
      </c>
      <c r="B3438" s="36">
        <v>107708</v>
      </c>
      <c r="C3438">
        <f t="shared" si="117"/>
        <v>6.0620779196518537E-3</v>
      </c>
    </row>
    <row r="3439" spans="1:3" x14ac:dyDescent="0.3">
      <c r="A3439" s="28">
        <v>43797</v>
      </c>
      <c r="B3439" s="36">
        <v>108290</v>
      </c>
      <c r="C3439">
        <f t="shared" si="117"/>
        <v>5.4034983473836284E-3</v>
      </c>
    </row>
    <row r="3440" spans="1:3" x14ac:dyDescent="0.3">
      <c r="A3440" s="28">
        <v>43798</v>
      </c>
      <c r="B3440" s="36">
        <v>108233</v>
      </c>
      <c r="C3440">
        <f t="shared" si="117"/>
        <v>-5.2636439191056095E-4</v>
      </c>
    </row>
    <row r="3441" spans="1:3" x14ac:dyDescent="0.3">
      <c r="A3441" s="28">
        <v>43801</v>
      </c>
      <c r="B3441" s="36">
        <v>109061</v>
      </c>
      <c r="C3441">
        <f t="shared" si="117"/>
        <v>7.6501621501761097E-3</v>
      </c>
    </row>
    <row r="3442" spans="1:3" x14ac:dyDescent="0.3">
      <c r="A3442" s="28">
        <v>43802</v>
      </c>
      <c r="B3442" s="36">
        <v>109005</v>
      </c>
      <c r="C3442">
        <f t="shared" si="117"/>
        <v>-5.1347411081870131E-4</v>
      </c>
    </row>
    <row r="3443" spans="1:3" x14ac:dyDescent="0.3">
      <c r="A3443" s="28">
        <v>43803</v>
      </c>
      <c r="B3443" s="36">
        <v>110301</v>
      </c>
      <c r="C3443">
        <f t="shared" si="117"/>
        <v>1.1889362873262588E-2</v>
      </c>
    </row>
    <row r="3444" spans="1:3" x14ac:dyDescent="0.3">
      <c r="A3444" s="28">
        <v>43804</v>
      </c>
      <c r="B3444" s="36">
        <v>110622</v>
      </c>
      <c r="C3444">
        <f t="shared" si="117"/>
        <v>2.9102184023717115E-3</v>
      </c>
    </row>
    <row r="3445" spans="1:3" x14ac:dyDescent="0.3">
      <c r="A3445" s="28">
        <v>43805</v>
      </c>
      <c r="B3445" s="36">
        <v>111126</v>
      </c>
      <c r="C3445">
        <f t="shared" si="117"/>
        <v>4.5560557574442218E-3</v>
      </c>
    </row>
    <row r="3446" spans="1:3" x14ac:dyDescent="0.3">
      <c r="A3446" s="28">
        <v>43808</v>
      </c>
      <c r="B3446" s="36">
        <v>110977</v>
      </c>
      <c r="C3446">
        <f t="shared" si="117"/>
        <v>-1.3408203300757648E-3</v>
      </c>
    </row>
    <row r="3447" spans="1:3" x14ac:dyDescent="0.3">
      <c r="A3447" s="28">
        <v>43809</v>
      </c>
      <c r="B3447" s="36">
        <v>110672</v>
      </c>
      <c r="C3447">
        <f t="shared" si="117"/>
        <v>-2.748317218883245E-3</v>
      </c>
    </row>
    <row r="3448" spans="1:3" x14ac:dyDescent="0.3">
      <c r="A3448" s="28">
        <v>43810</v>
      </c>
      <c r="B3448" s="36">
        <v>110964</v>
      </c>
      <c r="C3448">
        <f t="shared" si="117"/>
        <v>2.6384270637560547E-3</v>
      </c>
    </row>
    <row r="3449" spans="1:3" x14ac:dyDescent="0.3">
      <c r="A3449" s="28">
        <v>43811</v>
      </c>
      <c r="B3449" s="36">
        <v>112200</v>
      </c>
      <c r="C3449">
        <f t="shared" si="117"/>
        <v>1.113874770195733E-2</v>
      </c>
    </row>
    <row r="3450" spans="1:3" x14ac:dyDescent="0.3">
      <c r="A3450" s="28">
        <v>43812</v>
      </c>
      <c r="B3450" s="36">
        <v>112565</v>
      </c>
      <c r="C3450">
        <f t="shared" si="117"/>
        <v>3.2531194295899457E-3</v>
      </c>
    </row>
    <row r="3451" spans="1:3" x14ac:dyDescent="0.3">
      <c r="A3451" s="28">
        <v>43815</v>
      </c>
      <c r="B3451" s="36">
        <v>111896</v>
      </c>
      <c r="C3451">
        <f t="shared" si="117"/>
        <v>-5.9432327988273581E-3</v>
      </c>
    </row>
    <row r="3452" spans="1:3" x14ac:dyDescent="0.3">
      <c r="A3452" s="28">
        <v>43816</v>
      </c>
      <c r="B3452" s="36">
        <v>112616</v>
      </c>
      <c r="C3452">
        <f t="shared" si="117"/>
        <v>6.4345463644812639E-3</v>
      </c>
    </row>
    <row r="3453" spans="1:3" x14ac:dyDescent="0.3">
      <c r="A3453" s="28">
        <v>43817</v>
      </c>
      <c r="B3453" s="36">
        <v>114315</v>
      </c>
      <c r="C3453">
        <f t="shared" si="117"/>
        <v>1.5086666193080855E-2</v>
      </c>
    </row>
    <row r="3454" spans="1:3" x14ac:dyDescent="0.3">
      <c r="A3454" s="28">
        <v>43818</v>
      </c>
      <c r="B3454" s="36">
        <v>115131</v>
      </c>
      <c r="C3454">
        <f t="shared" si="117"/>
        <v>7.1381708437212588E-3</v>
      </c>
    </row>
    <row r="3455" spans="1:3" x14ac:dyDescent="0.3">
      <c r="A3455" s="28">
        <v>43819</v>
      </c>
      <c r="B3455" s="36">
        <v>115121</v>
      </c>
      <c r="C3455">
        <f t="shared" si="117"/>
        <v>-8.6857579626675729E-5</v>
      </c>
    </row>
    <row r="3456" spans="1:3" x14ac:dyDescent="0.3">
      <c r="A3456" s="28">
        <v>43822</v>
      </c>
      <c r="B3456" s="36">
        <v>115863</v>
      </c>
      <c r="C3456">
        <f t="shared" si="117"/>
        <v>6.4453922394698271E-3</v>
      </c>
    </row>
    <row r="3457" spans="1:3" x14ac:dyDescent="0.3">
      <c r="A3457" s="28">
        <v>43825</v>
      </c>
      <c r="B3457" s="36">
        <v>117203</v>
      </c>
      <c r="C3457">
        <f t="shared" si="117"/>
        <v>1.1565383254360739E-2</v>
      </c>
    </row>
    <row r="3458" spans="1:3" x14ac:dyDescent="0.3">
      <c r="A3458" s="28">
        <v>43826</v>
      </c>
      <c r="B3458" s="36">
        <v>116534</v>
      </c>
      <c r="C3458">
        <f t="shared" si="117"/>
        <v>-5.7080450159125995E-3</v>
      </c>
    </row>
    <row r="3459" spans="1:3" x14ac:dyDescent="0.3">
      <c r="A3459" s="28">
        <v>43829</v>
      </c>
      <c r="B3459" s="36">
        <v>115964</v>
      </c>
      <c r="C3459">
        <f t="shared" si="117"/>
        <v>-4.8912763656958624E-3</v>
      </c>
    </row>
    <row r="3460" spans="1:3" x14ac:dyDescent="0.3">
      <c r="A3460" s="28">
        <v>43832</v>
      </c>
      <c r="B3460" s="36">
        <v>118573</v>
      </c>
      <c r="C3460">
        <f t="shared" ref="C3460:C3523" si="118">B3460/B3459-1</f>
        <v>2.2498361560484348E-2</v>
      </c>
    </row>
    <row r="3461" spans="1:3" x14ac:dyDescent="0.3">
      <c r="A3461" s="28">
        <v>43833</v>
      </c>
      <c r="B3461" s="36">
        <v>117707</v>
      </c>
      <c r="C3461">
        <f t="shared" si="118"/>
        <v>-7.3035176642237687E-3</v>
      </c>
    </row>
    <row r="3462" spans="1:3" x14ac:dyDescent="0.3">
      <c r="A3462" s="28">
        <v>43836</v>
      </c>
      <c r="B3462" s="36">
        <v>116878</v>
      </c>
      <c r="C3462">
        <f t="shared" si="118"/>
        <v>-7.0429116365211542E-3</v>
      </c>
    </row>
    <row r="3463" spans="1:3" x14ac:dyDescent="0.3">
      <c r="A3463" s="28">
        <v>43837</v>
      </c>
      <c r="B3463" s="36">
        <v>116662</v>
      </c>
      <c r="C3463">
        <f t="shared" si="118"/>
        <v>-1.8480809048752045E-3</v>
      </c>
    </row>
    <row r="3464" spans="1:3" x14ac:dyDescent="0.3">
      <c r="A3464" s="28">
        <v>43838</v>
      </c>
      <c r="B3464" s="36">
        <v>116247</v>
      </c>
      <c r="C3464">
        <f t="shared" si="118"/>
        <v>-3.5572851485488055E-3</v>
      </c>
    </row>
    <row r="3465" spans="1:3" x14ac:dyDescent="0.3">
      <c r="A3465" s="28">
        <v>43839</v>
      </c>
      <c r="B3465" s="36">
        <v>115947</v>
      </c>
      <c r="C3465">
        <f t="shared" si="118"/>
        <v>-2.5807117603035001E-3</v>
      </c>
    </row>
    <row r="3466" spans="1:3" x14ac:dyDescent="0.3">
      <c r="A3466" s="28">
        <v>43840</v>
      </c>
      <c r="B3466" s="36">
        <v>115503</v>
      </c>
      <c r="C3466">
        <f t="shared" si="118"/>
        <v>-3.8293358172268865E-3</v>
      </c>
    </row>
    <row r="3467" spans="1:3" x14ac:dyDescent="0.3">
      <c r="A3467" s="28">
        <v>43843</v>
      </c>
      <c r="B3467" s="36">
        <v>117325</v>
      </c>
      <c r="C3467">
        <f t="shared" si="118"/>
        <v>1.5774482048085403E-2</v>
      </c>
    </row>
    <row r="3468" spans="1:3" x14ac:dyDescent="0.3">
      <c r="A3468" s="28">
        <v>43844</v>
      </c>
      <c r="B3468" s="36">
        <v>117632</v>
      </c>
      <c r="C3468">
        <f t="shared" si="118"/>
        <v>2.6166631152779729E-3</v>
      </c>
    </row>
    <row r="3469" spans="1:3" x14ac:dyDescent="0.3">
      <c r="A3469" s="28">
        <v>43845</v>
      </c>
      <c r="B3469" s="36">
        <v>116414</v>
      </c>
      <c r="C3469">
        <f t="shared" si="118"/>
        <v>-1.0354325353645222E-2</v>
      </c>
    </row>
    <row r="3470" spans="1:3" x14ac:dyDescent="0.3">
      <c r="A3470" s="28">
        <v>43846</v>
      </c>
      <c r="B3470" s="36">
        <v>116704</v>
      </c>
      <c r="C3470">
        <f t="shared" si="118"/>
        <v>2.4911093167487852E-3</v>
      </c>
    </row>
    <row r="3471" spans="1:3" x14ac:dyDescent="0.3">
      <c r="A3471" s="28">
        <v>43847</v>
      </c>
      <c r="B3471" s="36">
        <v>118478</v>
      </c>
      <c r="C3471">
        <f t="shared" si="118"/>
        <v>1.5200850013709966E-2</v>
      </c>
    </row>
    <row r="3472" spans="1:3" x14ac:dyDescent="0.3">
      <c r="A3472" s="28">
        <v>43850</v>
      </c>
      <c r="B3472" s="36">
        <v>118862</v>
      </c>
      <c r="C3472">
        <f t="shared" si="118"/>
        <v>3.2411080538159442E-3</v>
      </c>
    </row>
    <row r="3473" spans="1:3" x14ac:dyDescent="0.3">
      <c r="A3473" s="28">
        <v>43851</v>
      </c>
      <c r="B3473" s="36">
        <v>117026</v>
      </c>
      <c r="C3473">
        <f t="shared" si="118"/>
        <v>-1.5446484158099349E-2</v>
      </c>
    </row>
    <row r="3474" spans="1:3" x14ac:dyDescent="0.3">
      <c r="A3474" s="28">
        <v>43852</v>
      </c>
      <c r="B3474" s="36">
        <v>118391</v>
      </c>
      <c r="C3474">
        <f t="shared" si="118"/>
        <v>1.1664074650077794E-2</v>
      </c>
    </row>
    <row r="3475" spans="1:3" x14ac:dyDescent="0.3">
      <c r="A3475" s="28">
        <v>43853</v>
      </c>
      <c r="B3475" s="36">
        <v>119528</v>
      </c>
      <c r="C3475">
        <f t="shared" si="118"/>
        <v>9.6037705568834397E-3</v>
      </c>
    </row>
    <row r="3476" spans="1:3" x14ac:dyDescent="0.3">
      <c r="A3476" s="28">
        <v>43854</v>
      </c>
      <c r="B3476" s="36">
        <v>118376</v>
      </c>
      <c r="C3476">
        <f t="shared" si="118"/>
        <v>-9.6379091091627345E-3</v>
      </c>
    </row>
    <row r="3477" spans="1:3" x14ac:dyDescent="0.3">
      <c r="A3477" s="28">
        <v>43857</v>
      </c>
      <c r="B3477" s="36">
        <v>114482</v>
      </c>
      <c r="C3477">
        <f t="shared" si="118"/>
        <v>-3.2895181455700473E-2</v>
      </c>
    </row>
    <row r="3478" spans="1:3" x14ac:dyDescent="0.3">
      <c r="A3478" s="28">
        <v>43858</v>
      </c>
      <c r="B3478" s="36">
        <v>116479</v>
      </c>
      <c r="C3478">
        <f t="shared" si="118"/>
        <v>1.7443790290176731E-2</v>
      </c>
    </row>
    <row r="3479" spans="1:3" x14ac:dyDescent="0.3">
      <c r="A3479" s="28">
        <v>43859</v>
      </c>
      <c r="B3479" s="36">
        <v>115385</v>
      </c>
      <c r="C3479">
        <f t="shared" si="118"/>
        <v>-9.3922509636930052E-3</v>
      </c>
    </row>
    <row r="3480" spans="1:3" x14ac:dyDescent="0.3">
      <c r="A3480" s="28">
        <v>43860</v>
      </c>
      <c r="B3480" s="36">
        <v>115528</v>
      </c>
      <c r="C3480">
        <f t="shared" si="118"/>
        <v>1.2393292022359059E-3</v>
      </c>
    </row>
    <row r="3481" spans="1:3" x14ac:dyDescent="0.3">
      <c r="A3481" s="28">
        <v>43861</v>
      </c>
      <c r="B3481" s="36">
        <v>113761</v>
      </c>
      <c r="C3481">
        <f t="shared" si="118"/>
        <v>-1.5294993421508196E-2</v>
      </c>
    </row>
    <row r="3482" spans="1:3" x14ac:dyDescent="0.3">
      <c r="A3482" s="28">
        <v>43864</v>
      </c>
      <c r="B3482" s="36">
        <v>114629</v>
      </c>
      <c r="C3482">
        <f t="shared" si="118"/>
        <v>7.6300313815806931E-3</v>
      </c>
    </row>
    <row r="3483" spans="1:3" x14ac:dyDescent="0.3">
      <c r="A3483" s="28">
        <v>43865</v>
      </c>
      <c r="B3483" s="36">
        <v>115557</v>
      </c>
      <c r="C3483">
        <f t="shared" si="118"/>
        <v>8.0956825934099808E-3</v>
      </c>
    </row>
    <row r="3484" spans="1:3" x14ac:dyDescent="0.3">
      <c r="A3484" s="28">
        <v>43866</v>
      </c>
      <c r="B3484" s="36">
        <v>116028</v>
      </c>
      <c r="C3484">
        <f t="shared" si="118"/>
        <v>4.0759105895791237E-3</v>
      </c>
    </row>
    <row r="3485" spans="1:3" x14ac:dyDescent="0.3">
      <c r="A3485" s="28">
        <v>43867</v>
      </c>
      <c r="B3485" s="36">
        <v>115190</v>
      </c>
      <c r="C3485">
        <f t="shared" si="118"/>
        <v>-7.2223945944082102E-3</v>
      </c>
    </row>
    <row r="3486" spans="1:3" x14ac:dyDescent="0.3">
      <c r="A3486" s="28">
        <v>43868</v>
      </c>
      <c r="B3486" s="36">
        <v>113770</v>
      </c>
      <c r="C3486">
        <f t="shared" si="118"/>
        <v>-1.2327458980814332E-2</v>
      </c>
    </row>
    <row r="3487" spans="1:3" x14ac:dyDescent="0.3">
      <c r="A3487" s="28">
        <v>43871</v>
      </c>
      <c r="B3487" s="36">
        <v>112570</v>
      </c>
      <c r="C3487">
        <f t="shared" si="118"/>
        <v>-1.0547596027072115E-2</v>
      </c>
    </row>
    <row r="3488" spans="1:3" x14ac:dyDescent="0.3">
      <c r="A3488" s="28">
        <v>43872</v>
      </c>
      <c r="B3488" s="36">
        <v>115371</v>
      </c>
      <c r="C3488">
        <f t="shared" si="118"/>
        <v>2.4882295460602277E-2</v>
      </c>
    </row>
    <row r="3489" spans="1:3" x14ac:dyDescent="0.3">
      <c r="A3489" s="28">
        <v>43873</v>
      </c>
      <c r="B3489" s="36">
        <v>116674</v>
      </c>
      <c r="C3489">
        <f t="shared" si="118"/>
        <v>1.1293999358590989E-2</v>
      </c>
    </row>
    <row r="3490" spans="1:3" x14ac:dyDescent="0.3">
      <c r="A3490" s="28">
        <v>43874</v>
      </c>
      <c r="B3490" s="36">
        <v>115662</v>
      </c>
      <c r="C3490">
        <f t="shared" si="118"/>
        <v>-8.6737405077395024E-3</v>
      </c>
    </row>
    <row r="3491" spans="1:3" x14ac:dyDescent="0.3">
      <c r="A3491" s="28">
        <v>43875</v>
      </c>
      <c r="B3491" s="36">
        <v>114381</v>
      </c>
      <c r="C3491">
        <f t="shared" si="118"/>
        <v>-1.107537479898324E-2</v>
      </c>
    </row>
    <row r="3492" spans="1:3" x14ac:dyDescent="0.3">
      <c r="A3492" s="28">
        <v>43878</v>
      </c>
      <c r="B3492" s="36">
        <v>115309</v>
      </c>
      <c r="C3492">
        <f t="shared" si="118"/>
        <v>8.113235589827017E-3</v>
      </c>
    </row>
    <row r="3493" spans="1:3" x14ac:dyDescent="0.3">
      <c r="A3493" s="28">
        <v>43879</v>
      </c>
      <c r="B3493" s="36">
        <v>114977</v>
      </c>
      <c r="C3493">
        <f t="shared" si="118"/>
        <v>-2.8792201822928076E-3</v>
      </c>
    </row>
    <row r="3494" spans="1:3" x14ac:dyDescent="0.3">
      <c r="A3494" s="28">
        <v>43880</v>
      </c>
      <c r="B3494" s="36">
        <v>116518</v>
      </c>
      <c r="C3494">
        <f t="shared" si="118"/>
        <v>1.3402680536107159E-2</v>
      </c>
    </row>
    <row r="3495" spans="1:3" x14ac:dyDescent="0.3">
      <c r="A3495" s="28">
        <v>43881</v>
      </c>
      <c r="B3495" s="36">
        <v>114586</v>
      </c>
      <c r="C3495">
        <f t="shared" si="118"/>
        <v>-1.6581129095933678E-2</v>
      </c>
    </row>
    <row r="3496" spans="1:3" x14ac:dyDescent="0.3">
      <c r="A3496" s="28">
        <v>43882</v>
      </c>
      <c r="B3496" s="36">
        <v>113681</v>
      </c>
      <c r="C3496">
        <f t="shared" si="118"/>
        <v>-7.8979980102281688E-3</v>
      </c>
    </row>
    <row r="3497" spans="1:3" x14ac:dyDescent="0.3">
      <c r="A3497" s="28">
        <v>43888</v>
      </c>
      <c r="B3497" s="36">
        <v>102984</v>
      </c>
      <c r="C3497">
        <f t="shared" si="118"/>
        <v>-9.4096638840263536E-2</v>
      </c>
    </row>
    <row r="3498" spans="1:3" x14ac:dyDescent="0.3">
      <c r="A3498" s="28">
        <v>43889</v>
      </c>
      <c r="B3498" s="36">
        <v>104172</v>
      </c>
      <c r="C3498">
        <f t="shared" si="118"/>
        <v>1.1535772547191847E-2</v>
      </c>
    </row>
    <row r="3499" spans="1:3" x14ac:dyDescent="0.3">
      <c r="A3499" s="28">
        <v>43892</v>
      </c>
      <c r="B3499" s="36">
        <v>106625</v>
      </c>
      <c r="C3499">
        <f t="shared" si="118"/>
        <v>2.3547594363168667E-2</v>
      </c>
    </row>
    <row r="3500" spans="1:3" x14ac:dyDescent="0.3">
      <c r="A3500" s="28">
        <v>43893</v>
      </c>
      <c r="B3500" s="36">
        <v>105537</v>
      </c>
      <c r="C3500">
        <f t="shared" si="118"/>
        <v>-1.0203985932004667E-2</v>
      </c>
    </row>
    <row r="3501" spans="1:3" x14ac:dyDescent="0.3">
      <c r="A3501" s="28">
        <v>43894</v>
      </c>
      <c r="B3501" s="36">
        <v>107224</v>
      </c>
      <c r="C3501">
        <f t="shared" si="118"/>
        <v>1.598491524299539E-2</v>
      </c>
    </row>
    <row r="3502" spans="1:3" x14ac:dyDescent="0.3">
      <c r="A3502" s="28">
        <v>43895</v>
      </c>
      <c r="B3502" s="36">
        <v>102233</v>
      </c>
      <c r="C3502">
        <f t="shared" si="118"/>
        <v>-4.6547414757890038E-2</v>
      </c>
    </row>
    <row r="3503" spans="1:3" x14ac:dyDescent="0.3">
      <c r="A3503" s="28">
        <v>43896</v>
      </c>
      <c r="B3503" s="36">
        <v>97997</v>
      </c>
      <c r="C3503">
        <f t="shared" si="118"/>
        <v>-4.1434761769682971E-2</v>
      </c>
    </row>
    <row r="3504" spans="1:3" x14ac:dyDescent="0.3">
      <c r="A3504" s="28">
        <v>43899</v>
      </c>
      <c r="B3504" s="36">
        <v>86067</v>
      </c>
      <c r="C3504">
        <f t="shared" si="118"/>
        <v>-0.12173842056389483</v>
      </c>
    </row>
    <row r="3505" spans="1:3" x14ac:dyDescent="0.3">
      <c r="A3505" s="28">
        <v>43900</v>
      </c>
      <c r="B3505" s="36">
        <v>92214</v>
      </c>
      <c r="C3505">
        <f t="shared" si="118"/>
        <v>7.1421102164592742E-2</v>
      </c>
    </row>
    <row r="3506" spans="1:3" x14ac:dyDescent="0.3">
      <c r="A3506" s="28">
        <v>43901</v>
      </c>
      <c r="B3506" s="36">
        <v>85171</v>
      </c>
      <c r="C3506">
        <f t="shared" si="118"/>
        <v>-7.6376689006007803E-2</v>
      </c>
    </row>
    <row r="3507" spans="1:3" x14ac:dyDescent="0.3">
      <c r="A3507" s="28">
        <v>43902</v>
      </c>
      <c r="B3507" s="36">
        <v>72583</v>
      </c>
      <c r="C3507">
        <f t="shared" si="118"/>
        <v>-0.14779678529076801</v>
      </c>
    </row>
    <row r="3508" spans="1:3" x14ac:dyDescent="0.3">
      <c r="A3508" s="28">
        <v>43903</v>
      </c>
      <c r="B3508" s="36">
        <v>82678</v>
      </c>
      <c r="C3508">
        <f t="shared" si="118"/>
        <v>0.13908215422344083</v>
      </c>
    </row>
    <row r="3509" spans="1:3" x14ac:dyDescent="0.3">
      <c r="A3509" s="28">
        <v>43906</v>
      </c>
      <c r="B3509" s="36">
        <v>71168</v>
      </c>
      <c r="C3509">
        <f t="shared" si="118"/>
        <v>-0.13921478506978879</v>
      </c>
    </row>
    <row r="3510" spans="1:3" x14ac:dyDescent="0.3">
      <c r="A3510" s="28">
        <v>43907</v>
      </c>
      <c r="B3510" s="36">
        <v>74617</v>
      </c>
      <c r="C3510">
        <f t="shared" si="118"/>
        <v>4.8462792266187105E-2</v>
      </c>
    </row>
    <row r="3511" spans="1:3" x14ac:dyDescent="0.3">
      <c r="A3511" s="28">
        <v>43908</v>
      </c>
      <c r="B3511" s="36">
        <v>66895</v>
      </c>
      <c r="C3511">
        <f t="shared" si="118"/>
        <v>-0.10348848117721166</v>
      </c>
    </row>
    <row r="3512" spans="1:3" x14ac:dyDescent="0.3">
      <c r="A3512" s="28">
        <v>43909</v>
      </c>
      <c r="B3512" s="36">
        <v>68332</v>
      </c>
      <c r="C3512">
        <f t="shared" si="118"/>
        <v>2.1481426115554259E-2</v>
      </c>
    </row>
    <row r="3513" spans="1:3" x14ac:dyDescent="0.3">
      <c r="A3513" s="28">
        <v>43910</v>
      </c>
      <c r="B3513" s="36">
        <v>67069</v>
      </c>
      <c r="C3513">
        <f t="shared" si="118"/>
        <v>-1.8483287478780031E-2</v>
      </c>
    </row>
    <row r="3514" spans="1:3" x14ac:dyDescent="0.3">
      <c r="A3514" s="28">
        <v>43913</v>
      </c>
      <c r="B3514" s="36">
        <v>63570</v>
      </c>
      <c r="C3514">
        <f t="shared" si="118"/>
        <v>-5.2170153125885244E-2</v>
      </c>
    </row>
    <row r="3515" spans="1:3" x14ac:dyDescent="0.3">
      <c r="A3515" s="28">
        <v>43914</v>
      </c>
      <c r="B3515" s="36">
        <v>69729</v>
      </c>
      <c r="C3515">
        <f t="shared" si="118"/>
        <v>9.6885323265691436E-2</v>
      </c>
    </row>
    <row r="3516" spans="1:3" x14ac:dyDescent="0.3">
      <c r="A3516" s="28">
        <v>43915</v>
      </c>
      <c r="B3516" s="36">
        <v>74956</v>
      </c>
      <c r="C3516">
        <f t="shared" si="118"/>
        <v>7.4961637195428032E-2</v>
      </c>
    </row>
    <row r="3517" spans="1:3" x14ac:dyDescent="0.3">
      <c r="A3517" s="28">
        <v>43916</v>
      </c>
      <c r="B3517" s="36">
        <v>77710</v>
      </c>
      <c r="C3517">
        <f t="shared" si="118"/>
        <v>3.6741555045626706E-2</v>
      </c>
    </row>
    <row r="3518" spans="1:3" x14ac:dyDescent="0.3">
      <c r="A3518" s="28">
        <v>43917</v>
      </c>
      <c r="B3518" s="36">
        <v>73429</v>
      </c>
      <c r="C3518">
        <f t="shared" si="118"/>
        <v>-5.5089435079140436E-2</v>
      </c>
    </row>
    <row r="3519" spans="1:3" x14ac:dyDescent="0.3">
      <c r="A3519" s="28">
        <v>43920</v>
      </c>
      <c r="B3519" s="36">
        <v>74640</v>
      </c>
      <c r="C3519">
        <f t="shared" si="118"/>
        <v>1.6492121641313418E-2</v>
      </c>
    </row>
    <row r="3520" spans="1:3" x14ac:dyDescent="0.3">
      <c r="A3520" s="28">
        <v>43921</v>
      </c>
      <c r="B3520" s="36">
        <v>73020</v>
      </c>
      <c r="C3520">
        <f t="shared" si="118"/>
        <v>-2.1704180064308631E-2</v>
      </c>
    </row>
    <row r="3521" spans="1:3" x14ac:dyDescent="0.3">
      <c r="A3521" s="28">
        <v>43922</v>
      </c>
      <c r="B3521" s="36">
        <v>70967</v>
      </c>
      <c r="C3521">
        <f t="shared" si="118"/>
        <v>-2.8115584771295499E-2</v>
      </c>
    </row>
    <row r="3522" spans="1:3" x14ac:dyDescent="0.3">
      <c r="A3522" s="28">
        <v>43923</v>
      </c>
      <c r="B3522" s="36">
        <v>72253</v>
      </c>
      <c r="C3522">
        <f t="shared" si="118"/>
        <v>1.812109853875743E-2</v>
      </c>
    </row>
    <row r="3523" spans="1:3" x14ac:dyDescent="0.3">
      <c r="A3523" s="28">
        <v>43924</v>
      </c>
      <c r="B3523" s="36">
        <v>69538</v>
      </c>
      <c r="C3523">
        <f t="shared" si="118"/>
        <v>-3.7576294409920719E-2</v>
      </c>
    </row>
    <row r="3524" spans="1:3" x14ac:dyDescent="0.3">
      <c r="A3524" s="28">
        <v>43927</v>
      </c>
      <c r="B3524" s="36">
        <v>74073</v>
      </c>
      <c r="C3524">
        <f t="shared" ref="C3524:C3574" si="119">B3524/B3523-1</f>
        <v>6.521614081509397E-2</v>
      </c>
    </row>
    <row r="3525" spans="1:3" x14ac:dyDescent="0.3">
      <c r="A3525" s="28">
        <v>43928</v>
      </c>
      <c r="B3525" s="36">
        <v>76358</v>
      </c>
      <c r="C3525">
        <f t="shared" si="119"/>
        <v>3.0847947295235878E-2</v>
      </c>
    </row>
    <row r="3526" spans="1:3" x14ac:dyDescent="0.3">
      <c r="A3526" s="28">
        <v>43929</v>
      </c>
      <c r="B3526" s="36">
        <v>78625</v>
      </c>
      <c r="C3526">
        <f t="shared" si="119"/>
        <v>2.9689096099950296E-2</v>
      </c>
    </row>
    <row r="3527" spans="1:3" x14ac:dyDescent="0.3">
      <c r="A3527" s="28">
        <v>43930</v>
      </c>
      <c r="B3527" s="36">
        <v>77682</v>
      </c>
      <c r="C3527">
        <f t="shared" si="119"/>
        <v>-1.1993640699523023E-2</v>
      </c>
    </row>
    <row r="3528" spans="1:3" x14ac:dyDescent="0.3">
      <c r="A3528" s="28">
        <v>43934</v>
      </c>
      <c r="B3528" s="36">
        <v>78836</v>
      </c>
      <c r="C3528">
        <f t="shared" si="119"/>
        <v>1.4855436265801547E-2</v>
      </c>
    </row>
    <row r="3529" spans="1:3" x14ac:dyDescent="0.3">
      <c r="A3529" s="28">
        <v>43935</v>
      </c>
      <c r="B3529" s="36">
        <v>79918</v>
      </c>
      <c r="C3529">
        <f t="shared" si="119"/>
        <v>1.3724694302095442E-2</v>
      </c>
    </row>
    <row r="3530" spans="1:3" x14ac:dyDescent="0.3">
      <c r="A3530" s="28">
        <v>43936</v>
      </c>
      <c r="B3530" s="36">
        <v>78831</v>
      </c>
      <c r="C3530">
        <f t="shared" si="119"/>
        <v>-1.3601441477514409E-2</v>
      </c>
    </row>
    <row r="3531" spans="1:3" x14ac:dyDescent="0.3">
      <c r="A3531" s="28">
        <v>43937</v>
      </c>
      <c r="B3531" s="36">
        <v>77812</v>
      </c>
      <c r="C3531">
        <f t="shared" si="119"/>
        <v>-1.2926386827517122E-2</v>
      </c>
    </row>
    <row r="3532" spans="1:3" x14ac:dyDescent="0.3">
      <c r="A3532" s="28">
        <v>43938</v>
      </c>
      <c r="B3532" s="36">
        <v>78990</v>
      </c>
      <c r="C3532">
        <f t="shared" si="119"/>
        <v>1.5139053102349198E-2</v>
      </c>
    </row>
    <row r="3533" spans="1:3" x14ac:dyDescent="0.3">
      <c r="A3533" s="28">
        <v>43941</v>
      </c>
      <c r="B3533" s="36">
        <v>78973</v>
      </c>
      <c r="C3533">
        <f t="shared" si="119"/>
        <v>-2.1521711609062688E-4</v>
      </c>
    </row>
    <row r="3534" spans="1:3" x14ac:dyDescent="0.3">
      <c r="A3534" s="28">
        <v>43943</v>
      </c>
      <c r="B3534" s="36">
        <v>80687</v>
      </c>
      <c r="C3534">
        <f t="shared" si="119"/>
        <v>2.170362022463368E-2</v>
      </c>
    </row>
    <row r="3535" spans="1:3" x14ac:dyDescent="0.3">
      <c r="A3535" s="28">
        <v>43944</v>
      </c>
      <c r="B3535" s="36">
        <v>79673</v>
      </c>
      <c r="C3535">
        <f t="shared" si="119"/>
        <v>-1.2567080198792824E-2</v>
      </c>
    </row>
    <row r="3536" spans="1:3" x14ac:dyDescent="0.3">
      <c r="A3536" s="28">
        <v>43945</v>
      </c>
      <c r="B3536" s="36">
        <v>75331</v>
      </c>
      <c r="C3536">
        <f t="shared" si="119"/>
        <v>-5.4497759592333717E-2</v>
      </c>
    </row>
    <row r="3537" spans="1:3" x14ac:dyDescent="0.3">
      <c r="A3537" s="28">
        <v>43948</v>
      </c>
      <c r="B3537" s="36">
        <v>78239</v>
      </c>
      <c r="C3537">
        <f t="shared" si="119"/>
        <v>3.8602965578579784E-2</v>
      </c>
    </row>
    <row r="3538" spans="1:3" x14ac:dyDescent="0.3">
      <c r="A3538" s="28">
        <v>43949</v>
      </c>
      <c r="B3538" s="36">
        <v>81312</v>
      </c>
      <c r="C3538">
        <f t="shared" si="119"/>
        <v>3.9277086874832223E-2</v>
      </c>
    </row>
    <row r="3539" spans="1:3" x14ac:dyDescent="0.3">
      <c r="A3539" s="28">
        <v>43950</v>
      </c>
      <c r="B3539" s="36">
        <v>83171</v>
      </c>
      <c r="C3539">
        <f t="shared" si="119"/>
        <v>2.2862554112554223E-2</v>
      </c>
    </row>
    <row r="3540" spans="1:3" x14ac:dyDescent="0.3">
      <c r="A3540" s="28">
        <v>43951</v>
      </c>
      <c r="B3540" s="36">
        <v>80506</v>
      </c>
      <c r="C3540">
        <f t="shared" si="119"/>
        <v>-3.2042418631494152E-2</v>
      </c>
    </row>
    <row r="3541" spans="1:3" x14ac:dyDescent="0.3">
      <c r="A3541" s="28">
        <v>43955</v>
      </c>
      <c r="B3541" s="36">
        <v>78876</v>
      </c>
      <c r="C3541">
        <f t="shared" si="119"/>
        <v>-2.0246938116413649E-2</v>
      </c>
    </row>
    <row r="3542" spans="1:3" x14ac:dyDescent="0.3">
      <c r="A3542" s="28">
        <v>43956</v>
      </c>
      <c r="B3542" s="36">
        <v>79471</v>
      </c>
      <c r="C3542">
        <f t="shared" si="119"/>
        <v>7.5434859779908159E-3</v>
      </c>
    </row>
    <row r="3543" spans="1:3" x14ac:dyDescent="0.3">
      <c r="A3543" s="28">
        <v>43957</v>
      </c>
      <c r="B3543" s="36">
        <v>79064</v>
      </c>
      <c r="C3543">
        <f t="shared" si="119"/>
        <v>-5.1213650262359467E-3</v>
      </c>
    </row>
    <row r="3544" spans="1:3" x14ac:dyDescent="0.3">
      <c r="A3544" s="28">
        <v>43958</v>
      </c>
      <c r="B3544" s="36">
        <v>78119</v>
      </c>
      <c r="C3544">
        <f t="shared" si="119"/>
        <v>-1.195234240615195E-2</v>
      </c>
    </row>
    <row r="3545" spans="1:3" x14ac:dyDescent="0.3">
      <c r="A3545" s="28">
        <v>43959</v>
      </c>
      <c r="B3545" s="36">
        <v>80263</v>
      </c>
      <c r="C3545">
        <f t="shared" si="119"/>
        <v>2.7445307799639052E-2</v>
      </c>
    </row>
    <row r="3546" spans="1:3" x14ac:dyDescent="0.3">
      <c r="A3546" s="28">
        <v>43962</v>
      </c>
      <c r="B3546" s="36">
        <v>79065</v>
      </c>
      <c r="C3546">
        <f t="shared" si="119"/>
        <v>-1.4925931001831483E-2</v>
      </c>
    </row>
    <row r="3547" spans="1:3" x14ac:dyDescent="0.3">
      <c r="A3547" s="28">
        <v>43963</v>
      </c>
      <c r="B3547" s="36">
        <v>77872</v>
      </c>
      <c r="C3547">
        <f t="shared" si="119"/>
        <v>-1.508885094542467E-2</v>
      </c>
    </row>
    <row r="3548" spans="1:3" x14ac:dyDescent="0.3">
      <c r="A3548" s="28">
        <v>43964</v>
      </c>
      <c r="B3548" s="36">
        <v>77772</v>
      </c>
      <c r="C3548">
        <f t="shared" si="119"/>
        <v>-1.2841586192726684E-3</v>
      </c>
    </row>
    <row r="3549" spans="1:3" x14ac:dyDescent="0.3">
      <c r="A3549" s="28">
        <v>43965</v>
      </c>
      <c r="B3549" s="36">
        <v>79011</v>
      </c>
      <c r="C3549">
        <f t="shared" si="119"/>
        <v>1.5931183459342746E-2</v>
      </c>
    </row>
    <row r="3550" spans="1:3" x14ac:dyDescent="0.3">
      <c r="A3550" s="28">
        <v>43966</v>
      </c>
      <c r="B3550" s="36">
        <v>77557</v>
      </c>
      <c r="C3550">
        <f t="shared" si="119"/>
        <v>-1.8402500917593767E-2</v>
      </c>
    </row>
    <row r="3551" spans="1:3" x14ac:dyDescent="0.3">
      <c r="A3551" s="28">
        <v>43969</v>
      </c>
      <c r="B3551" s="36">
        <v>81194</v>
      </c>
      <c r="C3551">
        <f t="shared" si="119"/>
        <v>4.6894542078729229E-2</v>
      </c>
    </row>
    <row r="3552" spans="1:3" x14ac:dyDescent="0.3">
      <c r="A3552" s="28">
        <v>43970</v>
      </c>
      <c r="B3552" s="36">
        <v>80742</v>
      </c>
      <c r="C3552">
        <f t="shared" si="119"/>
        <v>-5.566913811365426E-3</v>
      </c>
    </row>
    <row r="3553" spans="1:3" x14ac:dyDescent="0.3">
      <c r="A3553" s="28">
        <v>43971</v>
      </c>
      <c r="B3553" s="36">
        <v>81319</v>
      </c>
      <c r="C3553">
        <f t="shared" si="119"/>
        <v>7.1462188204403088E-3</v>
      </c>
    </row>
    <row r="3554" spans="1:3" x14ac:dyDescent="0.3">
      <c r="A3554" s="28">
        <v>43972</v>
      </c>
      <c r="B3554" s="36">
        <v>83027</v>
      </c>
      <c r="C3554">
        <f t="shared" si="119"/>
        <v>2.1003701471980607E-2</v>
      </c>
    </row>
    <row r="3555" spans="1:3" x14ac:dyDescent="0.3">
      <c r="A3555" s="28">
        <v>43973</v>
      </c>
      <c r="B3555" s="36">
        <v>82173</v>
      </c>
      <c r="C3555">
        <f t="shared" si="119"/>
        <v>-1.0285810639912296E-2</v>
      </c>
    </row>
    <row r="3556" spans="1:3" x14ac:dyDescent="0.3">
      <c r="A3556" s="28">
        <v>43976</v>
      </c>
      <c r="B3556" s="36">
        <v>85663</v>
      </c>
      <c r="C3556">
        <f t="shared" si="119"/>
        <v>4.2471371375025768E-2</v>
      </c>
    </row>
    <row r="3557" spans="1:3" x14ac:dyDescent="0.3">
      <c r="A3557" s="28">
        <v>43977</v>
      </c>
      <c r="B3557" s="36">
        <v>85469</v>
      </c>
      <c r="C3557">
        <f t="shared" si="119"/>
        <v>-2.2646883718758781E-3</v>
      </c>
    </row>
    <row r="3558" spans="1:3" x14ac:dyDescent="0.3">
      <c r="A3558" s="28">
        <v>43978</v>
      </c>
      <c r="B3558" s="36">
        <v>87946</v>
      </c>
      <c r="C3558">
        <f t="shared" si="119"/>
        <v>2.8981268062104437E-2</v>
      </c>
    </row>
    <row r="3559" spans="1:3" x14ac:dyDescent="0.3">
      <c r="A3559" s="28">
        <v>43979</v>
      </c>
      <c r="B3559" s="36">
        <v>86949</v>
      </c>
      <c r="C3559">
        <f t="shared" si="119"/>
        <v>-1.1336501944374966E-2</v>
      </c>
    </row>
    <row r="3560" spans="1:3" x14ac:dyDescent="0.3">
      <c r="A3560" s="28">
        <v>43980</v>
      </c>
      <c r="B3560" s="36">
        <v>87403</v>
      </c>
      <c r="C3560">
        <f t="shared" si="119"/>
        <v>5.2214516555681989E-3</v>
      </c>
    </row>
    <row r="3561" spans="1:3" x14ac:dyDescent="0.3">
      <c r="A3561" s="28">
        <v>43983</v>
      </c>
      <c r="B3561" s="36">
        <v>88620</v>
      </c>
      <c r="C3561">
        <f t="shared" si="119"/>
        <v>1.3924007185108112E-2</v>
      </c>
    </row>
    <row r="3562" spans="1:3" x14ac:dyDescent="0.3">
      <c r="A3562" s="28">
        <v>43984</v>
      </c>
      <c r="B3562" s="36">
        <v>91046</v>
      </c>
      <c r="C3562">
        <f t="shared" si="119"/>
        <v>2.7375310313698886E-2</v>
      </c>
    </row>
    <row r="3563" spans="1:3" x14ac:dyDescent="0.3">
      <c r="A3563" s="28">
        <v>43985</v>
      </c>
      <c r="B3563" s="36">
        <v>93002</v>
      </c>
      <c r="C3563">
        <f t="shared" si="119"/>
        <v>2.1483645629681636E-2</v>
      </c>
    </row>
    <row r="3564" spans="1:3" x14ac:dyDescent="0.3">
      <c r="A3564" s="28">
        <v>43986</v>
      </c>
      <c r="B3564" s="36">
        <v>93829</v>
      </c>
      <c r="C3564">
        <f t="shared" si="119"/>
        <v>8.892281886411002E-3</v>
      </c>
    </row>
    <row r="3565" spans="1:3" x14ac:dyDescent="0.3">
      <c r="A3565" s="28">
        <v>43987</v>
      </c>
      <c r="B3565" s="36">
        <v>94637</v>
      </c>
      <c r="C3565">
        <f t="shared" si="119"/>
        <v>8.6114101184069369E-3</v>
      </c>
    </row>
    <row r="3566" spans="1:3" x14ac:dyDescent="0.3">
      <c r="A3566" s="28">
        <v>43990</v>
      </c>
      <c r="B3566" s="36">
        <v>97645</v>
      </c>
      <c r="C3566">
        <f t="shared" si="119"/>
        <v>3.1784608556906901E-2</v>
      </c>
    </row>
    <row r="3567" spans="1:3" x14ac:dyDescent="0.3">
      <c r="A3567" s="28">
        <v>43991</v>
      </c>
      <c r="B3567" s="36">
        <v>96747</v>
      </c>
      <c r="C3567">
        <f t="shared" si="119"/>
        <v>-9.1965794459522021E-3</v>
      </c>
    </row>
    <row r="3568" spans="1:3" x14ac:dyDescent="0.3">
      <c r="A3568" s="28">
        <v>43992</v>
      </c>
      <c r="B3568" s="36">
        <v>94686</v>
      </c>
      <c r="C3568">
        <f t="shared" si="119"/>
        <v>-2.1302986139105085E-2</v>
      </c>
    </row>
    <row r="3569" spans="1:3" x14ac:dyDescent="0.3">
      <c r="A3569" s="28">
        <v>43994</v>
      </c>
      <c r="B3569" s="36">
        <v>92795</v>
      </c>
      <c r="C3569">
        <f t="shared" si="119"/>
        <v>-1.9971273472319084E-2</v>
      </c>
    </row>
    <row r="3570" spans="1:3" x14ac:dyDescent="0.3">
      <c r="A3570" s="28">
        <v>43997</v>
      </c>
      <c r="B3570" s="36">
        <v>92376</v>
      </c>
      <c r="C3570">
        <f t="shared" si="119"/>
        <v>-4.5153294897354312E-3</v>
      </c>
    </row>
    <row r="3571" spans="1:3" x14ac:dyDescent="0.3">
      <c r="A3571" s="28">
        <v>43998</v>
      </c>
      <c r="B3571" s="36">
        <v>93531</v>
      </c>
      <c r="C3571">
        <f t="shared" si="119"/>
        <v>1.2503247596778344E-2</v>
      </c>
    </row>
    <row r="3572" spans="1:3" x14ac:dyDescent="0.3">
      <c r="A3572" s="28">
        <v>43999</v>
      </c>
      <c r="B3572" s="36">
        <v>95547</v>
      </c>
      <c r="C3572">
        <f t="shared" si="119"/>
        <v>2.155435096385161E-2</v>
      </c>
    </row>
    <row r="3573" spans="1:3" x14ac:dyDescent="0.3">
      <c r="A3573" s="28">
        <v>44000</v>
      </c>
      <c r="B3573" s="36">
        <v>96125</v>
      </c>
      <c r="C3573">
        <f t="shared" si="119"/>
        <v>6.0493788397333326E-3</v>
      </c>
    </row>
    <row r="3574" spans="1:3" x14ac:dyDescent="0.3">
      <c r="A3574" s="28">
        <v>44001</v>
      </c>
      <c r="B3574" s="36">
        <v>96572</v>
      </c>
      <c r="C3574">
        <f t="shared" si="119"/>
        <v>4.6501950585176033E-3</v>
      </c>
    </row>
  </sheetData>
  <mergeCells count="1">
    <mergeCell ref="E7:F7"/>
  </mergeCells>
  <dataValidations count="1">
    <dataValidation type="list" allowBlank="1" showInputMessage="1" showErrorMessage="1" sqref="F4" xr:uid="{5D94CD27-22BA-4AEB-8F6B-CBA26FCF9BF5}">
      <formula1>"cota,retorno"</formula1>
    </dataValidation>
  </dataValidations>
  <pageMargins left="0.7" right="0.7" top="0.75" bottom="0.75" header="0.3" footer="0.3"/>
  <ignoredErrors>
    <ignoredError sqref="F12 F16 F20 F24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7E1DC-68D7-405B-931A-C6CA12565867}">
  <sheetPr codeName="Sheet1"/>
  <dimension ref="A1:F54"/>
  <sheetViews>
    <sheetView showGridLines="0" topLeftCell="A2" workbookViewId="0">
      <selection activeCell="G14" sqref="G14"/>
    </sheetView>
  </sheetViews>
  <sheetFormatPr defaultRowHeight="14.4" x14ac:dyDescent="0.3"/>
  <cols>
    <col min="2" max="2" width="9.5546875" bestFit="1" customWidth="1"/>
    <col min="3" max="3" width="9.88671875" customWidth="1"/>
  </cols>
  <sheetData>
    <row r="1" spans="1:6" ht="6" hidden="1" customHeight="1" thickBot="1" x14ac:dyDescent="0.35">
      <c r="C1" s="8"/>
      <c r="D1" s="9"/>
    </row>
    <row r="2" spans="1:6" s="10" customFormat="1" ht="6.75" customHeight="1" thickBot="1" x14ac:dyDescent="0.35">
      <c r="D2" s="11"/>
    </row>
    <row r="3" spans="1:6" ht="4.8" customHeight="1" thickBot="1" x14ac:dyDescent="0.35"/>
    <row r="4" spans="1:6" s="4" customFormat="1" ht="42" customHeight="1" thickBot="1" x14ac:dyDescent="0.35">
      <c r="A4" s="14" t="s">
        <v>0</v>
      </c>
      <c r="B4" s="14" t="s">
        <v>2</v>
      </c>
      <c r="C4" s="14" t="s">
        <v>3</v>
      </c>
      <c r="E4" s="17" t="s">
        <v>4</v>
      </c>
      <c r="F4" s="18">
        <f>MIN(C5:C16)</f>
        <v>-0.19999999999999996</v>
      </c>
    </row>
    <row r="5" spans="1:6" ht="15" customHeight="1" thickTop="1" x14ac:dyDescent="0.3">
      <c r="A5" s="12">
        <v>1</v>
      </c>
      <c r="B5" s="12">
        <v>100</v>
      </c>
      <c r="C5" s="7">
        <v>0</v>
      </c>
    </row>
    <row r="6" spans="1:6" ht="15" customHeight="1" x14ac:dyDescent="0.3">
      <c r="A6" s="12">
        <v>2</v>
      </c>
      <c r="B6" s="12">
        <v>85</v>
      </c>
      <c r="C6" s="7">
        <f>B6/MAX(B$5:B6)-1</f>
        <v>-0.15000000000000002</v>
      </c>
    </row>
    <row r="7" spans="1:6" ht="15" customHeight="1" x14ac:dyDescent="0.3">
      <c r="A7" s="12">
        <v>3</v>
      </c>
      <c r="B7" s="12">
        <v>82</v>
      </c>
      <c r="C7" s="7">
        <f>B7/MAX(B$5:B7)-1</f>
        <v>-0.18000000000000005</v>
      </c>
    </row>
    <row r="8" spans="1:6" ht="15" customHeight="1" x14ac:dyDescent="0.3">
      <c r="A8" s="12">
        <v>4</v>
      </c>
      <c r="B8" s="12">
        <v>95</v>
      </c>
      <c r="C8" s="7">
        <f>B8/MAX(B$5:B8)-1</f>
        <v>-5.0000000000000044E-2</v>
      </c>
    </row>
    <row r="9" spans="1:6" ht="15" customHeight="1" x14ac:dyDescent="0.3">
      <c r="A9" s="12">
        <f>A8+1</f>
        <v>5</v>
      </c>
      <c r="B9" s="12">
        <v>104</v>
      </c>
      <c r="C9" s="7">
        <f>B9/MAX(B$5:B9)-1</f>
        <v>0</v>
      </c>
    </row>
    <row r="10" spans="1:6" ht="15" customHeight="1" x14ac:dyDescent="0.3">
      <c r="A10" s="12">
        <f t="shared" ref="A10:A14" si="0">A9+1</f>
        <v>6</v>
      </c>
      <c r="B10" s="12">
        <v>110</v>
      </c>
      <c r="C10" s="7">
        <f>B10/MAX(B$5:B10)-1</f>
        <v>0</v>
      </c>
    </row>
    <row r="11" spans="1:6" ht="15" customHeight="1" x14ac:dyDescent="0.3">
      <c r="A11" s="12">
        <f t="shared" si="0"/>
        <v>7</v>
      </c>
      <c r="B11" s="12">
        <v>103</v>
      </c>
      <c r="C11" s="7">
        <f>B11/MAX(B$5:B11)-1</f>
        <v>-6.3636363636363602E-2</v>
      </c>
    </row>
    <row r="12" spans="1:6" ht="15" customHeight="1" x14ac:dyDescent="0.3">
      <c r="A12" s="12">
        <f t="shared" si="0"/>
        <v>8</v>
      </c>
      <c r="B12" s="12">
        <v>109</v>
      </c>
      <c r="C12" s="7">
        <f>B12/MAX(B$5:B12)-1</f>
        <v>-9.0909090909090384E-3</v>
      </c>
    </row>
    <row r="13" spans="1:6" ht="15" customHeight="1" x14ac:dyDescent="0.3">
      <c r="A13" s="12">
        <f t="shared" si="0"/>
        <v>9</v>
      </c>
      <c r="B13" s="12">
        <v>92</v>
      </c>
      <c r="C13" s="7">
        <f>B13/MAX(B$5:B13)-1</f>
        <v>-0.16363636363636369</v>
      </c>
    </row>
    <row r="14" spans="1:6" ht="15" customHeight="1" x14ac:dyDescent="0.3">
      <c r="A14" s="12">
        <f t="shared" si="0"/>
        <v>10</v>
      </c>
      <c r="B14" s="12">
        <v>88</v>
      </c>
      <c r="C14" s="7">
        <f>B14/MAX(B$5:B14)-1</f>
        <v>-0.19999999999999996</v>
      </c>
    </row>
    <row r="15" spans="1:6" ht="15" customHeight="1" x14ac:dyDescent="0.3">
      <c r="A15" s="13">
        <v>11</v>
      </c>
      <c r="B15" s="12">
        <v>95</v>
      </c>
      <c r="C15" s="7">
        <f>B15/MAX(B$5:B15)-1</f>
        <v>-0.13636363636363635</v>
      </c>
    </row>
    <row r="16" spans="1:6" ht="15" customHeight="1" x14ac:dyDescent="0.3">
      <c r="A16" s="13">
        <v>12</v>
      </c>
      <c r="B16" s="12">
        <v>102</v>
      </c>
      <c r="C16" s="7">
        <f>B16/MAX(B$5:B16)-1</f>
        <v>-7.2727272727272751E-2</v>
      </c>
    </row>
    <row r="17" spans="4:4" ht="15" customHeight="1" x14ac:dyDescent="0.3"/>
    <row r="18" spans="4:4" ht="15" customHeight="1" x14ac:dyDescent="0.3"/>
    <row r="19" spans="4:4" ht="15" customHeight="1" x14ac:dyDescent="0.3"/>
    <row r="20" spans="4:4" ht="15" customHeight="1" x14ac:dyDescent="0.3"/>
    <row r="21" spans="4:4" ht="15" customHeight="1" x14ac:dyDescent="0.3"/>
    <row r="22" spans="4:4" ht="15" customHeight="1" x14ac:dyDescent="0.3"/>
    <row r="23" spans="4:4" ht="15" customHeight="1" x14ac:dyDescent="0.3"/>
    <row r="24" spans="4:4" ht="15" customHeight="1" x14ac:dyDescent="0.3"/>
    <row r="25" spans="4:4" ht="15" customHeight="1" x14ac:dyDescent="0.3"/>
    <row r="26" spans="4:4" ht="15" customHeight="1" x14ac:dyDescent="0.3"/>
    <row r="27" spans="4:4" ht="15" customHeight="1" x14ac:dyDescent="0.3"/>
    <row r="28" spans="4:4" ht="15" customHeight="1" x14ac:dyDescent="0.3"/>
    <row r="29" spans="4:4" ht="15" customHeight="1" x14ac:dyDescent="0.3">
      <c r="D29" s="7"/>
    </row>
    <row r="30" spans="4:4" ht="15" customHeight="1" x14ac:dyDescent="0.3"/>
    <row r="31" spans="4:4" ht="15" customHeight="1" x14ac:dyDescent="0.3"/>
    <row r="32" spans="4:4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8FF8-FDC7-4D12-AE65-8C1A9575412A}">
  <sheetPr codeName="Sheet3"/>
  <dimension ref="A1:E718"/>
  <sheetViews>
    <sheetView showGridLines="0" workbookViewId="0">
      <selection activeCell="D19" sqref="D19"/>
    </sheetView>
  </sheetViews>
  <sheetFormatPr defaultRowHeight="14.4" x14ac:dyDescent="0.3"/>
  <cols>
    <col min="1" max="1" width="9.5546875" style="19" bestFit="1" customWidth="1"/>
    <col min="2" max="2" width="10.33203125" style="20" bestFit="1" customWidth="1"/>
    <col min="3" max="3" width="9.88671875" customWidth="1"/>
    <col min="5" max="5" width="9.6640625" bestFit="1" customWidth="1"/>
  </cols>
  <sheetData>
    <row r="1" spans="1:5" ht="12" customHeight="1" thickBot="1" x14ac:dyDescent="0.35">
      <c r="C1" s="8"/>
    </row>
    <row r="2" spans="1:5" s="10" customFormat="1" ht="6.75" customHeight="1" thickBot="1" x14ac:dyDescent="0.35">
      <c r="A2" s="21"/>
      <c r="B2" s="22"/>
    </row>
    <row r="3" spans="1:5" ht="15" thickBot="1" x14ac:dyDescent="0.35"/>
    <row r="4" spans="1:5" s="4" customFormat="1" ht="42" customHeight="1" thickBot="1" x14ac:dyDescent="0.35">
      <c r="A4" s="23" t="s">
        <v>0</v>
      </c>
      <c r="B4" s="24" t="s">
        <v>2</v>
      </c>
      <c r="C4" s="14" t="s">
        <v>3</v>
      </c>
      <c r="D4" s="17" t="s">
        <v>4</v>
      </c>
      <c r="E4" s="18">
        <f>MIN(C5:C718)</f>
        <v>-0.3549278157085527</v>
      </c>
    </row>
    <row r="5" spans="1:5" ht="15" customHeight="1" thickTop="1" x14ac:dyDescent="0.3">
      <c r="A5" s="25">
        <v>42384</v>
      </c>
      <c r="B5" s="20">
        <v>434</v>
      </c>
      <c r="C5" s="7">
        <v>0</v>
      </c>
    </row>
    <row r="6" spans="1:5" ht="15" customHeight="1" x14ac:dyDescent="0.3">
      <c r="A6" s="25">
        <v>42385</v>
      </c>
      <c r="B6" s="20">
        <v>432.7</v>
      </c>
      <c r="C6" s="7">
        <f>B6/MAX(B$5:B6)-1</f>
        <v>-2.9953917050691281E-3</v>
      </c>
    </row>
    <row r="7" spans="1:5" ht="15" customHeight="1" x14ac:dyDescent="0.3">
      <c r="A7" s="25">
        <v>42386</v>
      </c>
      <c r="B7" s="20">
        <v>428.7</v>
      </c>
      <c r="C7" s="7">
        <f>B7/MAX(B$5:B7)-1</f>
        <v>-1.2211981566820351E-2</v>
      </c>
    </row>
    <row r="8" spans="1:5" ht="15" customHeight="1" x14ac:dyDescent="0.3">
      <c r="A8" s="25">
        <v>42387</v>
      </c>
      <c r="B8" s="20">
        <v>432.9</v>
      </c>
      <c r="C8" s="7">
        <f>B8/MAX(B$5:B8)-1</f>
        <v>-2.5345622119816724E-3</v>
      </c>
    </row>
    <row r="9" spans="1:5" ht="15" customHeight="1" x14ac:dyDescent="0.3">
      <c r="A9" s="25">
        <v>42388</v>
      </c>
      <c r="B9" s="20">
        <v>431.8</v>
      </c>
      <c r="C9" s="7">
        <f>B9/MAX(B$5:B9)-1</f>
        <v>-5.0691244239631228E-3</v>
      </c>
    </row>
    <row r="10" spans="1:5" ht="15" customHeight="1" x14ac:dyDescent="0.3">
      <c r="A10" s="25">
        <v>42389</v>
      </c>
      <c r="B10" s="20">
        <v>428</v>
      </c>
      <c r="C10" s="7">
        <f>B10/MAX(B$5:B10)-1</f>
        <v>-1.3824884792626779E-2</v>
      </c>
    </row>
    <row r="11" spans="1:5" ht="15" customHeight="1" x14ac:dyDescent="0.3">
      <c r="A11" s="25">
        <v>42390</v>
      </c>
      <c r="B11" s="20">
        <v>459</v>
      </c>
      <c r="C11" s="7">
        <f>B11/MAX(B$5:B11)-1</f>
        <v>0</v>
      </c>
    </row>
    <row r="12" spans="1:5" ht="15" customHeight="1" x14ac:dyDescent="0.3">
      <c r="A12" s="25">
        <v>42391</v>
      </c>
      <c r="B12" s="20">
        <v>454</v>
      </c>
      <c r="C12" s="7">
        <f>B12/MAX(B$5:B12)-1</f>
        <v>-1.089324618736387E-2</v>
      </c>
    </row>
    <row r="13" spans="1:5" ht="15" customHeight="1" x14ac:dyDescent="0.3">
      <c r="A13" s="25">
        <v>42392</v>
      </c>
      <c r="B13" s="20">
        <v>449.2</v>
      </c>
      <c r="C13" s="7">
        <f>B13/MAX(B$5:B13)-1</f>
        <v>-2.1350762527233114E-2</v>
      </c>
    </row>
    <row r="14" spans="1:5" ht="15" customHeight="1" x14ac:dyDescent="0.3">
      <c r="A14" s="25">
        <v>42393</v>
      </c>
      <c r="B14" s="20">
        <v>449.4</v>
      </c>
      <c r="C14" s="7">
        <f>B14/MAX(B$5:B14)-1</f>
        <v>-2.0915032679738599E-2</v>
      </c>
    </row>
    <row r="15" spans="1:5" ht="15" customHeight="1" x14ac:dyDescent="0.3">
      <c r="A15" s="26">
        <v>42394</v>
      </c>
      <c r="B15" s="20">
        <v>449.3</v>
      </c>
      <c r="C15" s="7">
        <f>B15/MAX(B$5:B15)-1</f>
        <v>-2.1132897603485801E-2</v>
      </c>
    </row>
    <row r="16" spans="1:5" ht="15" customHeight="1" x14ac:dyDescent="0.3">
      <c r="A16" s="26">
        <v>42395</v>
      </c>
      <c r="B16" s="20">
        <v>432</v>
      </c>
      <c r="C16" s="7">
        <f>B16/MAX(B$5:B16)-1</f>
        <v>-5.8823529411764719E-2</v>
      </c>
    </row>
    <row r="17" spans="1:3" ht="15" customHeight="1" x14ac:dyDescent="0.3">
      <c r="A17" s="19">
        <v>42396</v>
      </c>
      <c r="B17" s="20">
        <v>431.1</v>
      </c>
      <c r="C17" s="7">
        <f>B17/MAX(B$5:B17)-1</f>
        <v>-6.0784313725490091E-2</v>
      </c>
    </row>
    <row r="18" spans="1:3" ht="15" customHeight="1" x14ac:dyDescent="0.3">
      <c r="A18" s="19">
        <v>42397</v>
      </c>
      <c r="B18" s="20">
        <v>429.3</v>
      </c>
      <c r="C18" s="7">
        <f>B18/MAX(B$5:B18)-1</f>
        <v>-6.4705882352941169E-2</v>
      </c>
    </row>
    <row r="19" spans="1:3" ht="15" customHeight="1" x14ac:dyDescent="0.3">
      <c r="A19" s="19">
        <v>42398</v>
      </c>
      <c r="B19" s="20">
        <v>358.9</v>
      </c>
      <c r="C19" s="7">
        <f>B19/MAX(B$5:B19)-1</f>
        <v>-0.21808278867102404</v>
      </c>
    </row>
    <row r="20" spans="1:3" ht="15" customHeight="1" x14ac:dyDescent="0.3">
      <c r="A20" s="19">
        <v>42399</v>
      </c>
      <c r="B20" s="20">
        <v>388.4</v>
      </c>
      <c r="C20" s="7">
        <f>B20/MAX(B$5:B20)-1</f>
        <v>-0.15381263616557739</v>
      </c>
    </row>
    <row r="21" spans="1:3" ht="15" customHeight="1" x14ac:dyDescent="0.3">
      <c r="A21" s="19">
        <v>42400</v>
      </c>
      <c r="B21" s="20">
        <v>382.1</v>
      </c>
      <c r="C21" s="7">
        <f>B21/MAX(B$5:B21)-1</f>
        <v>-0.16753812636165577</v>
      </c>
    </row>
    <row r="22" spans="1:3" ht="15" customHeight="1" x14ac:dyDescent="0.3">
      <c r="A22" s="19">
        <v>42401</v>
      </c>
      <c r="B22" s="20">
        <v>387</v>
      </c>
      <c r="C22" s="7">
        <f>B22/MAX(B$5:B22)-1</f>
        <v>-0.15686274509803921</v>
      </c>
    </row>
    <row r="23" spans="1:3" ht="15" customHeight="1" x14ac:dyDescent="0.3">
      <c r="A23" s="19">
        <v>42402</v>
      </c>
      <c r="B23" s="20">
        <v>379</v>
      </c>
      <c r="C23" s="7">
        <f>B23/MAX(B$5:B23)-1</f>
        <v>-0.17429193899782136</v>
      </c>
    </row>
    <row r="24" spans="1:3" ht="15" customHeight="1" x14ac:dyDescent="0.3">
      <c r="A24" s="19">
        <v>42403</v>
      </c>
      <c r="B24" s="20">
        <v>419.4</v>
      </c>
      <c r="C24" s="7">
        <f>B24/MAX(B$5:B24)-1</f>
        <v>-8.6274509803921595E-2</v>
      </c>
    </row>
    <row r="25" spans="1:3" ht="15" customHeight="1" x14ac:dyDescent="0.3">
      <c r="A25" s="19">
        <v>42404</v>
      </c>
      <c r="B25" s="20">
        <v>411</v>
      </c>
      <c r="C25" s="7">
        <f>B25/MAX(B$5:B25)-1</f>
        <v>-0.10457516339869277</v>
      </c>
    </row>
    <row r="26" spans="1:3" ht="15" customHeight="1" x14ac:dyDescent="0.3">
      <c r="A26" s="19">
        <v>42405</v>
      </c>
      <c r="B26" s="20">
        <v>381</v>
      </c>
      <c r="C26" s="7">
        <f>B26/MAX(B$5:B26)-1</f>
        <v>-0.16993464052287577</v>
      </c>
    </row>
    <row r="27" spans="1:3" ht="15" customHeight="1" x14ac:dyDescent="0.3">
      <c r="A27" s="19">
        <v>42406</v>
      </c>
      <c r="B27" s="20">
        <v>385.6</v>
      </c>
      <c r="C27" s="7">
        <f>B27/MAX(B$5:B27)-1</f>
        <v>-0.15991285403050104</v>
      </c>
    </row>
    <row r="28" spans="1:3" ht="15" customHeight="1" x14ac:dyDescent="0.3">
      <c r="A28" s="19">
        <v>42407</v>
      </c>
      <c r="B28" s="20">
        <v>402.8</v>
      </c>
      <c r="C28" s="7">
        <f>B28/MAX(B$5:B28)-1</f>
        <v>-0.12244008714596943</v>
      </c>
    </row>
    <row r="29" spans="1:3" ht="15" customHeight="1" x14ac:dyDescent="0.3">
      <c r="A29" s="19">
        <v>42408</v>
      </c>
      <c r="B29" s="20">
        <v>391</v>
      </c>
      <c r="C29" s="7">
        <f>B29/MAX(B$5:B29)-1</f>
        <v>-0.14814814814814814</v>
      </c>
    </row>
    <row r="30" spans="1:3" ht="15" customHeight="1" x14ac:dyDescent="0.3">
      <c r="A30" s="19">
        <v>42409</v>
      </c>
      <c r="B30" s="20">
        <v>391.3</v>
      </c>
      <c r="C30" s="7">
        <f>B30/MAX(B$5:B30)-1</f>
        <v>-0.14749455337690631</v>
      </c>
    </row>
    <row r="31" spans="1:3" ht="15" customHeight="1" x14ac:dyDescent="0.3">
      <c r="A31" s="19">
        <v>42410</v>
      </c>
      <c r="B31" s="20">
        <v>395</v>
      </c>
      <c r="C31" s="7">
        <f>B31/MAX(B$5:B31)-1</f>
        <v>-0.13943355119825707</v>
      </c>
    </row>
    <row r="32" spans="1:3" ht="15" customHeight="1" x14ac:dyDescent="0.3">
      <c r="A32" s="19">
        <v>42411</v>
      </c>
      <c r="B32" s="20">
        <v>378.4</v>
      </c>
      <c r="C32" s="7">
        <f>B32/MAX(B$5:B32)-1</f>
        <v>-0.17559912854030502</v>
      </c>
    </row>
    <row r="33" spans="1:3" ht="15" customHeight="1" x14ac:dyDescent="0.3">
      <c r="A33" s="19">
        <v>42412</v>
      </c>
      <c r="B33" s="20">
        <v>377.6</v>
      </c>
      <c r="C33" s="7">
        <f>B33/MAX(B$5:B33)-1</f>
        <v>-0.17734204793028319</v>
      </c>
    </row>
    <row r="34" spans="1:3" ht="15" customHeight="1" x14ac:dyDescent="0.3">
      <c r="A34" s="19">
        <v>42413</v>
      </c>
      <c r="B34" s="20">
        <v>377</v>
      </c>
      <c r="C34" s="7">
        <f>B34/MAX(B$5:B34)-1</f>
        <v>-0.17864923747276684</v>
      </c>
    </row>
    <row r="35" spans="1:3" ht="15" customHeight="1" x14ac:dyDescent="0.3">
      <c r="A35" s="19">
        <v>42414</v>
      </c>
      <c r="B35" s="20">
        <v>365.5</v>
      </c>
      <c r="C35" s="7">
        <f>B35/MAX(B$5:B35)-1</f>
        <v>-0.20370370370370372</v>
      </c>
    </row>
    <row r="36" spans="1:3" ht="15" customHeight="1" x14ac:dyDescent="0.3">
      <c r="A36" s="19">
        <v>42415</v>
      </c>
      <c r="B36" s="20">
        <v>371.4</v>
      </c>
      <c r="C36" s="7">
        <f>B36/MAX(B$5:B36)-1</f>
        <v>-0.19084967320261448</v>
      </c>
    </row>
    <row r="37" spans="1:3" ht="15" customHeight="1" x14ac:dyDescent="0.3">
      <c r="A37" s="19">
        <v>42416</v>
      </c>
      <c r="B37" s="20">
        <v>372.9</v>
      </c>
      <c r="C37" s="7">
        <f>B37/MAX(B$5:B37)-1</f>
        <v>-0.18758169934640523</v>
      </c>
    </row>
    <row r="38" spans="1:3" ht="15" customHeight="1" x14ac:dyDescent="0.3">
      <c r="A38" s="19">
        <v>42417</v>
      </c>
      <c r="B38" s="20">
        <v>369</v>
      </c>
      <c r="C38" s="7">
        <f>B38/MAX(B$5:B38)-1</f>
        <v>-0.19607843137254899</v>
      </c>
    </row>
    <row r="39" spans="1:3" ht="15" customHeight="1" x14ac:dyDescent="0.3">
      <c r="A39" s="19">
        <v>42418</v>
      </c>
      <c r="B39" s="20">
        <v>389.8</v>
      </c>
      <c r="C39" s="7">
        <f>B39/MAX(B$5:B39)-1</f>
        <v>-0.15076252723311545</v>
      </c>
    </row>
    <row r="40" spans="1:3" ht="15" customHeight="1" x14ac:dyDescent="0.3">
      <c r="A40" s="19">
        <v>42419</v>
      </c>
      <c r="B40" s="20">
        <v>386.5</v>
      </c>
      <c r="C40" s="7">
        <f>B40/MAX(B$5:B40)-1</f>
        <v>-0.15795206971677556</v>
      </c>
    </row>
    <row r="41" spans="1:3" ht="15" customHeight="1" x14ac:dyDescent="0.3">
      <c r="A41" s="19">
        <v>42420</v>
      </c>
      <c r="B41" s="20">
        <v>373.8</v>
      </c>
      <c r="C41" s="7">
        <f>B41/MAX(B$5:B41)-1</f>
        <v>-0.18562091503267975</v>
      </c>
    </row>
    <row r="42" spans="1:3" ht="15" customHeight="1" x14ac:dyDescent="0.3">
      <c r="A42" s="19">
        <v>42421</v>
      </c>
      <c r="B42" s="20">
        <v>372</v>
      </c>
      <c r="C42" s="7">
        <f>B42/MAX(B$5:B42)-1</f>
        <v>-0.18954248366013071</v>
      </c>
    </row>
    <row r="43" spans="1:3" ht="15" customHeight="1" x14ac:dyDescent="0.3">
      <c r="A43" s="19">
        <v>42422</v>
      </c>
      <c r="B43" s="20">
        <v>370.5</v>
      </c>
      <c r="C43" s="7">
        <f>B43/MAX(B$5:B43)-1</f>
        <v>-0.19281045751633985</v>
      </c>
    </row>
    <row r="44" spans="1:3" ht="15" customHeight="1" x14ac:dyDescent="0.3">
      <c r="A44" s="19">
        <v>42423</v>
      </c>
      <c r="B44" s="20">
        <v>374</v>
      </c>
      <c r="C44" s="7">
        <f>B44/MAX(B$5:B44)-1</f>
        <v>-0.18518518518518523</v>
      </c>
    </row>
    <row r="45" spans="1:3" ht="15" customHeight="1" x14ac:dyDescent="0.3">
      <c r="A45" s="19">
        <v>42424</v>
      </c>
      <c r="B45" s="20">
        <v>380.9</v>
      </c>
      <c r="C45" s="7">
        <f>B45/MAX(B$5:B45)-1</f>
        <v>-0.17015250544662319</v>
      </c>
    </row>
    <row r="46" spans="1:3" ht="15" customHeight="1" x14ac:dyDescent="0.3">
      <c r="A46" s="19">
        <v>42425</v>
      </c>
      <c r="B46" s="20">
        <v>378</v>
      </c>
      <c r="C46" s="7">
        <f>B46/MAX(B$5:B46)-1</f>
        <v>-0.17647058823529416</v>
      </c>
    </row>
    <row r="47" spans="1:3" ht="15" customHeight="1" x14ac:dyDescent="0.3">
      <c r="A47" s="19">
        <v>42426</v>
      </c>
      <c r="B47" s="20">
        <v>383</v>
      </c>
      <c r="C47" s="7">
        <f>B47/MAX(B$5:B47)-1</f>
        <v>-0.16557734204793029</v>
      </c>
    </row>
    <row r="48" spans="1:3" ht="15" customHeight="1" x14ac:dyDescent="0.3">
      <c r="A48" s="19">
        <v>42427</v>
      </c>
      <c r="B48" s="20">
        <v>393</v>
      </c>
      <c r="C48" s="7">
        <f>B48/MAX(B$5:B48)-1</f>
        <v>-0.14379084967320266</v>
      </c>
    </row>
    <row r="49" spans="1:3" ht="15" customHeight="1" x14ac:dyDescent="0.3">
      <c r="A49" s="19">
        <v>42428</v>
      </c>
      <c r="B49" s="20">
        <v>408.3</v>
      </c>
      <c r="C49" s="7">
        <f>B49/MAX(B$5:B49)-1</f>
        <v>-0.11045751633986922</v>
      </c>
    </row>
    <row r="50" spans="1:3" ht="15" customHeight="1" x14ac:dyDescent="0.3">
      <c r="A50" s="19">
        <v>42429</v>
      </c>
      <c r="B50" s="20">
        <v>399.9</v>
      </c>
      <c r="C50" s="7">
        <f>B50/MAX(B$5:B50)-1</f>
        <v>-0.12875816993464062</v>
      </c>
    </row>
    <row r="51" spans="1:3" ht="15" customHeight="1" x14ac:dyDescent="0.3">
      <c r="A51" s="19">
        <v>42430</v>
      </c>
      <c r="B51" s="20">
        <v>407.3</v>
      </c>
      <c r="C51" s="7">
        <f>B51/MAX(B$5:B51)-1</f>
        <v>-0.11263616557734202</v>
      </c>
    </row>
    <row r="52" spans="1:3" ht="15" customHeight="1" x14ac:dyDescent="0.3">
      <c r="A52" s="19">
        <v>42431</v>
      </c>
      <c r="B52" s="20">
        <v>414.9</v>
      </c>
      <c r="C52" s="7">
        <f>B52/MAX(B$5:B52)-1</f>
        <v>-9.6078431372549122E-2</v>
      </c>
    </row>
    <row r="53" spans="1:3" ht="15" customHeight="1" x14ac:dyDescent="0.3">
      <c r="A53" s="19">
        <v>42432</v>
      </c>
      <c r="B53" s="20">
        <v>421.5</v>
      </c>
      <c r="C53" s="7">
        <f>B53/MAX(B$5:B53)-1</f>
        <v>-8.1699346405228801E-2</v>
      </c>
    </row>
    <row r="54" spans="1:3" ht="15" customHeight="1" x14ac:dyDescent="0.3">
      <c r="A54" s="19">
        <v>42433</v>
      </c>
      <c r="B54" s="20">
        <v>420</v>
      </c>
      <c r="C54" s="7">
        <f>B54/MAX(B$5:B54)-1</f>
        <v>-8.496732026143794E-2</v>
      </c>
    </row>
    <row r="55" spans="1:3" x14ac:dyDescent="0.3">
      <c r="A55" s="19">
        <v>42434</v>
      </c>
      <c r="B55" s="20">
        <v>438.7</v>
      </c>
      <c r="C55" s="7">
        <f>B55/MAX(B$5:B55)-1</f>
        <v>-4.4226579520697196E-2</v>
      </c>
    </row>
    <row r="56" spans="1:3" x14ac:dyDescent="0.3">
      <c r="A56" s="19">
        <v>42435</v>
      </c>
      <c r="B56" s="20">
        <v>440.5</v>
      </c>
      <c r="C56" s="7">
        <f>B56/MAX(B$5:B56)-1</f>
        <v>-4.0305010893246229E-2</v>
      </c>
    </row>
    <row r="57" spans="1:3" x14ac:dyDescent="0.3">
      <c r="A57" s="19">
        <v>42436</v>
      </c>
      <c r="B57" s="20">
        <v>440.3</v>
      </c>
      <c r="C57" s="7">
        <f>B57/MAX(B$5:B57)-1</f>
        <v>-4.0740740740740744E-2</v>
      </c>
    </row>
    <row r="58" spans="1:3" x14ac:dyDescent="0.3">
      <c r="A58" s="19">
        <v>42437</v>
      </c>
      <c r="B58" s="20">
        <v>421.1</v>
      </c>
      <c r="C58" s="7">
        <f>B58/MAX(B$5:B58)-1</f>
        <v>-8.2570806100217831E-2</v>
      </c>
    </row>
    <row r="59" spans="1:3" x14ac:dyDescent="0.3">
      <c r="A59" s="19">
        <v>42438</v>
      </c>
      <c r="B59" s="20">
        <v>426.4</v>
      </c>
      <c r="C59" s="7">
        <f>B59/MAX(B$5:B59)-1</f>
        <v>-7.1023965141612244E-2</v>
      </c>
    </row>
    <row r="60" spans="1:3" x14ac:dyDescent="0.3">
      <c r="A60" s="19">
        <v>42439</v>
      </c>
      <c r="B60" s="20">
        <v>424.9</v>
      </c>
      <c r="C60" s="7">
        <f>B60/MAX(B$5:B60)-1</f>
        <v>-7.4291938997821383E-2</v>
      </c>
    </row>
    <row r="61" spans="1:3" x14ac:dyDescent="0.3">
      <c r="A61" s="19">
        <v>42440</v>
      </c>
      <c r="B61" s="20">
        <v>435.3</v>
      </c>
      <c r="C61" s="7">
        <f>B61/MAX(B$5:B61)-1</f>
        <v>-5.1633986928104503E-2</v>
      </c>
    </row>
    <row r="62" spans="1:3" x14ac:dyDescent="0.3">
      <c r="A62" s="19">
        <v>42441</v>
      </c>
      <c r="B62" s="20">
        <v>434.2</v>
      </c>
      <c r="C62" s="7">
        <f>B62/MAX(B$5:B62)-1</f>
        <v>-5.4030501089324612E-2</v>
      </c>
    </row>
    <row r="63" spans="1:3" x14ac:dyDescent="0.3">
      <c r="A63" s="19">
        <v>42442</v>
      </c>
      <c r="B63" s="20">
        <v>434.5</v>
      </c>
      <c r="C63" s="7">
        <f>B63/MAX(B$5:B63)-1</f>
        <v>-5.3376906318082784E-2</v>
      </c>
    </row>
    <row r="64" spans="1:3" x14ac:dyDescent="0.3">
      <c r="A64" s="19">
        <v>42443</v>
      </c>
      <c r="B64" s="20">
        <v>439.2</v>
      </c>
      <c r="C64" s="7">
        <f>B64/MAX(B$5:B64)-1</f>
        <v>-4.3137254901960853E-2</v>
      </c>
    </row>
    <row r="65" spans="1:3" x14ac:dyDescent="0.3">
      <c r="A65" s="19">
        <v>42444</v>
      </c>
      <c r="B65" s="20">
        <v>434.8</v>
      </c>
      <c r="C65" s="7">
        <f>B65/MAX(B$5:B65)-1</f>
        <v>-5.2723311546840956E-2</v>
      </c>
    </row>
    <row r="66" spans="1:3" x14ac:dyDescent="0.3">
      <c r="A66" s="19">
        <v>42445</v>
      </c>
      <c r="B66" s="20">
        <v>422.2</v>
      </c>
      <c r="C66" s="7">
        <f>B66/MAX(B$5:B66)-1</f>
        <v>-8.0174291938997833E-2</v>
      </c>
    </row>
    <row r="67" spans="1:3" x14ac:dyDescent="0.3">
      <c r="A67" s="19">
        <v>42446</v>
      </c>
      <c r="B67" s="20">
        <v>420.6</v>
      </c>
      <c r="C67" s="7">
        <f>B67/MAX(B$5:B67)-1</f>
        <v>-8.3660130718954173E-2</v>
      </c>
    </row>
    <row r="68" spans="1:3" x14ac:dyDescent="0.3">
      <c r="A68" s="19">
        <v>42447</v>
      </c>
      <c r="B68" s="20">
        <v>408.8</v>
      </c>
      <c r="C68" s="7">
        <f>B68/MAX(B$5:B68)-1</f>
        <v>-0.10936819172113288</v>
      </c>
    </row>
    <row r="69" spans="1:3" x14ac:dyDescent="0.3">
      <c r="A69" s="19">
        <v>42448</v>
      </c>
      <c r="B69" s="20">
        <v>397.4</v>
      </c>
      <c r="C69" s="7">
        <f>B69/MAX(B$5:B69)-1</f>
        <v>-0.13420479302832244</v>
      </c>
    </row>
    <row r="70" spans="1:3" x14ac:dyDescent="0.3">
      <c r="A70" s="19">
        <v>42449</v>
      </c>
      <c r="B70" s="20">
        <v>403.9</v>
      </c>
      <c r="C70" s="7">
        <f>B70/MAX(B$5:B70)-1</f>
        <v>-0.12004357298474955</v>
      </c>
    </row>
    <row r="71" spans="1:3" x14ac:dyDescent="0.3">
      <c r="A71" s="19">
        <v>42450</v>
      </c>
      <c r="B71" s="20">
        <v>412.7</v>
      </c>
      <c r="C71" s="7">
        <f>B71/MAX(B$5:B71)-1</f>
        <v>-0.10087145969498912</v>
      </c>
    </row>
    <row r="72" spans="1:3" x14ac:dyDescent="0.3">
      <c r="A72" s="19">
        <v>42451</v>
      </c>
      <c r="B72" s="20">
        <v>411.4</v>
      </c>
      <c r="C72" s="7">
        <f>B72/MAX(B$5:B72)-1</f>
        <v>-0.10370370370370374</v>
      </c>
    </row>
    <row r="73" spans="1:3" x14ac:dyDescent="0.3">
      <c r="A73" s="19">
        <v>42452</v>
      </c>
      <c r="B73" s="20">
        <v>412.9</v>
      </c>
      <c r="C73" s="7">
        <f>B73/MAX(B$5:B73)-1</f>
        <v>-0.1004357298474946</v>
      </c>
    </row>
    <row r="74" spans="1:3" x14ac:dyDescent="0.3">
      <c r="A74" s="19">
        <v>42453</v>
      </c>
      <c r="B74" s="20">
        <v>416.5</v>
      </c>
      <c r="C74" s="7">
        <f>B74/MAX(B$5:B74)-1</f>
        <v>-9.259259259259256E-2</v>
      </c>
    </row>
    <row r="75" spans="1:3" x14ac:dyDescent="0.3">
      <c r="A75" s="19">
        <v>42454</v>
      </c>
      <c r="B75" s="20">
        <v>420.5</v>
      </c>
      <c r="C75" s="7">
        <f>B75/MAX(B$5:B75)-1</f>
        <v>-8.3877995642701486E-2</v>
      </c>
    </row>
    <row r="76" spans="1:3" x14ac:dyDescent="0.3">
      <c r="A76" s="19">
        <v>42455</v>
      </c>
      <c r="B76" s="20">
        <v>410</v>
      </c>
      <c r="C76" s="7">
        <f>B76/MAX(B$5:B76)-1</f>
        <v>-0.10675381263616557</v>
      </c>
    </row>
    <row r="77" spans="1:3" x14ac:dyDescent="0.3">
      <c r="A77" s="19">
        <v>42456</v>
      </c>
      <c r="B77" s="20">
        <v>411.8</v>
      </c>
      <c r="C77" s="7">
        <f>B77/MAX(B$5:B77)-1</f>
        <v>-0.1028322440087146</v>
      </c>
    </row>
    <row r="78" spans="1:3" x14ac:dyDescent="0.3">
      <c r="A78" s="19">
        <v>42457</v>
      </c>
      <c r="B78" s="20">
        <v>416</v>
      </c>
      <c r="C78" s="7">
        <f>B78/MAX(B$5:B78)-1</f>
        <v>-9.3681917211329013E-2</v>
      </c>
    </row>
    <row r="79" spans="1:3" x14ac:dyDescent="0.3">
      <c r="A79" s="19">
        <v>42458</v>
      </c>
      <c r="B79" s="20">
        <v>415.5</v>
      </c>
      <c r="C79" s="7">
        <f>B79/MAX(B$5:B79)-1</f>
        <v>-9.4771241830065356E-2</v>
      </c>
    </row>
    <row r="80" spans="1:3" x14ac:dyDescent="0.3">
      <c r="A80" s="19">
        <v>42459</v>
      </c>
      <c r="B80" s="20">
        <v>417.3</v>
      </c>
      <c r="C80" s="7">
        <f>B80/MAX(B$5:B80)-1</f>
        <v>-9.0849673202614389E-2</v>
      </c>
    </row>
    <row r="81" spans="1:3" x14ac:dyDescent="0.3">
      <c r="A81" s="19">
        <v>42460</v>
      </c>
      <c r="B81" s="20">
        <v>418.8</v>
      </c>
      <c r="C81" s="7">
        <f>B81/MAX(B$5:B81)-1</f>
        <v>-8.7581699346405251E-2</v>
      </c>
    </row>
    <row r="82" spans="1:3" x14ac:dyDescent="0.3">
      <c r="A82" s="19">
        <v>42461</v>
      </c>
      <c r="B82" s="20">
        <v>407.7</v>
      </c>
      <c r="C82" s="7">
        <f>B82/MAX(B$5:B82)-1</f>
        <v>-0.11176470588235299</v>
      </c>
    </row>
    <row r="83" spans="1:3" x14ac:dyDescent="0.3">
      <c r="A83" s="19">
        <v>42462</v>
      </c>
      <c r="B83" s="20">
        <v>408.4</v>
      </c>
      <c r="C83" s="7">
        <f>B83/MAX(B$5:B83)-1</f>
        <v>-0.11023965141612202</v>
      </c>
    </row>
    <row r="84" spans="1:3" x14ac:dyDescent="0.3">
      <c r="A84" s="19">
        <v>42463</v>
      </c>
      <c r="B84" s="20">
        <v>411.3</v>
      </c>
      <c r="C84" s="7">
        <f>B84/MAX(B$5:B84)-1</f>
        <v>-0.10392156862745094</v>
      </c>
    </row>
    <row r="85" spans="1:3" x14ac:dyDescent="0.3">
      <c r="A85" s="19">
        <v>42464</v>
      </c>
      <c r="B85" s="20">
        <v>411.9</v>
      </c>
      <c r="C85" s="7">
        <f>B85/MAX(B$5:B85)-1</f>
        <v>-0.1026143790849674</v>
      </c>
    </row>
    <row r="86" spans="1:3" x14ac:dyDescent="0.3">
      <c r="A86" s="19">
        <v>42465</v>
      </c>
      <c r="B86" s="20">
        <v>417.7</v>
      </c>
      <c r="C86" s="7">
        <f>B86/MAX(B$5:B86)-1</f>
        <v>-8.9978213507625249E-2</v>
      </c>
    </row>
    <row r="87" spans="1:3" x14ac:dyDescent="0.3">
      <c r="A87" s="19">
        <v>42466</v>
      </c>
      <c r="B87" s="20">
        <v>418.1</v>
      </c>
      <c r="C87" s="7">
        <f>B87/MAX(B$5:B87)-1</f>
        <v>-8.9106753812636108E-2</v>
      </c>
    </row>
    <row r="88" spans="1:3" x14ac:dyDescent="0.3">
      <c r="A88" s="19">
        <v>42467</v>
      </c>
      <c r="B88" s="20">
        <v>415.3</v>
      </c>
      <c r="C88" s="7">
        <f>B88/MAX(B$5:B88)-1</f>
        <v>-9.5206971677559871E-2</v>
      </c>
    </row>
    <row r="89" spans="1:3" x14ac:dyDescent="0.3">
      <c r="A89" s="19">
        <v>42468</v>
      </c>
      <c r="B89" s="20">
        <v>416</v>
      </c>
      <c r="C89" s="7">
        <f>B89/MAX(B$5:B89)-1</f>
        <v>-9.3681917211329013E-2</v>
      </c>
    </row>
    <row r="90" spans="1:3" x14ac:dyDescent="0.3">
      <c r="A90" s="19">
        <v>42469</v>
      </c>
      <c r="B90" s="20">
        <v>416.7</v>
      </c>
      <c r="C90" s="7">
        <f>B90/MAX(B$5:B90)-1</f>
        <v>-9.2156862745098045E-2</v>
      </c>
    </row>
    <row r="91" spans="1:3" x14ac:dyDescent="0.3">
      <c r="A91" s="19">
        <v>42470</v>
      </c>
      <c r="B91" s="20">
        <v>427.4</v>
      </c>
      <c r="C91" s="7">
        <f>B91/MAX(B$5:B91)-1</f>
        <v>-6.8845315904139448E-2</v>
      </c>
    </row>
    <row r="92" spans="1:3" x14ac:dyDescent="0.3">
      <c r="A92" s="19">
        <v>42471</v>
      </c>
      <c r="B92" s="20">
        <v>424.1</v>
      </c>
      <c r="C92" s="7">
        <f>B92/MAX(B$5:B92)-1</f>
        <v>-7.6034858387799553E-2</v>
      </c>
    </row>
    <row r="93" spans="1:3" x14ac:dyDescent="0.3">
      <c r="A93" s="19">
        <v>42472</v>
      </c>
      <c r="B93" s="20">
        <v>415.8</v>
      </c>
      <c r="C93" s="7">
        <f>B93/MAX(B$5:B93)-1</f>
        <v>-9.4117647058823528E-2</v>
      </c>
    </row>
    <row r="94" spans="1:3" x14ac:dyDescent="0.3">
      <c r="A94" s="19">
        <v>42473</v>
      </c>
      <c r="B94" s="20">
        <v>413.2</v>
      </c>
      <c r="C94" s="7">
        <f>B94/MAX(B$5:B94)-1</f>
        <v>-9.9782135076252776E-2</v>
      </c>
    </row>
    <row r="95" spans="1:3" x14ac:dyDescent="0.3">
      <c r="A95" s="19">
        <v>42474</v>
      </c>
      <c r="B95" s="20">
        <v>416</v>
      </c>
      <c r="C95" s="7">
        <f>B95/MAX(B$5:B95)-1</f>
        <v>-9.3681917211329013E-2</v>
      </c>
    </row>
    <row r="96" spans="1:3" x14ac:dyDescent="0.3">
      <c r="A96" s="19">
        <v>42475</v>
      </c>
      <c r="B96" s="20">
        <v>417.6</v>
      </c>
      <c r="C96" s="7">
        <f>B96/MAX(B$5:B96)-1</f>
        <v>-9.0196078431372451E-2</v>
      </c>
    </row>
    <row r="97" spans="1:3" x14ac:dyDescent="0.3">
      <c r="A97" s="19">
        <v>42476</v>
      </c>
      <c r="B97" s="20">
        <v>420.3</v>
      </c>
      <c r="C97" s="7">
        <f>B97/MAX(B$5:B97)-1</f>
        <v>-8.4313725490196001E-2</v>
      </c>
    </row>
    <row r="98" spans="1:3" x14ac:dyDescent="0.3">
      <c r="A98" s="19">
        <v>42477</v>
      </c>
      <c r="B98" s="20">
        <v>420.6</v>
      </c>
      <c r="C98" s="7">
        <f>B98/MAX(B$5:B98)-1</f>
        <v>-8.3660130718954173E-2</v>
      </c>
    </row>
    <row r="99" spans="1:3" x14ac:dyDescent="0.3">
      <c r="A99" s="19">
        <v>42478</v>
      </c>
      <c r="B99" s="20">
        <v>420.5</v>
      </c>
      <c r="C99" s="7">
        <f>B99/MAX(B$5:B99)-1</f>
        <v>-8.3877995642701486E-2</v>
      </c>
    </row>
    <row r="100" spans="1:3" x14ac:dyDescent="0.3">
      <c r="A100" s="19">
        <v>42479</v>
      </c>
      <c r="B100" s="20">
        <v>423.8</v>
      </c>
      <c r="C100" s="7">
        <f>B100/MAX(B$5:B100)-1</f>
        <v>-7.6688453159041381E-2</v>
      </c>
    </row>
    <row r="101" spans="1:3" x14ac:dyDescent="0.3">
      <c r="A101" s="19">
        <v>42480</v>
      </c>
      <c r="B101" s="20">
        <v>422.6</v>
      </c>
      <c r="C101" s="7">
        <f>B101/MAX(B$5:B101)-1</f>
        <v>-7.9302832244008692E-2</v>
      </c>
    </row>
    <row r="102" spans="1:3" x14ac:dyDescent="0.3">
      <c r="A102" s="19">
        <v>42481</v>
      </c>
      <c r="B102" s="20">
        <v>422.3</v>
      </c>
      <c r="C102" s="7">
        <f>B102/MAX(B$5:B102)-1</f>
        <v>-7.995642701525052E-2</v>
      </c>
    </row>
    <row r="103" spans="1:3" x14ac:dyDescent="0.3">
      <c r="A103" s="19">
        <v>42482</v>
      </c>
      <c r="B103" s="20">
        <v>418.5</v>
      </c>
      <c r="C103" s="7">
        <f>B103/MAX(B$5:B103)-1</f>
        <v>-8.8235294117647078E-2</v>
      </c>
    </row>
    <row r="104" spans="1:3" x14ac:dyDescent="0.3">
      <c r="A104" s="19">
        <v>42483</v>
      </c>
      <c r="B104" s="20">
        <v>418.5</v>
      </c>
      <c r="C104" s="7">
        <f>B104/MAX(B$5:B104)-1</f>
        <v>-8.8235294117647078E-2</v>
      </c>
    </row>
    <row r="105" spans="1:3" x14ac:dyDescent="0.3">
      <c r="A105" s="19">
        <v>42484</v>
      </c>
      <c r="B105" s="20">
        <v>421.3</v>
      </c>
      <c r="C105" s="7">
        <f>B105/MAX(B$5:B105)-1</f>
        <v>-8.2135076252723316E-2</v>
      </c>
    </row>
    <row r="106" spans="1:3" x14ac:dyDescent="0.3">
      <c r="A106" s="19">
        <v>42485</v>
      </c>
      <c r="B106" s="20">
        <v>423.7</v>
      </c>
      <c r="C106" s="7">
        <f>B106/MAX(B$5:B106)-1</f>
        <v>-7.6906318082788694E-2</v>
      </c>
    </row>
    <row r="107" spans="1:3" x14ac:dyDescent="0.3">
      <c r="A107" s="19">
        <v>42486</v>
      </c>
      <c r="B107" s="20">
        <v>426.6</v>
      </c>
      <c r="C107" s="7">
        <f>B107/MAX(B$5:B107)-1</f>
        <v>-7.0588235294117618E-2</v>
      </c>
    </row>
    <row r="108" spans="1:3" x14ac:dyDescent="0.3">
      <c r="A108" s="19">
        <v>42487</v>
      </c>
      <c r="B108" s="20">
        <v>424.8</v>
      </c>
      <c r="C108" s="7">
        <f>B108/MAX(B$5:B108)-1</f>
        <v>-7.4509803921568585E-2</v>
      </c>
    </row>
    <row r="109" spans="1:3" x14ac:dyDescent="0.3">
      <c r="A109" s="19">
        <v>42488</v>
      </c>
      <c r="B109" s="20">
        <v>426</v>
      </c>
      <c r="C109" s="7">
        <f>B109/MAX(B$5:B109)-1</f>
        <v>-7.1895424836601274E-2</v>
      </c>
    </row>
    <row r="110" spans="1:3" x14ac:dyDescent="0.3">
      <c r="A110" s="19">
        <v>42489</v>
      </c>
      <c r="B110" s="20">
        <v>431.5</v>
      </c>
      <c r="C110" s="7">
        <f>B110/MAX(B$5:B110)-1</f>
        <v>-5.9912854030501062E-2</v>
      </c>
    </row>
    <row r="111" spans="1:3" x14ac:dyDescent="0.3">
      <c r="A111" s="19">
        <v>42490</v>
      </c>
      <c r="B111" s="20">
        <v>432</v>
      </c>
      <c r="C111" s="7">
        <f>B111/MAX(B$5:B111)-1</f>
        <v>-5.8823529411764719E-2</v>
      </c>
    </row>
    <row r="112" spans="1:3" x14ac:dyDescent="0.3">
      <c r="A112" s="19">
        <v>42491</v>
      </c>
      <c r="B112" s="20">
        <v>428.5</v>
      </c>
      <c r="C112" s="7">
        <f>B112/MAX(B$5:B112)-1</f>
        <v>-6.6448801742919339E-2</v>
      </c>
    </row>
    <row r="113" spans="1:3" x14ac:dyDescent="0.3">
      <c r="A113" s="19">
        <v>42492</v>
      </c>
      <c r="B113" s="20">
        <v>430</v>
      </c>
      <c r="C113" s="7">
        <f>B113/MAX(B$5:B113)-1</f>
        <v>-6.31808278867102E-2</v>
      </c>
    </row>
    <row r="114" spans="1:3" x14ac:dyDescent="0.3">
      <c r="A114" s="19">
        <v>42493</v>
      </c>
      <c r="B114" s="20">
        <v>437.8</v>
      </c>
      <c r="C114" s="7">
        <f>B114/MAX(B$5:B114)-1</f>
        <v>-4.6187363834422679E-2</v>
      </c>
    </row>
    <row r="115" spans="1:3" x14ac:dyDescent="0.3">
      <c r="A115" s="19">
        <v>42494</v>
      </c>
      <c r="B115" s="20">
        <v>444</v>
      </c>
      <c r="C115" s="7">
        <f>B115/MAX(B$5:B115)-1</f>
        <v>-3.2679738562091498E-2</v>
      </c>
    </row>
    <row r="116" spans="1:3" x14ac:dyDescent="0.3">
      <c r="A116" s="19">
        <v>42495</v>
      </c>
      <c r="B116" s="20">
        <v>452</v>
      </c>
      <c r="C116" s="7">
        <f>B116/MAX(B$5:B116)-1</f>
        <v>-1.5250544662309351E-2</v>
      </c>
    </row>
    <row r="117" spans="1:3" x14ac:dyDescent="0.3">
      <c r="A117" s="19">
        <v>42496</v>
      </c>
      <c r="B117" s="20">
        <v>447.8</v>
      </c>
      <c r="C117" s="7">
        <f>B117/MAX(B$5:B117)-1</f>
        <v>-2.4400871459694939E-2</v>
      </c>
    </row>
    <row r="118" spans="1:3" x14ac:dyDescent="0.3">
      <c r="A118" s="19">
        <v>42497</v>
      </c>
      <c r="B118" s="20">
        <v>453.7</v>
      </c>
      <c r="C118" s="7">
        <f>B118/MAX(B$5:B118)-1</f>
        <v>-1.1546840958605697E-2</v>
      </c>
    </row>
    <row r="119" spans="1:3" x14ac:dyDescent="0.3">
      <c r="A119" s="19">
        <v>42498</v>
      </c>
      <c r="B119" s="20">
        <v>463</v>
      </c>
      <c r="C119" s="7">
        <f>B119/MAX(B$5:B119)-1</f>
        <v>0</v>
      </c>
    </row>
    <row r="120" spans="1:3" x14ac:dyDescent="0.3">
      <c r="A120" s="19">
        <v>42499</v>
      </c>
      <c r="B120" s="20">
        <v>461.8</v>
      </c>
      <c r="C120" s="7">
        <f>B120/MAX(B$5:B120)-1</f>
        <v>-2.5917926565874883E-3</v>
      </c>
    </row>
    <row r="121" spans="1:3" x14ac:dyDescent="0.3">
      <c r="A121" s="19">
        <v>42500</v>
      </c>
      <c r="B121" s="20">
        <v>468.1</v>
      </c>
      <c r="C121" s="7">
        <f>B121/MAX(B$5:B121)-1</f>
        <v>0</v>
      </c>
    </row>
    <row r="122" spans="1:3" x14ac:dyDescent="0.3">
      <c r="A122" s="19">
        <v>42501</v>
      </c>
      <c r="B122" s="20">
        <v>445.1</v>
      </c>
      <c r="C122" s="7">
        <f>B122/MAX(B$5:B122)-1</f>
        <v>-4.9134800256355526E-2</v>
      </c>
    </row>
    <row r="123" spans="1:3" x14ac:dyDescent="0.3">
      <c r="A123" s="19">
        <v>42502</v>
      </c>
      <c r="B123" s="20">
        <v>450.5</v>
      </c>
      <c r="C123" s="7">
        <f>B123/MAX(B$5:B123)-1</f>
        <v>-3.7598803674428583E-2</v>
      </c>
    </row>
    <row r="124" spans="1:3" x14ac:dyDescent="0.3">
      <c r="A124" s="19">
        <v>42503</v>
      </c>
      <c r="B124" s="20">
        <v>455.3</v>
      </c>
      <c r="C124" s="7">
        <f>B124/MAX(B$5:B124)-1</f>
        <v>-2.7344584490493484E-2</v>
      </c>
    </row>
    <row r="125" spans="1:3" x14ac:dyDescent="0.3">
      <c r="A125" s="19">
        <v>42504</v>
      </c>
      <c r="B125" s="20">
        <v>446.6</v>
      </c>
      <c r="C125" s="7">
        <f>B125/MAX(B$5:B125)-1</f>
        <v>-4.5930356761375801E-2</v>
      </c>
    </row>
    <row r="126" spans="1:3" x14ac:dyDescent="0.3">
      <c r="A126" s="19">
        <v>42505</v>
      </c>
      <c r="B126" s="20">
        <v>451.1</v>
      </c>
      <c r="C126" s="7">
        <f>B126/MAX(B$5:B126)-1</f>
        <v>-3.6317026276436626E-2</v>
      </c>
    </row>
    <row r="127" spans="1:3" x14ac:dyDescent="0.3">
      <c r="A127" s="19">
        <v>42506</v>
      </c>
      <c r="B127" s="20">
        <v>443.7</v>
      </c>
      <c r="C127" s="7">
        <f>B127/MAX(B$5:B127)-1</f>
        <v>-5.2125614185003277E-2</v>
      </c>
    </row>
    <row r="128" spans="1:3" x14ac:dyDescent="0.3">
      <c r="A128" s="19">
        <v>42507</v>
      </c>
      <c r="B128" s="20">
        <v>450.4</v>
      </c>
      <c r="C128" s="7">
        <f>B128/MAX(B$5:B128)-1</f>
        <v>-3.7812433240760668E-2</v>
      </c>
    </row>
    <row r="129" spans="1:3" x14ac:dyDescent="0.3">
      <c r="A129" s="19">
        <v>42508</v>
      </c>
      <c r="B129" s="20">
        <v>447.4</v>
      </c>
      <c r="C129" s="7">
        <f>B129/MAX(B$5:B129)-1</f>
        <v>-4.4221320230720007E-2</v>
      </c>
    </row>
    <row r="130" spans="1:3" x14ac:dyDescent="0.3">
      <c r="A130" s="19">
        <v>42509</v>
      </c>
      <c r="B130" s="20">
        <v>448.4</v>
      </c>
      <c r="C130" s="7">
        <f>B130/MAX(B$5:B130)-1</f>
        <v>-4.2085024567400264E-2</v>
      </c>
    </row>
    <row r="131" spans="1:3" x14ac:dyDescent="0.3">
      <c r="A131" s="19">
        <v>42510</v>
      </c>
      <c r="B131" s="20">
        <v>461.2</v>
      </c>
      <c r="C131" s="7">
        <f>B131/MAX(B$5:B131)-1</f>
        <v>-1.4740440076906669E-2</v>
      </c>
    </row>
    <row r="132" spans="1:3" x14ac:dyDescent="0.3">
      <c r="A132" s="19">
        <v>42511</v>
      </c>
      <c r="B132" s="20">
        <v>460.2</v>
      </c>
      <c r="C132" s="7">
        <f>B132/MAX(B$5:B132)-1</f>
        <v>-1.6876735740226523E-2</v>
      </c>
    </row>
    <row r="133" spans="1:3" x14ac:dyDescent="0.3">
      <c r="A133" s="19">
        <v>42512</v>
      </c>
      <c r="B133" s="20">
        <v>459.9</v>
      </c>
      <c r="C133" s="7">
        <f>B133/MAX(B$5:B133)-1</f>
        <v>-1.7517624439222446E-2</v>
      </c>
    </row>
    <row r="134" spans="1:3" x14ac:dyDescent="0.3">
      <c r="A134" s="19">
        <v>42513</v>
      </c>
      <c r="B134" s="20">
        <v>461.6</v>
      </c>
      <c r="C134" s="7">
        <f>B134/MAX(B$5:B134)-1</f>
        <v>-1.3885921811578772E-2</v>
      </c>
    </row>
    <row r="135" spans="1:3" x14ac:dyDescent="0.3">
      <c r="A135" s="19">
        <v>42514</v>
      </c>
      <c r="B135" s="20">
        <v>450.7</v>
      </c>
      <c r="C135" s="7">
        <f>B135/MAX(B$5:B135)-1</f>
        <v>-3.7171544541764634E-2</v>
      </c>
    </row>
    <row r="136" spans="1:3" x14ac:dyDescent="0.3">
      <c r="A136" s="19">
        <v>42515</v>
      </c>
      <c r="B136" s="20">
        <v>452.3</v>
      </c>
      <c r="C136" s="7">
        <f>B136/MAX(B$5:B136)-1</f>
        <v>-3.3753471480452935E-2</v>
      </c>
    </row>
    <row r="137" spans="1:3" x14ac:dyDescent="0.3">
      <c r="A137" s="19">
        <v>42516</v>
      </c>
      <c r="B137" s="20">
        <v>455</v>
      </c>
      <c r="C137" s="7">
        <f>B137/MAX(B$5:B137)-1</f>
        <v>-2.7985473189489518E-2</v>
      </c>
    </row>
    <row r="138" spans="1:3" x14ac:dyDescent="0.3">
      <c r="A138" s="19">
        <v>42517</v>
      </c>
      <c r="B138" s="20">
        <v>455.8</v>
      </c>
      <c r="C138" s="7">
        <f>B138/MAX(B$5:B138)-1</f>
        <v>-2.6276436658833613E-2</v>
      </c>
    </row>
    <row r="139" spans="1:3" x14ac:dyDescent="0.3">
      <c r="A139" s="19">
        <v>42518</v>
      </c>
      <c r="B139" s="20">
        <v>455.8</v>
      </c>
      <c r="C139" s="7">
        <f>B139/MAX(B$5:B139)-1</f>
        <v>-2.6276436658833613E-2</v>
      </c>
    </row>
    <row r="140" spans="1:3" x14ac:dyDescent="0.3">
      <c r="A140" s="19">
        <v>42519</v>
      </c>
      <c r="B140" s="20">
        <v>457.9</v>
      </c>
      <c r="C140" s="7">
        <f>B140/MAX(B$5:B140)-1</f>
        <v>-2.1790215765862042E-2</v>
      </c>
    </row>
    <row r="141" spans="1:3" x14ac:dyDescent="0.3">
      <c r="A141" s="19">
        <v>42520</v>
      </c>
      <c r="B141" s="20">
        <v>453</v>
      </c>
      <c r="C141" s="7">
        <f>B141/MAX(B$5:B141)-1</f>
        <v>-3.2258064516129115E-2</v>
      </c>
    </row>
    <row r="142" spans="1:3" x14ac:dyDescent="0.3">
      <c r="A142" s="19">
        <v>42521</v>
      </c>
      <c r="B142" s="20">
        <v>453.2</v>
      </c>
      <c r="C142" s="7">
        <f>B142/MAX(B$5:B142)-1</f>
        <v>-3.1830805383465166E-2</v>
      </c>
    </row>
    <row r="143" spans="1:3" x14ac:dyDescent="0.3">
      <c r="A143" s="19">
        <v>42522</v>
      </c>
      <c r="B143" s="20">
        <v>453.5</v>
      </c>
      <c r="C143" s="7">
        <f>B143/MAX(B$5:B143)-1</f>
        <v>-3.1189916684469132E-2</v>
      </c>
    </row>
    <row r="144" spans="1:3" x14ac:dyDescent="0.3">
      <c r="A144" s="19">
        <v>42523</v>
      </c>
      <c r="B144" s="20">
        <v>435</v>
      </c>
      <c r="C144" s="7">
        <f>B144/MAX(B$5:B144)-1</f>
        <v>-7.0711386455885594E-2</v>
      </c>
    </row>
    <row r="145" spans="1:3" x14ac:dyDescent="0.3">
      <c r="A145" s="19">
        <v>42524</v>
      </c>
      <c r="B145" s="20">
        <v>441.6</v>
      </c>
      <c r="C145" s="7">
        <f>B145/MAX(B$5:B145)-1</f>
        <v>-5.6611835077974737E-2</v>
      </c>
    </row>
    <row r="146" spans="1:3" x14ac:dyDescent="0.3">
      <c r="A146" s="19">
        <v>42525</v>
      </c>
      <c r="B146" s="20">
        <v>440.8</v>
      </c>
      <c r="C146" s="7">
        <f>B146/MAX(B$5:B146)-1</f>
        <v>-5.8320871608630642E-2</v>
      </c>
    </row>
    <row r="147" spans="1:3" x14ac:dyDescent="0.3">
      <c r="A147" s="19">
        <v>42526</v>
      </c>
      <c r="B147" s="20">
        <v>437.5</v>
      </c>
      <c r="C147" s="7">
        <f>B147/MAX(B$5:B147)-1</f>
        <v>-6.5370647297586015E-2</v>
      </c>
    </row>
    <row r="148" spans="1:3" x14ac:dyDescent="0.3">
      <c r="A148" s="19">
        <v>42527</v>
      </c>
      <c r="B148" s="20">
        <v>443.7</v>
      </c>
      <c r="C148" s="7">
        <f>B148/MAX(B$5:B148)-1</f>
        <v>-5.2125614185003277E-2</v>
      </c>
    </row>
    <row r="149" spans="1:3" x14ac:dyDescent="0.3">
      <c r="A149" s="19">
        <v>42528</v>
      </c>
      <c r="B149" s="20">
        <v>445</v>
      </c>
      <c r="C149" s="7">
        <f>B149/MAX(B$5:B149)-1</f>
        <v>-4.9348429822687501E-2</v>
      </c>
    </row>
    <row r="150" spans="1:3" x14ac:dyDescent="0.3">
      <c r="A150" s="19">
        <v>42529</v>
      </c>
      <c r="B150" s="20">
        <v>449.1</v>
      </c>
      <c r="C150" s="7">
        <f>B150/MAX(B$5:B150)-1</f>
        <v>-4.0589617603076222E-2</v>
      </c>
    </row>
    <row r="151" spans="1:3" x14ac:dyDescent="0.3">
      <c r="A151" s="19">
        <v>42530</v>
      </c>
      <c r="B151" s="20">
        <v>454</v>
      </c>
      <c r="C151" s="7">
        <f>B151/MAX(B$5:B151)-1</f>
        <v>-3.0121768852809261E-2</v>
      </c>
    </row>
    <row r="152" spans="1:3" x14ac:dyDescent="0.3">
      <c r="A152" s="19">
        <v>42531</v>
      </c>
      <c r="B152" s="20">
        <v>472</v>
      </c>
      <c r="C152" s="7">
        <f>B152/MAX(B$5:B152)-1</f>
        <v>0</v>
      </c>
    </row>
    <row r="153" spans="1:3" x14ac:dyDescent="0.3">
      <c r="A153" s="19">
        <v>42532</v>
      </c>
      <c r="B153" s="20">
        <v>527</v>
      </c>
      <c r="C153" s="7">
        <f>B153/MAX(B$5:B153)-1</f>
        <v>0</v>
      </c>
    </row>
    <row r="154" spans="1:3" x14ac:dyDescent="0.3">
      <c r="A154" s="19">
        <v>42533</v>
      </c>
      <c r="B154" s="20">
        <v>531</v>
      </c>
      <c r="C154" s="7">
        <f>B154/MAX(B$5:B154)-1</f>
        <v>0</v>
      </c>
    </row>
    <row r="155" spans="1:3" x14ac:dyDescent="0.3">
      <c r="A155" s="19">
        <v>42534</v>
      </c>
      <c r="B155" s="20">
        <v>532.9</v>
      </c>
      <c r="C155" s="7">
        <f>B155/MAX(B$5:B155)-1</f>
        <v>0</v>
      </c>
    </row>
    <row r="156" spans="1:3" x14ac:dyDescent="0.3">
      <c r="A156" s="19">
        <v>42535</v>
      </c>
      <c r="B156" s="20">
        <v>530.70000000000005</v>
      </c>
      <c r="C156" s="7">
        <f>B156/MAX(B$5:B156)-1</f>
        <v>-4.1283542878587376E-3</v>
      </c>
    </row>
    <row r="157" spans="1:3" x14ac:dyDescent="0.3">
      <c r="A157" s="19">
        <v>42536</v>
      </c>
      <c r="B157" s="20">
        <v>536.79999999999995</v>
      </c>
      <c r="C157" s="7">
        <f>B157/MAX(B$5:B157)-1</f>
        <v>0</v>
      </c>
    </row>
    <row r="158" spans="1:3" x14ac:dyDescent="0.3">
      <c r="A158" s="19">
        <v>42537</v>
      </c>
      <c r="B158" s="20">
        <v>538.79999999999995</v>
      </c>
      <c r="C158" s="7">
        <f>B158/MAX(B$5:B158)-1</f>
        <v>0</v>
      </c>
    </row>
    <row r="159" spans="1:3" x14ac:dyDescent="0.3">
      <c r="A159" s="19">
        <v>42538</v>
      </c>
      <c r="B159" s="20">
        <v>570.9</v>
      </c>
      <c r="C159" s="7">
        <f>B159/MAX(B$5:B159)-1</f>
        <v>0</v>
      </c>
    </row>
    <row r="160" spans="1:3" x14ac:dyDescent="0.3">
      <c r="A160" s="19">
        <v>42539</v>
      </c>
      <c r="B160" s="20">
        <v>572.70000000000005</v>
      </c>
      <c r="C160" s="7">
        <f>B160/MAX(B$5:B160)-1</f>
        <v>0</v>
      </c>
    </row>
    <row r="161" spans="1:3" x14ac:dyDescent="0.3">
      <c r="A161" s="19">
        <v>42540</v>
      </c>
      <c r="B161" s="20">
        <v>574</v>
      </c>
      <c r="C161" s="7">
        <f>B161/MAX(B$5:B161)-1</f>
        <v>0</v>
      </c>
    </row>
    <row r="162" spans="1:3" x14ac:dyDescent="0.3">
      <c r="A162" s="19">
        <v>42541</v>
      </c>
      <c r="B162" s="20">
        <v>585.20000000000005</v>
      </c>
      <c r="C162" s="7">
        <f>B162/MAX(B$5:B162)-1</f>
        <v>0</v>
      </c>
    </row>
    <row r="163" spans="1:3" x14ac:dyDescent="0.3">
      <c r="A163" s="19">
        <v>42542</v>
      </c>
      <c r="B163" s="20">
        <v>576.9</v>
      </c>
      <c r="C163" s="7">
        <f>B163/MAX(B$5:B163)-1</f>
        <v>-1.4183185235816964E-2</v>
      </c>
    </row>
    <row r="164" spans="1:3" x14ac:dyDescent="0.3">
      <c r="A164" s="19">
        <v>42543</v>
      </c>
      <c r="B164" s="20">
        <v>583</v>
      </c>
      <c r="C164" s="7">
        <f>B164/MAX(B$5:B164)-1</f>
        <v>-3.7593984962406291E-3</v>
      </c>
    </row>
    <row r="165" spans="1:3" x14ac:dyDescent="0.3">
      <c r="A165" s="19">
        <v>42544</v>
      </c>
      <c r="B165" s="20">
        <v>575.5</v>
      </c>
      <c r="C165" s="7">
        <f>B165/MAX(B$5:B165)-1</f>
        <v>-1.6575529733424577E-2</v>
      </c>
    </row>
    <row r="166" spans="1:3" x14ac:dyDescent="0.3">
      <c r="A166" s="19">
        <v>42545</v>
      </c>
      <c r="B166" s="20">
        <v>580.1</v>
      </c>
      <c r="C166" s="7">
        <f>B166/MAX(B$5:B166)-1</f>
        <v>-8.7149692412851198E-3</v>
      </c>
    </row>
    <row r="167" spans="1:3" x14ac:dyDescent="0.3">
      <c r="A167" s="19">
        <v>42546</v>
      </c>
      <c r="B167" s="20">
        <v>614.5</v>
      </c>
      <c r="C167" s="7">
        <f>B167/MAX(B$5:B167)-1</f>
        <v>0</v>
      </c>
    </row>
    <row r="168" spans="1:3" x14ac:dyDescent="0.3">
      <c r="A168" s="19">
        <v>42547</v>
      </c>
      <c r="B168" s="20">
        <v>671</v>
      </c>
      <c r="C168" s="7">
        <f>B168/MAX(B$5:B168)-1</f>
        <v>0</v>
      </c>
    </row>
    <row r="169" spans="1:3" x14ac:dyDescent="0.3">
      <c r="A169" s="19">
        <v>42548</v>
      </c>
      <c r="B169" s="20">
        <v>705.9</v>
      </c>
      <c r="C169" s="7">
        <f>B169/MAX(B$5:B169)-1</f>
        <v>0</v>
      </c>
    </row>
    <row r="170" spans="1:3" x14ac:dyDescent="0.3">
      <c r="A170" s="19">
        <v>42549</v>
      </c>
      <c r="B170" s="20">
        <v>684.5</v>
      </c>
      <c r="C170" s="7">
        <f>B170/MAX(B$5:B170)-1</f>
        <v>-3.0315908768947408E-2</v>
      </c>
    </row>
    <row r="171" spans="1:3" x14ac:dyDescent="0.3">
      <c r="A171" s="19">
        <v>42550</v>
      </c>
      <c r="B171" s="20">
        <v>696.9</v>
      </c>
      <c r="C171" s="7">
        <f>B171/MAX(B$5:B171)-1</f>
        <v>-1.2749681257968604E-2</v>
      </c>
    </row>
    <row r="172" spans="1:3" x14ac:dyDescent="0.3">
      <c r="A172" s="19">
        <v>42551</v>
      </c>
      <c r="B172" s="20">
        <v>769.5</v>
      </c>
      <c r="C172" s="7">
        <f>B172/MAX(B$5:B172)-1</f>
        <v>0</v>
      </c>
    </row>
    <row r="173" spans="1:3" x14ac:dyDescent="0.3">
      <c r="A173" s="19">
        <v>42552</v>
      </c>
      <c r="B173" s="20">
        <v>748.7</v>
      </c>
      <c r="C173" s="7">
        <f>B173/MAX(B$5:B173)-1</f>
        <v>-2.7030539311240998E-2</v>
      </c>
    </row>
    <row r="174" spans="1:3" x14ac:dyDescent="0.3">
      <c r="A174" s="19">
        <v>42553</v>
      </c>
      <c r="B174" s="20">
        <v>757.6</v>
      </c>
      <c r="C174" s="7">
        <f>B174/MAX(B$5:B174)-1</f>
        <v>-1.5464587394411922E-2</v>
      </c>
    </row>
    <row r="175" spans="1:3" x14ac:dyDescent="0.3">
      <c r="A175" s="19">
        <v>42554</v>
      </c>
      <c r="B175" s="20">
        <v>767.3</v>
      </c>
      <c r="C175" s="7">
        <f>B175/MAX(B$5:B175)-1</f>
        <v>-2.8589993502274869E-3</v>
      </c>
    </row>
    <row r="176" spans="1:3" x14ac:dyDescent="0.3">
      <c r="A176" s="19">
        <v>42555</v>
      </c>
      <c r="B176" s="20">
        <v>743.9</v>
      </c>
      <c r="C176" s="7">
        <f>B176/MAX(B$5:B176)-1</f>
        <v>-3.3268356075373595E-2</v>
      </c>
    </row>
    <row r="177" spans="1:3" x14ac:dyDescent="0.3">
      <c r="A177" s="19">
        <v>42556</v>
      </c>
      <c r="B177" s="20">
        <v>668.9</v>
      </c>
      <c r="C177" s="7">
        <f>B177/MAX(B$5:B177)-1</f>
        <v>-0.13073424301494485</v>
      </c>
    </row>
    <row r="178" spans="1:3" x14ac:dyDescent="0.3">
      <c r="A178" s="19">
        <v>42557</v>
      </c>
      <c r="B178" s="20">
        <v>606</v>
      </c>
      <c r="C178" s="7">
        <f>B178/MAX(B$5:B178)-1</f>
        <v>-0.21247563352826515</v>
      </c>
    </row>
    <row r="179" spans="1:3" x14ac:dyDescent="0.3">
      <c r="A179" s="19">
        <v>42558</v>
      </c>
      <c r="B179" s="20">
        <v>625.79999999999995</v>
      </c>
      <c r="C179" s="7">
        <f>B179/MAX(B$5:B179)-1</f>
        <v>-0.18674463937621844</v>
      </c>
    </row>
    <row r="180" spans="1:3" x14ac:dyDescent="0.3">
      <c r="A180" s="19">
        <v>42559</v>
      </c>
      <c r="B180" s="20">
        <v>666</v>
      </c>
      <c r="C180" s="7">
        <f>B180/MAX(B$5:B180)-1</f>
        <v>-0.13450292397660824</v>
      </c>
    </row>
    <row r="181" spans="1:3" x14ac:dyDescent="0.3">
      <c r="A181" s="19">
        <v>42560</v>
      </c>
      <c r="B181" s="20">
        <v>664.9</v>
      </c>
      <c r="C181" s="7">
        <f>B181/MAX(B$5:B181)-1</f>
        <v>-0.13593242365172198</v>
      </c>
    </row>
    <row r="182" spans="1:3" x14ac:dyDescent="0.3">
      <c r="A182" s="19">
        <v>42561</v>
      </c>
      <c r="B182" s="20">
        <v>627.4</v>
      </c>
      <c r="C182" s="7">
        <f>B182/MAX(B$5:B182)-1</f>
        <v>-0.1846653671215075</v>
      </c>
    </row>
    <row r="183" spans="1:3" x14ac:dyDescent="0.3">
      <c r="A183" s="19">
        <v>42562</v>
      </c>
      <c r="B183" s="20">
        <v>662.2</v>
      </c>
      <c r="C183" s="7">
        <f>B183/MAX(B$5:B183)-1</f>
        <v>-0.13944119558154644</v>
      </c>
    </row>
    <row r="184" spans="1:3" x14ac:dyDescent="0.3">
      <c r="A184" s="19">
        <v>42563</v>
      </c>
      <c r="B184" s="20">
        <v>646.29999999999995</v>
      </c>
      <c r="C184" s="7">
        <f>B184/MAX(B$5:B184)-1</f>
        <v>-0.1601039636127356</v>
      </c>
    </row>
    <row r="185" spans="1:3" x14ac:dyDescent="0.3">
      <c r="A185" s="19">
        <v>42564</v>
      </c>
      <c r="B185" s="20">
        <v>639.70000000000005</v>
      </c>
      <c r="C185" s="7">
        <f>B185/MAX(B$5:B185)-1</f>
        <v>-0.16868096166341773</v>
      </c>
    </row>
    <row r="186" spans="1:3" x14ac:dyDescent="0.3">
      <c r="A186" s="19">
        <v>42565</v>
      </c>
      <c r="B186" s="20">
        <v>674.7</v>
      </c>
      <c r="C186" s="7">
        <f>B186/MAX(B$5:B186)-1</f>
        <v>-0.12319688109161786</v>
      </c>
    </row>
    <row r="187" spans="1:3" x14ac:dyDescent="0.3">
      <c r="A187" s="19">
        <v>42566</v>
      </c>
      <c r="B187" s="20">
        <v>674.8</v>
      </c>
      <c r="C187" s="7">
        <f>B187/MAX(B$5:B187)-1</f>
        <v>-0.12306692657569851</v>
      </c>
    </row>
    <row r="188" spans="1:3" x14ac:dyDescent="0.3">
      <c r="A188" s="19">
        <v>42567</v>
      </c>
      <c r="B188" s="20">
        <v>705</v>
      </c>
      <c r="C188" s="7">
        <f>B188/MAX(B$5:B188)-1</f>
        <v>-8.382066276803124E-2</v>
      </c>
    </row>
    <row r="189" spans="1:3" x14ac:dyDescent="0.3">
      <c r="A189" s="19">
        <v>42568</v>
      </c>
      <c r="B189" s="20">
        <v>659.3</v>
      </c>
      <c r="C189" s="7">
        <f>B189/MAX(B$5:B189)-1</f>
        <v>-0.14320987654320994</v>
      </c>
    </row>
    <row r="190" spans="1:3" x14ac:dyDescent="0.3">
      <c r="A190" s="19">
        <v>42569</v>
      </c>
      <c r="B190" s="20">
        <v>681.3</v>
      </c>
      <c r="C190" s="7">
        <f>B190/MAX(B$5:B190)-1</f>
        <v>-0.11461988304093573</v>
      </c>
    </row>
    <row r="191" spans="1:3" x14ac:dyDescent="0.3">
      <c r="A191" s="19">
        <v>42570</v>
      </c>
      <c r="B191" s="20">
        <v>667.8</v>
      </c>
      <c r="C191" s="7">
        <f>B191/MAX(B$5:B191)-1</f>
        <v>-0.13216374269005848</v>
      </c>
    </row>
    <row r="192" spans="1:3" x14ac:dyDescent="0.3">
      <c r="A192" s="19">
        <v>42571</v>
      </c>
      <c r="B192" s="20">
        <v>677</v>
      </c>
      <c r="C192" s="7">
        <f>B192/MAX(B$5:B192)-1</f>
        <v>-0.12020792722547113</v>
      </c>
    </row>
    <row r="193" spans="1:3" x14ac:dyDescent="0.3">
      <c r="A193" s="19">
        <v>42572</v>
      </c>
      <c r="B193" s="20">
        <v>640.5</v>
      </c>
      <c r="C193" s="7">
        <f>B193/MAX(B$5:B193)-1</f>
        <v>-0.16764132553606237</v>
      </c>
    </row>
    <row r="194" spans="1:3" x14ac:dyDescent="0.3">
      <c r="A194" s="19">
        <v>42573</v>
      </c>
      <c r="B194" s="20">
        <v>664.8</v>
      </c>
      <c r="C194" s="7">
        <f>B194/MAX(B$5:B194)-1</f>
        <v>-0.13606237816764144</v>
      </c>
    </row>
    <row r="195" spans="1:3" x14ac:dyDescent="0.3">
      <c r="A195" s="19">
        <v>42574</v>
      </c>
      <c r="B195" s="20">
        <v>648.1</v>
      </c>
      <c r="C195" s="7">
        <f>B195/MAX(B$5:B195)-1</f>
        <v>-0.15776478232618585</v>
      </c>
    </row>
    <row r="196" spans="1:3" x14ac:dyDescent="0.3">
      <c r="A196" s="19">
        <v>42575</v>
      </c>
      <c r="B196" s="20">
        <v>649.70000000000005</v>
      </c>
      <c r="C196" s="7">
        <f>B196/MAX(B$5:B196)-1</f>
        <v>-0.15568551007147491</v>
      </c>
    </row>
    <row r="197" spans="1:3" x14ac:dyDescent="0.3">
      <c r="A197" s="19">
        <v>42576</v>
      </c>
      <c r="B197" s="20">
        <v>648</v>
      </c>
      <c r="C197" s="7">
        <f>B197/MAX(B$5:B197)-1</f>
        <v>-0.15789473684210531</v>
      </c>
    </row>
    <row r="198" spans="1:3" x14ac:dyDescent="0.3">
      <c r="A198" s="19">
        <v>42577</v>
      </c>
      <c r="B198" s="20">
        <v>667.2</v>
      </c>
      <c r="C198" s="7">
        <f>B198/MAX(B$5:B198)-1</f>
        <v>-0.13294346978557503</v>
      </c>
    </row>
    <row r="199" spans="1:3" x14ac:dyDescent="0.3">
      <c r="A199" s="19">
        <v>42578</v>
      </c>
      <c r="B199" s="20">
        <v>653.70000000000005</v>
      </c>
      <c r="C199" s="7">
        <f>B199/MAX(B$5:B199)-1</f>
        <v>-0.15048732943469778</v>
      </c>
    </row>
    <row r="200" spans="1:3" x14ac:dyDescent="0.3">
      <c r="A200" s="19">
        <v>42579</v>
      </c>
      <c r="B200" s="20">
        <v>659.8</v>
      </c>
      <c r="C200" s="7">
        <f>B200/MAX(B$5:B200)-1</f>
        <v>-0.14256010396361285</v>
      </c>
    </row>
    <row r="201" spans="1:3" x14ac:dyDescent="0.3">
      <c r="A201" s="19">
        <v>42580</v>
      </c>
      <c r="B201" s="20">
        <v>665.5</v>
      </c>
      <c r="C201" s="7">
        <f>B201/MAX(B$5:B201)-1</f>
        <v>-0.13515269655620532</v>
      </c>
    </row>
    <row r="202" spans="1:3" x14ac:dyDescent="0.3">
      <c r="A202" s="19">
        <v>42581</v>
      </c>
      <c r="B202" s="20">
        <v>665.3</v>
      </c>
      <c r="C202" s="7">
        <f>B202/MAX(B$5:B202)-1</f>
        <v>-0.13541260558804424</v>
      </c>
    </row>
    <row r="203" spans="1:3" x14ac:dyDescent="0.3">
      <c r="A203" s="19">
        <v>42582</v>
      </c>
      <c r="B203" s="20">
        <v>683.2</v>
      </c>
      <c r="C203" s="7">
        <f>B203/MAX(B$5:B203)-1</f>
        <v>-0.11215074723846652</v>
      </c>
    </row>
    <row r="204" spans="1:3" x14ac:dyDescent="0.3">
      <c r="A204" s="19">
        <v>42583</v>
      </c>
      <c r="B204" s="20">
        <v>674.3</v>
      </c>
      <c r="C204" s="7">
        <f>B204/MAX(B$5:B204)-1</f>
        <v>-0.12371669915529571</v>
      </c>
    </row>
    <row r="205" spans="1:3" x14ac:dyDescent="0.3">
      <c r="A205" s="19">
        <v>42584</v>
      </c>
      <c r="B205" s="20">
        <v>675</v>
      </c>
      <c r="C205" s="7">
        <f>B205/MAX(B$5:B205)-1</f>
        <v>-0.1228070175438597</v>
      </c>
    </row>
    <row r="206" spans="1:3" x14ac:dyDescent="0.3">
      <c r="A206" s="19">
        <v>42585</v>
      </c>
      <c r="B206" s="20">
        <v>665.8</v>
      </c>
      <c r="C206" s="7">
        <f>B206/MAX(B$5:B206)-1</f>
        <v>-0.13476283300844705</v>
      </c>
    </row>
    <row r="207" spans="1:3" x14ac:dyDescent="0.3">
      <c r="A207" s="19">
        <v>42586</v>
      </c>
      <c r="B207" s="20">
        <v>665</v>
      </c>
      <c r="C207" s="7">
        <f>B207/MAX(B$5:B207)-1</f>
        <v>-0.13580246913580252</v>
      </c>
    </row>
    <row r="208" spans="1:3" x14ac:dyDescent="0.3">
      <c r="A208" s="19">
        <v>42587</v>
      </c>
      <c r="B208" s="20">
        <v>648</v>
      </c>
      <c r="C208" s="7">
        <f>B208/MAX(B$5:B208)-1</f>
        <v>-0.15789473684210531</v>
      </c>
    </row>
    <row r="209" spans="1:3" x14ac:dyDescent="0.3">
      <c r="A209" s="19">
        <v>42588</v>
      </c>
      <c r="B209" s="20">
        <v>654</v>
      </c>
      <c r="C209" s="7">
        <f>B209/MAX(B$5:B209)-1</f>
        <v>-0.15009746588693962</v>
      </c>
    </row>
    <row r="210" spans="1:3" x14ac:dyDescent="0.3">
      <c r="A210" s="19">
        <v>42589</v>
      </c>
      <c r="B210" s="20">
        <v>661.8</v>
      </c>
      <c r="C210" s="7">
        <f>B210/MAX(B$5:B210)-1</f>
        <v>-0.13996101364522429</v>
      </c>
    </row>
    <row r="211" spans="1:3" x14ac:dyDescent="0.3">
      <c r="A211" s="19">
        <v>42590</v>
      </c>
      <c r="B211" s="20">
        <v>654.20000000000005</v>
      </c>
      <c r="C211" s="7">
        <f>B211/MAX(B$5:B211)-1</f>
        <v>-0.1498375568551007</v>
      </c>
    </row>
    <row r="212" spans="1:3" x14ac:dyDescent="0.3">
      <c r="A212" s="19">
        <v>42591</v>
      </c>
      <c r="B212" s="20">
        <v>648.5</v>
      </c>
      <c r="C212" s="7">
        <f>B212/MAX(B$5:B212)-1</f>
        <v>-0.15724496426250811</v>
      </c>
    </row>
    <row r="213" spans="1:3" x14ac:dyDescent="0.3">
      <c r="A213" s="19">
        <v>42592</v>
      </c>
      <c r="B213" s="20">
        <v>654.5</v>
      </c>
      <c r="C213" s="7">
        <f>B213/MAX(B$5:B213)-1</f>
        <v>-0.14944769330734242</v>
      </c>
    </row>
    <row r="214" spans="1:3" x14ac:dyDescent="0.3">
      <c r="A214" s="19">
        <v>42593</v>
      </c>
      <c r="B214" s="20">
        <v>658.3</v>
      </c>
      <c r="C214" s="7">
        <f>B214/MAX(B$5:B214)-1</f>
        <v>-0.14450942170240422</v>
      </c>
    </row>
    <row r="215" spans="1:3" x14ac:dyDescent="0.3">
      <c r="A215" s="19">
        <v>42594</v>
      </c>
      <c r="B215" s="20">
        <v>655</v>
      </c>
      <c r="C215" s="7">
        <f>B215/MAX(B$5:B215)-1</f>
        <v>-0.14879792072774534</v>
      </c>
    </row>
    <row r="216" spans="1:3" x14ac:dyDescent="0.3">
      <c r="A216" s="19">
        <v>42595</v>
      </c>
      <c r="B216" s="20">
        <v>623.70000000000005</v>
      </c>
      <c r="C216" s="7">
        <f>B216/MAX(B$5:B216)-1</f>
        <v>-0.18947368421052624</v>
      </c>
    </row>
    <row r="217" spans="1:3" x14ac:dyDescent="0.3">
      <c r="A217" s="19">
        <v>42596</v>
      </c>
      <c r="B217" s="20">
        <v>608</v>
      </c>
      <c r="C217" s="7">
        <f>B217/MAX(B$5:B217)-1</f>
        <v>-0.20987654320987659</v>
      </c>
    </row>
    <row r="218" spans="1:3" x14ac:dyDescent="0.3">
      <c r="A218" s="19">
        <v>42597</v>
      </c>
      <c r="B218" s="20">
        <v>604</v>
      </c>
      <c r="C218" s="7">
        <f>B218/MAX(B$5:B218)-1</f>
        <v>-0.21507472384665371</v>
      </c>
    </row>
    <row r="219" spans="1:3" x14ac:dyDescent="0.3">
      <c r="A219" s="19">
        <v>42602</v>
      </c>
      <c r="B219" s="20">
        <v>604.1</v>
      </c>
      <c r="C219" s="7">
        <f>B219/MAX(B$5:B219)-1</f>
        <v>-0.21494476933073425</v>
      </c>
    </row>
    <row r="220" spans="1:3" x14ac:dyDescent="0.3">
      <c r="A220" s="19">
        <v>42603</v>
      </c>
      <c r="B220" s="20">
        <v>604.1</v>
      </c>
      <c r="C220" s="7">
        <f>B220/MAX(B$5:B220)-1</f>
        <v>-0.21494476933073425</v>
      </c>
    </row>
    <row r="221" spans="1:3" x14ac:dyDescent="0.3">
      <c r="A221" s="19">
        <v>42604</v>
      </c>
      <c r="B221" s="20">
        <v>604.1</v>
      </c>
      <c r="C221" s="7">
        <f>B221/MAX(B$5:B221)-1</f>
        <v>-0.21494476933073425</v>
      </c>
    </row>
    <row r="222" spans="1:3" x14ac:dyDescent="0.3">
      <c r="A222" s="19">
        <v>42605</v>
      </c>
      <c r="B222" s="20">
        <v>590.29999999999995</v>
      </c>
      <c r="C222" s="7">
        <f>B222/MAX(B$5:B222)-1</f>
        <v>-0.23287849252761539</v>
      </c>
    </row>
    <row r="223" spans="1:3" x14ac:dyDescent="0.3">
      <c r="A223" s="19">
        <v>42606</v>
      </c>
      <c r="B223" s="20">
        <v>591.29999999999995</v>
      </c>
      <c r="C223" s="7">
        <f>B223/MAX(B$5:B223)-1</f>
        <v>-0.23157894736842111</v>
      </c>
    </row>
    <row r="224" spans="1:3" x14ac:dyDescent="0.3">
      <c r="A224" s="19">
        <v>42607</v>
      </c>
      <c r="B224" s="20">
        <v>585.5</v>
      </c>
      <c r="C224" s="7">
        <f>B224/MAX(B$5:B224)-1</f>
        <v>-0.23911630929174787</v>
      </c>
    </row>
    <row r="225" spans="1:3" x14ac:dyDescent="0.3">
      <c r="A225" s="19">
        <v>42608</v>
      </c>
      <c r="B225" s="20">
        <v>583.70000000000005</v>
      </c>
      <c r="C225" s="7">
        <f>B225/MAX(B$5:B225)-1</f>
        <v>-0.24145549057829752</v>
      </c>
    </row>
    <row r="226" spans="1:3" x14ac:dyDescent="0.3">
      <c r="A226" s="19">
        <v>42609</v>
      </c>
      <c r="B226" s="20">
        <v>569.4</v>
      </c>
      <c r="C226" s="7">
        <f>B226/MAX(B$5:B226)-1</f>
        <v>-0.26003898635477585</v>
      </c>
    </row>
    <row r="227" spans="1:3" x14ac:dyDescent="0.3">
      <c r="A227" s="19">
        <v>42610</v>
      </c>
      <c r="B227" s="20">
        <v>564.6</v>
      </c>
      <c r="C227" s="7">
        <f>B227/MAX(B$5:B227)-1</f>
        <v>-0.26627680311890833</v>
      </c>
    </row>
    <row r="228" spans="1:3" x14ac:dyDescent="0.3">
      <c r="A228" s="19">
        <v>42611</v>
      </c>
      <c r="B228" s="20">
        <v>574.20000000000005</v>
      </c>
      <c r="C228" s="7">
        <f>B228/MAX(B$5:B228)-1</f>
        <v>-0.25380116959064325</v>
      </c>
    </row>
    <row r="229" spans="1:3" x14ac:dyDescent="0.3">
      <c r="A229" s="19">
        <v>42612</v>
      </c>
      <c r="B229" s="20">
        <v>571.79999999999995</v>
      </c>
      <c r="C229" s="7">
        <f>B229/MAX(B$5:B229)-1</f>
        <v>-0.25692007797270966</v>
      </c>
    </row>
    <row r="230" spans="1:3" x14ac:dyDescent="0.3">
      <c r="A230" s="19">
        <v>42613</v>
      </c>
      <c r="B230" s="20">
        <v>572.20000000000005</v>
      </c>
      <c r="C230" s="7">
        <f>B230/MAX(B$5:B230)-1</f>
        <v>-0.25640025990903181</v>
      </c>
    </row>
    <row r="231" spans="1:3" x14ac:dyDescent="0.3">
      <c r="A231" s="19">
        <v>42614</v>
      </c>
      <c r="B231" s="20">
        <v>573.5</v>
      </c>
      <c r="C231" s="7">
        <f>B231/MAX(B$5:B231)-1</f>
        <v>-0.25471085120207926</v>
      </c>
    </row>
    <row r="232" spans="1:3" x14ac:dyDescent="0.3">
      <c r="A232" s="19">
        <v>42615</v>
      </c>
      <c r="B232" s="20">
        <v>582</v>
      </c>
      <c r="C232" s="7">
        <f>B232/MAX(B$5:B232)-1</f>
        <v>-0.24366471734892792</v>
      </c>
    </row>
    <row r="233" spans="1:3" x14ac:dyDescent="0.3">
      <c r="A233" s="19">
        <v>42616</v>
      </c>
      <c r="B233" s="20">
        <v>581.4</v>
      </c>
      <c r="C233" s="7">
        <f>B233/MAX(B$5:B233)-1</f>
        <v>-0.24444444444444446</v>
      </c>
    </row>
    <row r="234" spans="1:3" x14ac:dyDescent="0.3">
      <c r="A234" s="19">
        <v>42617</v>
      </c>
      <c r="B234" s="20">
        <v>588</v>
      </c>
      <c r="C234" s="7">
        <f>B234/MAX(B$5:B234)-1</f>
        <v>-0.23586744639376223</v>
      </c>
    </row>
    <row r="235" spans="1:3" x14ac:dyDescent="0.3">
      <c r="A235" s="19">
        <v>42618</v>
      </c>
      <c r="B235" s="20">
        <v>583.5</v>
      </c>
      <c r="C235" s="7">
        <f>B235/MAX(B$5:B235)-1</f>
        <v>-0.24171539961013644</v>
      </c>
    </row>
    <row r="236" spans="1:3" x14ac:dyDescent="0.3">
      <c r="A236" s="19">
        <v>42619</v>
      </c>
      <c r="B236" s="20">
        <v>580.29999999999995</v>
      </c>
      <c r="C236" s="7">
        <f>B236/MAX(B$5:B236)-1</f>
        <v>-0.24587394411955821</v>
      </c>
    </row>
    <row r="237" spans="1:3" x14ac:dyDescent="0.3">
      <c r="A237" s="19">
        <v>42620</v>
      </c>
      <c r="B237" s="20">
        <v>577.20000000000005</v>
      </c>
      <c r="C237" s="7">
        <f>B237/MAX(B$5:B237)-1</f>
        <v>-0.2499025341130604</v>
      </c>
    </row>
    <row r="238" spans="1:3" x14ac:dyDescent="0.3">
      <c r="A238" s="19">
        <v>42621</v>
      </c>
      <c r="B238" s="20">
        <v>578</v>
      </c>
      <c r="C238" s="7">
        <f>B238/MAX(B$5:B238)-1</f>
        <v>-0.24886289798570504</v>
      </c>
    </row>
    <row r="239" spans="1:3" x14ac:dyDescent="0.3">
      <c r="A239" s="19">
        <v>42622</v>
      </c>
      <c r="B239" s="20">
        <v>568.5</v>
      </c>
      <c r="C239" s="7">
        <f>B239/MAX(B$5:B239)-1</f>
        <v>-0.26120857699805067</v>
      </c>
    </row>
    <row r="240" spans="1:3" x14ac:dyDescent="0.3">
      <c r="A240" s="19">
        <v>42623</v>
      </c>
      <c r="B240" s="20">
        <v>574.20000000000005</v>
      </c>
      <c r="C240" s="7">
        <f>B240/MAX(B$5:B240)-1</f>
        <v>-0.25380116959064325</v>
      </c>
    </row>
    <row r="241" spans="1:3" x14ac:dyDescent="0.3">
      <c r="A241" s="19">
        <v>42624</v>
      </c>
      <c r="B241" s="20">
        <v>574.79999999999995</v>
      </c>
      <c r="C241" s="7">
        <f>B241/MAX(B$5:B241)-1</f>
        <v>-0.25302144249512681</v>
      </c>
    </row>
    <row r="242" spans="1:3" x14ac:dyDescent="0.3">
      <c r="A242" s="19">
        <v>42625</v>
      </c>
      <c r="B242" s="20">
        <v>579.5</v>
      </c>
      <c r="C242" s="7">
        <f>B242/MAX(B$5:B242)-1</f>
        <v>-0.24691358024691357</v>
      </c>
    </row>
    <row r="243" spans="1:3" x14ac:dyDescent="0.3">
      <c r="A243" s="19">
        <v>42626</v>
      </c>
      <c r="B243" s="20">
        <v>576.20000000000005</v>
      </c>
      <c r="C243" s="7">
        <f>B243/MAX(B$5:B243)-1</f>
        <v>-0.25120207927225469</v>
      </c>
    </row>
    <row r="244" spans="1:3" x14ac:dyDescent="0.3">
      <c r="A244" s="19">
        <v>42627</v>
      </c>
      <c r="B244" s="20">
        <v>572.70000000000005</v>
      </c>
      <c r="C244" s="7">
        <f>B244/MAX(B$5:B244)-1</f>
        <v>-0.25575048732943462</v>
      </c>
    </row>
    <row r="245" spans="1:3" x14ac:dyDescent="0.3">
      <c r="A245" s="19">
        <v>42628</v>
      </c>
      <c r="B245" s="20">
        <v>579.79999999999995</v>
      </c>
      <c r="C245" s="7">
        <f>B245/MAX(B$5:B245)-1</f>
        <v>-0.2465237166991554</v>
      </c>
    </row>
    <row r="246" spans="1:3" x14ac:dyDescent="0.3">
      <c r="A246" s="19">
        <v>42629</v>
      </c>
      <c r="B246" s="20">
        <v>609.9</v>
      </c>
      <c r="C246" s="7">
        <f>B246/MAX(B$5:B246)-1</f>
        <v>-0.20740740740740748</v>
      </c>
    </row>
    <row r="247" spans="1:3" x14ac:dyDescent="0.3">
      <c r="A247" s="19">
        <v>42630</v>
      </c>
      <c r="B247" s="20">
        <v>614.5</v>
      </c>
      <c r="C247" s="7">
        <f>B247/MAX(B$5:B247)-1</f>
        <v>-0.2014294996751137</v>
      </c>
    </row>
    <row r="248" spans="1:3" x14ac:dyDescent="0.3">
      <c r="A248" s="19">
        <v>42631</v>
      </c>
      <c r="B248" s="20">
        <v>611.5</v>
      </c>
      <c r="C248" s="7">
        <f>B248/MAX(B$5:B248)-1</f>
        <v>-0.20532813515269654</v>
      </c>
    </row>
    <row r="249" spans="1:3" x14ac:dyDescent="0.3">
      <c r="A249" s="19">
        <v>42632</v>
      </c>
      <c r="B249" s="20">
        <v>615.20000000000005</v>
      </c>
      <c r="C249" s="7">
        <f>B249/MAX(B$5:B249)-1</f>
        <v>-0.20051981806367769</v>
      </c>
    </row>
    <row r="250" spans="1:3" x14ac:dyDescent="0.3">
      <c r="A250" s="19">
        <v>42633</v>
      </c>
      <c r="B250" s="20">
        <v>619.79999999999995</v>
      </c>
      <c r="C250" s="7">
        <f>B250/MAX(B$5:B250)-1</f>
        <v>-0.19454191033138413</v>
      </c>
    </row>
    <row r="251" spans="1:3" x14ac:dyDescent="0.3">
      <c r="A251" s="19">
        <v>42634</v>
      </c>
      <c r="B251" s="20">
        <v>631.70000000000005</v>
      </c>
      <c r="C251" s="7">
        <f>B251/MAX(B$5:B251)-1</f>
        <v>-0.17907732293697198</v>
      </c>
    </row>
    <row r="252" spans="1:3" x14ac:dyDescent="0.3">
      <c r="A252" s="19">
        <v>42635</v>
      </c>
      <c r="B252" s="20">
        <v>626.29999999999995</v>
      </c>
      <c r="C252" s="7">
        <f>B252/MAX(B$5:B252)-1</f>
        <v>-0.18609486679662124</v>
      </c>
    </row>
    <row r="253" spans="1:3" x14ac:dyDescent="0.3">
      <c r="A253" s="19">
        <v>42636</v>
      </c>
      <c r="B253" s="20">
        <v>628</v>
      </c>
      <c r="C253" s="7">
        <f>B253/MAX(B$5:B253)-1</f>
        <v>-0.18388564002599095</v>
      </c>
    </row>
    <row r="254" spans="1:3" x14ac:dyDescent="0.3">
      <c r="A254" s="19">
        <v>42637</v>
      </c>
      <c r="B254" s="20">
        <v>612.1</v>
      </c>
      <c r="C254" s="7">
        <f>B254/MAX(B$5:B254)-1</f>
        <v>-0.20454840805718</v>
      </c>
    </row>
    <row r="255" spans="1:3" x14ac:dyDescent="0.3">
      <c r="A255" s="19">
        <v>42638</v>
      </c>
      <c r="B255" s="20">
        <v>611.6</v>
      </c>
      <c r="C255" s="7">
        <f>B255/MAX(B$5:B255)-1</f>
        <v>-0.20519818063677708</v>
      </c>
    </row>
    <row r="256" spans="1:3" x14ac:dyDescent="0.3">
      <c r="A256" s="19">
        <v>42639</v>
      </c>
      <c r="B256" s="20">
        <v>614.20000000000005</v>
      </c>
      <c r="C256" s="7">
        <f>B256/MAX(B$5:B256)-1</f>
        <v>-0.20181936322287197</v>
      </c>
    </row>
    <row r="257" spans="1:3" x14ac:dyDescent="0.3">
      <c r="A257" s="19">
        <v>42640</v>
      </c>
      <c r="B257" s="20">
        <v>613.9</v>
      </c>
      <c r="C257" s="7">
        <f>B257/MAX(B$5:B257)-1</f>
        <v>-0.20220922677063036</v>
      </c>
    </row>
    <row r="258" spans="1:3" x14ac:dyDescent="0.3">
      <c r="A258" s="19">
        <v>42641</v>
      </c>
      <c r="B258" s="20">
        <v>611.79999999999995</v>
      </c>
      <c r="C258" s="7">
        <f>B258/MAX(B$5:B258)-1</f>
        <v>-0.20493827160493838</v>
      </c>
    </row>
    <row r="259" spans="1:3" x14ac:dyDescent="0.3">
      <c r="A259" s="19">
        <v>42642</v>
      </c>
      <c r="B259" s="20">
        <v>610</v>
      </c>
      <c r="C259" s="7">
        <f>B259/MAX(B$5:B259)-1</f>
        <v>-0.20727745289148802</v>
      </c>
    </row>
    <row r="260" spans="1:3" x14ac:dyDescent="0.3">
      <c r="A260" s="19">
        <v>42643</v>
      </c>
      <c r="B260" s="20">
        <v>607.70000000000005</v>
      </c>
      <c r="C260" s="7">
        <f>B260/MAX(B$5:B260)-1</f>
        <v>-0.21026640675763475</v>
      </c>
    </row>
    <row r="261" spans="1:3" x14ac:dyDescent="0.3">
      <c r="A261" s="19">
        <v>42644</v>
      </c>
      <c r="B261" s="20">
        <v>613</v>
      </c>
      <c r="C261" s="7">
        <f>B261/MAX(B$5:B261)-1</f>
        <v>-0.20337881741390518</v>
      </c>
    </row>
    <row r="262" spans="1:3" x14ac:dyDescent="0.3">
      <c r="A262" s="19">
        <v>42645</v>
      </c>
      <c r="B262" s="20">
        <v>609.79999999999995</v>
      </c>
      <c r="C262" s="7">
        <f>B262/MAX(B$5:B262)-1</f>
        <v>-0.20753736192332695</v>
      </c>
    </row>
    <row r="263" spans="1:3" x14ac:dyDescent="0.3">
      <c r="A263" s="19">
        <v>42646</v>
      </c>
      <c r="B263" s="20">
        <v>600</v>
      </c>
      <c r="C263" s="7">
        <f>B263/MAX(B$5:B263)-1</f>
        <v>-0.22027290448343084</v>
      </c>
    </row>
    <row r="264" spans="1:3" x14ac:dyDescent="0.3">
      <c r="A264" s="19">
        <v>42647</v>
      </c>
      <c r="B264" s="20">
        <v>597.4</v>
      </c>
      <c r="C264" s="7">
        <f>B264/MAX(B$5:B264)-1</f>
        <v>-0.22365172189733595</v>
      </c>
    </row>
    <row r="265" spans="1:3" x14ac:dyDescent="0.3">
      <c r="A265" s="19">
        <v>42648</v>
      </c>
      <c r="B265" s="20">
        <v>597.1</v>
      </c>
      <c r="C265" s="7">
        <f>B265/MAX(B$5:B265)-1</f>
        <v>-0.22404158544509423</v>
      </c>
    </row>
    <row r="266" spans="1:3" x14ac:dyDescent="0.3">
      <c r="A266" s="19">
        <v>42649</v>
      </c>
      <c r="B266" s="20">
        <v>603.29999999999995</v>
      </c>
      <c r="C266" s="7">
        <f>B266/MAX(B$5:B266)-1</f>
        <v>-0.21598440545808972</v>
      </c>
    </row>
    <row r="267" spans="1:3" x14ac:dyDescent="0.3">
      <c r="A267" s="19">
        <v>42650</v>
      </c>
      <c r="B267" s="20">
        <v>602.5</v>
      </c>
      <c r="C267" s="7">
        <f>B267/MAX(B$5:B267)-1</f>
        <v>-0.21702404158544508</v>
      </c>
    </row>
    <row r="268" spans="1:3" x14ac:dyDescent="0.3">
      <c r="A268" s="19">
        <v>42651</v>
      </c>
      <c r="B268" s="20">
        <v>600.4</v>
      </c>
      <c r="C268" s="7">
        <f>B268/MAX(B$5:B268)-1</f>
        <v>-0.21975308641975311</v>
      </c>
    </row>
    <row r="269" spans="1:3" x14ac:dyDescent="0.3">
      <c r="A269" s="19">
        <v>42652</v>
      </c>
      <c r="B269" s="20">
        <v>609.1</v>
      </c>
      <c r="C269" s="7">
        <f>B269/MAX(B$5:B269)-1</f>
        <v>-0.20844704353476284</v>
      </c>
    </row>
    <row r="270" spans="1:3" x14ac:dyDescent="0.3">
      <c r="A270" s="19">
        <v>42653</v>
      </c>
      <c r="B270" s="20">
        <v>605.5</v>
      </c>
      <c r="C270" s="7">
        <f>B270/MAX(B$5:B270)-1</f>
        <v>-0.21312540610786224</v>
      </c>
    </row>
    <row r="271" spans="1:3" x14ac:dyDescent="0.3">
      <c r="A271" s="19">
        <v>42654</v>
      </c>
      <c r="B271" s="20">
        <v>603.79999999999995</v>
      </c>
      <c r="C271" s="7">
        <f>B271/MAX(B$5:B271)-1</f>
        <v>-0.21533463287849264</v>
      </c>
    </row>
    <row r="272" spans="1:3" x14ac:dyDescent="0.3">
      <c r="A272" s="19">
        <v>42655</v>
      </c>
      <c r="B272" s="20">
        <v>604.6</v>
      </c>
      <c r="C272" s="7">
        <f>B272/MAX(B$5:B272)-1</f>
        <v>-0.21429499675113706</v>
      </c>
    </row>
    <row r="273" spans="1:3" x14ac:dyDescent="0.3">
      <c r="A273" s="19">
        <v>42656</v>
      </c>
      <c r="B273" s="20">
        <v>611.1</v>
      </c>
      <c r="C273" s="7">
        <f>B273/MAX(B$5:B273)-1</f>
        <v>-0.20584795321637428</v>
      </c>
    </row>
    <row r="274" spans="1:3" x14ac:dyDescent="0.3">
      <c r="A274" s="19">
        <v>42657</v>
      </c>
      <c r="B274" s="20">
        <v>614.1</v>
      </c>
      <c r="C274" s="7">
        <f>B274/MAX(B$5:B274)-1</f>
        <v>-0.20194931773879143</v>
      </c>
    </row>
    <row r="275" spans="1:3" x14ac:dyDescent="0.3">
      <c r="A275" s="19">
        <v>42658</v>
      </c>
      <c r="B275" s="20">
        <v>609.1</v>
      </c>
      <c r="C275" s="7">
        <f>B275/MAX(B$5:B275)-1</f>
        <v>-0.20844704353476284</v>
      </c>
    </row>
    <row r="276" spans="1:3" x14ac:dyDescent="0.3">
      <c r="A276" s="19">
        <v>42659</v>
      </c>
      <c r="B276" s="20">
        <v>612.6</v>
      </c>
      <c r="C276" s="7">
        <f>B276/MAX(B$5:B276)-1</f>
        <v>-0.2038986354775828</v>
      </c>
    </row>
    <row r="277" spans="1:3" x14ac:dyDescent="0.3">
      <c r="A277" s="19">
        <v>42660</v>
      </c>
      <c r="B277" s="20">
        <v>611</v>
      </c>
      <c r="C277" s="7">
        <f>B277/MAX(B$5:B277)-1</f>
        <v>-0.20597790773229374</v>
      </c>
    </row>
    <row r="278" spans="1:3" x14ac:dyDescent="0.3">
      <c r="A278" s="19">
        <v>42661</v>
      </c>
      <c r="B278" s="20">
        <v>614.1</v>
      </c>
      <c r="C278" s="7">
        <f>B278/MAX(B$5:B278)-1</f>
        <v>-0.20194931773879143</v>
      </c>
    </row>
    <row r="279" spans="1:3" x14ac:dyDescent="0.3">
      <c r="A279" s="19">
        <v>42662</v>
      </c>
      <c r="B279" s="20">
        <v>613.5</v>
      </c>
      <c r="C279" s="7">
        <f>B279/MAX(B$5:B279)-1</f>
        <v>-0.20272904483430798</v>
      </c>
    </row>
    <row r="280" spans="1:3" x14ac:dyDescent="0.3">
      <c r="A280" s="19">
        <v>42663</v>
      </c>
      <c r="B280" s="20">
        <v>620.1</v>
      </c>
      <c r="C280" s="7">
        <f>B280/MAX(B$5:B280)-1</f>
        <v>-0.19415204678362574</v>
      </c>
    </row>
    <row r="281" spans="1:3" x14ac:dyDescent="0.3">
      <c r="A281" s="19">
        <v>42664</v>
      </c>
      <c r="B281" s="20">
        <v>620.5</v>
      </c>
      <c r="C281" s="7">
        <f>B281/MAX(B$5:B281)-1</f>
        <v>-0.19363222871994801</v>
      </c>
    </row>
    <row r="282" spans="1:3" x14ac:dyDescent="0.3">
      <c r="A282" s="19">
        <v>42665</v>
      </c>
      <c r="B282" s="20">
        <v>616.6</v>
      </c>
      <c r="C282" s="7">
        <f>B282/MAX(B$5:B282)-1</f>
        <v>-0.19870045484080567</v>
      </c>
    </row>
    <row r="283" spans="1:3" x14ac:dyDescent="0.3">
      <c r="A283" s="19">
        <v>42666</v>
      </c>
      <c r="B283" s="20">
        <v>618.9</v>
      </c>
      <c r="C283" s="7">
        <f>B283/MAX(B$5:B283)-1</f>
        <v>-0.19571150097465895</v>
      </c>
    </row>
    <row r="284" spans="1:3" x14ac:dyDescent="0.3">
      <c r="A284" s="19">
        <v>42667</v>
      </c>
      <c r="B284" s="20">
        <v>641.70000000000005</v>
      </c>
      <c r="C284" s="7">
        <f>B284/MAX(B$5:B284)-1</f>
        <v>-0.16608187134502916</v>
      </c>
    </row>
    <row r="285" spans="1:3" x14ac:dyDescent="0.3">
      <c r="A285" s="19">
        <v>42668</v>
      </c>
      <c r="B285" s="20">
        <v>637.6</v>
      </c>
      <c r="C285" s="7">
        <f>B285/MAX(B$5:B285)-1</f>
        <v>-0.17141000649772575</v>
      </c>
    </row>
    <row r="286" spans="1:3" x14ac:dyDescent="0.3">
      <c r="A286" s="19">
        <v>42669</v>
      </c>
      <c r="B286" s="20">
        <v>637</v>
      </c>
      <c r="C286" s="7">
        <f>B286/MAX(B$5:B286)-1</f>
        <v>-0.17218973359324241</v>
      </c>
    </row>
    <row r="287" spans="1:3" x14ac:dyDescent="0.3">
      <c r="A287" s="19">
        <v>42670</v>
      </c>
      <c r="B287" s="20">
        <v>643</v>
      </c>
      <c r="C287" s="7">
        <f>B287/MAX(B$5:B287)-1</f>
        <v>-0.16439246263807672</v>
      </c>
    </row>
    <row r="288" spans="1:3" x14ac:dyDescent="0.3">
      <c r="A288" s="19">
        <v>42671</v>
      </c>
      <c r="B288" s="20">
        <v>640.20000000000005</v>
      </c>
      <c r="C288" s="7">
        <f>B288/MAX(B$5:B288)-1</f>
        <v>-0.16803118908382064</v>
      </c>
    </row>
    <row r="289" spans="1:3" x14ac:dyDescent="0.3">
      <c r="A289" s="19">
        <v>42672</v>
      </c>
      <c r="B289" s="20">
        <v>644.20000000000005</v>
      </c>
      <c r="C289" s="7">
        <f>B289/MAX(B$5:B289)-1</f>
        <v>-0.16283300844704351</v>
      </c>
    </row>
    <row r="290" spans="1:3" x14ac:dyDescent="0.3">
      <c r="A290" s="19">
        <v>42673</v>
      </c>
      <c r="B290" s="20">
        <v>639.79999999999995</v>
      </c>
      <c r="C290" s="7">
        <f>B290/MAX(B$5:B290)-1</f>
        <v>-0.16855100714749849</v>
      </c>
    </row>
    <row r="291" spans="1:3" x14ac:dyDescent="0.3">
      <c r="A291" s="19">
        <v>42674</v>
      </c>
      <c r="B291" s="20">
        <v>638.79999999999995</v>
      </c>
      <c r="C291" s="7">
        <f>B291/MAX(B$5:B291)-1</f>
        <v>-0.16985055230669277</v>
      </c>
    </row>
    <row r="292" spans="1:3" x14ac:dyDescent="0.3">
      <c r="A292" s="19">
        <v>42675</v>
      </c>
      <c r="B292" s="20">
        <v>631.79999999999995</v>
      </c>
      <c r="C292" s="7">
        <f>B292/MAX(B$5:B292)-1</f>
        <v>-0.17894736842105274</v>
      </c>
    </row>
    <row r="293" spans="1:3" x14ac:dyDescent="0.3">
      <c r="A293" s="19">
        <v>42676</v>
      </c>
      <c r="B293" s="20">
        <v>632.5</v>
      </c>
      <c r="C293" s="7">
        <f>B293/MAX(B$5:B293)-1</f>
        <v>-0.17803768680961662</v>
      </c>
    </row>
    <row r="294" spans="1:3" x14ac:dyDescent="0.3">
      <c r="A294" s="19">
        <v>42677</v>
      </c>
      <c r="B294" s="20">
        <v>636.70000000000005</v>
      </c>
      <c r="C294" s="7">
        <f>B294/MAX(B$5:B294)-1</f>
        <v>-0.17257959714100057</v>
      </c>
    </row>
    <row r="295" spans="1:3" x14ac:dyDescent="0.3">
      <c r="A295" s="19">
        <v>42678</v>
      </c>
      <c r="B295" s="20">
        <v>665</v>
      </c>
      <c r="C295" s="7">
        <f>B295/MAX(B$5:B295)-1</f>
        <v>-0.13580246913580252</v>
      </c>
    </row>
    <row r="296" spans="1:3" x14ac:dyDescent="0.3">
      <c r="A296" s="19">
        <v>42679</v>
      </c>
      <c r="B296" s="20">
        <v>659</v>
      </c>
      <c r="C296" s="7">
        <f>B296/MAX(B$5:B296)-1</f>
        <v>-0.14359974009096821</v>
      </c>
    </row>
    <row r="297" spans="1:3" x14ac:dyDescent="0.3">
      <c r="A297" s="19">
        <v>42680</v>
      </c>
      <c r="B297" s="20">
        <v>654.70000000000005</v>
      </c>
      <c r="C297" s="7">
        <f>B297/MAX(B$5:B297)-1</f>
        <v>-0.1491877842755035</v>
      </c>
    </row>
    <row r="298" spans="1:3" x14ac:dyDescent="0.3">
      <c r="A298" s="19">
        <v>42681</v>
      </c>
      <c r="B298" s="20">
        <v>659.5</v>
      </c>
      <c r="C298" s="7">
        <f>B298/MAX(B$5:B298)-1</f>
        <v>-0.14294996751137101</v>
      </c>
    </row>
    <row r="299" spans="1:3" x14ac:dyDescent="0.3">
      <c r="A299" s="19">
        <v>42682</v>
      </c>
      <c r="B299" s="20">
        <v>678.7</v>
      </c>
      <c r="C299" s="7">
        <f>B299/MAX(B$5:B299)-1</f>
        <v>-0.11799870045484073</v>
      </c>
    </row>
    <row r="300" spans="1:3" x14ac:dyDescent="0.3">
      <c r="A300" s="19">
        <v>42683</v>
      </c>
      <c r="B300" s="20">
        <v>688.7</v>
      </c>
      <c r="C300" s="7">
        <f>B300/MAX(B$5:B300)-1</f>
        <v>-0.10500324886289791</v>
      </c>
    </row>
    <row r="301" spans="1:3" x14ac:dyDescent="0.3">
      <c r="A301" s="19">
        <v>42684</v>
      </c>
      <c r="B301" s="20">
        <v>693.5</v>
      </c>
      <c r="C301" s="7">
        <f>B301/MAX(B$5:B301)-1</f>
        <v>-9.8765432098765427E-2</v>
      </c>
    </row>
    <row r="302" spans="1:3" x14ac:dyDescent="0.3">
      <c r="A302" s="19">
        <v>42685</v>
      </c>
      <c r="B302" s="20">
        <v>714.5</v>
      </c>
      <c r="C302" s="7">
        <f>B302/MAX(B$5:B302)-1</f>
        <v>-7.1474983755685506E-2</v>
      </c>
    </row>
    <row r="303" spans="1:3" x14ac:dyDescent="0.3">
      <c r="A303" s="19">
        <v>42686</v>
      </c>
      <c r="B303" s="20">
        <v>702.5</v>
      </c>
      <c r="C303" s="7">
        <f>B303/MAX(B$5:B303)-1</f>
        <v>-8.7069525666016889E-2</v>
      </c>
    </row>
    <row r="304" spans="1:3" x14ac:dyDescent="0.3">
      <c r="A304" s="19">
        <v>42687</v>
      </c>
      <c r="B304" s="20">
        <v>704.1</v>
      </c>
      <c r="C304" s="7">
        <f>B304/MAX(B$5:B304)-1</f>
        <v>-8.499025341130606E-2</v>
      </c>
    </row>
    <row r="305" spans="1:3" x14ac:dyDescent="0.3">
      <c r="A305" s="19">
        <v>42688</v>
      </c>
      <c r="B305" s="20">
        <v>707.4</v>
      </c>
      <c r="C305" s="7">
        <f>B305/MAX(B$5:B305)-1</f>
        <v>-8.0701754385964941E-2</v>
      </c>
    </row>
    <row r="306" spans="1:3" x14ac:dyDescent="0.3">
      <c r="A306" s="19">
        <v>42689</v>
      </c>
      <c r="B306" s="20">
        <v>712.2</v>
      </c>
      <c r="C306" s="7">
        <f>B306/MAX(B$5:B306)-1</f>
        <v>-7.4463937621832343E-2</v>
      </c>
    </row>
    <row r="307" spans="1:3" x14ac:dyDescent="0.3">
      <c r="A307" s="19">
        <v>42690</v>
      </c>
      <c r="B307" s="20">
        <v>745</v>
      </c>
      <c r="C307" s="7">
        <f>B307/MAX(B$5:B307)-1</f>
        <v>-3.1838856400259963E-2</v>
      </c>
    </row>
    <row r="308" spans="1:3" x14ac:dyDescent="0.3">
      <c r="A308" s="19">
        <v>42691</v>
      </c>
      <c r="B308" s="20">
        <v>740.7</v>
      </c>
      <c r="C308" s="7">
        <f>B308/MAX(B$5:B308)-1</f>
        <v>-3.7426900584795253E-2</v>
      </c>
    </row>
    <row r="309" spans="1:3" x14ac:dyDescent="0.3">
      <c r="A309" s="19">
        <v>42692</v>
      </c>
      <c r="B309" s="20">
        <v>754</v>
      </c>
      <c r="C309" s="7">
        <f>B309/MAX(B$5:B309)-1</f>
        <v>-2.0142949967511425E-2</v>
      </c>
    </row>
    <row r="310" spans="1:3" x14ac:dyDescent="0.3">
      <c r="A310" s="19">
        <v>42693</v>
      </c>
      <c r="B310" s="20">
        <v>752.9</v>
      </c>
      <c r="C310" s="7">
        <f>B310/MAX(B$5:B310)-1</f>
        <v>-2.1572449642625058E-2</v>
      </c>
    </row>
    <row r="311" spans="1:3" x14ac:dyDescent="0.3">
      <c r="A311" s="19">
        <v>42694</v>
      </c>
      <c r="B311" s="20">
        <v>729.7</v>
      </c>
      <c r="C311" s="7">
        <f>B311/MAX(B$5:B311)-1</f>
        <v>-5.1721897335932354E-2</v>
      </c>
    </row>
    <row r="312" spans="1:3" x14ac:dyDescent="0.3">
      <c r="A312" s="19">
        <v>42695</v>
      </c>
      <c r="B312" s="20">
        <v>739</v>
      </c>
      <c r="C312" s="7">
        <f>B312/MAX(B$5:B312)-1</f>
        <v>-3.9636127355425654E-2</v>
      </c>
    </row>
    <row r="313" spans="1:3" x14ac:dyDescent="0.3">
      <c r="A313" s="19">
        <v>42696</v>
      </c>
      <c r="B313" s="20">
        <v>750</v>
      </c>
      <c r="C313" s="7">
        <f>B313/MAX(B$5:B313)-1</f>
        <v>-2.5341130604288553E-2</v>
      </c>
    </row>
    <row r="314" spans="1:3" x14ac:dyDescent="0.3">
      <c r="A314" s="19">
        <v>42697</v>
      </c>
      <c r="B314" s="20">
        <v>742</v>
      </c>
      <c r="C314" s="7">
        <f>B314/MAX(B$5:B314)-1</f>
        <v>-3.5737491877842809E-2</v>
      </c>
    </row>
    <row r="315" spans="1:3" x14ac:dyDescent="0.3">
      <c r="A315" s="19">
        <v>42698</v>
      </c>
      <c r="B315" s="20">
        <v>737.7</v>
      </c>
      <c r="C315" s="7">
        <f>B315/MAX(B$5:B315)-1</f>
        <v>-4.1325536062378099E-2</v>
      </c>
    </row>
    <row r="316" spans="1:3" x14ac:dyDescent="0.3">
      <c r="A316" s="19">
        <v>42699</v>
      </c>
      <c r="B316" s="20">
        <v>740.4</v>
      </c>
      <c r="C316" s="7">
        <f>B316/MAX(B$5:B316)-1</f>
        <v>-3.7816764132553637E-2</v>
      </c>
    </row>
    <row r="317" spans="1:3" x14ac:dyDescent="0.3">
      <c r="A317" s="19">
        <v>42700</v>
      </c>
      <c r="B317" s="20">
        <v>731.2</v>
      </c>
      <c r="C317" s="7">
        <f>B317/MAX(B$5:B317)-1</f>
        <v>-4.9772579597140987E-2</v>
      </c>
    </row>
    <row r="318" spans="1:3" x14ac:dyDescent="0.3">
      <c r="A318" s="19">
        <v>42701</v>
      </c>
      <c r="B318" s="20">
        <v>725</v>
      </c>
      <c r="C318" s="7">
        <f>B318/MAX(B$5:B318)-1</f>
        <v>-5.7829759584145601E-2</v>
      </c>
    </row>
    <row r="319" spans="1:3" x14ac:dyDescent="0.3">
      <c r="A319" s="19">
        <v>42702</v>
      </c>
      <c r="B319" s="20">
        <v>731.5</v>
      </c>
      <c r="C319" s="7">
        <f>B319/MAX(B$5:B319)-1</f>
        <v>-4.9382716049382713E-2</v>
      </c>
    </row>
    <row r="320" spans="1:3" x14ac:dyDescent="0.3">
      <c r="A320" s="19">
        <v>42703</v>
      </c>
      <c r="B320" s="20">
        <v>731</v>
      </c>
      <c r="C320" s="7">
        <f>B320/MAX(B$5:B320)-1</f>
        <v>-5.003248862897991E-2</v>
      </c>
    </row>
    <row r="321" spans="1:3" x14ac:dyDescent="0.3">
      <c r="A321" s="19">
        <v>42704</v>
      </c>
      <c r="B321" s="20">
        <v>739</v>
      </c>
      <c r="C321" s="7">
        <f>B321/MAX(B$5:B321)-1</f>
        <v>-3.9636127355425654E-2</v>
      </c>
    </row>
    <row r="322" spans="1:3" x14ac:dyDescent="0.3">
      <c r="A322" s="19">
        <v>42705</v>
      </c>
      <c r="B322" s="20">
        <v>755.4</v>
      </c>
      <c r="C322" s="7">
        <f>B322/MAX(B$5:B322)-1</f>
        <v>-1.8323586744639409E-2</v>
      </c>
    </row>
    <row r="323" spans="1:3" x14ac:dyDescent="0.3">
      <c r="A323" s="19">
        <v>42706</v>
      </c>
      <c r="B323" s="20">
        <v>774.9</v>
      </c>
      <c r="C323" s="7">
        <f>B323/MAX(B$5:B323)-1</f>
        <v>0</v>
      </c>
    </row>
    <row r="324" spans="1:3" x14ac:dyDescent="0.3">
      <c r="A324" s="19">
        <v>42707</v>
      </c>
      <c r="B324" s="20">
        <v>765.3</v>
      </c>
      <c r="C324" s="7">
        <f>B324/MAX(B$5:B324)-1</f>
        <v>-1.2388695315524667E-2</v>
      </c>
    </row>
    <row r="325" spans="1:3" x14ac:dyDescent="0.3">
      <c r="A325" s="19">
        <v>42708</v>
      </c>
      <c r="B325" s="20">
        <v>768.5</v>
      </c>
      <c r="C325" s="7">
        <f>B325/MAX(B$5:B325)-1</f>
        <v>-8.259130210349741E-3</v>
      </c>
    </row>
    <row r="326" spans="1:3" x14ac:dyDescent="0.3">
      <c r="A326" s="19">
        <v>42709</v>
      </c>
      <c r="B326" s="20">
        <v>750.6</v>
      </c>
      <c r="C326" s="7">
        <f>B326/MAX(B$5:B326)-1</f>
        <v>-3.1358885017421567E-2</v>
      </c>
    </row>
    <row r="327" spans="1:3" x14ac:dyDescent="0.3">
      <c r="A327" s="19">
        <v>42710</v>
      </c>
      <c r="B327" s="20">
        <v>757.4</v>
      </c>
      <c r="C327" s="7">
        <f>B327/MAX(B$5:B327)-1</f>
        <v>-2.2583559168925071E-2</v>
      </c>
    </row>
    <row r="328" spans="1:3" x14ac:dyDescent="0.3">
      <c r="A328" s="19">
        <v>42711</v>
      </c>
      <c r="B328" s="20">
        <v>765</v>
      </c>
      <c r="C328" s="7">
        <f>B328/MAX(B$5:B328)-1</f>
        <v>-1.2775842044134733E-2</v>
      </c>
    </row>
    <row r="329" spans="1:3" x14ac:dyDescent="0.3">
      <c r="A329" s="19">
        <v>42712</v>
      </c>
      <c r="B329" s="20">
        <v>765</v>
      </c>
      <c r="C329" s="7">
        <f>B329/MAX(B$5:B329)-1</f>
        <v>-1.2775842044134733E-2</v>
      </c>
    </row>
    <row r="330" spans="1:3" x14ac:dyDescent="0.3">
      <c r="A330" s="19">
        <v>42713</v>
      </c>
      <c r="B330" s="20">
        <v>770.5</v>
      </c>
      <c r="C330" s="7">
        <f>B330/MAX(B$5:B330)-1</f>
        <v>-5.6781520196154123E-3</v>
      </c>
    </row>
    <row r="331" spans="1:3" x14ac:dyDescent="0.3">
      <c r="A331" s="19">
        <v>42714</v>
      </c>
      <c r="B331" s="20">
        <v>772.9</v>
      </c>
      <c r="C331" s="7">
        <f>B331/MAX(B$5:B331)-1</f>
        <v>-2.5809781907343288E-3</v>
      </c>
    </row>
    <row r="332" spans="1:3" x14ac:dyDescent="0.3">
      <c r="A332" s="19">
        <v>42715</v>
      </c>
      <c r="B332" s="20">
        <v>770.2</v>
      </c>
      <c r="C332" s="7">
        <f>B332/MAX(B$5:B332)-1</f>
        <v>-6.0652987482254783E-3</v>
      </c>
    </row>
    <row r="333" spans="1:3" x14ac:dyDescent="0.3">
      <c r="A333" s="19">
        <v>42716</v>
      </c>
      <c r="B333" s="20">
        <v>778</v>
      </c>
      <c r="C333" s="7">
        <f>B333/MAX(B$5:B333)-1</f>
        <v>0</v>
      </c>
    </row>
    <row r="334" spans="1:3" x14ac:dyDescent="0.3">
      <c r="A334" s="19">
        <v>42717</v>
      </c>
      <c r="B334" s="20">
        <v>775</v>
      </c>
      <c r="C334" s="7">
        <f>B334/MAX(B$5:B334)-1</f>
        <v>-3.856041131105381E-3</v>
      </c>
    </row>
    <row r="335" spans="1:3" x14ac:dyDescent="0.3">
      <c r="A335" s="19">
        <v>42718</v>
      </c>
      <c r="B335" s="20">
        <v>774.5</v>
      </c>
      <c r="C335" s="7">
        <f>B335/MAX(B$5:B335)-1</f>
        <v>-4.4987146529562594E-3</v>
      </c>
    </row>
    <row r="336" spans="1:3" x14ac:dyDescent="0.3">
      <c r="A336" s="19">
        <v>42719</v>
      </c>
      <c r="B336" s="20">
        <v>777.4</v>
      </c>
      <c r="C336" s="7">
        <f>B336/MAX(B$5:B336)-1</f>
        <v>-7.7120822622112062E-4</v>
      </c>
    </row>
    <row r="337" spans="1:3" x14ac:dyDescent="0.3">
      <c r="A337" s="19">
        <v>42720</v>
      </c>
      <c r="B337" s="20">
        <v>784.2</v>
      </c>
      <c r="C337" s="7">
        <f>B337/MAX(B$5:B337)-1</f>
        <v>0</v>
      </c>
    </row>
    <row r="338" spans="1:3" x14ac:dyDescent="0.3">
      <c r="A338" s="19">
        <v>42721</v>
      </c>
      <c r="B338" s="20">
        <v>791</v>
      </c>
      <c r="C338" s="7">
        <f>B338/MAX(B$5:B338)-1</f>
        <v>0</v>
      </c>
    </row>
    <row r="339" spans="1:3" x14ac:dyDescent="0.3">
      <c r="A339" s="19">
        <v>42722</v>
      </c>
      <c r="B339" s="20">
        <v>790.2</v>
      </c>
      <c r="C339" s="7">
        <f>B339/MAX(B$5:B339)-1</f>
        <v>-1.0113780025283736E-3</v>
      </c>
    </row>
    <row r="340" spans="1:3" x14ac:dyDescent="0.3">
      <c r="A340" s="19">
        <v>42723</v>
      </c>
      <c r="B340" s="20">
        <v>790.6</v>
      </c>
      <c r="C340" s="7">
        <f>B340/MAX(B$5:B340)-1</f>
        <v>-5.0568900126424232E-4</v>
      </c>
    </row>
    <row r="341" spans="1:3" x14ac:dyDescent="0.3">
      <c r="A341" s="19">
        <v>42724</v>
      </c>
      <c r="B341" s="20">
        <v>798</v>
      </c>
      <c r="C341" s="7">
        <f>B341/MAX(B$5:B341)-1</f>
        <v>0</v>
      </c>
    </row>
    <row r="342" spans="1:3" x14ac:dyDescent="0.3">
      <c r="A342" s="19">
        <v>42725</v>
      </c>
      <c r="B342" s="20">
        <v>830</v>
      </c>
      <c r="C342" s="7">
        <f>B342/MAX(B$5:B342)-1</f>
        <v>0</v>
      </c>
    </row>
    <row r="343" spans="1:3" x14ac:dyDescent="0.3">
      <c r="A343" s="19">
        <v>42726</v>
      </c>
      <c r="B343" s="20">
        <v>859.2</v>
      </c>
      <c r="C343" s="7">
        <f>B343/MAX(B$5:B343)-1</f>
        <v>0</v>
      </c>
    </row>
    <row r="344" spans="1:3" x14ac:dyDescent="0.3">
      <c r="A344" s="19">
        <v>42727</v>
      </c>
      <c r="B344" s="20">
        <v>919</v>
      </c>
      <c r="C344" s="7">
        <f>B344/MAX(B$5:B344)-1</f>
        <v>0</v>
      </c>
    </row>
    <row r="345" spans="1:3" x14ac:dyDescent="0.3">
      <c r="A345" s="19">
        <v>42728</v>
      </c>
      <c r="B345" s="20">
        <v>895.2</v>
      </c>
      <c r="C345" s="7">
        <f>B345/MAX(B$5:B345)-1</f>
        <v>-2.589771490750814E-2</v>
      </c>
    </row>
    <row r="346" spans="1:3" x14ac:dyDescent="0.3">
      <c r="A346" s="19">
        <v>42729</v>
      </c>
      <c r="B346" s="20">
        <v>898</v>
      </c>
      <c r="C346" s="7">
        <f>B346/MAX(B$5:B346)-1</f>
        <v>-2.2850924918389581E-2</v>
      </c>
    </row>
    <row r="347" spans="1:3" x14ac:dyDescent="0.3">
      <c r="A347" s="19">
        <v>42730</v>
      </c>
      <c r="B347" s="20">
        <v>906.4</v>
      </c>
      <c r="C347" s="7">
        <f>B347/MAX(B$5:B347)-1</f>
        <v>-1.3710554951033793E-2</v>
      </c>
    </row>
    <row r="348" spans="1:3" x14ac:dyDescent="0.3">
      <c r="A348" s="19">
        <v>42731</v>
      </c>
      <c r="B348" s="20">
        <v>936.3</v>
      </c>
      <c r="C348" s="7">
        <f>B348/MAX(B$5:B348)-1</f>
        <v>0</v>
      </c>
    </row>
    <row r="349" spans="1:3" x14ac:dyDescent="0.3">
      <c r="A349" s="19">
        <v>42732</v>
      </c>
      <c r="B349" s="20">
        <v>981.7</v>
      </c>
      <c r="C349" s="7">
        <f>B349/MAX(B$5:B349)-1</f>
        <v>0</v>
      </c>
    </row>
    <row r="350" spans="1:3" x14ac:dyDescent="0.3">
      <c r="A350" s="19">
        <v>42733</v>
      </c>
      <c r="B350" s="20">
        <v>972.6</v>
      </c>
      <c r="C350" s="7">
        <f>B350/MAX(B$5:B350)-1</f>
        <v>-9.269634307833341E-3</v>
      </c>
    </row>
    <row r="351" spans="1:3" x14ac:dyDescent="0.3">
      <c r="A351" s="19">
        <v>42734</v>
      </c>
      <c r="B351" s="20">
        <v>959.3</v>
      </c>
      <c r="C351" s="7">
        <f>B351/MAX(B$5:B351)-1</f>
        <v>-2.2817561373128292E-2</v>
      </c>
    </row>
    <row r="352" spans="1:3" x14ac:dyDescent="0.3">
      <c r="A352" s="19">
        <v>42735</v>
      </c>
      <c r="B352" s="20">
        <v>966.6</v>
      </c>
      <c r="C352" s="7">
        <f>B352/MAX(B$5:B352)-1</f>
        <v>-1.5381481104207007E-2</v>
      </c>
    </row>
    <row r="353" spans="1:3" x14ac:dyDescent="0.3">
      <c r="A353" s="19">
        <v>42736</v>
      </c>
      <c r="B353" s="20">
        <v>999</v>
      </c>
      <c r="C353" s="7">
        <f>B353/MAX(B$5:B353)-1</f>
        <v>0</v>
      </c>
    </row>
    <row r="354" spans="1:3" x14ac:dyDescent="0.3">
      <c r="A354" s="19">
        <v>42737</v>
      </c>
      <c r="B354" s="20">
        <v>1019.3</v>
      </c>
      <c r="C354" s="7">
        <f>B354/MAX(B$5:B354)-1</f>
        <v>0</v>
      </c>
    </row>
    <row r="355" spans="1:3" x14ac:dyDescent="0.3">
      <c r="A355" s="19">
        <v>42738</v>
      </c>
      <c r="B355" s="20">
        <v>1037.5</v>
      </c>
      <c r="C355" s="7">
        <f>B355/MAX(B$5:B355)-1</f>
        <v>0</v>
      </c>
    </row>
    <row r="356" spans="1:3" x14ac:dyDescent="0.3">
      <c r="A356" s="19">
        <v>42739</v>
      </c>
      <c r="B356" s="20">
        <v>1139.5999999999999</v>
      </c>
      <c r="C356" s="7">
        <f>B356/MAX(B$5:B356)-1</f>
        <v>0</v>
      </c>
    </row>
    <row r="357" spans="1:3" x14ac:dyDescent="0.3">
      <c r="A357" s="19">
        <v>42740</v>
      </c>
      <c r="B357" s="20">
        <v>1003.2</v>
      </c>
      <c r="C357" s="7">
        <f>B357/MAX(B$5:B357)-1</f>
        <v>-0.11969111969111956</v>
      </c>
    </row>
    <row r="358" spans="1:3" x14ac:dyDescent="0.3">
      <c r="A358" s="19">
        <v>42741</v>
      </c>
      <c r="B358" s="20">
        <v>898</v>
      </c>
      <c r="C358" s="7">
        <f>B358/MAX(B$5:B358)-1</f>
        <v>-0.21200421200421193</v>
      </c>
    </row>
    <row r="359" spans="1:3" x14ac:dyDescent="0.3">
      <c r="A359" s="19">
        <v>42742</v>
      </c>
      <c r="B359" s="20">
        <v>908.8</v>
      </c>
      <c r="C359" s="7">
        <f>B359/MAX(B$5:B359)-1</f>
        <v>-0.20252720252720247</v>
      </c>
    </row>
    <row r="360" spans="1:3" x14ac:dyDescent="0.3">
      <c r="A360" s="19">
        <v>42743</v>
      </c>
      <c r="B360" s="20">
        <v>915.9</v>
      </c>
      <c r="C360" s="7">
        <f>B360/MAX(B$5:B360)-1</f>
        <v>-0.19629694629694627</v>
      </c>
    </row>
    <row r="361" spans="1:3" x14ac:dyDescent="0.3">
      <c r="A361" s="19">
        <v>42744</v>
      </c>
      <c r="B361" s="20">
        <v>903</v>
      </c>
      <c r="C361" s="7">
        <f>B361/MAX(B$5:B361)-1</f>
        <v>-0.20761670761670759</v>
      </c>
    </row>
    <row r="362" spans="1:3" x14ac:dyDescent="0.3">
      <c r="A362" s="19">
        <v>42745</v>
      </c>
      <c r="B362" s="20">
        <v>905.8</v>
      </c>
      <c r="C362" s="7">
        <f>B362/MAX(B$5:B362)-1</f>
        <v>-0.20515970515970516</v>
      </c>
    </row>
    <row r="363" spans="1:3" x14ac:dyDescent="0.3">
      <c r="A363" s="19">
        <v>42746</v>
      </c>
      <c r="B363" s="20">
        <v>778.6</v>
      </c>
      <c r="C363" s="7">
        <f>B363/MAX(B$5:B363)-1</f>
        <v>-0.31677781677781669</v>
      </c>
    </row>
    <row r="364" spans="1:3" x14ac:dyDescent="0.3">
      <c r="A364" s="19">
        <v>42747</v>
      </c>
      <c r="B364" s="20">
        <v>804.6</v>
      </c>
      <c r="C364" s="7">
        <f>B364/MAX(B$5:B364)-1</f>
        <v>-0.2939627939627939</v>
      </c>
    </row>
    <row r="365" spans="1:3" x14ac:dyDescent="0.3">
      <c r="A365" s="19">
        <v>42748</v>
      </c>
      <c r="B365" s="20">
        <v>828.1</v>
      </c>
      <c r="C365" s="7">
        <f>B365/MAX(B$5:B365)-1</f>
        <v>-0.27334152334152328</v>
      </c>
    </row>
    <row r="366" spans="1:3" x14ac:dyDescent="0.3">
      <c r="A366" s="19">
        <v>42749</v>
      </c>
      <c r="B366" s="20">
        <v>815.3</v>
      </c>
      <c r="C366" s="7">
        <f>B366/MAX(B$5:B366)-1</f>
        <v>-0.28457353457353451</v>
      </c>
    </row>
    <row r="367" spans="1:3" x14ac:dyDescent="0.3">
      <c r="A367" s="19">
        <v>42750</v>
      </c>
      <c r="B367" s="20">
        <v>820.7</v>
      </c>
      <c r="C367" s="7">
        <f>B367/MAX(B$5:B367)-1</f>
        <v>-0.27983502983502972</v>
      </c>
    </row>
    <row r="368" spans="1:3" x14ac:dyDescent="0.3">
      <c r="A368" s="19">
        <v>42751</v>
      </c>
      <c r="B368" s="20">
        <v>830.1</v>
      </c>
      <c r="C368" s="7">
        <f>B368/MAX(B$5:B368)-1</f>
        <v>-0.27158652158652152</v>
      </c>
    </row>
    <row r="369" spans="1:3" x14ac:dyDescent="0.3">
      <c r="A369" s="19">
        <v>42752</v>
      </c>
      <c r="B369" s="20">
        <v>904</v>
      </c>
      <c r="C369" s="7">
        <f>B369/MAX(B$5:B369)-1</f>
        <v>-0.20673920673920665</v>
      </c>
    </row>
    <row r="370" spans="1:3" x14ac:dyDescent="0.3">
      <c r="A370" s="19">
        <v>42753</v>
      </c>
      <c r="B370" s="20">
        <v>887.8</v>
      </c>
      <c r="C370" s="7">
        <f>B370/MAX(B$5:B370)-1</f>
        <v>-0.22095472095472091</v>
      </c>
    </row>
    <row r="371" spans="1:3" x14ac:dyDescent="0.3">
      <c r="A371" s="19">
        <v>42754</v>
      </c>
      <c r="B371" s="20">
        <v>900.3</v>
      </c>
      <c r="C371" s="7">
        <f>B371/MAX(B$5:B371)-1</f>
        <v>-0.20998595998595992</v>
      </c>
    </row>
    <row r="372" spans="1:3" x14ac:dyDescent="0.3">
      <c r="A372" s="19">
        <v>42755</v>
      </c>
      <c r="B372" s="20">
        <v>896</v>
      </c>
      <c r="C372" s="7">
        <f>B372/MAX(B$5:B372)-1</f>
        <v>-0.2137592137592137</v>
      </c>
    </row>
    <row r="373" spans="1:3" x14ac:dyDescent="0.3">
      <c r="A373" s="19">
        <v>42756</v>
      </c>
      <c r="B373" s="20">
        <v>924</v>
      </c>
      <c r="C373" s="7">
        <f>B373/MAX(B$5:B373)-1</f>
        <v>-0.18918918918918914</v>
      </c>
    </row>
    <row r="374" spans="1:3" x14ac:dyDescent="0.3">
      <c r="A374" s="19">
        <v>42757</v>
      </c>
      <c r="B374" s="20">
        <v>923.7</v>
      </c>
      <c r="C374" s="7">
        <f>B374/MAX(B$5:B374)-1</f>
        <v>-0.18945243945243939</v>
      </c>
    </row>
    <row r="375" spans="1:3" x14ac:dyDescent="0.3">
      <c r="A375" s="19">
        <v>42758</v>
      </c>
      <c r="B375" s="20">
        <v>910</v>
      </c>
      <c r="C375" s="7">
        <f>B375/MAX(B$5:B375)-1</f>
        <v>-0.20147420147420136</v>
      </c>
    </row>
    <row r="376" spans="1:3" x14ac:dyDescent="0.3">
      <c r="A376" s="19">
        <v>42759</v>
      </c>
      <c r="B376" s="20">
        <v>886.1</v>
      </c>
      <c r="C376" s="7">
        <f>B376/MAX(B$5:B376)-1</f>
        <v>-0.22244647244647231</v>
      </c>
    </row>
    <row r="377" spans="1:3" x14ac:dyDescent="0.3">
      <c r="A377" s="19">
        <v>42760</v>
      </c>
      <c r="B377" s="20">
        <v>893.3</v>
      </c>
      <c r="C377" s="7">
        <f>B377/MAX(B$5:B377)-1</f>
        <v>-0.21612846612846615</v>
      </c>
    </row>
    <row r="378" spans="1:3" x14ac:dyDescent="0.3">
      <c r="A378" s="19">
        <v>42761</v>
      </c>
      <c r="B378" s="20">
        <v>915.1</v>
      </c>
      <c r="C378" s="7">
        <f>B378/MAX(B$5:B378)-1</f>
        <v>-0.19699894699894693</v>
      </c>
    </row>
    <row r="379" spans="1:3" x14ac:dyDescent="0.3">
      <c r="A379" s="19">
        <v>42762</v>
      </c>
      <c r="B379" s="20">
        <v>916.7</v>
      </c>
      <c r="C379" s="7">
        <f>B379/MAX(B$5:B379)-1</f>
        <v>-0.1955949455949455</v>
      </c>
    </row>
    <row r="380" spans="1:3" x14ac:dyDescent="0.3">
      <c r="A380" s="19">
        <v>42763</v>
      </c>
      <c r="B380" s="20">
        <v>919.4</v>
      </c>
      <c r="C380" s="7">
        <f>B380/MAX(B$5:B380)-1</f>
        <v>-0.19322569322569316</v>
      </c>
    </row>
    <row r="381" spans="1:3" x14ac:dyDescent="0.3">
      <c r="A381" s="19">
        <v>42764</v>
      </c>
      <c r="B381" s="20">
        <v>912.6</v>
      </c>
      <c r="C381" s="7">
        <f>B381/MAX(B$5:B381)-1</f>
        <v>-0.19919269919269911</v>
      </c>
    </row>
    <row r="382" spans="1:3" x14ac:dyDescent="0.3">
      <c r="A382" s="19">
        <v>42765</v>
      </c>
      <c r="B382" s="20">
        <v>917.4</v>
      </c>
      <c r="C382" s="7">
        <f>B382/MAX(B$5:B382)-1</f>
        <v>-0.19498069498069492</v>
      </c>
    </row>
    <row r="383" spans="1:3" x14ac:dyDescent="0.3">
      <c r="A383" s="19">
        <v>42766</v>
      </c>
      <c r="B383" s="20">
        <v>966.2</v>
      </c>
      <c r="C383" s="7">
        <f>B383/MAX(B$5:B383)-1</f>
        <v>-0.1521586521586521</v>
      </c>
    </row>
    <row r="384" spans="1:3" x14ac:dyDescent="0.3">
      <c r="A384" s="19">
        <v>42767</v>
      </c>
      <c r="B384" s="20">
        <v>983.7</v>
      </c>
      <c r="C384" s="7">
        <f>B384/MAX(B$5:B384)-1</f>
        <v>-0.13680238680238666</v>
      </c>
    </row>
    <row r="385" spans="1:3" x14ac:dyDescent="0.3">
      <c r="A385" s="19">
        <v>42768</v>
      </c>
      <c r="B385" s="20">
        <v>1005.7</v>
      </c>
      <c r="C385" s="7">
        <f>B385/MAX(B$5:B385)-1</f>
        <v>-0.11749736749736739</v>
      </c>
    </row>
    <row r="386" spans="1:3" x14ac:dyDescent="0.3">
      <c r="A386" s="19">
        <v>42769</v>
      </c>
      <c r="B386" s="20">
        <v>1015.7</v>
      </c>
      <c r="C386" s="7">
        <f>B386/MAX(B$5:B386)-1</f>
        <v>-0.10872235872235858</v>
      </c>
    </row>
    <row r="387" spans="1:3" x14ac:dyDescent="0.3">
      <c r="A387" s="19">
        <v>42770</v>
      </c>
      <c r="B387" s="20">
        <v>1031.0999999999999</v>
      </c>
      <c r="C387" s="7">
        <f>B387/MAX(B$5:B387)-1</f>
        <v>-9.5208845208845205E-2</v>
      </c>
    </row>
    <row r="388" spans="1:3" x14ac:dyDescent="0.3">
      <c r="A388" s="19">
        <v>42771</v>
      </c>
      <c r="B388" s="20">
        <v>1006.6</v>
      </c>
      <c r="C388" s="7">
        <f>B388/MAX(B$5:B388)-1</f>
        <v>-0.11670761670761665</v>
      </c>
    </row>
    <row r="389" spans="1:3" x14ac:dyDescent="0.3">
      <c r="A389" s="19">
        <v>42772</v>
      </c>
      <c r="B389" s="20">
        <v>1022.6</v>
      </c>
      <c r="C389" s="7">
        <f>B389/MAX(B$5:B389)-1</f>
        <v>-0.10266760266760255</v>
      </c>
    </row>
    <row r="390" spans="1:3" x14ac:dyDescent="0.3">
      <c r="A390" s="19">
        <v>42773</v>
      </c>
      <c r="B390" s="20">
        <v>1052.0999999999999</v>
      </c>
      <c r="C390" s="7">
        <f>B390/MAX(B$5:B390)-1</f>
        <v>-7.6781326781326764E-2</v>
      </c>
    </row>
    <row r="391" spans="1:3" x14ac:dyDescent="0.3">
      <c r="A391" s="19">
        <v>42774</v>
      </c>
      <c r="B391" s="20">
        <v>1048.8</v>
      </c>
      <c r="C391" s="7">
        <f>B391/MAX(B$5:B391)-1</f>
        <v>-7.9677079677079599E-2</v>
      </c>
    </row>
    <row r="392" spans="1:3" x14ac:dyDescent="0.3">
      <c r="A392" s="19">
        <v>42775</v>
      </c>
      <c r="B392" s="20">
        <v>985</v>
      </c>
      <c r="C392" s="7">
        <f>B392/MAX(B$5:B392)-1</f>
        <v>-0.13566163566163558</v>
      </c>
    </row>
    <row r="393" spans="1:3" x14ac:dyDescent="0.3">
      <c r="A393" s="19">
        <v>42776</v>
      </c>
      <c r="B393" s="20">
        <v>992</v>
      </c>
      <c r="C393" s="7">
        <f>B393/MAX(B$5:B393)-1</f>
        <v>-0.12951912951912947</v>
      </c>
    </row>
    <row r="394" spans="1:3" x14ac:dyDescent="0.3">
      <c r="A394" s="19">
        <v>42777</v>
      </c>
      <c r="B394" s="20">
        <v>1000.3</v>
      </c>
      <c r="C394" s="7">
        <f>B394/MAX(B$5:B394)-1</f>
        <v>-0.12223587223587218</v>
      </c>
    </row>
    <row r="395" spans="1:3" x14ac:dyDescent="0.3">
      <c r="A395" s="19">
        <v>42778</v>
      </c>
      <c r="B395" s="20">
        <v>996</v>
      </c>
      <c r="C395" s="7">
        <f>B395/MAX(B$5:B395)-1</f>
        <v>-0.12600912600912595</v>
      </c>
    </row>
    <row r="396" spans="1:3" x14ac:dyDescent="0.3">
      <c r="A396" s="19">
        <v>42779</v>
      </c>
      <c r="B396" s="20">
        <v>996.5</v>
      </c>
      <c r="C396" s="7">
        <f>B396/MAX(B$5:B396)-1</f>
        <v>-0.12557037557037554</v>
      </c>
    </row>
    <row r="397" spans="1:3" x14ac:dyDescent="0.3">
      <c r="A397" s="19">
        <v>42780</v>
      </c>
      <c r="B397" s="20">
        <v>1013.7</v>
      </c>
      <c r="C397" s="7">
        <f>B397/MAX(B$5:B397)-1</f>
        <v>-0.11047736047736034</v>
      </c>
    </row>
    <row r="398" spans="1:3" x14ac:dyDescent="0.3">
      <c r="A398" s="19">
        <v>42781</v>
      </c>
      <c r="B398" s="20">
        <v>1013.8</v>
      </c>
      <c r="C398" s="7">
        <f>B398/MAX(B$5:B398)-1</f>
        <v>-0.11038961038961037</v>
      </c>
    </row>
    <row r="399" spans="1:3" x14ac:dyDescent="0.3">
      <c r="A399" s="19">
        <v>42782</v>
      </c>
      <c r="B399" s="20">
        <v>1038.4000000000001</v>
      </c>
      <c r="C399" s="7">
        <f>B399/MAX(B$5:B399)-1</f>
        <v>-8.8803088803088626E-2</v>
      </c>
    </row>
    <row r="400" spans="1:3" x14ac:dyDescent="0.3">
      <c r="A400" s="19">
        <v>42783</v>
      </c>
      <c r="B400" s="20">
        <v>1056.2</v>
      </c>
      <c r="C400" s="7">
        <f>B400/MAX(B$5:B400)-1</f>
        <v>-7.3183573183573047E-2</v>
      </c>
    </row>
    <row r="401" spans="1:3" x14ac:dyDescent="0.3">
      <c r="A401" s="19">
        <v>42784</v>
      </c>
      <c r="B401" s="20">
        <v>1059.8</v>
      </c>
      <c r="C401" s="7">
        <f>B401/MAX(B$5:B401)-1</f>
        <v>-7.0024570024569965E-2</v>
      </c>
    </row>
    <row r="402" spans="1:3" x14ac:dyDescent="0.3">
      <c r="A402" s="19">
        <v>42785</v>
      </c>
      <c r="B402" s="20">
        <v>1056.2</v>
      </c>
      <c r="C402" s="7">
        <f>B402/MAX(B$5:B402)-1</f>
        <v>-7.3183573183573047E-2</v>
      </c>
    </row>
    <row r="403" spans="1:3" x14ac:dyDescent="0.3">
      <c r="A403" s="19">
        <v>42786</v>
      </c>
      <c r="B403" s="20">
        <v>1091.2</v>
      </c>
      <c r="C403" s="7">
        <f>B403/MAX(B$5:B403)-1</f>
        <v>-4.2471042471042386E-2</v>
      </c>
    </row>
    <row r="404" spans="1:3" x14ac:dyDescent="0.3">
      <c r="A404" s="19">
        <v>42787</v>
      </c>
      <c r="B404" s="20">
        <v>1129.5999999999999</v>
      </c>
      <c r="C404" s="7">
        <f>B404/MAX(B$5:B404)-1</f>
        <v>-8.7750087750088079E-3</v>
      </c>
    </row>
    <row r="405" spans="1:3" x14ac:dyDescent="0.3">
      <c r="A405" s="19">
        <v>42788</v>
      </c>
      <c r="B405" s="20">
        <v>1125.3</v>
      </c>
      <c r="C405" s="7">
        <f>B405/MAX(B$5:B405)-1</f>
        <v>-1.2548262548262468E-2</v>
      </c>
    </row>
    <row r="406" spans="1:3" x14ac:dyDescent="0.3">
      <c r="A406" s="19">
        <v>42789</v>
      </c>
      <c r="B406" s="20">
        <v>1190.9000000000001</v>
      </c>
      <c r="C406" s="7">
        <f>B406/MAX(B$5:B406)-1</f>
        <v>0</v>
      </c>
    </row>
    <row r="407" spans="1:3" x14ac:dyDescent="0.3">
      <c r="A407" s="19">
        <v>42790</v>
      </c>
      <c r="B407" s="20">
        <v>1185.0999999999999</v>
      </c>
      <c r="C407" s="7">
        <f>B407/MAX(B$5:B407)-1</f>
        <v>-4.8702661852382256E-3</v>
      </c>
    </row>
    <row r="408" spans="1:3" x14ac:dyDescent="0.3">
      <c r="A408" s="19">
        <v>42791</v>
      </c>
      <c r="B408" s="20">
        <v>1153</v>
      </c>
      <c r="C408" s="7">
        <f>B408/MAX(B$5:B408)-1</f>
        <v>-3.1824670417331502E-2</v>
      </c>
    </row>
    <row r="409" spans="1:3" x14ac:dyDescent="0.3">
      <c r="A409" s="19">
        <v>42792</v>
      </c>
      <c r="B409" s="20">
        <v>1178.3</v>
      </c>
      <c r="C409" s="7">
        <f>B409/MAX(B$5:B409)-1</f>
        <v>-1.0580233436896624E-2</v>
      </c>
    </row>
    <row r="410" spans="1:3" x14ac:dyDescent="0.3">
      <c r="A410" s="19">
        <v>42793</v>
      </c>
      <c r="B410" s="20">
        <v>1195.5</v>
      </c>
      <c r="C410" s="7">
        <f>B410/MAX(B$5:B410)-1</f>
        <v>0</v>
      </c>
    </row>
    <row r="411" spans="1:3" x14ac:dyDescent="0.3">
      <c r="A411" s="19">
        <v>42794</v>
      </c>
      <c r="B411" s="20">
        <v>1189.0999999999999</v>
      </c>
      <c r="C411" s="7">
        <f>B411/MAX(B$5:B411)-1</f>
        <v>-5.3534086156420413E-3</v>
      </c>
    </row>
    <row r="412" spans="1:3" x14ac:dyDescent="0.3">
      <c r="A412" s="19">
        <v>42795</v>
      </c>
      <c r="B412" s="20">
        <v>1232.8</v>
      </c>
      <c r="C412" s="7">
        <f>B412/MAX(B$5:B412)-1</f>
        <v>0</v>
      </c>
    </row>
    <row r="413" spans="1:3" x14ac:dyDescent="0.3">
      <c r="A413" s="19">
        <v>42796</v>
      </c>
      <c r="B413" s="20">
        <v>1262.3</v>
      </c>
      <c r="C413" s="7">
        <f>B413/MAX(B$5:B413)-1</f>
        <v>0</v>
      </c>
    </row>
    <row r="414" spans="1:3" x14ac:dyDescent="0.3">
      <c r="A414" s="19">
        <v>42797</v>
      </c>
      <c r="B414" s="20">
        <v>1288.2</v>
      </c>
      <c r="C414" s="7">
        <f>B414/MAX(B$5:B414)-1</f>
        <v>0</v>
      </c>
    </row>
    <row r="415" spans="1:3" x14ac:dyDescent="0.3">
      <c r="A415" s="19">
        <v>42798</v>
      </c>
      <c r="B415" s="20">
        <v>1267.8</v>
      </c>
      <c r="C415" s="7">
        <f>B415/MAX(B$5:B415)-1</f>
        <v>-1.5836050302748039E-2</v>
      </c>
    </row>
    <row r="416" spans="1:3" x14ac:dyDescent="0.3">
      <c r="A416" s="19">
        <v>42799</v>
      </c>
      <c r="B416" s="20">
        <v>1278.4000000000001</v>
      </c>
      <c r="C416" s="7">
        <f>B416/MAX(B$5:B416)-1</f>
        <v>-7.607514361124057E-3</v>
      </c>
    </row>
    <row r="417" spans="1:3" x14ac:dyDescent="0.3">
      <c r="A417" s="19">
        <v>42800</v>
      </c>
      <c r="B417" s="20">
        <v>1279.3</v>
      </c>
      <c r="C417" s="7">
        <f>B417/MAX(B$5:B417)-1</f>
        <v>-6.9088650830616549E-3</v>
      </c>
    </row>
    <row r="418" spans="1:3" x14ac:dyDescent="0.3">
      <c r="A418" s="19">
        <v>42801</v>
      </c>
      <c r="B418" s="20">
        <v>1232.4000000000001</v>
      </c>
      <c r="C418" s="7">
        <f>B418/MAX(B$5:B418)-1</f>
        <v>-4.3316255239869594E-2</v>
      </c>
    </row>
    <row r="419" spans="1:3" x14ac:dyDescent="0.3">
      <c r="A419" s="19">
        <v>42802</v>
      </c>
      <c r="B419" s="20">
        <v>1149.3</v>
      </c>
      <c r="C419" s="7">
        <f>B419/MAX(B$5:B419)-1</f>
        <v>-0.10782487191429913</v>
      </c>
    </row>
    <row r="420" spans="1:3" x14ac:dyDescent="0.3">
      <c r="A420" s="19">
        <v>42803</v>
      </c>
      <c r="B420" s="20">
        <v>1190.4000000000001</v>
      </c>
      <c r="C420" s="7">
        <f>B420/MAX(B$5:B420)-1</f>
        <v>-7.5919888216115505E-2</v>
      </c>
    </row>
    <row r="421" spans="1:3" x14ac:dyDescent="0.3">
      <c r="A421" s="19">
        <v>42804</v>
      </c>
      <c r="B421" s="20">
        <v>1113.5999999999999</v>
      </c>
      <c r="C421" s="7">
        <f>B421/MAX(B$5:B421)-1</f>
        <v>-0.13553795994410811</v>
      </c>
    </row>
    <row r="422" spans="1:3" x14ac:dyDescent="0.3">
      <c r="A422" s="19">
        <v>42805</v>
      </c>
      <c r="B422" s="20">
        <v>1172.8</v>
      </c>
      <c r="C422" s="7">
        <f>B422/MAX(B$5:B422)-1</f>
        <v>-8.9582362987113862E-2</v>
      </c>
    </row>
    <row r="423" spans="1:3" x14ac:dyDescent="0.3">
      <c r="A423" s="19">
        <v>42806</v>
      </c>
      <c r="B423" s="20">
        <v>1225.2</v>
      </c>
      <c r="C423" s="7">
        <f>B423/MAX(B$5:B423)-1</f>
        <v>-4.8905449464368922E-2</v>
      </c>
    </row>
    <row r="424" spans="1:3" x14ac:dyDescent="0.3">
      <c r="A424" s="19">
        <v>42807</v>
      </c>
      <c r="B424" s="20">
        <v>1238.5</v>
      </c>
      <c r="C424" s="7">
        <f>B424/MAX(B$5:B424)-1</f>
        <v>-3.8580965688557733E-2</v>
      </c>
    </row>
    <row r="425" spans="1:3" x14ac:dyDescent="0.3">
      <c r="A425" s="19">
        <v>42808</v>
      </c>
      <c r="B425" s="20">
        <v>1245</v>
      </c>
      <c r="C425" s="7">
        <f>B425/MAX(B$5:B425)-1</f>
        <v>-3.3535165346995854E-2</v>
      </c>
    </row>
    <row r="426" spans="1:3" x14ac:dyDescent="0.3">
      <c r="A426" s="19">
        <v>42809</v>
      </c>
      <c r="B426" s="20">
        <v>1256.0999999999999</v>
      </c>
      <c r="C426" s="7">
        <f>B426/MAX(B$5:B426)-1</f>
        <v>-2.4918490917559488E-2</v>
      </c>
    </row>
    <row r="427" spans="1:3" x14ac:dyDescent="0.3">
      <c r="A427" s="19">
        <v>42810</v>
      </c>
      <c r="B427" s="20">
        <v>1169</v>
      </c>
      <c r="C427" s="7">
        <f>B427/MAX(B$5:B427)-1</f>
        <v>-9.2532215494488423E-2</v>
      </c>
    </row>
    <row r="428" spans="1:3" x14ac:dyDescent="0.3">
      <c r="A428" s="19">
        <v>42811</v>
      </c>
      <c r="B428" s="20">
        <v>1068.4000000000001</v>
      </c>
      <c r="C428" s="7">
        <f>B428/MAX(B$5:B428)-1</f>
        <v>-0.17062567924235361</v>
      </c>
    </row>
    <row r="429" spans="1:3" x14ac:dyDescent="0.3">
      <c r="A429" s="19">
        <v>42812</v>
      </c>
      <c r="B429" s="20">
        <v>971</v>
      </c>
      <c r="C429" s="7">
        <f>B429/MAX(B$5:B429)-1</f>
        <v>-0.24623505666821921</v>
      </c>
    </row>
    <row r="430" spans="1:3" x14ac:dyDescent="0.3">
      <c r="A430" s="19">
        <v>42813</v>
      </c>
      <c r="B430" s="20">
        <v>1016.1</v>
      </c>
      <c r="C430" s="7">
        <f>B430/MAX(B$5:B430)-1</f>
        <v>-0.21122496506753607</v>
      </c>
    </row>
    <row r="431" spans="1:3" x14ac:dyDescent="0.3">
      <c r="A431" s="19">
        <v>42814</v>
      </c>
      <c r="B431" s="20">
        <v>1039</v>
      </c>
      <c r="C431" s="7">
        <f>B431/MAX(B$5:B431)-1</f>
        <v>-0.19344822232572589</v>
      </c>
    </row>
    <row r="432" spans="1:3" x14ac:dyDescent="0.3">
      <c r="A432" s="19">
        <v>42815</v>
      </c>
      <c r="B432" s="20">
        <v>1115</v>
      </c>
      <c r="C432" s="7">
        <f>B432/MAX(B$5:B432)-1</f>
        <v>-0.13445117217823321</v>
      </c>
    </row>
    <row r="433" spans="1:3" x14ac:dyDescent="0.3">
      <c r="A433" s="19">
        <v>42816</v>
      </c>
      <c r="B433" s="20">
        <v>1039.0999999999999</v>
      </c>
      <c r="C433" s="7">
        <f>B433/MAX(B$5:B433)-1</f>
        <v>-0.19337059462816342</v>
      </c>
    </row>
    <row r="434" spans="1:3" x14ac:dyDescent="0.3">
      <c r="A434" s="19">
        <v>42817</v>
      </c>
      <c r="B434" s="20">
        <v>1033</v>
      </c>
      <c r="C434" s="7">
        <f>B434/MAX(B$5:B434)-1</f>
        <v>-0.19810588417947528</v>
      </c>
    </row>
    <row r="435" spans="1:3" x14ac:dyDescent="0.3">
      <c r="A435" s="19">
        <v>42818</v>
      </c>
      <c r="B435" s="20">
        <v>943.1</v>
      </c>
      <c r="C435" s="7">
        <f>B435/MAX(B$5:B435)-1</f>
        <v>-0.26789318428815401</v>
      </c>
    </row>
    <row r="436" spans="1:3" x14ac:dyDescent="0.3">
      <c r="A436" s="19">
        <v>42819</v>
      </c>
      <c r="B436" s="20">
        <v>972.2</v>
      </c>
      <c r="C436" s="7">
        <f>B436/MAX(B$5:B436)-1</f>
        <v>-0.24530352429746938</v>
      </c>
    </row>
    <row r="437" spans="1:3" x14ac:dyDescent="0.3">
      <c r="A437" s="19">
        <v>42820</v>
      </c>
      <c r="B437" s="20">
        <v>969</v>
      </c>
      <c r="C437" s="7">
        <f>B437/MAX(B$5:B437)-1</f>
        <v>-0.24778761061946908</v>
      </c>
    </row>
    <row r="438" spans="1:3" x14ac:dyDescent="0.3">
      <c r="A438" s="19">
        <v>42821</v>
      </c>
      <c r="B438" s="20">
        <v>1042.7</v>
      </c>
      <c r="C438" s="7">
        <f>B438/MAX(B$5:B438)-1</f>
        <v>-0.1905759975159137</v>
      </c>
    </row>
    <row r="439" spans="1:3" x14ac:dyDescent="0.3">
      <c r="A439" s="19">
        <v>42822</v>
      </c>
      <c r="B439" s="20">
        <v>1044.7</v>
      </c>
      <c r="C439" s="7">
        <f>B439/MAX(B$5:B439)-1</f>
        <v>-0.18902344356466383</v>
      </c>
    </row>
    <row r="440" spans="1:3" x14ac:dyDescent="0.3">
      <c r="A440" s="19">
        <v>42823</v>
      </c>
      <c r="B440" s="20">
        <v>1041.8</v>
      </c>
      <c r="C440" s="7">
        <f>B440/MAX(B$5:B440)-1</f>
        <v>-0.1912746467939761</v>
      </c>
    </row>
    <row r="441" spans="1:3" x14ac:dyDescent="0.3">
      <c r="A441" s="19">
        <v>42824</v>
      </c>
      <c r="B441" s="20">
        <v>1041</v>
      </c>
      <c r="C441" s="7">
        <f>B441/MAX(B$5:B441)-1</f>
        <v>-0.19189566837447602</v>
      </c>
    </row>
    <row r="442" spans="1:3" x14ac:dyDescent="0.3">
      <c r="A442" s="19">
        <v>42825</v>
      </c>
      <c r="B442" s="20">
        <v>1081.7</v>
      </c>
      <c r="C442" s="7">
        <f>B442/MAX(B$5:B442)-1</f>
        <v>-0.16030119546654242</v>
      </c>
    </row>
    <row r="443" spans="1:3" x14ac:dyDescent="0.3">
      <c r="A443" s="19">
        <v>42826</v>
      </c>
      <c r="B443" s="20">
        <v>1093.2</v>
      </c>
      <c r="C443" s="7">
        <f>B443/MAX(B$5:B443)-1</f>
        <v>-0.15137401024685604</v>
      </c>
    </row>
    <row r="444" spans="1:3" x14ac:dyDescent="0.3">
      <c r="A444" s="19">
        <v>42827</v>
      </c>
      <c r="B444" s="20">
        <v>1107.5999999999999</v>
      </c>
      <c r="C444" s="7">
        <f>B444/MAX(B$5:B444)-1</f>
        <v>-0.14019562179785761</v>
      </c>
    </row>
    <row r="445" spans="1:3" x14ac:dyDescent="0.3">
      <c r="A445" s="19">
        <v>42828</v>
      </c>
      <c r="B445" s="20">
        <v>1150.2</v>
      </c>
      <c r="C445" s="7">
        <f>B445/MAX(B$5:B445)-1</f>
        <v>-0.10712622263623661</v>
      </c>
    </row>
    <row r="446" spans="1:3" x14ac:dyDescent="0.3">
      <c r="A446" s="19">
        <v>42829</v>
      </c>
      <c r="B446" s="20">
        <v>1145</v>
      </c>
      <c r="C446" s="7">
        <f>B446/MAX(B$5:B446)-1</f>
        <v>-0.11116286290948618</v>
      </c>
    </row>
    <row r="447" spans="1:3" x14ac:dyDescent="0.3">
      <c r="A447" s="19">
        <v>42830</v>
      </c>
      <c r="B447" s="20">
        <v>1140.5999999999999</v>
      </c>
      <c r="C447" s="7">
        <f>B447/MAX(B$5:B447)-1</f>
        <v>-0.11457848160223583</v>
      </c>
    </row>
    <row r="448" spans="1:3" x14ac:dyDescent="0.3">
      <c r="A448" s="19">
        <v>42831</v>
      </c>
      <c r="B448" s="20">
        <v>1191.5</v>
      </c>
      <c r="C448" s="7">
        <f>B448/MAX(B$5:B448)-1</f>
        <v>-7.506598354292815E-2</v>
      </c>
    </row>
    <row r="449" spans="1:3" x14ac:dyDescent="0.3">
      <c r="A449" s="19">
        <v>42832</v>
      </c>
      <c r="B449" s="20">
        <v>1196.5999999999999</v>
      </c>
      <c r="C449" s="7">
        <f>B449/MAX(B$5:B449)-1</f>
        <v>-7.1106970967241168E-2</v>
      </c>
    </row>
    <row r="450" spans="1:3" x14ac:dyDescent="0.3">
      <c r="A450" s="19">
        <v>42833</v>
      </c>
      <c r="B450" s="20">
        <v>1188.0999999999999</v>
      </c>
      <c r="C450" s="7">
        <f>B450/MAX(B$5:B450)-1</f>
        <v>-7.7705325260052915E-2</v>
      </c>
    </row>
    <row r="451" spans="1:3" x14ac:dyDescent="0.3">
      <c r="A451" s="19">
        <v>42834</v>
      </c>
      <c r="B451" s="20">
        <v>1215.9000000000001</v>
      </c>
      <c r="C451" s="7">
        <f>B451/MAX(B$5:B451)-1</f>
        <v>-5.6124825337680484E-2</v>
      </c>
    </row>
    <row r="452" spans="1:3" x14ac:dyDescent="0.3">
      <c r="A452" s="19">
        <v>42835</v>
      </c>
      <c r="B452" s="20">
        <v>1220.3</v>
      </c>
      <c r="C452" s="7">
        <f>B452/MAX(B$5:B452)-1</f>
        <v>-5.270920664493095E-2</v>
      </c>
    </row>
    <row r="453" spans="1:3" x14ac:dyDescent="0.3">
      <c r="A453" s="19">
        <v>42836</v>
      </c>
      <c r="B453" s="20">
        <v>1235.5999999999999</v>
      </c>
      <c r="C453" s="7">
        <f>B453/MAX(B$5:B453)-1</f>
        <v>-4.0832168917870004E-2</v>
      </c>
    </row>
    <row r="454" spans="1:3" x14ac:dyDescent="0.3">
      <c r="A454" s="19">
        <v>42837</v>
      </c>
      <c r="B454" s="20">
        <v>1227.4000000000001</v>
      </c>
      <c r="C454" s="7">
        <f>B454/MAX(B$5:B454)-1</f>
        <v>-4.71976401179941E-2</v>
      </c>
    </row>
    <row r="455" spans="1:3" x14ac:dyDescent="0.3">
      <c r="A455" s="19">
        <v>42838</v>
      </c>
      <c r="B455" s="20">
        <v>1187</v>
      </c>
      <c r="C455" s="7">
        <f>B455/MAX(B$5:B455)-1</f>
        <v>-7.855922993324016E-2</v>
      </c>
    </row>
    <row r="456" spans="1:3" x14ac:dyDescent="0.3">
      <c r="A456" s="19">
        <v>42839</v>
      </c>
      <c r="B456" s="20">
        <v>1206.8</v>
      </c>
      <c r="C456" s="7">
        <f>B456/MAX(B$5:B456)-1</f>
        <v>-6.3188945815867203E-2</v>
      </c>
    </row>
    <row r="457" spans="1:3" x14ac:dyDescent="0.3">
      <c r="A457" s="19">
        <v>42840</v>
      </c>
      <c r="B457" s="20">
        <v>1193.3</v>
      </c>
      <c r="C457" s="7">
        <f>B457/MAX(B$5:B457)-1</f>
        <v>-7.3668684986803346E-2</v>
      </c>
    </row>
    <row r="458" spans="1:3" x14ac:dyDescent="0.3">
      <c r="A458" s="19">
        <v>42841</v>
      </c>
      <c r="B458" s="20">
        <v>1212</v>
      </c>
      <c r="C458" s="7">
        <f>B458/MAX(B$5:B458)-1</f>
        <v>-5.9152305542617634E-2</v>
      </c>
    </row>
    <row r="459" spans="1:3" x14ac:dyDescent="0.3">
      <c r="A459" s="19">
        <v>42842</v>
      </c>
      <c r="B459" s="20">
        <v>1240</v>
      </c>
      <c r="C459" s="7">
        <f>B459/MAX(B$5:B459)-1</f>
        <v>-3.741655022512036E-2</v>
      </c>
    </row>
    <row r="460" spans="1:3" x14ac:dyDescent="0.3">
      <c r="A460" s="19">
        <v>42843</v>
      </c>
      <c r="B460" s="20">
        <v>1265.4000000000001</v>
      </c>
      <c r="C460" s="7">
        <f>B460/MAX(B$5:B460)-1</f>
        <v>-1.7699115044247704E-2</v>
      </c>
    </row>
    <row r="461" spans="1:3" x14ac:dyDescent="0.3">
      <c r="A461" s="19">
        <v>42844</v>
      </c>
      <c r="B461" s="20">
        <v>1260.5</v>
      </c>
      <c r="C461" s="7">
        <f>B461/MAX(B$5:B461)-1</f>
        <v>-2.1502872224809844E-2</v>
      </c>
    </row>
    <row r="462" spans="1:3" x14ac:dyDescent="0.3">
      <c r="A462" s="19">
        <v>42845</v>
      </c>
      <c r="B462" s="20">
        <v>1308.4000000000001</v>
      </c>
      <c r="C462" s="7">
        <f>B462/MAX(B$5:B462)-1</f>
        <v>0</v>
      </c>
    </row>
    <row r="463" spans="1:3" x14ac:dyDescent="0.3">
      <c r="A463" s="19">
        <v>42846</v>
      </c>
      <c r="B463" s="20">
        <v>1325.6</v>
      </c>
      <c r="C463" s="7">
        <f>B463/MAX(B$5:B463)-1</f>
        <v>0</v>
      </c>
    </row>
    <row r="464" spans="1:3" x14ac:dyDescent="0.3">
      <c r="A464" s="19">
        <v>42847</v>
      </c>
      <c r="B464" s="20">
        <v>1347.5</v>
      </c>
      <c r="C464" s="7">
        <f>B464/MAX(B$5:B464)-1</f>
        <v>0</v>
      </c>
    </row>
    <row r="465" spans="1:3" x14ac:dyDescent="0.3">
      <c r="A465" s="19">
        <v>42848</v>
      </c>
      <c r="B465" s="20">
        <v>1355.2</v>
      </c>
      <c r="C465" s="7">
        <f>B465/MAX(B$5:B465)-1</f>
        <v>0</v>
      </c>
    </row>
    <row r="466" spans="1:3" x14ac:dyDescent="0.3">
      <c r="A466" s="19">
        <v>42849</v>
      </c>
      <c r="B466" s="20">
        <v>1345</v>
      </c>
      <c r="C466" s="7">
        <f>B466/MAX(B$5:B466)-1</f>
        <v>-7.5265643447461894E-3</v>
      </c>
    </row>
    <row r="467" spans="1:3" x14ac:dyDescent="0.3">
      <c r="A467" s="19">
        <v>42850</v>
      </c>
      <c r="B467" s="20">
        <v>1370.3</v>
      </c>
      <c r="C467" s="7">
        <f>B467/MAX(B$5:B467)-1</f>
        <v>0</v>
      </c>
    </row>
    <row r="468" spans="1:3" x14ac:dyDescent="0.3">
      <c r="A468" s="19">
        <v>42851</v>
      </c>
      <c r="B468" s="20">
        <v>1399.3</v>
      </c>
      <c r="C468" s="7">
        <f>B468/MAX(B$5:B468)-1</f>
        <v>0</v>
      </c>
    </row>
    <row r="469" spans="1:3" x14ac:dyDescent="0.3">
      <c r="A469" s="19">
        <v>42852</v>
      </c>
      <c r="B469" s="20">
        <v>1440.3</v>
      </c>
      <c r="C469" s="7">
        <f>B469/MAX(B$5:B469)-1</f>
        <v>0</v>
      </c>
    </row>
    <row r="470" spans="1:3" x14ac:dyDescent="0.3">
      <c r="A470" s="19">
        <v>42853</v>
      </c>
      <c r="B470" s="20">
        <v>1415.6</v>
      </c>
      <c r="C470" s="7">
        <f>B470/MAX(B$5:B470)-1</f>
        <v>-1.7149205026730563E-2</v>
      </c>
    </row>
    <row r="471" spans="1:3" x14ac:dyDescent="0.3">
      <c r="A471" s="19">
        <v>42854</v>
      </c>
      <c r="B471" s="20">
        <v>1423.6</v>
      </c>
      <c r="C471" s="7">
        <f>B471/MAX(B$5:B471)-1</f>
        <v>-1.1594806637506117E-2</v>
      </c>
    </row>
    <row r="472" spans="1:3" x14ac:dyDescent="0.3">
      <c r="A472" s="19">
        <v>42855</v>
      </c>
      <c r="B472" s="20">
        <v>1435.2</v>
      </c>
      <c r="C472" s="7">
        <f>B472/MAX(B$5:B472)-1</f>
        <v>-3.5409289731305194E-3</v>
      </c>
    </row>
    <row r="473" spans="1:3" x14ac:dyDescent="0.3">
      <c r="A473" s="19">
        <v>42856</v>
      </c>
      <c r="B473" s="20">
        <v>1533.1</v>
      </c>
      <c r="C473" s="7">
        <f>B473/MAX(B$5:B473)-1</f>
        <v>0</v>
      </c>
    </row>
    <row r="474" spans="1:3" x14ac:dyDescent="0.3">
      <c r="A474" s="19">
        <v>42857</v>
      </c>
      <c r="B474" s="20">
        <v>1560</v>
      </c>
      <c r="C474" s="7">
        <f>B474/MAX(B$5:B474)-1</f>
        <v>0</v>
      </c>
    </row>
    <row r="475" spans="1:3" x14ac:dyDescent="0.3">
      <c r="A475" s="19">
        <v>42858</v>
      </c>
      <c r="B475" s="20">
        <v>1617.8</v>
      </c>
      <c r="C475" s="7">
        <f>B475/MAX(B$5:B475)-1</f>
        <v>0</v>
      </c>
    </row>
    <row r="476" spans="1:3" x14ac:dyDescent="0.3">
      <c r="A476" s="19">
        <v>42859</v>
      </c>
      <c r="B476" s="20">
        <v>1607.1</v>
      </c>
      <c r="C476" s="7">
        <f>B476/MAX(B$5:B476)-1</f>
        <v>-6.613920138459628E-3</v>
      </c>
    </row>
    <row r="477" spans="1:3" x14ac:dyDescent="0.3">
      <c r="A477" s="19">
        <v>42860</v>
      </c>
      <c r="B477" s="20">
        <v>1545.1</v>
      </c>
      <c r="C477" s="7">
        <f>B477/MAX(B$5:B477)-1</f>
        <v>-4.4937569538879951E-2</v>
      </c>
    </row>
    <row r="478" spans="1:3" x14ac:dyDescent="0.3">
      <c r="A478" s="19">
        <v>42861</v>
      </c>
      <c r="B478" s="20">
        <v>1597.1</v>
      </c>
      <c r="C478" s="7">
        <f>B478/MAX(B$5:B478)-1</f>
        <v>-1.2795153912721013E-2</v>
      </c>
    </row>
    <row r="479" spans="1:3" x14ac:dyDescent="0.3">
      <c r="A479" s="19">
        <v>42862</v>
      </c>
      <c r="B479" s="20">
        <v>1619.9</v>
      </c>
      <c r="C479" s="7">
        <f>B479/MAX(B$5:B479)-1</f>
        <v>0</v>
      </c>
    </row>
    <row r="480" spans="1:3" x14ac:dyDescent="0.3">
      <c r="A480" s="19">
        <v>42863</v>
      </c>
      <c r="B480" s="20">
        <v>1703.2</v>
      </c>
      <c r="C480" s="7">
        <f>B480/MAX(B$5:B480)-1</f>
        <v>0</v>
      </c>
    </row>
    <row r="481" spans="1:3" x14ac:dyDescent="0.3">
      <c r="A481" s="19">
        <v>42864</v>
      </c>
      <c r="B481" s="20">
        <v>1760</v>
      </c>
      <c r="C481" s="7">
        <f>B481/MAX(B$5:B481)-1</f>
        <v>0</v>
      </c>
    </row>
    <row r="482" spans="1:3" x14ac:dyDescent="0.3">
      <c r="A482" s="19">
        <v>42865</v>
      </c>
      <c r="B482" s="20">
        <v>1796.8</v>
      </c>
      <c r="C482" s="7">
        <f>B482/MAX(B$5:B482)-1</f>
        <v>0</v>
      </c>
    </row>
    <row r="483" spans="1:3" x14ac:dyDescent="0.3">
      <c r="A483" s="19">
        <v>42866</v>
      </c>
      <c r="B483" s="20">
        <v>1853.9</v>
      </c>
      <c r="C483" s="7">
        <f>B483/MAX(B$5:B483)-1</f>
        <v>0</v>
      </c>
    </row>
    <row r="484" spans="1:3" x14ac:dyDescent="0.3">
      <c r="A484" s="19">
        <v>42867</v>
      </c>
      <c r="B484" s="20">
        <v>1735</v>
      </c>
      <c r="C484" s="7">
        <f>B484/MAX(B$5:B484)-1</f>
        <v>-6.41350666163224E-2</v>
      </c>
    </row>
    <row r="485" spans="1:3" x14ac:dyDescent="0.3">
      <c r="A485" s="19">
        <v>42868</v>
      </c>
      <c r="B485" s="20">
        <v>1820.4</v>
      </c>
      <c r="C485" s="7">
        <f>B485/MAX(B$5:B485)-1</f>
        <v>-1.8070014563892345E-2</v>
      </c>
    </row>
    <row r="486" spans="1:3" x14ac:dyDescent="0.3">
      <c r="A486" s="19">
        <v>42869</v>
      </c>
      <c r="B486" s="20">
        <v>1828.1</v>
      </c>
      <c r="C486" s="7">
        <f>B486/MAX(B$5:B486)-1</f>
        <v>-1.3916608231296257E-2</v>
      </c>
    </row>
    <row r="487" spans="1:3" x14ac:dyDescent="0.3">
      <c r="A487" s="19">
        <v>42870</v>
      </c>
      <c r="B487" s="20">
        <v>1772.5</v>
      </c>
      <c r="C487" s="7">
        <f>B487/MAX(B$5:B487)-1</f>
        <v>-4.3907438373159358E-2</v>
      </c>
    </row>
    <row r="488" spans="1:3" x14ac:dyDescent="0.3">
      <c r="A488" s="19">
        <v>42871</v>
      </c>
      <c r="B488" s="20">
        <v>1785.7</v>
      </c>
      <c r="C488" s="7">
        <f>B488/MAX(B$5:B488)-1</f>
        <v>-3.6787313231565921E-2</v>
      </c>
    </row>
    <row r="489" spans="1:3" x14ac:dyDescent="0.3">
      <c r="A489" s="19">
        <v>42872</v>
      </c>
      <c r="B489" s="20">
        <v>1870</v>
      </c>
      <c r="C489" s="7">
        <f>B489/MAX(B$5:B489)-1</f>
        <v>0</v>
      </c>
    </row>
    <row r="490" spans="1:3" x14ac:dyDescent="0.3">
      <c r="A490" s="19">
        <v>42873</v>
      </c>
      <c r="B490" s="20">
        <v>1941.5</v>
      </c>
      <c r="C490" s="7">
        <f>B490/MAX(B$5:B490)-1</f>
        <v>0</v>
      </c>
    </row>
    <row r="491" spans="1:3" x14ac:dyDescent="0.3">
      <c r="A491" s="19">
        <v>42874</v>
      </c>
      <c r="B491" s="20">
        <v>1966.5</v>
      </c>
      <c r="C491" s="7">
        <f>B491/MAX(B$5:B491)-1</f>
        <v>0</v>
      </c>
    </row>
    <row r="492" spans="1:3" x14ac:dyDescent="0.3">
      <c r="A492" s="19">
        <v>42875</v>
      </c>
      <c r="B492" s="20">
        <v>2059.6999999999998</v>
      </c>
      <c r="C492" s="7">
        <f>B492/MAX(B$5:B492)-1</f>
        <v>0</v>
      </c>
    </row>
    <row r="493" spans="1:3" x14ac:dyDescent="0.3">
      <c r="A493" s="19">
        <v>42876</v>
      </c>
      <c r="B493" s="20">
        <v>2029.2</v>
      </c>
      <c r="C493" s="7">
        <f>B493/MAX(B$5:B493)-1</f>
        <v>-1.4807981744914156E-2</v>
      </c>
    </row>
    <row r="494" spans="1:3" x14ac:dyDescent="0.3">
      <c r="A494" s="19">
        <v>42877</v>
      </c>
      <c r="B494" s="20">
        <v>2085.5</v>
      </c>
      <c r="C494" s="7">
        <f>B494/MAX(B$5:B494)-1</f>
        <v>0</v>
      </c>
    </row>
    <row r="495" spans="1:3" x14ac:dyDescent="0.3">
      <c r="A495" s="19">
        <v>42878</v>
      </c>
      <c r="B495" s="20">
        <v>2249.3000000000002</v>
      </c>
      <c r="C495" s="7">
        <f>B495/MAX(B$5:B495)-1</f>
        <v>0</v>
      </c>
    </row>
    <row r="496" spans="1:3" x14ac:dyDescent="0.3">
      <c r="A496" s="19">
        <v>42879</v>
      </c>
      <c r="B496" s="20">
        <v>2394.8000000000002</v>
      </c>
      <c r="C496" s="7">
        <f>B496/MAX(B$5:B496)-1</f>
        <v>0</v>
      </c>
    </row>
    <row r="497" spans="1:3" x14ac:dyDescent="0.3">
      <c r="A497" s="19">
        <v>42880</v>
      </c>
      <c r="B497" s="20">
        <v>2252</v>
      </c>
      <c r="C497" s="7">
        <f>B497/MAX(B$5:B497)-1</f>
        <v>-5.9629196592617451E-2</v>
      </c>
    </row>
    <row r="498" spans="1:3" x14ac:dyDescent="0.3">
      <c r="A498" s="19">
        <v>42881</v>
      </c>
      <c r="B498" s="20">
        <v>2127.3000000000002</v>
      </c>
      <c r="C498" s="7">
        <f>B498/MAX(B$5:B498)-1</f>
        <v>-0.11170035075997997</v>
      </c>
    </row>
    <row r="499" spans="1:3" x14ac:dyDescent="0.3">
      <c r="A499" s="19">
        <v>42882</v>
      </c>
      <c r="B499" s="20">
        <v>1972.3</v>
      </c>
      <c r="C499" s="7">
        <f>B499/MAX(B$5:B499)-1</f>
        <v>-0.17642391849006189</v>
      </c>
    </row>
    <row r="500" spans="1:3" x14ac:dyDescent="0.3">
      <c r="A500" s="19">
        <v>42883</v>
      </c>
      <c r="B500" s="20">
        <v>2056.6</v>
      </c>
      <c r="C500" s="7">
        <f>B500/MAX(B$5:B500)-1</f>
        <v>-0.14122264907299154</v>
      </c>
    </row>
    <row r="501" spans="1:3" x14ac:dyDescent="0.3">
      <c r="A501" s="19">
        <v>42884</v>
      </c>
      <c r="B501" s="20">
        <v>2207.4</v>
      </c>
      <c r="C501" s="7">
        <f>B501/MAX(B$5:B501)-1</f>
        <v>-7.8252881242692585E-2</v>
      </c>
    </row>
    <row r="502" spans="1:3" x14ac:dyDescent="0.3">
      <c r="A502" s="19">
        <v>42885</v>
      </c>
      <c r="B502" s="20">
        <v>2146.6999999999998</v>
      </c>
      <c r="C502" s="7">
        <f>B502/MAX(B$5:B502)-1</f>
        <v>-0.10359946550860211</v>
      </c>
    </row>
    <row r="503" spans="1:3" x14ac:dyDescent="0.3">
      <c r="A503" s="19">
        <v>42886</v>
      </c>
      <c r="B503" s="20">
        <v>2191.8000000000002</v>
      </c>
      <c r="C503" s="7">
        <f>B503/MAX(B$5:B503)-1</f>
        <v>-8.4766995156171698E-2</v>
      </c>
    </row>
    <row r="504" spans="1:3" x14ac:dyDescent="0.3">
      <c r="A504" s="19">
        <v>42887</v>
      </c>
      <c r="B504" s="20">
        <v>2311.6</v>
      </c>
      <c r="C504" s="7">
        <f>B504/MAX(B$5:B504)-1</f>
        <v>-3.4741940871889199E-2</v>
      </c>
    </row>
    <row r="505" spans="1:3" x14ac:dyDescent="0.3">
      <c r="A505" s="19">
        <v>42888</v>
      </c>
      <c r="B505" s="20">
        <v>2405.9</v>
      </c>
      <c r="C505" s="7">
        <f>B505/MAX(B$5:B505)-1</f>
        <v>0</v>
      </c>
    </row>
    <row r="506" spans="1:3" x14ac:dyDescent="0.3">
      <c r="A506" s="19">
        <v>42889</v>
      </c>
      <c r="B506" s="20">
        <v>2461</v>
      </c>
      <c r="C506" s="7">
        <f>B506/MAX(B$5:B506)-1</f>
        <v>0</v>
      </c>
    </row>
    <row r="507" spans="1:3" x14ac:dyDescent="0.3">
      <c r="A507" s="19">
        <v>42890</v>
      </c>
      <c r="B507" s="20">
        <v>2488.1999999999998</v>
      </c>
      <c r="C507" s="7">
        <f>B507/MAX(B$5:B507)-1</f>
        <v>0</v>
      </c>
    </row>
    <row r="508" spans="1:3" x14ac:dyDescent="0.3">
      <c r="A508" s="19">
        <v>42891</v>
      </c>
      <c r="B508" s="20">
        <v>2636.2</v>
      </c>
      <c r="C508" s="7">
        <f>B508/MAX(B$5:B508)-1</f>
        <v>0</v>
      </c>
    </row>
    <row r="509" spans="1:3" x14ac:dyDescent="0.3">
      <c r="A509" s="19">
        <v>42892</v>
      </c>
      <c r="B509" s="20">
        <v>2843.6</v>
      </c>
      <c r="C509" s="7">
        <f>B509/MAX(B$5:B509)-1</f>
        <v>0</v>
      </c>
    </row>
    <row r="510" spans="1:3" x14ac:dyDescent="0.3">
      <c r="A510" s="19">
        <v>42893</v>
      </c>
      <c r="B510" s="20">
        <v>2642.6</v>
      </c>
      <c r="C510" s="7">
        <f>B510/MAX(B$5:B510)-1</f>
        <v>-7.0685047123364764E-2</v>
      </c>
    </row>
    <row r="511" spans="1:3" x14ac:dyDescent="0.3">
      <c r="A511" s="19">
        <v>42894</v>
      </c>
      <c r="B511" s="20">
        <v>2782.1</v>
      </c>
      <c r="C511" s="7">
        <f>B511/MAX(B$5:B511)-1</f>
        <v>-2.1627514418342986E-2</v>
      </c>
    </row>
    <row r="512" spans="1:3" x14ac:dyDescent="0.3">
      <c r="A512" s="19">
        <v>42895</v>
      </c>
      <c r="B512" s="20">
        <v>2809</v>
      </c>
      <c r="C512" s="7">
        <f>B512/MAX(B$5:B512)-1</f>
        <v>-1.2167674778449822E-2</v>
      </c>
    </row>
    <row r="513" spans="1:3" x14ac:dyDescent="0.3">
      <c r="A513" s="19">
        <v>42896</v>
      </c>
      <c r="B513" s="20">
        <v>2806</v>
      </c>
      <c r="C513" s="7">
        <f>B513/MAX(B$5:B513)-1</f>
        <v>-1.3222675481783575E-2</v>
      </c>
    </row>
    <row r="514" spans="1:3" x14ac:dyDescent="0.3">
      <c r="A514" s="19">
        <v>42897</v>
      </c>
      <c r="B514" s="20">
        <v>2936.3</v>
      </c>
      <c r="C514" s="7">
        <f>B514/MAX(B$5:B514)-1</f>
        <v>0</v>
      </c>
    </row>
    <row r="515" spans="1:3" x14ac:dyDescent="0.3">
      <c r="A515" s="19">
        <v>42898</v>
      </c>
      <c r="B515" s="20">
        <v>2571.8000000000002</v>
      </c>
      <c r="C515" s="7">
        <f>B515/MAX(B$5:B515)-1</f>
        <v>-0.12413581718489253</v>
      </c>
    </row>
    <row r="516" spans="1:3" x14ac:dyDescent="0.3">
      <c r="A516" s="19">
        <v>42899</v>
      </c>
      <c r="B516" s="20">
        <v>2676.4</v>
      </c>
      <c r="C516" s="7">
        <f>B516/MAX(B$5:B516)-1</f>
        <v>-8.8512754146374717E-2</v>
      </c>
    </row>
    <row r="517" spans="1:3" x14ac:dyDescent="0.3">
      <c r="A517" s="19">
        <v>42900</v>
      </c>
      <c r="B517" s="20">
        <v>2395</v>
      </c>
      <c r="C517" s="7">
        <f>B517/MAX(B$5:B517)-1</f>
        <v>-0.184347648401049</v>
      </c>
    </row>
    <row r="518" spans="1:3" x14ac:dyDescent="0.3">
      <c r="A518" s="19">
        <v>42901</v>
      </c>
      <c r="B518" s="20">
        <v>2377.4</v>
      </c>
      <c r="C518" s="7">
        <f>B518/MAX(B$5:B518)-1</f>
        <v>-0.19034158635016862</v>
      </c>
    </row>
    <row r="519" spans="1:3" x14ac:dyDescent="0.3">
      <c r="A519" s="19">
        <v>42902</v>
      </c>
      <c r="B519" s="20">
        <v>2437</v>
      </c>
      <c r="C519" s="7">
        <f>B519/MAX(B$5:B519)-1</f>
        <v>-0.17004393284064989</v>
      </c>
    </row>
    <row r="520" spans="1:3" x14ac:dyDescent="0.3">
      <c r="A520" s="19">
        <v>42903</v>
      </c>
      <c r="B520" s="20">
        <v>2610</v>
      </c>
      <c r="C520" s="7">
        <f>B520/MAX(B$5:B520)-1</f>
        <v>-0.11112624731805343</v>
      </c>
    </row>
    <row r="521" spans="1:3" x14ac:dyDescent="0.3">
      <c r="A521" s="19">
        <v>42904</v>
      </c>
      <c r="B521" s="20">
        <v>2491.5</v>
      </c>
      <c r="C521" s="7">
        <f>B521/MAX(B$5:B521)-1</f>
        <v>-0.15148315907775101</v>
      </c>
    </row>
    <row r="522" spans="1:3" x14ac:dyDescent="0.3">
      <c r="A522" s="19">
        <v>42905</v>
      </c>
      <c r="B522" s="20">
        <v>2580.8000000000002</v>
      </c>
      <c r="C522" s="7">
        <f>B522/MAX(B$5:B522)-1</f>
        <v>-0.12107073527909273</v>
      </c>
    </row>
    <row r="523" spans="1:3" x14ac:dyDescent="0.3">
      <c r="A523" s="19">
        <v>42906</v>
      </c>
      <c r="B523" s="20">
        <v>2712.2</v>
      </c>
      <c r="C523" s="7">
        <f>B523/MAX(B$5:B523)-1</f>
        <v>-7.6320539454415526E-2</v>
      </c>
    </row>
    <row r="524" spans="1:3" x14ac:dyDescent="0.3">
      <c r="A524" s="19">
        <v>42907</v>
      </c>
      <c r="B524" s="20">
        <v>2621.1999999999998</v>
      </c>
      <c r="C524" s="7">
        <f>B524/MAX(B$5:B524)-1</f>
        <v>-0.10731192316861371</v>
      </c>
    </row>
    <row r="525" spans="1:3" x14ac:dyDescent="0.3">
      <c r="A525" s="19">
        <v>42908</v>
      </c>
      <c r="B525" s="20">
        <v>2672.8</v>
      </c>
      <c r="C525" s="7">
        <f>B525/MAX(B$5:B525)-1</f>
        <v>-8.9738786908694634E-2</v>
      </c>
    </row>
    <row r="526" spans="1:3" x14ac:dyDescent="0.3">
      <c r="A526" s="19">
        <v>42909</v>
      </c>
      <c r="B526" s="20">
        <v>2674.9</v>
      </c>
      <c r="C526" s="7">
        <f>B526/MAX(B$5:B526)-1</f>
        <v>-8.9023601130674646E-2</v>
      </c>
    </row>
    <row r="527" spans="1:3" x14ac:dyDescent="0.3">
      <c r="A527" s="19">
        <v>42910</v>
      </c>
      <c r="B527" s="20">
        <v>2502.6</v>
      </c>
      <c r="C527" s="7">
        <f>B527/MAX(B$5:B527)-1</f>
        <v>-0.14770289139393122</v>
      </c>
    </row>
    <row r="528" spans="1:3" x14ac:dyDescent="0.3">
      <c r="A528" s="19">
        <v>42911</v>
      </c>
      <c r="B528" s="20">
        <v>2477.6999999999998</v>
      </c>
      <c r="C528" s="7">
        <f>B528/MAX(B$5:B528)-1</f>
        <v>-0.15618295133331073</v>
      </c>
    </row>
    <row r="529" spans="1:3" x14ac:dyDescent="0.3">
      <c r="A529" s="19">
        <v>42912</v>
      </c>
      <c r="B529" s="20">
        <v>2394.6</v>
      </c>
      <c r="C529" s="7">
        <f>B529/MAX(B$5:B529)-1</f>
        <v>-0.18448387426352897</v>
      </c>
    </row>
    <row r="530" spans="1:3" x14ac:dyDescent="0.3">
      <c r="A530" s="19">
        <v>42913</v>
      </c>
      <c r="B530" s="20">
        <v>2521.1999999999998</v>
      </c>
      <c r="C530" s="7">
        <f>B530/MAX(B$5:B530)-1</f>
        <v>-0.14136838878861169</v>
      </c>
    </row>
    <row r="531" spans="1:3" x14ac:dyDescent="0.3">
      <c r="A531" s="19">
        <v>42914</v>
      </c>
      <c r="B531" s="20">
        <v>2518.1999999999998</v>
      </c>
      <c r="C531" s="7">
        <f>B531/MAX(B$5:B531)-1</f>
        <v>-0.14239008275721154</v>
      </c>
    </row>
    <row r="532" spans="1:3" x14ac:dyDescent="0.3">
      <c r="A532" s="19">
        <v>42915</v>
      </c>
      <c r="B532" s="20">
        <v>2470.1</v>
      </c>
      <c r="C532" s="7">
        <f>B532/MAX(B$5:B532)-1</f>
        <v>-0.15877124272043053</v>
      </c>
    </row>
    <row r="533" spans="1:3" x14ac:dyDescent="0.3">
      <c r="A533" s="19">
        <v>42916</v>
      </c>
      <c r="B533" s="20">
        <v>2420.6999999999998</v>
      </c>
      <c r="C533" s="7">
        <f>B533/MAX(B$5:B533)-1</f>
        <v>-0.17559513673670957</v>
      </c>
    </row>
    <row r="534" spans="1:3" x14ac:dyDescent="0.3">
      <c r="A534" s="19">
        <v>42917</v>
      </c>
      <c r="B534" s="20">
        <v>2349.5</v>
      </c>
      <c r="C534" s="7">
        <f>B534/MAX(B$5:B534)-1</f>
        <v>-0.19984334025814809</v>
      </c>
    </row>
    <row r="535" spans="1:3" x14ac:dyDescent="0.3">
      <c r="A535" s="19">
        <v>42918</v>
      </c>
      <c r="B535" s="20">
        <v>2445</v>
      </c>
      <c r="C535" s="7">
        <f>B535/MAX(B$5:B535)-1</f>
        <v>-0.16731941559105001</v>
      </c>
    </row>
    <row r="536" spans="1:3" x14ac:dyDescent="0.3">
      <c r="A536" s="19">
        <v>42919</v>
      </c>
      <c r="B536" s="20">
        <v>2524</v>
      </c>
      <c r="C536" s="7">
        <f>B536/MAX(B$5:B536)-1</f>
        <v>-0.14041480775125159</v>
      </c>
    </row>
    <row r="537" spans="1:3" x14ac:dyDescent="0.3">
      <c r="A537" s="19">
        <v>42920</v>
      </c>
      <c r="B537" s="20">
        <v>2582.6</v>
      </c>
      <c r="C537" s="7">
        <f>B537/MAX(B$5:B537)-1</f>
        <v>-0.12045771889793289</v>
      </c>
    </row>
    <row r="538" spans="1:3" x14ac:dyDescent="0.3">
      <c r="A538" s="19">
        <v>42921</v>
      </c>
      <c r="B538" s="20">
        <v>2598.5</v>
      </c>
      <c r="C538" s="7">
        <f>B538/MAX(B$5:B538)-1</f>
        <v>-0.11504274086435318</v>
      </c>
    </row>
    <row r="539" spans="1:3" x14ac:dyDescent="0.3">
      <c r="A539" s="19">
        <v>42922</v>
      </c>
      <c r="B539" s="20">
        <v>2593.1</v>
      </c>
      <c r="C539" s="7">
        <f>B539/MAX(B$5:B539)-1</f>
        <v>-0.11688179000783305</v>
      </c>
    </row>
    <row r="540" spans="1:3" x14ac:dyDescent="0.3">
      <c r="A540" s="19">
        <v>42923</v>
      </c>
      <c r="B540" s="20">
        <v>2479.3000000000002</v>
      </c>
      <c r="C540" s="7">
        <f>B540/MAX(B$5:B540)-1</f>
        <v>-0.15563804788339064</v>
      </c>
    </row>
    <row r="541" spans="1:3" x14ac:dyDescent="0.3">
      <c r="A541" s="19">
        <v>42924</v>
      </c>
      <c r="B541" s="20">
        <v>2542</v>
      </c>
      <c r="C541" s="7">
        <f>B541/MAX(B$5:B541)-1</f>
        <v>-0.134284643939652</v>
      </c>
    </row>
    <row r="542" spans="1:3" x14ac:dyDescent="0.3">
      <c r="A542" s="19">
        <v>42925</v>
      </c>
      <c r="B542" s="20">
        <v>2478</v>
      </c>
      <c r="C542" s="7">
        <f>B542/MAX(B$5:B542)-1</f>
        <v>-0.1560807819364507</v>
      </c>
    </row>
    <row r="543" spans="1:3" x14ac:dyDescent="0.3">
      <c r="A543" s="19">
        <v>42926</v>
      </c>
      <c r="B543" s="20">
        <v>2318.3000000000002</v>
      </c>
      <c r="C543" s="7">
        <f>B543/MAX(B$5:B543)-1</f>
        <v>-0.21046895753158734</v>
      </c>
    </row>
    <row r="544" spans="1:3" x14ac:dyDescent="0.3">
      <c r="A544" s="19">
        <v>42927</v>
      </c>
      <c r="B544" s="20">
        <v>2282.1</v>
      </c>
      <c r="C544" s="7">
        <f>B544/MAX(B$5:B544)-1</f>
        <v>-0.22279739808602672</v>
      </c>
    </row>
    <row r="545" spans="1:3" x14ac:dyDescent="0.3">
      <c r="A545" s="19">
        <v>42928</v>
      </c>
      <c r="B545" s="20">
        <v>2374.4</v>
      </c>
      <c r="C545" s="7">
        <f>B545/MAX(B$5:B545)-1</f>
        <v>-0.19136328031876859</v>
      </c>
    </row>
    <row r="546" spans="1:3" x14ac:dyDescent="0.3">
      <c r="A546" s="19">
        <v>42929</v>
      </c>
      <c r="B546" s="20">
        <v>2329</v>
      </c>
      <c r="C546" s="7">
        <f>B546/MAX(B$5:B546)-1</f>
        <v>-0.20682491571024764</v>
      </c>
    </row>
    <row r="547" spans="1:3" x14ac:dyDescent="0.3">
      <c r="A547" s="19">
        <v>42930</v>
      </c>
      <c r="B547" s="20">
        <v>2205.1</v>
      </c>
      <c r="C547" s="7">
        <f>B547/MAX(B$5:B547)-1</f>
        <v>-0.24902087661342509</v>
      </c>
    </row>
    <row r="548" spans="1:3" x14ac:dyDescent="0.3">
      <c r="A548" s="19">
        <v>42931</v>
      </c>
      <c r="B548" s="20">
        <v>1978.6</v>
      </c>
      <c r="C548" s="7">
        <f>B548/MAX(B$5:B548)-1</f>
        <v>-0.32615877124272052</v>
      </c>
    </row>
    <row r="549" spans="1:3" x14ac:dyDescent="0.3">
      <c r="A549" s="19">
        <v>42932</v>
      </c>
      <c r="B549" s="20">
        <v>1924.9</v>
      </c>
      <c r="C549" s="7">
        <f>B549/MAX(B$5:B549)-1</f>
        <v>-0.34444709328065937</v>
      </c>
    </row>
    <row r="550" spans="1:3" x14ac:dyDescent="0.3">
      <c r="A550" s="19">
        <v>42933</v>
      </c>
      <c r="B550" s="20">
        <v>2219</v>
      </c>
      <c r="C550" s="7">
        <f>B550/MAX(B$5:B550)-1</f>
        <v>-0.24428702789224543</v>
      </c>
    </row>
    <row r="551" spans="1:3" x14ac:dyDescent="0.3">
      <c r="A551" s="19">
        <v>42934</v>
      </c>
      <c r="B551" s="20">
        <v>2302.1</v>
      </c>
      <c r="C551" s="7">
        <f>B551/MAX(B$5:B551)-1</f>
        <v>-0.21598610496202708</v>
      </c>
    </row>
    <row r="552" spans="1:3" x14ac:dyDescent="0.3">
      <c r="A552" s="19">
        <v>42935</v>
      </c>
      <c r="B552" s="20">
        <v>2253.1</v>
      </c>
      <c r="C552" s="7">
        <f>B552/MAX(B$5:B552)-1</f>
        <v>-0.23267377311582615</v>
      </c>
    </row>
    <row r="553" spans="1:3" x14ac:dyDescent="0.3">
      <c r="A553" s="19">
        <v>42936</v>
      </c>
      <c r="B553" s="20">
        <v>2856.3</v>
      </c>
      <c r="C553" s="7">
        <f>B553/MAX(B$5:B553)-1</f>
        <v>-2.7245172495998338E-2</v>
      </c>
    </row>
    <row r="554" spans="1:3" x14ac:dyDescent="0.3">
      <c r="A554" s="19">
        <v>42937</v>
      </c>
      <c r="B554" s="20">
        <v>2664</v>
      </c>
      <c r="C554" s="7">
        <f>B554/MAX(B$5:B554)-1</f>
        <v>-9.2735755883254445E-2</v>
      </c>
    </row>
    <row r="555" spans="1:3" x14ac:dyDescent="0.3">
      <c r="A555" s="19">
        <v>42938</v>
      </c>
      <c r="B555" s="20">
        <v>2845.7</v>
      </c>
      <c r="C555" s="7">
        <f>B555/MAX(B$5:B555)-1</f>
        <v>-3.0855157851718218E-2</v>
      </c>
    </row>
    <row r="556" spans="1:3" x14ac:dyDescent="0.3">
      <c r="A556" s="19">
        <v>42939</v>
      </c>
      <c r="B556" s="20">
        <v>2747.5</v>
      </c>
      <c r="C556" s="7">
        <f>B556/MAX(B$5:B556)-1</f>
        <v>-6.4298607090556237E-2</v>
      </c>
    </row>
    <row r="557" spans="1:3" x14ac:dyDescent="0.3">
      <c r="A557" s="19">
        <v>42940</v>
      </c>
      <c r="B557" s="20">
        <v>2769.7</v>
      </c>
      <c r="C557" s="7">
        <f>B557/MAX(B$5:B557)-1</f>
        <v>-5.6738071722916672E-2</v>
      </c>
    </row>
    <row r="558" spans="1:3" x14ac:dyDescent="0.3">
      <c r="A558" s="19">
        <v>42941</v>
      </c>
      <c r="B558" s="20">
        <v>2560.9</v>
      </c>
      <c r="C558" s="7">
        <f>B558/MAX(B$5:B558)-1</f>
        <v>-0.12784797193747233</v>
      </c>
    </row>
    <row r="559" spans="1:3" x14ac:dyDescent="0.3">
      <c r="A559" s="19">
        <v>42942</v>
      </c>
      <c r="B559" s="20">
        <v>2525.6999999999998</v>
      </c>
      <c r="C559" s="7">
        <f>B559/MAX(B$5:B559)-1</f>
        <v>-0.13983584783571168</v>
      </c>
    </row>
    <row r="560" spans="1:3" x14ac:dyDescent="0.3">
      <c r="A560" s="19">
        <v>42943</v>
      </c>
      <c r="B560" s="20">
        <v>2664.9</v>
      </c>
      <c r="C560" s="7">
        <f>B560/MAX(B$5:B560)-1</f>
        <v>-9.2429247692674465E-2</v>
      </c>
    </row>
    <row r="561" spans="1:3" x14ac:dyDescent="0.3">
      <c r="A561" s="19">
        <v>42944</v>
      </c>
      <c r="B561" s="20">
        <v>2784.8</v>
      </c>
      <c r="C561" s="7">
        <f>B561/MAX(B$5:B561)-1</f>
        <v>-5.1595545414296895E-2</v>
      </c>
    </row>
    <row r="562" spans="1:3" x14ac:dyDescent="0.3">
      <c r="A562" s="19">
        <v>42945</v>
      </c>
      <c r="B562" s="20">
        <v>2714.1</v>
      </c>
      <c r="C562" s="7">
        <f>B562/MAX(B$5:B562)-1</f>
        <v>-7.567346660763552E-2</v>
      </c>
    </row>
    <row r="563" spans="1:3" x14ac:dyDescent="0.3">
      <c r="A563" s="19">
        <v>42946</v>
      </c>
      <c r="B563" s="20">
        <v>2749</v>
      </c>
      <c r="C563" s="7">
        <f>B563/MAX(B$5:B563)-1</f>
        <v>-6.3787760106256197E-2</v>
      </c>
    </row>
    <row r="564" spans="1:3" x14ac:dyDescent="0.3">
      <c r="A564" s="19">
        <v>42947</v>
      </c>
      <c r="B564" s="20">
        <v>2856</v>
      </c>
      <c r="C564" s="7">
        <f>B564/MAX(B$5:B564)-1</f>
        <v>-2.7347341892858368E-2</v>
      </c>
    </row>
    <row r="565" spans="1:3" x14ac:dyDescent="0.3">
      <c r="A565" s="19">
        <v>42948</v>
      </c>
      <c r="B565" s="20">
        <v>2731.2</v>
      </c>
      <c r="C565" s="7">
        <f>B565/MAX(B$5:B565)-1</f>
        <v>-6.9849810986615912E-2</v>
      </c>
    </row>
    <row r="566" spans="1:3" x14ac:dyDescent="0.3">
      <c r="A566" s="19">
        <v>42949</v>
      </c>
      <c r="B566" s="20">
        <v>2702</v>
      </c>
      <c r="C566" s="7">
        <f>B566/MAX(B$5:B566)-1</f>
        <v>-7.9794298947655218E-2</v>
      </c>
    </row>
    <row r="567" spans="1:3" x14ac:dyDescent="0.3">
      <c r="A567" s="19">
        <v>42950</v>
      </c>
      <c r="B567" s="20">
        <v>2790.3</v>
      </c>
      <c r="C567" s="7">
        <f>B567/MAX(B$5:B567)-1</f>
        <v>-4.9722439805196972E-2</v>
      </c>
    </row>
    <row r="568" spans="1:3" x14ac:dyDescent="0.3">
      <c r="A568" s="19">
        <v>42951</v>
      </c>
      <c r="B568" s="20">
        <v>2860</v>
      </c>
      <c r="C568" s="7">
        <f>B568/MAX(B$5:B568)-1</f>
        <v>-2.5985083268058484E-2</v>
      </c>
    </row>
    <row r="569" spans="1:3" x14ac:dyDescent="0.3">
      <c r="A569" s="19">
        <v>42952</v>
      </c>
      <c r="B569" s="20">
        <v>3256.4</v>
      </c>
      <c r="C569" s="7">
        <f>B569/MAX(B$5:B569)-1</f>
        <v>0</v>
      </c>
    </row>
    <row r="570" spans="1:3" x14ac:dyDescent="0.3">
      <c r="A570" s="19">
        <v>42953</v>
      </c>
      <c r="B570" s="20">
        <v>3227.9</v>
      </c>
      <c r="C570" s="7">
        <f>B570/MAX(B$5:B570)-1</f>
        <v>-8.7519960692790111E-3</v>
      </c>
    </row>
    <row r="571" spans="1:3" x14ac:dyDescent="0.3">
      <c r="A571" s="19">
        <v>42954</v>
      </c>
      <c r="B571" s="20">
        <v>3396.7</v>
      </c>
      <c r="C571" s="7">
        <f>B571/MAX(B$5:B571)-1</f>
        <v>0</v>
      </c>
    </row>
    <row r="572" spans="1:3" x14ac:dyDescent="0.3">
      <c r="A572" s="19">
        <v>42955</v>
      </c>
      <c r="B572" s="20">
        <v>3415</v>
      </c>
      <c r="C572" s="7">
        <f>B572/MAX(B$5:B572)-1</f>
        <v>0</v>
      </c>
    </row>
    <row r="573" spans="1:3" x14ac:dyDescent="0.3">
      <c r="A573" s="19">
        <v>42956</v>
      </c>
      <c r="B573" s="20">
        <v>3339.9</v>
      </c>
      <c r="C573" s="7">
        <f>B573/MAX(B$5:B573)-1</f>
        <v>-2.199121522693992E-2</v>
      </c>
    </row>
    <row r="574" spans="1:3" x14ac:dyDescent="0.3">
      <c r="A574" s="19">
        <v>42957</v>
      </c>
      <c r="B574" s="20">
        <v>3407.9</v>
      </c>
      <c r="C574" s="7">
        <f>B574/MAX(B$5:B574)-1</f>
        <v>-2.0790629575402342E-3</v>
      </c>
    </row>
    <row r="575" spans="1:3" x14ac:dyDescent="0.3">
      <c r="A575" s="19">
        <v>42958</v>
      </c>
      <c r="B575" s="20">
        <v>3644.1</v>
      </c>
      <c r="C575" s="7">
        <f>B575/MAX(B$5:B575)-1</f>
        <v>0</v>
      </c>
    </row>
    <row r="576" spans="1:3" x14ac:dyDescent="0.3">
      <c r="A576" s="19">
        <v>42959</v>
      </c>
      <c r="B576" s="20">
        <v>3865.5</v>
      </c>
      <c r="C576" s="7">
        <f>B576/MAX(B$5:B576)-1</f>
        <v>0</v>
      </c>
    </row>
    <row r="577" spans="1:3" x14ac:dyDescent="0.3">
      <c r="A577" s="19">
        <v>42960</v>
      </c>
      <c r="B577" s="20">
        <v>4053.3</v>
      </c>
      <c r="C577" s="7">
        <f>B577/MAX(B$5:B577)-1</f>
        <v>0</v>
      </c>
    </row>
    <row r="578" spans="1:3" x14ac:dyDescent="0.3">
      <c r="A578" s="19">
        <v>42961</v>
      </c>
      <c r="B578" s="20">
        <v>4319.5</v>
      </c>
      <c r="C578" s="7">
        <f>B578/MAX(B$5:B578)-1</f>
        <v>0</v>
      </c>
    </row>
    <row r="579" spans="1:3" x14ac:dyDescent="0.3">
      <c r="A579" s="19">
        <v>42962</v>
      </c>
      <c r="B579" s="20">
        <v>4151.8999999999996</v>
      </c>
      <c r="C579" s="7">
        <f>B579/MAX(B$5:B579)-1</f>
        <v>-3.8800787128139946E-2</v>
      </c>
    </row>
    <row r="580" spans="1:3" x14ac:dyDescent="0.3">
      <c r="A580" s="19">
        <v>42963</v>
      </c>
      <c r="B580" s="20">
        <v>4386.3</v>
      </c>
      <c r="C580" s="7">
        <f>B580/MAX(B$5:B580)-1</f>
        <v>0</v>
      </c>
    </row>
    <row r="581" spans="1:3" x14ac:dyDescent="0.3">
      <c r="A581" s="19">
        <v>42964</v>
      </c>
      <c r="B581" s="20">
        <v>4260</v>
      </c>
      <c r="C581" s="7">
        <f>B581/MAX(B$5:B581)-1</f>
        <v>-2.8794200123110625E-2</v>
      </c>
    </row>
    <row r="582" spans="1:3" x14ac:dyDescent="0.3">
      <c r="A582" s="19">
        <v>42965</v>
      </c>
      <c r="B582" s="20">
        <v>4090.2</v>
      </c>
      <c r="C582" s="7">
        <f>B582/MAX(B$5:B582)-1</f>
        <v>-6.7505642568907787E-2</v>
      </c>
    </row>
    <row r="583" spans="1:3" x14ac:dyDescent="0.3">
      <c r="A583" s="19">
        <v>42966</v>
      </c>
      <c r="B583" s="20">
        <v>4145.1000000000004</v>
      </c>
      <c r="C583" s="7">
        <f>B583/MAX(B$5:B583)-1</f>
        <v>-5.4989398809930923E-2</v>
      </c>
    </row>
    <row r="584" spans="1:3" x14ac:dyDescent="0.3">
      <c r="A584" s="19">
        <v>42967</v>
      </c>
      <c r="B584" s="20">
        <v>4064.3</v>
      </c>
      <c r="C584" s="7">
        <f>B584/MAX(B$5:B584)-1</f>
        <v>-7.3410391446093515E-2</v>
      </c>
    </row>
    <row r="585" spans="1:3" x14ac:dyDescent="0.3">
      <c r="A585" s="19">
        <v>42968</v>
      </c>
      <c r="B585" s="20">
        <v>4002.5</v>
      </c>
      <c r="C585" s="7">
        <f>B585/MAX(B$5:B585)-1</f>
        <v>-8.749971502177234E-2</v>
      </c>
    </row>
    <row r="586" spans="1:3" x14ac:dyDescent="0.3">
      <c r="A586" s="19">
        <v>42969</v>
      </c>
      <c r="B586" s="20">
        <v>4074</v>
      </c>
      <c r="C586" s="7">
        <f>B586/MAX(B$5:B586)-1</f>
        <v>-7.1198960399425526E-2</v>
      </c>
    </row>
    <row r="587" spans="1:3" x14ac:dyDescent="0.3">
      <c r="A587" s="19">
        <v>42970</v>
      </c>
      <c r="B587" s="20">
        <v>4129.1000000000004</v>
      </c>
      <c r="C587" s="7">
        <f>B587/MAX(B$5:B587)-1</f>
        <v>-5.8637120124022446E-2</v>
      </c>
    </row>
    <row r="588" spans="1:3" x14ac:dyDescent="0.3">
      <c r="A588" s="19">
        <v>42971</v>
      </c>
      <c r="B588" s="20">
        <v>4325.2</v>
      </c>
      <c r="C588" s="7">
        <f>B588/MAX(B$5:B588)-1</f>
        <v>-1.3929735768187346E-2</v>
      </c>
    </row>
    <row r="589" spans="1:3" x14ac:dyDescent="0.3">
      <c r="A589" s="19">
        <v>42972</v>
      </c>
      <c r="B589" s="20">
        <v>4351.5</v>
      </c>
      <c r="C589" s="7">
        <f>B589/MAX(B$5:B589)-1</f>
        <v>-7.9337938581492962E-3</v>
      </c>
    </row>
    <row r="590" spans="1:3" x14ac:dyDescent="0.3">
      <c r="A590" s="19">
        <v>42973</v>
      </c>
      <c r="B590" s="20">
        <v>4341.7</v>
      </c>
      <c r="C590" s="7">
        <f>B590/MAX(B$5:B590)-1</f>
        <v>-1.0168023163030449E-2</v>
      </c>
    </row>
    <row r="591" spans="1:3" x14ac:dyDescent="0.3">
      <c r="A591" s="19">
        <v>42974</v>
      </c>
      <c r="B591" s="20">
        <v>4331.8</v>
      </c>
      <c r="C591" s="7">
        <f>B591/MAX(B$5:B591)-1</f>
        <v>-1.2425050726124542E-2</v>
      </c>
    </row>
    <row r="592" spans="1:3" x14ac:dyDescent="0.3">
      <c r="A592" s="19">
        <v>42975</v>
      </c>
      <c r="B592" s="20">
        <v>4383.8</v>
      </c>
      <c r="C592" s="7">
        <f>B592/MAX(B$5:B592)-1</f>
        <v>-5.6995645532675887E-4</v>
      </c>
    </row>
    <row r="593" spans="1:3" x14ac:dyDescent="0.3">
      <c r="A593" s="19">
        <v>42976</v>
      </c>
      <c r="B593" s="20">
        <v>4587.1000000000004</v>
      </c>
      <c r="C593" s="7">
        <f>B593/MAX(B$5:B593)-1</f>
        <v>0</v>
      </c>
    </row>
    <row r="594" spans="1:3" x14ac:dyDescent="0.3">
      <c r="A594" s="19">
        <v>42977</v>
      </c>
      <c r="B594" s="20">
        <v>4569</v>
      </c>
      <c r="C594" s="7">
        <f>B594/MAX(B$5:B594)-1</f>
        <v>-3.9458481393473965E-3</v>
      </c>
    </row>
    <row r="595" spans="1:3" x14ac:dyDescent="0.3">
      <c r="A595" s="19">
        <v>42978</v>
      </c>
      <c r="B595" s="20">
        <v>4718.2</v>
      </c>
      <c r="C595" s="7">
        <f>B595/MAX(B$5:B595)-1</f>
        <v>0</v>
      </c>
    </row>
    <row r="596" spans="1:3" x14ac:dyDescent="0.3">
      <c r="A596" s="19">
        <v>42979</v>
      </c>
      <c r="B596" s="20">
        <v>4904.8999999999996</v>
      </c>
      <c r="C596" s="7">
        <f>B596/MAX(B$5:B596)-1</f>
        <v>0</v>
      </c>
    </row>
    <row r="597" spans="1:3" x14ac:dyDescent="0.3">
      <c r="A597" s="19">
        <v>42980</v>
      </c>
      <c r="B597" s="20">
        <v>4534.3999999999996</v>
      </c>
      <c r="C597" s="7">
        <f>B597/MAX(B$5:B597)-1</f>
        <v>-7.553670818976943E-2</v>
      </c>
    </row>
    <row r="598" spans="1:3" x14ac:dyDescent="0.3">
      <c r="A598" s="19">
        <v>42981</v>
      </c>
      <c r="B598" s="20">
        <v>4595</v>
      </c>
      <c r="C598" s="7">
        <f>B598/MAX(B$5:B598)-1</f>
        <v>-6.3181716242940666E-2</v>
      </c>
    </row>
    <row r="599" spans="1:3" x14ac:dyDescent="0.3">
      <c r="A599" s="19">
        <v>42982</v>
      </c>
      <c r="B599" s="20">
        <v>4200.3999999999996</v>
      </c>
      <c r="C599" s="7">
        <f>B599/MAX(B$5:B599)-1</f>
        <v>-0.14363187832575586</v>
      </c>
    </row>
    <row r="600" spans="1:3" x14ac:dyDescent="0.3">
      <c r="A600" s="19">
        <v>42983</v>
      </c>
      <c r="B600" s="20">
        <v>4374.8999999999996</v>
      </c>
      <c r="C600" s="7">
        <f>B600/MAX(B$5:B600)-1</f>
        <v>-0.10805521009602648</v>
      </c>
    </row>
    <row r="601" spans="1:3" x14ac:dyDescent="0.3">
      <c r="A601" s="19">
        <v>42984</v>
      </c>
      <c r="B601" s="20">
        <v>4589.1000000000004</v>
      </c>
      <c r="C601" s="7">
        <f>B601/MAX(B$5:B601)-1</f>
        <v>-6.4384594996839795E-2</v>
      </c>
    </row>
    <row r="602" spans="1:3" x14ac:dyDescent="0.3">
      <c r="A602" s="19">
        <v>42985</v>
      </c>
      <c r="B602" s="20">
        <v>4613.5</v>
      </c>
      <c r="C602" s="7">
        <f>B602/MAX(B$5:B602)-1</f>
        <v>-5.9409977777324596E-2</v>
      </c>
    </row>
    <row r="603" spans="1:3" x14ac:dyDescent="0.3">
      <c r="A603" s="19">
        <v>42986</v>
      </c>
      <c r="B603" s="20">
        <v>4305.8</v>
      </c>
      <c r="C603" s="7">
        <f>B603/MAX(B$5:B603)-1</f>
        <v>-0.12214316295948935</v>
      </c>
    </row>
    <row r="604" spans="1:3" x14ac:dyDescent="0.3">
      <c r="A604" s="19">
        <v>42987</v>
      </c>
      <c r="B604" s="20">
        <v>4317.8999999999996</v>
      </c>
      <c r="C604" s="7">
        <f>B604/MAX(B$5:B604)-1</f>
        <v>-0.11967624212522177</v>
      </c>
    </row>
    <row r="605" spans="1:3" x14ac:dyDescent="0.3">
      <c r="A605" s="19">
        <v>42988</v>
      </c>
      <c r="B605" s="20">
        <v>4232.1000000000004</v>
      </c>
      <c r="C605" s="7">
        <f>B605/MAX(B$5:B605)-1</f>
        <v>-0.13716895349548397</v>
      </c>
    </row>
    <row r="606" spans="1:3" x14ac:dyDescent="0.3">
      <c r="A606" s="19">
        <v>42989</v>
      </c>
      <c r="B606" s="20">
        <v>4203</v>
      </c>
      <c r="C606" s="7">
        <f>B606/MAX(B$5:B606)-1</f>
        <v>-0.14310179616302054</v>
      </c>
    </row>
    <row r="607" spans="1:3" x14ac:dyDescent="0.3">
      <c r="A607" s="19">
        <v>42990</v>
      </c>
      <c r="B607" s="20">
        <v>4142.8999999999996</v>
      </c>
      <c r="C607" s="7">
        <f>B607/MAX(B$5:B607)-1</f>
        <v>-0.15535484923240028</v>
      </c>
    </row>
    <row r="608" spans="1:3" x14ac:dyDescent="0.3">
      <c r="A608" s="19">
        <v>42991</v>
      </c>
      <c r="B608" s="20">
        <v>3849.7</v>
      </c>
      <c r="C608" s="7">
        <f>B608/MAX(B$5:B608)-1</f>
        <v>-0.21513180696854162</v>
      </c>
    </row>
    <row r="609" spans="1:3" x14ac:dyDescent="0.3">
      <c r="A609" s="19">
        <v>42992</v>
      </c>
      <c r="B609" s="20">
        <v>3238.1</v>
      </c>
      <c r="C609" s="7">
        <f>B609/MAX(B$5:B609)-1</f>
        <v>-0.33982344186425817</v>
      </c>
    </row>
    <row r="610" spans="1:3" x14ac:dyDescent="0.3">
      <c r="A610" s="19">
        <v>42993</v>
      </c>
      <c r="B610" s="20">
        <v>3698</v>
      </c>
      <c r="C610" s="7">
        <f>B610/MAX(B$5:B610)-1</f>
        <v>-0.24606006238659295</v>
      </c>
    </row>
    <row r="611" spans="1:3" x14ac:dyDescent="0.3">
      <c r="A611" s="19">
        <v>42994</v>
      </c>
      <c r="B611" s="20">
        <v>3685.4</v>
      </c>
      <c r="C611" s="7">
        <f>B611/MAX(B$5:B611)-1</f>
        <v>-0.24862892209830978</v>
      </c>
    </row>
    <row r="612" spans="1:3" x14ac:dyDescent="0.3">
      <c r="A612" s="19">
        <v>42995</v>
      </c>
      <c r="B612" s="20">
        <v>3666.3</v>
      </c>
      <c r="C612" s="7">
        <f>B612/MAX(B$5:B612)-1</f>
        <v>-0.25252298721686472</v>
      </c>
    </row>
    <row r="613" spans="1:3" x14ac:dyDescent="0.3">
      <c r="A613" s="19">
        <v>42996</v>
      </c>
      <c r="B613" s="20">
        <v>4084.1</v>
      </c>
      <c r="C613" s="7">
        <f>B613/MAX(B$5:B613)-1</f>
        <v>-0.1673428612204122</v>
      </c>
    </row>
    <row r="614" spans="1:3" x14ac:dyDescent="0.3">
      <c r="A614" s="19">
        <v>42997</v>
      </c>
      <c r="B614" s="20">
        <v>3900</v>
      </c>
      <c r="C614" s="7">
        <f>B614/MAX(B$5:B614)-1</f>
        <v>-0.20487675589716403</v>
      </c>
    </row>
    <row r="615" spans="1:3" x14ac:dyDescent="0.3">
      <c r="A615" s="19">
        <v>42998</v>
      </c>
      <c r="B615" s="20">
        <v>3873.2</v>
      </c>
      <c r="C615" s="7">
        <f>B615/MAX(B$5:B615)-1</f>
        <v>-0.21034067972843484</v>
      </c>
    </row>
    <row r="616" spans="1:3" x14ac:dyDescent="0.3">
      <c r="A616" s="19">
        <v>42999</v>
      </c>
      <c r="B616" s="20">
        <v>3603.4</v>
      </c>
      <c r="C616" s="7">
        <f>B616/MAX(B$5:B616)-1</f>
        <v>-0.26534689799995914</v>
      </c>
    </row>
    <row r="617" spans="1:3" x14ac:dyDescent="0.3">
      <c r="A617" s="19">
        <v>43000</v>
      </c>
      <c r="B617" s="20">
        <v>3598.5</v>
      </c>
      <c r="C617" s="7">
        <f>B617/MAX(B$5:B617)-1</f>
        <v>-0.26634589899896022</v>
      </c>
    </row>
    <row r="618" spans="1:3" x14ac:dyDescent="0.3">
      <c r="A618" s="19">
        <v>43001</v>
      </c>
      <c r="B618" s="20">
        <v>3779.6</v>
      </c>
      <c r="C618" s="7">
        <f>B618/MAX(B$5:B618)-1</f>
        <v>-0.22942363758690287</v>
      </c>
    </row>
    <row r="619" spans="1:3" x14ac:dyDescent="0.3">
      <c r="A619" s="19">
        <v>43002</v>
      </c>
      <c r="B619" s="20">
        <v>3652.8</v>
      </c>
      <c r="C619" s="7">
        <f>B619/MAX(B$5:B619)-1</f>
        <v>-0.25527533690798987</v>
      </c>
    </row>
    <row r="620" spans="1:3" x14ac:dyDescent="0.3">
      <c r="A620" s="19">
        <v>43003</v>
      </c>
      <c r="B620" s="20">
        <v>3930</v>
      </c>
      <c r="C620" s="7">
        <f>B620/MAX(B$5:B620)-1</f>
        <v>-0.19876042325021914</v>
      </c>
    </row>
    <row r="621" spans="1:3" x14ac:dyDescent="0.3">
      <c r="A621" s="19">
        <v>43004</v>
      </c>
      <c r="B621" s="20">
        <v>3879.1</v>
      </c>
      <c r="C621" s="7">
        <f>B621/MAX(B$5:B621)-1</f>
        <v>-0.2091378009745356</v>
      </c>
    </row>
    <row r="622" spans="1:3" x14ac:dyDescent="0.3">
      <c r="A622" s="19">
        <v>43005</v>
      </c>
      <c r="B622" s="20">
        <v>4205.3999999999996</v>
      </c>
      <c r="C622" s="7">
        <f>B622/MAX(B$5:B622)-1</f>
        <v>-0.14261248955126504</v>
      </c>
    </row>
    <row r="623" spans="1:3" x14ac:dyDescent="0.3">
      <c r="A623" s="19">
        <v>43006</v>
      </c>
      <c r="B623" s="20">
        <v>4190</v>
      </c>
      <c r="C623" s="7">
        <f>B623/MAX(B$5:B623)-1</f>
        <v>-0.14575220697669666</v>
      </c>
    </row>
    <row r="624" spans="1:3" x14ac:dyDescent="0.3">
      <c r="A624" s="19">
        <v>43007</v>
      </c>
      <c r="B624" s="20">
        <v>4169.8999999999996</v>
      </c>
      <c r="C624" s="7">
        <f>B624/MAX(B$5:B624)-1</f>
        <v>-0.14985014985014988</v>
      </c>
    </row>
    <row r="625" spans="1:3" x14ac:dyDescent="0.3">
      <c r="A625" s="19">
        <v>43008</v>
      </c>
      <c r="B625" s="20">
        <v>4367</v>
      </c>
      <c r="C625" s="7">
        <f>B625/MAX(B$5:B625)-1</f>
        <v>-0.10966584435972182</v>
      </c>
    </row>
    <row r="626" spans="1:3" x14ac:dyDescent="0.3">
      <c r="A626" s="19">
        <v>43009</v>
      </c>
      <c r="B626" s="20">
        <v>4404.3</v>
      </c>
      <c r="C626" s="7">
        <f>B626/MAX(B$5:B626)-1</f>
        <v>-0.10206120410202035</v>
      </c>
    </row>
    <row r="627" spans="1:3" x14ac:dyDescent="0.3">
      <c r="A627" s="19">
        <v>43010</v>
      </c>
      <c r="B627" s="20">
        <v>4400.1000000000004</v>
      </c>
      <c r="C627" s="7">
        <f>B627/MAX(B$5:B627)-1</f>
        <v>-0.10291749067259259</v>
      </c>
    </row>
    <row r="628" spans="1:3" x14ac:dyDescent="0.3">
      <c r="A628" s="19">
        <v>43011</v>
      </c>
      <c r="B628" s="20">
        <v>4311.1000000000004</v>
      </c>
      <c r="C628" s="7">
        <f>B628/MAX(B$5:B628)-1</f>
        <v>-0.1210626108585291</v>
      </c>
    </row>
    <row r="629" spans="1:3" x14ac:dyDescent="0.3">
      <c r="A629" s="19">
        <v>43012</v>
      </c>
      <c r="B629" s="20">
        <v>4215.1000000000004</v>
      </c>
      <c r="C629" s="7">
        <f>B629/MAX(B$5:B629)-1</f>
        <v>-0.14063487532875274</v>
      </c>
    </row>
    <row r="630" spans="1:3" x14ac:dyDescent="0.3">
      <c r="A630" s="19">
        <v>43013</v>
      </c>
      <c r="B630" s="20">
        <v>4315.3999999999996</v>
      </c>
      <c r="C630" s="7">
        <f>B630/MAX(B$5:B630)-1</f>
        <v>-0.12018593651246712</v>
      </c>
    </row>
    <row r="631" spans="1:3" x14ac:dyDescent="0.3">
      <c r="A631" s="19">
        <v>43014</v>
      </c>
      <c r="B631" s="20">
        <v>4371</v>
      </c>
      <c r="C631" s="7">
        <f>B631/MAX(B$5:B631)-1</f>
        <v>-0.10885033334012917</v>
      </c>
    </row>
    <row r="632" spans="1:3" x14ac:dyDescent="0.3">
      <c r="A632" s="19">
        <v>43015</v>
      </c>
      <c r="B632" s="20">
        <v>4436</v>
      </c>
      <c r="C632" s="7">
        <f>B632/MAX(B$5:B632)-1</f>
        <v>-9.5598279271748576E-2</v>
      </c>
    </row>
    <row r="633" spans="1:3" x14ac:dyDescent="0.3">
      <c r="A633" s="19">
        <v>43016</v>
      </c>
      <c r="B633" s="20">
        <v>4613.1000000000004</v>
      </c>
      <c r="C633" s="7">
        <f>B633/MAX(B$5:B633)-1</f>
        <v>-5.9491528879283884E-2</v>
      </c>
    </row>
    <row r="634" spans="1:3" x14ac:dyDescent="0.3">
      <c r="A634" s="19">
        <v>43017</v>
      </c>
      <c r="B634" s="20">
        <v>4782.3</v>
      </c>
      <c r="C634" s="7">
        <f>B634/MAX(B$5:B634)-1</f>
        <v>-2.4995412750514645E-2</v>
      </c>
    </row>
    <row r="635" spans="1:3" x14ac:dyDescent="0.3">
      <c r="A635" s="19">
        <v>43018</v>
      </c>
      <c r="B635" s="20">
        <v>4777</v>
      </c>
      <c r="C635" s="7">
        <f>B635/MAX(B$5:B635)-1</f>
        <v>-2.6075964851475009E-2</v>
      </c>
    </row>
    <row r="636" spans="1:3" x14ac:dyDescent="0.3">
      <c r="A636" s="19">
        <v>43019</v>
      </c>
      <c r="B636" s="20">
        <v>4824.8999999999996</v>
      </c>
      <c r="C636" s="7">
        <f>B636/MAX(B$5:B636)-1</f>
        <v>-1.6310220391853036E-2</v>
      </c>
    </row>
    <row r="637" spans="1:3" x14ac:dyDescent="0.3">
      <c r="A637" s="19">
        <v>43020</v>
      </c>
      <c r="B637" s="20">
        <v>5428.5</v>
      </c>
      <c r="C637" s="7">
        <f>B637/MAX(B$5:B637)-1</f>
        <v>0</v>
      </c>
    </row>
    <row r="638" spans="1:3" x14ac:dyDescent="0.3">
      <c r="A638" s="19">
        <v>43021</v>
      </c>
      <c r="B638" s="20">
        <v>5636.8</v>
      </c>
      <c r="C638" s="7">
        <f>B638/MAX(B$5:B638)-1</f>
        <v>0</v>
      </c>
    </row>
    <row r="639" spans="1:3" x14ac:dyDescent="0.3">
      <c r="A639" s="19">
        <v>43022</v>
      </c>
      <c r="B639" s="20">
        <v>5835</v>
      </c>
      <c r="C639" s="7">
        <f>B639/MAX(B$5:B639)-1</f>
        <v>0</v>
      </c>
    </row>
    <row r="640" spans="1:3" x14ac:dyDescent="0.3">
      <c r="A640" s="19">
        <v>43023</v>
      </c>
      <c r="B640" s="20">
        <v>5698.6</v>
      </c>
      <c r="C640" s="7">
        <f>B640/MAX(B$5:B640)-1</f>
        <v>-2.337617823478999E-2</v>
      </c>
    </row>
    <row r="641" spans="1:3" x14ac:dyDescent="0.3">
      <c r="A641" s="19">
        <v>43024</v>
      </c>
      <c r="B641" s="20">
        <v>5764.4</v>
      </c>
      <c r="C641" s="7">
        <f>B641/MAX(B$5:B641)-1</f>
        <v>-1.2099400171379671E-2</v>
      </c>
    </row>
    <row r="642" spans="1:3" x14ac:dyDescent="0.3">
      <c r="A642" s="19">
        <v>43025</v>
      </c>
      <c r="B642" s="20">
        <v>5597.1</v>
      </c>
      <c r="C642" s="7">
        <f>B642/MAX(B$5:B642)-1</f>
        <v>-4.0771208226221045E-2</v>
      </c>
    </row>
    <row r="643" spans="1:3" x14ac:dyDescent="0.3">
      <c r="A643" s="19">
        <v>43026</v>
      </c>
      <c r="B643" s="20">
        <v>5565</v>
      </c>
      <c r="C643" s="7">
        <f>B643/MAX(B$5:B643)-1</f>
        <v>-4.6272493573264795E-2</v>
      </c>
    </row>
    <row r="644" spans="1:3" x14ac:dyDescent="0.3">
      <c r="A644" s="19">
        <v>43027</v>
      </c>
      <c r="B644" s="20">
        <v>5694</v>
      </c>
      <c r="C644" s="7">
        <f>B644/MAX(B$5:B644)-1</f>
        <v>-2.416452442159378E-2</v>
      </c>
    </row>
    <row r="645" spans="1:3" x14ac:dyDescent="0.3">
      <c r="A645" s="19">
        <v>43028</v>
      </c>
      <c r="B645" s="20">
        <v>5984.5</v>
      </c>
      <c r="C645" s="7">
        <f>B645/MAX(B$5:B645)-1</f>
        <v>0</v>
      </c>
    </row>
    <row r="646" spans="1:3" x14ac:dyDescent="0.3">
      <c r="A646" s="19">
        <v>43029</v>
      </c>
      <c r="B646" s="20">
        <v>6005.1</v>
      </c>
      <c r="C646" s="7">
        <f>B646/MAX(B$5:B646)-1</f>
        <v>0</v>
      </c>
    </row>
    <row r="647" spans="1:3" x14ac:dyDescent="0.3">
      <c r="A647" s="19">
        <v>43030</v>
      </c>
      <c r="B647" s="20">
        <v>5980.5</v>
      </c>
      <c r="C647" s="7">
        <f>B647/MAX(B$5:B647)-1</f>
        <v>-4.0965179597343138E-3</v>
      </c>
    </row>
    <row r="648" spans="1:3" x14ac:dyDescent="0.3">
      <c r="A648" s="19">
        <v>43031</v>
      </c>
      <c r="B648" s="20">
        <v>5906.9</v>
      </c>
      <c r="C648" s="7">
        <f>B648/MAX(B$5:B648)-1</f>
        <v>-1.6352766814874187E-2</v>
      </c>
    </row>
    <row r="649" spans="1:3" x14ac:dyDescent="0.3">
      <c r="A649" s="19">
        <v>43032</v>
      </c>
      <c r="B649" s="20">
        <v>5509.5</v>
      </c>
      <c r="C649" s="7">
        <f>B649/MAX(B$5:B649)-1</f>
        <v>-8.2529849627816398E-2</v>
      </c>
    </row>
    <row r="650" spans="1:3" x14ac:dyDescent="0.3">
      <c r="A650" s="19">
        <v>43033</v>
      </c>
      <c r="B650" s="20">
        <v>5720</v>
      </c>
      <c r="C650" s="7">
        <f>B650/MAX(B$5:B650)-1</f>
        <v>-4.7476311801635362E-2</v>
      </c>
    </row>
    <row r="651" spans="1:3" x14ac:dyDescent="0.3">
      <c r="A651" s="19">
        <v>43034</v>
      </c>
      <c r="B651" s="20">
        <v>5890</v>
      </c>
      <c r="C651" s="7">
        <f>B651/MAX(B$5:B651)-1</f>
        <v>-1.9167041348187475E-2</v>
      </c>
    </row>
    <row r="652" spans="1:3" x14ac:dyDescent="0.3">
      <c r="A652" s="19">
        <v>43035</v>
      </c>
      <c r="B652" s="20">
        <v>5759.6</v>
      </c>
      <c r="C652" s="7">
        <f>B652/MAX(B$5:B652)-1</f>
        <v>-4.0881917037185023E-2</v>
      </c>
    </row>
    <row r="653" spans="1:3" x14ac:dyDescent="0.3">
      <c r="A653" s="19">
        <v>43036</v>
      </c>
      <c r="B653" s="20">
        <v>5720.6</v>
      </c>
      <c r="C653" s="7">
        <f>B653/MAX(B$5:B653)-1</f>
        <v>-4.7376396729446602E-2</v>
      </c>
    </row>
    <row r="654" spans="1:3" x14ac:dyDescent="0.3">
      <c r="A654" s="19">
        <v>43037</v>
      </c>
      <c r="B654" s="20">
        <v>6156</v>
      </c>
      <c r="C654" s="7">
        <f>B654/MAX(B$5:B654)-1</f>
        <v>0</v>
      </c>
    </row>
    <row r="655" spans="1:3" x14ac:dyDescent="0.3">
      <c r="A655" s="19">
        <v>43038</v>
      </c>
      <c r="B655" s="20">
        <v>6125.3</v>
      </c>
      <c r="C655" s="7">
        <f>B655/MAX(B$5:B655)-1</f>
        <v>-4.9870045484080583E-3</v>
      </c>
    </row>
    <row r="656" spans="1:3" x14ac:dyDescent="0.3">
      <c r="A656" s="19">
        <v>43039</v>
      </c>
      <c r="B656" s="20">
        <v>6458.3</v>
      </c>
      <c r="C656" s="7">
        <f>B656/MAX(B$5:B656)-1</f>
        <v>0</v>
      </c>
    </row>
    <row r="657" spans="1:3" x14ac:dyDescent="0.3">
      <c r="A657" s="19">
        <v>43040</v>
      </c>
      <c r="B657" s="20">
        <v>6727.3</v>
      </c>
      <c r="C657" s="7">
        <f>B657/MAX(B$5:B657)-1</f>
        <v>0</v>
      </c>
    </row>
    <row r="658" spans="1:3" x14ac:dyDescent="0.3">
      <c r="A658" s="19">
        <v>43041</v>
      </c>
      <c r="B658" s="20">
        <v>7019.9</v>
      </c>
      <c r="C658" s="7">
        <f>B658/MAX(B$5:B658)-1</f>
        <v>0</v>
      </c>
    </row>
    <row r="659" spans="1:3" x14ac:dyDescent="0.3">
      <c r="A659" s="19">
        <v>43042</v>
      </c>
      <c r="B659" s="20">
        <v>7278.4</v>
      </c>
      <c r="C659" s="7">
        <f>B659/MAX(B$5:B659)-1</f>
        <v>0</v>
      </c>
    </row>
    <row r="660" spans="1:3" x14ac:dyDescent="0.3">
      <c r="A660" s="19">
        <v>43043</v>
      </c>
      <c r="B660" s="20">
        <v>7369</v>
      </c>
      <c r="C660" s="7">
        <f>B660/MAX(B$5:B660)-1</f>
        <v>0</v>
      </c>
    </row>
    <row r="661" spans="1:3" x14ac:dyDescent="0.3">
      <c r="A661" s="19">
        <v>43044</v>
      </c>
      <c r="B661" s="20">
        <v>7382</v>
      </c>
      <c r="C661" s="7">
        <f>B661/MAX(B$5:B661)-1</f>
        <v>0</v>
      </c>
    </row>
    <row r="662" spans="1:3" x14ac:dyDescent="0.3">
      <c r="A662" s="19">
        <v>43045</v>
      </c>
      <c r="B662" s="20">
        <v>6955</v>
      </c>
      <c r="C662" s="7">
        <f>B662/MAX(B$5:B662)-1</f>
        <v>-5.7843402871850413E-2</v>
      </c>
    </row>
    <row r="663" spans="1:3" x14ac:dyDescent="0.3">
      <c r="A663" s="19">
        <v>43046</v>
      </c>
      <c r="B663" s="20">
        <v>7103.3</v>
      </c>
      <c r="C663" s="7">
        <f>B663/MAX(B$5:B663)-1</f>
        <v>-3.7753996206989937E-2</v>
      </c>
    </row>
    <row r="664" spans="1:3" x14ac:dyDescent="0.3">
      <c r="A664" s="19">
        <v>43047</v>
      </c>
      <c r="B664" s="20">
        <v>7442.4</v>
      </c>
      <c r="C664" s="7">
        <f>B664/MAX(B$5:B664)-1</f>
        <v>0</v>
      </c>
    </row>
    <row r="665" spans="1:3" x14ac:dyDescent="0.3">
      <c r="A665" s="19">
        <v>43048</v>
      </c>
      <c r="B665" s="20">
        <v>7126.2</v>
      </c>
      <c r="C665" s="7">
        <f>B665/MAX(B$5:B665)-1</f>
        <v>-4.2486294743631081E-2</v>
      </c>
    </row>
    <row r="666" spans="1:3" x14ac:dyDescent="0.3">
      <c r="A666" s="19">
        <v>43049</v>
      </c>
      <c r="B666" s="20">
        <v>6542.2</v>
      </c>
      <c r="C666" s="7">
        <f>B666/MAX(B$5:B666)-1</f>
        <v>-0.12095560571858543</v>
      </c>
    </row>
    <row r="667" spans="1:3" x14ac:dyDescent="0.3">
      <c r="A667" s="19">
        <v>43050</v>
      </c>
      <c r="B667" s="20">
        <v>6300.7</v>
      </c>
      <c r="C667" s="7">
        <f>B667/MAX(B$5:B667)-1</f>
        <v>-0.15340481565086528</v>
      </c>
    </row>
    <row r="668" spans="1:3" x14ac:dyDescent="0.3">
      <c r="A668" s="19">
        <v>43051</v>
      </c>
      <c r="B668" s="20">
        <v>5822.1</v>
      </c>
      <c r="C668" s="7">
        <f>B668/MAX(B$5:B668)-1</f>
        <v>-0.21771202837794246</v>
      </c>
    </row>
    <row r="669" spans="1:3" x14ac:dyDescent="0.3">
      <c r="A669" s="19">
        <v>43052</v>
      </c>
      <c r="B669" s="20">
        <v>6474.6</v>
      </c>
      <c r="C669" s="7">
        <f>B669/MAX(B$5:B669)-1</f>
        <v>-0.13003869719445327</v>
      </c>
    </row>
    <row r="670" spans="1:3" x14ac:dyDescent="0.3">
      <c r="A670" s="19">
        <v>43053</v>
      </c>
      <c r="B670" s="20">
        <v>6579.2</v>
      </c>
      <c r="C670" s="7">
        <f>B670/MAX(B$5:B670)-1</f>
        <v>-0.11598409115339137</v>
      </c>
    </row>
    <row r="671" spans="1:3" x14ac:dyDescent="0.3">
      <c r="A671" s="19">
        <v>43054</v>
      </c>
      <c r="B671" s="20">
        <v>7278.3</v>
      </c>
      <c r="C671" s="7">
        <f>B671/MAX(B$5:B671)-1</f>
        <v>-2.2049338922928041E-2</v>
      </c>
    </row>
    <row r="672" spans="1:3" x14ac:dyDescent="0.3">
      <c r="A672" s="19">
        <v>43055</v>
      </c>
      <c r="B672" s="20">
        <v>7864.2</v>
      </c>
      <c r="C672" s="7">
        <f>B672/MAX(B$5:B672)-1</f>
        <v>0</v>
      </c>
    </row>
    <row r="673" spans="1:3" x14ac:dyDescent="0.3">
      <c r="A673" s="19">
        <v>43056</v>
      </c>
      <c r="B673" s="20">
        <v>7677.9</v>
      </c>
      <c r="C673" s="7">
        <f>B673/MAX(B$5:B673)-1</f>
        <v>-2.3689631494621222E-2</v>
      </c>
    </row>
    <row r="674" spans="1:3" x14ac:dyDescent="0.3">
      <c r="A674" s="19">
        <v>43057</v>
      </c>
      <c r="B674" s="20">
        <v>7773.3</v>
      </c>
      <c r="C674" s="7">
        <f>B674/MAX(B$5:B674)-1</f>
        <v>-1.1558709086747498E-2</v>
      </c>
    </row>
    <row r="675" spans="1:3" x14ac:dyDescent="0.3">
      <c r="A675" s="19">
        <v>43058</v>
      </c>
      <c r="B675" s="20">
        <v>8054.2</v>
      </c>
      <c r="C675" s="7">
        <f>B675/MAX(B$5:B675)-1</f>
        <v>0</v>
      </c>
    </row>
    <row r="676" spans="1:3" x14ac:dyDescent="0.3">
      <c r="A676" s="19">
        <v>43059</v>
      </c>
      <c r="B676" s="20">
        <v>8245.1</v>
      </c>
      <c r="C676" s="7">
        <f>B676/MAX(B$5:B676)-1</f>
        <v>0</v>
      </c>
    </row>
    <row r="677" spans="1:3" x14ac:dyDescent="0.3">
      <c r="A677" s="19">
        <v>43060</v>
      </c>
      <c r="B677" s="20">
        <v>8097.3</v>
      </c>
      <c r="C677" s="7">
        <f>B677/MAX(B$5:B677)-1</f>
        <v>-1.7925798352961153E-2</v>
      </c>
    </row>
    <row r="678" spans="1:3" x14ac:dyDescent="0.3">
      <c r="A678" s="19">
        <v>43061</v>
      </c>
      <c r="B678" s="20">
        <v>8230.1</v>
      </c>
      <c r="C678" s="7">
        <f>B678/MAX(B$5:B678)-1</f>
        <v>-1.8192623497592653E-3</v>
      </c>
    </row>
    <row r="679" spans="1:3" x14ac:dyDescent="0.3">
      <c r="A679" s="19">
        <v>43062</v>
      </c>
      <c r="B679" s="20">
        <v>7977.1</v>
      </c>
      <c r="C679" s="7">
        <f>B679/MAX(B$5:B679)-1</f>
        <v>-3.250415398236528E-2</v>
      </c>
    </row>
    <row r="680" spans="1:3" x14ac:dyDescent="0.3">
      <c r="A680" s="19">
        <v>43063</v>
      </c>
      <c r="B680" s="20">
        <v>8191.6</v>
      </c>
      <c r="C680" s="7">
        <f>B680/MAX(B$5:B680)-1</f>
        <v>-6.4887023808080091E-3</v>
      </c>
    </row>
    <row r="681" spans="1:3" x14ac:dyDescent="0.3">
      <c r="A681" s="19">
        <v>43064</v>
      </c>
      <c r="B681" s="20">
        <v>8766.2000000000007</v>
      </c>
      <c r="C681" s="7">
        <f>B681/MAX(B$5:B681)-1</f>
        <v>0</v>
      </c>
    </row>
    <row r="682" spans="1:3" x14ac:dyDescent="0.3">
      <c r="A682" s="19">
        <v>43065</v>
      </c>
      <c r="B682" s="20">
        <v>9316</v>
      </c>
      <c r="C682" s="7">
        <f>B682/MAX(B$5:B682)-1</f>
        <v>0</v>
      </c>
    </row>
    <row r="683" spans="1:3" x14ac:dyDescent="0.3">
      <c r="A683" s="19">
        <v>43066</v>
      </c>
      <c r="B683" s="20">
        <v>9728.7999999999993</v>
      </c>
      <c r="C683" s="7">
        <f>B683/MAX(B$5:B683)-1</f>
        <v>0</v>
      </c>
    </row>
    <row r="684" spans="1:3" x14ac:dyDescent="0.3">
      <c r="A684" s="19">
        <v>43067</v>
      </c>
      <c r="B684" s="20">
        <v>9898</v>
      </c>
      <c r="C684" s="7">
        <f>B684/MAX(B$5:B684)-1</f>
        <v>0</v>
      </c>
    </row>
    <row r="685" spans="1:3" x14ac:dyDescent="0.3">
      <c r="A685" s="19">
        <v>43068</v>
      </c>
      <c r="B685" s="20">
        <v>9749.4</v>
      </c>
      <c r="C685" s="7">
        <f>B685/MAX(B$5:B685)-1</f>
        <v>-1.501313396645787E-2</v>
      </c>
    </row>
    <row r="686" spans="1:3" x14ac:dyDescent="0.3">
      <c r="A686" s="19">
        <v>43069</v>
      </c>
      <c r="B686" s="20">
        <v>9907</v>
      </c>
      <c r="C686" s="7">
        <f>B686/MAX(B$5:B686)-1</f>
        <v>0</v>
      </c>
    </row>
    <row r="687" spans="1:3" x14ac:dyDescent="0.3">
      <c r="A687" s="19">
        <v>43070</v>
      </c>
      <c r="B687" s="20">
        <v>10869</v>
      </c>
      <c r="C687" s="7">
        <f>B687/MAX(B$5:B687)-1</f>
        <v>0</v>
      </c>
    </row>
    <row r="688" spans="1:3" x14ac:dyDescent="0.3">
      <c r="A688" s="19">
        <v>43071</v>
      </c>
      <c r="B688" s="20">
        <v>10881</v>
      </c>
      <c r="C688" s="7">
        <f>B688/MAX(B$5:B688)-1</f>
        <v>0</v>
      </c>
    </row>
    <row r="689" spans="1:3" x14ac:dyDescent="0.3">
      <c r="A689" s="19">
        <v>43072</v>
      </c>
      <c r="B689" s="20">
        <v>11157</v>
      </c>
      <c r="C689" s="7">
        <f>B689/MAX(B$5:B689)-1</f>
        <v>0</v>
      </c>
    </row>
    <row r="690" spans="1:3" x14ac:dyDescent="0.3">
      <c r="A690" s="19">
        <v>43073</v>
      </c>
      <c r="B690" s="20">
        <v>11595</v>
      </c>
      <c r="C690" s="7">
        <f>B690/MAX(B$5:B690)-1</f>
        <v>0</v>
      </c>
    </row>
    <row r="691" spans="1:3" x14ac:dyDescent="0.3">
      <c r="A691" s="19">
        <v>43074</v>
      </c>
      <c r="B691" s="20">
        <v>11595</v>
      </c>
      <c r="C691" s="7">
        <f>B691/MAX(B$5:B691)-1</f>
        <v>0</v>
      </c>
    </row>
    <row r="692" spans="1:3" x14ac:dyDescent="0.3">
      <c r="A692" s="19">
        <v>43075</v>
      </c>
      <c r="B692" s="20">
        <v>13527</v>
      </c>
      <c r="C692" s="7">
        <f>B692/MAX(B$5:B692)-1</f>
        <v>0</v>
      </c>
    </row>
    <row r="693" spans="1:3" x14ac:dyDescent="0.3">
      <c r="A693" s="19">
        <v>43076</v>
      </c>
      <c r="B693" s="20">
        <v>16601</v>
      </c>
      <c r="C693" s="7">
        <f>B693/MAX(B$5:B693)-1</f>
        <v>0</v>
      </c>
    </row>
    <row r="694" spans="1:3" x14ac:dyDescent="0.3">
      <c r="A694" s="19">
        <v>43077</v>
      </c>
      <c r="B694" s="20">
        <v>15869</v>
      </c>
      <c r="C694" s="7">
        <f>B694/MAX(B$5:B694)-1</f>
        <v>-4.409372929341604E-2</v>
      </c>
    </row>
    <row r="695" spans="1:3" x14ac:dyDescent="0.3">
      <c r="A695" s="19">
        <v>43078</v>
      </c>
      <c r="B695" s="20">
        <v>14660</v>
      </c>
      <c r="C695" s="7">
        <f>B695/MAX(B$5:B695)-1</f>
        <v>-0.11692066742967289</v>
      </c>
    </row>
    <row r="696" spans="1:3" x14ac:dyDescent="0.3">
      <c r="A696" s="19">
        <v>43079</v>
      </c>
      <c r="B696" s="20">
        <v>14997</v>
      </c>
      <c r="C696" s="7">
        <f>B696/MAX(B$5:B696)-1</f>
        <v>-9.6620685500873438E-2</v>
      </c>
    </row>
    <row r="697" spans="1:3" x14ac:dyDescent="0.3">
      <c r="A697" s="19">
        <v>43080</v>
      </c>
      <c r="B697" s="20">
        <v>16754</v>
      </c>
      <c r="C697" s="7">
        <f>B697/MAX(B$5:B697)-1</f>
        <v>0</v>
      </c>
    </row>
    <row r="698" spans="1:3" x14ac:dyDescent="0.3">
      <c r="A698" s="19">
        <v>43081</v>
      </c>
      <c r="B698" s="20">
        <v>16967</v>
      </c>
      <c r="C698" s="7">
        <f>B698/MAX(B$5:B698)-1</f>
        <v>0</v>
      </c>
    </row>
    <row r="699" spans="1:3" x14ac:dyDescent="0.3">
      <c r="A699" s="19">
        <v>43082</v>
      </c>
      <c r="B699" s="20">
        <v>16181</v>
      </c>
      <c r="C699" s="7">
        <f>B699/MAX(B$5:B699)-1</f>
        <v>-4.6325219543820406E-2</v>
      </c>
    </row>
    <row r="700" spans="1:3" x14ac:dyDescent="0.3">
      <c r="A700" s="19">
        <v>43083</v>
      </c>
      <c r="B700" s="20">
        <v>16383</v>
      </c>
      <c r="C700" s="7">
        <f>B700/MAX(B$5:B700)-1</f>
        <v>-3.4419755996935253E-2</v>
      </c>
    </row>
    <row r="701" spans="1:3" x14ac:dyDescent="0.3">
      <c r="A701" s="19">
        <v>43084</v>
      </c>
      <c r="B701" s="20">
        <v>17522</v>
      </c>
      <c r="C701" s="7">
        <f>B701/MAX(B$5:B701)-1</f>
        <v>0</v>
      </c>
    </row>
    <row r="702" spans="1:3" x14ac:dyDescent="0.3">
      <c r="A702" s="19">
        <v>43085</v>
      </c>
      <c r="B702" s="20">
        <v>19187</v>
      </c>
      <c r="C702" s="7">
        <f>B702/MAX(B$5:B702)-1</f>
        <v>0</v>
      </c>
    </row>
    <row r="703" spans="1:3" x14ac:dyDescent="0.3">
      <c r="A703" s="19">
        <v>43086</v>
      </c>
      <c r="B703" s="20">
        <v>18971</v>
      </c>
      <c r="C703" s="7">
        <f>B703/MAX(B$5:B703)-1</f>
        <v>-1.1257622348465057E-2</v>
      </c>
    </row>
    <row r="704" spans="1:3" x14ac:dyDescent="0.3">
      <c r="A704" s="19">
        <v>43087</v>
      </c>
      <c r="B704" s="20">
        <v>18934</v>
      </c>
      <c r="C704" s="7">
        <f>B704/MAX(B$5:B704)-1</f>
        <v>-1.3186011361859595E-2</v>
      </c>
    </row>
    <row r="705" spans="1:3" x14ac:dyDescent="0.3">
      <c r="A705" s="19">
        <v>43088</v>
      </c>
      <c r="B705" s="20">
        <v>17345</v>
      </c>
      <c r="C705" s="7">
        <f>B705/MAX(B$5:B705)-1</f>
        <v>-9.6002501693855269E-2</v>
      </c>
    </row>
    <row r="706" spans="1:3" x14ac:dyDescent="0.3">
      <c r="A706" s="19">
        <v>43089</v>
      </c>
      <c r="B706" s="20">
        <v>16425</v>
      </c>
      <c r="C706" s="7">
        <f>B706/MAX(B$5:B706)-1</f>
        <v>-0.14395163391879917</v>
      </c>
    </row>
    <row r="707" spans="1:3" x14ac:dyDescent="0.3">
      <c r="A707" s="19">
        <v>43090</v>
      </c>
      <c r="B707" s="20">
        <v>15666.8</v>
      </c>
      <c r="C707" s="7">
        <f>B707/MAX(B$5:B707)-1</f>
        <v>-0.18346797310679108</v>
      </c>
    </row>
    <row r="708" spans="1:3" x14ac:dyDescent="0.3">
      <c r="A708" s="19">
        <v>43091</v>
      </c>
      <c r="B708" s="20">
        <v>13170</v>
      </c>
      <c r="C708" s="7">
        <f>B708/MAX(B$5:B708)-1</f>
        <v>-0.31359774847553035</v>
      </c>
    </row>
    <row r="709" spans="1:3" x14ac:dyDescent="0.3">
      <c r="A709" s="19">
        <v>43092</v>
      </c>
      <c r="B709" s="20">
        <v>14035</v>
      </c>
      <c r="C709" s="7">
        <f>B709/MAX(B$5:B709)-1</f>
        <v>-0.26851514045968627</v>
      </c>
    </row>
    <row r="710" spans="1:3" x14ac:dyDescent="0.3">
      <c r="A710" s="19">
        <v>43093</v>
      </c>
      <c r="B710" s="20">
        <v>13476</v>
      </c>
      <c r="C710" s="7">
        <f>B710/MAX(B$5:B710)-1</f>
        <v>-0.29764945014853805</v>
      </c>
    </row>
    <row r="711" spans="1:3" x14ac:dyDescent="0.3">
      <c r="A711" s="19">
        <v>43094</v>
      </c>
      <c r="B711" s="20">
        <v>13623</v>
      </c>
      <c r="C711" s="7">
        <f>B711/MAX(B$5:B711)-1</f>
        <v>-0.28998801271694374</v>
      </c>
    </row>
    <row r="712" spans="1:3" x14ac:dyDescent="0.3">
      <c r="A712" s="19">
        <v>43095</v>
      </c>
      <c r="B712" s="20">
        <v>15679</v>
      </c>
      <c r="C712" s="7">
        <f>B712/MAX(B$5:B712)-1</f>
        <v>-0.18283212591859066</v>
      </c>
    </row>
    <row r="713" spans="1:3" x14ac:dyDescent="0.3">
      <c r="A713" s="19">
        <v>43096</v>
      </c>
      <c r="B713" s="20">
        <v>15374</v>
      </c>
      <c r="C713" s="7">
        <f>B713/MAX(B$5:B713)-1</f>
        <v>-0.19872830562359933</v>
      </c>
    </row>
    <row r="714" spans="1:3" x14ac:dyDescent="0.3">
      <c r="A714" s="19">
        <v>43097</v>
      </c>
      <c r="B714" s="20">
        <v>14315</v>
      </c>
      <c r="C714" s="7">
        <f>B714/MAX(B$5:B714)-1</f>
        <v>-0.25392192630426846</v>
      </c>
    </row>
    <row r="715" spans="1:3" x14ac:dyDescent="0.3">
      <c r="A715" s="19">
        <v>43098</v>
      </c>
      <c r="B715" s="20">
        <v>14317</v>
      </c>
      <c r="C715" s="7">
        <f>B715/MAX(B$5:B715)-1</f>
        <v>-0.25381768906030122</v>
      </c>
    </row>
    <row r="716" spans="1:3" x14ac:dyDescent="0.3">
      <c r="A716" s="19">
        <v>43099</v>
      </c>
      <c r="B716" s="20">
        <v>12377</v>
      </c>
      <c r="C716" s="7">
        <f>B716/MAX(B$5:B716)-1</f>
        <v>-0.3549278157085527</v>
      </c>
    </row>
    <row r="717" spans="1:3" x14ac:dyDescent="0.3">
      <c r="A717" s="19">
        <v>43100</v>
      </c>
      <c r="B717" s="20">
        <v>13800</v>
      </c>
      <c r="C717" s="7">
        <f>B717/MAX(B$5:B717)-1</f>
        <v>-0.28076301662584047</v>
      </c>
    </row>
    <row r="718" spans="1:3" x14ac:dyDescent="0.3">
      <c r="A718" s="19">
        <v>43101</v>
      </c>
      <c r="B718" s="20">
        <v>13354</v>
      </c>
      <c r="C718" s="7">
        <f>B718/MAX(B$5:B718)-1</f>
        <v>-0.3040079220305415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MDD</vt:lpstr>
      <vt:lpstr>MDD_Detalhado</vt:lpstr>
      <vt:lpstr>Underwater</vt:lpstr>
      <vt:lpstr>Bitcoin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2017-04-28T14:45:44Z</dcterms:created>
  <dcterms:modified xsi:type="dcterms:W3CDTF">2020-06-24T08:59:20Z</dcterms:modified>
</cp:coreProperties>
</file>