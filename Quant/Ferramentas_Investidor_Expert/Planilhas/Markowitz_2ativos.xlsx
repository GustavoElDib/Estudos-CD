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blog_new\10- Markovitz\"/>
    </mc:Choice>
  </mc:AlternateContent>
  <xr:revisionPtr revIDLastSave="0" documentId="13_ncr:1_{3B833860-75C1-4984-B013-387DF2087BBF}" xr6:coauthVersionLast="40" xr6:coauthVersionMax="40" xr10:uidLastSave="{00000000-0000-0000-0000-000000000000}"/>
  <bookViews>
    <workbookView xWindow="-108" yWindow="-108" windowWidth="23256" windowHeight="13176" xr2:uid="{00000000-000D-0000-FFFF-FFFF00000000}"/>
  </bookViews>
  <sheets>
    <sheet name="Sem_Short_Sell" sheetId="1" r:id="rId1"/>
    <sheet name="Com_Short_Sell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4" l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B13" i="4"/>
  <c r="B14" i="4" s="1"/>
  <c r="E12" i="4"/>
  <c r="D12" i="4"/>
  <c r="D14" i="4" l="1"/>
  <c r="E14" i="4"/>
  <c r="B15" i="4"/>
  <c r="E13" i="4"/>
  <c r="D13" i="4"/>
  <c r="D15" i="4" l="1"/>
  <c r="B16" i="4"/>
  <c r="E15" i="4"/>
  <c r="D16" i="4" l="1"/>
  <c r="B17" i="4"/>
  <c r="E16" i="4"/>
  <c r="D17" i="4" l="1"/>
  <c r="B18" i="4"/>
  <c r="E17" i="4"/>
  <c r="D18" i="4" l="1"/>
  <c r="B19" i="4"/>
  <c r="E18" i="4"/>
  <c r="D19" i="4" l="1"/>
  <c r="B20" i="4"/>
  <c r="E19" i="4"/>
  <c r="D20" i="4" l="1"/>
  <c r="B21" i="4"/>
  <c r="E20" i="4"/>
  <c r="D21" i="4" l="1"/>
  <c r="B22" i="4"/>
  <c r="E21" i="4"/>
  <c r="D22" i="4" l="1"/>
  <c r="B23" i="4"/>
  <c r="E22" i="4"/>
  <c r="D23" i="4" l="1"/>
  <c r="B24" i="4"/>
  <c r="E23" i="4"/>
  <c r="D24" i="4" l="1"/>
  <c r="B25" i="4"/>
  <c r="E24" i="4"/>
  <c r="D25" i="4" l="1"/>
  <c r="B26" i="4"/>
  <c r="E25" i="4"/>
  <c r="D26" i="4" l="1"/>
  <c r="B27" i="4"/>
  <c r="E26" i="4"/>
  <c r="D27" i="4" l="1"/>
  <c r="B28" i="4"/>
  <c r="E27" i="4"/>
  <c r="D28" i="4" l="1"/>
  <c r="B29" i="4"/>
  <c r="E28" i="4"/>
  <c r="D29" i="4" l="1"/>
  <c r="B30" i="4"/>
  <c r="E29" i="4"/>
  <c r="D30" i="4" l="1"/>
  <c r="B31" i="4"/>
  <c r="E30" i="4"/>
  <c r="D31" i="4" l="1"/>
  <c r="B32" i="4"/>
  <c r="E31" i="4"/>
  <c r="D32" i="4" l="1"/>
  <c r="B33" i="4"/>
  <c r="E32" i="4"/>
  <c r="D33" i="4" l="1"/>
  <c r="B34" i="4"/>
  <c r="E33" i="4"/>
  <c r="D34" i="4" l="1"/>
  <c r="B35" i="4"/>
  <c r="E34" i="4"/>
  <c r="D35" i="4" l="1"/>
  <c r="B36" i="4"/>
  <c r="E35" i="4"/>
  <c r="D36" i="4" l="1"/>
  <c r="B37" i="4"/>
  <c r="E36" i="4"/>
  <c r="D37" i="4" l="1"/>
  <c r="B38" i="4"/>
  <c r="E37" i="4"/>
  <c r="D38" i="4" l="1"/>
  <c r="B39" i="4"/>
  <c r="E38" i="4"/>
  <c r="D39" i="4" l="1"/>
  <c r="B40" i="4"/>
  <c r="E39" i="4"/>
  <c r="D40" i="4" l="1"/>
  <c r="B41" i="4"/>
  <c r="E40" i="4"/>
  <c r="D41" i="4" l="1"/>
  <c r="B42" i="4"/>
  <c r="E41" i="4"/>
  <c r="D42" i="4" l="1"/>
  <c r="B43" i="4"/>
  <c r="E42" i="4"/>
  <c r="D43" i="4" l="1"/>
  <c r="B44" i="4"/>
  <c r="E43" i="4"/>
  <c r="D44" i="4" l="1"/>
  <c r="B45" i="4"/>
  <c r="E44" i="4"/>
  <c r="D45" i="4" l="1"/>
  <c r="B46" i="4"/>
  <c r="E45" i="4"/>
  <c r="D46" i="4" l="1"/>
  <c r="B47" i="4"/>
  <c r="E46" i="4"/>
  <c r="D47" i="4" l="1"/>
  <c r="B48" i="4"/>
  <c r="E47" i="4"/>
  <c r="D48" i="4" l="1"/>
  <c r="B49" i="4"/>
  <c r="E48" i="4"/>
  <c r="D49" i="4" l="1"/>
  <c r="B50" i="4"/>
  <c r="E49" i="4"/>
  <c r="D50" i="4" l="1"/>
  <c r="B51" i="4"/>
  <c r="E50" i="4"/>
  <c r="D51" i="4" l="1"/>
  <c r="B52" i="4"/>
  <c r="E51" i="4"/>
  <c r="D52" i="4" l="1"/>
  <c r="B53" i="4"/>
  <c r="E52" i="4"/>
  <c r="D53" i="4" l="1"/>
  <c r="B54" i="4"/>
  <c r="E53" i="4"/>
  <c r="D54" i="4" l="1"/>
  <c r="B55" i="4"/>
  <c r="E54" i="4"/>
  <c r="D55" i="4" l="1"/>
  <c r="B56" i="4"/>
  <c r="E55" i="4"/>
  <c r="D56" i="4" l="1"/>
  <c r="B57" i="4"/>
  <c r="E56" i="4"/>
  <c r="D13" i="1"/>
  <c r="D14" i="1" s="1"/>
  <c r="D15" i="1" s="1"/>
  <c r="C13" i="1"/>
  <c r="F13" i="1" s="1"/>
  <c r="F12" i="1"/>
  <c r="E12" i="1"/>
  <c r="D57" i="4" l="1"/>
  <c r="B58" i="4"/>
  <c r="E57" i="4"/>
  <c r="D16" i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E13" i="1"/>
  <c r="C14" i="1"/>
  <c r="E14" i="1" s="1"/>
  <c r="D58" i="4" l="1"/>
  <c r="B59" i="4"/>
  <c r="E58" i="4"/>
  <c r="F14" i="1"/>
  <c r="C15" i="1"/>
  <c r="D59" i="4" l="1"/>
  <c r="B60" i="4"/>
  <c r="E59" i="4"/>
  <c r="F15" i="1"/>
  <c r="E15" i="1"/>
  <c r="C16" i="1"/>
  <c r="D60" i="4" l="1"/>
  <c r="B61" i="4"/>
  <c r="E60" i="4"/>
  <c r="F16" i="1"/>
  <c r="C17" i="1"/>
  <c r="E17" i="1" s="1"/>
  <c r="E16" i="1"/>
  <c r="D61" i="4" l="1"/>
  <c r="B62" i="4"/>
  <c r="E61" i="4"/>
  <c r="F17" i="1"/>
  <c r="C18" i="1"/>
  <c r="E18" i="1" s="1"/>
  <c r="D62" i="4" l="1"/>
  <c r="B63" i="4"/>
  <c r="E62" i="4"/>
  <c r="F18" i="1"/>
  <c r="C19" i="1"/>
  <c r="E19" i="1" s="1"/>
  <c r="D63" i="4" l="1"/>
  <c r="B64" i="4"/>
  <c r="E63" i="4"/>
  <c r="F19" i="1"/>
  <c r="C20" i="1"/>
  <c r="E20" i="1" s="1"/>
  <c r="D64" i="4" l="1"/>
  <c r="B65" i="4"/>
  <c r="E64" i="4"/>
  <c r="F20" i="1"/>
  <c r="C21" i="1"/>
  <c r="D65" i="4" l="1"/>
  <c r="B66" i="4"/>
  <c r="E65" i="4"/>
  <c r="F21" i="1"/>
  <c r="C22" i="1"/>
  <c r="E21" i="1"/>
  <c r="D66" i="4" l="1"/>
  <c r="B67" i="4"/>
  <c r="E66" i="4"/>
  <c r="F22" i="1"/>
  <c r="E22" i="1"/>
  <c r="C23" i="1"/>
  <c r="D67" i="4" l="1"/>
  <c r="B68" i="4"/>
  <c r="E67" i="4"/>
  <c r="F23" i="1"/>
  <c r="C24" i="1"/>
  <c r="E24" i="1" s="1"/>
  <c r="E23" i="1"/>
  <c r="D68" i="4" l="1"/>
  <c r="B69" i="4"/>
  <c r="E68" i="4"/>
  <c r="F24" i="1"/>
  <c r="C25" i="1"/>
  <c r="D69" i="4" l="1"/>
  <c r="B70" i="4"/>
  <c r="E69" i="4"/>
  <c r="C26" i="1"/>
  <c r="F25" i="1"/>
  <c r="E25" i="1"/>
  <c r="D70" i="4" l="1"/>
  <c r="E70" i="4"/>
  <c r="B71" i="4"/>
  <c r="C27" i="1"/>
  <c r="F26" i="1"/>
  <c r="E26" i="1"/>
  <c r="D71" i="4" l="1"/>
  <c r="B72" i="4"/>
  <c r="E71" i="4"/>
  <c r="C28" i="1"/>
  <c r="F27" i="1"/>
  <c r="E27" i="1"/>
  <c r="E72" i="4" l="1"/>
  <c r="B73" i="4"/>
  <c r="D72" i="4"/>
  <c r="C29" i="1"/>
  <c r="F28" i="1"/>
  <c r="E28" i="1"/>
  <c r="D73" i="4" l="1"/>
  <c r="B74" i="4"/>
  <c r="E73" i="4"/>
  <c r="C30" i="1"/>
  <c r="F29" i="1"/>
  <c r="E29" i="1"/>
  <c r="E74" i="4" l="1"/>
  <c r="D74" i="4"/>
  <c r="B75" i="4"/>
  <c r="C31" i="1"/>
  <c r="F30" i="1"/>
  <c r="E30" i="1"/>
  <c r="D75" i="4" l="1"/>
  <c r="B76" i="4"/>
  <c r="E75" i="4"/>
  <c r="C32" i="1"/>
  <c r="F31" i="1"/>
  <c r="E31" i="1"/>
  <c r="E76" i="4" l="1"/>
  <c r="B77" i="4"/>
  <c r="D76" i="4"/>
  <c r="C33" i="1"/>
  <c r="F32" i="1"/>
  <c r="E32" i="1"/>
  <c r="D77" i="4" l="1"/>
  <c r="B78" i="4"/>
  <c r="E77" i="4"/>
  <c r="C34" i="1"/>
  <c r="F33" i="1"/>
  <c r="E33" i="1"/>
  <c r="E78" i="4" l="1"/>
  <c r="D78" i="4"/>
  <c r="B79" i="4"/>
  <c r="C35" i="1"/>
  <c r="F34" i="1"/>
  <c r="E34" i="1"/>
  <c r="D79" i="4" l="1"/>
  <c r="B80" i="4"/>
  <c r="E79" i="4"/>
  <c r="C36" i="1"/>
  <c r="F35" i="1"/>
  <c r="E35" i="1"/>
  <c r="E80" i="4" l="1"/>
  <c r="B81" i="4"/>
  <c r="D80" i="4"/>
  <c r="C37" i="1"/>
  <c r="F36" i="1"/>
  <c r="E36" i="1"/>
  <c r="D81" i="4" l="1"/>
  <c r="B82" i="4"/>
  <c r="E81" i="4"/>
  <c r="C38" i="1"/>
  <c r="F37" i="1"/>
  <c r="E37" i="1"/>
  <c r="E82" i="4" l="1"/>
  <c r="D82" i="4"/>
  <c r="B83" i="4"/>
  <c r="C39" i="1"/>
  <c r="F38" i="1"/>
  <c r="E38" i="1"/>
  <c r="D83" i="4" l="1"/>
  <c r="B84" i="4"/>
  <c r="E83" i="4"/>
  <c r="C40" i="1"/>
  <c r="F39" i="1"/>
  <c r="E39" i="1"/>
  <c r="E84" i="4" l="1"/>
  <c r="B85" i="4"/>
  <c r="D84" i="4"/>
  <c r="C41" i="1"/>
  <c r="F40" i="1"/>
  <c r="E40" i="1"/>
  <c r="D85" i="4" l="1"/>
  <c r="B86" i="4"/>
  <c r="E85" i="4"/>
  <c r="E41" i="1"/>
  <c r="C42" i="1"/>
  <c r="F41" i="1"/>
  <c r="E86" i="4" l="1"/>
  <c r="D86" i="4"/>
  <c r="B87" i="4"/>
  <c r="C43" i="1"/>
  <c r="F42" i="1"/>
  <c r="E42" i="1"/>
  <c r="D87" i="4" l="1"/>
  <c r="B88" i="4"/>
  <c r="E87" i="4"/>
  <c r="C44" i="1"/>
  <c r="F43" i="1"/>
  <c r="E43" i="1"/>
  <c r="E88" i="4" l="1"/>
  <c r="B89" i="4"/>
  <c r="D88" i="4"/>
  <c r="E44" i="1"/>
  <c r="C45" i="1"/>
  <c r="F44" i="1"/>
  <c r="D89" i="4" l="1"/>
  <c r="B90" i="4"/>
  <c r="E89" i="4"/>
  <c r="C46" i="1"/>
  <c r="F45" i="1"/>
  <c r="E45" i="1"/>
  <c r="E90" i="4" l="1"/>
  <c r="D90" i="4"/>
  <c r="B91" i="4"/>
  <c r="C47" i="1"/>
  <c r="F46" i="1"/>
  <c r="E46" i="1"/>
  <c r="D91" i="4" l="1"/>
  <c r="B92" i="4"/>
  <c r="E91" i="4"/>
  <c r="E47" i="1"/>
  <c r="C48" i="1"/>
  <c r="F47" i="1"/>
  <c r="E92" i="4" l="1"/>
  <c r="B93" i="4"/>
  <c r="D92" i="4"/>
  <c r="C49" i="1"/>
  <c r="F48" i="1"/>
  <c r="E48" i="1"/>
  <c r="D93" i="4" l="1"/>
  <c r="B94" i="4"/>
  <c r="E93" i="4"/>
  <c r="C50" i="1"/>
  <c r="F49" i="1"/>
  <c r="E49" i="1"/>
  <c r="E94" i="4" l="1"/>
  <c r="D94" i="4"/>
  <c r="B95" i="4"/>
  <c r="E50" i="1"/>
  <c r="C51" i="1"/>
  <c r="F50" i="1"/>
  <c r="D95" i="4" l="1"/>
  <c r="B96" i="4"/>
  <c r="E95" i="4"/>
  <c r="C52" i="1"/>
  <c r="F51" i="1"/>
  <c r="E51" i="1"/>
  <c r="E96" i="4" l="1"/>
  <c r="B97" i="4"/>
  <c r="D96" i="4"/>
  <c r="C53" i="1"/>
  <c r="F52" i="1"/>
  <c r="E52" i="1"/>
  <c r="D97" i="4" l="1"/>
  <c r="B98" i="4"/>
  <c r="E97" i="4"/>
  <c r="E53" i="1"/>
  <c r="C54" i="1"/>
  <c r="F53" i="1"/>
  <c r="E98" i="4" l="1"/>
  <c r="D98" i="4"/>
  <c r="B99" i="4"/>
  <c r="C55" i="1"/>
  <c r="F54" i="1"/>
  <c r="E54" i="1"/>
  <c r="D99" i="4" l="1"/>
  <c r="B100" i="4"/>
  <c r="E99" i="4"/>
  <c r="E55" i="1"/>
  <c r="C56" i="1"/>
  <c r="F55" i="1"/>
  <c r="E100" i="4" l="1"/>
  <c r="B101" i="4"/>
  <c r="D100" i="4"/>
  <c r="C57" i="1"/>
  <c r="F56" i="1"/>
  <c r="E56" i="1"/>
  <c r="D101" i="4" l="1"/>
  <c r="B102" i="4"/>
  <c r="E101" i="4"/>
  <c r="C58" i="1"/>
  <c r="F57" i="1"/>
  <c r="E57" i="1"/>
  <c r="E102" i="4" l="1"/>
  <c r="D102" i="4"/>
  <c r="B103" i="4"/>
  <c r="E58" i="1"/>
  <c r="C59" i="1"/>
  <c r="F58" i="1"/>
  <c r="D103" i="4" l="1"/>
  <c r="B104" i="4"/>
  <c r="E103" i="4"/>
  <c r="C60" i="1"/>
  <c r="F59" i="1"/>
  <c r="E59" i="1"/>
  <c r="E104" i="4" l="1"/>
  <c r="B105" i="4"/>
  <c r="D104" i="4"/>
  <c r="E60" i="1"/>
  <c r="C61" i="1"/>
  <c r="F60" i="1"/>
  <c r="D105" i="4" l="1"/>
  <c r="B106" i="4"/>
  <c r="E105" i="4"/>
  <c r="C62" i="1"/>
  <c r="F61" i="1"/>
  <c r="E61" i="1"/>
  <c r="E106" i="4" l="1"/>
  <c r="D106" i="4"/>
  <c r="B107" i="4"/>
  <c r="E62" i="1"/>
  <c r="C63" i="1"/>
  <c r="F62" i="1"/>
  <c r="D107" i="4" l="1"/>
  <c r="B108" i="4"/>
  <c r="E107" i="4"/>
  <c r="C64" i="1"/>
  <c r="F63" i="1"/>
  <c r="E63" i="1"/>
  <c r="E108" i="4" l="1"/>
  <c r="B109" i="4"/>
  <c r="D108" i="4"/>
  <c r="C65" i="1"/>
  <c r="F64" i="1"/>
  <c r="E64" i="1"/>
  <c r="D109" i="4" l="1"/>
  <c r="B110" i="4"/>
  <c r="E109" i="4"/>
  <c r="E65" i="1"/>
  <c r="C66" i="1"/>
  <c r="F65" i="1"/>
  <c r="E110" i="4" l="1"/>
  <c r="D110" i="4"/>
  <c r="B111" i="4"/>
  <c r="C67" i="1"/>
  <c r="F66" i="1"/>
  <c r="E66" i="1"/>
  <c r="D111" i="4" l="1"/>
  <c r="E111" i="4"/>
  <c r="B112" i="4"/>
  <c r="E67" i="1"/>
  <c r="C68" i="1"/>
  <c r="F67" i="1"/>
  <c r="E112" i="4" l="1"/>
  <c r="D112" i="4"/>
  <c r="B113" i="4"/>
  <c r="C69" i="1"/>
  <c r="F68" i="1"/>
  <c r="E68" i="1"/>
  <c r="D113" i="4" l="1"/>
  <c r="E113" i="4"/>
  <c r="B114" i="4"/>
  <c r="E69" i="1"/>
  <c r="C70" i="1"/>
  <c r="F69" i="1"/>
  <c r="E114" i="4" l="1"/>
  <c r="B115" i="4"/>
  <c r="D114" i="4"/>
  <c r="C71" i="1"/>
  <c r="F70" i="1"/>
  <c r="E70" i="1"/>
  <c r="B116" i="4" l="1"/>
  <c r="D115" i="4"/>
  <c r="E115" i="4"/>
  <c r="C72" i="1"/>
  <c r="F71" i="1"/>
  <c r="E71" i="1"/>
  <c r="E116" i="4" l="1"/>
  <c r="B117" i="4"/>
  <c r="D116" i="4"/>
  <c r="E72" i="1"/>
  <c r="C73" i="1"/>
  <c r="F72" i="1"/>
  <c r="B118" i="4" l="1"/>
  <c r="D117" i="4"/>
  <c r="E117" i="4"/>
  <c r="C74" i="1"/>
  <c r="F73" i="1"/>
  <c r="E73" i="1"/>
  <c r="E118" i="4" l="1"/>
  <c r="D118" i="4"/>
  <c r="B119" i="4"/>
  <c r="E74" i="1"/>
  <c r="C75" i="1"/>
  <c r="F74" i="1"/>
  <c r="E119" i="4" l="1"/>
  <c r="B120" i="4"/>
  <c r="D119" i="4"/>
  <c r="C76" i="1"/>
  <c r="F75" i="1"/>
  <c r="E75" i="1"/>
  <c r="E120" i="4" l="1"/>
  <c r="D120" i="4"/>
  <c r="B121" i="4"/>
  <c r="C77" i="1"/>
  <c r="F76" i="1"/>
  <c r="E76" i="1"/>
  <c r="D121" i="4" l="1"/>
  <c r="E121" i="4"/>
  <c r="B122" i="4"/>
  <c r="E77" i="1"/>
  <c r="C78" i="1"/>
  <c r="F77" i="1"/>
  <c r="E122" i="4" l="1"/>
  <c r="B123" i="4"/>
  <c r="D122" i="4"/>
  <c r="C79" i="1"/>
  <c r="F78" i="1"/>
  <c r="E78" i="1"/>
  <c r="B124" i="4" l="1"/>
  <c r="D123" i="4"/>
  <c r="E123" i="4"/>
  <c r="C80" i="1"/>
  <c r="F79" i="1"/>
  <c r="E79" i="1"/>
  <c r="E124" i="4" l="1"/>
  <c r="B125" i="4"/>
  <c r="D124" i="4"/>
  <c r="E80" i="1"/>
  <c r="C81" i="1"/>
  <c r="F80" i="1"/>
  <c r="B126" i="4" l="1"/>
  <c r="D125" i="4"/>
  <c r="E125" i="4"/>
  <c r="C82" i="1"/>
  <c r="F81" i="1"/>
  <c r="E81" i="1"/>
  <c r="E126" i="4" l="1"/>
  <c r="B127" i="4"/>
  <c r="D126" i="4"/>
  <c r="F82" i="1"/>
  <c r="C83" i="1"/>
  <c r="E82" i="1"/>
  <c r="E127" i="4" l="1"/>
  <c r="D127" i="4"/>
  <c r="B128" i="4"/>
  <c r="F83" i="1"/>
  <c r="E83" i="1"/>
  <c r="C84" i="1"/>
  <c r="E128" i="4" l="1"/>
  <c r="D128" i="4"/>
  <c r="B129" i="4"/>
  <c r="F84" i="1"/>
  <c r="E84" i="1"/>
  <c r="C85" i="1"/>
  <c r="D129" i="4" l="1"/>
  <c r="E129" i="4"/>
  <c r="B130" i="4"/>
  <c r="F85" i="1"/>
  <c r="E85" i="1"/>
  <c r="C86" i="1"/>
  <c r="E130" i="4" l="1"/>
  <c r="B131" i="4"/>
  <c r="D130" i="4"/>
  <c r="F86" i="1"/>
  <c r="E86" i="1"/>
  <c r="C87" i="1"/>
  <c r="B132" i="4" l="1"/>
  <c r="D131" i="4"/>
  <c r="E131" i="4"/>
  <c r="F87" i="1"/>
  <c r="E87" i="1"/>
  <c r="C88" i="1"/>
  <c r="E132" i="4" l="1"/>
  <c r="B133" i="4"/>
  <c r="D132" i="4"/>
  <c r="F88" i="1"/>
  <c r="E88" i="1"/>
  <c r="C89" i="1"/>
  <c r="B134" i="4" l="1"/>
  <c r="D133" i="4"/>
  <c r="E133" i="4"/>
  <c r="F89" i="1"/>
  <c r="E89" i="1"/>
  <c r="C90" i="1"/>
  <c r="E134" i="4" l="1"/>
  <c r="D134" i="4"/>
  <c r="B135" i="4"/>
  <c r="F90" i="1"/>
  <c r="E90" i="1"/>
  <c r="C91" i="1"/>
  <c r="E135" i="4" l="1"/>
  <c r="B136" i="4"/>
  <c r="D135" i="4"/>
  <c r="F91" i="1"/>
  <c r="E91" i="1"/>
  <c r="C92" i="1"/>
  <c r="E136" i="4" l="1"/>
  <c r="D136" i="4"/>
  <c r="B137" i="4"/>
  <c r="F92" i="1"/>
  <c r="E92" i="1"/>
  <c r="C93" i="1"/>
  <c r="D137" i="4" l="1"/>
  <c r="E137" i="4"/>
  <c r="B138" i="4"/>
  <c r="F93" i="1"/>
  <c r="E93" i="1"/>
  <c r="C94" i="1"/>
  <c r="E138" i="4" l="1"/>
  <c r="B139" i="4"/>
  <c r="D138" i="4"/>
  <c r="F94" i="1"/>
  <c r="E94" i="1"/>
  <c r="C95" i="1"/>
  <c r="B140" i="4" l="1"/>
  <c r="D139" i="4"/>
  <c r="E139" i="4"/>
  <c r="F95" i="1"/>
  <c r="E95" i="1"/>
  <c r="C96" i="1"/>
  <c r="E140" i="4" l="1"/>
  <c r="B141" i="4"/>
  <c r="D140" i="4"/>
  <c r="F96" i="1"/>
  <c r="E96" i="1"/>
  <c r="C97" i="1"/>
  <c r="B142" i="4" l="1"/>
  <c r="D141" i="4"/>
  <c r="E141" i="4"/>
  <c r="F97" i="1"/>
  <c r="E97" i="1"/>
  <c r="C98" i="1"/>
  <c r="E142" i="4" l="1"/>
  <c r="B143" i="4"/>
  <c r="D142" i="4"/>
  <c r="F98" i="1"/>
  <c r="E98" i="1"/>
  <c r="C99" i="1"/>
  <c r="E143" i="4" l="1"/>
  <c r="D143" i="4"/>
  <c r="B144" i="4"/>
  <c r="F99" i="1"/>
  <c r="E99" i="1"/>
  <c r="C100" i="1"/>
  <c r="E144" i="4" l="1"/>
  <c r="D144" i="4"/>
  <c r="B145" i="4"/>
  <c r="F100" i="1"/>
  <c r="E100" i="1"/>
  <c r="C101" i="1"/>
  <c r="D145" i="4" l="1"/>
  <c r="E145" i="4"/>
  <c r="B146" i="4"/>
  <c r="F101" i="1"/>
  <c r="E101" i="1"/>
  <c r="C102" i="1"/>
  <c r="E146" i="4" l="1"/>
  <c r="B147" i="4"/>
  <c r="D146" i="4"/>
  <c r="F102" i="1"/>
  <c r="E102" i="1"/>
  <c r="C103" i="1"/>
  <c r="B148" i="4" l="1"/>
  <c r="D147" i="4"/>
  <c r="E147" i="4"/>
  <c r="F103" i="1"/>
  <c r="E103" i="1"/>
  <c r="C104" i="1"/>
  <c r="E148" i="4" l="1"/>
  <c r="B149" i="4"/>
  <c r="D148" i="4"/>
  <c r="F104" i="1"/>
  <c r="E104" i="1"/>
  <c r="C105" i="1"/>
  <c r="B150" i="4" l="1"/>
  <c r="D149" i="4"/>
  <c r="E149" i="4"/>
  <c r="F105" i="1"/>
  <c r="E105" i="1"/>
  <c r="C106" i="1"/>
  <c r="E150" i="4" l="1"/>
  <c r="D150" i="4"/>
  <c r="B151" i="4"/>
  <c r="F106" i="1"/>
  <c r="C107" i="1"/>
  <c r="E106" i="1"/>
  <c r="E151" i="4" l="1"/>
  <c r="D151" i="4"/>
  <c r="B152" i="4"/>
  <c r="F107" i="1"/>
  <c r="C108" i="1"/>
  <c r="E107" i="1"/>
  <c r="E152" i="4" l="1"/>
  <c r="D152" i="4"/>
  <c r="B153" i="4"/>
  <c r="F108" i="1"/>
  <c r="C109" i="1"/>
  <c r="E108" i="1"/>
  <c r="D153" i="4" l="1"/>
  <c r="B154" i="4"/>
  <c r="E153" i="4"/>
  <c r="F109" i="1"/>
  <c r="E109" i="1"/>
  <c r="C110" i="1"/>
  <c r="E154" i="4" l="1"/>
  <c r="B155" i="4"/>
  <c r="D154" i="4"/>
  <c r="F110" i="1"/>
  <c r="C111" i="1"/>
  <c r="E110" i="1"/>
  <c r="B156" i="4" l="1"/>
  <c r="D155" i="4"/>
  <c r="E155" i="4"/>
  <c r="F111" i="1"/>
  <c r="C112" i="1"/>
  <c r="E111" i="1"/>
  <c r="E156" i="4" l="1"/>
  <c r="D156" i="4"/>
  <c r="B157" i="4"/>
  <c r="F112" i="1"/>
  <c r="C113" i="1"/>
  <c r="E112" i="1"/>
  <c r="D157" i="4" l="1"/>
  <c r="E157" i="4"/>
  <c r="B158" i="4"/>
  <c r="F113" i="1"/>
  <c r="E113" i="1"/>
  <c r="C114" i="1"/>
  <c r="E158" i="4" l="1"/>
  <c r="D158" i="4"/>
  <c r="B159" i="4"/>
  <c r="F114" i="1"/>
  <c r="C115" i="1"/>
  <c r="E114" i="1"/>
  <c r="E159" i="4" l="1"/>
  <c r="B160" i="4"/>
  <c r="D159" i="4"/>
  <c r="F115" i="1"/>
  <c r="C116" i="1"/>
  <c r="E115" i="1"/>
  <c r="E160" i="4" l="1"/>
  <c r="D160" i="4"/>
  <c r="B161" i="4"/>
  <c r="F116" i="1"/>
  <c r="C117" i="1"/>
  <c r="E116" i="1"/>
  <c r="D161" i="4" l="1"/>
  <c r="B162" i="4"/>
  <c r="E161" i="4"/>
  <c r="F117" i="1"/>
  <c r="E117" i="1"/>
  <c r="C118" i="1"/>
  <c r="E162" i="4" l="1"/>
  <c r="B163" i="4"/>
  <c r="D162" i="4"/>
  <c r="F118" i="1"/>
  <c r="C119" i="1"/>
  <c r="E118" i="1"/>
  <c r="B164" i="4" l="1"/>
  <c r="D163" i="4"/>
  <c r="E163" i="4"/>
  <c r="F119" i="1"/>
  <c r="C120" i="1"/>
  <c r="E119" i="1"/>
  <c r="E164" i="4" l="1"/>
  <c r="D164" i="4"/>
  <c r="B165" i="4"/>
  <c r="F120" i="1"/>
  <c r="C121" i="1"/>
  <c r="E120" i="1"/>
  <c r="E165" i="4" l="1"/>
  <c r="B166" i="4"/>
  <c r="D165" i="4"/>
  <c r="F121" i="1"/>
  <c r="E121" i="1"/>
  <c r="C122" i="1"/>
  <c r="E166" i="4" l="1"/>
  <c r="B167" i="4"/>
  <c r="D166" i="4"/>
  <c r="F122" i="1"/>
  <c r="C123" i="1"/>
  <c r="E122" i="1"/>
  <c r="E167" i="4" l="1"/>
  <c r="B168" i="4"/>
  <c r="D167" i="4"/>
  <c r="F123" i="1"/>
  <c r="C124" i="1"/>
  <c r="E123" i="1"/>
  <c r="E168" i="4" l="1"/>
  <c r="D168" i="4"/>
  <c r="B169" i="4"/>
  <c r="F124" i="1"/>
  <c r="C125" i="1"/>
  <c r="E124" i="1"/>
  <c r="D169" i="4" l="1"/>
  <c r="B170" i="4"/>
  <c r="E169" i="4"/>
  <c r="F125" i="1"/>
  <c r="E125" i="1"/>
  <c r="C126" i="1"/>
  <c r="B171" i="4" l="1"/>
  <c r="D170" i="4"/>
  <c r="E170" i="4"/>
  <c r="F126" i="1"/>
  <c r="C127" i="1"/>
  <c r="E126" i="1"/>
  <c r="D171" i="4" l="1"/>
  <c r="B172" i="4"/>
  <c r="E171" i="4"/>
  <c r="F127" i="1"/>
  <c r="C128" i="1"/>
  <c r="E127" i="1"/>
  <c r="B173" i="4" l="1"/>
  <c r="D172" i="4"/>
  <c r="E172" i="4"/>
  <c r="F128" i="1"/>
  <c r="C129" i="1"/>
  <c r="E128" i="1"/>
  <c r="D173" i="4" l="1"/>
  <c r="B174" i="4"/>
  <c r="E173" i="4"/>
  <c r="F129" i="1"/>
  <c r="C130" i="1"/>
  <c r="E129" i="1"/>
  <c r="E174" i="4" l="1"/>
  <c r="B175" i="4"/>
  <c r="D174" i="4"/>
  <c r="F130" i="1"/>
  <c r="C131" i="1"/>
  <c r="E130" i="1"/>
  <c r="D175" i="4" l="1"/>
  <c r="B176" i="4"/>
  <c r="E175" i="4"/>
  <c r="F131" i="1"/>
  <c r="E131" i="1"/>
  <c r="C132" i="1"/>
  <c r="D176" i="4" l="1"/>
  <c r="E176" i="4"/>
  <c r="B177" i="4"/>
  <c r="F132" i="1"/>
  <c r="C133" i="1"/>
  <c r="E132" i="1"/>
  <c r="D177" i="4" l="1"/>
  <c r="B178" i="4"/>
  <c r="E177" i="4"/>
  <c r="F133" i="1"/>
  <c r="E133" i="1"/>
  <c r="C134" i="1"/>
  <c r="B179" i="4" l="1"/>
  <c r="D178" i="4"/>
  <c r="E178" i="4"/>
  <c r="F134" i="1"/>
  <c r="C135" i="1"/>
  <c r="E134" i="1"/>
  <c r="D179" i="4" l="1"/>
  <c r="B180" i="4"/>
  <c r="E179" i="4"/>
  <c r="F135" i="1"/>
  <c r="E135" i="1"/>
  <c r="C136" i="1"/>
  <c r="B181" i="4" l="1"/>
  <c r="D180" i="4"/>
  <c r="E180" i="4"/>
  <c r="F136" i="1"/>
  <c r="C137" i="1"/>
  <c r="E136" i="1"/>
  <c r="D181" i="4" l="1"/>
  <c r="B182" i="4"/>
  <c r="E181" i="4"/>
  <c r="F137" i="1"/>
  <c r="C138" i="1"/>
  <c r="E137" i="1"/>
  <c r="E182" i="4" l="1"/>
  <c r="D182" i="4"/>
  <c r="B183" i="4"/>
  <c r="F138" i="1"/>
  <c r="C139" i="1"/>
  <c r="E138" i="1"/>
  <c r="D183" i="4" l="1"/>
  <c r="B184" i="4"/>
  <c r="E183" i="4"/>
  <c r="F139" i="1"/>
  <c r="E139" i="1"/>
  <c r="C140" i="1"/>
  <c r="D184" i="4" l="1"/>
  <c r="E184" i="4"/>
  <c r="B185" i="4"/>
  <c r="F140" i="1"/>
  <c r="C141" i="1"/>
  <c r="E140" i="1"/>
  <c r="D185" i="4" l="1"/>
  <c r="B186" i="4"/>
  <c r="E185" i="4"/>
  <c r="F141" i="1"/>
  <c r="C142" i="1"/>
  <c r="E141" i="1"/>
  <c r="B187" i="4" l="1"/>
  <c r="D186" i="4"/>
  <c r="E186" i="4"/>
  <c r="F142" i="1"/>
  <c r="E142" i="1"/>
  <c r="C143" i="1"/>
  <c r="D187" i="4" l="1"/>
  <c r="B188" i="4"/>
  <c r="E187" i="4"/>
  <c r="F143" i="1"/>
  <c r="E143" i="1"/>
  <c r="C144" i="1"/>
  <c r="B189" i="4" l="1"/>
  <c r="D188" i="4"/>
  <c r="E188" i="4"/>
  <c r="F144" i="1"/>
  <c r="C145" i="1"/>
  <c r="E144" i="1"/>
  <c r="D189" i="4" l="1"/>
  <c r="B190" i="4"/>
  <c r="E189" i="4"/>
  <c r="F145" i="1"/>
  <c r="C146" i="1"/>
  <c r="E145" i="1"/>
  <c r="E190" i="4" l="1"/>
  <c r="B191" i="4"/>
  <c r="D190" i="4"/>
  <c r="F146" i="1"/>
  <c r="C147" i="1"/>
  <c r="E146" i="1"/>
  <c r="D191" i="4" l="1"/>
  <c r="B192" i="4"/>
  <c r="E191" i="4"/>
  <c r="F147" i="1"/>
  <c r="E147" i="1"/>
  <c r="C148" i="1"/>
  <c r="D192" i="4" l="1"/>
  <c r="E192" i="4"/>
  <c r="B193" i="4"/>
  <c r="F148" i="1"/>
  <c r="C149" i="1"/>
  <c r="E148" i="1"/>
  <c r="D193" i="4" l="1"/>
  <c r="B194" i="4"/>
  <c r="E193" i="4"/>
  <c r="F149" i="1"/>
  <c r="E149" i="1"/>
  <c r="C150" i="1"/>
  <c r="B195" i="4" l="1"/>
  <c r="D194" i="4"/>
  <c r="E194" i="4"/>
  <c r="F150" i="1"/>
  <c r="C151" i="1"/>
  <c r="E150" i="1"/>
  <c r="D195" i="4" l="1"/>
  <c r="B196" i="4"/>
  <c r="E195" i="4"/>
  <c r="F151" i="1"/>
  <c r="E151" i="1"/>
  <c r="C152" i="1"/>
  <c r="B197" i="4" l="1"/>
  <c r="D196" i="4"/>
  <c r="E196" i="4"/>
  <c r="F152" i="1"/>
  <c r="C153" i="1"/>
  <c r="E152" i="1"/>
  <c r="D197" i="4" l="1"/>
  <c r="B198" i="4"/>
  <c r="E197" i="4"/>
  <c r="F153" i="1"/>
  <c r="C154" i="1"/>
  <c r="E153" i="1"/>
  <c r="E198" i="4" l="1"/>
  <c r="D198" i="4"/>
  <c r="B199" i="4"/>
  <c r="F154" i="1"/>
  <c r="C155" i="1"/>
  <c r="E154" i="1"/>
  <c r="D199" i="4" l="1"/>
  <c r="B200" i="4"/>
  <c r="E199" i="4"/>
  <c r="F155" i="1"/>
  <c r="E155" i="1"/>
  <c r="C156" i="1"/>
  <c r="D200" i="4" l="1"/>
  <c r="E200" i="4"/>
  <c r="B201" i="4"/>
  <c r="F156" i="1"/>
  <c r="C157" i="1"/>
  <c r="E156" i="1"/>
  <c r="D201" i="4" l="1"/>
  <c r="B202" i="4"/>
  <c r="E201" i="4"/>
  <c r="F157" i="1"/>
  <c r="C158" i="1"/>
  <c r="E157" i="1"/>
  <c r="B203" i="4" l="1"/>
  <c r="D202" i="4"/>
  <c r="E202" i="4"/>
  <c r="F158" i="1"/>
  <c r="E158" i="1"/>
  <c r="C159" i="1"/>
  <c r="D203" i="4" l="1"/>
  <c r="B204" i="4"/>
  <c r="E203" i="4"/>
  <c r="F159" i="1"/>
  <c r="E159" i="1"/>
  <c r="C160" i="1"/>
  <c r="B205" i="4" l="1"/>
  <c r="D204" i="4"/>
  <c r="E204" i="4"/>
  <c r="F160" i="1"/>
  <c r="C161" i="1"/>
  <c r="E160" i="1"/>
  <c r="D205" i="4" l="1"/>
  <c r="B206" i="4"/>
  <c r="E205" i="4"/>
  <c r="F161" i="1"/>
  <c r="C162" i="1"/>
  <c r="E161" i="1"/>
  <c r="E206" i="4" l="1"/>
  <c r="B207" i="4"/>
  <c r="D206" i="4"/>
  <c r="F162" i="1"/>
  <c r="C163" i="1"/>
  <c r="E162" i="1"/>
  <c r="D207" i="4" l="1"/>
  <c r="B208" i="4"/>
  <c r="E207" i="4"/>
  <c r="F163" i="1"/>
  <c r="E163" i="1"/>
  <c r="C164" i="1"/>
  <c r="D208" i="4" l="1"/>
  <c r="E208" i="4"/>
  <c r="B209" i="4"/>
  <c r="F164" i="1"/>
  <c r="C165" i="1"/>
  <c r="E164" i="1"/>
  <c r="D209" i="4" l="1"/>
  <c r="B210" i="4"/>
  <c r="E209" i="4"/>
  <c r="F165" i="1"/>
  <c r="E165" i="1"/>
  <c r="C166" i="1"/>
  <c r="B211" i="4" l="1"/>
  <c r="D210" i="4"/>
  <c r="E210" i="4"/>
  <c r="F166" i="1"/>
  <c r="C167" i="1"/>
  <c r="E166" i="1"/>
  <c r="D211" i="4" l="1"/>
  <c r="B212" i="4"/>
  <c r="E211" i="4"/>
  <c r="F167" i="1"/>
  <c r="E167" i="1"/>
  <c r="C168" i="1"/>
  <c r="B213" i="4" l="1"/>
  <c r="D212" i="4"/>
  <c r="E212" i="4"/>
  <c r="F168" i="1"/>
  <c r="C169" i="1"/>
  <c r="E168" i="1"/>
  <c r="D213" i="4" l="1"/>
  <c r="B214" i="4"/>
  <c r="E213" i="4"/>
  <c r="F169" i="1"/>
  <c r="C170" i="1"/>
  <c r="E169" i="1"/>
  <c r="E214" i="4" l="1"/>
  <c r="D214" i="4"/>
  <c r="B215" i="4"/>
  <c r="F170" i="1"/>
  <c r="C171" i="1"/>
  <c r="E170" i="1"/>
  <c r="D215" i="4" l="1"/>
  <c r="B216" i="4"/>
  <c r="E215" i="4"/>
  <c r="F171" i="1"/>
  <c r="E171" i="1"/>
  <c r="C172" i="1"/>
  <c r="D216" i="4" l="1"/>
  <c r="E216" i="4"/>
  <c r="B217" i="4"/>
  <c r="F172" i="1"/>
  <c r="C173" i="1"/>
  <c r="E172" i="1"/>
  <c r="D217" i="4" l="1"/>
  <c r="B218" i="4"/>
  <c r="E217" i="4"/>
  <c r="F173" i="1"/>
  <c r="C174" i="1"/>
  <c r="E173" i="1"/>
  <c r="B219" i="4" l="1"/>
  <c r="D218" i="4"/>
  <c r="E218" i="4"/>
  <c r="F174" i="1"/>
  <c r="E174" i="1"/>
  <c r="C175" i="1"/>
  <c r="D219" i="4" l="1"/>
  <c r="B220" i="4"/>
  <c r="E219" i="4"/>
  <c r="F175" i="1"/>
  <c r="E175" i="1"/>
  <c r="C176" i="1"/>
  <c r="B221" i="4" l="1"/>
  <c r="D220" i="4"/>
  <c r="E220" i="4"/>
  <c r="F176" i="1"/>
  <c r="C177" i="1"/>
  <c r="E176" i="1"/>
  <c r="D221" i="4" l="1"/>
  <c r="B222" i="4"/>
  <c r="E221" i="4"/>
  <c r="F177" i="1"/>
  <c r="C178" i="1"/>
  <c r="E177" i="1"/>
  <c r="E222" i="4" l="1"/>
  <c r="B223" i="4"/>
  <c r="D222" i="4"/>
  <c r="F178" i="1"/>
  <c r="C179" i="1"/>
  <c r="E178" i="1"/>
  <c r="D223" i="4" l="1"/>
  <c r="B224" i="4"/>
  <c r="E223" i="4"/>
  <c r="F179" i="1"/>
  <c r="E179" i="1"/>
  <c r="C180" i="1"/>
  <c r="D224" i="4" l="1"/>
  <c r="E224" i="4"/>
  <c r="B225" i="4"/>
  <c r="F180" i="1"/>
  <c r="C181" i="1"/>
  <c r="E180" i="1"/>
  <c r="D225" i="4" l="1"/>
  <c r="B226" i="4"/>
  <c r="E225" i="4"/>
  <c r="F181" i="1"/>
  <c r="E181" i="1"/>
  <c r="C182" i="1"/>
  <c r="B227" i="4" l="1"/>
  <c r="D226" i="4"/>
  <c r="E226" i="4"/>
  <c r="F182" i="1"/>
  <c r="C183" i="1"/>
  <c r="E182" i="1"/>
  <c r="D227" i="4" l="1"/>
  <c r="B228" i="4"/>
  <c r="E227" i="4"/>
  <c r="F183" i="1"/>
  <c r="E183" i="1"/>
  <c r="C184" i="1"/>
  <c r="B229" i="4" l="1"/>
  <c r="D228" i="4"/>
  <c r="E228" i="4"/>
  <c r="F184" i="1"/>
  <c r="C185" i="1"/>
  <c r="E184" i="1"/>
  <c r="D229" i="4" l="1"/>
  <c r="B230" i="4"/>
  <c r="E229" i="4"/>
  <c r="F185" i="1"/>
  <c r="C186" i="1"/>
  <c r="E185" i="1"/>
  <c r="E230" i="4" l="1"/>
  <c r="D230" i="4"/>
  <c r="B231" i="4"/>
  <c r="F186" i="1"/>
  <c r="C187" i="1"/>
  <c r="E186" i="1"/>
  <c r="D231" i="4" l="1"/>
  <c r="B232" i="4"/>
  <c r="E231" i="4"/>
  <c r="F187" i="1"/>
  <c r="E187" i="1"/>
  <c r="C188" i="1"/>
  <c r="D232" i="4" l="1"/>
  <c r="E232" i="4"/>
  <c r="B233" i="4"/>
  <c r="F188" i="1"/>
  <c r="C189" i="1"/>
  <c r="E188" i="1"/>
  <c r="D233" i="4" l="1"/>
  <c r="B234" i="4"/>
  <c r="E233" i="4"/>
  <c r="F189" i="1"/>
  <c r="C190" i="1"/>
  <c r="E189" i="1"/>
  <c r="B235" i="4" l="1"/>
  <c r="D234" i="4"/>
  <c r="E234" i="4"/>
  <c r="F190" i="1"/>
  <c r="E190" i="1"/>
  <c r="C191" i="1"/>
  <c r="D235" i="4" l="1"/>
  <c r="B236" i="4"/>
  <c r="E235" i="4"/>
  <c r="F191" i="1"/>
  <c r="E191" i="1"/>
  <c r="C192" i="1"/>
  <c r="B237" i="4" l="1"/>
  <c r="D236" i="4"/>
  <c r="E236" i="4"/>
  <c r="F192" i="1"/>
  <c r="C193" i="1"/>
  <c r="E192" i="1"/>
  <c r="D237" i="4" l="1"/>
  <c r="B238" i="4"/>
  <c r="E237" i="4"/>
  <c r="F193" i="1"/>
  <c r="C194" i="1"/>
  <c r="E193" i="1"/>
  <c r="E238" i="4" l="1"/>
  <c r="B239" i="4"/>
  <c r="D238" i="4"/>
  <c r="F194" i="1"/>
  <c r="E194" i="1"/>
  <c r="C195" i="1"/>
  <c r="D239" i="4" l="1"/>
  <c r="B240" i="4"/>
  <c r="E239" i="4"/>
  <c r="F195" i="1"/>
  <c r="E195" i="1"/>
  <c r="C196" i="1"/>
  <c r="D240" i="4" l="1"/>
  <c r="E240" i="4"/>
  <c r="B241" i="4"/>
  <c r="F196" i="1"/>
  <c r="C197" i="1"/>
  <c r="E196" i="1"/>
  <c r="D241" i="4" l="1"/>
  <c r="B242" i="4"/>
  <c r="E241" i="4"/>
  <c r="F197" i="1"/>
  <c r="E197" i="1"/>
  <c r="C198" i="1"/>
  <c r="B243" i="4" l="1"/>
  <c r="D242" i="4"/>
  <c r="E242" i="4"/>
  <c r="F198" i="1"/>
  <c r="C199" i="1"/>
  <c r="E198" i="1"/>
  <c r="D243" i="4" l="1"/>
  <c r="B244" i="4"/>
  <c r="E243" i="4"/>
  <c r="F199" i="1"/>
  <c r="E199" i="1"/>
  <c r="C200" i="1"/>
  <c r="B245" i="4" l="1"/>
  <c r="D244" i="4"/>
  <c r="E244" i="4"/>
  <c r="F200" i="1"/>
  <c r="C201" i="1"/>
  <c r="E200" i="1"/>
  <c r="D245" i="4" l="1"/>
  <c r="B246" i="4"/>
  <c r="E245" i="4"/>
  <c r="F201" i="1"/>
  <c r="E201" i="1"/>
  <c r="C202" i="1"/>
  <c r="E246" i="4" l="1"/>
  <c r="D246" i="4"/>
  <c r="B247" i="4"/>
  <c r="F202" i="1"/>
  <c r="C203" i="1"/>
  <c r="E202" i="1"/>
  <c r="D247" i="4" l="1"/>
  <c r="B248" i="4"/>
  <c r="E247" i="4"/>
  <c r="F203" i="1"/>
  <c r="E203" i="1"/>
  <c r="C204" i="1"/>
  <c r="D248" i="4" l="1"/>
  <c r="E248" i="4"/>
  <c r="B249" i="4"/>
  <c r="F204" i="1"/>
  <c r="C205" i="1"/>
  <c r="E204" i="1"/>
  <c r="D249" i="4" l="1"/>
  <c r="B250" i="4"/>
  <c r="E249" i="4"/>
  <c r="F205" i="1"/>
  <c r="E205" i="1"/>
  <c r="C206" i="1"/>
  <c r="B251" i="4" l="1"/>
  <c r="D250" i="4"/>
  <c r="E250" i="4"/>
  <c r="F206" i="1"/>
  <c r="C207" i="1"/>
  <c r="E206" i="1"/>
  <c r="D251" i="4" l="1"/>
  <c r="B252" i="4"/>
  <c r="E251" i="4"/>
  <c r="F207" i="1"/>
  <c r="E207" i="1"/>
  <c r="C208" i="1"/>
  <c r="B253" i="4" l="1"/>
  <c r="D252" i="4"/>
  <c r="E252" i="4"/>
  <c r="F208" i="1"/>
  <c r="C209" i="1"/>
  <c r="E208" i="1"/>
  <c r="D253" i="4" l="1"/>
  <c r="E253" i="4"/>
  <c r="B254" i="4"/>
  <c r="F209" i="1"/>
  <c r="E209" i="1"/>
  <c r="C210" i="1"/>
  <c r="D254" i="4" l="1"/>
  <c r="B255" i="4"/>
  <c r="E254" i="4"/>
  <c r="F210" i="1"/>
  <c r="C211" i="1"/>
  <c r="E210" i="1"/>
  <c r="B256" i="4" l="1"/>
  <c r="D255" i="4"/>
  <c r="E255" i="4"/>
  <c r="F211" i="1"/>
  <c r="E211" i="1"/>
  <c r="C212" i="1"/>
  <c r="D256" i="4" l="1"/>
  <c r="B257" i="4"/>
  <c r="E256" i="4"/>
  <c r="F212" i="1"/>
  <c r="E212" i="1"/>
  <c r="J5" i="1" s="1"/>
  <c r="D257" i="4" l="1"/>
  <c r="E257" i="4"/>
  <c r="B258" i="4"/>
  <c r="J7" i="1"/>
  <c r="J6" i="1"/>
  <c r="J9" i="1"/>
  <c r="J8" i="1"/>
  <c r="G13" i="1" l="1"/>
  <c r="G17" i="1"/>
  <c r="G21" i="1"/>
  <c r="G25" i="1"/>
  <c r="G29" i="1"/>
  <c r="G33" i="1"/>
  <c r="G37" i="1"/>
  <c r="G41" i="1"/>
  <c r="G45" i="1"/>
  <c r="G49" i="1"/>
  <c r="G53" i="1"/>
  <c r="G57" i="1"/>
  <c r="G61" i="1"/>
  <c r="G65" i="1"/>
  <c r="G69" i="1"/>
  <c r="G73" i="1"/>
  <c r="G77" i="1"/>
  <c r="G81" i="1"/>
  <c r="G85" i="1"/>
  <c r="G89" i="1"/>
  <c r="G93" i="1"/>
  <c r="G97" i="1"/>
  <c r="G101" i="1"/>
  <c r="G105" i="1"/>
  <c r="G109" i="1"/>
  <c r="G113" i="1"/>
  <c r="G117" i="1"/>
  <c r="G121" i="1"/>
  <c r="G125" i="1"/>
  <c r="G129" i="1"/>
  <c r="G133" i="1"/>
  <c r="G137" i="1"/>
  <c r="G141" i="1"/>
  <c r="G145" i="1"/>
  <c r="G149" i="1"/>
  <c r="G153" i="1"/>
  <c r="G157" i="1"/>
  <c r="G161" i="1"/>
  <c r="G165" i="1"/>
  <c r="G169" i="1"/>
  <c r="G173" i="1"/>
  <c r="G177" i="1"/>
  <c r="G181" i="1"/>
  <c r="G185" i="1"/>
  <c r="G189" i="1"/>
  <c r="G193" i="1"/>
  <c r="G197" i="1"/>
  <c r="G201" i="1"/>
  <c r="G205" i="1"/>
  <c r="G209" i="1"/>
  <c r="H13" i="1"/>
  <c r="H17" i="1"/>
  <c r="H21" i="1"/>
  <c r="H25" i="1"/>
  <c r="H29" i="1"/>
  <c r="H33" i="1"/>
  <c r="H37" i="1"/>
  <c r="H41" i="1"/>
  <c r="H45" i="1"/>
  <c r="H49" i="1"/>
  <c r="H53" i="1"/>
  <c r="H57" i="1"/>
  <c r="H61" i="1"/>
  <c r="H65" i="1"/>
  <c r="H69" i="1"/>
  <c r="H73" i="1"/>
  <c r="H77" i="1"/>
  <c r="H81" i="1"/>
  <c r="H85" i="1"/>
  <c r="H89" i="1"/>
  <c r="H93" i="1"/>
  <c r="H97" i="1"/>
  <c r="H101" i="1"/>
  <c r="H105" i="1"/>
  <c r="H109" i="1"/>
  <c r="H113" i="1"/>
  <c r="H117" i="1"/>
  <c r="H121" i="1"/>
  <c r="H125" i="1"/>
  <c r="H129" i="1"/>
  <c r="H133" i="1"/>
  <c r="H137" i="1"/>
  <c r="H141" i="1"/>
  <c r="H145" i="1"/>
  <c r="H149" i="1"/>
  <c r="G14" i="1"/>
  <c r="G18" i="1"/>
  <c r="G22" i="1"/>
  <c r="G26" i="1"/>
  <c r="G30" i="1"/>
  <c r="G34" i="1"/>
  <c r="G38" i="1"/>
  <c r="G42" i="1"/>
  <c r="G46" i="1"/>
  <c r="G50" i="1"/>
  <c r="G54" i="1"/>
  <c r="G58" i="1"/>
  <c r="G62" i="1"/>
  <c r="G66" i="1"/>
  <c r="G70" i="1"/>
  <c r="G74" i="1"/>
  <c r="G78" i="1"/>
  <c r="G82" i="1"/>
  <c r="G86" i="1"/>
  <c r="G90" i="1"/>
  <c r="G94" i="1"/>
  <c r="G98" i="1"/>
  <c r="G102" i="1"/>
  <c r="G106" i="1"/>
  <c r="G110" i="1"/>
  <c r="G114" i="1"/>
  <c r="G118" i="1"/>
  <c r="G122" i="1"/>
  <c r="G126" i="1"/>
  <c r="G130" i="1"/>
  <c r="G134" i="1"/>
  <c r="G138" i="1"/>
  <c r="G142" i="1"/>
  <c r="G146" i="1"/>
  <c r="G150" i="1"/>
  <c r="G154" i="1"/>
  <c r="G158" i="1"/>
  <c r="G162" i="1"/>
  <c r="G166" i="1"/>
  <c r="G170" i="1"/>
  <c r="G174" i="1"/>
  <c r="G178" i="1"/>
  <c r="G182" i="1"/>
  <c r="G186" i="1"/>
  <c r="G190" i="1"/>
  <c r="G194" i="1"/>
  <c r="G198" i="1"/>
  <c r="G202" i="1"/>
  <c r="G206" i="1"/>
  <c r="G210" i="1"/>
  <c r="H14" i="1"/>
  <c r="H18" i="1"/>
  <c r="H22" i="1"/>
  <c r="H26" i="1"/>
  <c r="H30" i="1"/>
  <c r="H34" i="1"/>
  <c r="H38" i="1"/>
  <c r="H42" i="1"/>
  <c r="H46" i="1"/>
  <c r="H50" i="1"/>
  <c r="H54" i="1"/>
  <c r="H58" i="1"/>
  <c r="H62" i="1"/>
  <c r="H66" i="1"/>
  <c r="H70" i="1"/>
  <c r="H74" i="1"/>
  <c r="H78" i="1"/>
  <c r="H82" i="1"/>
  <c r="H86" i="1"/>
  <c r="H90" i="1"/>
  <c r="H94" i="1"/>
  <c r="H98" i="1"/>
  <c r="H102" i="1"/>
  <c r="H106" i="1"/>
  <c r="H110" i="1"/>
  <c r="H114" i="1"/>
  <c r="H118" i="1"/>
  <c r="H122" i="1"/>
  <c r="H126" i="1"/>
  <c r="H130" i="1"/>
  <c r="H134" i="1"/>
  <c r="H138" i="1"/>
  <c r="H142" i="1"/>
  <c r="H146" i="1"/>
  <c r="H150" i="1"/>
  <c r="G15" i="1"/>
  <c r="G23" i="1"/>
  <c r="G31" i="1"/>
  <c r="G39" i="1"/>
  <c r="G47" i="1"/>
  <c r="G55" i="1"/>
  <c r="G63" i="1"/>
  <c r="G71" i="1"/>
  <c r="G79" i="1"/>
  <c r="G87" i="1"/>
  <c r="G95" i="1"/>
  <c r="G103" i="1"/>
  <c r="G111" i="1"/>
  <c r="G119" i="1"/>
  <c r="G127" i="1"/>
  <c r="G135" i="1"/>
  <c r="G143" i="1"/>
  <c r="G151" i="1"/>
  <c r="G159" i="1"/>
  <c r="G167" i="1"/>
  <c r="G175" i="1"/>
  <c r="G183" i="1"/>
  <c r="G191" i="1"/>
  <c r="G199" i="1"/>
  <c r="G207" i="1"/>
  <c r="H15" i="1"/>
  <c r="H23" i="1"/>
  <c r="H31" i="1"/>
  <c r="H39" i="1"/>
  <c r="H47" i="1"/>
  <c r="H55" i="1"/>
  <c r="H63" i="1"/>
  <c r="H71" i="1"/>
  <c r="H79" i="1"/>
  <c r="H87" i="1"/>
  <c r="H95" i="1"/>
  <c r="H103" i="1"/>
  <c r="H111" i="1"/>
  <c r="H119" i="1"/>
  <c r="H127" i="1"/>
  <c r="H135" i="1"/>
  <c r="H143" i="1"/>
  <c r="H151" i="1"/>
  <c r="H155" i="1"/>
  <c r="H159" i="1"/>
  <c r="H163" i="1"/>
  <c r="H167" i="1"/>
  <c r="H171" i="1"/>
  <c r="H175" i="1"/>
  <c r="H179" i="1"/>
  <c r="H183" i="1"/>
  <c r="H187" i="1"/>
  <c r="H191" i="1"/>
  <c r="H195" i="1"/>
  <c r="H199" i="1"/>
  <c r="H203" i="1"/>
  <c r="H207" i="1"/>
  <c r="H211" i="1"/>
  <c r="H200" i="1"/>
  <c r="H208" i="1"/>
  <c r="G19" i="1"/>
  <c r="G35" i="1"/>
  <c r="G43" i="1"/>
  <c r="G59" i="1"/>
  <c r="G75" i="1"/>
  <c r="G91" i="1"/>
  <c r="G107" i="1"/>
  <c r="G131" i="1"/>
  <c r="G147" i="1"/>
  <c r="G163" i="1"/>
  <c r="G179" i="1"/>
  <c r="G195" i="1"/>
  <c r="G211" i="1"/>
  <c r="H27" i="1"/>
  <c r="H43" i="1"/>
  <c r="H59" i="1"/>
  <c r="H75" i="1"/>
  <c r="H99" i="1"/>
  <c r="H115" i="1"/>
  <c r="H131" i="1"/>
  <c r="H147" i="1"/>
  <c r="H157" i="1"/>
  <c r="H165" i="1"/>
  <c r="H173" i="1"/>
  <c r="H181" i="1"/>
  <c r="H189" i="1"/>
  <c r="H197" i="1"/>
  <c r="H205" i="1"/>
  <c r="H12" i="1"/>
  <c r="G20" i="1"/>
  <c r="G16" i="1"/>
  <c r="G24" i="1"/>
  <c r="G32" i="1"/>
  <c r="G40" i="1"/>
  <c r="G48" i="1"/>
  <c r="G56" i="1"/>
  <c r="G64" i="1"/>
  <c r="G72" i="1"/>
  <c r="G80" i="1"/>
  <c r="G88" i="1"/>
  <c r="G96" i="1"/>
  <c r="G104" i="1"/>
  <c r="G112" i="1"/>
  <c r="G120" i="1"/>
  <c r="G128" i="1"/>
  <c r="G136" i="1"/>
  <c r="G144" i="1"/>
  <c r="G152" i="1"/>
  <c r="G160" i="1"/>
  <c r="G168" i="1"/>
  <c r="G176" i="1"/>
  <c r="G184" i="1"/>
  <c r="G192" i="1"/>
  <c r="G200" i="1"/>
  <c r="G208" i="1"/>
  <c r="H16" i="1"/>
  <c r="H24" i="1"/>
  <c r="H32" i="1"/>
  <c r="H40" i="1"/>
  <c r="H48" i="1"/>
  <c r="H56" i="1"/>
  <c r="H64" i="1"/>
  <c r="H72" i="1"/>
  <c r="H80" i="1"/>
  <c r="H88" i="1"/>
  <c r="H96" i="1"/>
  <c r="H104" i="1"/>
  <c r="H112" i="1"/>
  <c r="H120" i="1"/>
  <c r="H128" i="1"/>
  <c r="H136" i="1"/>
  <c r="H144" i="1"/>
  <c r="H152" i="1"/>
  <c r="H156" i="1"/>
  <c r="H160" i="1"/>
  <c r="H164" i="1"/>
  <c r="H168" i="1"/>
  <c r="H172" i="1"/>
  <c r="H176" i="1"/>
  <c r="H180" i="1"/>
  <c r="H184" i="1"/>
  <c r="H188" i="1"/>
  <c r="H192" i="1"/>
  <c r="H196" i="1"/>
  <c r="H204" i="1"/>
  <c r="H212" i="1"/>
  <c r="G27" i="1"/>
  <c r="G51" i="1"/>
  <c r="G67" i="1"/>
  <c r="G83" i="1"/>
  <c r="G99" i="1"/>
  <c r="G115" i="1"/>
  <c r="G123" i="1"/>
  <c r="G139" i="1"/>
  <c r="G155" i="1"/>
  <c r="G171" i="1"/>
  <c r="G187" i="1"/>
  <c r="G203" i="1"/>
  <c r="H19" i="1"/>
  <c r="H35" i="1"/>
  <c r="H51" i="1"/>
  <c r="H67" i="1"/>
  <c r="H83" i="1"/>
  <c r="H91" i="1"/>
  <c r="H107" i="1"/>
  <c r="H123" i="1"/>
  <c r="H139" i="1"/>
  <c r="H153" i="1"/>
  <c r="H161" i="1"/>
  <c r="H169" i="1"/>
  <c r="H177" i="1"/>
  <c r="H185" i="1"/>
  <c r="H193" i="1"/>
  <c r="H201" i="1"/>
  <c r="H209" i="1"/>
  <c r="G28" i="1"/>
  <c r="G60" i="1"/>
  <c r="G92" i="1"/>
  <c r="G124" i="1"/>
  <c r="G156" i="1"/>
  <c r="G188" i="1"/>
  <c r="H20" i="1"/>
  <c r="H52" i="1"/>
  <c r="H84" i="1"/>
  <c r="H116" i="1"/>
  <c r="H148" i="1"/>
  <c r="H166" i="1"/>
  <c r="H182" i="1"/>
  <c r="H198" i="1"/>
  <c r="G68" i="1"/>
  <c r="G100" i="1"/>
  <c r="G164" i="1"/>
  <c r="H28" i="1"/>
  <c r="H60" i="1"/>
  <c r="H124" i="1"/>
  <c r="H170" i="1"/>
  <c r="H202" i="1"/>
  <c r="G44" i="1"/>
  <c r="G108" i="1"/>
  <c r="G172" i="1"/>
  <c r="H36" i="1"/>
  <c r="H100" i="1"/>
  <c r="H158" i="1"/>
  <c r="H190" i="1"/>
  <c r="G12" i="1"/>
  <c r="G84" i="1"/>
  <c r="G148" i="1"/>
  <c r="G212" i="1"/>
  <c r="H76" i="1"/>
  <c r="H140" i="1"/>
  <c r="H178" i="1"/>
  <c r="H210" i="1"/>
  <c r="G36" i="1"/>
  <c r="G132" i="1"/>
  <c r="G196" i="1"/>
  <c r="H92" i="1"/>
  <c r="H154" i="1"/>
  <c r="H186" i="1"/>
  <c r="G76" i="1"/>
  <c r="G140" i="1"/>
  <c r="G204" i="1"/>
  <c r="H68" i="1"/>
  <c r="H132" i="1"/>
  <c r="H174" i="1"/>
  <c r="H206" i="1"/>
  <c r="G52" i="1"/>
  <c r="G116" i="1"/>
  <c r="G180" i="1"/>
  <c r="H44" i="1"/>
  <c r="H108" i="1"/>
  <c r="H162" i="1"/>
  <c r="H194" i="1"/>
  <c r="E258" i="4"/>
  <c r="B259" i="4"/>
  <c r="D258" i="4"/>
  <c r="B260" i="4" l="1"/>
  <c r="D259" i="4"/>
  <c r="E259" i="4"/>
  <c r="E260" i="4" l="1"/>
  <c r="B261" i="4"/>
  <c r="D260" i="4"/>
  <c r="B262" i="4" l="1"/>
  <c r="D261" i="4"/>
  <c r="E261" i="4"/>
  <c r="E262" i="4" l="1"/>
  <c r="D262" i="4"/>
  <c r="B263" i="4"/>
  <c r="E263" i="4" l="1"/>
  <c r="D263" i="4"/>
  <c r="B264" i="4"/>
  <c r="E264" i="4" l="1"/>
  <c r="D264" i="4"/>
  <c r="B265" i="4"/>
  <c r="D265" i="4" l="1"/>
  <c r="B266" i="4"/>
  <c r="E265" i="4"/>
  <c r="E266" i="4" l="1"/>
  <c r="B267" i="4"/>
  <c r="D266" i="4"/>
  <c r="D267" i="4" l="1"/>
  <c r="B268" i="4"/>
  <c r="E267" i="4"/>
  <c r="E268" i="4" l="1"/>
  <c r="D268" i="4"/>
  <c r="B269" i="4"/>
  <c r="D269" i="4" l="1"/>
  <c r="B270" i="4"/>
  <c r="E269" i="4"/>
  <c r="E270" i="4" l="1"/>
  <c r="B271" i="4"/>
  <c r="D270" i="4"/>
  <c r="D271" i="4" l="1"/>
  <c r="B272" i="4"/>
  <c r="E271" i="4"/>
  <c r="E272" i="4" l="1"/>
  <c r="D272" i="4"/>
  <c r="B273" i="4"/>
  <c r="D273" i="4" l="1"/>
  <c r="B274" i="4"/>
  <c r="E273" i="4"/>
  <c r="E274" i="4" l="1"/>
  <c r="B275" i="4"/>
  <c r="D274" i="4"/>
  <c r="D275" i="4" l="1"/>
  <c r="B276" i="4"/>
  <c r="E275" i="4"/>
  <c r="E276" i="4" l="1"/>
  <c r="D276" i="4"/>
  <c r="B277" i="4"/>
  <c r="D277" i="4" l="1"/>
  <c r="B278" i="4"/>
  <c r="E277" i="4"/>
  <c r="E278" i="4" l="1"/>
  <c r="B279" i="4"/>
  <c r="D278" i="4"/>
  <c r="D279" i="4" l="1"/>
  <c r="B280" i="4"/>
  <c r="E279" i="4"/>
  <c r="E280" i="4" l="1"/>
  <c r="D280" i="4"/>
  <c r="B281" i="4"/>
  <c r="D281" i="4" l="1"/>
  <c r="B282" i="4"/>
  <c r="E281" i="4"/>
  <c r="E282" i="4" l="1"/>
  <c r="B283" i="4"/>
  <c r="D282" i="4"/>
  <c r="D283" i="4" l="1"/>
  <c r="B284" i="4"/>
  <c r="E283" i="4"/>
  <c r="E284" i="4" l="1"/>
  <c r="D284" i="4"/>
  <c r="B285" i="4"/>
  <c r="D285" i="4" l="1"/>
  <c r="B286" i="4"/>
  <c r="E285" i="4"/>
  <c r="E286" i="4" l="1"/>
  <c r="B287" i="4"/>
  <c r="D286" i="4"/>
  <c r="B288" i="4" l="1"/>
  <c r="D287" i="4"/>
  <c r="E287" i="4"/>
  <c r="E288" i="4" l="1"/>
  <c r="B289" i="4"/>
  <c r="D288" i="4"/>
  <c r="B290" i="4" l="1"/>
  <c r="D289" i="4"/>
  <c r="E289" i="4"/>
  <c r="E290" i="4" l="1"/>
  <c r="B291" i="4"/>
  <c r="D290" i="4"/>
  <c r="E291" i="4" l="1"/>
  <c r="B292" i="4"/>
  <c r="D291" i="4"/>
  <c r="E292" i="4" l="1"/>
  <c r="D292" i="4"/>
  <c r="B293" i="4"/>
  <c r="D293" i="4" l="1"/>
  <c r="E293" i="4"/>
  <c r="B294" i="4"/>
  <c r="E294" i="4" l="1"/>
  <c r="B295" i="4"/>
  <c r="D294" i="4"/>
  <c r="B296" i="4" l="1"/>
  <c r="D295" i="4"/>
  <c r="E295" i="4"/>
  <c r="E296" i="4" l="1"/>
  <c r="B297" i="4"/>
  <c r="D296" i="4"/>
  <c r="B298" i="4" l="1"/>
  <c r="D297" i="4"/>
  <c r="E297" i="4"/>
  <c r="E298" i="4" l="1"/>
  <c r="B299" i="4"/>
  <c r="D298" i="4"/>
  <c r="E299" i="4" l="1"/>
  <c r="B300" i="4"/>
  <c r="D299" i="4"/>
  <c r="E300" i="4" l="1"/>
  <c r="D300" i="4"/>
  <c r="B301" i="4"/>
  <c r="D301" i="4" l="1"/>
  <c r="E301" i="4"/>
  <c r="B302" i="4"/>
  <c r="E302" i="4" l="1"/>
  <c r="B303" i="4"/>
  <c r="D302" i="4"/>
  <c r="B304" i="4" l="1"/>
  <c r="D303" i="4"/>
  <c r="E303" i="4"/>
  <c r="E304" i="4" l="1"/>
  <c r="B305" i="4"/>
  <c r="D304" i="4"/>
  <c r="B306" i="4" l="1"/>
  <c r="D305" i="4"/>
  <c r="E305" i="4"/>
  <c r="E306" i="4" l="1"/>
  <c r="B307" i="4"/>
  <c r="D306" i="4"/>
  <c r="E307" i="4" l="1"/>
  <c r="B308" i="4"/>
  <c r="D307" i="4"/>
  <c r="E308" i="4" l="1"/>
  <c r="D308" i="4"/>
  <c r="B309" i="4"/>
  <c r="D309" i="4" l="1"/>
  <c r="E309" i="4"/>
  <c r="B310" i="4"/>
  <c r="E310" i="4" l="1"/>
  <c r="B311" i="4"/>
  <c r="D310" i="4"/>
  <c r="B312" i="4" l="1"/>
  <c r="D311" i="4"/>
  <c r="E311" i="4"/>
  <c r="E312" i="4" l="1"/>
  <c r="B313" i="4"/>
  <c r="D312" i="4"/>
  <c r="B314" i="4" l="1"/>
  <c r="D313" i="4"/>
  <c r="E313" i="4"/>
  <c r="E314" i="4" l="1"/>
  <c r="B315" i="4"/>
  <c r="D314" i="4"/>
  <c r="E315" i="4" l="1"/>
  <c r="B316" i="4"/>
  <c r="D315" i="4"/>
  <c r="E316" i="4" l="1"/>
  <c r="D316" i="4"/>
  <c r="B317" i="4"/>
  <c r="D317" i="4" l="1"/>
  <c r="E317" i="4"/>
  <c r="B318" i="4"/>
  <c r="E318" i="4" l="1"/>
  <c r="B319" i="4"/>
  <c r="D318" i="4"/>
  <c r="B320" i="4" l="1"/>
  <c r="D319" i="4"/>
  <c r="E319" i="4"/>
  <c r="E320" i="4" l="1"/>
  <c r="B321" i="4"/>
  <c r="D320" i="4"/>
  <c r="B322" i="4" l="1"/>
  <c r="D321" i="4"/>
  <c r="E321" i="4"/>
  <c r="E322" i="4" l="1"/>
  <c r="B323" i="4"/>
  <c r="D322" i="4"/>
  <c r="E323" i="4" l="1"/>
  <c r="B324" i="4"/>
  <c r="D323" i="4"/>
  <c r="E324" i="4" l="1"/>
  <c r="D324" i="4"/>
  <c r="B325" i="4"/>
  <c r="D325" i="4" l="1"/>
  <c r="E325" i="4"/>
  <c r="B326" i="4"/>
  <c r="E326" i="4" l="1"/>
  <c r="B327" i="4"/>
  <c r="D326" i="4"/>
  <c r="B328" i="4" l="1"/>
  <c r="D327" i="4"/>
  <c r="E327" i="4"/>
  <c r="E328" i="4" l="1"/>
  <c r="B329" i="4"/>
  <c r="D328" i="4"/>
  <c r="B330" i="4" l="1"/>
  <c r="D329" i="4"/>
  <c r="E329" i="4"/>
  <c r="E330" i="4" l="1"/>
  <c r="B331" i="4"/>
  <c r="D330" i="4"/>
  <c r="E331" i="4" l="1"/>
  <c r="B332" i="4"/>
  <c r="D331" i="4"/>
  <c r="E332" i="4" l="1"/>
  <c r="D332" i="4"/>
  <c r="B333" i="4"/>
  <c r="D333" i="4" l="1"/>
  <c r="E333" i="4"/>
  <c r="B334" i="4"/>
  <c r="E334" i="4" l="1"/>
  <c r="B335" i="4"/>
  <c r="D334" i="4"/>
  <c r="B336" i="4" l="1"/>
  <c r="D335" i="4"/>
  <c r="E335" i="4"/>
  <c r="E336" i="4" l="1"/>
  <c r="B337" i="4"/>
  <c r="D336" i="4"/>
  <c r="B338" i="4" l="1"/>
  <c r="D337" i="4"/>
  <c r="E337" i="4"/>
  <c r="E338" i="4" l="1"/>
  <c r="B339" i="4"/>
  <c r="D338" i="4"/>
  <c r="E339" i="4" l="1"/>
  <c r="B340" i="4"/>
  <c r="D339" i="4"/>
  <c r="E340" i="4" l="1"/>
  <c r="D340" i="4"/>
  <c r="B341" i="4"/>
  <c r="D341" i="4" l="1"/>
  <c r="E341" i="4"/>
  <c r="B342" i="4"/>
  <c r="E342" i="4" l="1"/>
  <c r="B343" i="4"/>
  <c r="D342" i="4"/>
  <c r="B344" i="4" l="1"/>
  <c r="D343" i="4"/>
  <c r="E343" i="4"/>
  <c r="E344" i="4" l="1"/>
  <c r="B345" i="4"/>
  <c r="D344" i="4"/>
  <c r="B346" i="4" l="1"/>
  <c r="D345" i="4"/>
  <c r="E345" i="4"/>
  <c r="E346" i="4" l="1"/>
  <c r="B347" i="4"/>
  <c r="D346" i="4"/>
  <c r="E347" i="4" l="1"/>
  <c r="B348" i="4"/>
  <c r="D347" i="4"/>
  <c r="E348" i="4" l="1"/>
  <c r="D348" i="4"/>
  <c r="B349" i="4"/>
  <c r="D349" i="4" l="1"/>
  <c r="E349" i="4"/>
  <c r="B350" i="4"/>
  <c r="E350" i="4" l="1"/>
  <c r="B351" i="4"/>
  <c r="D350" i="4"/>
  <c r="B352" i="4" l="1"/>
  <c r="D351" i="4"/>
  <c r="E351" i="4"/>
  <c r="E352" i="4" l="1"/>
  <c r="B353" i="4"/>
  <c r="D352" i="4"/>
  <c r="B354" i="4" l="1"/>
  <c r="D353" i="4"/>
  <c r="E353" i="4"/>
  <c r="E354" i="4" l="1"/>
  <c r="B355" i="4"/>
  <c r="D354" i="4"/>
  <c r="E355" i="4" l="1"/>
  <c r="B356" i="4"/>
  <c r="D355" i="4"/>
  <c r="E356" i="4" l="1"/>
  <c r="D356" i="4"/>
  <c r="B357" i="4"/>
  <c r="D357" i="4" l="1"/>
  <c r="E357" i="4"/>
  <c r="B358" i="4"/>
  <c r="E358" i="4" l="1"/>
  <c r="B359" i="4"/>
  <c r="D358" i="4"/>
  <c r="B360" i="4" l="1"/>
  <c r="D359" i="4"/>
  <c r="E359" i="4"/>
  <c r="E360" i="4" l="1"/>
  <c r="B361" i="4"/>
  <c r="D360" i="4"/>
  <c r="B362" i="4" l="1"/>
  <c r="D361" i="4"/>
  <c r="E361" i="4"/>
  <c r="E362" i="4" l="1"/>
  <c r="B363" i="4"/>
  <c r="D362" i="4"/>
  <c r="E363" i="4" l="1"/>
  <c r="B364" i="4"/>
  <c r="D363" i="4"/>
  <c r="E364" i="4" l="1"/>
  <c r="D364" i="4"/>
  <c r="B365" i="4"/>
  <c r="D365" i="4" l="1"/>
  <c r="E365" i="4"/>
  <c r="B366" i="4"/>
  <c r="E366" i="4" l="1"/>
  <c r="B367" i="4"/>
  <c r="D366" i="4"/>
  <c r="B368" i="4" l="1"/>
  <c r="D367" i="4"/>
  <c r="E367" i="4"/>
  <c r="E368" i="4" l="1"/>
  <c r="B369" i="4"/>
  <c r="D368" i="4"/>
  <c r="B370" i="4" l="1"/>
  <c r="D369" i="4"/>
  <c r="E369" i="4"/>
  <c r="E370" i="4" l="1"/>
  <c r="B371" i="4"/>
  <c r="D370" i="4"/>
  <c r="E371" i="4" l="1"/>
  <c r="B372" i="4"/>
  <c r="D371" i="4"/>
  <c r="E372" i="4" l="1"/>
  <c r="D372" i="4"/>
  <c r="B373" i="4"/>
  <c r="D373" i="4" l="1"/>
  <c r="E373" i="4"/>
  <c r="B374" i="4"/>
  <c r="E374" i="4" l="1"/>
  <c r="B375" i="4"/>
  <c r="D374" i="4"/>
  <c r="B376" i="4" l="1"/>
  <c r="D375" i="4"/>
  <c r="E375" i="4"/>
  <c r="E376" i="4" l="1"/>
  <c r="B377" i="4"/>
  <c r="D376" i="4"/>
  <c r="B378" i="4" l="1"/>
  <c r="D377" i="4"/>
  <c r="E377" i="4"/>
  <c r="E378" i="4" l="1"/>
  <c r="B379" i="4"/>
  <c r="D378" i="4"/>
  <c r="E379" i="4" l="1"/>
  <c r="B380" i="4"/>
  <c r="D379" i="4"/>
  <c r="E380" i="4" l="1"/>
  <c r="D380" i="4"/>
  <c r="B381" i="4"/>
  <c r="D381" i="4" l="1"/>
  <c r="E381" i="4"/>
  <c r="B382" i="4"/>
  <c r="E382" i="4" l="1"/>
  <c r="B383" i="4"/>
  <c r="D382" i="4"/>
  <c r="B384" i="4" l="1"/>
  <c r="D383" i="4"/>
  <c r="E383" i="4"/>
  <c r="E384" i="4" l="1"/>
  <c r="B385" i="4"/>
  <c r="D384" i="4"/>
  <c r="B386" i="4" l="1"/>
  <c r="D385" i="4"/>
  <c r="E385" i="4"/>
  <c r="E386" i="4" l="1"/>
  <c r="B387" i="4"/>
  <c r="D386" i="4"/>
  <c r="E387" i="4" l="1"/>
  <c r="B388" i="4"/>
  <c r="D387" i="4"/>
  <c r="E388" i="4" l="1"/>
  <c r="D388" i="4"/>
  <c r="B389" i="4"/>
  <c r="D389" i="4" l="1"/>
  <c r="E389" i="4"/>
  <c r="B390" i="4"/>
  <c r="E390" i="4" l="1"/>
  <c r="B391" i="4"/>
  <c r="D390" i="4"/>
  <c r="B392" i="4" l="1"/>
  <c r="D391" i="4"/>
  <c r="E391" i="4"/>
  <c r="E392" i="4" l="1"/>
  <c r="B393" i="4"/>
  <c r="D392" i="4"/>
  <c r="B394" i="4" l="1"/>
  <c r="D393" i="4"/>
  <c r="E393" i="4"/>
  <c r="E394" i="4" l="1"/>
  <c r="B395" i="4"/>
  <c r="D394" i="4"/>
  <c r="E395" i="4" l="1"/>
  <c r="B396" i="4"/>
  <c r="D395" i="4"/>
  <c r="E396" i="4" l="1"/>
  <c r="D396" i="4"/>
  <c r="B397" i="4"/>
  <c r="D397" i="4" l="1"/>
  <c r="E397" i="4"/>
  <c r="B398" i="4"/>
  <c r="E398" i="4" l="1"/>
  <c r="B399" i="4"/>
  <c r="D398" i="4"/>
  <c r="B400" i="4" l="1"/>
  <c r="D399" i="4"/>
  <c r="E399" i="4"/>
  <c r="E400" i="4" l="1"/>
  <c r="D400" i="4"/>
  <c r="B401" i="4"/>
  <c r="D401" i="4" l="1"/>
  <c r="E401" i="4"/>
  <c r="B402" i="4"/>
  <c r="E402" i="4" l="1"/>
  <c r="B403" i="4"/>
  <c r="D402" i="4"/>
  <c r="E403" i="4" l="1"/>
  <c r="D403" i="4"/>
  <c r="B404" i="4"/>
  <c r="D404" i="4" l="1"/>
  <c r="B405" i="4"/>
  <c r="E404" i="4"/>
  <c r="D405" i="4" l="1"/>
  <c r="E405" i="4"/>
  <c r="B406" i="4"/>
  <c r="D406" i="4" l="1"/>
  <c r="B407" i="4"/>
  <c r="E406" i="4"/>
  <c r="B408" i="4" l="1"/>
  <c r="D407" i="4"/>
  <c r="E407" i="4"/>
  <c r="D408" i="4" l="1"/>
  <c r="B409" i="4"/>
  <c r="E408" i="4"/>
  <c r="B410" i="4" l="1"/>
  <c r="D409" i="4"/>
  <c r="E409" i="4"/>
  <c r="D410" i="4" l="1"/>
  <c r="B411" i="4"/>
  <c r="E410" i="4"/>
  <c r="E411" i="4" l="1"/>
  <c r="B412" i="4"/>
  <c r="D411" i="4"/>
  <c r="D412" i="4" l="1"/>
  <c r="B413" i="4"/>
  <c r="E412" i="4"/>
  <c r="D413" i="4" l="1"/>
  <c r="E413" i="4"/>
  <c r="B414" i="4"/>
  <c r="D414" i="4" l="1"/>
  <c r="B415" i="4"/>
  <c r="E414" i="4"/>
  <c r="B416" i="4" l="1"/>
  <c r="D415" i="4"/>
  <c r="E415" i="4"/>
  <c r="D416" i="4" l="1"/>
  <c r="B417" i="4"/>
  <c r="E416" i="4"/>
  <c r="B418" i="4" l="1"/>
  <c r="D417" i="4"/>
  <c r="E417" i="4"/>
  <c r="D418" i="4" l="1"/>
  <c r="B419" i="4"/>
  <c r="E418" i="4"/>
  <c r="E419" i="4" l="1"/>
  <c r="B420" i="4"/>
  <c r="D419" i="4"/>
  <c r="D420" i="4" l="1"/>
  <c r="B421" i="4"/>
  <c r="E420" i="4"/>
  <c r="D421" i="4" l="1"/>
  <c r="E421" i="4"/>
  <c r="B422" i="4"/>
  <c r="D422" i="4" l="1"/>
  <c r="B423" i="4"/>
  <c r="E422" i="4"/>
  <c r="B424" i="4" l="1"/>
  <c r="D423" i="4"/>
  <c r="E423" i="4"/>
  <c r="D424" i="4" l="1"/>
  <c r="B425" i="4"/>
  <c r="E424" i="4"/>
  <c r="B426" i="4" l="1"/>
  <c r="D425" i="4"/>
  <c r="E425" i="4"/>
  <c r="D426" i="4" l="1"/>
  <c r="B427" i="4"/>
  <c r="E426" i="4"/>
  <c r="E427" i="4" l="1"/>
  <c r="B428" i="4"/>
  <c r="D427" i="4"/>
  <c r="D428" i="4" l="1"/>
  <c r="B429" i="4"/>
  <c r="E428" i="4"/>
  <c r="D429" i="4" l="1"/>
  <c r="E429" i="4"/>
  <c r="B430" i="4"/>
  <c r="D430" i="4" l="1"/>
  <c r="B431" i="4"/>
  <c r="E430" i="4"/>
  <c r="B432" i="4" l="1"/>
  <c r="D431" i="4"/>
  <c r="E431" i="4"/>
  <c r="D432" i="4" l="1"/>
  <c r="B433" i="4"/>
  <c r="E432" i="4"/>
  <c r="B434" i="4" l="1"/>
  <c r="D433" i="4"/>
  <c r="E433" i="4"/>
  <c r="D434" i="4" l="1"/>
  <c r="B435" i="4"/>
  <c r="E434" i="4"/>
  <c r="E435" i="4" l="1"/>
  <c r="B436" i="4"/>
  <c r="D435" i="4"/>
  <c r="D436" i="4" l="1"/>
  <c r="B437" i="4"/>
  <c r="E436" i="4"/>
  <c r="D437" i="4" l="1"/>
  <c r="E437" i="4"/>
  <c r="B438" i="4"/>
  <c r="D438" i="4" l="1"/>
  <c r="B439" i="4"/>
  <c r="E438" i="4"/>
  <c r="B440" i="4" l="1"/>
  <c r="D439" i="4"/>
  <c r="E439" i="4"/>
  <c r="D440" i="4" l="1"/>
  <c r="B441" i="4"/>
  <c r="E440" i="4"/>
  <c r="B442" i="4" l="1"/>
  <c r="D441" i="4"/>
  <c r="E441" i="4"/>
  <c r="D442" i="4" l="1"/>
  <c r="B443" i="4"/>
  <c r="E442" i="4"/>
  <c r="E443" i="4" l="1"/>
  <c r="B444" i="4"/>
  <c r="D443" i="4"/>
  <c r="D444" i="4" l="1"/>
  <c r="B445" i="4"/>
  <c r="E444" i="4"/>
  <c r="D445" i="4" l="1"/>
  <c r="E445" i="4"/>
  <c r="B446" i="4"/>
  <c r="D446" i="4" l="1"/>
  <c r="B447" i="4"/>
  <c r="E446" i="4"/>
  <c r="D447" i="4" l="1"/>
  <c r="B448" i="4"/>
  <c r="E447" i="4"/>
  <c r="E448" i="4" l="1"/>
  <c r="D448" i="4"/>
  <c r="B449" i="4"/>
  <c r="D449" i="4" l="1"/>
  <c r="B450" i="4"/>
  <c r="E449" i="4"/>
  <c r="E450" i="4" l="1"/>
  <c r="D450" i="4"/>
  <c r="B451" i="4"/>
  <c r="D451" i="4" l="1"/>
  <c r="B452" i="4"/>
  <c r="E451" i="4"/>
  <c r="E452" i="4" l="1"/>
  <c r="B453" i="4"/>
  <c r="D452" i="4"/>
  <c r="D453" i="4" l="1"/>
  <c r="B454" i="4"/>
  <c r="E453" i="4"/>
  <c r="E454" i="4" l="1"/>
  <c r="D454" i="4"/>
  <c r="B455" i="4"/>
  <c r="D455" i="4" l="1"/>
  <c r="B456" i="4"/>
  <c r="E455" i="4"/>
  <c r="E456" i="4" l="1"/>
  <c r="D456" i="4"/>
  <c r="B457" i="4"/>
  <c r="D457" i="4" l="1"/>
  <c r="B458" i="4"/>
  <c r="E457" i="4"/>
  <c r="E458" i="4" l="1"/>
  <c r="D458" i="4"/>
  <c r="B459" i="4"/>
  <c r="D459" i="4" l="1"/>
  <c r="B460" i="4"/>
  <c r="E459" i="4"/>
  <c r="E460" i="4" l="1"/>
  <c r="B461" i="4"/>
  <c r="D460" i="4"/>
  <c r="D461" i="4" l="1"/>
  <c r="B462" i="4"/>
  <c r="E461" i="4"/>
  <c r="E462" i="4" l="1"/>
  <c r="D462" i="4"/>
  <c r="B463" i="4"/>
  <c r="D463" i="4" l="1"/>
  <c r="B464" i="4"/>
  <c r="E463" i="4"/>
  <c r="E464" i="4" l="1"/>
  <c r="D464" i="4"/>
  <c r="B465" i="4"/>
  <c r="D465" i="4" l="1"/>
  <c r="B466" i="4"/>
  <c r="E465" i="4"/>
  <c r="E466" i="4" l="1"/>
  <c r="D466" i="4"/>
  <c r="B467" i="4"/>
  <c r="D467" i="4" l="1"/>
  <c r="B468" i="4"/>
  <c r="E467" i="4"/>
  <c r="E468" i="4" l="1"/>
  <c r="B469" i="4"/>
  <c r="D468" i="4"/>
  <c r="D469" i="4" l="1"/>
  <c r="B470" i="4"/>
  <c r="E469" i="4"/>
  <c r="E470" i="4" l="1"/>
  <c r="D470" i="4"/>
  <c r="B471" i="4"/>
  <c r="D471" i="4" l="1"/>
  <c r="B472" i="4"/>
  <c r="E471" i="4"/>
  <c r="E472" i="4" l="1"/>
  <c r="D472" i="4"/>
  <c r="B473" i="4"/>
  <c r="D473" i="4" l="1"/>
  <c r="B474" i="4"/>
  <c r="E473" i="4"/>
  <c r="E474" i="4" l="1"/>
  <c r="D474" i="4"/>
  <c r="B475" i="4"/>
  <c r="D475" i="4" l="1"/>
  <c r="B476" i="4"/>
  <c r="E475" i="4"/>
  <c r="E476" i="4" l="1"/>
  <c r="B477" i="4"/>
  <c r="D476" i="4"/>
  <c r="D477" i="4" l="1"/>
  <c r="B478" i="4"/>
  <c r="E477" i="4"/>
  <c r="E478" i="4" l="1"/>
  <c r="D478" i="4"/>
  <c r="B479" i="4"/>
  <c r="D479" i="4" l="1"/>
  <c r="B480" i="4"/>
  <c r="E479" i="4"/>
  <c r="E480" i="4" l="1"/>
  <c r="D480" i="4"/>
  <c r="B481" i="4"/>
  <c r="D481" i="4" l="1"/>
  <c r="B482" i="4"/>
  <c r="E481" i="4"/>
  <c r="E482" i="4" l="1"/>
  <c r="D482" i="4"/>
  <c r="B483" i="4"/>
  <c r="D483" i="4" l="1"/>
  <c r="B484" i="4"/>
  <c r="E483" i="4"/>
  <c r="E484" i="4" l="1"/>
  <c r="B485" i="4"/>
  <c r="D484" i="4"/>
  <c r="D485" i="4" l="1"/>
  <c r="B486" i="4"/>
  <c r="E485" i="4"/>
  <c r="E486" i="4" l="1"/>
  <c r="D486" i="4"/>
  <c r="B487" i="4"/>
  <c r="D487" i="4" l="1"/>
  <c r="B488" i="4"/>
  <c r="E487" i="4"/>
  <c r="E488" i="4" l="1"/>
  <c r="D488" i="4"/>
  <c r="B489" i="4"/>
  <c r="D489" i="4" l="1"/>
  <c r="B490" i="4"/>
  <c r="E489" i="4"/>
  <c r="E490" i="4" l="1"/>
  <c r="D490" i="4"/>
  <c r="B491" i="4"/>
  <c r="D491" i="4" l="1"/>
  <c r="B492" i="4"/>
  <c r="E491" i="4"/>
  <c r="E492" i="4" l="1"/>
  <c r="B493" i="4"/>
  <c r="D492" i="4"/>
  <c r="D493" i="4" l="1"/>
  <c r="B494" i="4"/>
  <c r="E493" i="4"/>
  <c r="E494" i="4" l="1"/>
  <c r="D494" i="4"/>
  <c r="B495" i="4"/>
  <c r="D495" i="4" l="1"/>
  <c r="B496" i="4"/>
  <c r="E495" i="4"/>
  <c r="E496" i="4" l="1"/>
  <c r="D496" i="4"/>
  <c r="B497" i="4"/>
  <c r="D497" i="4" l="1"/>
  <c r="B498" i="4"/>
  <c r="E497" i="4"/>
  <c r="E498" i="4" l="1"/>
  <c r="D498" i="4"/>
  <c r="B499" i="4"/>
  <c r="D499" i="4" l="1"/>
  <c r="B500" i="4"/>
  <c r="E499" i="4"/>
  <c r="E500" i="4" l="1"/>
  <c r="B501" i="4"/>
  <c r="D500" i="4"/>
  <c r="D501" i="4" l="1"/>
  <c r="B502" i="4"/>
  <c r="E501" i="4"/>
  <c r="E502" i="4" l="1"/>
  <c r="D502" i="4"/>
  <c r="B503" i="4"/>
  <c r="D503" i="4" l="1"/>
  <c r="B504" i="4"/>
  <c r="E503" i="4"/>
  <c r="E504" i="4" l="1"/>
  <c r="D504" i="4"/>
  <c r="B505" i="4"/>
  <c r="D505" i="4" l="1"/>
  <c r="B506" i="4"/>
  <c r="E505" i="4"/>
  <c r="E506" i="4" l="1"/>
  <c r="D506" i="4"/>
  <c r="B507" i="4"/>
  <c r="D507" i="4" l="1"/>
  <c r="B508" i="4"/>
  <c r="E507" i="4"/>
  <c r="E508" i="4" l="1"/>
  <c r="B509" i="4"/>
  <c r="D508" i="4"/>
  <c r="D509" i="4" l="1"/>
  <c r="B510" i="4"/>
  <c r="E509" i="4"/>
  <c r="E510" i="4" l="1"/>
  <c r="D510" i="4"/>
  <c r="B511" i="4"/>
  <c r="D511" i="4" l="1"/>
  <c r="B512" i="4"/>
  <c r="E511" i="4"/>
  <c r="E512" i="4" l="1"/>
  <c r="D512" i="4"/>
  <c r="B513" i="4"/>
  <c r="D513" i="4" l="1"/>
  <c r="B514" i="4"/>
  <c r="E513" i="4"/>
  <c r="E514" i="4" l="1"/>
  <c r="D514" i="4"/>
  <c r="B515" i="4"/>
  <c r="D515" i="4" l="1"/>
  <c r="B516" i="4"/>
  <c r="E515" i="4"/>
  <c r="E516" i="4" l="1"/>
  <c r="B517" i="4"/>
  <c r="D516" i="4"/>
  <c r="D517" i="4" l="1"/>
  <c r="B518" i="4"/>
  <c r="E517" i="4"/>
  <c r="E518" i="4" l="1"/>
  <c r="D518" i="4"/>
  <c r="B519" i="4"/>
  <c r="D519" i="4" l="1"/>
  <c r="B520" i="4"/>
  <c r="E519" i="4"/>
  <c r="E520" i="4" l="1"/>
  <c r="D520" i="4"/>
  <c r="B521" i="4"/>
  <c r="D521" i="4" l="1"/>
  <c r="B522" i="4"/>
  <c r="E521" i="4"/>
  <c r="E522" i="4" l="1"/>
  <c r="D522" i="4"/>
  <c r="B523" i="4"/>
  <c r="D523" i="4" l="1"/>
  <c r="B524" i="4"/>
  <c r="E523" i="4"/>
  <c r="E524" i="4" l="1"/>
  <c r="B525" i="4"/>
  <c r="D524" i="4"/>
  <c r="D525" i="4" l="1"/>
  <c r="B526" i="4"/>
  <c r="E525" i="4"/>
  <c r="E526" i="4" l="1"/>
  <c r="D526" i="4"/>
  <c r="B527" i="4"/>
  <c r="D527" i="4" l="1"/>
  <c r="B528" i="4"/>
  <c r="E527" i="4"/>
  <c r="E528" i="4" l="1"/>
  <c r="D528" i="4"/>
  <c r="B529" i="4"/>
  <c r="D529" i="4" l="1"/>
  <c r="B530" i="4"/>
  <c r="E529" i="4"/>
  <c r="E530" i="4" l="1"/>
  <c r="D530" i="4"/>
  <c r="B531" i="4"/>
  <c r="D531" i="4" l="1"/>
  <c r="B532" i="4"/>
  <c r="E531" i="4"/>
  <c r="E532" i="4" l="1"/>
  <c r="B533" i="4"/>
  <c r="D532" i="4"/>
  <c r="D533" i="4" l="1"/>
  <c r="B534" i="4"/>
  <c r="E533" i="4"/>
  <c r="E534" i="4" l="1"/>
  <c r="D534" i="4"/>
  <c r="B535" i="4"/>
  <c r="D535" i="4" l="1"/>
  <c r="B536" i="4"/>
  <c r="E535" i="4"/>
  <c r="E536" i="4" l="1"/>
  <c r="D536" i="4"/>
  <c r="B537" i="4"/>
  <c r="D537" i="4" l="1"/>
  <c r="B538" i="4"/>
  <c r="E537" i="4"/>
  <c r="E538" i="4" l="1"/>
  <c r="D538" i="4"/>
  <c r="B539" i="4"/>
  <c r="D539" i="4" l="1"/>
  <c r="B540" i="4"/>
  <c r="E539" i="4"/>
  <c r="E540" i="4" l="1"/>
  <c r="B541" i="4"/>
  <c r="D540" i="4"/>
  <c r="D541" i="4" l="1"/>
  <c r="B542" i="4"/>
  <c r="E541" i="4"/>
  <c r="E542" i="4" l="1"/>
  <c r="D542" i="4"/>
  <c r="B543" i="4"/>
  <c r="D543" i="4" l="1"/>
  <c r="B544" i="4"/>
  <c r="E543" i="4"/>
  <c r="E544" i="4" l="1"/>
  <c r="D544" i="4"/>
  <c r="B545" i="4"/>
  <c r="D545" i="4" l="1"/>
  <c r="B546" i="4"/>
  <c r="E545" i="4"/>
  <c r="E546" i="4" l="1"/>
  <c r="D546" i="4"/>
  <c r="B547" i="4"/>
  <c r="D547" i="4" l="1"/>
  <c r="B548" i="4"/>
  <c r="E547" i="4"/>
  <c r="E548" i="4" l="1"/>
  <c r="B549" i="4"/>
  <c r="D548" i="4"/>
  <c r="D549" i="4" l="1"/>
  <c r="B550" i="4"/>
  <c r="E549" i="4"/>
  <c r="E550" i="4" l="1"/>
  <c r="D550" i="4"/>
  <c r="B551" i="4"/>
  <c r="D551" i="4" l="1"/>
  <c r="B552" i="4"/>
  <c r="E551" i="4"/>
  <c r="E552" i="4" l="1"/>
  <c r="D552" i="4"/>
  <c r="B553" i="4"/>
  <c r="D553" i="4" l="1"/>
  <c r="B554" i="4"/>
  <c r="E553" i="4"/>
  <c r="E554" i="4" l="1"/>
  <c r="D554" i="4"/>
  <c r="B555" i="4"/>
  <c r="D555" i="4" l="1"/>
  <c r="B556" i="4"/>
  <c r="E555" i="4"/>
  <c r="E556" i="4" l="1"/>
  <c r="B557" i="4"/>
  <c r="D556" i="4"/>
  <c r="D557" i="4" l="1"/>
  <c r="B558" i="4"/>
  <c r="E557" i="4"/>
  <c r="E558" i="4" l="1"/>
  <c r="D558" i="4"/>
  <c r="B559" i="4"/>
  <c r="D559" i="4" l="1"/>
  <c r="B560" i="4"/>
  <c r="E559" i="4"/>
  <c r="E560" i="4" l="1"/>
  <c r="D560" i="4"/>
  <c r="B561" i="4"/>
  <c r="D561" i="4" l="1"/>
  <c r="E561" i="4"/>
  <c r="B562" i="4"/>
  <c r="E562" i="4" l="1"/>
  <c r="B563" i="4"/>
  <c r="D562" i="4"/>
  <c r="B564" i="4" l="1"/>
  <c r="D563" i="4"/>
  <c r="E563" i="4"/>
  <c r="E564" i="4" l="1"/>
  <c r="B565" i="4"/>
  <c r="D564" i="4"/>
  <c r="B566" i="4" l="1"/>
  <c r="D565" i="4"/>
  <c r="E565" i="4"/>
  <c r="E566" i="4" l="1"/>
  <c r="B567" i="4"/>
  <c r="D566" i="4"/>
  <c r="E567" i="4" l="1"/>
  <c r="B568" i="4"/>
  <c r="D567" i="4"/>
  <c r="E568" i="4" l="1"/>
  <c r="D568" i="4"/>
  <c r="B569" i="4"/>
  <c r="D569" i="4" l="1"/>
  <c r="E569" i="4"/>
  <c r="B570" i="4"/>
  <c r="E570" i="4" l="1"/>
  <c r="B571" i="4"/>
  <c r="D570" i="4"/>
  <c r="B572" i="4" l="1"/>
  <c r="D571" i="4"/>
  <c r="E571" i="4"/>
  <c r="E572" i="4" l="1"/>
  <c r="B573" i="4"/>
  <c r="D572" i="4"/>
  <c r="B574" i="4" l="1"/>
  <c r="D573" i="4"/>
  <c r="E573" i="4"/>
  <c r="E574" i="4" l="1"/>
  <c r="B575" i="4"/>
  <c r="D574" i="4"/>
  <c r="E575" i="4" l="1"/>
  <c r="B576" i="4"/>
  <c r="D575" i="4"/>
  <c r="E576" i="4" l="1"/>
  <c r="D576" i="4"/>
  <c r="B577" i="4"/>
  <c r="D577" i="4" l="1"/>
  <c r="E577" i="4"/>
  <c r="B578" i="4"/>
  <c r="E578" i="4" l="1"/>
  <c r="B579" i="4"/>
  <c r="D578" i="4"/>
  <c r="B580" i="4" l="1"/>
  <c r="D579" i="4"/>
  <c r="E579" i="4"/>
  <c r="E580" i="4" l="1"/>
  <c r="B581" i="4"/>
  <c r="D580" i="4"/>
  <c r="B582" i="4" l="1"/>
  <c r="D581" i="4"/>
  <c r="E581" i="4"/>
  <c r="E582" i="4" l="1"/>
  <c r="B583" i="4"/>
  <c r="D582" i="4"/>
  <c r="E583" i="4" l="1"/>
  <c r="B584" i="4"/>
  <c r="D583" i="4"/>
  <c r="E584" i="4" l="1"/>
  <c r="D584" i="4"/>
  <c r="B585" i="4"/>
  <c r="D585" i="4" l="1"/>
  <c r="E585" i="4"/>
  <c r="B586" i="4"/>
  <c r="E586" i="4" l="1"/>
  <c r="B587" i="4"/>
  <c r="D586" i="4"/>
  <c r="B588" i="4" l="1"/>
  <c r="D587" i="4"/>
  <c r="E587" i="4"/>
  <c r="E588" i="4" l="1"/>
  <c r="B589" i="4"/>
  <c r="D588" i="4"/>
  <c r="B590" i="4" l="1"/>
  <c r="D589" i="4"/>
  <c r="E589" i="4"/>
  <c r="E590" i="4" l="1"/>
  <c r="B591" i="4"/>
  <c r="D590" i="4"/>
  <c r="E591" i="4" l="1"/>
  <c r="B592" i="4"/>
  <c r="D591" i="4"/>
  <c r="E592" i="4" l="1"/>
  <c r="D592" i="4"/>
  <c r="B593" i="4"/>
  <c r="D593" i="4" l="1"/>
  <c r="E593" i="4"/>
  <c r="B594" i="4"/>
  <c r="E594" i="4" l="1"/>
  <c r="B595" i="4"/>
  <c r="D594" i="4"/>
  <c r="B596" i="4" l="1"/>
  <c r="D595" i="4"/>
  <c r="E595" i="4"/>
  <c r="E596" i="4" l="1"/>
  <c r="B597" i="4"/>
  <c r="D596" i="4"/>
  <c r="B598" i="4" l="1"/>
  <c r="D597" i="4"/>
  <c r="E597" i="4"/>
  <c r="E598" i="4" l="1"/>
  <c r="B599" i="4"/>
  <c r="D598" i="4"/>
  <c r="E599" i="4" l="1"/>
  <c r="B600" i="4"/>
  <c r="D599" i="4"/>
  <c r="E600" i="4" l="1"/>
  <c r="D600" i="4"/>
  <c r="B601" i="4"/>
  <c r="D601" i="4" l="1"/>
  <c r="E601" i="4"/>
  <c r="B602" i="4"/>
  <c r="E602" i="4" l="1"/>
  <c r="B603" i="4"/>
  <c r="D602" i="4"/>
  <c r="B604" i="4" l="1"/>
  <c r="D603" i="4"/>
  <c r="E603" i="4"/>
  <c r="E604" i="4" l="1"/>
  <c r="B605" i="4"/>
  <c r="D604" i="4"/>
  <c r="B606" i="4" l="1"/>
  <c r="D605" i="4"/>
  <c r="E605" i="4"/>
  <c r="E606" i="4" l="1"/>
  <c r="B607" i="4"/>
  <c r="D606" i="4"/>
  <c r="E607" i="4" l="1"/>
  <c r="B608" i="4"/>
  <c r="D607" i="4"/>
  <c r="E608" i="4" l="1"/>
  <c r="D608" i="4"/>
  <c r="B609" i="4"/>
  <c r="D609" i="4" l="1"/>
  <c r="E609" i="4"/>
  <c r="B610" i="4"/>
  <c r="E610" i="4" l="1"/>
  <c r="B611" i="4"/>
  <c r="D610" i="4"/>
  <c r="B612" i="4" l="1"/>
  <c r="D611" i="4"/>
  <c r="E611" i="4"/>
  <c r="E612" i="4" l="1"/>
  <c r="D612" i="4"/>
  <c r="I5" i="4" s="1"/>
  <c r="I9" i="4" l="1"/>
  <c r="G612" i="4" s="1"/>
  <c r="I7" i="4"/>
  <c r="I6" i="4"/>
  <c r="I8" i="4"/>
  <c r="F612" i="4" l="1"/>
  <c r="G212" i="4"/>
  <c r="G213" i="4"/>
  <c r="F15" i="4"/>
  <c r="F17" i="4"/>
  <c r="F19" i="4"/>
  <c r="F21" i="4"/>
  <c r="F23" i="4"/>
  <c r="F25" i="4"/>
  <c r="G27" i="4"/>
  <c r="G29" i="4"/>
  <c r="G31" i="4"/>
  <c r="G33" i="4"/>
  <c r="G35" i="4"/>
  <c r="G37" i="4"/>
  <c r="F39" i="4"/>
  <c r="G41" i="4"/>
  <c r="F43" i="4"/>
  <c r="F45" i="4"/>
  <c r="G47" i="4"/>
  <c r="G49" i="4"/>
  <c r="F51" i="4"/>
  <c r="F53" i="4"/>
  <c r="F55" i="4"/>
  <c r="F57" i="4"/>
  <c r="G59" i="4"/>
  <c r="F61" i="4"/>
  <c r="F63" i="4"/>
  <c r="F65" i="4"/>
  <c r="G67" i="4"/>
  <c r="F69" i="4"/>
  <c r="F71" i="4"/>
  <c r="F73" i="4"/>
  <c r="G75" i="4"/>
  <c r="F77" i="4"/>
  <c r="F79" i="4"/>
  <c r="G81" i="4"/>
  <c r="F83" i="4"/>
  <c r="G85" i="4"/>
  <c r="F87" i="4"/>
  <c r="F89" i="4"/>
  <c r="G91" i="4"/>
  <c r="F93" i="4"/>
  <c r="G95" i="4"/>
  <c r="F97" i="4"/>
  <c r="G99" i="4"/>
  <c r="F101" i="4"/>
  <c r="G103" i="4"/>
  <c r="F105" i="4"/>
  <c r="G107" i="4"/>
  <c r="G109" i="4"/>
  <c r="G111" i="4"/>
  <c r="F113" i="4"/>
  <c r="G115" i="4"/>
  <c r="F117" i="4"/>
  <c r="F119" i="4"/>
  <c r="F121" i="4"/>
  <c r="F123" i="4"/>
  <c r="G125" i="4"/>
  <c r="G127" i="4"/>
  <c r="G129" i="4"/>
  <c r="F131" i="4"/>
  <c r="F133" i="4"/>
  <c r="G135" i="4"/>
  <c r="G137" i="4"/>
  <c r="G139" i="4"/>
  <c r="F141" i="4"/>
  <c r="G143" i="4"/>
  <c r="G145" i="4"/>
  <c r="F147" i="4"/>
  <c r="F149" i="4"/>
  <c r="F151" i="4"/>
  <c r="G153" i="4"/>
  <c r="F155" i="4"/>
  <c r="F157" i="4"/>
  <c r="G159" i="4"/>
  <c r="F161" i="4"/>
  <c r="F163" i="4"/>
  <c r="F165" i="4"/>
  <c r="G167" i="4"/>
  <c r="G169" i="4"/>
  <c r="F171" i="4"/>
  <c r="G173" i="4"/>
  <c r="F175" i="4"/>
  <c r="G177" i="4"/>
  <c r="F179" i="4"/>
  <c r="G181" i="4"/>
  <c r="F14" i="4"/>
  <c r="G16" i="4"/>
  <c r="F18" i="4"/>
  <c r="F20" i="4"/>
  <c r="F22" i="4"/>
  <c r="F24" i="4"/>
  <c r="G26" i="4"/>
  <c r="G28" i="4"/>
  <c r="G30" i="4"/>
  <c r="G32" i="4"/>
  <c r="F34" i="4"/>
  <c r="F36" i="4"/>
  <c r="G38" i="4"/>
  <c r="F40" i="4"/>
  <c r="F42" i="4"/>
  <c r="F44" i="4"/>
  <c r="F46" i="4"/>
  <c r="F48" i="4"/>
  <c r="F50" i="4"/>
  <c r="F52" i="4"/>
  <c r="F54" i="4"/>
  <c r="F56" i="4"/>
  <c r="F58" i="4"/>
  <c r="F60" i="4"/>
  <c r="F62" i="4"/>
  <c r="F64" i="4"/>
  <c r="F66" i="4"/>
  <c r="F68" i="4"/>
  <c r="F70" i="4"/>
  <c r="G72" i="4"/>
  <c r="F74" i="4"/>
  <c r="G76" i="4"/>
  <c r="F78" i="4"/>
  <c r="F80" i="4"/>
  <c r="G82" i="4"/>
  <c r="F84" i="4"/>
  <c r="G86" i="4"/>
  <c r="G88" i="4"/>
  <c r="F90" i="4"/>
  <c r="G92" i="4"/>
  <c r="F94" i="4"/>
  <c r="G96" i="4"/>
  <c r="F98" i="4"/>
  <c r="G100" i="4"/>
  <c r="F102" i="4"/>
  <c r="G104" i="4"/>
  <c r="F106" i="4"/>
  <c r="G108" i="4"/>
  <c r="G110" i="4"/>
  <c r="G112" i="4"/>
  <c r="F114" i="4"/>
  <c r="F116" i="4"/>
  <c r="F118" i="4"/>
  <c r="F120" i="4"/>
  <c r="G122" i="4"/>
  <c r="G124" i="4"/>
  <c r="G126" i="4"/>
  <c r="G128" i="4"/>
  <c r="F130" i="4"/>
  <c r="F132" i="4"/>
  <c r="F134" i="4"/>
  <c r="G136" i="4"/>
  <c r="G138" i="4"/>
  <c r="G140" i="4"/>
  <c r="G142" i="4"/>
  <c r="G144" i="4"/>
  <c r="G146" i="4"/>
  <c r="F148" i="4"/>
  <c r="F150" i="4"/>
  <c r="F152" i="4"/>
  <c r="F154" i="4"/>
  <c r="G156" i="4"/>
  <c r="F158" i="4"/>
  <c r="F160" i="4"/>
  <c r="G162" i="4"/>
  <c r="G164" i="4"/>
  <c r="G166" i="4"/>
  <c r="G168" i="4"/>
  <c r="G170" i="4"/>
  <c r="G172" i="4"/>
  <c r="F174" i="4"/>
  <c r="F176" i="4"/>
  <c r="F178" i="4"/>
  <c r="G180" i="4"/>
  <c r="F182" i="4"/>
  <c r="G14" i="4"/>
  <c r="F16" i="4"/>
  <c r="G18" i="4"/>
  <c r="G20" i="4"/>
  <c r="G22" i="4"/>
  <c r="G24" i="4"/>
  <c r="F26" i="4"/>
  <c r="F28" i="4"/>
  <c r="F30" i="4"/>
  <c r="F32" i="4"/>
  <c r="G34" i="4"/>
  <c r="G36" i="4"/>
  <c r="F38" i="4"/>
  <c r="G40" i="4"/>
  <c r="G42" i="4"/>
  <c r="G44" i="4"/>
  <c r="G46" i="4"/>
  <c r="G48" i="4"/>
  <c r="G50" i="4"/>
  <c r="G52" i="4"/>
  <c r="G54" i="4"/>
  <c r="G56" i="4"/>
  <c r="G58" i="4"/>
  <c r="G60" i="4"/>
  <c r="G62" i="4"/>
  <c r="G64" i="4"/>
  <c r="G66" i="4"/>
  <c r="G68" i="4"/>
  <c r="G70" i="4"/>
  <c r="F72" i="4"/>
  <c r="G74" i="4"/>
  <c r="F76" i="4"/>
  <c r="G78" i="4"/>
  <c r="G80" i="4"/>
  <c r="F82" i="4"/>
  <c r="G84" i="4"/>
  <c r="F86" i="4"/>
  <c r="F88" i="4"/>
  <c r="G90" i="4"/>
  <c r="F92" i="4"/>
  <c r="G94" i="4"/>
  <c r="F96" i="4"/>
  <c r="G98" i="4"/>
  <c r="F100" i="4"/>
  <c r="G102" i="4"/>
  <c r="F104" i="4"/>
  <c r="G106" i="4"/>
  <c r="F108" i="4"/>
  <c r="F110" i="4"/>
  <c r="F112" i="4"/>
  <c r="G114" i="4"/>
  <c r="G116" i="4"/>
  <c r="G118" i="4"/>
  <c r="G120" i="4"/>
  <c r="F122" i="4"/>
  <c r="F124" i="4"/>
  <c r="F126" i="4"/>
  <c r="F128" i="4"/>
  <c r="G130" i="4"/>
  <c r="G132" i="4"/>
  <c r="G134" i="4"/>
  <c r="F136" i="4"/>
  <c r="F138" i="4"/>
  <c r="F140" i="4"/>
  <c r="F142" i="4"/>
  <c r="F144" i="4"/>
  <c r="F146" i="4"/>
  <c r="G148" i="4"/>
  <c r="G150" i="4"/>
  <c r="G15" i="4"/>
  <c r="G23" i="4"/>
  <c r="F31" i="4"/>
  <c r="G39" i="4"/>
  <c r="F47" i="4"/>
  <c r="G55" i="4"/>
  <c r="G63" i="4"/>
  <c r="G71" i="4"/>
  <c r="G79" i="4"/>
  <c r="G87" i="4"/>
  <c r="F95" i="4"/>
  <c r="F103" i="4"/>
  <c r="F111" i="4"/>
  <c r="G119" i="4"/>
  <c r="F127" i="4"/>
  <c r="F135" i="4"/>
  <c r="F143" i="4"/>
  <c r="G151" i="4"/>
  <c r="G155" i="4"/>
  <c r="F159" i="4"/>
  <c r="G163" i="4"/>
  <c r="F167" i="4"/>
  <c r="G171" i="4"/>
  <c r="G175" i="4"/>
  <c r="G179" i="4"/>
  <c r="G183" i="4"/>
  <c r="F185" i="4"/>
  <c r="G187" i="4"/>
  <c r="F189" i="4"/>
  <c r="G191" i="4"/>
  <c r="F193" i="4"/>
  <c r="G195" i="4"/>
  <c r="F197" i="4"/>
  <c r="G199" i="4"/>
  <c r="F201" i="4"/>
  <c r="G203" i="4"/>
  <c r="F203" i="4"/>
  <c r="F205" i="4"/>
  <c r="F207" i="4"/>
  <c r="G209" i="4"/>
  <c r="F211" i="4"/>
  <c r="G61" i="4"/>
  <c r="F194" i="4"/>
  <c r="G17" i="4"/>
  <c r="G25" i="4"/>
  <c r="F33" i="4"/>
  <c r="F41" i="4"/>
  <c r="F49" i="4"/>
  <c r="G57" i="4"/>
  <c r="G65" i="4"/>
  <c r="G73" i="4"/>
  <c r="F81" i="4"/>
  <c r="G89" i="4"/>
  <c r="G97" i="4"/>
  <c r="G105" i="4"/>
  <c r="G113" i="4"/>
  <c r="G121" i="4"/>
  <c r="F129" i="4"/>
  <c r="F137" i="4"/>
  <c r="F145" i="4"/>
  <c r="G152" i="4"/>
  <c r="F156" i="4"/>
  <c r="G160" i="4"/>
  <c r="F164" i="4"/>
  <c r="F168" i="4"/>
  <c r="F172" i="4"/>
  <c r="G176" i="4"/>
  <c r="F180" i="4"/>
  <c r="F183" i="4"/>
  <c r="G185" i="4"/>
  <c r="F187" i="4"/>
  <c r="G189" i="4"/>
  <c r="F191" i="4"/>
  <c r="G193" i="4"/>
  <c r="F195" i="4"/>
  <c r="G197" i="4"/>
  <c r="F199" i="4"/>
  <c r="G201" i="4"/>
  <c r="G13" i="4"/>
  <c r="F12" i="4"/>
  <c r="G205" i="4"/>
  <c r="G207" i="4"/>
  <c r="F209" i="4"/>
  <c r="G211" i="4"/>
  <c r="F198" i="4"/>
  <c r="F13" i="4"/>
  <c r="F208" i="4"/>
  <c r="F212" i="4"/>
  <c r="G21" i="4"/>
  <c r="F29" i="4"/>
  <c r="G45" i="4"/>
  <c r="G77" i="4"/>
  <c r="G93" i="4"/>
  <c r="F109" i="4"/>
  <c r="F125" i="4"/>
  <c r="G141" i="4"/>
  <c r="G154" i="4"/>
  <c r="F162" i="4"/>
  <c r="F170" i="4"/>
  <c r="G178" i="4"/>
  <c r="F184" i="4"/>
  <c r="F188" i="4"/>
  <c r="F192" i="4"/>
  <c r="G198" i="4"/>
  <c r="G202" i="4"/>
  <c r="G204" i="4"/>
  <c r="G206" i="4"/>
  <c r="G210" i="4"/>
  <c r="G19" i="4"/>
  <c r="F27" i="4"/>
  <c r="F35" i="4"/>
  <c r="G43" i="4"/>
  <c r="G51" i="4"/>
  <c r="F59" i="4"/>
  <c r="F67" i="4"/>
  <c r="F75" i="4"/>
  <c r="G83" i="4"/>
  <c r="F91" i="4"/>
  <c r="F99" i="4"/>
  <c r="F107" i="4"/>
  <c r="F115" i="4"/>
  <c r="G123" i="4"/>
  <c r="G131" i="4"/>
  <c r="F139" i="4"/>
  <c r="G147" i="4"/>
  <c r="F153" i="4"/>
  <c r="G157" i="4"/>
  <c r="G161" i="4"/>
  <c r="G165" i="4"/>
  <c r="F169" i="4"/>
  <c r="F173" i="4"/>
  <c r="F177" i="4"/>
  <c r="F181" i="4"/>
  <c r="G184" i="4"/>
  <c r="G186" i="4"/>
  <c r="G188" i="4"/>
  <c r="F190" i="4"/>
  <c r="G192" i="4"/>
  <c r="G194" i="4"/>
  <c r="G196" i="4"/>
  <c r="F200" i="4"/>
  <c r="F202" i="4"/>
  <c r="F204" i="4"/>
  <c r="F206" i="4"/>
  <c r="F210" i="4"/>
  <c r="F213" i="4"/>
  <c r="F37" i="4"/>
  <c r="G53" i="4"/>
  <c r="G69" i="4"/>
  <c r="F85" i="4"/>
  <c r="G101" i="4"/>
  <c r="G117" i="4"/>
  <c r="G133" i="4"/>
  <c r="G149" i="4"/>
  <c r="G158" i="4"/>
  <c r="F166" i="4"/>
  <c r="G174" i="4"/>
  <c r="G182" i="4"/>
  <c r="F186" i="4"/>
  <c r="G190" i="4"/>
  <c r="F196" i="4"/>
  <c r="G200" i="4"/>
  <c r="G12" i="4"/>
  <c r="G208" i="4"/>
  <c r="G214" i="4"/>
  <c r="F214" i="4"/>
  <c r="F215" i="4"/>
  <c r="G215" i="4"/>
  <c r="F216" i="4"/>
  <c r="G216" i="4"/>
  <c r="G217" i="4"/>
  <c r="F217" i="4"/>
  <c r="F218" i="4"/>
  <c r="G218" i="4"/>
  <c r="F219" i="4"/>
  <c r="G219" i="4"/>
  <c r="F220" i="4"/>
  <c r="G220" i="4"/>
  <c r="G221" i="4"/>
  <c r="F221" i="4"/>
  <c r="G222" i="4"/>
  <c r="F222" i="4"/>
  <c r="F223" i="4"/>
  <c r="G223" i="4"/>
  <c r="F224" i="4"/>
  <c r="G224" i="4"/>
  <c r="G225" i="4"/>
  <c r="F225" i="4"/>
  <c r="F226" i="4"/>
  <c r="G226" i="4"/>
  <c r="F227" i="4"/>
  <c r="G227" i="4"/>
  <c r="F228" i="4"/>
  <c r="G228" i="4"/>
  <c r="G229" i="4"/>
  <c r="F229" i="4"/>
  <c r="G230" i="4"/>
  <c r="F230" i="4"/>
  <c r="F231" i="4"/>
  <c r="G231" i="4"/>
  <c r="F232" i="4"/>
  <c r="G232" i="4"/>
  <c r="G233" i="4"/>
  <c r="F233" i="4"/>
  <c r="F234" i="4"/>
  <c r="G234" i="4"/>
  <c r="F235" i="4"/>
  <c r="G235" i="4"/>
  <c r="F236" i="4"/>
  <c r="G236" i="4"/>
  <c r="G237" i="4"/>
  <c r="F237" i="4"/>
  <c r="G238" i="4"/>
  <c r="F238" i="4"/>
  <c r="G239" i="4"/>
  <c r="F239" i="4"/>
  <c r="G240" i="4"/>
  <c r="F240" i="4"/>
  <c r="F241" i="4"/>
  <c r="G241" i="4"/>
  <c r="G242" i="4"/>
  <c r="F242" i="4"/>
  <c r="F243" i="4"/>
  <c r="G243" i="4"/>
  <c r="F244" i="4"/>
  <c r="G244" i="4"/>
  <c r="G245" i="4"/>
  <c r="F245" i="4"/>
  <c r="G246" i="4"/>
  <c r="F246" i="4"/>
  <c r="F247" i="4"/>
  <c r="G247" i="4"/>
  <c r="F248" i="4"/>
  <c r="G248" i="4"/>
  <c r="G249" i="4"/>
  <c r="F249" i="4"/>
  <c r="F250" i="4"/>
  <c r="G250" i="4"/>
  <c r="F251" i="4"/>
  <c r="G251" i="4"/>
  <c r="F252" i="4"/>
  <c r="G252" i="4"/>
  <c r="F253" i="4"/>
  <c r="G253" i="4"/>
  <c r="G254" i="4"/>
  <c r="F254" i="4"/>
  <c r="F255" i="4"/>
  <c r="G255" i="4"/>
  <c r="G256" i="4"/>
  <c r="F256" i="4"/>
  <c r="F257" i="4"/>
  <c r="G257" i="4"/>
  <c r="G258" i="4"/>
  <c r="F258" i="4"/>
  <c r="G259" i="4"/>
  <c r="F259" i="4"/>
  <c r="F260" i="4"/>
  <c r="G260" i="4"/>
  <c r="G261" i="4"/>
  <c r="F261" i="4"/>
  <c r="F262" i="4"/>
  <c r="G262" i="4"/>
  <c r="G263" i="4"/>
  <c r="F263" i="4"/>
  <c r="F264" i="4"/>
  <c r="G264" i="4"/>
  <c r="F265" i="4"/>
  <c r="G265" i="4"/>
  <c r="G266" i="4"/>
  <c r="F266" i="4"/>
  <c r="G267" i="4"/>
  <c r="F267" i="4"/>
  <c r="F268" i="4"/>
  <c r="G268" i="4"/>
  <c r="F269" i="4"/>
  <c r="G269" i="4"/>
  <c r="G270" i="4"/>
  <c r="F270" i="4"/>
  <c r="G271" i="4"/>
  <c r="F271" i="4"/>
  <c r="F272" i="4"/>
  <c r="G272" i="4"/>
  <c r="F273" i="4"/>
  <c r="G273" i="4"/>
  <c r="G274" i="4"/>
  <c r="F274" i="4"/>
  <c r="G275" i="4"/>
  <c r="F275" i="4"/>
  <c r="F276" i="4"/>
  <c r="G276" i="4"/>
  <c r="F277" i="4"/>
  <c r="G277" i="4"/>
  <c r="G278" i="4"/>
  <c r="F278" i="4"/>
  <c r="G279" i="4"/>
  <c r="F279" i="4"/>
  <c r="F280" i="4"/>
  <c r="G280" i="4"/>
  <c r="F281" i="4"/>
  <c r="G281" i="4"/>
  <c r="G282" i="4"/>
  <c r="F282" i="4"/>
  <c r="G283" i="4"/>
  <c r="F283" i="4"/>
  <c r="F284" i="4"/>
  <c r="G284" i="4"/>
  <c r="F285" i="4"/>
  <c r="G285" i="4"/>
  <c r="G286" i="4"/>
  <c r="F286" i="4"/>
  <c r="G287" i="4"/>
  <c r="F287" i="4"/>
  <c r="G288" i="4"/>
  <c r="F288" i="4"/>
  <c r="F289" i="4"/>
  <c r="G289" i="4"/>
  <c r="G290" i="4"/>
  <c r="F290" i="4"/>
  <c r="F291" i="4"/>
  <c r="G291" i="4"/>
  <c r="G292" i="4"/>
  <c r="F292" i="4"/>
  <c r="F293" i="4"/>
  <c r="G293" i="4"/>
  <c r="G294" i="4"/>
  <c r="F294" i="4"/>
  <c r="G295" i="4"/>
  <c r="F295" i="4"/>
  <c r="F296" i="4"/>
  <c r="G296" i="4"/>
  <c r="G297" i="4"/>
  <c r="F297" i="4"/>
  <c r="G298" i="4"/>
  <c r="F298" i="4"/>
  <c r="F299" i="4"/>
  <c r="G299" i="4"/>
  <c r="G300" i="4"/>
  <c r="F300" i="4"/>
  <c r="F301" i="4"/>
  <c r="G301" i="4"/>
  <c r="G302" i="4"/>
  <c r="F302" i="4"/>
  <c r="G303" i="4"/>
  <c r="F303" i="4"/>
  <c r="F304" i="4"/>
  <c r="G304" i="4"/>
  <c r="G305" i="4"/>
  <c r="F305" i="4"/>
  <c r="G306" i="4"/>
  <c r="F306" i="4"/>
  <c r="F307" i="4"/>
  <c r="G307" i="4"/>
  <c r="G308" i="4"/>
  <c r="F308" i="4"/>
  <c r="F309" i="4"/>
  <c r="G309" i="4"/>
  <c r="G310" i="4"/>
  <c r="F310" i="4"/>
  <c r="G311" i="4"/>
  <c r="F311" i="4"/>
  <c r="F312" i="4"/>
  <c r="G312" i="4"/>
  <c r="G313" i="4"/>
  <c r="F313" i="4"/>
  <c r="G314" i="4"/>
  <c r="F314" i="4"/>
  <c r="F315" i="4"/>
  <c r="G315" i="4"/>
  <c r="F316" i="4"/>
  <c r="G316" i="4"/>
  <c r="F317" i="4"/>
  <c r="G317" i="4"/>
  <c r="G318" i="4"/>
  <c r="F318" i="4"/>
  <c r="G319" i="4"/>
  <c r="F319" i="4"/>
  <c r="F320" i="4"/>
  <c r="G320" i="4"/>
  <c r="G321" i="4"/>
  <c r="F321" i="4"/>
  <c r="G322" i="4"/>
  <c r="F322" i="4"/>
  <c r="F323" i="4"/>
  <c r="G323" i="4"/>
  <c r="G324" i="4"/>
  <c r="F324" i="4"/>
  <c r="F325" i="4"/>
  <c r="G325" i="4"/>
  <c r="G326" i="4"/>
  <c r="F326" i="4"/>
  <c r="G327" i="4"/>
  <c r="F327" i="4"/>
  <c r="G328" i="4"/>
  <c r="F328" i="4"/>
  <c r="F329" i="4"/>
  <c r="G329" i="4"/>
  <c r="G330" i="4"/>
  <c r="F330" i="4"/>
  <c r="F331" i="4"/>
  <c r="G331" i="4"/>
  <c r="G332" i="4"/>
  <c r="F332" i="4"/>
  <c r="F333" i="4"/>
  <c r="G333" i="4"/>
  <c r="G334" i="4"/>
  <c r="F334" i="4"/>
  <c r="G335" i="4"/>
  <c r="F335" i="4"/>
  <c r="F336" i="4"/>
  <c r="G336" i="4"/>
  <c r="G337" i="4"/>
  <c r="F337" i="4"/>
  <c r="G338" i="4"/>
  <c r="F338" i="4"/>
  <c r="F339" i="4"/>
  <c r="G339" i="4"/>
  <c r="G340" i="4"/>
  <c r="F340" i="4"/>
  <c r="F341" i="4"/>
  <c r="G341" i="4"/>
  <c r="G342" i="4"/>
  <c r="F342" i="4"/>
  <c r="G343" i="4"/>
  <c r="F343" i="4"/>
  <c r="F344" i="4"/>
  <c r="G344" i="4"/>
  <c r="G345" i="4"/>
  <c r="F345" i="4"/>
  <c r="G346" i="4"/>
  <c r="F346" i="4"/>
  <c r="F347" i="4"/>
  <c r="G347" i="4"/>
  <c r="F348" i="4"/>
  <c r="G348" i="4"/>
  <c r="F349" i="4"/>
  <c r="G349" i="4"/>
  <c r="G350" i="4"/>
  <c r="F350" i="4"/>
  <c r="G351" i="4"/>
  <c r="F351" i="4"/>
  <c r="G352" i="4"/>
  <c r="F352" i="4"/>
  <c r="F353" i="4"/>
  <c r="G353" i="4"/>
  <c r="G354" i="4"/>
  <c r="F354" i="4"/>
  <c r="F355" i="4"/>
  <c r="G355" i="4"/>
  <c r="F356" i="4"/>
  <c r="G356" i="4"/>
  <c r="G357" i="4"/>
  <c r="F357" i="4"/>
  <c r="G358" i="4"/>
  <c r="F358" i="4"/>
  <c r="G359" i="4"/>
  <c r="F359" i="4"/>
  <c r="F360" i="4"/>
  <c r="G360" i="4"/>
  <c r="G361" i="4"/>
  <c r="F361" i="4"/>
  <c r="G362" i="4"/>
  <c r="F362" i="4"/>
  <c r="F363" i="4"/>
  <c r="G363" i="4"/>
  <c r="G364" i="4"/>
  <c r="F364" i="4"/>
  <c r="G365" i="4"/>
  <c r="F365" i="4"/>
  <c r="G366" i="4"/>
  <c r="F366" i="4"/>
  <c r="G367" i="4"/>
  <c r="F367" i="4"/>
  <c r="G368" i="4"/>
  <c r="F368" i="4"/>
  <c r="G369" i="4"/>
  <c r="F369" i="4"/>
  <c r="F370" i="4"/>
  <c r="G370" i="4"/>
  <c r="G371" i="4"/>
  <c r="F371" i="4"/>
  <c r="F372" i="4"/>
  <c r="G372" i="4"/>
  <c r="G373" i="4"/>
  <c r="F373" i="4"/>
  <c r="G374" i="4"/>
  <c r="F374" i="4"/>
  <c r="G375" i="4"/>
  <c r="F375" i="4"/>
  <c r="F376" i="4"/>
  <c r="G376" i="4"/>
  <c r="G377" i="4"/>
  <c r="F377" i="4"/>
  <c r="F378" i="4"/>
  <c r="G378" i="4"/>
  <c r="F379" i="4"/>
  <c r="G379" i="4"/>
  <c r="G380" i="4"/>
  <c r="F380" i="4"/>
  <c r="G381" i="4"/>
  <c r="F381" i="4"/>
  <c r="G382" i="4"/>
  <c r="F382" i="4"/>
  <c r="G383" i="4"/>
  <c r="F383" i="4"/>
  <c r="F384" i="4"/>
  <c r="G384" i="4"/>
  <c r="G385" i="4"/>
  <c r="F385" i="4"/>
  <c r="F386" i="4"/>
  <c r="G386" i="4"/>
  <c r="F387" i="4"/>
  <c r="G387" i="4"/>
  <c r="F388" i="4"/>
  <c r="G388" i="4"/>
  <c r="G389" i="4"/>
  <c r="F389" i="4"/>
  <c r="G390" i="4"/>
  <c r="F390" i="4"/>
  <c r="G391" i="4"/>
  <c r="F391" i="4"/>
  <c r="F392" i="4"/>
  <c r="G392" i="4"/>
  <c r="G393" i="4"/>
  <c r="F393" i="4"/>
  <c r="F394" i="4"/>
  <c r="G394" i="4"/>
  <c r="G395" i="4"/>
  <c r="F395" i="4"/>
  <c r="G396" i="4"/>
  <c r="F396" i="4"/>
  <c r="F397" i="4"/>
  <c r="G397" i="4"/>
  <c r="G398" i="4"/>
  <c r="F398" i="4"/>
  <c r="G399" i="4"/>
  <c r="F399" i="4"/>
  <c r="G400" i="4"/>
  <c r="F400" i="4"/>
  <c r="G401" i="4"/>
  <c r="F401" i="4"/>
  <c r="G402" i="4"/>
  <c r="F402" i="4"/>
  <c r="F403" i="4"/>
  <c r="G403" i="4"/>
  <c r="F404" i="4"/>
  <c r="G404" i="4"/>
  <c r="F405" i="4"/>
  <c r="G405" i="4"/>
  <c r="G406" i="4"/>
  <c r="F406" i="4"/>
  <c r="F407" i="4"/>
  <c r="G407" i="4"/>
  <c r="F408" i="4"/>
  <c r="G408" i="4"/>
  <c r="F409" i="4"/>
  <c r="G409" i="4"/>
  <c r="G410" i="4"/>
  <c r="F410" i="4"/>
  <c r="G411" i="4"/>
  <c r="F411" i="4"/>
  <c r="F412" i="4"/>
  <c r="G412" i="4"/>
  <c r="F413" i="4"/>
  <c r="G413" i="4"/>
  <c r="G414" i="4"/>
  <c r="F414" i="4"/>
  <c r="F415" i="4"/>
  <c r="G415" i="4"/>
  <c r="F416" i="4"/>
  <c r="G416" i="4"/>
  <c r="F417" i="4"/>
  <c r="G417" i="4"/>
  <c r="G418" i="4"/>
  <c r="F418" i="4"/>
  <c r="F419" i="4"/>
  <c r="G419" i="4"/>
  <c r="G420" i="4"/>
  <c r="F420" i="4"/>
  <c r="G421" i="4"/>
  <c r="F421" i="4"/>
  <c r="F422" i="4"/>
  <c r="G422" i="4"/>
  <c r="G423" i="4"/>
  <c r="F423" i="4"/>
  <c r="G424" i="4"/>
  <c r="F424" i="4"/>
  <c r="G425" i="4"/>
  <c r="F425" i="4"/>
  <c r="F426" i="4"/>
  <c r="G426" i="4"/>
  <c r="G427" i="4"/>
  <c r="F427" i="4"/>
  <c r="F428" i="4"/>
  <c r="G428" i="4"/>
  <c r="F429" i="4"/>
  <c r="G429" i="4"/>
  <c r="G430" i="4"/>
  <c r="F430" i="4"/>
  <c r="F431" i="4"/>
  <c r="G431" i="4"/>
  <c r="F432" i="4"/>
  <c r="G432" i="4"/>
  <c r="F433" i="4"/>
  <c r="G433" i="4"/>
  <c r="G434" i="4"/>
  <c r="F434" i="4"/>
  <c r="G435" i="4"/>
  <c r="F435" i="4"/>
  <c r="F436" i="4"/>
  <c r="G436" i="4"/>
  <c r="F437" i="4"/>
  <c r="G437" i="4"/>
  <c r="G438" i="4"/>
  <c r="F438" i="4"/>
  <c r="F439" i="4"/>
  <c r="G439" i="4"/>
  <c r="F440" i="4"/>
  <c r="G440" i="4"/>
  <c r="F441" i="4"/>
  <c r="G441" i="4"/>
  <c r="G442" i="4"/>
  <c r="F442" i="4"/>
  <c r="G443" i="4"/>
  <c r="F443" i="4"/>
  <c r="F444" i="4"/>
  <c r="G444" i="4"/>
  <c r="F445" i="4"/>
  <c r="G445" i="4"/>
  <c r="G446" i="4"/>
  <c r="F446" i="4"/>
  <c r="G447" i="4"/>
  <c r="F447" i="4"/>
  <c r="F448" i="4"/>
  <c r="G448" i="4"/>
  <c r="F449" i="4"/>
  <c r="G449" i="4"/>
  <c r="G450" i="4"/>
  <c r="F450" i="4"/>
  <c r="G451" i="4"/>
  <c r="F451" i="4"/>
  <c r="G452" i="4"/>
  <c r="F452" i="4"/>
  <c r="G453" i="4"/>
  <c r="F453" i="4"/>
  <c r="F454" i="4"/>
  <c r="G454" i="4"/>
  <c r="F455" i="4"/>
  <c r="G455" i="4"/>
  <c r="G456" i="4"/>
  <c r="F456" i="4"/>
  <c r="G457" i="4"/>
  <c r="F457" i="4"/>
  <c r="F458" i="4"/>
  <c r="G458" i="4"/>
  <c r="G459" i="4"/>
  <c r="F459" i="4"/>
  <c r="G460" i="4"/>
  <c r="F460" i="4"/>
  <c r="G461" i="4"/>
  <c r="F461" i="4"/>
  <c r="F462" i="4"/>
  <c r="G462" i="4"/>
  <c r="G463" i="4"/>
  <c r="F463" i="4"/>
  <c r="G464" i="4"/>
  <c r="F464" i="4"/>
  <c r="G465" i="4"/>
  <c r="F465" i="4"/>
  <c r="F466" i="4"/>
  <c r="G466" i="4"/>
  <c r="G467" i="4"/>
  <c r="F467" i="4"/>
  <c r="G468" i="4"/>
  <c r="F468" i="4"/>
  <c r="G469" i="4"/>
  <c r="F469" i="4"/>
  <c r="F470" i="4"/>
  <c r="G470" i="4"/>
  <c r="F471" i="4"/>
  <c r="G471" i="4"/>
  <c r="F472" i="4"/>
  <c r="G472" i="4"/>
  <c r="G473" i="4"/>
  <c r="F473" i="4"/>
  <c r="F474" i="4"/>
  <c r="G474" i="4"/>
  <c r="G475" i="4"/>
  <c r="F475" i="4"/>
  <c r="F476" i="4"/>
  <c r="G476" i="4"/>
  <c r="G477" i="4"/>
  <c r="F477" i="4"/>
  <c r="F478" i="4"/>
  <c r="G478" i="4"/>
  <c r="F479" i="4"/>
  <c r="G479" i="4"/>
  <c r="F480" i="4"/>
  <c r="G480" i="4"/>
  <c r="G481" i="4"/>
  <c r="F481" i="4"/>
  <c r="F482" i="4"/>
  <c r="G482" i="4"/>
  <c r="G483" i="4"/>
  <c r="F483" i="4"/>
  <c r="F484" i="4"/>
  <c r="G484" i="4"/>
  <c r="G485" i="4"/>
  <c r="F485" i="4"/>
  <c r="F486" i="4"/>
  <c r="G486" i="4"/>
  <c r="G487" i="4"/>
  <c r="F487" i="4"/>
  <c r="F488" i="4"/>
  <c r="G488" i="4"/>
  <c r="G489" i="4"/>
  <c r="F489" i="4"/>
  <c r="F490" i="4"/>
  <c r="G490" i="4"/>
  <c r="G491" i="4"/>
  <c r="F491" i="4"/>
  <c r="G492" i="4"/>
  <c r="F492" i="4"/>
  <c r="G493" i="4"/>
  <c r="F493" i="4"/>
  <c r="F494" i="4"/>
  <c r="G494" i="4"/>
  <c r="G495" i="4"/>
  <c r="F495" i="4"/>
  <c r="F496" i="4"/>
  <c r="G496" i="4"/>
  <c r="G497" i="4"/>
  <c r="F497" i="4"/>
  <c r="G498" i="4"/>
  <c r="F498" i="4"/>
  <c r="G499" i="4"/>
  <c r="F499" i="4"/>
  <c r="G500" i="4"/>
  <c r="F500" i="4"/>
  <c r="G501" i="4"/>
  <c r="F501" i="4"/>
  <c r="F502" i="4"/>
  <c r="G502" i="4"/>
  <c r="F503" i="4"/>
  <c r="G503" i="4"/>
  <c r="G504" i="4"/>
  <c r="F504" i="4"/>
  <c r="G505" i="4"/>
  <c r="F505" i="4"/>
  <c r="F506" i="4"/>
  <c r="G506" i="4"/>
  <c r="G507" i="4"/>
  <c r="F507" i="4"/>
  <c r="F508" i="4"/>
  <c r="G508" i="4"/>
  <c r="G509" i="4"/>
  <c r="F509" i="4"/>
  <c r="F510" i="4"/>
  <c r="G510" i="4"/>
  <c r="F511" i="4"/>
  <c r="G511" i="4"/>
  <c r="G512" i="4"/>
  <c r="F512" i="4"/>
  <c r="G513" i="4"/>
  <c r="F513" i="4"/>
  <c r="F514" i="4"/>
  <c r="G514" i="4"/>
  <c r="F515" i="4"/>
  <c r="G515" i="4"/>
  <c r="G516" i="4"/>
  <c r="F516" i="4"/>
  <c r="G517" i="4"/>
  <c r="F517" i="4"/>
  <c r="F518" i="4"/>
  <c r="G518" i="4"/>
  <c r="F519" i="4"/>
  <c r="G519" i="4"/>
  <c r="G520" i="4"/>
  <c r="F520" i="4"/>
  <c r="G521" i="4"/>
  <c r="F521" i="4"/>
  <c r="F522" i="4"/>
  <c r="G522" i="4"/>
  <c r="F523" i="4"/>
  <c r="G523" i="4"/>
  <c r="G524" i="4"/>
  <c r="F524" i="4"/>
  <c r="G525" i="4"/>
  <c r="F525" i="4"/>
  <c r="F526" i="4"/>
  <c r="G526" i="4"/>
  <c r="F527" i="4"/>
  <c r="G527" i="4"/>
  <c r="G528" i="4"/>
  <c r="F528" i="4"/>
  <c r="G529" i="4"/>
  <c r="F529" i="4"/>
  <c r="F530" i="4"/>
  <c r="G530" i="4"/>
  <c r="F531" i="4"/>
  <c r="G531" i="4"/>
  <c r="G532" i="4"/>
  <c r="F532" i="4"/>
  <c r="G533" i="4"/>
  <c r="F533" i="4"/>
  <c r="F534" i="4"/>
  <c r="G534" i="4"/>
  <c r="F535" i="4"/>
  <c r="G535" i="4"/>
  <c r="G536" i="4"/>
  <c r="F536" i="4"/>
  <c r="G537" i="4"/>
  <c r="F537" i="4"/>
  <c r="F538" i="4"/>
  <c r="G538" i="4"/>
  <c r="F539" i="4"/>
  <c r="G539" i="4"/>
  <c r="G540" i="4"/>
  <c r="F540" i="4"/>
  <c r="G541" i="4"/>
  <c r="F541" i="4"/>
  <c r="F542" i="4"/>
  <c r="G542" i="4"/>
  <c r="F543" i="4"/>
  <c r="G543" i="4"/>
  <c r="G544" i="4"/>
  <c r="F544" i="4"/>
  <c r="G545" i="4"/>
  <c r="F545" i="4"/>
  <c r="F546" i="4"/>
  <c r="G546" i="4"/>
  <c r="F547" i="4"/>
  <c r="G547" i="4"/>
  <c r="G548" i="4"/>
  <c r="F548" i="4"/>
  <c r="G549" i="4"/>
  <c r="F549" i="4"/>
  <c r="F550" i="4"/>
  <c r="G550" i="4"/>
  <c r="F551" i="4"/>
  <c r="G551" i="4"/>
  <c r="F552" i="4"/>
  <c r="G552" i="4"/>
  <c r="F553" i="4"/>
  <c r="G553" i="4"/>
  <c r="G554" i="4"/>
  <c r="F554" i="4"/>
  <c r="F555" i="4"/>
  <c r="G555" i="4"/>
  <c r="G556" i="4"/>
  <c r="F556" i="4"/>
  <c r="F557" i="4"/>
  <c r="G557" i="4"/>
  <c r="G558" i="4"/>
  <c r="F558" i="4"/>
  <c r="G559" i="4"/>
  <c r="F559" i="4"/>
  <c r="F560" i="4"/>
  <c r="G560" i="4"/>
  <c r="G561" i="4"/>
  <c r="F561" i="4"/>
  <c r="G562" i="4"/>
  <c r="F562" i="4"/>
  <c r="G563" i="4"/>
  <c r="F563" i="4"/>
  <c r="F564" i="4"/>
  <c r="G564" i="4"/>
  <c r="G565" i="4"/>
  <c r="F565" i="4"/>
  <c r="G566" i="4"/>
  <c r="F566" i="4"/>
  <c r="G567" i="4"/>
  <c r="F567" i="4"/>
  <c r="G568" i="4"/>
  <c r="F568" i="4"/>
  <c r="F569" i="4"/>
  <c r="G569" i="4"/>
  <c r="F570" i="4"/>
  <c r="G570" i="4"/>
  <c r="F571" i="4"/>
  <c r="G571" i="4"/>
  <c r="F572" i="4"/>
  <c r="G572" i="4"/>
  <c r="G573" i="4"/>
  <c r="F573" i="4"/>
  <c r="G574" i="4"/>
  <c r="F574" i="4"/>
  <c r="F575" i="4"/>
  <c r="G575" i="4"/>
  <c r="F576" i="4"/>
  <c r="G576" i="4"/>
  <c r="G577" i="4"/>
  <c r="F577" i="4"/>
  <c r="G578" i="4"/>
  <c r="F578" i="4"/>
  <c r="F579" i="4"/>
  <c r="G579" i="4"/>
  <c r="F580" i="4"/>
  <c r="G580" i="4"/>
  <c r="G581" i="4"/>
  <c r="F581" i="4"/>
  <c r="G582" i="4"/>
  <c r="F582" i="4"/>
  <c r="G583" i="4"/>
  <c r="F583" i="4"/>
  <c r="F584" i="4"/>
  <c r="G584" i="4"/>
  <c r="F585" i="4"/>
  <c r="G585" i="4"/>
  <c r="F586" i="4"/>
  <c r="G586" i="4"/>
  <c r="G587" i="4"/>
  <c r="F587" i="4"/>
  <c r="F588" i="4"/>
  <c r="G588" i="4"/>
  <c r="G589" i="4"/>
  <c r="F589" i="4"/>
  <c r="G590" i="4"/>
  <c r="F590" i="4"/>
  <c r="F591" i="4"/>
  <c r="G591" i="4"/>
  <c r="F592" i="4"/>
  <c r="G592" i="4"/>
  <c r="G593" i="4"/>
  <c r="F593" i="4"/>
  <c r="G594" i="4"/>
  <c r="F594" i="4"/>
  <c r="G595" i="4"/>
  <c r="F595" i="4"/>
  <c r="F596" i="4"/>
  <c r="G596" i="4"/>
  <c r="G597" i="4"/>
  <c r="F597" i="4"/>
  <c r="G598" i="4"/>
  <c r="F598" i="4"/>
  <c r="F599" i="4"/>
  <c r="G599" i="4"/>
  <c r="G600" i="4"/>
  <c r="F600" i="4"/>
  <c r="F601" i="4"/>
  <c r="G601" i="4"/>
  <c r="G602" i="4"/>
  <c r="F602" i="4"/>
  <c r="G603" i="4"/>
  <c r="F603" i="4"/>
  <c r="F604" i="4"/>
  <c r="G604" i="4"/>
  <c r="G605" i="4"/>
  <c r="F605" i="4"/>
  <c r="G606" i="4"/>
  <c r="F606" i="4"/>
  <c r="F607" i="4"/>
  <c r="G607" i="4"/>
  <c r="G608" i="4"/>
  <c r="F608" i="4"/>
  <c r="F609" i="4"/>
  <c r="G609" i="4"/>
  <c r="G610" i="4"/>
  <c r="F610" i="4"/>
  <c r="G611" i="4"/>
  <c r="F611" i="4"/>
</calcChain>
</file>

<file path=xl/sharedStrings.xml><?xml version="1.0" encoding="utf-8"?>
<sst xmlns="http://schemas.openxmlformats.org/spreadsheetml/2006/main" count="42" uniqueCount="12">
  <si>
    <t>Valor Esperado</t>
  </si>
  <si>
    <t>Correlação</t>
  </si>
  <si>
    <t>Peso A</t>
  </si>
  <si>
    <t>Peso B</t>
  </si>
  <si>
    <t>Vol</t>
  </si>
  <si>
    <t xml:space="preserve">Vol </t>
  </si>
  <si>
    <t>Ativo A</t>
  </si>
  <si>
    <t>Ativo B</t>
  </si>
  <si>
    <t>Criando todas as combinações Possíveis</t>
  </si>
  <si>
    <t>Portfólio Mínima Variancia</t>
  </si>
  <si>
    <t>Min Vol</t>
  </si>
  <si>
    <t>Fronteira Eficiente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</si>
</sst>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Verdana"/>
      <family val="2"/>
    </font>
    <font>
      <sz val="14"/>
      <color theme="1"/>
      <name val="Verdana"/>
      <family val="2"/>
    </font>
    <font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Verdana"/>
      <family val="2"/>
    </font>
    <font>
      <sz val="16"/>
      <color theme="1"/>
      <name val="Verdana"/>
      <family val="2"/>
    </font>
    <font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AF"/>
        <bgColor indexed="64"/>
      </patternFill>
    </fill>
    <fill>
      <patternFill patternType="solid">
        <fgColor rgb="FFE26B0B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2" borderId="0" xfId="1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/>
    <xf numFmtId="9" fontId="2" fillId="2" borderId="2" xfId="2" applyNumberFormat="1" applyFont="1" applyFill="1" applyBorder="1" applyAlignment="1">
      <alignment horizontal="center"/>
    </xf>
    <xf numFmtId="9" fontId="2" fillId="2" borderId="3" xfId="2" applyNumberFormat="1" applyFont="1" applyFill="1" applyBorder="1" applyAlignment="1">
      <alignment horizontal="center"/>
    </xf>
    <xf numFmtId="165" fontId="3" fillId="0" borderId="3" xfId="2" applyNumberFormat="1" applyFont="1" applyBorder="1" applyAlignment="1">
      <alignment horizontal="center"/>
    </xf>
    <xf numFmtId="0" fontId="0" fillId="0" borderId="0" xfId="0" applyBorder="1"/>
    <xf numFmtId="9" fontId="2" fillId="2" borderId="4" xfId="2" applyNumberFormat="1" applyFont="1" applyFill="1" applyBorder="1" applyAlignment="1">
      <alignment horizontal="center"/>
    </xf>
    <xf numFmtId="9" fontId="2" fillId="2" borderId="5" xfId="2" applyNumberFormat="1" applyFont="1" applyFill="1" applyBorder="1" applyAlignment="1">
      <alignment horizontal="center"/>
    </xf>
    <xf numFmtId="165" fontId="3" fillId="0" borderId="5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3"/>
    <xf numFmtId="0" fontId="0" fillId="3" borderId="9" xfId="0" applyFill="1" applyBorder="1"/>
    <xf numFmtId="0" fontId="0" fillId="3" borderId="9" xfId="0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9" fontId="4" fillId="2" borderId="9" xfId="2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9" fontId="4" fillId="2" borderId="3" xfId="2" applyNumberFormat="1" applyFont="1" applyFill="1" applyBorder="1" applyAlignment="1">
      <alignment horizontal="center" vertical="center"/>
    </xf>
    <xf numFmtId="0" fontId="8" fillId="0" borderId="7" xfId="0" applyFont="1" applyBorder="1"/>
    <xf numFmtId="0" fontId="8" fillId="0" borderId="8" xfId="0" applyFont="1" applyBorder="1"/>
    <xf numFmtId="165" fontId="10" fillId="0" borderId="1" xfId="2" applyNumberFormat="1" applyFont="1" applyBorder="1" applyAlignment="1">
      <alignment horizontal="center"/>
    </xf>
    <xf numFmtId="165" fontId="8" fillId="0" borderId="1" xfId="2" applyNumberFormat="1" applyFont="1" applyBorder="1" applyAlignment="1">
      <alignment horizontal="center"/>
    </xf>
    <xf numFmtId="165" fontId="8" fillId="0" borderId="5" xfId="2" applyNumberFormat="1" applyFont="1" applyBorder="1" applyAlignment="1">
      <alignment horizontal="center"/>
    </xf>
    <xf numFmtId="0" fontId="8" fillId="0" borderId="0" xfId="0" applyFont="1" applyBorder="1"/>
    <xf numFmtId="165" fontId="8" fillId="0" borderId="0" xfId="2" applyNumberFormat="1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165" fontId="2" fillId="2" borderId="4" xfId="2" applyNumberFormat="1" applyFont="1" applyFill="1" applyBorder="1" applyAlignment="1">
      <alignment horizontal="center"/>
    </xf>
    <xf numFmtId="165" fontId="2" fillId="2" borderId="5" xfId="2" applyNumberFormat="1" applyFont="1" applyFill="1" applyBorder="1" applyAlignment="1">
      <alignment horizontal="center"/>
    </xf>
    <xf numFmtId="165" fontId="2" fillId="2" borderId="2" xfId="2" applyNumberFormat="1" applyFont="1" applyFill="1" applyBorder="1" applyAlignment="1">
      <alignment horizontal="center"/>
    </xf>
    <xf numFmtId="165" fontId="2" fillId="2" borderId="3" xfId="2" applyNumberFormat="1" applyFont="1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5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68469550131942"/>
          <c:y val="3.1619690941852588E-2"/>
          <c:w val="0.82002709176803412"/>
          <c:h val="0.82691580357585437"/>
        </c:manualLayout>
      </c:layout>
      <c:scatterChart>
        <c:scatterStyle val="lineMarker"/>
        <c:varyColors val="0"/>
        <c:ser>
          <c:idx val="4"/>
          <c:order val="0"/>
          <c:tx>
            <c:strRef>
              <c:f>Sem_Short_Sell!$F$11</c:f>
              <c:strCache>
                <c:ptCount val="1"/>
                <c:pt idx="0">
                  <c:v>Valor Esperado</c:v>
                </c:pt>
              </c:strCache>
            </c:strRef>
          </c:tx>
          <c:spPr>
            <a:ln w="50800">
              <a:solidFill>
                <a:schemeClr val="accent2"/>
              </a:solidFill>
              <a:prstDash val="sysDot"/>
            </a:ln>
          </c:spPr>
          <c:marker>
            <c:symbol val="none"/>
          </c:marker>
          <c:xVal>
            <c:numRef>
              <c:f>Sem_Short_Sell!$E$12:$E$212</c:f>
              <c:numCache>
                <c:formatCode>0.0%</c:formatCode>
                <c:ptCount val="201"/>
                <c:pt idx="0">
                  <c:v>0.1</c:v>
                </c:pt>
                <c:pt idx="1">
                  <c:v>9.9621734576346349E-2</c:v>
                </c:pt>
                <c:pt idx="2">
                  <c:v>9.9246964689102726E-2</c:v>
                </c:pt>
                <c:pt idx="3">
                  <c:v>9.887573008580014E-2</c:v>
                </c:pt>
                <c:pt idx="4">
                  <c:v>9.8508070735346356E-2</c:v>
                </c:pt>
                <c:pt idx="5">
                  <c:v>9.8144026817733543E-2</c:v>
                </c:pt>
                <c:pt idx="6">
                  <c:v>9.778363871323259E-2</c:v>
                </c:pt>
                <c:pt idx="7">
                  <c:v>9.7426946991066077E-2</c:v>
                </c:pt>
                <c:pt idx="8">
                  <c:v>9.70739923975521E-2</c:v>
                </c:pt>
                <c:pt idx="9">
                  <c:v>9.6724815843712009E-2</c:v>
                </c:pt>
                <c:pt idx="10">
                  <c:v>9.6379458392335873E-2</c:v>
                </c:pt>
                <c:pt idx="11">
                  <c:v>9.6037961244499565E-2</c:v>
                </c:pt>
                <c:pt idx="12">
                  <c:v>9.570036572552898E-2</c:v>
                </c:pt>
                <c:pt idx="13">
                  <c:v>9.5366713270406883E-2</c:v>
                </c:pt>
                <c:pt idx="14">
                  <c:v>9.5037045408619486E-2</c:v>
                </c:pt>
                <c:pt idx="15">
                  <c:v>9.4711403748439921E-2</c:v>
                </c:pt>
                <c:pt idx="16">
                  <c:v>9.4389829960647764E-2</c:v>
                </c:pt>
                <c:pt idx="17">
                  <c:v>9.4072365761683707E-2</c:v>
                </c:pt>
                <c:pt idx="18">
                  <c:v>9.3759052896240369E-2</c:v>
                </c:pt>
                <c:pt idx="19">
                  <c:v>9.3449933119291215E-2</c:v>
                </c:pt>
                <c:pt idx="20">
                  <c:v>9.3145048177560141E-2</c:v>
                </c:pt>
                <c:pt idx="21">
                  <c:v>9.2844439790436564E-2</c:v>
                </c:pt>
                <c:pt idx="22">
                  <c:v>9.2548149630341067E-2</c:v>
                </c:pt>
                <c:pt idx="23">
                  <c:v>9.2256219302548931E-2</c:v>
                </c:pt>
                <c:pt idx="24">
                  <c:v>9.1968690324479449E-2</c:v>
                </c:pt>
                <c:pt idx="25">
                  <c:v>9.1685604104461235E-2</c:v>
                </c:pt>
                <c:pt idx="26">
                  <c:v>9.1407001919984229E-2</c:v>
                </c:pt>
                <c:pt idx="27">
                  <c:v>9.1132924895451481E-2</c:v>
                </c:pt>
                <c:pt idx="28">
                  <c:v>9.0863413979445001E-2</c:v>
                </c:pt>
                <c:pt idx="29">
                  <c:v>9.0598509921521339E-2</c:v>
                </c:pt>
                <c:pt idx="30">
                  <c:v>9.0338253248554684E-2</c:v>
                </c:pt>
                <c:pt idx="31">
                  <c:v>9.0082684240646374E-2</c:v>
                </c:pt>
                <c:pt idx="32">
                  <c:v>8.9831842906621925E-2</c:v>
                </c:pt>
                <c:pt idx="33">
                  <c:v>8.958576895913771E-2</c:v>
                </c:pt>
                <c:pt idx="34">
                  <c:v>8.9344501789421812E-2</c:v>
                </c:pt>
                <c:pt idx="35">
                  <c:v>8.910808044167487E-2</c:v>
                </c:pt>
                <c:pt idx="36">
                  <c:v>8.8876543587158019E-2</c:v>
                </c:pt>
                <c:pt idx="37">
                  <c:v>8.8649929497997909E-2</c:v>
                </c:pt>
                <c:pt idx="38">
                  <c:v>8.842827602073898E-2</c:v>
                </c:pt>
                <c:pt idx="39">
                  <c:v>8.8211620549675879E-2</c:v>
                </c:pt>
                <c:pt idx="40">
                  <c:v>8.7999999999999995E-2</c:v>
                </c:pt>
                <c:pt idx="41">
                  <c:v>8.7793450780795715E-2</c:v>
                </c:pt>
                <c:pt idx="42">
                  <c:v>8.7592008767923571E-2</c:v>
                </c:pt>
                <c:pt idx="43">
                  <c:v>8.7395709276828909E-2</c:v>
                </c:pt>
                <c:pt idx="44">
                  <c:v>8.7204587035315972E-2</c:v>
                </c:pt>
                <c:pt idx="45">
                  <c:v>8.7018676156328648E-2</c:v>
                </c:pt>
                <c:pt idx="46">
                  <c:v>8.6838010110780406E-2</c:v>
                </c:pt>
                <c:pt idx="47">
                  <c:v>8.6662621700477074E-2</c:v>
                </c:pt>
                <c:pt idx="48">
                  <c:v>8.6492543031176969E-2</c:v>
                </c:pt>
                <c:pt idx="49">
                  <c:v>8.6327805485834047E-2</c:v>
                </c:pt>
                <c:pt idx="50">
                  <c:v>8.616843969807042E-2</c:v>
                </c:pt>
                <c:pt idx="51">
                  <c:v>8.6014475525925282E-2</c:v>
                </c:pt>
                <c:pt idx="52">
                  <c:v>8.5865942025927816E-2</c:v>
                </c:pt>
                <c:pt idx="53">
                  <c:v>8.5722867427542329E-2</c:v>
                </c:pt>
                <c:pt idx="54">
                  <c:v>8.5585279108033513E-2</c:v>
                </c:pt>
                <c:pt idx="55">
                  <c:v>8.545320356780077E-2</c:v>
                </c:pt>
                <c:pt idx="56">
                  <c:v>8.5326666406229643E-2</c:v>
                </c:pt>
                <c:pt idx="57">
                  <c:v>8.5205692298108815E-2</c:v>
                </c:pt>
                <c:pt idx="58">
                  <c:v>8.5090304970660433E-2</c:v>
                </c:pt>
                <c:pt idx="59">
                  <c:v>8.498052718123135E-2</c:v>
                </c:pt>
                <c:pt idx="60">
                  <c:v>8.4876380695691769E-2</c:v>
                </c:pt>
                <c:pt idx="61">
                  <c:v>8.4777886267587491E-2</c:v>
                </c:pt>
                <c:pt idx="62">
                  <c:v>8.4685063618090278E-2</c:v>
                </c:pt>
                <c:pt idx="63">
                  <c:v>8.4597931416790562E-2</c:v>
                </c:pt>
                <c:pt idx="64">
                  <c:v>8.4516507263374285E-2</c:v>
                </c:pt>
                <c:pt idx="65">
                  <c:v>8.444080767022541E-2</c:v>
                </c:pt>
                <c:pt idx="66">
                  <c:v>8.437084804599275E-2</c:v>
                </c:pt>
                <c:pt idx="67">
                  <c:v>8.4306642680158944E-2</c:v>
                </c:pt>
                <c:pt idx="68">
                  <c:v>8.4248204728646886E-2</c:v>
                </c:pt>
                <c:pt idx="69">
                  <c:v>8.4195546200496851E-2</c:v>
                </c:pt>
                <c:pt idx="70">
                  <c:v>8.4148677945645692E-2</c:v>
                </c:pt>
                <c:pt idx="71">
                  <c:v>8.4107609643836623E-2</c:v>
                </c:pt>
                <c:pt idx="72">
                  <c:v>8.4072349794685766E-2</c:v>
                </c:pt>
                <c:pt idx="73">
                  <c:v>8.4042905708929402E-2</c:v>
                </c:pt>
                <c:pt idx="74">
                  <c:v>8.401928350087258E-2</c:v>
                </c:pt>
                <c:pt idx="75">
                  <c:v>8.4001488082057207E-2</c:v>
                </c:pt>
                <c:pt idx="76">
                  <c:v>8.3989523156165133E-2</c:v>
                </c:pt>
                <c:pt idx="77">
                  <c:v>8.3983391215168249E-2</c:v>
                </c:pt>
                <c:pt idx="78">
                  <c:v>8.3983093536735123E-2</c:v>
                </c:pt>
                <c:pt idx="79">
                  <c:v>8.3988630182900342E-2</c:v>
                </c:pt>
                <c:pt idx="80">
                  <c:v>8.4000000000000005E-2</c:v>
                </c:pt>
                <c:pt idx="81">
                  <c:v>8.401720061987307E-2</c:v>
                </c:pt>
                <c:pt idx="82">
                  <c:v>8.4040228462326297E-2</c:v>
                </c:pt>
                <c:pt idx="83">
                  <c:v>8.4069078738856176E-2</c:v>
                </c:pt>
                <c:pt idx="84">
                  <c:v>8.4103745457619186E-2</c:v>
                </c:pt>
                <c:pt idx="85">
                  <c:v>8.4144221429638288E-2</c:v>
                </c:pt>
                <c:pt idx="86">
                  <c:v>8.419049827623068E-2</c:v>
                </c:pt>
                <c:pt idx="87">
                  <c:v>8.4242566437638874E-2</c:v>
                </c:pt>
                <c:pt idx="88">
                  <c:v>8.4300415182844743E-2</c:v>
                </c:pt>
                <c:pt idx="89">
                  <c:v>8.4364032620542734E-2</c:v>
                </c:pt>
                <c:pt idx="90">
                  <c:v>8.4433405711246773E-2</c:v>
                </c:pt>
                <c:pt idx="91">
                  <c:v>8.4508520280501889E-2</c:v>
                </c:pt>
                <c:pt idx="92">
                  <c:v>8.4589361033170121E-2</c:v>
                </c:pt>
                <c:pt idx="93">
                  <c:v>8.467591156875727E-2</c:v>
                </c:pt>
                <c:pt idx="94">
                  <c:v>8.4768154397745391E-2</c:v>
                </c:pt>
                <c:pt idx="95">
                  <c:v>8.4866070958893813E-2</c:v>
                </c:pt>
                <c:pt idx="96">
                  <c:v>8.4969641637469562E-2</c:v>
                </c:pt>
                <c:pt idx="97">
                  <c:v>8.5078845784366391E-2</c:v>
                </c:pt>
                <c:pt idx="98">
                  <c:v>8.5193661736070486E-2</c:v>
                </c:pt>
                <c:pt idx="99">
                  <c:v>8.5314066835428734E-2</c:v>
                </c:pt>
                <c:pt idx="100">
                  <c:v>8.5440037453175313E-2</c:v>
                </c:pt>
                <c:pt idx="101">
                  <c:v>8.5571549010170431E-2</c:v>
                </c:pt>
                <c:pt idx="102">
                  <c:v>8.5708576000304668E-2</c:v>
                </c:pt>
                <c:pt idx="103">
                  <c:v>8.5851092014021593E-2</c:v>
                </c:pt>
                <c:pt idx="104">
                  <c:v>8.5999069762410812E-2</c:v>
                </c:pt>
                <c:pt idx="105">
                  <c:v>8.6152481101823192E-2</c:v>
                </c:pt>
                <c:pt idx="106">
                  <c:v>8.6311297058959791E-2</c:v>
                </c:pt>
                <c:pt idx="107">
                  <c:v>8.6475487856386229E-2</c:v>
                </c:pt>
                <c:pt idx="108">
                  <c:v>8.6645022938423882E-2</c:v>
                </c:pt>
                <c:pt idx="109">
                  <c:v>8.6819870997370194E-2</c:v>
                </c:pt>
                <c:pt idx="110">
                  <c:v>8.7000000000000022E-2</c:v>
                </c:pt>
                <c:pt idx="111">
                  <c:v>8.7185377214301266E-2</c:v>
                </c:pt>
                <c:pt idx="112">
                  <c:v>8.737596923639819E-2</c:v>
                </c:pt>
                <c:pt idx="113">
                  <c:v>8.7571742017616624E-2</c:v>
                </c:pt>
                <c:pt idx="114">
                  <c:v>8.7772660891646689E-2</c:v>
                </c:pt>
                <c:pt idx="115">
                  <c:v>8.7978690601758794E-2</c:v>
                </c:pt>
                <c:pt idx="116">
                  <c:v>8.818979532803102E-2</c:v>
                </c:pt>
                <c:pt idx="117">
                  <c:v>8.8405938714545662E-2</c:v>
                </c:pt>
                <c:pt idx="118">
                  <c:v>8.8627083896515524E-2</c:v>
                </c:pt>
                <c:pt idx="119">
                  <c:v>8.8853193527300992E-2</c:v>
                </c:pt>
                <c:pt idx="120">
                  <c:v>8.9084229805280357E-2</c:v>
                </c:pt>
                <c:pt idx="121">
                  <c:v>8.9320154500538138E-2</c:v>
                </c:pt>
                <c:pt idx="122">
                  <c:v>8.956092898133651E-2</c:v>
                </c:pt>
                <c:pt idx="123">
                  <c:v>8.9806514240337837E-2</c:v>
                </c:pt>
                <c:pt idx="124">
                  <c:v>9.0056870920546664E-2</c:v>
                </c:pt>
                <c:pt idx="125">
                  <c:v>9.0311959340942244E-2</c:v>
                </c:pt>
                <c:pt idx="126">
                  <c:v>9.0571739521773595E-2</c:v>
                </c:pt>
                <c:pt idx="127">
                  <c:v>9.0836171209491237E-2</c:v>
                </c:pt>
                <c:pt idx="128">
                  <c:v>9.1105213901291102E-2</c:v>
                </c:pt>
                <c:pt idx="129">
                  <c:v>9.1378826869248017E-2</c:v>
                </c:pt>
                <c:pt idx="130">
                  <c:v>9.1656969184017889E-2</c:v>
                </c:pt>
                <c:pt idx="131">
                  <c:v>9.1939599738088934E-2</c:v>
                </c:pt>
                <c:pt idx="132">
                  <c:v>9.2226677268564788E-2</c:v>
                </c:pt>
                <c:pt idx="133">
                  <c:v>9.2518160379462824E-2</c:v>
                </c:pt>
                <c:pt idx="134">
                  <c:v>9.2814007563513837E-2</c:v>
                </c:pt>
                <c:pt idx="135">
                  <c:v>9.3114177223449723E-2</c:v>
                </c:pt>
                <c:pt idx="136">
                  <c:v>9.3418627692768014E-2</c:v>
                </c:pt>
                <c:pt idx="137">
                  <c:v>9.3727317255963352E-2</c:v>
                </c:pt>
                <c:pt idx="138">
                  <c:v>9.4040204168217345E-2</c:v>
                </c:pt>
                <c:pt idx="139">
                  <c:v>9.4357246674540082E-2</c:v>
                </c:pt>
                <c:pt idx="140">
                  <c:v>9.4678403028357033E-2</c:v>
                </c:pt>
                <c:pt idx="141">
                  <c:v>9.5003631509537598E-2</c:v>
                </c:pt>
                <c:pt idx="142">
                  <c:v>9.5332890441861703E-2</c:v>
                </c:pt>
                <c:pt idx="143">
                  <c:v>9.5666138209922563E-2</c:v>
                </c:pt>
                <c:pt idx="144">
                  <c:v>9.6003333275464994E-2</c:v>
                </c:pt>
                <c:pt idx="145">
                  <c:v>9.6344434193159315E-2</c:v>
                </c:pt>
                <c:pt idx="146">
                  <c:v>9.6689399625812161E-2</c:v>
                </c:pt>
                <c:pt idx="147">
                  <c:v>9.7038188359016717E-2</c:v>
                </c:pt>
                <c:pt idx="148">
                  <c:v>9.7390759315245143E-2</c:v>
                </c:pt>
                <c:pt idx="149">
                  <c:v>9.7747071567387669E-2</c:v>
                </c:pt>
                <c:pt idx="150">
                  <c:v>9.8107084351742951E-2</c:v>
                </c:pt>
                <c:pt idx="151">
                  <c:v>9.8470757080465307E-2</c:v>
                </c:pt>
                <c:pt idx="152">
                  <c:v>9.8838049353475232E-2</c:v>
                </c:pt>
                <c:pt idx="153">
                  <c:v>9.9208920969840242E-2</c:v>
                </c:pt>
                <c:pt idx="154">
                  <c:v>9.9583331938633224E-2</c:v>
                </c:pt>
                <c:pt idx="155">
                  <c:v>9.9961242489276847E-2</c:v>
                </c:pt>
                <c:pt idx="156">
                  <c:v>0.10034261308138237</c:v>
                </c:pt>
                <c:pt idx="157">
                  <c:v>0.10072740441409184</c:v>
                </c:pt>
                <c:pt idx="158">
                  <c:v>0.10111557743493338</c:v>
                </c:pt>
                <c:pt idx="159">
                  <c:v>0.10150709334819912</c:v>
                </c:pt>
                <c:pt idx="160">
                  <c:v>0.10190191362285603</c:v>
                </c:pt>
                <c:pt idx="161">
                  <c:v>0.10230000000000003</c:v>
                </c:pt>
                <c:pt idx="162">
                  <c:v>0.10270131449986417</c:v>
                </c:pt>
                <c:pt idx="163">
                  <c:v>0.10310581942839118</c:v>
                </c:pt>
                <c:pt idx="164">
                  <c:v>0.10351347738338235</c:v>
                </c:pt>
                <c:pt idx="165">
                  <c:v>0.10392425126023286</c:v>
                </c:pt>
                <c:pt idx="166">
                  <c:v>0.10433810425726552</c:v>
                </c:pt>
                <c:pt idx="167">
                  <c:v>0.10475499988067401</c:v>
                </c:pt>
                <c:pt idx="168">
                  <c:v>0.10517490194908674</c:v>
                </c:pt>
                <c:pt idx="169">
                  <c:v>0.10559777459776323</c:v>
                </c:pt>
                <c:pt idx="170">
                  <c:v>0.1060235822824338</c:v>
                </c:pt>
                <c:pt idx="171">
                  <c:v>0.10645228978279431</c:v>
                </c:pt>
                <c:pt idx="172">
                  <c:v>0.10688386220566701</c:v>
                </c:pt>
                <c:pt idx="173">
                  <c:v>0.1073182649878389</c:v>
                </c:pt>
                <c:pt idx="174">
                  <c:v>0.1077554638985885</c:v>
                </c:pt>
                <c:pt idx="175">
                  <c:v>0.10819542504191207</c:v>
                </c:pt>
                <c:pt idx="176">
                  <c:v>0.1086381148584603</c:v>
                </c:pt>
                <c:pt idx="177">
                  <c:v>0.1090835001271962</c:v>
                </c:pt>
                <c:pt idx="178">
                  <c:v>0.10953154796678449</c:v>
                </c:pt>
                <c:pt idx="179">
                  <c:v>0.10998222583672332</c:v>
                </c:pt>
                <c:pt idx="180">
                  <c:v>0.11043550153822825</c:v>
                </c:pt>
                <c:pt idx="181">
                  <c:v>0.11089134321487865</c:v>
                </c:pt>
                <c:pt idx="182">
                  <c:v>0.1113497193530366</c:v>
                </c:pt>
                <c:pt idx="183">
                  <c:v>0.11181059878204756</c:v>
                </c:pt>
                <c:pt idx="184">
                  <c:v>0.1122739506742326</c:v>
                </c:pt>
                <c:pt idx="185">
                  <c:v>0.11273974454468137</c:v>
                </c:pt>
                <c:pt idx="186">
                  <c:v>0.1132079502508548</c:v>
                </c:pt>
                <c:pt idx="187">
                  <c:v>0.11367853799200628</c:v>
                </c:pt>
                <c:pt idx="188">
                  <c:v>0.11415147830843023</c:v>
                </c:pt>
                <c:pt idx="189">
                  <c:v>0.114626742080546</c:v>
                </c:pt>
                <c:pt idx="190">
                  <c:v>0.11510430052782569</c:v>
                </c:pt>
                <c:pt idx="191">
                  <c:v>0.11558412520757345</c:v>
                </c:pt>
                <c:pt idx="192">
                  <c:v>0.11606618801356412</c:v>
                </c:pt>
                <c:pt idx="193">
                  <c:v>0.11655046117454884</c:v>
                </c:pt>
                <c:pt idx="194">
                  <c:v>0.1170369172526345</c:v>
                </c:pt>
                <c:pt idx="195">
                  <c:v>0.11752552914154446</c:v>
                </c:pt>
                <c:pt idx="196">
                  <c:v>0.11801627006476699</c:v>
                </c:pt>
                <c:pt idx="197">
                  <c:v>0.11850911357359829</c:v>
                </c:pt>
                <c:pt idx="198">
                  <c:v>0.11900403354508626</c:v>
                </c:pt>
                <c:pt idx="199">
                  <c:v>0.11950100417988134</c:v>
                </c:pt>
                <c:pt idx="200">
                  <c:v>0.12000000000000006</c:v>
                </c:pt>
              </c:numCache>
            </c:numRef>
          </c:xVal>
          <c:yVal>
            <c:numRef>
              <c:f>Sem_Short_Sell!$F$12:$F$212</c:f>
              <c:numCache>
                <c:formatCode>0.0%</c:formatCode>
                <c:ptCount val="201"/>
                <c:pt idx="0">
                  <c:v>0.06</c:v>
                </c:pt>
                <c:pt idx="1">
                  <c:v>6.0149999999999995E-2</c:v>
                </c:pt>
                <c:pt idx="2">
                  <c:v>6.0299999999999992E-2</c:v>
                </c:pt>
                <c:pt idx="3">
                  <c:v>6.0449999999999997E-2</c:v>
                </c:pt>
                <c:pt idx="4">
                  <c:v>6.0600000000000001E-2</c:v>
                </c:pt>
                <c:pt idx="5">
                  <c:v>6.0749999999999998E-2</c:v>
                </c:pt>
                <c:pt idx="6">
                  <c:v>6.0899999999999996E-2</c:v>
                </c:pt>
                <c:pt idx="7">
                  <c:v>6.1049999999999993E-2</c:v>
                </c:pt>
                <c:pt idx="8">
                  <c:v>6.1199999999999997E-2</c:v>
                </c:pt>
                <c:pt idx="9">
                  <c:v>6.1349999999999995E-2</c:v>
                </c:pt>
                <c:pt idx="10">
                  <c:v>6.1499999999999992E-2</c:v>
                </c:pt>
                <c:pt idx="11">
                  <c:v>6.1649999999999996E-2</c:v>
                </c:pt>
                <c:pt idx="12">
                  <c:v>6.1799999999999994E-2</c:v>
                </c:pt>
                <c:pt idx="13">
                  <c:v>6.1949999999999998E-2</c:v>
                </c:pt>
                <c:pt idx="14">
                  <c:v>6.2099999999999995E-2</c:v>
                </c:pt>
                <c:pt idx="15">
                  <c:v>6.2249999999999993E-2</c:v>
                </c:pt>
                <c:pt idx="16">
                  <c:v>6.239999999999999E-2</c:v>
                </c:pt>
                <c:pt idx="17">
                  <c:v>6.2549999999999994E-2</c:v>
                </c:pt>
                <c:pt idx="18">
                  <c:v>6.2699999999999992E-2</c:v>
                </c:pt>
                <c:pt idx="19">
                  <c:v>6.2849999999999989E-2</c:v>
                </c:pt>
                <c:pt idx="20">
                  <c:v>6.3E-2</c:v>
                </c:pt>
                <c:pt idx="21">
                  <c:v>6.3149999999999998E-2</c:v>
                </c:pt>
                <c:pt idx="22">
                  <c:v>6.3299999999999995E-2</c:v>
                </c:pt>
                <c:pt idx="23">
                  <c:v>6.3449999999999993E-2</c:v>
                </c:pt>
                <c:pt idx="24">
                  <c:v>6.359999999999999E-2</c:v>
                </c:pt>
                <c:pt idx="25">
                  <c:v>6.3749999999999987E-2</c:v>
                </c:pt>
                <c:pt idx="26">
                  <c:v>6.3899999999999985E-2</c:v>
                </c:pt>
                <c:pt idx="27">
                  <c:v>6.4049999999999996E-2</c:v>
                </c:pt>
                <c:pt idx="28">
                  <c:v>6.4199999999999993E-2</c:v>
                </c:pt>
                <c:pt idx="29">
                  <c:v>6.4349999999999991E-2</c:v>
                </c:pt>
                <c:pt idx="30">
                  <c:v>6.4499999999999988E-2</c:v>
                </c:pt>
                <c:pt idx="31">
                  <c:v>6.4649999999999985E-2</c:v>
                </c:pt>
                <c:pt idx="32">
                  <c:v>6.4799999999999996E-2</c:v>
                </c:pt>
                <c:pt idx="33">
                  <c:v>6.4949999999999994E-2</c:v>
                </c:pt>
                <c:pt idx="34">
                  <c:v>6.5099999999999991E-2</c:v>
                </c:pt>
                <c:pt idx="35">
                  <c:v>6.5250000000000002E-2</c:v>
                </c:pt>
                <c:pt idx="36">
                  <c:v>6.5399999999999986E-2</c:v>
                </c:pt>
                <c:pt idx="37">
                  <c:v>6.5549999999999997E-2</c:v>
                </c:pt>
                <c:pt idx="38">
                  <c:v>6.5699999999999995E-2</c:v>
                </c:pt>
                <c:pt idx="39">
                  <c:v>6.5849999999999992E-2</c:v>
                </c:pt>
                <c:pt idx="40">
                  <c:v>6.6000000000000003E-2</c:v>
                </c:pt>
                <c:pt idx="41">
                  <c:v>6.6149999999999987E-2</c:v>
                </c:pt>
                <c:pt idx="42">
                  <c:v>6.6299999999999998E-2</c:v>
                </c:pt>
                <c:pt idx="43">
                  <c:v>6.6449999999999995E-2</c:v>
                </c:pt>
                <c:pt idx="44">
                  <c:v>6.6599999999999993E-2</c:v>
                </c:pt>
                <c:pt idx="45">
                  <c:v>6.6750000000000004E-2</c:v>
                </c:pt>
                <c:pt idx="46">
                  <c:v>6.6899999999999987E-2</c:v>
                </c:pt>
                <c:pt idx="47">
                  <c:v>6.7049999999999998E-2</c:v>
                </c:pt>
                <c:pt idx="48">
                  <c:v>6.7199999999999996E-2</c:v>
                </c:pt>
                <c:pt idx="49">
                  <c:v>6.7349999999999993E-2</c:v>
                </c:pt>
                <c:pt idx="50">
                  <c:v>6.7499999999999991E-2</c:v>
                </c:pt>
                <c:pt idx="51">
                  <c:v>6.7649999999999988E-2</c:v>
                </c:pt>
                <c:pt idx="52">
                  <c:v>6.7799999999999999E-2</c:v>
                </c:pt>
                <c:pt idx="53">
                  <c:v>6.7949999999999997E-2</c:v>
                </c:pt>
                <c:pt idx="54">
                  <c:v>6.8099999999999994E-2</c:v>
                </c:pt>
                <c:pt idx="55">
                  <c:v>6.8249999999999991E-2</c:v>
                </c:pt>
                <c:pt idx="56">
                  <c:v>6.8399999999999989E-2</c:v>
                </c:pt>
                <c:pt idx="57">
                  <c:v>6.855E-2</c:v>
                </c:pt>
                <c:pt idx="58">
                  <c:v>6.8699999999999997E-2</c:v>
                </c:pt>
                <c:pt idx="59">
                  <c:v>6.8849999999999995E-2</c:v>
                </c:pt>
                <c:pt idx="60">
                  <c:v>6.8999999999999992E-2</c:v>
                </c:pt>
                <c:pt idx="61">
                  <c:v>6.9149999999999989E-2</c:v>
                </c:pt>
                <c:pt idx="62">
                  <c:v>6.93E-2</c:v>
                </c:pt>
                <c:pt idx="63">
                  <c:v>6.9449999999999998E-2</c:v>
                </c:pt>
                <c:pt idx="64">
                  <c:v>6.9599999999999995E-2</c:v>
                </c:pt>
                <c:pt idx="65">
                  <c:v>6.9749999999999993E-2</c:v>
                </c:pt>
                <c:pt idx="66">
                  <c:v>6.989999999999999E-2</c:v>
                </c:pt>
                <c:pt idx="67">
                  <c:v>7.0050000000000001E-2</c:v>
                </c:pt>
                <c:pt idx="68">
                  <c:v>7.0199999999999999E-2</c:v>
                </c:pt>
                <c:pt idx="69">
                  <c:v>7.0349999999999996E-2</c:v>
                </c:pt>
                <c:pt idx="70">
                  <c:v>7.0499999999999993E-2</c:v>
                </c:pt>
                <c:pt idx="71">
                  <c:v>7.0649999999999991E-2</c:v>
                </c:pt>
                <c:pt idx="72">
                  <c:v>7.0800000000000002E-2</c:v>
                </c:pt>
                <c:pt idx="73">
                  <c:v>7.0949999999999999E-2</c:v>
                </c:pt>
                <c:pt idx="74">
                  <c:v>7.1099999999999997E-2</c:v>
                </c:pt>
                <c:pt idx="75">
                  <c:v>7.1249999999999994E-2</c:v>
                </c:pt>
                <c:pt idx="76">
                  <c:v>7.1399999999999991E-2</c:v>
                </c:pt>
                <c:pt idx="77">
                  <c:v>7.1550000000000002E-2</c:v>
                </c:pt>
                <c:pt idx="78">
                  <c:v>7.17E-2</c:v>
                </c:pt>
                <c:pt idx="79">
                  <c:v>7.1849999999999997E-2</c:v>
                </c:pt>
                <c:pt idx="80">
                  <c:v>7.1999999999999995E-2</c:v>
                </c:pt>
                <c:pt idx="81">
                  <c:v>7.2149999999999992E-2</c:v>
                </c:pt>
                <c:pt idx="82">
                  <c:v>7.2300000000000003E-2</c:v>
                </c:pt>
                <c:pt idx="83">
                  <c:v>7.2450000000000001E-2</c:v>
                </c:pt>
                <c:pt idx="84">
                  <c:v>7.2599999999999998E-2</c:v>
                </c:pt>
                <c:pt idx="85">
                  <c:v>7.2749999999999995E-2</c:v>
                </c:pt>
                <c:pt idx="86">
                  <c:v>7.2899999999999993E-2</c:v>
                </c:pt>
                <c:pt idx="87">
                  <c:v>7.3050000000000004E-2</c:v>
                </c:pt>
                <c:pt idx="88">
                  <c:v>7.3200000000000001E-2</c:v>
                </c:pt>
                <c:pt idx="89">
                  <c:v>7.3349999999999999E-2</c:v>
                </c:pt>
                <c:pt idx="90">
                  <c:v>7.3499999999999996E-2</c:v>
                </c:pt>
                <c:pt idx="91">
                  <c:v>7.3649999999999993E-2</c:v>
                </c:pt>
                <c:pt idx="92">
                  <c:v>7.3800000000000004E-2</c:v>
                </c:pt>
                <c:pt idx="93">
                  <c:v>7.3950000000000002E-2</c:v>
                </c:pt>
                <c:pt idx="94">
                  <c:v>7.4099999999999999E-2</c:v>
                </c:pt>
                <c:pt idx="95">
                  <c:v>7.4249999999999997E-2</c:v>
                </c:pt>
                <c:pt idx="96">
                  <c:v>7.4400000000000008E-2</c:v>
                </c:pt>
                <c:pt idx="97">
                  <c:v>7.4550000000000005E-2</c:v>
                </c:pt>
                <c:pt idx="98">
                  <c:v>7.4700000000000003E-2</c:v>
                </c:pt>
                <c:pt idx="99">
                  <c:v>7.485E-2</c:v>
                </c:pt>
                <c:pt idx="100">
                  <c:v>7.4999999999999997E-2</c:v>
                </c:pt>
                <c:pt idx="101">
                  <c:v>7.5150000000000008E-2</c:v>
                </c:pt>
                <c:pt idx="102">
                  <c:v>7.5300000000000006E-2</c:v>
                </c:pt>
                <c:pt idx="103">
                  <c:v>7.5450000000000003E-2</c:v>
                </c:pt>
                <c:pt idx="104">
                  <c:v>7.5600000000000001E-2</c:v>
                </c:pt>
                <c:pt idx="105">
                  <c:v>7.5749999999999998E-2</c:v>
                </c:pt>
                <c:pt idx="106">
                  <c:v>7.5900000000000009E-2</c:v>
                </c:pt>
                <c:pt idx="107">
                  <c:v>7.6050000000000006E-2</c:v>
                </c:pt>
                <c:pt idx="108">
                  <c:v>7.6200000000000004E-2</c:v>
                </c:pt>
                <c:pt idx="109">
                  <c:v>7.6350000000000001E-2</c:v>
                </c:pt>
                <c:pt idx="110">
                  <c:v>7.6499999999999999E-2</c:v>
                </c:pt>
                <c:pt idx="111">
                  <c:v>7.6649999999999996E-2</c:v>
                </c:pt>
                <c:pt idx="112">
                  <c:v>7.6800000000000007E-2</c:v>
                </c:pt>
                <c:pt idx="113">
                  <c:v>7.6950000000000005E-2</c:v>
                </c:pt>
                <c:pt idx="114">
                  <c:v>7.7100000000000002E-2</c:v>
                </c:pt>
                <c:pt idx="115">
                  <c:v>7.7249999999999999E-2</c:v>
                </c:pt>
                <c:pt idx="116">
                  <c:v>7.7399999999999997E-2</c:v>
                </c:pt>
                <c:pt idx="117">
                  <c:v>7.7550000000000008E-2</c:v>
                </c:pt>
                <c:pt idx="118">
                  <c:v>7.7700000000000005E-2</c:v>
                </c:pt>
                <c:pt idx="119">
                  <c:v>7.7850000000000003E-2</c:v>
                </c:pt>
                <c:pt idx="120">
                  <c:v>7.8E-2</c:v>
                </c:pt>
                <c:pt idx="121">
                  <c:v>7.8149999999999997E-2</c:v>
                </c:pt>
                <c:pt idx="122">
                  <c:v>7.8300000000000008E-2</c:v>
                </c:pt>
                <c:pt idx="123">
                  <c:v>7.8450000000000006E-2</c:v>
                </c:pt>
                <c:pt idx="124">
                  <c:v>7.8600000000000003E-2</c:v>
                </c:pt>
                <c:pt idx="125">
                  <c:v>7.8750000000000001E-2</c:v>
                </c:pt>
                <c:pt idx="126">
                  <c:v>7.8899999999999998E-2</c:v>
                </c:pt>
                <c:pt idx="127">
                  <c:v>7.9050000000000009E-2</c:v>
                </c:pt>
                <c:pt idx="128">
                  <c:v>7.9200000000000007E-2</c:v>
                </c:pt>
                <c:pt idx="129">
                  <c:v>7.9350000000000004E-2</c:v>
                </c:pt>
                <c:pt idx="130">
                  <c:v>7.9500000000000001E-2</c:v>
                </c:pt>
                <c:pt idx="131">
                  <c:v>7.9649999999999999E-2</c:v>
                </c:pt>
                <c:pt idx="132">
                  <c:v>7.980000000000001E-2</c:v>
                </c:pt>
                <c:pt idx="133">
                  <c:v>7.9950000000000007E-2</c:v>
                </c:pt>
                <c:pt idx="134">
                  <c:v>8.0100000000000005E-2</c:v>
                </c:pt>
                <c:pt idx="135">
                  <c:v>8.0250000000000002E-2</c:v>
                </c:pt>
                <c:pt idx="136">
                  <c:v>8.0399999999999999E-2</c:v>
                </c:pt>
                <c:pt idx="137">
                  <c:v>8.055000000000001E-2</c:v>
                </c:pt>
                <c:pt idx="138">
                  <c:v>8.0700000000000008E-2</c:v>
                </c:pt>
                <c:pt idx="139">
                  <c:v>8.0850000000000005E-2</c:v>
                </c:pt>
                <c:pt idx="140">
                  <c:v>8.1000000000000003E-2</c:v>
                </c:pt>
                <c:pt idx="141">
                  <c:v>8.1150000000000014E-2</c:v>
                </c:pt>
                <c:pt idx="142">
                  <c:v>8.1299999999999997E-2</c:v>
                </c:pt>
                <c:pt idx="143">
                  <c:v>8.1450000000000009E-2</c:v>
                </c:pt>
                <c:pt idx="144">
                  <c:v>8.1600000000000006E-2</c:v>
                </c:pt>
                <c:pt idx="145">
                  <c:v>8.1750000000000003E-2</c:v>
                </c:pt>
                <c:pt idx="146">
                  <c:v>8.1900000000000014E-2</c:v>
                </c:pt>
                <c:pt idx="147">
                  <c:v>8.2049999999999998E-2</c:v>
                </c:pt>
                <c:pt idx="148">
                  <c:v>8.2200000000000009E-2</c:v>
                </c:pt>
                <c:pt idx="149">
                  <c:v>8.2350000000000007E-2</c:v>
                </c:pt>
                <c:pt idx="150">
                  <c:v>8.2500000000000004E-2</c:v>
                </c:pt>
                <c:pt idx="151">
                  <c:v>8.2650000000000015E-2</c:v>
                </c:pt>
                <c:pt idx="152">
                  <c:v>8.2799999999999999E-2</c:v>
                </c:pt>
                <c:pt idx="153">
                  <c:v>8.295000000000001E-2</c:v>
                </c:pt>
                <c:pt idx="154">
                  <c:v>8.3100000000000007E-2</c:v>
                </c:pt>
                <c:pt idx="155">
                  <c:v>8.3250000000000005E-2</c:v>
                </c:pt>
                <c:pt idx="156">
                  <c:v>8.3400000000000016E-2</c:v>
                </c:pt>
                <c:pt idx="157">
                  <c:v>8.3549999999999999E-2</c:v>
                </c:pt>
                <c:pt idx="158">
                  <c:v>8.3700000000000011E-2</c:v>
                </c:pt>
                <c:pt idx="159">
                  <c:v>8.3850000000000008E-2</c:v>
                </c:pt>
                <c:pt idx="160">
                  <c:v>8.4000000000000005E-2</c:v>
                </c:pt>
                <c:pt idx="161">
                  <c:v>8.4150000000000016E-2</c:v>
                </c:pt>
                <c:pt idx="162">
                  <c:v>8.43E-2</c:v>
                </c:pt>
                <c:pt idx="163">
                  <c:v>8.4450000000000011E-2</c:v>
                </c:pt>
                <c:pt idx="164">
                  <c:v>8.4600000000000009E-2</c:v>
                </c:pt>
                <c:pt idx="165">
                  <c:v>8.4750000000000006E-2</c:v>
                </c:pt>
                <c:pt idx="166">
                  <c:v>8.4900000000000017E-2</c:v>
                </c:pt>
                <c:pt idx="167">
                  <c:v>8.5050000000000001E-2</c:v>
                </c:pt>
                <c:pt idx="168">
                  <c:v>8.5200000000000012E-2</c:v>
                </c:pt>
                <c:pt idx="169">
                  <c:v>8.5350000000000009E-2</c:v>
                </c:pt>
                <c:pt idx="170">
                  <c:v>8.5500000000000007E-2</c:v>
                </c:pt>
                <c:pt idx="171">
                  <c:v>8.5650000000000018E-2</c:v>
                </c:pt>
                <c:pt idx="172">
                  <c:v>8.5800000000000001E-2</c:v>
                </c:pt>
                <c:pt idx="173">
                  <c:v>8.5950000000000013E-2</c:v>
                </c:pt>
                <c:pt idx="174">
                  <c:v>8.610000000000001E-2</c:v>
                </c:pt>
                <c:pt idx="175">
                  <c:v>8.6250000000000007E-2</c:v>
                </c:pt>
                <c:pt idx="176">
                  <c:v>8.6400000000000018E-2</c:v>
                </c:pt>
                <c:pt idx="177">
                  <c:v>8.6550000000000002E-2</c:v>
                </c:pt>
                <c:pt idx="178">
                  <c:v>8.6700000000000013E-2</c:v>
                </c:pt>
                <c:pt idx="179">
                  <c:v>8.6850000000000011E-2</c:v>
                </c:pt>
                <c:pt idx="180">
                  <c:v>8.7000000000000008E-2</c:v>
                </c:pt>
                <c:pt idx="181">
                  <c:v>8.7150000000000019E-2</c:v>
                </c:pt>
                <c:pt idx="182">
                  <c:v>8.7300000000000003E-2</c:v>
                </c:pt>
                <c:pt idx="183">
                  <c:v>8.7450000000000014E-2</c:v>
                </c:pt>
                <c:pt idx="184">
                  <c:v>8.7600000000000011E-2</c:v>
                </c:pt>
                <c:pt idx="185">
                  <c:v>8.7750000000000009E-2</c:v>
                </c:pt>
                <c:pt idx="186">
                  <c:v>8.790000000000002E-2</c:v>
                </c:pt>
                <c:pt idx="187">
                  <c:v>8.8050000000000003E-2</c:v>
                </c:pt>
                <c:pt idx="188">
                  <c:v>8.8200000000000014E-2</c:v>
                </c:pt>
                <c:pt idx="189">
                  <c:v>8.8350000000000012E-2</c:v>
                </c:pt>
                <c:pt idx="190">
                  <c:v>8.8500000000000009E-2</c:v>
                </c:pt>
                <c:pt idx="191">
                  <c:v>8.865000000000002E-2</c:v>
                </c:pt>
                <c:pt idx="192">
                  <c:v>8.8800000000000018E-2</c:v>
                </c:pt>
                <c:pt idx="193">
                  <c:v>8.8950000000000015E-2</c:v>
                </c:pt>
                <c:pt idx="194">
                  <c:v>8.9100000000000013E-2</c:v>
                </c:pt>
                <c:pt idx="195">
                  <c:v>8.925000000000001E-2</c:v>
                </c:pt>
                <c:pt idx="196">
                  <c:v>8.9400000000000021E-2</c:v>
                </c:pt>
                <c:pt idx="197">
                  <c:v>8.9550000000000018E-2</c:v>
                </c:pt>
                <c:pt idx="198">
                  <c:v>8.9700000000000016E-2</c:v>
                </c:pt>
                <c:pt idx="199">
                  <c:v>8.9850000000000013E-2</c:v>
                </c:pt>
                <c:pt idx="200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AFF-43F0-8961-92E6C03014B7}"/>
            </c:ext>
          </c:extLst>
        </c:ser>
        <c:ser>
          <c:idx val="5"/>
          <c:order val="1"/>
          <c:spPr>
            <a:ln w="63500">
              <a:solidFill>
                <a:schemeClr val="accent2"/>
              </a:solidFill>
              <a:prstDash val="solid"/>
            </a:ln>
          </c:spPr>
          <c:marker>
            <c:symbol val="none"/>
          </c:marker>
          <c:xVal>
            <c:numRef>
              <c:f>Sem_Short_Sell!$G$12:$G$212</c:f>
              <c:numCache>
                <c:formatCode>0.0%</c:formatCode>
                <c:ptCount val="2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8.3983093536735123E-2</c:v>
                </c:pt>
                <c:pt idx="79">
                  <c:v>8.3988630182900342E-2</c:v>
                </c:pt>
                <c:pt idx="80">
                  <c:v>8.4000000000000005E-2</c:v>
                </c:pt>
                <c:pt idx="81">
                  <c:v>8.401720061987307E-2</c:v>
                </c:pt>
                <c:pt idx="82">
                  <c:v>8.4040228462326297E-2</c:v>
                </c:pt>
                <c:pt idx="83">
                  <c:v>8.4069078738856176E-2</c:v>
                </c:pt>
                <c:pt idx="84">
                  <c:v>8.4103745457619186E-2</c:v>
                </c:pt>
                <c:pt idx="85">
                  <c:v>8.4144221429638288E-2</c:v>
                </c:pt>
                <c:pt idx="86">
                  <c:v>8.419049827623068E-2</c:v>
                </c:pt>
                <c:pt idx="87">
                  <c:v>8.4242566437638874E-2</c:v>
                </c:pt>
                <c:pt idx="88">
                  <c:v>8.4300415182844743E-2</c:v>
                </c:pt>
                <c:pt idx="89">
                  <c:v>8.4364032620542734E-2</c:v>
                </c:pt>
                <c:pt idx="90">
                  <c:v>8.4433405711246773E-2</c:v>
                </c:pt>
                <c:pt idx="91">
                  <c:v>8.4508520280501889E-2</c:v>
                </c:pt>
                <c:pt idx="92">
                  <c:v>8.4589361033170121E-2</c:v>
                </c:pt>
                <c:pt idx="93">
                  <c:v>8.467591156875727E-2</c:v>
                </c:pt>
                <c:pt idx="94">
                  <c:v>8.4768154397745391E-2</c:v>
                </c:pt>
                <c:pt idx="95">
                  <c:v>8.4866070958893813E-2</c:v>
                </c:pt>
                <c:pt idx="96">
                  <c:v>8.4969641637469562E-2</c:v>
                </c:pt>
                <c:pt idx="97">
                  <c:v>8.5078845784366391E-2</c:v>
                </c:pt>
                <c:pt idx="98">
                  <c:v>8.5193661736070486E-2</c:v>
                </c:pt>
                <c:pt idx="99">
                  <c:v>8.5314066835428734E-2</c:v>
                </c:pt>
                <c:pt idx="100">
                  <c:v>8.5440037453175313E-2</c:v>
                </c:pt>
                <c:pt idx="101">
                  <c:v>8.5571549010170431E-2</c:v>
                </c:pt>
                <c:pt idx="102">
                  <c:v>8.5708576000304668E-2</c:v>
                </c:pt>
                <c:pt idx="103">
                  <c:v>8.5851092014021593E-2</c:v>
                </c:pt>
                <c:pt idx="104">
                  <c:v>8.5999069762410812E-2</c:v>
                </c:pt>
                <c:pt idx="105">
                  <c:v>8.6152481101823192E-2</c:v>
                </c:pt>
                <c:pt idx="106">
                  <c:v>8.6311297058959791E-2</c:v>
                </c:pt>
                <c:pt idx="107">
                  <c:v>8.6475487856386229E-2</c:v>
                </c:pt>
                <c:pt idx="108">
                  <c:v>8.6645022938423882E-2</c:v>
                </c:pt>
                <c:pt idx="109">
                  <c:v>8.6819870997370194E-2</c:v>
                </c:pt>
                <c:pt idx="110">
                  <c:v>8.7000000000000022E-2</c:v>
                </c:pt>
                <c:pt idx="111">
                  <c:v>8.7185377214301266E-2</c:v>
                </c:pt>
                <c:pt idx="112">
                  <c:v>8.737596923639819E-2</c:v>
                </c:pt>
                <c:pt idx="113">
                  <c:v>8.7571742017616624E-2</c:v>
                </c:pt>
                <c:pt idx="114">
                  <c:v>8.7772660891646689E-2</c:v>
                </c:pt>
                <c:pt idx="115">
                  <c:v>8.7978690601758794E-2</c:v>
                </c:pt>
                <c:pt idx="116">
                  <c:v>8.818979532803102E-2</c:v>
                </c:pt>
                <c:pt idx="117">
                  <c:v>8.8405938714545662E-2</c:v>
                </c:pt>
                <c:pt idx="118">
                  <c:v>8.8627083896515524E-2</c:v>
                </c:pt>
                <c:pt idx="119">
                  <c:v>8.8853193527300992E-2</c:v>
                </c:pt>
                <c:pt idx="120">
                  <c:v>8.9084229805280357E-2</c:v>
                </c:pt>
                <c:pt idx="121">
                  <c:v>8.9320154500538138E-2</c:v>
                </c:pt>
                <c:pt idx="122">
                  <c:v>8.956092898133651E-2</c:v>
                </c:pt>
                <c:pt idx="123">
                  <c:v>8.9806514240337837E-2</c:v>
                </c:pt>
                <c:pt idx="124">
                  <c:v>9.0056870920546664E-2</c:v>
                </c:pt>
                <c:pt idx="125">
                  <c:v>9.0311959340942244E-2</c:v>
                </c:pt>
                <c:pt idx="126">
                  <c:v>9.0571739521773595E-2</c:v>
                </c:pt>
                <c:pt idx="127">
                  <c:v>9.0836171209491237E-2</c:v>
                </c:pt>
                <c:pt idx="128">
                  <c:v>9.1105213901291102E-2</c:v>
                </c:pt>
                <c:pt idx="129">
                  <c:v>9.1378826869248017E-2</c:v>
                </c:pt>
                <c:pt idx="130">
                  <c:v>9.1656969184017889E-2</c:v>
                </c:pt>
                <c:pt idx="131">
                  <c:v>9.1939599738088934E-2</c:v>
                </c:pt>
                <c:pt idx="132">
                  <c:v>9.2226677268564788E-2</c:v>
                </c:pt>
                <c:pt idx="133">
                  <c:v>9.2518160379462824E-2</c:v>
                </c:pt>
                <c:pt idx="134">
                  <c:v>9.2814007563513837E-2</c:v>
                </c:pt>
                <c:pt idx="135">
                  <c:v>9.3114177223449723E-2</c:v>
                </c:pt>
                <c:pt idx="136">
                  <c:v>9.3418627692768014E-2</c:v>
                </c:pt>
                <c:pt idx="137">
                  <c:v>9.3727317255963352E-2</c:v>
                </c:pt>
                <c:pt idx="138">
                  <c:v>9.4040204168217345E-2</c:v>
                </c:pt>
                <c:pt idx="139">
                  <c:v>9.4357246674540082E-2</c:v>
                </c:pt>
                <c:pt idx="140">
                  <c:v>9.4678403028357033E-2</c:v>
                </c:pt>
                <c:pt idx="141">
                  <c:v>9.5003631509537598E-2</c:v>
                </c:pt>
                <c:pt idx="142">
                  <c:v>9.5332890441861703E-2</c:v>
                </c:pt>
                <c:pt idx="143">
                  <c:v>9.5666138209922563E-2</c:v>
                </c:pt>
                <c:pt idx="144">
                  <c:v>9.6003333275464994E-2</c:v>
                </c:pt>
                <c:pt idx="145">
                  <c:v>9.6344434193159315E-2</c:v>
                </c:pt>
                <c:pt idx="146">
                  <c:v>9.6689399625812161E-2</c:v>
                </c:pt>
                <c:pt idx="147">
                  <c:v>9.7038188359016717E-2</c:v>
                </c:pt>
                <c:pt idx="148">
                  <c:v>9.7390759315245143E-2</c:v>
                </c:pt>
                <c:pt idx="149">
                  <c:v>9.7747071567387669E-2</c:v>
                </c:pt>
                <c:pt idx="150">
                  <c:v>9.8107084351742951E-2</c:v>
                </c:pt>
                <c:pt idx="151">
                  <c:v>9.8470757080465307E-2</c:v>
                </c:pt>
                <c:pt idx="152">
                  <c:v>9.8838049353475232E-2</c:v>
                </c:pt>
                <c:pt idx="153">
                  <c:v>9.9208920969840242E-2</c:v>
                </c:pt>
                <c:pt idx="154">
                  <c:v>9.9583331938633224E-2</c:v>
                </c:pt>
                <c:pt idx="155">
                  <c:v>9.9961242489276847E-2</c:v>
                </c:pt>
                <c:pt idx="156">
                  <c:v>0.10034261308138237</c:v>
                </c:pt>
                <c:pt idx="157">
                  <c:v>0.10072740441409184</c:v>
                </c:pt>
                <c:pt idx="158">
                  <c:v>0.10111557743493338</c:v>
                </c:pt>
                <c:pt idx="159">
                  <c:v>0.10150709334819912</c:v>
                </c:pt>
                <c:pt idx="160">
                  <c:v>0.10190191362285603</c:v>
                </c:pt>
                <c:pt idx="161">
                  <c:v>0.10230000000000003</c:v>
                </c:pt>
                <c:pt idx="162">
                  <c:v>0.10270131449986417</c:v>
                </c:pt>
                <c:pt idx="163">
                  <c:v>0.10310581942839118</c:v>
                </c:pt>
                <c:pt idx="164">
                  <c:v>0.10351347738338235</c:v>
                </c:pt>
                <c:pt idx="165">
                  <c:v>0.10392425126023286</c:v>
                </c:pt>
                <c:pt idx="166">
                  <c:v>0.10433810425726552</c:v>
                </c:pt>
                <c:pt idx="167">
                  <c:v>0.10475499988067401</c:v>
                </c:pt>
                <c:pt idx="168">
                  <c:v>0.10517490194908674</c:v>
                </c:pt>
                <c:pt idx="169">
                  <c:v>0.10559777459776323</c:v>
                </c:pt>
                <c:pt idx="170">
                  <c:v>0.1060235822824338</c:v>
                </c:pt>
                <c:pt idx="171">
                  <c:v>0.10645228978279431</c:v>
                </c:pt>
                <c:pt idx="172">
                  <c:v>0.10688386220566701</c:v>
                </c:pt>
                <c:pt idx="173">
                  <c:v>0.1073182649878389</c:v>
                </c:pt>
                <c:pt idx="174">
                  <c:v>0.1077554638985885</c:v>
                </c:pt>
                <c:pt idx="175">
                  <c:v>0.10819542504191207</c:v>
                </c:pt>
                <c:pt idx="176">
                  <c:v>0.1086381148584603</c:v>
                </c:pt>
                <c:pt idx="177">
                  <c:v>0.1090835001271962</c:v>
                </c:pt>
                <c:pt idx="178">
                  <c:v>0.10953154796678449</c:v>
                </c:pt>
                <c:pt idx="179">
                  <c:v>0.10998222583672332</c:v>
                </c:pt>
                <c:pt idx="180">
                  <c:v>0.11043550153822825</c:v>
                </c:pt>
                <c:pt idx="181">
                  <c:v>0.11089134321487865</c:v>
                </c:pt>
                <c:pt idx="182">
                  <c:v>0.1113497193530366</c:v>
                </c:pt>
                <c:pt idx="183">
                  <c:v>0.11181059878204756</c:v>
                </c:pt>
                <c:pt idx="184">
                  <c:v>0.1122739506742326</c:v>
                </c:pt>
                <c:pt idx="185">
                  <c:v>0.11273974454468137</c:v>
                </c:pt>
                <c:pt idx="186">
                  <c:v>0.1132079502508548</c:v>
                </c:pt>
                <c:pt idx="187">
                  <c:v>0.11367853799200628</c:v>
                </c:pt>
                <c:pt idx="188">
                  <c:v>0.11415147830843023</c:v>
                </c:pt>
                <c:pt idx="189">
                  <c:v>0.114626742080546</c:v>
                </c:pt>
                <c:pt idx="190">
                  <c:v>0.11510430052782569</c:v>
                </c:pt>
                <c:pt idx="191">
                  <c:v>0.11558412520757345</c:v>
                </c:pt>
                <c:pt idx="192">
                  <c:v>0.11606618801356412</c:v>
                </c:pt>
                <c:pt idx="193">
                  <c:v>0.11655046117454884</c:v>
                </c:pt>
                <c:pt idx="194">
                  <c:v>0.1170369172526345</c:v>
                </c:pt>
                <c:pt idx="195">
                  <c:v>0.11752552914154446</c:v>
                </c:pt>
                <c:pt idx="196">
                  <c:v>0.11801627006476699</c:v>
                </c:pt>
                <c:pt idx="197">
                  <c:v>0.11850911357359829</c:v>
                </c:pt>
                <c:pt idx="198">
                  <c:v>0.11900403354508626</c:v>
                </c:pt>
                <c:pt idx="199">
                  <c:v>0.11950100417988134</c:v>
                </c:pt>
                <c:pt idx="200">
                  <c:v>0.12000000000000006</c:v>
                </c:pt>
              </c:numCache>
            </c:numRef>
          </c:xVal>
          <c:yVal>
            <c:numRef>
              <c:f>Sem_Short_Sell!$H$12:$H$212</c:f>
              <c:numCache>
                <c:formatCode>0.0%</c:formatCode>
                <c:ptCount val="2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7.17E-2</c:v>
                </c:pt>
                <c:pt idx="79">
                  <c:v>7.1849999999999997E-2</c:v>
                </c:pt>
                <c:pt idx="80">
                  <c:v>7.1999999999999995E-2</c:v>
                </c:pt>
                <c:pt idx="81">
                  <c:v>7.2149999999999992E-2</c:v>
                </c:pt>
                <c:pt idx="82">
                  <c:v>7.2300000000000003E-2</c:v>
                </c:pt>
                <c:pt idx="83">
                  <c:v>7.2450000000000001E-2</c:v>
                </c:pt>
                <c:pt idx="84">
                  <c:v>7.2599999999999998E-2</c:v>
                </c:pt>
                <c:pt idx="85">
                  <c:v>7.2749999999999995E-2</c:v>
                </c:pt>
                <c:pt idx="86">
                  <c:v>7.2899999999999993E-2</c:v>
                </c:pt>
                <c:pt idx="87">
                  <c:v>7.3050000000000004E-2</c:v>
                </c:pt>
                <c:pt idx="88">
                  <c:v>7.3200000000000001E-2</c:v>
                </c:pt>
                <c:pt idx="89">
                  <c:v>7.3349999999999999E-2</c:v>
                </c:pt>
                <c:pt idx="90">
                  <c:v>7.3499999999999996E-2</c:v>
                </c:pt>
                <c:pt idx="91">
                  <c:v>7.3649999999999993E-2</c:v>
                </c:pt>
                <c:pt idx="92">
                  <c:v>7.3800000000000004E-2</c:v>
                </c:pt>
                <c:pt idx="93">
                  <c:v>7.3950000000000002E-2</c:v>
                </c:pt>
                <c:pt idx="94">
                  <c:v>7.4099999999999999E-2</c:v>
                </c:pt>
                <c:pt idx="95">
                  <c:v>7.4249999999999997E-2</c:v>
                </c:pt>
                <c:pt idx="96">
                  <c:v>7.4400000000000008E-2</c:v>
                </c:pt>
                <c:pt idx="97">
                  <c:v>7.4550000000000005E-2</c:v>
                </c:pt>
                <c:pt idx="98">
                  <c:v>7.4700000000000003E-2</c:v>
                </c:pt>
                <c:pt idx="99">
                  <c:v>7.485E-2</c:v>
                </c:pt>
                <c:pt idx="100">
                  <c:v>7.4999999999999997E-2</c:v>
                </c:pt>
                <c:pt idx="101">
                  <c:v>7.5150000000000008E-2</c:v>
                </c:pt>
                <c:pt idx="102">
                  <c:v>7.5300000000000006E-2</c:v>
                </c:pt>
                <c:pt idx="103">
                  <c:v>7.5450000000000003E-2</c:v>
                </c:pt>
                <c:pt idx="104">
                  <c:v>7.5600000000000001E-2</c:v>
                </c:pt>
                <c:pt idx="105">
                  <c:v>7.5749999999999998E-2</c:v>
                </c:pt>
                <c:pt idx="106">
                  <c:v>7.5900000000000009E-2</c:v>
                </c:pt>
                <c:pt idx="107">
                  <c:v>7.6050000000000006E-2</c:v>
                </c:pt>
                <c:pt idx="108">
                  <c:v>7.6200000000000004E-2</c:v>
                </c:pt>
                <c:pt idx="109">
                  <c:v>7.6350000000000001E-2</c:v>
                </c:pt>
                <c:pt idx="110">
                  <c:v>7.6499999999999999E-2</c:v>
                </c:pt>
                <c:pt idx="111">
                  <c:v>7.6649999999999996E-2</c:v>
                </c:pt>
                <c:pt idx="112">
                  <c:v>7.6800000000000007E-2</c:v>
                </c:pt>
                <c:pt idx="113">
                  <c:v>7.6950000000000005E-2</c:v>
                </c:pt>
                <c:pt idx="114">
                  <c:v>7.7100000000000002E-2</c:v>
                </c:pt>
                <c:pt idx="115">
                  <c:v>7.7249999999999999E-2</c:v>
                </c:pt>
                <c:pt idx="116">
                  <c:v>7.7399999999999997E-2</c:v>
                </c:pt>
                <c:pt idx="117">
                  <c:v>7.7550000000000008E-2</c:v>
                </c:pt>
                <c:pt idx="118">
                  <c:v>7.7700000000000005E-2</c:v>
                </c:pt>
                <c:pt idx="119">
                  <c:v>7.7850000000000003E-2</c:v>
                </c:pt>
                <c:pt idx="120">
                  <c:v>7.8E-2</c:v>
                </c:pt>
                <c:pt idx="121">
                  <c:v>7.8149999999999997E-2</c:v>
                </c:pt>
                <c:pt idx="122">
                  <c:v>7.8300000000000008E-2</c:v>
                </c:pt>
                <c:pt idx="123">
                  <c:v>7.8450000000000006E-2</c:v>
                </c:pt>
                <c:pt idx="124">
                  <c:v>7.8600000000000003E-2</c:v>
                </c:pt>
                <c:pt idx="125">
                  <c:v>7.8750000000000001E-2</c:v>
                </c:pt>
                <c:pt idx="126">
                  <c:v>7.8899999999999998E-2</c:v>
                </c:pt>
                <c:pt idx="127">
                  <c:v>7.9050000000000009E-2</c:v>
                </c:pt>
                <c:pt idx="128">
                  <c:v>7.9200000000000007E-2</c:v>
                </c:pt>
                <c:pt idx="129">
                  <c:v>7.9350000000000004E-2</c:v>
                </c:pt>
                <c:pt idx="130">
                  <c:v>7.9500000000000001E-2</c:v>
                </c:pt>
                <c:pt idx="131">
                  <c:v>7.9649999999999999E-2</c:v>
                </c:pt>
                <c:pt idx="132">
                  <c:v>7.980000000000001E-2</c:v>
                </c:pt>
                <c:pt idx="133">
                  <c:v>7.9950000000000007E-2</c:v>
                </c:pt>
                <c:pt idx="134">
                  <c:v>8.0100000000000005E-2</c:v>
                </c:pt>
                <c:pt idx="135">
                  <c:v>8.0250000000000002E-2</c:v>
                </c:pt>
                <c:pt idx="136">
                  <c:v>8.0399999999999999E-2</c:v>
                </c:pt>
                <c:pt idx="137">
                  <c:v>8.055000000000001E-2</c:v>
                </c:pt>
                <c:pt idx="138">
                  <c:v>8.0700000000000008E-2</c:v>
                </c:pt>
                <c:pt idx="139">
                  <c:v>8.0850000000000005E-2</c:v>
                </c:pt>
                <c:pt idx="140">
                  <c:v>8.1000000000000003E-2</c:v>
                </c:pt>
                <c:pt idx="141">
                  <c:v>8.1150000000000014E-2</c:v>
                </c:pt>
                <c:pt idx="142">
                  <c:v>8.1299999999999997E-2</c:v>
                </c:pt>
                <c:pt idx="143">
                  <c:v>8.1450000000000009E-2</c:v>
                </c:pt>
                <c:pt idx="144">
                  <c:v>8.1600000000000006E-2</c:v>
                </c:pt>
                <c:pt idx="145">
                  <c:v>8.1750000000000003E-2</c:v>
                </c:pt>
                <c:pt idx="146">
                  <c:v>8.1900000000000014E-2</c:v>
                </c:pt>
                <c:pt idx="147">
                  <c:v>8.2049999999999998E-2</c:v>
                </c:pt>
                <c:pt idx="148">
                  <c:v>8.2200000000000009E-2</c:v>
                </c:pt>
                <c:pt idx="149">
                  <c:v>8.2350000000000007E-2</c:v>
                </c:pt>
                <c:pt idx="150">
                  <c:v>8.2500000000000004E-2</c:v>
                </c:pt>
                <c:pt idx="151">
                  <c:v>8.2650000000000015E-2</c:v>
                </c:pt>
                <c:pt idx="152">
                  <c:v>8.2799999999999999E-2</c:v>
                </c:pt>
                <c:pt idx="153">
                  <c:v>8.295000000000001E-2</c:v>
                </c:pt>
                <c:pt idx="154">
                  <c:v>8.3100000000000007E-2</c:v>
                </c:pt>
                <c:pt idx="155">
                  <c:v>8.3250000000000005E-2</c:v>
                </c:pt>
                <c:pt idx="156">
                  <c:v>8.3400000000000016E-2</c:v>
                </c:pt>
                <c:pt idx="157">
                  <c:v>8.3549999999999999E-2</c:v>
                </c:pt>
                <c:pt idx="158">
                  <c:v>8.3700000000000011E-2</c:v>
                </c:pt>
                <c:pt idx="159">
                  <c:v>8.3850000000000008E-2</c:v>
                </c:pt>
                <c:pt idx="160">
                  <c:v>8.4000000000000005E-2</c:v>
                </c:pt>
                <c:pt idx="161">
                  <c:v>8.4150000000000016E-2</c:v>
                </c:pt>
                <c:pt idx="162">
                  <c:v>8.43E-2</c:v>
                </c:pt>
                <c:pt idx="163">
                  <c:v>8.4450000000000011E-2</c:v>
                </c:pt>
                <c:pt idx="164">
                  <c:v>8.4600000000000009E-2</c:v>
                </c:pt>
                <c:pt idx="165">
                  <c:v>8.4750000000000006E-2</c:v>
                </c:pt>
                <c:pt idx="166">
                  <c:v>8.4900000000000017E-2</c:v>
                </c:pt>
                <c:pt idx="167">
                  <c:v>8.5050000000000001E-2</c:v>
                </c:pt>
                <c:pt idx="168">
                  <c:v>8.5200000000000012E-2</c:v>
                </c:pt>
                <c:pt idx="169">
                  <c:v>8.5350000000000009E-2</c:v>
                </c:pt>
                <c:pt idx="170">
                  <c:v>8.5500000000000007E-2</c:v>
                </c:pt>
                <c:pt idx="171">
                  <c:v>8.5650000000000018E-2</c:v>
                </c:pt>
                <c:pt idx="172">
                  <c:v>8.5800000000000001E-2</c:v>
                </c:pt>
                <c:pt idx="173">
                  <c:v>8.5950000000000013E-2</c:v>
                </c:pt>
                <c:pt idx="174">
                  <c:v>8.610000000000001E-2</c:v>
                </c:pt>
                <c:pt idx="175">
                  <c:v>8.6250000000000007E-2</c:v>
                </c:pt>
                <c:pt idx="176">
                  <c:v>8.6400000000000018E-2</c:v>
                </c:pt>
                <c:pt idx="177">
                  <c:v>8.6550000000000002E-2</c:v>
                </c:pt>
                <c:pt idx="178">
                  <c:v>8.6700000000000013E-2</c:v>
                </c:pt>
                <c:pt idx="179">
                  <c:v>8.6850000000000011E-2</c:v>
                </c:pt>
                <c:pt idx="180">
                  <c:v>8.7000000000000008E-2</c:v>
                </c:pt>
                <c:pt idx="181">
                  <c:v>8.7150000000000019E-2</c:v>
                </c:pt>
                <c:pt idx="182">
                  <c:v>8.7300000000000003E-2</c:v>
                </c:pt>
                <c:pt idx="183">
                  <c:v>8.7450000000000014E-2</c:v>
                </c:pt>
                <c:pt idx="184">
                  <c:v>8.7600000000000011E-2</c:v>
                </c:pt>
                <c:pt idx="185">
                  <c:v>8.7750000000000009E-2</c:v>
                </c:pt>
                <c:pt idx="186">
                  <c:v>8.790000000000002E-2</c:v>
                </c:pt>
                <c:pt idx="187">
                  <c:v>8.8050000000000003E-2</c:v>
                </c:pt>
                <c:pt idx="188">
                  <c:v>8.8200000000000014E-2</c:v>
                </c:pt>
                <c:pt idx="189">
                  <c:v>8.8350000000000012E-2</c:v>
                </c:pt>
                <c:pt idx="190">
                  <c:v>8.8500000000000009E-2</c:v>
                </c:pt>
                <c:pt idx="191">
                  <c:v>8.865000000000002E-2</c:v>
                </c:pt>
                <c:pt idx="192">
                  <c:v>8.8800000000000018E-2</c:v>
                </c:pt>
                <c:pt idx="193">
                  <c:v>8.8950000000000015E-2</c:v>
                </c:pt>
                <c:pt idx="194">
                  <c:v>8.9100000000000013E-2</c:v>
                </c:pt>
                <c:pt idx="195">
                  <c:v>8.925000000000001E-2</c:v>
                </c:pt>
                <c:pt idx="196">
                  <c:v>8.9400000000000021E-2</c:v>
                </c:pt>
                <c:pt idx="197">
                  <c:v>8.9550000000000018E-2</c:v>
                </c:pt>
                <c:pt idx="198">
                  <c:v>8.9700000000000016E-2</c:v>
                </c:pt>
                <c:pt idx="199">
                  <c:v>8.9850000000000013E-2</c:v>
                </c:pt>
                <c:pt idx="200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0AFF-43F0-8961-92E6C03014B7}"/>
            </c:ext>
          </c:extLst>
        </c:ser>
        <c:ser>
          <c:idx val="6"/>
          <c:order val="2"/>
          <c:tx>
            <c:strRef>
              <c:f>Sem_Short_Sell!$F$11</c:f>
              <c:strCache>
                <c:ptCount val="1"/>
                <c:pt idx="0">
                  <c:v>Valor Esperado</c:v>
                </c:pt>
              </c:strCache>
            </c:strRef>
          </c:tx>
          <c:spPr>
            <a:ln w="50800" cap="flat" cmpd="sng" algn="ctr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Sem_Short_Sell!$E$12:$E$212</c:f>
              <c:numCache>
                <c:formatCode>0.0%</c:formatCode>
                <c:ptCount val="201"/>
                <c:pt idx="0">
                  <c:v>0.1</c:v>
                </c:pt>
                <c:pt idx="1">
                  <c:v>9.9621734576346349E-2</c:v>
                </c:pt>
                <c:pt idx="2">
                  <c:v>9.9246964689102726E-2</c:v>
                </c:pt>
                <c:pt idx="3">
                  <c:v>9.887573008580014E-2</c:v>
                </c:pt>
                <c:pt idx="4">
                  <c:v>9.8508070735346356E-2</c:v>
                </c:pt>
                <c:pt idx="5">
                  <c:v>9.8144026817733543E-2</c:v>
                </c:pt>
                <c:pt idx="6">
                  <c:v>9.778363871323259E-2</c:v>
                </c:pt>
                <c:pt idx="7">
                  <c:v>9.7426946991066077E-2</c:v>
                </c:pt>
                <c:pt idx="8">
                  <c:v>9.70739923975521E-2</c:v>
                </c:pt>
                <c:pt idx="9">
                  <c:v>9.6724815843712009E-2</c:v>
                </c:pt>
                <c:pt idx="10">
                  <c:v>9.6379458392335873E-2</c:v>
                </c:pt>
                <c:pt idx="11">
                  <c:v>9.6037961244499565E-2</c:v>
                </c:pt>
                <c:pt idx="12">
                  <c:v>9.570036572552898E-2</c:v>
                </c:pt>
                <c:pt idx="13">
                  <c:v>9.5366713270406883E-2</c:v>
                </c:pt>
                <c:pt idx="14">
                  <c:v>9.5037045408619486E-2</c:v>
                </c:pt>
                <c:pt idx="15">
                  <c:v>9.4711403748439921E-2</c:v>
                </c:pt>
                <c:pt idx="16">
                  <c:v>9.4389829960647764E-2</c:v>
                </c:pt>
                <c:pt idx="17">
                  <c:v>9.4072365761683707E-2</c:v>
                </c:pt>
                <c:pt idx="18">
                  <c:v>9.3759052896240369E-2</c:v>
                </c:pt>
                <c:pt idx="19">
                  <c:v>9.3449933119291215E-2</c:v>
                </c:pt>
                <c:pt idx="20">
                  <c:v>9.3145048177560141E-2</c:v>
                </c:pt>
                <c:pt idx="21">
                  <c:v>9.2844439790436564E-2</c:v>
                </c:pt>
                <c:pt idx="22">
                  <c:v>9.2548149630341067E-2</c:v>
                </c:pt>
                <c:pt idx="23">
                  <c:v>9.2256219302548931E-2</c:v>
                </c:pt>
                <c:pt idx="24">
                  <c:v>9.1968690324479449E-2</c:v>
                </c:pt>
                <c:pt idx="25">
                  <c:v>9.1685604104461235E-2</c:v>
                </c:pt>
                <c:pt idx="26">
                  <c:v>9.1407001919984229E-2</c:v>
                </c:pt>
                <c:pt idx="27">
                  <c:v>9.1132924895451481E-2</c:v>
                </c:pt>
                <c:pt idx="28">
                  <c:v>9.0863413979445001E-2</c:v>
                </c:pt>
                <c:pt idx="29">
                  <c:v>9.0598509921521339E-2</c:v>
                </c:pt>
                <c:pt idx="30">
                  <c:v>9.0338253248554684E-2</c:v>
                </c:pt>
                <c:pt idx="31">
                  <c:v>9.0082684240646374E-2</c:v>
                </c:pt>
                <c:pt idx="32">
                  <c:v>8.9831842906621925E-2</c:v>
                </c:pt>
                <c:pt idx="33">
                  <c:v>8.958576895913771E-2</c:v>
                </c:pt>
                <c:pt idx="34">
                  <c:v>8.9344501789421812E-2</c:v>
                </c:pt>
                <c:pt idx="35">
                  <c:v>8.910808044167487E-2</c:v>
                </c:pt>
                <c:pt idx="36">
                  <c:v>8.8876543587158019E-2</c:v>
                </c:pt>
                <c:pt idx="37">
                  <c:v>8.8649929497997909E-2</c:v>
                </c:pt>
                <c:pt idx="38">
                  <c:v>8.842827602073898E-2</c:v>
                </c:pt>
                <c:pt idx="39">
                  <c:v>8.8211620549675879E-2</c:v>
                </c:pt>
                <c:pt idx="40">
                  <c:v>8.7999999999999995E-2</c:v>
                </c:pt>
                <c:pt idx="41">
                  <c:v>8.7793450780795715E-2</c:v>
                </c:pt>
                <c:pt idx="42">
                  <c:v>8.7592008767923571E-2</c:v>
                </c:pt>
                <c:pt idx="43">
                  <c:v>8.7395709276828909E-2</c:v>
                </c:pt>
                <c:pt idx="44">
                  <c:v>8.7204587035315972E-2</c:v>
                </c:pt>
                <c:pt idx="45">
                  <c:v>8.7018676156328648E-2</c:v>
                </c:pt>
                <c:pt idx="46">
                  <c:v>8.6838010110780406E-2</c:v>
                </c:pt>
                <c:pt idx="47">
                  <c:v>8.6662621700477074E-2</c:v>
                </c:pt>
                <c:pt idx="48">
                  <c:v>8.6492543031176969E-2</c:v>
                </c:pt>
                <c:pt idx="49">
                  <c:v>8.6327805485834047E-2</c:v>
                </c:pt>
                <c:pt idx="50">
                  <c:v>8.616843969807042E-2</c:v>
                </c:pt>
                <c:pt idx="51">
                  <c:v>8.6014475525925282E-2</c:v>
                </c:pt>
                <c:pt idx="52">
                  <c:v>8.5865942025927816E-2</c:v>
                </c:pt>
                <c:pt idx="53">
                  <c:v>8.5722867427542329E-2</c:v>
                </c:pt>
                <c:pt idx="54">
                  <c:v>8.5585279108033513E-2</c:v>
                </c:pt>
                <c:pt idx="55">
                  <c:v>8.545320356780077E-2</c:v>
                </c:pt>
                <c:pt idx="56">
                  <c:v>8.5326666406229643E-2</c:v>
                </c:pt>
                <c:pt idx="57">
                  <c:v>8.5205692298108815E-2</c:v>
                </c:pt>
                <c:pt idx="58">
                  <c:v>8.5090304970660433E-2</c:v>
                </c:pt>
                <c:pt idx="59">
                  <c:v>8.498052718123135E-2</c:v>
                </c:pt>
                <c:pt idx="60">
                  <c:v>8.4876380695691769E-2</c:v>
                </c:pt>
                <c:pt idx="61">
                  <c:v>8.4777886267587491E-2</c:v>
                </c:pt>
                <c:pt idx="62">
                  <c:v>8.4685063618090278E-2</c:v>
                </c:pt>
                <c:pt idx="63">
                  <c:v>8.4597931416790562E-2</c:v>
                </c:pt>
                <c:pt idx="64">
                  <c:v>8.4516507263374285E-2</c:v>
                </c:pt>
                <c:pt idx="65">
                  <c:v>8.444080767022541E-2</c:v>
                </c:pt>
                <c:pt idx="66">
                  <c:v>8.437084804599275E-2</c:v>
                </c:pt>
                <c:pt idx="67">
                  <c:v>8.4306642680158944E-2</c:v>
                </c:pt>
                <c:pt idx="68">
                  <c:v>8.4248204728646886E-2</c:v>
                </c:pt>
                <c:pt idx="69">
                  <c:v>8.4195546200496851E-2</c:v>
                </c:pt>
                <c:pt idx="70">
                  <c:v>8.4148677945645692E-2</c:v>
                </c:pt>
                <c:pt idx="71">
                  <c:v>8.4107609643836623E-2</c:v>
                </c:pt>
                <c:pt idx="72">
                  <c:v>8.4072349794685766E-2</c:v>
                </c:pt>
                <c:pt idx="73">
                  <c:v>8.4042905708929402E-2</c:v>
                </c:pt>
                <c:pt idx="74">
                  <c:v>8.401928350087258E-2</c:v>
                </c:pt>
                <c:pt idx="75">
                  <c:v>8.4001488082057207E-2</c:v>
                </c:pt>
                <c:pt idx="76">
                  <c:v>8.3989523156165133E-2</c:v>
                </c:pt>
                <c:pt idx="77">
                  <c:v>8.3983391215168249E-2</c:v>
                </c:pt>
                <c:pt idx="78">
                  <c:v>8.3983093536735123E-2</c:v>
                </c:pt>
                <c:pt idx="79">
                  <c:v>8.3988630182900342E-2</c:v>
                </c:pt>
                <c:pt idx="80">
                  <c:v>8.4000000000000005E-2</c:v>
                </c:pt>
                <c:pt idx="81">
                  <c:v>8.401720061987307E-2</c:v>
                </c:pt>
                <c:pt idx="82">
                  <c:v>8.4040228462326297E-2</c:v>
                </c:pt>
                <c:pt idx="83">
                  <c:v>8.4069078738856176E-2</c:v>
                </c:pt>
                <c:pt idx="84">
                  <c:v>8.4103745457619186E-2</c:v>
                </c:pt>
                <c:pt idx="85">
                  <c:v>8.4144221429638288E-2</c:v>
                </c:pt>
                <c:pt idx="86">
                  <c:v>8.419049827623068E-2</c:v>
                </c:pt>
                <c:pt idx="87">
                  <c:v>8.4242566437638874E-2</c:v>
                </c:pt>
                <c:pt idx="88">
                  <c:v>8.4300415182844743E-2</c:v>
                </c:pt>
                <c:pt idx="89">
                  <c:v>8.4364032620542734E-2</c:v>
                </c:pt>
                <c:pt idx="90">
                  <c:v>8.4433405711246773E-2</c:v>
                </c:pt>
                <c:pt idx="91">
                  <c:v>8.4508520280501889E-2</c:v>
                </c:pt>
                <c:pt idx="92">
                  <c:v>8.4589361033170121E-2</c:v>
                </c:pt>
                <c:pt idx="93">
                  <c:v>8.467591156875727E-2</c:v>
                </c:pt>
                <c:pt idx="94">
                  <c:v>8.4768154397745391E-2</c:v>
                </c:pt>
                <c:pt idx="95">
                  <c:v>8.4866070958893813E-2</c:v>
                </c:pt>
                <c:pt idx="96">
                  <c:v>8.4969641637469562E-2</c:v>
                </c:pt>
                <c:pt idx="97">
                  <c:v>8.5078845784366391E-2</c:v>
                </c:pt>
                <c:pt idx="98">
                  <c:v>8.5193661736070486E-2</c:v>
                </c:pt>
                <c:pt idx="99">
                  <c:v>8.5314066835428734E-2</c:v>
                </c:pt>
                <c:pt idx="100">
                  <c:v>8.5440037453175313E-2</c:v>
                </c:pt>
                <c:pt idx="101">
                  <c:v>8.5571549010170431E-2</c:v>
                </c:pt>
                <c:pt idx="102">
                  <c:v>8.5708576000304668E-2</c:v>
                </c:pt>
                <c:pt idx="103">
                  <c:v>8.5851092014021593E-2</c:v>
                </c:pt>
                <c:pt idx="104">
                  <c:v>8.5999069762410812E-2</c:v>
                </c:pt>
                <c:pt idx="105">
                  <c:v>8.6152481101823192E-2</c:v>
                </c:pt>
                <c:pt idx="106">
                  <c:v>8.6311297058959791E-2</c:v>
                </c:pt>
                <c:pt idx="107">
                  <c:v>8.6475487856386229E-2</c:v>
                </c:pt>
                <c:pt idx="108">
                  <c:v>8.6645022938423882E-2</c:v>
                </c:pt>
                <c:pt idx="109">
                  <c:v>8.6819870997370194E-2</c:v>
                </c:pt>
                <c:pt idx="110">
                  <c:v>8.7000000000000022E-2</c:v>
                </c:pt>
                <c:pt idx="111">
                  <c:v>8.7185377214301266E-2</c:v>
                </c:pt>
                <c:pt idx="112">
                  <c:v>8.737596923639819E-2</c:v>
                </c:pt>
                <c:pt idx="113">
                  <c:v>8.7571742017616624E-2</c:v>
                </c:pt>
                <c:pt idx="114">
                  <c:v>8.7772660891646689E-2</c:v>
                </c:pt>
                <c:pt idx="115">
                  <c:v>8.7978690601758794E-2</c:v>
                </c:pt>
                <c:pt idx="116">
                  <c:v>8.818979532803102E-2</c:v>
                </c:pt>
                <c:pt idx="117">
                  <c:v>8.8405938714545662E-2</c:v>
                </c:pt>
                <c:pt idx="118">
                  <c:v>8.8627083896515524E-2</c:v>
                </c:pt>
                <c:pt idx="119">
                  <c:v>8.8853193527300992E-2</c:v>
                </c:pt>
                <c:pt idx="120">
                  <c:v>8.9084229805280357E-2</c:v>
                </c:pt>
                <c:pt idx="121">
                  <c:v>8.9320154500538138E-2</c:v>
                </c:pt>
                <c:pt idx="122">
                  <c:v>8.956092898133651E-2</c:v>
                </c:pt>
                <c:pt idx="123">
                  <c:v>8.9806514240337837E-2</c:v>
                </c:pt>
                <c:pt idx="124">
                  <c:v>9.0056870920546664E-2</c:v>
                </c:pt>
                <c:pt idx="125">
                  <c:v>9.0311959340942244E-2</c:v>
                </c:pt>
                <c:pt idx="126">
                  <c:v>9.0571739521773595E-2</c:v>
                </c:pt>
                <c:pt idx="127">
                  <c:v>9.0836171209491237E-2</c:v>
                </c:pt>
                <c:pt idx="128">
                  <c:v>9.1105213901291102E-2</c:v>
                </c:pt>
                <c:pt idx="129">
                  <c:v>9.1378826869248017E-2</c:v>
                </c:pt>
                <c:pt idx="130">
                  <c:v>9.1656969184017889E-2</c:v>
                </c:pt>
                <c:pt idx="131">
                  <c:v>9.1939599738088934E-2</c:v>
                </c:pt>
                <c:pt idx="132">
                  <c:v>9.2226677268564788E-2</c:v>
                </c:pt>
                <c:pt idx="133">
                  <c:v>9.2518160379462824E-2</c:v>
                </c:pt>
                <c:pt idx="134">
                  <c:v>9.2814007563513837E-2</c:v>
                </c:pt>
                <c:pt idx="135">
                  <c:v>9.3114177223449723E-2</c:v>
                </c:pt>
                <c:pt idx="136">
                  <c:v>9.3418627692768014E-2</c:v>
                </c:pt>
                <c:pt idx="137">
                  <c:v>9.3727317255963352E-2</c:v>
                </c:pt>
                <c:pt idx="138">
                  <c:v>9.4040204168217345E-2</c:v>
                </c:pt>
                <c:pt idx="139">
                  <c:v>9.4357246674540082E-2</c:v>
                </c:pt>
                <c:pt idx="140">
                  <c:v>9.4678403028357033E-2</c:v>
                </c:pt>
                <c:pt idx="141">
                  <c:v>9.5003631509537598E-2</c:v>
                </c:pt>
                <c:pt idx="142">
                  <c:v>9.5332890441861703E-2</c:v>
                </c:pt>
                <c:pt idx="143">
                  <c:v>9.5666138209922563E-2</c:v>
                </c:pt>
                <c:pt idx="144">
                  <c:v>9.6003333275464994E-2</c:v>
                </c:pt>
                <c:pt idx="145">
                  <c:v>9.6344434193159315E-2</c:v>
                </c:pt>
                <c:pt idx="146">
                  <c:v>9.6689399625812161E-2</c:v>
                </c:pt>
                <c:pt idx="147">
                  <c:v>9.7038188359016717E-2</c:v>
                </c:pt>
                <c:pt idx="148">
                  <c:v>9.7390759315245143E-2</c:v>
                </c:pt>
                <c:pt idx="149">
                  <c:v>9.7747071567387669E-2</c:v>
                </c:pt>
                <c:pt idx="150">
                  <c:v>9.8107084351742951E-2</c:v>
                </c:pt>
                <c:pt idx="151">
                  <c:v>9.8470757080465307E-2</c:v>
                </c:pt>
                <c:pt idx="152">
                  <c:v>9.8838049353475232E-2</c:v>
                </c:pt>
                <c:pt idx="153">
                  <c:v>9.9208920969840242E-2</c:v>
                </c:pt>
                <c:pt idx="154">
                  <c:v>9.9583331938633224E-2</c:v>
                </c:pt>
                <c:pt idx="155">
                  <c:v>9.9961242489276847E-2</c:v>
                </c:pt>
                <c:pt idx="156">
                  <c:v>0.10034261308138237</c:v>
                </c:pt>
                <c:pt idx="157">
                  <c:v>0.10072740441409184</c:v>
                </c:pt>
                <c:pt idx="158">
                  <c:v>0.10111557743493338</c:v>
                </c:pt>
                <c:pt idx="159">
                  <c:v>0.10150709334819912</c:v>
                </c:pt>
                <c:pt idx="160">
                  <c:v>0.10190191362285603</c:v>
                </c:pt>
                <c:pt idx="161">
                  <c:v>0.10230000000000003</c:v>
                </c:pt>
                <c:pt idx="162">
                  <c:v>0.10270131449986417</c:v>
                </c:pt>
                <c:pt idx="163">
                  <c:v>0.10310581942839118</c:v>
                </c:pt>
                <c:pt idx="164">
                  <c:v>0.10351347738338235</c:v>
                </c:pt>
                <c:pt idx="165">
                  <c:v>0.10392425126023286</c:v>
                </c:pt>
                <c:pt idx="166">
                  <c:v>0.10433810425726552</c:v>
                </c:pt>
                <c:pt idx="167">
                  <c:v>0.10475499988067401</c:v>
                </c:pt>
                <c:pt idx="168">
                  <c:v>0.10517490194908674</c:v>
                </c:pt>
                <c:pt idx="169">
                  <c:v>0.10559777459776323</c:v>
                </c:pt>
                <c:pt idx="170">
                  <c:v>0.1060235822824338</c:v>
                </c:pt>
                <c:pt idx="171">
                  <c:v>0.10645228978279431</c:v>
                </c:pt>
                <c:pt idx="172">
                  <c:v>0.10688386220566701</c:v>
                </c:pt>
                <c:pt idx="173">
                  <c:v>0.1073182649878389</c:v>
                </c:pt>
                <c:pt idx="174">
                  <c:v>0.1077554638985885</c:v>
                </c:pt>
                <c:pt idx="175">
                  <c:v>0.10819542504191207</c:v>
                </c:pt>
                <c:pt idx="176">
                  <c:v>0.1086381148584603</c:v>
                </c:pt>
                <c:pt idx="177">
                  <c:v>0.1090835001271962</c:v>
                </c:pt>
                <c:pt idx="178">
                  <c:v>0.10953154796678449</c:v>
                </c:pt>
                <c:pt idx="179">
                  <c:v>0.10998222583672332</c:v>
                </c:pt>
                <c:pt idx="180">
                  <c:v>0.11043550153822825</c:v>
                </c:pt>
                <c:pt idx="181">
                  <c:v>0.11089134321487865</c:v>
                </c:pt>
                <c:pt idx="182">
                  <c:v>0.1113497193530366</c:v>
                </c:pt>
                <c:pt idx="183">
                  <c:v>0.11181059878204756</c:v>
                </c:pt>
                <c:pt idx="184">
                  <c:v>0.1122739506742326</c:v>
                </c:pt>
                <c:pt idx="185">
                  <c:v>0.11273974454468137</c:v>
                </c:pt>
                <c:pt idx="186">
                  <c:v>0.1132079502508548</c:v>
                </c:pt>
                <c:pt idx="187">
                  <c:v>0.11367853799200628</c:v>
                </c:pt>
                <c:pt idx="188">
                  <c:v>0.11415147830843023</c:v>
                </c:pt>
                <c:pt idx="189">
                  <c:v>0.114626742080546</c:v>
                </c:pt>
                <c:pt idx="190">
                  <c:v>0.11510430052782569</c:v>
                </c:pt>
                <c:pt idx="191">
                  <c:v>0.11558412520757345</c:v>
                </c:pt>
                <c:pt idx="192">
                  <c:v>0.11606618801356412</c:v>
                </c:pt>
                <c:pt idx="193">
                  <c:v>0.11655046117454884</c:v>
                </c:pt>
                <c:pt idx="194">
                  <c:v>0.1170369172526345</c:v>
                </c:pt>
                <c:pt idx="195">
                  <c:v>0.11752552914154446</c:v>
                </c:pt>
                <c:pt idx="196">
                  <c:v>0.11801627006476699</c:v>
                </c:pt>
                <c:pt idx="197">
                  <c:v>0.11850911357359829</c:v>
                </c:pt>
                <c:pt idx="198">
                  <c:v>0.11900403354508626</c:v>
                </c:pt>
                <c:pt idx="199">
                  <c:v>0.11950100417988134</c:v>
                </c:pt>
                <c:pt idx="200">
                  <c:v>0.12000000000000006</c:v>
                </c:pt>
              </c:numCache>
            </c:numRef>
          </c:xVal>
          <c:yVal>
            <c:numRef>
              <c:f>Sem_Short_Sell!$F$12:$F$212</c:f>
              <c:numCache>
                <c:formatCode>0.0%</c:formatCode>
                <c:ptCount val="201"/>
                <c:pt idx="0">
                  <c:v>0.06</c:v>
                </c:pt>
                <c:pt idx="1">
                  <c:v>6.0149999999999995E-2</c:v>
                </c:pt>
                <c:pt idx="2">
                  <c:v>6.0299999999999992E-2</c:v>
                </c:pt>
                <c:pt idx="3">
                  <c:v>6.0449999999999997E-2</c:v>
                </c:pt>
                <c:pt idx="4">
                  <c:v>6.0600000000000001E-2</c:v>
                </c:pt>
                <c:pt idx="5">
                  <c:v>6.0749999999999998E-2</c:v>
                </c:pt>
                <c:pt idx="6">
                  <c:v>6.0899999999999996E-2</c:v>
                </c:pt>
                <c:pt idx="7">
                  <c:v>6.1049999999999993E-2</c:v>
                </c:pt>
                <c:pt idx="8">
                  <c:v>6.1199999999999997E-2</c:v>
                </c:pt>
                <c:pt idx="9">
                  <c:v>6.1349999999999995E-2</c:v>
                </c:pt>
                <c:pt idx="10">
                  <c:v>6.1499999999999992E-2</c:v>
                </c:pt>
                <c:pt idx="11">
                  <c:v>6.1649999999999996E-2</c:v>
                </c:pt>
                <c:pt idx="12">
                  <c:v>6.1799999999999994E-2</c:v>
                </c:pt>
                <c:pt idx="13">
                  <c:v>6.1949999999999998E-2</c:v>
                </c:pt>
                <c:pt idx="14">
                  <c:v>6.2099999999999995E-2</c:v>
                </c:pt>
                <c:pt idx="15">
                  <c:v>6.2249999999999993E-2</c:v>
                </c:pt>
                <c:pt idx="16">
                  <c:v>6.239999999999999E-2</c:v>
                </c:pt>
                <c:pt idx="17">
                  <c:v>6.2549999999999994E-2</c:v>
                </c:pt>
                <c:pt idx="18">
                  <c:v>6.2699999999999992E-2</c:v>
                </c:pt>
                <c:pt idx="19">
                  <c:v>6.2849999999999989E-2</c:v>
                </c:pt>
                <c:pt idx="20">
                  <c:v>6.3E-2</c:v>
                </c:pt>
                <c:pt idx="21">
                  <c:v>6.3149999999999998E-2</c:v>
                </c:pt>
                <c:pt idx="22">
                  <c:v>6.3299999999999995E-2</c:v>
                </c:pt>
                <c:pt idx="23">
                  <c:v>6.3449999999999993E-2</c:v>
                </c:pt>
                <c:pt idx="24">
                  <c:v>6.359999999999999E-2</c:v>
                </c:pt>
                <c:pt idx="25">
                  <c:v>6.3749999999999987E-2</c:v>
                </c:pt>
                <c:pt idx="26">
                  <c:v>6.3899999999999985E-2</c:v>
                </c:pt>
                <c:pt idx="27">
                  <c:v>6.4049999999999996E-2</c:v>
                </c:pt>
                <c:pt idx="28">
                  <c:v>6.4199999999999993E-2</c:v>
                </c:pt>
                <c:pt idx="29">
                  <c:v>6.4349999999999991E-2</c:v>
                </c:pt>
                <c:pt idx="30">
                  <c:v>6.4499999999999988E-2</c:v>
                </c:pt>
                <c:pt idx="31">
                  <c:v>6.4649999999999985E-2</c:v>
                </c:pt>
                <c:pt idx="32">
                  <c:v>6.4799999999999996E-2</c:v>
                </c:pt>
                <c:pt idx="33">
                  <c:v>6.4949999999999994E-2</c:v>
                </c:pt>
                <c:pt idx="34">
                  <c:v>6.5099999999999991E-2</c:v>
                </c:pt>
                <c:pt idx="35">
                  <c:v>6.5250000000000002E-2</c:v>
                </c:pt>
                <c:pt idx="36">
                  <c:v>6.5399999999999986E-2</c:v>
                </c:pt>
                <c:pt idx="37">
                  <c:v>6.5549999999999997E-2</c:v>
                </c:pt>
                <c:pt idx="38">
                  <c:v>6.5699999999999995E-2</c:v>
                </c:pt>
                <c:pt idx="39">
                  <c:v>6.5849999999999992E-2</c:v>
                </c:pt>
                <c:pt idx="40">
                  <c:v>6.6000000000000003E-2</c:v>
                </c:pt>
                <c:pt idx="41">
                  <c:v>6.6149999999999987E-2</c:v>
                </c:pt>
                <c:pt idx="42">
                  <c:v>6.6299999999999998E-2</c:v>
                </c:pt>
                <c:pt idx="43">
                  <c:v>6.6449999999999995E-2</c:v>
                </c:pt>
                <c:pt idx="44">
                  <c:v>6.6599999999999993E-2</c:v>
                </c:pt>
                <c:pt idx="45">
                  <c:v>6.6750000000000004E-2</c:v>
                </c:pt>
                <c:pt idx="46">
                  <c:v>6.6899999999999987E-2</c:v>
                </c:pt>
                <c:pt idx="47">
                  <c:v>6.7049999999999998E-2</c:v>
                </c:pt>
                <c:pt idx="48">
                  <c:v>6.7199999999999996E-2</c:v>
                </c:pt>
                <c:pt idx="49">
                  <c:v>6.7349999999999993E-2</c:v>
                </c:pt>
                <c:pt idx="50">
                  <c:v>6.7499999999999991E-2</c:v>
                </c:pt>
                <c:pt idx="51">
                  <c:v>6.7649999999999988E-2</c:v>
                </c:pt>
                <c:pt idx="52">
                  <c:v>6.7799999999999999E-2</c:v>
                </c:pt>
                <c:pt idx="53">
                  <c:v>6.7949999999999997E-2</c:v>
                </c:pt>
                <c:pt idx="54">
                  <c:v>6.8099999999999994E-2</c:v>
                </c:pt>
                <c:pt idx="55">
                  <c:v>6.8249999999999991E-2</c:v>
                </c:pt>
                <c:pt idx="56">
                  <c:v>6.8399999999999989E-2</c:v>
                </c:pt>
                <c:pt idx="57">
                  <c:v>6.855E-2</c:v>
                </c:pt>
                <c:pt idx="58">
                  <c:v>6.8699999999999997E-2</c:v>
                </c:pt>
                <c:pt idx="59">
                  <c:v>6.8849999999999995E-2</c:v>
                </c:pt>
                <c:pt idx="60">
                  <c:v>6.8999999999999992E-2</c:v>
                </c:pt>
                <c:pt idx="61">
                  <c:v>6.9149999999999989E-2</c:v>
                </c:pt>
                <c:pt idx="62">
                  <c:v>6.93E-2</c:v>
                </c:pt>
                <c:pt idx="63">
                  <c:v>6.9449999999999998E-2</c:v>
                </c:pt>
                <c:pt idx="64">
                  <c:v>6.9599999999999995E-2</c:v>
                </c:pt>
                <c:pt idx="65">
                  <c:v>6.9749999999999993E-2</c:v>
                </c:pt>
                <c:pt idx="66">
                  <c:v>6.989999999999999E-2</c:v>
                </c:pt>
                <c:pt idx="67">
                  <c:v>7.0050000000000001E-2</c:v>
                </c:pt>
                <c:pt idx="68">
                  <c:v>7.0199999999999999E-2</c:v>
                </c:pt>
                <c:pt idx="69">
                  <c:v>7.0349999999999996E-2</c:v>
                </c:pt>
                <c:pt idx="70">
                  <c:v>7.0499999999999993E-2</c:v>
                </c:pt>
                <c:pt idx="71">
                  <c:v>7.0649999999999991E-2</c:v>
                </c:pt>
                <c:pt idx="72">
                  <c:v>7.0800000000000002E-2</c:v>
                </c:pt>
                <c:pt idx="73">
                  <c:v>7.0949999999999999E-2</c:v>
                </c:pt>
                <c:pt idx="74">
                  <c:v>7.1099999999999997E-2</c:v>
                </c:pt>
                <c:pt idx="75">
                  <c:v>7.1249999999999994E-2</c:v>
                </c:pt>
                <c:pt idx="76">
                  <c:v>7.1399999999999991E-2</c:v>
                </c:pt>
                <c:pt idx="77">
                  <c:v>7.1550000000000002E-2</c:v>
                </c:pt>
                <c:pt idx="78">
                  <c:v>7.17E-2</c:v>
                </c:pt>
                <c:pt idx="79">
                  <c:v>7.1849999999999997E-2</c:v>
                </c:pt>
                <c:pt idx="80">
                  <c:v>7.1999999999999995E-2</c:v>
                </c:pt>
                <c:pt idx="81">
                  <c:v>7.2149999999999992E-2</c:v>
                </c:pt>
                <c:pt idx="82">
                  <c:v>7.2300000000000003E-2</c:v>
                </c:pt>
                <c:pt idx="83">
                  <c:v>7.2450000000000001E-2</c:v>
                </c:pt>
                <c:pt idx="84">
                  <c:v>7.2599999999999998E-2</c:v>
                </c:pt>
                <c:pt idx="85">
                  <c:v>7.2749999999999995E-2</c:v>
                </c:pt>
                <c:pt idx="86">
                  <c:v>7.2899999999999993E-2</c:v>
                </c:pt>
                <c:pt idx="87">
                  <c:v>7.3050000000000004E-2</c:v>
                </c:pt>
                <c:pt idx="88">
                  <c:v>7.3200000000000001E-2</c:v>
                </c:pt>
                <c:pt idx="89">
                  <c:v>7.3349999999999999E-2</c:v>
                </c:pt>
                <c:pt idx="90">
                  <c:v>7.3499999999999996E-2</c:v>
                </c:pt>
                <c:pt idx="91">
                  <c:v>7.3649999999999993E-2</c:v>
                </c:pt>
                <c:pt idx="92">
                  <c:v>7.3800000000000004E-2</c:v>
                </c:pt>
                <c:pt idx="93">
                  <c:v>7.3950000000000002E-2</c:v>
                </c:pt>
                <c:pt idx="94">
                  <c:v>7.4099999999999999E-2</c:v>
                </c:pt>
                <c:pt idx="95">
                  <c:v>7.4249999999999997E-2</c:v>
                </c:pt>
                <c:pt idx="96">
                  <c:v>7.4400000000000008E-2</c:v>
                </c:pt>
                <c:pt idx="97">
                  <c:v>7.4550000000000005E-2</c:v>
                </c:pt>
                <c:pt idx="98">
                  <c:v>7.4700000000000003E-2</c:v>
                </c:pt>
                <c:pt idx="99">
                  <c:v>7.485E-2</c:v>
                </c:pt>
                <c:pt idx="100">
                  <c:v>7.4999999999999997E-2</c:v>
                </c:pt>
                <c:pt idx="101">
                  <c:v>7.5150000000000008E-2</c:v>
                </c:pt>
                <c:pt idx="102">
                  <c:v>7.5300000000000006E-2</c:v>
                </c:pt>
                <c:pt idx="103">
                  <c:v>7.5450000000000003E-2</c:v>
                </c:pt>
                <c:pt idx="104">
                  <c:v>7.5600000000000001E-2</c:v>
                </c:pt>
                <c:pt idx="105">
                  <c:v>7.5749999999999998E-2</c:v>
                </c:pt>
                <c:pt idx="106">
                  <c:v>7.5900000000000009E-2</c:v>
                </c:pt>
                <c:pt idx="107">
                  <c:v>7.6050000000000006E-2</c:v>
                </c:pt>
                <c:pt idx="108">
                  <c:v>7.6200000000000004E-2</c:v>
                </c:pt>
                <c:pt idx="109">
                  <c:v>7.6350000000000001E-2</c:v>
                </c:pt>
                <c:pt idx="110">
                  <c:v>7.6499999999999999E-2</c:v>
                </c:pt>
                <c:pt idx="111">
                  <c:v>7.6649999999999996E-2</c:v>
                </c:pt>
                <c:pt idx="112">
                  <c:v>7.6800000000000007E-2</c:v>
                </c:pt>
                <c:pt idx="113">
                  <c:v>7.6950000000000005E-2</c:v>
                </c:pt>
                <c:pt idx="114">
                  <c:v>7.7100000000000002E-2</c:v>
                </c:pt>
                <c:pt idx="115">
                  <c:v>7.7249999999999999E-2</c:v>
                </c:pt>
                <c:pt idx="116">
                  <c:v>7.7399999999999997E-2</c:v>
                </c:pt>
                <c:pt idx="117">
                  <c:v>7.7550000000000008E-2</c:v>
                </c:pt>
                <c:pt idx="118">
                  <c:v>7.7700000000000005E-2</c:v>
                </c:pt>
                <c:pt idx="119">
                  <c:v>7.7850000000000003E-2</c:v>
                </c:pt>
                <c:pt idx="120">
                  <c:v>7.8E-2</c:v>
                </c:pt>
                <c:pt idx="121">
                  <c:v>7.8149999999999997E-2</c:v>
                </c:pt>
                <c:pt idx="122">
                  <c:v>7.8300000000000008E-2</c:v>
                </c:pt>
                <c:pt idx="123">
                  <c:v>7.8450000000000006E-2</c:v>
                </c:pt>
                <c:pt idx="124">
                  <c:v>7.8600000000000003E-2</c:v>
                </c:pt>
                <c:pt idx="125">
                  <c:v>7.8750000000000001E-2</c:v>
                </c:pt>
                <c:pt idx="126">
                  <c:v>7.8899999999999998E-2</c:v>
                </c:pt>
                <c:pt idx="127">
                  <c:v>7.9050000000000009E-2</c:v>
                </c:pt>
                <c:pt idx="128">
                  <c:v>7.9200000000000007E-2</c:v>
                </c:pt>
                <c:pt idx="129">
                  <c:v>7.9350000000000004E-2</c:v>
                </c:pt>
                <c:pt idx="130">
                  <c:v>7.9500000000000001E-2</c:v>
                </c:pt>
                <c:pt idx="131">
                  <c:v>7.9649999999999999E-2</c:v>
                </c:pt>
                <c:pt idx="132">
                  <c:v>7.980000000000001E-2</c:v>
                </c:pt>
                <c:pt idx="133">
                  <c:v>7.9950000000000007E-2</c:v>
                </c:pt>
                <c:pt idx="134">
                  <c:v>8.0100000000000005E-2</c:v>
                </c:pt>
                <c:pt idx="135">
                  <c:v>8.0250000000000002E-2</c:v>
                </c:pt>
                <c:pt idx="136">
                  <c:v>8.0399999999999999E-2</c:v>
                </c:pt>
                <c:pt idx="137">
                  <c:v>8.055000000000001E-2</c:v>
                </c:pt>
                <c:pt idx="138">
                  <c:v>8.0700000000000008E-2</c:v>
                </c:pt>
                <c:pt idx="139">
                  <c:v>8.0850000000000005E-2</c:v>
                </c:pt>
                <c:pt idx="140">
                  <c:v>8.1000000000000003E-2</c:v>
                </c:pt>
                <c:pt idx="141">
                  <c:v>8.1150000000000014E-2</c:v>
                </c:pt>
                <c:pt idx="142">
                  <c:v>8.1299999999999997E-2</c:v>
                </c:pt>
                <c:pt idx="143">
                  <c:v>8.1450000000000009E-2</c:v>
                </c:pt>
                <c:pt idx="144">
                  <c:v>8.1600000000000006E-2</c:v>
                </c:pt>
                <c:pt idx="145">
                  <c:v>8.1750000000000003E-2</c:v>
                </c:pt>
                <c:pt idx="146">
                  <c:v>8.1900000000000014E-2</c:v>
                </c:pt>
                <c:pt idx="147">
                  <c:v>8.2049999999999998E-2</c:v>
                </c:pt>
                <c:pt idx="148">
                  <c:v>8.2200000000000009E-2</c:v>
                </c:pt>
                <c:pt idx="149">
                  <c:v>8.2350000000000007E-2</c:v>
                </c:pt>
                <c:pt idx="150">
                  <c:v>8.2500000000000004E-2</c:v>
                </c:pt>
                <c:pt idx="151">
                  <c:v>8.2650000000000015E-2</c:v>
                </c:pt>
                <c:pt idx="152">
                  <c:v>8.2799999999999999E-2</c:v>
                </c:pt>
                <c:pt idx="153">
                  <c:v>8.295000000000001E-2</c:v>
                </c:pt>
                <c:pt idx="154">
                  <c:v>8.3100000000000007E-2</c:v>
                </c:pt>
                <c:pt idx="155">
                  <c:v>8.3250000000000005E-2</c:v>
                </c:pt>
                <c:pt idx="156">
                  <c:v>8.3400000000000016E-2</c:v>
                </c:pt>
                <c:pt idx="157">
                  <c:v>8.3549999999999999E-2</c:v>
                </c:pt>
                <c:pt idx="158">
                  <c:v>8.3700000000000011E-2</c:v>
                </c:pt>
                <c:pt idx="159">
                  <c:v>8.3850000000000008E-2</c:v>
                </c:pt>
                <c:pt idx="160">
                  <c:v>8.4000000000000005E-2</c:v>
                </c:pt>
                <c:pt idx="161">
                  <c:v>8.4150000000000016E-2</c:v>
                </c:pt>
                <c:pt idx="162">
                  <c:v>8.43E-2</c:v>
                </c:pt>
                <c:pt idx="163">
                  <c:v>8.4450000000000011E-2</c:v>
                </c:pt>
                <c:pt idx="164">
                  <c:v>8.4600000000000009E-2</c:v>
                </c:pt>
                <c:pt idx="165">
                  <c:v>8.4750000000000006E-2</c:v>
                </c:pt>
                <c:pt idx="166">
                  <c:v>8.4900000000000017E-2</c:v>
                </c:pt>
                <c:pt idx="167">
                  <c:v>8.5050000000000001E-2</c:v>
                </c:pt>
                <c:pt idx="168">
                  <c:v>8.5200000000000012E-2</c:v>
                </c:pt>
                <c:pt idx="169">
                  <c:v>8.5350000000000009E-2</c:v>
                </c:pt>
                <c:pt idx="170">
                  <c:v>8.5500000000000007E-2</c:v>
                </c:pt>
                <c:pt idx="171">
                  <c:v>8.5650000000000018E-2</c:v>
                </c:pt>
                <c:pt idx="172">
                  <c:v>8.5800000000000001E-2</c:v>
                </c:pt>
                <c:pt idx="173">
                  <c:v>8.5950000000000013E-2</c:v>
                </c:pt>
                <c:pt idx="174">
                  <c:v>8.610000000000001E-2</c:v>
                </c:pt>
                <c:pt idx="175">
                  <c:v>8.6250000000000007E-2</c:v>
                </c:pt>
                <c:pt idx="176">
                  <c:v>8.6400000000000018E-2</c:v>
                </c:pt>
                <c:pt idx="177">
                  <c:v>8.6550000000000002E-2</c:v>
                </c:pt>
                <c:pt idx="178">
                  <c:v>8.6700000000000013E-2</c:v>
                </c:pt>
                <c:pt idx="179">
                  <c:v>8.6850000000000011E-2</c:v>
                </c:pt>
                <c:pt idx="180">
                  <c:v>8.7000000000000008E-2</c:v>
                </c:pt>
                <c:pt idx="181">
                  <c:v>8.7150000000000019E-2</c:v>
                </c:pt>
                <c:pt idx="182">
                  <c:v>8.7300000000000003E-2</c:v>
                </c:pt>
                <c:pt idx="183">
                  <c:v>8.7450000000000014E-2</c:v>
                </c:pt>
                <c:pt idx="184">
                  <c:v>8.7600000000000011E-2</c:v>
                </c:pt>
                <c:pt idx="185">
                  <c:v>8.7750000000000009E-2</c:v>
                </c:pt>
                <c:pt idx="186">
                  <c:v>8.790000000000002E-2</c:v>
                </c:pt>
                <c:pt idx="187">
                  <c:v>8.8050000000000003E-2</c:v>
                </c:pt>
                <c:pt idx="188">
                  <c:v>8.8200000000000014E-2</c:v>
                </c:pt>
                <c:pt idx="189">
                  <c:v>8.8350000000000012E-2</c:v>
                </c:pt>
                <c:pt idx="190">
                  <c:v>8.8500000000000009E-2</c:v>
                </c:pt>
                <c:pt idx="191">
                  <c:v>8.865000000000002E-2</c:v>
                </c:pt>
                <c:pt idx="192">
                  <c:v>8.8800000000000018E-2</c:v>
                </c:pt>
                <c:pt idx="193">
                  <c:v>8.8950000000000015E-2</c:v>
                </c:pt>
                <c:pt idx="194">
                  <c:v>8.9100000000000013E-2</c:v>
                </c:pt>
                <c:pt idx="195">
                  <c:v>8.925000000000001E-2</c:v>
                </c:pt>
                <c:pt idx="196">
                  <c:v>8.9400000000000021E-2</c:v>
                </c:pt>
                <c:pt idx="197">
                  <c:v>8.9550000000000018E-2</c:v>
                </c:pt>
                <c:pt idx="198">
                  <c:v>8.9700000000000016E-2</c:v>
                </c:pt>
                <c:pt idx="199">
                  <c:v>8.9850000000000013E-2</c:v>
                </c:pt>
                <c:pt idx="200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0AFF-43F0-8961-92E6C03014B7}"/>
            </c:ext>
          </c:extLst>
        </c:ser>
        <c:ser>
          <c:idx val="7"/>
          <c:order val="3"/>
          <c:spPr>
            <a:ln w="63500" cap="flat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Sem_Short_Sell!$G$12:$G$212</c:f>
              <c:numCache>
                <c:formatCode>0.0%</c:formatCode>
                <c:ptCount val="2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8.3983093536735123E-2</c:v>
                </c:pt>
                <c:pt idx="79">
                  <c:v>8.3988630182900342E-2</c:v>
                </c:pt>
                <c:pt idx="80">
                  <c:v>8.4000000000000005E-2</c:v>
                </c:pt>
                <c:pt idx="81">
                  <c:v>8.401720061987307E-2</c:v>
                </c:pt>
                <c:pt idx="82">
                  <c:v>8.4040228462326297E-2</c:v>
                </c:pt>
                <c:pt idx="83">
                  <c:v>8.4069078738856176E-2</c:v>
                </c:pt>
                <c:pt idx="84">
                  <c:v>8.4103745457619186E-2</c:v>
                </c:pt>
                <c:pt idx="85">
                  <c:v>8.4144221429638288E-2</c:v>
                </c:pt>
                <c:pt idx="86">
                  <c:v>8.419049827623068E-2</c:v>
                </c:pt>
                <c:pt idx="87">
                  <c:v>8.4242566437638874E-2</c:v>
                </c:pt>
                <c:pt idx="88">
                  <c:v>8.4300415182844743E-2</c:v>
                </c:pt>
                <c:pt idx="89">
                  <c:v>8.4364032620542734E-2</c:v>
                </c:pt>
                <c:pt idx="90">
                  <c:v>8.4433405711246773E-2</c:v>
                </c:pt>
                <c:pt idx="91">
                  <c:v>8.4508520280501889E-2</c:v>
                </c:pt>
                <c:pt idx="92">
                  <c:v>8.4589361033170121E-2</c:v>
                </c:pt>
                <c:pt idx="93">
                  <c:v>8.467591156875727E-2</c:v>
                </c:pt>
                <c:pt idx="94">
                  <c:v>8.4768154397745391E-2</c:v>
                </c:pt>
                <c:pt idx="95">
                  <c:v>8.4866070958893813E-2</c:v>
                </c:pt>
                <c:pt idx="96">
                  <c:v>8.4969641637469562E-2</c:v>
                </c:pt>
                <c:pt idx="97">
                  <c:v>8.5078845784366391E-2</c:v>
                </c:pt>
                <c:pt idx="98">
                  <c:v>8.5193661736070486E-2</c:v>
                </c:pt>
                <c:pt idx="99">
                  <c:v>8.5314066835428734E-2</c:v>
                </c:pt>
                <c:pt idx="100">
                  <c:v>8.5440037453175313E-2</c:v>
                </c:pt>
                <c:pt idx="101">
                  <c:v>8.5571549010170431E-2</c:v>
                </c:pt>
                <c:pt idx="102">
                  <c:v>8.5708576000304668E-2</c:v>
                </c:pt>
                <c:pt idx="103">
                  <c:v>8.5851092014021593E-2</c:v>
                </c:pt>
                <c:pt idx="104">
                  <c:v>8.5999069762410812E-2</c:v>
                </c:pt>
                <c:pt idx="105">
                  <c:v>8.6152481101823192E-2</c:v>
                </c:pt>
                <c:pt idx="106">
                  <c:v>8.6311297058959791E-2</c:v>
                </c:pt>
                <c:pt idx="107">
                  <c:v>8.6475487856386229E-2</c:v>
                </c:pt>
                <c:pt idx="108">
                  <c:v>8.6645022938423882E-2</c:v>
                </c:pt>
                <c:pt idx="109">
                  <c:v>8.6819870997370194E-2</c:v>
                </c:pt>
                <c:pt idx="110">
                  <c:v>8.7000000000000022E-2</c:v>
                </c:pt>
                <c:pt idx="111">
                  <c:v>8.7185377214301266E-2</c:v>
                </c:pt>
                <c:pt idx="112">
                  <c:v>8.737596923639819E-2</c:v>
                </c:pt>
                <c:pt idx="113">
                  <c:v>8.7571742017616624E-2</c:v>
                </c:pt>
                <c:pt idx="114">
                  <c:v>8.7772660891646689E-2</c:v>
                </c:pt>
                <c:pt idx="115">
                  <c:v>8.7978690601758794E-2</c:v>
                </c:pt>
                <c:pt idx="116">
                  <c:v>8.818979532803102E-2</c:v>
                </c:pt>
                <c:pt idx="117">
                  <c:v>8.8405938714545662E-2</c:v>
                </c:pt>
                <c:pt idx="118">
                  <c:v>8.8627083896515524E-2</c:v>
                </c:pt>
                <c:pt idx="119">
                  <c:v>8.8853193527300992E-2</c:v>
                </c:pt>
                <c:pt idx="120">
                  <c:v>8.9084229805280357E-2</c:v>
                </c:pt>
                <c:pt idx="121">
                  <c:v>8.9320154500538138E-2</c:v>
                </c:pt>
                <c:pt idx="122">
                  <c:v>8.956092898133651E-2</c:v>
                </c:pt>
                <c:pt idx="123">
                  <c:v>8.9806514240337837E-2</c:v>
                </c:pt>
                <c:pt idx="124">
                  <c:v>9.0056870920546664E-2</c:v>
                </c:pt>
                <c:pt idx="125">
                  <c:v>9.0311959340942244E-2</c:v>
                </c:pt>
                <c:pt idx="126">
                  <c:v>9.0571739521773595E-2</c:v>
                </c:pt>
                <c:pt idx="127">
                  <c:v>9.0836171209491237E-2</c:v>
                </c:pt>
                <c:pt idx="128">
                  <c:v>9.1105213901291102E-2</c:v>
                </c:pt>
                <c:pt idx="129">
                  <c:v>9.1378826869248017E-2</c:v>
                </c:pt>
                <c:pt idx="130">
                  <c:v>9.1656969184017889E-2</c:v>
                </c:pt>
                <c:pt idx="131">
                  <c:v>9.1939599738088934E-2</c:v>
                </c:pt>
                <c:pt idx="132">
                  <c:v>9.2226677268564788E-2</c:v>
                </c:pt>
                <c:pt idx="133">
                  <c:v>9.2518160379462824E-2</c:v>
                </c:pt>
                <c:pt idx="134">
                  <c:v>9.2814007563513837E-2</c:v>
                </c:pt>
                <c:pt idx="135">
                  <c:v>9.3114177223449723E-2</c:v>
                </c:pt>
                <c:pt idx="136">
                  <c:v>9.3418627692768014E-2</c:v>
                </c:pt>
                <c:pt idx="137">
                  <c:v>9.3727317255963352E-2</c:v>
                </c:pt>
                <c:pt idx="138">
                  <c:v>9.4040204168217345E-2</c:v>
                </c:pt>
                <c:pt idx="139">
                  <c:v>9.4357246674540082E-2</c:v>
                </c:pt>
                <c:pt idx="140">
                  <c:v>9.4678403028357033E-2</c:v>
                </c:pt>
                <c:pt idx="141">
                  <c:v>9.5003631509537598E-2</c:v>
                </c:pt>
                <c:pt idx="142">
                  <c:v>9.5332890441861703E-2</c:v>
                </c:pt>
                <c:pt idx="143">
                  <c:v>9.5666138209922563E-2</c:v>
                </c:pt>
                <c:pt idx="144">
                  <c:v>9.6003333275464994E-2</c:v>
                </c:pt>
                <c:pt idx="145">
                  <c:v>9.6344434193159315E-2</c:v>
                </c:pt>
                <c:pt idx="146">
                  <c:v>9.6689399625812161E-2</c:v>
                </c:pt>
                <c:pt idx="147">
                  <c:v>9.7038188359016717E-2</c:v>
                </c:pt>
                <c:pt idx="148">
                  <c:v>9.7390759315245143E-2</c:v>
                </c:pt>
                <c:pt idx="149">
                  <c:v>9.7747071567387669E-2</c:v>
                </c:pt>
                <c:pt idx="150">
                  <c:v>9.8107084351742951E-2</c:v>
                </c:pt>
                <c:pt idx="151">
                  <c:v>9.8470757080465307E-2</c:v>
                </c:pt>
                <c:pt idx="152">
                  <c:v>9.8838049353475232E-2</c:v>
                </c:pt>
                <c:pt idx="153">
                  <c:v>9.9208920969840242E-2</c:v>
                </c:pt>
                <c:pt idx="154">
                  <c:v>9.9583331938633224E-2</c:v>
                </c:pt>
                <c:pt idx="155">
                  <c:v>9.9961242489276847E-2</c:v>
                </c:pt>
                <c:pt idx="156">
                  <c:v>0.10034261308138237</c:v>
                </c:pt>
                <c:pt idx="157">
                  <c:v>0.10072740441409184</c:v>
                </c:pt>
                <c:pt idx="158">
                  <c:v>0.10111557743493338</c:v>
                </c:pt>
                <c:pt idx="159">
                  <c:v>0.10150709334819912</c:v>
                </c:pt>
                <c:pt idx="160">
                  <c:v>0.10190191362285603</c:v>
                </c:pt>
                <c:pt idx="161">
                  <c:v>0.10230000000000003</c:v>
                </c:pt>
                <c:pt idx="162">
                  <c:v>0.10270131449986417</c:v>
                </c:pt>
                <c:pt idx="163">
                  <c:v>0.10310581942839118</c:v>
                </c:pt>
                <c:pt idx="164">
                  <c:v>0.10351347738338235</c:v>
                </c:pt>
                <c:pt idx="165">
                  <c:v>0.10392425126023286</c:v>
                </c:pt>
                <c:pt idx="166">
                  <c:v>0.10433810425726552</c:v>
                </c:pt>
                <c:pt idx="167">
                  <c:v>0.10475499988067401</c:v>
                </c:pt>
                <c:pt idx="168">
                  <c:v>0.10517490194908674</c:v>
                </c:pt>
                <c:pt idx="169">
                  <c:v>0.10559777459776323</c:v>
                </c:pt>
                <c:pt idx="170">
                  <c:v>0.1060235822824338</c:v>
                </c:pt>
                <c:pt idx="171">
                  <c:v>0.10645228978279431</c:v>
                </c:pt>
                <c:pt idx="172">
                  <c:v>0.10688386220566701</c:v>
                </c:pt>
                <c:pt idx="173">
                  <c:v>0.1073182649878389</c:v>
                </c:pt>
                <c:pt idx="174">
                  <c:v>0.1077554638985885</c:v>
                </c:pt>
                <c:pt idx="175">
                  <c:v>0.10819542504191207</c:v>
                </c:pt>
                <c:pt idx="176">
                  <c:v>0.1086381148584603</c:v>
                </c:pt>
                <c:pt idx="177">
                  <c:v>0.1090835001271962</c:v>
                </c:pt>
                <c:pt idx="178">
                  <c:v>0.10953154796678449</c:v>
                </c:pt>
                <c:pt idx="179">
                  <c:v>0.10998222583672332</c:v>
                </c:pt>
                <c:pt idx="180">
                  <c:v>0.11043550153822825</c:v>
                </c:pt>
                <c:pt idx="181">
                  <c:v>0.11089134321487865</c:v>
                </c:pt>
                <c:pt idx="182">
                  <c:v>0.1113497193530366</c:v>
                </c:pt>
                <c:pt idx="183">
                  <c:v>0.11181059878204756</c:v>
                </c:pt>
                <c:pt idx="184">
                  <c:v>0.1122739506742326</c:v>
                </c:pt>
                <c:pt idx="185">
                  <c:v>0.11273974454468137</c:v>
                </c:pt>
                <c:pt idx="186">
                  <c:v>0.1132079502508548</c:v>
                </c:pt>
                <c:pt idx="187">
                  <c:v>0.11367853799200628</c:v>
                </c:pt>
                <c:pt idx="188">
                  <c:v>0.11415147830843023</c:v>
                </c:pt>
                <c:pt idx="189">
                  <c:v>0.114626742080546</c:v>
                </c:pt>
                <c:pt idx="190">
                  <c:v>0.11510430052782569</c:v>
                </c:pt>
                <c:pt idx="191">
                  <c:v>0.11558412520757345</c:v>
                </c:pt>
                <c:pt idx="192">
                  <c:v>0.11606618801356412</c:v>
                </c:pt>
                <c:pt idx="193">
                  <c:v>0.11655046117454884</c:v>
                </c:pt>
                <c:pt idx="194">
                  <c:v>0.1170369172526345</c:v>
                </c:pt>
                <c:pt idx="195">
                  <c:v>0.11752552914154446</c:v>
                </c:pt>
                <c:pt idx="196">
                  <c:v>0.11801627006476699</c:v>
                </c:pt>
                <c:pt idx="197">
                  <c:v>0.11850911357359829</c:v>
                </c:pt>
                <c:pt idx="198">
                  <c:v>0.11900403354508626</c:v>
                </c:pt>
                <c:pt idx="199">
                  <c:v>0.11950100417988134</c:v>
                </c:pt>
                <c:pt idx="200">
                  <c:v>0.12000000000000006</c:v>
                </c:pt>
              </c:numCache>
            </c:numRef>
          </c:xVal>
          <c:yVal>
            <c:numRef>
              <c:f>Sem_Short_Sell!$H$12:$H$212</c:f>
              <c:numCache>
                <c:formatCode>0.0%</c:formatCode>
                <c:ptCount val="2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7.17E-2</c:v>
                </c:pt>
                <c:pt idx="79">
                  <c:v>7.1849999999999997E-2</c:v>
                </c:pt>
                <c:pt idx="80">
                  <c:v>7.1999999999999995E-2</c:v>
                </c:pt>
                <c:pt idx="81">
                  <c:v>7.2149999999999992E-2</c:v>
                </c:pt>
                <c:pt idx="82">
                  <c:v>7.2300000000000003E-2</c:v>
                </c:pt>
                <c:pt idx="83">
                  <c:v>7.2450000000000001E-2</c:v>
                </c:pt>
                <c:pt idx="84">
                  <c:v>7.2599999999999998E-2</c:v>
                </c:pt>
                <c:pt idx="85">
                  <c:v>7.2749999999999995E-2</c:v>
                </c:pt>
                <c:pt idx="86">
                  <c:v>7.2899999999999993E-2</c:v>
                </c:pt>
                <c:pt idx="87">
                  <c:v>7.3050000000000004E-2</c:v>
                </c:pt>
                <c:pt idx="88">
                  <c:v>7.3200000000000001E-2</c:v>
                </c:pt>
                <c:pt idx="89">
                  <c:v>7.3349999999999999E-2</c:v>
                </c:pt>
                <c:pt idx="90">
                  <c:v>7.3499999999999996E-2</c:v>
                </c:pt>
                <c:pt idx="91">
                  <c:v>7.3649999999999993E-2</c:v>
                </c:pt>
                <c:pt idx="92">
                  <c:v>7.3800000000000004E-2</c:v>
                </c:pt>
                <c:pt idx="93">
                  <c:v>7.3950000000000002E-2</c:v>
                </c:pt>
                <c:pt idx="94">
                  <c:v>7.4099999999999999E-2</c:v>
                </c:pt>
                <c:pt idx="95">
                  <c:v>7.4249999999999997E-2</c:v>
                </c:pt>
                <c:pt idx="96">
                  <c:v>7.4400000000000008E-2</c:v>
                </c:pt>
                <c:pt idx="97">
                  <c:v>7.4550000000000005E-2</c:v>
                </c:pt>
                <c:pt idx="98">
                  <c:v>7.4700000000000003E-2</c:v>
                </c:pt>
                <c:pt idx="99">
                  <c:v>7.485E-2</c:v>
                </c:pt>
                <c:pt idx="100">
                  <c:v>7.4999999999999997E-2</c:v>
                </c:pt>
                <c:pt idx="101">
                  <c:v>7.5150000000000008E-2</c:v>
                </c:pt>
                <c:pt idx="102">
                  <c:v>7.5300000000000006E-2</c:v>
                </c:pt>
                <c:pt idx="103">
                  <c:v>7.5450000000000003E-2</c:v>
                </c:pt>
                <c:pt idx="104">
                  <c:v>7.5600000000000001E-2</c:v>
                </c:pt>
                <c:pt idx="105">
                  <c:v>7.5749999999999998E-2</c:v>
                </c:pt>
                <c:pt idx="106">
                  <c:v>7.5900000000000009E-2</c:v>
                </c:pt>
                <c:pt idx="107">
                  <c:v>7.6050000000000006E-2</c:v>
                </c:pt>
                <c:pt idx="108">
                  <c:v>7.6200000000000004E-2</c:v>
                </c:pt>
                <c:pt idx="109">
                  <c:v>7.6350000000000001E-2</c:v>
                </c:pt>
                <c:pt idx="110">
                  <c:v>7.6499999999999999E-2</c:v>
                </c:pt>
                <c:pt idx="111">
                  <c:v>7.6649999999999996E-2</c:v>
                </c:pt>
                <c:pt idx="112">
                  <c:v>7.6800000000000007E-2</c:v>
                </c:pt>
                <c:pt idx="113">
                  <c:v>7.6950000000000005E-2</c:v>
                </c:pt>
                <c:pt idx="114">
                  <c:v>7.7100000000000002E-2</c:v>
                </c:pt>
                <c:pt idx="115">
                  <c:v>7.7249999999999999E-2</c:v>
                </c:pt>
                <c:pt idx="116">
                  <c:v>7.7399999999999997E-2</c:v>
                </c:pt>
                <c:pt idx="117">
                  <c:v>7.7550000000000008E-2</c:v>
                </c:pt>
                <c:pt idx="118">
                  <c:v>7.7700000000000005E-2</c:v>
                </c:pt>
                <c:pt idx="119">
                  <c:v>7.7850000000000003E-2</c:v>
                </c:pt>
                <c:pt idx="120">
                  <c:v>7.8E-2</c:v>
                </c:pt>
                <c:pt idx="121">
                  <c:v>7.8149999999999997E-2</c:v>
                </c:pt>
                <c:pt idx="122">
                  <c:v>7.8300000000000008E-2</c:v>
                </c:pt>
                <c:pt idx="123">
                  <c:v>7.8450000000000006E-2</c:v>
                </c:pt>
                <c:pt idx="124">
                  <c:v>7.8600000000000003E-2</c:v>
                </c:pt>
                <c:pt idx="125">
                  <c:v>7.8750000000000001E-2</c:v>
                </c:pt>
                <c:pt idx="126">
                  <c:v>7.8899999999999998E-2</c:v>
                </c:pt>
                <c:pt idx="127">
                  <c:v>7.9050000000000009E-2</c:v>
                </c:pt>
                <c:pt idx="128">
                  <c:v>7.9200000000000007E-2</c:v>
                </c:pt>
                <c:pt idx="129">
                  <c:v>7.9350000000000004E-2</c:v>
                </c:pt>
                <c:pt idx="130">
                  <c:v>7.9500000000000001E-2</c:v>
                </c:pt>
                <c:pt idx="131">
                  <c:v>7.9649999999999999E-2</c:v>
                </c:pt>
                <c:pt idx="132">
                  <c:v>7.980000000000001E-2</c:v>
                </c:pt>
                <c:pt idx="133">
                  <c:v>7.9950000000000007E-2</c:v>
                </c:pt>
                <c:pt idx="134">
                  <c:v>8.0100000000000005E-2</c:v>
                </c:pt>
                <c:pt idx="135">
                  <c:v>8.0250000000000002E-2</c:v>
                </c:pt>
                <c:pt idx="136">
                  <c:v>8.0399999999999999E-2</c:v>
                </c:pt>
                <c:pt idx="137">
                  <c:v>8.055000000000001E-2</c:v>
                </c:pt>
                <c:pt idx="138">
                  <c:v>8.0700000000000008E-2</c:v>
                </c:pt>
                <c:pt idx="139">
                  <c:v>8.0850000000000005E-2</c:v>
                </c:pt>
                <c:pt idx="140">
                  <c:v>8.1000000000000003E-2</c:v>
                </c:pt>
                <c:pt idx="141">
                  <c:v>8.1150000000000014E-2</c:v>
                </c:pt>
                <c:pt idx="142">
                  <c:v>8.1299999999999997E-2</c:v>
                </c:pt>
                <c:pt idx="143">
                  <c:v>8.1450000000000009E-2</c:v>
                </c:pt>
                <c:pt idx="144">
                  <c:v>8.1600000000000006E-2</c:v>
                </c:pt>
                <c:pt idx="145">
                  <c:v>8.1750000000000003E-2</c:v>
                </c:pt>
                <c:pt idx="146">
                  <c:v>8.1900000000000014E-2</c:v>
                </c:pt>
                <c:pt idx="147">
                  <c:v>8.2049999999999998E-2</c:v>
                </c:pt>
                <c:pt idx="148">
                  <c:v>8.2200000000000009E-2</c:v>
                </c:pt>
                <c:pt idx="149">
                  <c:v>8.2350000000000007E-2</c:v>
                </c:pt>
                <c:pt idx="150">
                  <c:v>8.2500000000000004E-2</c:v>
                </c:pt>
                <c:pt idx="151">
                  <c:v>8.2650000000000015E-2</c:v>
                </c:pt>
                <c:pt idx="152">
                  <c:v>8.2799999999999999E-2</c:v>
                </c:pt>
                <c:pt idx="153">
                  <c:v>8.295000000000001E-2</c:v>
                </c:pt>
                <c:pt idx="154">
                  <c:v>8.3100000000000007E-2</c:v>
                </c:pt>
                <c:pt idx="155">
                  <c:v>8.3250000000000005E-2</c:v>
                </c:pt>
                <c:pt idx="156">
                  <c:v>8.3400000000000016E-2</c:v>
                </c:pt>
                <c:pt idx="157">
                  <c:v>8.3549999999999999E-2</c:v>
                </c:pt>
                <c:pt idx="158">
                  <c:v>8.3700000000000011E-2</c:v>
                </c:pt>
                <c:pt idx="159">
                  <c:v>8.3850000000000008E-2</c:v>
                </c:pt>
                <c:pt idx="160">
                  <c:v>8.4000000000000005E-2</c:v>
                </c:pt>
                <c:pt idx="161">
                  <c:v>8.4150000000000016E-2</c:v>
                </c:pt>
                <c:pt idx="162">
                  <c:v>8.43E-2</c:v>
                </c:pt>
                <c:pt idx="163">
                  <c:v>8.4450000000000011E-2</c:v>
                </c:pt>
                <c:pt idx="164">
                  <c:v>8.4600000000000009E-2</c:v>
                </c:pt>
                <c:pt idx="165">
                  <c:v>8.4750000000000006E-2</c:v>
                </c:pt>
                <c:pt idx="166">
                  <c:v>8.4900000000000017E-2</c:v>
                </c:pt>
                <c:pt idx="167">
                  <c:v>8.5050000000000001E-2</c:v>
                </c:pt>
                <c:pt idx="168">
                  <c:v>8.5200000000000012E-2</c:v>
                </c:pt>
                <c:pt idx="169">
                  <c:v>8.5350000000000009E-2</c:v>
                </c:pt>
                <c:pt idx="170">
                  <c:v>8.5500000000000007E-2</c:v>
                </c:pt>
                <c:pt idx="171">
                  <c:v>8.5650000000000018E-2</c:v>
                </c:pt>
                <c:pt idx="172">
                  <c:v>8.5800000000000001E-2</c:v>
                </c:pt>
                <c:pt idx="173">
                  <c:v>8.5950000000000013E-2</c:v>
                </c:pt>
                <c:pt idx="174">
                  <c:v>8.610000000000001E-2</c:v>
                </c:pt>
                <c:pt idx="175">
                  <c:v>8.6250000000000007E-2</c:v>
                </c:pt>
                <c:pt idx="176">
                  <c:v>8.6400000000000018E-2</c:v>
                </c:pt>
                <c:pt idx="177">
                  <c:v>8.6550000000000002E-2</c:v>
                </c:pt>
                <c:pt idx="178">
                  <c:v>8.6700000000000013E-2</c:v>
                </c:pt>
                <c:pt idx="179">
                  <c:v>8.6850000000000011E-2</c:v>
                </c:pt>
                <c:pt idx="180">
                  <c:v>8.7000000000000008E-2</c:v>
                </c:pt>
                <c:pt idx="181">
                  <c:v>8.7150000000000019E-2</c:v>
                </c:pt>
                <c:pt idx="182">
                  <c:v>8.7300000000000003E-2</c:v>
                </c:pt>
                <c:pt idx="183">
                  <c:v>8.7450000000000014E-2</c:v>
                </c:pt>
                <c:pt idx="184">
                  <c:v>8.7600000000000011E-2</c:v>
                </c:pt>
                <c:pt idx="185">
                  <c:v>8.7750000000000009E-2</c:v>
                </c:pt>
                <c:pt idx="186">
                  <c:v>8.790000000000002E-2</c:v>
                </c:pt>
                <c:pt idx="187">
                  <c:v>8.8050000000000003E-2</c:v>
                </c:pt>
                <c:pt idx="188">
                  <c:v>8.8200000000000014E-2</c:v>
                </c:pt>
                <c:pt idx="189">
                  <c:v>8.8350000000000012E-2</c:v>
                </c:pt>
                <c:pt idx="190">
                  <c:v>8.8500000000000009E-2</c:v>
                </c:pt>
                <c:pt idx="191">
                  <c:v>8.865000000000002E-2</c:v>
                </c:pt>
                <c:pt idx="192">
                  <c:v>8.8800000000000018E-2</c:v>
                </c:pt>
                <c:pt idx="193">
                  <c:v>8.8950000000000015E-2</c:v>
                </c:pt>
                <c:pt idx="194">
                  <c:v>8.9100000000000013E-2</c:v>
                </c:pt>
                <c:pt idx="195">
                  <c:v>8.925000000000001E-2</c:v>
                </c:pt>
                <c:pt idx="196">
                  <c:v>8.9400000000000021E-2</c:v>
                </c:pt>
                <c:pt idx="197">
                  <c:v>8.9550000000000018E-2</c:v>
                </c:pt>
                <c:pt idx="198">
                  <c:v>8.9700000000000016E-2</c:v>
                </c:pt>
                <c:pt idx="199">
                  <c:v>8.9850000000000013E-2</c:v>
                </c:pt>
                <c:pt idx="200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0AFF-43F0-8961-92E6C03014B7}"/>
            </c:ext>
          </c:extLst>
        </c:ser>
        <c:ser>
          <c:idx val="2"/>
          <c:order val="4"/>
          <c:tx>
            <c:strRef>
              <c:f>Sem_Short_Sell!$F$11</c:f>
              <c:strCache>
                <c:ptCount val="1"/>
                <c:pt idx="0">
                  <c:v>Valor Esperado</c:v>
                </c:pt>
              </c:strCache>
            </c:strRef>
          </c:tx>
          <c:spPr>
            <a:ln w="50800">
              <a:solidFill>
                <a:schemeClr val="accent2"/>
              </a:solidFill>
              <a:prstDash val="sysDot"/>
            </a:ln>
          </c:spPr>
          <c:marker>
            <c:symbol val="none"/>
          </c:marker>
          <c:xVal>
            <c:numRef>
              <c:f>Sem_Short_Sell!$E$12:$E$212</c:f>
              <c:numCache>
                <c:formatCode>0.0%</c:formatCode>
                <c:ptCount val="201"/>
                <c:pt idx="0">
                  <c:v>0.1</c:v>
                </c:pt>
                <c:pt idx="1">
                  <c:v>9.9621734576346349E-2</c:v>
                </c:pt>
                <c:pt idx="2">
                  <c:v>9.9246964689102726E-2</c:v>
                </c:pt>
                <c:pt idx="3">
                  <c:v>9.887573008580014E-2</c:v>
                </c:pt>
                <c:pt idx="4">
                  <c:v>9.8508070735346356E-2</c:v>
                </c:pt>
                <c:pt idx="5">
                  <c:v>9.8144026817733543E-2</c:v>
                </c:pt>
                <c:pt idx="6">
                  <c:v>9.778363871323259E-2</c:v>
                </c:pt>
                <c:pt idx="7">
                  <c:v>9.7426946991066077E-2</c:v>
                </c:pt>
                <c:pt idx="8">
                  <c:v>9.70739923975521E-2</c:v>
                </c:pt>
                <c:pt idx="9">
                  <c:v>9.6724815843712009E-2</c:v>
                </c:pt>
                <c:pt idx="10">
                  <c:v>9.6379458392335873E-2</c:v>
                </c:pt>
                <c:pt idx="11">
                  <c:v>9.6037961244499565E-2</c:v>
                </c:pt>
                <c:pt idx="12">
                  <c:v>9.570036572552898E-2</c:v>
                </c:pt>
                <c:pt idx="13">
                  <c:v>9.5366713270406883E-2</c:v>
                </c:pt>
                <c:pt idx="14">
                  <c:v>9.5037045408619486E-2</c:v>
                </c:pt>
                <c:pt idx="15">
                  <c:v>9.4711403748439921E-2</c:v>
                </c:pt>
                <c:pt idx="16">
                  <c:v>9.4389829960647764E-2</c:v>
                </c:pt>
                <c:pt idx="17">
                  <c:v>9.4072365761683707E-2</c:v>
                </c:pt>
                <c:pt idx="18">
                  <c:v>9.3759052896240369E-2</c:v>
                </c:pt>
                <c:pt idx="19">
                  <c:v>9.3449933119291215E-2</c:v>
                </c:pt>
                <c:pt idx="20">
                  <c:v>9.3145048177560141E-2</c:v>
                </c:pt>
                <c:pt idx="21">
                  <c:v>9.2844439790436564E-2</c:v>
                </c:pt>
                <c:pt idx="22">
                  <c:v>9.2548149630341067E-2</c:v>
                </c:pt>
                <c:pt idx="23">
                  <c:v>9.2256219302548931E-2</c:v>
                </c:pt>
                <c:pt idx="24">
                  <c:v>9.1968690324479449E-2</c:v>
                </c:pt>
                <c:pt idx="25">
                  <c:v>9.1685604104461235E-2</c:v>
                </c:pt>
                <c:pt idx="26">
                  <c:v>9.1407001919984229E-2</c:v>
                </c:pt>
                <c:pt idx="27">
                  <c:v>9.1132924895451481E-2</c:v>
                </c:pt>
                <c:pt idx="28">
                  <c:v>9.0863413979445001E-2</c:v>
                </c:pt>
                <c:pt idx="29">
                  <c:v>9.0598509921521339E-2</c:v>
                </c:pt>
                <c:pt idx="30">
                  <c:v>9.0338253248554684E-2</c:v>
                </c:pt>
                <c:pt idx="31">
                  <c:v>9.0082684240646374E-2</c:v>
                </c:pt>
                <c:pt idx="32">
                  <c:v>8.9831842906621925E-2</c:v>
                </c:pt>
                <c:pt idx="33">
                  <c:v>8.958576895913771E-2</c:v>
                </c:pt>
                <c:pt idx="34">
                  <c:v>8.9344501789421812E-2</c:v>
                </c:pt>
                <c:pt idx="35">
                  <c:v>8.910808044167487E-2</c:v>
                </c:pt>
                <c:pt idx="36">
                  <c:v>8.8876543587158019E-2</c:v>
                </c:pt>
                <c:pt idx="37">
                  <c:v>8.8649929497997909E-2</c:v>
                </c:pt>
                <c:pt idx="38">
                  <c:v>8.842827602073898E-2</c:v>
                </c:pt>
                <c:pt idx="39">
                  <c:v>8.8211620549675879E-2</c:v>
                </c:pt>
                <c:pt idx="40">
                  <c:v>8.7999999999999995E-2</c:v>
                </c:pt>
                <c:pt idx="41">
                  <c:v>8.7793450780795715E-2</c:v>
                </c:pt>
                <c:pt idx="42">
                  <c:v>8.7592008767923571E-2</c:v>
                </c:pt>
                <c:pt idx="43">
                  <c:v>8.7395709276828909E-2</c:v>
                </c:pt>
                <c:pt idx="44">
                  <c:v>8.7204587035315972E-2</c:v>
                </c:pt>
                <c:pt idx="45">
                  <c:v>8.7018676156328648E-2</c:v>
                </c:pt>
                <c:pt idx="46">
                  <c:v>8.6838010110780406E-2</c:v>
                </c:pt>
                <c:pt idx="47">
                  <c:v>8.6662621700477074E-2</c:v>
                </c:pt>
                <c:pt idx="48">
                  <c:v>8.6492543031176969E-2</c:v>
                </c:pt>
                <c:pt idx="49">
                  <c:v>8.6327805485834047E-2</c:v>
                </c:pt>
                <c:pt idx="50">
                  <c:v>8.616843969807042E-2</c:v>
                </c:pt>
                <c:pt idx="51">
                  <c:v>8.6014475525925282E-2</c:v>
                </c:pt>
                <c:pt idx="52">
                  <c:v>8.5865942025927816E-2</c:v>
                </c:pt>
                <c:pt idx="53">
                  <c:v>8.5722867427542329E-2</c:v>
                </c:pt>
                <c:pt idx="54">
                  <c:v>8.5585279108033513E-2</c:v>
                </c:pt>
                <c:pt idx="55">
                  <c:v>8.545320356780077E-2</c:v>
                </c:pt>
                <c:pt idx="56">
                  <c:v>8.5326666406229643E-2</c:v>
                </c:pt>
                <c:pt idx="57">
                  <c:v>8.5205692298108815E-2</c:v>
                </c:pt>
                <c:pt idx="58">
                  <c:v>8.5090304970660433E-2</c:v>
                </c:pt>
                <c:pt idx="59">
                  <c:v>8.498052718123135E-2</c:v>
                </c:pt>
                <c:pt idx="60">
                  <c:v>8.4876380695691769E-2</c:v>
                </c:pt>
                <c:pt idx="61">
                  <c:v>8.4777886267587491E-2</c:v>
                </c:pt>
                <c:pt idx="62">
                  <c:v>8.4685063618090278E-2</c:v>
                </c:pt>
                <c:pt idx="63">
                  <c:v>8.4597931416790562E-2</c:v>
                </c:pt>
                <c:pt idx="64">
                  <c:v>8.4516507263374285E-2</c:v>
                </c:pt>
                <c:pt idx="65">
                  <c:v>8.444080767022541E-2</c:v>
                </c:pt>
                <c:pt idx="66">
                  <c:v>8.437084804599275E-2</c:v>
                </c:pt>
                <c:pt idx="67">
                  <c:v>8.4306642680158944E-2</c:v>
                </c:pt>
                <c:pt idx="68">
                  <c:v>8.4248204728646886E-2</c:v>
                </c:pt>
                <c:pt idx="69">
                  <c:v>8.4195546200496851E-2</c:v>
                </c:pt>
                <c:pt idx="70">
                  <c:v>8.4148677945645692E-2</c:v>
                </c:pt>
                <c:pt idx="71">
                  <c:v>8.4107609643836623E-2</c:v>
                </c:pt>
                <c:pt idx="72">
                  <c:v>8.4072349794685766E-2</c:v>
                </c:pt>
                <c:pt idx="73">
                  <c:v>8.4042905708929402E-2</c:v>
                </c:pt>
                <c:pt idx="74">
                  <c:v>8.401928350087258E-2</c:v>
                </c:pt>
                <c:pt idx="75">
                  <c:v>8.4001488082057207E-2</c:v>
                </c:pt>
                <c:pt idx="76">
                  <c:v>8.3989523156165133E-2</c:v>
                </c:pt>
                <c:pt idx="77">
                  <c:v>8.3983391215168249E-2</c:v>
                </c:pt>
                <c:pt idx="78">
                  <c:v>8.3983093536735123E-2</c:v>
                </c:pt>
                <c:pt idx="79">
                  <c:v>8.3988630182900342E-2</c:v>
                </c:pt>
                <c:pt idx="80">
                  <c:v>8.4000000000000005E-2</c:v>
                </c:pt>
                <c:pt idx="81">
                  <c:v>8.401720061987307E-2</c:v>
                </c:pt>
                <c:pt idx="82">
                  <c:v>8.4040228462326297E-2</c:v>
                </c:pt>
                <c:pt idx="83">
                  <c:v>8.4069078738856176E-2</c:v>
                </c:pt>
                <c:pt idx="84">
                  <c:v>8.4103745457619186E-2</c:v>
                </c:pt>
                <c:pt idx="85">
                  <c:v>8.4144221429638288E-2</c:v>
                </c:pt>
                <c:pt idx="86">
                  <c:v>8.419049827623068E-2</c:v>
                </c:pt>
                <c:pt idx="87">
                  <c:v>8.4242566437638874E-2</c:v>
                </c:pt>
                <c:pt idx="88">
                  <c:v>8.4300415182844743E-2</c:v>
                </c:pt>
                <c:pt idx="89">
                  <c:v>8.4364032620542734E-2</c:v>
                </c:pt>
                <c:pt idx="90">
                  <c:v>8.4433405711246773E-2</c:v>
                </c:pt>
                <c:pt idx="91">
                  <c:v>8.4508520280501889E-2</c:v>
                </c:pt>
                <c:pt idx="92">
                  <c:v>8.4589361033170121E-2</c:v>
                </c:pt>
                <c:pt idx="93">
                  <c:v>8.467591156875727E-2</c:v>
                </c:pt>
                <c:pt idx="94">
                  <c:v>8.4768154397745391E-2</c:v>
                </c:pt>
                <c:pt idx="95">
                  <c:v>8.4866070958893813E-2</c:v>
                </c:pt>
                <c:pt idx="96">
                  <c:v>8.4969641637469562E-2</c:v>
                </c:pt>
                <c:pt idx="97">
                  <c:v>8.5078845784366391E-2</c:v>
                </c:pt>
                <c:pt idx="98">
                  <c:v>8.5193661736070486E-2</c:v>
                </c:pt>
                <c:pt idx="99">
                  <c:v>8.5314066835428734E-2</c:v>
                </c:pt>
                <c:pt idx="100">
                  <c:v>8.5440037453175313E-2</c:v>
                </c:pt>
                <c:pt idx="101">
                  <c:v>8.5571549010170431E-2</c:v>
                </c:pt>
                <c:pt idx="102">
                  <c:v>8.5708576000304668E-2</c:v>
                </c:pt>
                <c:pt idx="103">
                  <c:v>8.5851092014021593E-2</c:v>
                </c:pt>
                <c:pt idx="104">
                  <c:v>8.5999069762410812E-2</c:v>
                </c:pt>
                <c:pt idx="105">
                  <c:v>8.6152481101823192E-2</c:v>
                </c:pt>
                <c:pt idx="106">
                  <c:v>8.6311297058959791E-2</c:v>
                </c:pt>
                <c:pt idx="107">
                  <c:v>8.6475487856386229E-2</c:v>
                </c:pt>
                <c:pt idx="108">
                  <c:v>8.6645022938423882E-2</c:v>
                </c:pt>
                <c:pt idx="109">
                  <c:v>8.6819870997370194E-2</c:v>
                </c:pt>
                <c:pt idx="110">
                  <c:v>8.7000000000000022E-2</c:v>
                </c:pt>
                <c:pt idx="111">
                  <c:v>8.7185377214301266E-2</c:v>
                </c:pt>
                <c:pt idx="112">
                  <c:v>8.737596923639819E-2</c:v>
                </c:pt>
                <c:pt idx="113">
                  <c:v>8.7571742017616624E-2</c:v>
                </c:pt>
                <c:pt idx="114">
                  <c:v>8.7772660891646689E-2</c:v>
                </c:pt>
                <c:pt idx="115">
                  <c:v>8.7978690601758794E-2</c:v>
                </c:pt>
                <c:pt idx="116">
                  <c:v>8.818979532803102E-2</c:v>
                </c:pt>
                <c:pt idx="117">
                  <c:v>8.8405938714545662E-2</c:v>
                </c:pt>
                <c:pt idx="118">
                  <c:v>8.8627083896515524E-2</c:v>
                </c:pt>
                <c:pt idx="119">
                  <c:v>8.8853193527300992E-2</c:v>
                </c:pt>
                <c:pt idx="120">
                  <c:v>8.9084229805280357E-2</c:v>
                </c:pt>
                <c:pt idx="121">
                  <c:v>8.9320154500538138E-2</c:v>
                </c:pt>
                <c:pt idx="122">
                  <c:v>8.956092898133651E-2</c:v>
                </c:pt>
                <c:pt idx="123">
                  <c:v>8.9806514240337837E-2</c:v>
                </c:pt>
                <c:pt idx="124">
                  <c:v>9.0056870920546664E-2</c:v>
                </c:pt>
                <c:pt idx="125">
                  <c:v>9.0311959340942244E-2</c:v>
                </c:pt>
                <c:pt idx="126">
                  <c:v>9.0571739521773595E-2</c:v>
                </c:pt>
                <c:pt idx="127">
                  <c:v>9.0836171209491237E-2</c:v>
                </c:pt>
                <c:pt idx="128">
                  <c:v>9.1105213901291102E-2</c:v>
                </c:pt>
                <c:pt idx="129">
                  <c:v>9.1378826869248017E-2</c:v>
                </c:pt>
                <c:pt idx="130">
                  <c:v>9.1656969184017889E-2</c:v>
                </c:pt>
                <c:pt idx="131">
                  <c:v>9.1939599738088934E-2</c:v>
                </c:pt>
                <c:pt idx="132">
                  <c:v>9.2226677268564788E-2</c:v>
                </c:pt>
                <c:pt idx="133">
                  <c:v>9.2518160379462824E-2</c:v>
                </c:pt>
                <c:pt idx="134">
                  <c:v>9.2814007563513837E-2</c:v>
                </c:pt>
                <c:pt idx="135">
                  <c:v>9.3114177223449723E-2</c:v>
                </c:pt>
                <c:pt idx="136">
                  <c:v>9.3418627692768014E-2</c:v>
                </c:pt>
                <c:pt idx="137">
                  <c:v>9.3727317255963352E-2</c:v>
                </c:pt>
                <c:pt idx="138">
                  <c:v>9.4040204168217345E-2</c:v>
                </c:pt>
                <c:pt idx="139">
                  <c:v>9.4357246674540082E-2</c:v>
                </c:pt>
                <c:pt idx="140">
                  <c:v>9.4678403028357033E-2</c:v>
                </c:pt>
                <c:pt idx="141">
                  <c:v>9.5003631509537598E-2</c:v>
                </c:pt>
                <c:pt idx="142">
                  <c:v>9.5332890441861703E-2</c:v>
                </c:pt>
                <c:pt idx="143">
                  <c:v>9.5666138209922563E-2</c:v>
                </c:pt>
                <c:pt idx="144">
                  <c:v>9.6003333275464994E-2</c:v>
                </c:pt>
                <c:pt idx="145">
                  <c:v>9.6344434193159315E-2</c:v>
                </c:pt>
                <c:pt idx="146">
                  <c:v>9.6689399625812161E-2</c:v>
                </c:pt>
                <c:pt idx="147">
                  <c:v>9.7038188359016717E-2</c:v>
                </c:pt>
                <c:pt idx="148">
                  <c:v>9.7390759315245143E-2</c:v>
                </c:pt>
                <c:pt idx="149">
                  <c:v>9.7747071567387669E-2</c:v>
                </c:pt>
                <c:pt idx="150">
                  <c:v>9.8107084351742951E-2</c:v>
                </c:pt>
                <c:pt idx="151">
                  <c:v>9.8470757080465307E-2</c:v>
                </c:pt>
                <c:pt idx="152">
                  <c:v>9.8838049353475232E-2</c:v>
                </c:pt>
                <c:pt idx="153">
                  <c:v>9.9208920969840242E-2</c:v>
                </c:pt>
                <c:pt idx="154">
                  <c:v>9.9583331938633224E-2</c:v>
                </c:pt>
                <c:pt idx="155">
                  <c:v>9.9961242489276847E-2</c:v>
                </c:pt>
                <c:pt idx="156">
                  <c:v>0.10034261308138237</c:v>
                </c:pt>
                <c:pt idx="157">
                  <c:v>0.10072740441409184</c:v>
                </c:pt>
                <c:pt idx="158">
                  <c:v>0.10111557743493338</c:v>
                </c:pt>
                <c:pt idx="159">
                  <c:v>0.10150709334819912</c:v>
                </c:pt>
                <c:pt idx="160">
                  <c:v>0.10190191362285603</c:v>
                </c:pt>
                <c:pt idx="161">
                  <c:v>0.10230000000000003</c:v>
                </c:pt>
                <c:pt idx="162">
                  <c:v>0.10270131449986417</c:v>
                </c:pt>
                <c:pt idx="163">
                  <c:v>0.10310581942839118</c:v>
                </c:pt>
                <c:pt idx="164">
                  <c:v>0.10351347738338235</c:v>
                </c:pt>
                <c:pt idx="165">
                  <c:v>0.10392425126023286</c:v>
                </c:pt>
                <c:pt idx="166">
                  <c:v>0.10433810425726552</c:v>
                </c:pt>
                <c:pt idx="167">
                  <c:v>0.10475499988067401</c:v>
                </c:pt>
                <c:pt idx="168">
                  <c:v>0.10517490194908674</c:v>
                </c:pt>
                <c:pt idx="169">
                  <c:v>0.10559777459776323</c:v>
                </c:pt>
                <c:pt idx="170">
                  <c:v>0.1060235822824338</c:v>
                </c:pt>
                <c:pt idx="171">
                  <c:v>0.10645228978279431</c:v>
                </c:pt>
                <c:pt idx="172">
                  <c:v>0.10688386220566701</c:v>
                </c:pt>
                <c:pt idx="173">
                  <c:v>0.1073182649878389</c:v>
                </c:pt>
                <c:pt idx="174">
                  <c:v>0.1077554638985885</c:v>
                </c:pt>
                <c:pt idx="175">
                  <c:v>0.10819542504191207</c:v>
                </c:pt>
                <c:pt idx="176">
                  <c:v>0.1086381148584603</c:v>
                </c:pt>
                <c:pt idx="177">
                  <c:v>0.1090835001271962</c:v>
                </c:pt>
                <c:pt idx="178">
                  <c:v>0.10953154796678449</c:v>
                </c:pt>
                <c:pt idx="179">
                  <c:v>0.10998222583672332</c:v>
                </c:pt>
                <c:pt idx="180">
                  <c:v>0.11043550153822825</c:v>
                </c:pt>
                <c:pt idx="181">
                  <c:v>0.11089134321487865</c:v>
                </c:pt>
                <c:pt idx="182">
                  <c:v>0.1113497193530366</c:v>
                </c:pt>
                <c:pt idx="183">
                  <c:v>0.11181059878204756</c:v>
                </c:pt>
                <c:pt idx="184">
                  <c:v>0.1122739506742326</c:v>
                </c:pt>
                <c:pt idx="185">
                  <c:v>0.11273974454468137</c:v>
                </c:pt>
                <c:pt idx="186">
                  <c:v>0.1132079502508548</c:v>
                </c:pt>
                <c:pt idx="187">
                  <c:v>0.11367853799200628</c:v>
                </c:pt>
                <c:pt idx="188">
                  <c:v>0.11415147830843023</c:v>
                </c:pt>
                <c:pt idx="189">
                  <c:v>0.114626742080546</c:v>
                </c:pt>
                <c:pt idx="190">
                  <c:v>0.11510430052782569</c:v>
                </c:pt>
                <c:pt idx="191">
                  <c:v>0.11558412520757345</c:v>
                </c:pt>
                <c:pt idx="192">
                  <c:v>0.11606618801356412</c:v>
                </c:pt>
                <c:pt idx="193">
                  <c:v>0.11655046117454884</c:v>
                </c:pt>
                <c:pt idx="194">
                  <c:v>0.1170369172526345</c:v>
                </c:pt>
                <c:pt idx="195">
                  <c:v>0.11752552914154446</c:v>
                </c:pt>
                <c:pt idx="196">
                  <c:v>0.11801627006476699</c:v>
                </c:pt>
                <c:pt idx="197">
                  <c:v>0.11850911357359829</c:v>
                </c:pt>
                <c:pt idx="198">
                  <c:v>0.11900403354508626</c:v>
                </c:pt>
                <c:pt idx="199">
                  <c:v>0.11950100417988134</c:v>
                </c:pt>
                <c:pt idx="200">
                  <c:v>0.12000000000000006</c:v>
                </c:pt>
              </c:numCache>
            </c:numRef>
          </c:xVal>
          <c:yVal>
            <c:numRef>
              <c:f>Sem_Short_Sell!$F$12:$F$212</c:f>
              <c:numCache>
                <c:formatCode>0.0%</c:formatCode>
                <c:ptCount val="201"/>
                <c:pt idx="0">
                  <c:v>0.06</c:v>
                </c:pt>
                <c:pt idx="1">
                  <c:v>6.0149999999999995E-2</c:v>
                </c:pt>
                <c:pt idx="2">
                  <c:v>6.0299999999999992E-2</c:v>
                </c:pt>
                <c:pt idx="3">
                  <c:v>6.0449999999999997E-2</c:v>
                </c:pt>
                <c:pt idx="4">
                  <c:v>6.0600000000000001E-2</c:v>
                </c:pt>
                <c:pt idx="5">
                  <c:v>6.0749999999999998E-2</c:v>
                </c:pt>
                <c:pt idx="6">
                  <c:v>6.0899999999999996E-2</c:v>
                </c:pt>
                <c:pt idx="7">
                  <c:v>6.1049999999999993E-2</c:v>
                </c:pt>
                <c:pt idx="8">
                  <c:v>6.1199999999999997E-2</c:v>
                </c:pt>
                <c:pt idx="9">
                  <c:v>6.1349999999999995E-2</c:v>
                </c:pt>
                <c:pt idx="10">
                  <c:v>6.1499999999999992E-2</c:v>
                </c:pt>
                <c:pt idx="11">
                  <c:v>6.1649999999999996E-2</c:v>
                </c:pt>
                <c:pt idx="12">
                  <c:v>6.1799999999999994E-2</c:v>
                </c:pt>
                <c:pt idx="13">
                  <c:v>6.1949999999999998E-2</c:v>
                </c:pt>
                <c:pt idx="14">
                  <c:v>6.2099999999999995E-2</c:v>
                </c:pt>
                <c:pt idx="15">
                  <c:v>6.2249999999999993E-2</c:v>
                </c:pt>
                <c:pt idx="16">
                  <c:v>6.239999999999999E-2</c:v>
                </c:pt>
                <c:pt idx="17">
                  <c:v>6.2549999999999994E-2</c:v>
                </c:pt>
                <c:pt idx="18">
                  <c:v>6.2699999999999992E-2</c:v>
                </c:pt>
                <c:pt idx="19">
                  <c:v>6.2849999999999989E-2</c:v>
                </c:pt>
                <c:pt idx="20">
                  <c:v>6.3E-2</c:v>
                </c:pt>
                <c:pt idx="21">
                  <c:v>6.3149999999999998E-2</c:v>
                </c:pt>
                <c:pt idx="22">
                  <c:v>6.3299999999999995E-2</c:v>
                </c:pt>
                <c:pt idx="23">
                  <c:v>6.3449999999999993E-2</c:v>
                </c:pt>
                <c:pt idx="24">
                  <c:v>6.359999999999999E-2</c:v>
                </c:pt>
                <c:pt idx="25">
                  <c:v>6.3749999999999987E-2</c:v>
                </c:pt>
                <c:pt idx="26">
                  <c:v>6.3899999999999985E-2</c:v>
                </c:pt>
                <c:pt idx="27">
                  <c:v>6.4049999999999996E-2</c:v>
                </c:pt>
                <c:pt idx="28">
                  <c:v>6.4199999999999993E-2</c:v>
                </c:pt>
                <c:pt idx="29">
                  <c:v>6.4349999999999991E-2</c:v>
                </c:pt>
                <c:pt idx="30">
                  <c:v>6.4499999999999988E-2</c:v>
                </c:pt>
                <c:pt idx="31">
                  <c:v>6.4649999999999985E-2</c:v>
                </c:pt>
                <c:pt idx="32">
                  <c:v>6.4799999999999996E-2</c:v>
                </c:pt>
                <c:pt idx="33">
                  <c:v>6.4949999999999994E-2</c:v>
                </c:pt>
                <c:pt idx="34">
                  <c:v>6.5099999999999991E-2</c:v>
                </c:pt>
                <c:pt idx="35">
                  <c:v>6.5250000000000002E-2</c:v>
                </c:pt>
                <c:pt idx="36">
                  <c:v>6.5399999999999986E-2</c:v>
                </c:pt>
                <c:pt idx="37">
                  <c:v>6.5549999999999997E-2</c:v>
                </c:pt>
                <c:pt idx="38">
                  <c:v>6.5699999999999995E-2</c:v>
                </c:pt>
                <c:pt idx="39">
                  <c:v>6.5849999999999992E-2</c:v>
                </c:pt>
                <c:pt idx="40">
                  <c:v>6.6000000000000003E-2</c:v>
                </c:pt>
                <c:pt idx="41">
                  <c:v>6.6149999999999987E-2</c:v>
                </c:pt>
                <c:pt idx="42">
                  <c:v>6.6299999999999998E-2</c:v>
                </c:pt>
                <c:pt idx="43">
                  <c:v>6.6449999999999995E-2</c:v>
                </c:pt>
                <c:pt idx="44">
                  <c:v>6.6599999999999993E-2</c:v>
                </c:pt>
                <c:pt idx="45">
                  <c:v>6.6750000000000004E-2</c:v>
                </c:pt>
                <c:pt idx="46">
                  <c:v>6.6899999999999987E-2</c:v>
                </c:pt>
                <c:pt idx="47">
                  <c:v>6.7049999999999998E-2</c:v>
                </c:pt>
                <c:pt idx="48">
                  <c:v>6.7199999999999996E-2</c:v>
                </c:pt>
                <c:pt idx="49">
                  <c:v>6.7349999999999993E-2</c:v>
                </c:pt>
                <c:pt idx="50">
                  <c:v>6.7499999999999991E-2</c:v>
                </c:pt>
                <c:pt idx="51">
                  <c:v>6.7649999999999988E-2</c:v>
                </c:pt>
                <c:pt idx="52">
                  <c:v>6.7799999999999999E-2</c:v>
                </c:pt>
                <c:pt idx="53">
                  <c:v>6.7949999999999997E-2</c:v>
                </c:pt>
                <c:pt idx="54">
                  <c:v>6.8099999999999994E-2</c:v>
                </c:pt>
                <c:pt idx="55">
                  <c:v>6.8249999999999991E-2</c:v>
                </c:pt>
                <c:pt idx="56">
                  <c:v>6.8399999999999989E-2</c:v>
                </c:pt>
                <c:pt idx="57">
                  <c:v>6.855E-2</c:v>
                </c:pt>
                <c:pt idx="58">
                  <c:v>6.8699999999999997E-2</c:v>
                </c:pt>
                <c:pt idx="59">
                  <c:v>6.8849999999999995E-2</c:v>
                </c:pt>
                <c:pt idx="60">
                  <c:v>6.8999999999999992E-2</c:v>
                </c:pt>
                <c:pt idx="61">
                  <c:v>6.9149999999999989E-2</c:v>
                </c:pt>
                <c:pt idx="62">
                  <c:v>6.93E-2</c:v>
                </c:pt>
                <c:pt idx="63">
                  <c:v>6.9449999999999998E-2</c:v>
                </c:pt>
                <c:pt idx="64">
                  <c:v>6.9599999999999995E-2</c:v>
                </c:pt>
                <c:pt idx="65">
                  <c:v>6.9749999999999993E-2</c:v>
                </c:pt>
                <c:pt idx="66">
                  <c:v>6.989999999999999E-2</c:v>
                </c:pt>
                <c:pt idx="67">
                  <c:v>7.0050000000000001E-2</c:v>
                </c:pt>
                <c:pt idx="68">
                  <c:v>7.0199999999999999E-2</c:v>
                </c:pt>
                <c:pt idx="69">
                  <c:v>7.0349999999999996E-2</c:v>
                </c:pt>
                <c:pt idx="70">
                  <c:v>7.0499999999999993E-2</c:v>
                </c:pt>
                <c:pt idx="71">
                  <c:v>7.0649999999999991E-2</c:v>
                </c:pt>
                <c:pt idx="72">
                  <c:v>7.0800000000000002E-2</c:v>
                </c:pt>
                <c:pt idx="73">
                  <c:v>7.0949999999999999E-2</c:v>
                </c:pt>
                <c:pt idx="74">
                  <c:v>7.1099999999999997E-2</c:v>
                </c:pt>
                <c:pt idx="75">
                  <c:v>7.1249999999999994E-2</c:v>
                </c:pt>
                <c:pt idx="76">
                  <c:v>7.1399999999999991E-2</c:v>
                </c:pt>
                <c:pt idx="77">
                  <c:v>7.1550000000000002E-2</c:v>
                </c:pt>
                <c:pt idx="78">
                  <c:v>7.17E-2</c:v>
                </c:pt>
                <c:pt idx="79">
                  <c:v>7.1849999999999997E-2</c:v>
                </c:pt>
                <c:pt idx="80">
                  <c:v>7.1999999999999995E-2</c:v>
                </c:pt>
                <c:pt idx="81">
                  <c:v>7.2149999999999992E-2</c:v>
                </c:pt>
                <c:pt idx="82">
                  <c:v>7.2300000000000003E-2</c:v>
                </c:pt>
                <c:pt idx="83">
                  <c:v>7.2450000000000001E-2</c:v>
                </c:pt>
                <c:pt idx="84">
                  <c:v>7.2599999999999998E-2</c:v>
                </c:pt>
                <c:pt idx="85">
                  <c:v>7.2749999999999995E-2</c:v>
                </c:pt>
                <c:pt idx="86">
                  <c:v>7.2899999999999993E-2</c:v>
                </c:pt>
                <c:pt idx="87">
                  <c:v>7.3050000000000004E-2</c:v>
                </c:pt>
                <c:pt idx="88">
                  <c:v>7.3200000000000001E-2</c:v>
                </c:pt>
                <c:pt idx="89">
                  <c:v>7.3349999999999999E-2</c:v>
                </c:pt>
                <c:pt idx="90">
                  <c:v>7.3499999999999996E-2</c:v>
                </c:pt>
                <c:pt idx="91">
                  <c:v>7.3649999999999993E-2</c:v>
                </c:pt>
                <c:pt idx="92">
                  <c:v>7.3800000000000004E-2</c:v>
                </c:pt>
                <c:pt idx="93">
                  <c:v>7.3950000000000002E-2</c:v>
                </c:pt>
                <c:pt idx="94">
                  <c:v>7.4099999999999999E-2</c:v>
                </c:pt>
                <c:pt idx="95">
                  <c:v>7.4249999999999997E-2</c:v>
                </c:pt>
                <c:pt idx="96">
                  <c:v>7.4400000000000008E-2</c:v>
                </c:pt>
                <c:pt idx="97">
                  <c:v>7.4550000000000005E-2</c:v>
                </c:pt>
                <c:pt idx="98">
                  <c:v>7.4700000000000003E-2</c:v>
                </c:pt>
                <c:pt idx="99">
                  <c:v>7.485E-2</c:v>
                </c:pt>
                <c:pt idx="100">
                  <c:v>7.4999999999999997E-2</c:v>
                </c:pt>
                <c:pt idx="101">
                  <c:v>7.5150000000000008E-2</c:v>
                </c:pt>
                <c:pt idx="102">
                  <c:v>7.5300000000000006E-2</c:v>
                </c:pt>
                <c:pt idx="103">
                  <c:v>7.5450000000000003E-2</c:v>
                </c:pt>
                <c:pt idx="104">
                  <c:v>7.5600000000000001E-2</c:v>
                </c:pt>
                <c:pt idx="105">
                  <c:v>7.5749999999999998E-2</c:v>
                </c:pt>
                <c:pt idx="106">
                  <c:v>7.5900000000000009E-2</c:v>
                </c:pt>
                <c:pt idx="107">
                  <c:v>7.6050000000000006E-2</c:v>
                </c:pt>
                <c:pt idx="108">
                  <c:v>7.6200000000000004E-2</c:v>
                </c:pt>
                <c:pt idx="109">
                  <c:v>7.6350000000000001E-2</c:v>
                </c:pt>
                <c:pt idx="110">
                  <c:v>7.6499999999999999E-2</c:v>
                </c:pt>
                <c:pt idx="111">
                  <c:v>7.6649999999999996E-2</c:v>
                </c:pt>
                <c:pt idx="112">
                  <c:v>7.6800000000000007E-2</c:v>
                </c:pt>
                <c:pt idx="113">
                  <c:v>7.6950000000000005E-2</c:v>
                </c:pt>
                <c:pt idx="114">
                  <c:v>7.7100000000000002E-2</c:v>
                </c:pt>
                <c:pt idx="115">
                  <c:v>7.7249999999999999E-2</c:v>
                </c:pt>
                <c:pt idx="116">
                  <c:v>7.7399999999999997E-2</c:v>
                </c:pt>
                <c:pt idx="117">
                  <c:v>7.7550000000000008E-2</c:v>
                </c:pt>
                <c:pt idx="118">
                  <c:v>7.7700000000000005E-2</c:v>
                </c:pt>
                <c:pt idx="119">
                  <c:v>7.7850000000000003E-2</c:v>
                </c:pt>
                <c:pt idx="120">
                  <c:v>7.8E-2</c:v>
                </c:pt>
                <c:pt idx="121">
                  <c:v>7.8149999999999997E-2</c:v>
                </c:pt>
                <c:pt idx="122">
                  <c:v>7.8300000000000008E-2</c:v>
                </c:pt>
                <c:pt idx="123">
                  <c:v>7.8450000000000006E-2</c:v>
                </c:pt>
                <c:pt idx="124">
                  <c:v>7.8600000000000003E-2</c:v>
                </c:pt>
                <c:pt idx="125">
                  <c:v>7.8750000000000001E-2</c:v>
                </c:pt>
                <c:pt idx="126">
                  <c:v>7.8899999999999998E-2</c:v>
                </c:pt>
                <c:pt idx="127">
                  <c:v>7.9050000000000009E-2</c:v>
                </c:pt>
                <c:pt idx="128">
                  <c:v>7.9200000000000007E-2</c:v>
                </c:pt>
                <c:pt idx="129">
                  <c:v>7.9350000000000004E-2</c:v>
                </c:pt>
                <c:pt idx="130">
                  <c:v>7.9500000000000001E-2</c:v>
                </c:pt>
                <c:pt idx="131">
                  <c:v>7.9649999999999999E-2</c:v>
                </c:pt>
                <c:pt idx="132">
                  <c:v>7.980000000000001E-2</c:v>
                </c:pt>
                <c:pt idx="133">
                  <c:v>7.9950000000000007E-2</c:v>
                </c:pt>
                <c:pt idx="134">
                  <c:v>8.0100000000000005E-2</c:v>
                </c:pt>
                <c:pt idx="135">
                  <c:v>8.0250000000000002E-2</c:v>
                </c:pt>
                <c:pt idx="136">
                  <c:v>8.0399999999999999E-2</c:v>
                </c:pt>
                <c:pt idx="137">
                  <c:v>8.055000000000001E-2</c:v>
                </c:pt>
                <c:pt idx="138">
                  <c:v>8.0700000000000008E-2</c:v>
                </c:pt>
                <c:pt idx="139">
                  <c:v>8.0850000000000005E-2</c:v>
                </c:pt>
                <c:pt idx="140">
                  <c:v>8.1000000000000003E-2</c:v>
                </c:pt>
                <c:pt idx="141">
                  <c:v>8.1150000000000014E-2</c:v>
                </c:pt>
                <c:pt idx="142">
                  <c:v>8.1299999999999997E-2</c:v>
                </c:pt>
                <c:pt idx="143">
                  <c:v>8.1450000000000009E-2</c:v>
                </c:pt>
                <c:pt idx="144">
                  <c:v>8.1600000000000006E-2</c:v>
                </c:pt>
                <c:pt idx="145">
                  <c:v>8.1750000000000003E-2</c:v>
                </c:pt>
                <c:pt idx="146">
                  <c:v>8.1900000000000014E-2</c:v>
                </c:pt>
                <c:pt idx="147">
                  <c:v>8.2049999999999998E-2</c:v>
                </c:pt>
                <c:pt idx="148">
                  <c:v>8.2200000000000009E-2</c:v>
                </c:pt>
                <c:pt idx="149">
                  <c:v>8.2350000000000007E-2</c:v>
                </c:pt>
                <c:pt idx="150">
                  <c:v>8.2500000000000004E-2</c:v>
                </c:pt>
                <c:pt idx="151">
                  <c:v>8.2650000000000015E-2</c:v>
                </c:pt>
                <c:pt idx="152">
                  <c:v>8.2799999999999999E-2</c:v>
                </c:pt>
                <c:pt idx="153">
                  <c:v>8.295000000000001E-2</c:v>
                </c:pt>
                <c:pt idx="154">
                  <c:v>8.3100000000000007E-2</c:v>
                </c:pt>
                <c:pt idx="155">
                  <c:v>8.3250000000000005E-2</c:v>
                </c:pt>
                <c:pt idx="156">
                  <c:v>8.3400000000000016E-2</c:v>
                </c:pt>
                <c:pt idx="157">
                  <c:v>8.3549999999999999E-2</c:v>
                </c:pt>
                <c:pt idx="158">
                  <c:v>8.3700000000000011E-2</c:v>
                </c:pt>
                <c:pt idx="159">
                  <c:v>8.3850000000000008E-2</c:v>
                </c:pt>
                <c:pt idx="160">
                  <c:v>8.4000000000000005E-2</c:v>
                </c:pt>
                <c:pt idx="161">
                  <c:v>8.4150000000000016E-2</c:v>
                </c:pt>
                <c:pt idx="162">
                  <c:v>8.43E-2</c:v>
                </c:pt>
                <c:pt idx="163">
                  <c:v>8.4450000000000011E-2</c:v>
                </c:pt>
                <c:pt idx="164">
                  <c:v>8.4600000000000009E-2</c:v>
                </c:pt>
                <c:pt idx="165">
                  <c:v>8.4750000000000006E-2</c:v>
                </c:pt>
                <c:pt idx="166">
                  <c:v>8.4900000000000017E-2</c:v>
                </c:pt>
                <c:pt idx="167">
                  <c:v>8.5050000000000001E-2</c:v>
                </c:pt>
                <c:pt idx="168">
                  <c:v>8.5200000000000012E-2</c:v>
                </c:pt>
                <c:pt idx="169">
                  <c:v>8.5350000000000009E-2</c:v>
                </c:pt>
                <c:pt idx="170">
                  <c:v>8.5500000000000007E-2</c:v>
                </c:pt>
                <c:pt idx="171">
                  <c:v>8.5650000000000018E-2</c:v>
                </c:pt>
                <c:pt idx="172">
                  <c:v>8.5800000000000001E-2</c:v>
                </c:pt>
                <c:pt idx="173">
                  <c:v>8.5950000000000013E-2</c:v>
                </c:pt>
                <c:pt idx="174">
                  <c:v>8.610000000000001E-2</c:v>
                </c:pt>
                <c:pt idx="175">
                  <c:v>8.6250000000000007E-2</c:v>
                </c:pt>
                <c:pt idx="176">
                  <c:v>8.6400000000000018E-2</c:v>
                </c:pt>
                <c:pt idx="177">
                  <c:v>8.6550000000000002E-2</c:v>
                </c:pt>
                <c:pt idx="178">
                  <c:v>8.6700000000000013E-2</c:v>
                </c:pt>
                <c:pt idx="179">
                  <c:v>8.6850000000000011E-2</c:v>
                </c:pt>
                <c:pt idx="180">
                  <c:v>8.7000000000000008E-2</c:v>
                </c:pt>
                <c:pt idx="181">
                  <c:v>8.7150000000000019E-2</c:v>
                </c:pt>
                <c:pt idx="182">
                  <c:v>8.7300000000000003E-2</c:v>
                </c:pt>
                <c:pt idx="183">
                  <c:v>8.7450000000000014E-2</c:v>
                </c:pt>
                <c:pt idx="184">
                  <c:v>8.7600000000000011E-2</c:v>
                </c:pt>
                <c:pt idx="185">
                  <c:v>8.7750000000000009E-2</c:v>
                </c:pt>
                <c:pt idx="186">
                  <c:v>8.790000000000002E-2</c:v>
                </c:pt>
                <c:pt idx="187">
                  <c:v>8.8050000000000003E-2</c:v>
                </c:pt>
                <c:pt idx="188">
                  <c:v>8.8200000000000014E-2</c:v>
                </c:pt>
                <c:pt idx="189">
                  <c:v>8.8350000000000012E-2</c:v>
                </c:pt>
                <c:pt idx="190">
                  <c:v>8.8500000000000009E-2</c:v>
                </c:pt>
                <c:pt idx="191">
                  <c:v>8.865000000000002E-2</c:v>
                </c:pt>
                <c:pt idx="192">
                  <c:v>8.8800000000000018E-2</c:v>
                </c:pt>
                <c:pt idx="193">
                  <c:v>8.8950000000000015E-2</c:v>
                </c:pt>
                <c:pt idx="194">
                  <c:v>8.9100000000000013E-2</c:v>
                </c:pt>
                <c:pt idx="195">
                  <c:v>8.925000000000001E-2</c:v>
                </c:pt>
                <c:pt idx="196">
                  <c:v>8.9400000000000021E-2</c:v>
                </c:pt>
                <c:pt idx="197">
                  <c:v>8.9550000000000018E-2</c:v>
                </c:pt>
                <c:pt idx="198">
                  <c:v>8.9700000000000016E-2</c:v>
                </c:pt>
                <c:pt idx="199">
                  <c:v>8.9850000000000013E-2</c:v>
                </c:pt>
                <c:pt idx="200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AFF-43F0-8961-92E6C03014B7}"/>
            </c:ext>
          </c:extLst>
        </c:ser>
        <c:ser>
          <c:idx val="3"/>
          <c:order val="5"/>
          <c:spPr>
            <a:ln w="63500">
              <a:solidFill>
                <a:schemeClr val="accent2"/>
              </a:solidFill>
              <a:prstDash val="solid"/>
            </a:ln>
          </c:spPr>
          <c:marker>
            <c:symbol val="none"/>
          </c:marker>
          <c:xVal>
            <c:numRef>
              <c:f>Sem_Short_Sell!$G$12:$G$212</c:f>
              <c:numCache>
                <c:formatCode>0.0%</c:formatCode>
                <c:ptCount val="2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8.3983093536735123E-2</c:v>
                </c:pt>
                <c:pt idx="79">
                  <c:v>8.3988630182900342E-2</c:v>
                </c:pt>
                <c:pt idx="80">
                  <c:v>8.4000000000000005E-2</c:v>
                </c:pt>
                <c:pt idx="81">
                  <c:v>8.401720061987307E-2</c:v>
                </c:pt>
                <c:pt idx="82">
                  <c:v>8.4040228462326297E-2</c:v>
                </c:pt>
                <c:pt idx="83">
                  <c:v>8.4069078738856176E-2</c:v>
                </c:pt>
                <c:pt idx="84">
                  <c:v>8.4103745457619186E-2</c:v>
                </c:pt>
                <c:pt idx="85">
                  <c:v>8.4144221429638288E-2</c:v>
                </c:pt>
                <c:pt idx="86">
                  <c:v>8.419049827623068E-2</c:v>
                </c:pt>
                <c:pt idx="87">
                  <c:v>8.4242566437638874E-2</c:v>
                </c:pt>
                <c:pt idx="88">
                  <c:v>8.4300415182844743E-2</c:v>
                </c:pt>
                <c:pt idx="89">
                  <c:v>8.4364032620542734E-2</c:v>
                </c:pt>
                <c:pt idx="90">
                  <c:v>8.4433405711246773E-2</c:v>
                </c:pt>
                <c:pt idx="91">
                  <c:v>8.4508520280501889E-2</c:v>
                </c:pt>
                <c:pt idx="92">
                  <c:v>8.4589361033170121E-2</c:v>
                </c:pt>
                <c:pt idx="93">
                  <c:v>8.467591156875727E-2</c:v>
                </c:pt>
                <c:pt idx="94">
                  <c:v>8.4768154397745391E-2</c:v>
                </c:pt>
                <c:pt idx="95">
                  <c:v>8.4866070958893813E-2</c:v>
                </c:pt>
                <c:pt idx="96">
                  <c:v>8.4969641637469562E-2</c:v>
                </c:pt>
                <c:pt idx="97">
                  <c:v>8.5078845784366391E-2</c:v>
                </c:pt>
                <c:pt idx="98">
                  <c:v>8.5193661736070486E-2</c:v>
                </c:pt>
                <c:pt idx="99">
                  <c:v>8.5314066835428734E-2</c:v>
                </c:pt>
                <c:pt idx="100">
                  <c:v>8.5440037453175313E-2</c:v>
                </c:pt>
                <c:pt idx="101">
                  <c:v>8.5571549010170431E-2</c:v>
                </c:pt>
                <c:pt idx="102">
                  <c:v>8.5708576000304668E-2</c:v>
                </c:pt>
                <c:pt idx="103">
                  <c:v>8.5851092014021593E-2</c:v>
                </c:pt>
                <c:pt idx="104">
                  <c:v>8.5999069762410812E-2</c:v>
                </c:pt>
                <c:pt idx="105">
                  <c:v>8.6152481101823192E-2</c:v>
                </c:pt>
                <c:pt idx="106">
                  <c:v>8.6311297058959791E-2</c:v>
                </c:pt>
                <c:pt idx="107">
                  <c:v>8.6475487856386229E-2</c:v>
                </c:pt>
                <c:pt idx="108">
                  <c:v>8.6645022938423882E-2</c:v>
                </c:pt>
                <c:pt idx="109">
                  <c:v>8.6819870997370194E-2</c:v>
                </c:pt>
                <c:pt idx="110">
                  <c:v>8.7000000000000022E-2</c:v>
                </c:pt>
                <c:pt idx="111">
                  <c:v>8.7185377214301266E-2</c:v>
                </c:pt>
                <c:pt idx="112">
                  <c:v>8.737596923639819E-2</c:v>
                </c:pt>
                <c:pt idx="113">
                  <c:v>8.7571742017616624E-2</c:v>
                </c:pt>
                <c:pt idx="114">
                  <c:v>8.7772660891646689E-2</c:v>
                </c:pt>
                <c:pt idx="115">
                  <c:v>8.7978690601758794E-2</c:v>
                </c:pt>
                <c:pt idx="116">
                  <c:v>8.818979532803102E-2</c:v>
                </c:pt>
                <c:pt idx="117">
                  <c:v>8.8405938714545662E-2</c:v>
                </c:pt>
                <c:pt idx="118">
                  <c:v>8.8627083896515524E-2</c:v>
                </c:pt>
                <c:pt idx="119">
                  <c:v>8.8853193527300992E-2</c:v>
                </c:pt>
                <c:pt idx="120">
                  <c:v>8.9084229805280357E-2</c:v>
                </c:pt>
                <c:pt idx="121">
                  <c:v>8.9320154500538138E-2</c:v>
                </c:pt>
                <c:pt idx="122">
                  <c:v>8.956092898133651E-2</c:v>
                </c:pt>
                <c:pt idx="123">
                  <c:v>8.9806514240337837E-2</c:v>
                </c:pt>
                <c:pt idx="124">
                  <c:v>9.0056870920546664E-2</c:v>
                </c:pt>
                <c:pt idx="125">
                  <c:v>9.0311959340942244E-2</c:v>
                </c:pt>
                <c:pt idx="126">
                  <c:v>9.0571739521773595E-2</c:v>
                </c:pt>
                <c:pt idx="127">
                  <c:v>9.0836171209491237E-2</c:v>
                </c:pt>
                <c:pt idx="128">
                  <c:v>9.1105213901291102E-2</c:v>
                </c:pt>
                <c:pt idx="129">
                  <c:v>9.1378826869248017E-2</c:v>
                </c:pt>
                <c:pt idx="130">
                  <c:v>9.1656969184017889E-2</c:v>
                </c:pt>
                <c:pt idx="131">
                  <c:v>9.1939599738088934E-2</c:v>
                </c:pt>
                <c:pt idx="132">
                  <c:v>9.2226677268564788E-2</c:v>
                </c:pt>
                <c:pt idx="133">
                  <c:v>9.2518160379462824E-2</c:v>
                </c:pt>
                <c:pt idx="134">
                  <c:v>9.2814007563513837E-2</c:v>
                </c:pt>
                <c:pt idx="135">
                  <c:v>9.3114177223449723E-2</c:v>
                </c:pt>
                <c:pt idx="136">
                  <c:v>9.3418627692768014E-2</c:v>
                </c:pt>
                <c:pt idx="137">
                  <c:v>9.3727317255963352E-2</c:v>
                </c:pt>
                <c:pt idx="138">
                  <c:v>9.4040204168217345E-2</c:v>
                </c:pt>
                <c:pt idx="139">
                  <c:v>9.4357246674540082E-2</c:v>
                </c:pt>
                <c:pt idx="140">
                  <c:v>9.4678403028357033E-2</c:v>
                </c:pt>
                <c:pt idx="141">
                  <c:v>9.5003631509537598E-2</c:v>
                </c:pt>
                <c:pt idx="142">
                  <c:v>9.5332890441861703E-2</c:v>
                </c:pt>
                <c:pt idx="143">
                  <c:v>9.5666138209922563E-2</c:v>
                </c:pt>
                <c:pt idx="144">
                  <c:v>9.6003333275464994E-2</c:v>
                </c:pt>
                <c:pt idx="145">
                  <c:v>9.6344434193159315E-2</c:v>
                </c:pt>
                <c:pt idx="146">
                  <c:v>9.6689399625812161E-2</c:v>
                </c:pt>
                <c:pt idx="147">
                  <c:v>9.7038188359016717E-2</c:v>
                </c:pt>
                <c:pt idx="148">
                  <c:v>9.7390759315245143E-2</c:v>
                </c:pt>
                <c:pt idx="149">
                  <c:v>9.7747071567387669E-2</c:v>
                </c:pt>
                <c:pt idx="150">
                  <c:v>9.8107084351742951E-2</c:v>
                </c:pt>
                <c:pt idx="151">
                  <c:v>9.8470757080465307E-2</c:v>
                </c:pt>
                <c:pt idx="152">
                  <c:v>9.8838049353475232E-2</c:v>
                </c:pt>
                <c:pt idx="153">
                  <c:v>9.9208920969840242E-2</c:v>
                </c:pt>
                <c:pt idx="154">
                  <c:v>9.9583331938633224E-2</c:v>
                </c:pt>
                <c:pt idx="155">
                  <c:v>9.9961242489276847E-2</c:v>
                </c:pt>
                <c:pt idx="156">
                  <c:v>0.10034261308138237</c:v>
                </c:pt>
                <c:pt idx="157">
                  <c:v>0.10072740441409184</c:v>
                </c:pt>
                <c:pt idx="158">
                  <c:v>0.10111557743493338</c:v>
                </c:pt>
                <c:pt idx="159">
                  <c:v>0.10150709334819912</c:v>
                </c:pt>
                <c:pt idx="160">
                  <c:v>0.10190191362285603</c:v>
                </c:pt>
                <c:pt idx="161">
                  <c:v>0.10230000000000003</c:v>
                </c:pt>
                <c:pt idx="162">
                  <c:v>0.10270131449986417</c:v>
                </c:pt>
                <c:pt idx="163">
                  <c:v>0.10310581942839118</c:v>
                </c:pt>
                <c:pt idx="164">
                  <c:v>0.10351347738338235</c:v>
                </c:pt>
                <c:pt idx="165">
                  <c:v>0.10392425126023286</c:v>
                </c:pt>
                <c:pt idx="166">
                  <c:v>0.10433810425726552</c:v>
                </c:pt>
                <c:pt idx="167">
                  <c:v>0.10475499988067401</c:v>
                </c:pt>
                <c:pt idx="168">
                  <c:v>0.10517490194908674</c:v>
                </c:pt>
                <c:pt idx="169">
                  <c:v>0.10559777459776323</c:v>
                </c:pt>
                <c:pt idx="170">
                  <c:v>0.1060235822824338</c:v>
                </c:pt>
                <c:pt idx="171">
                  <c:v>0.10645228978279431</c:v>
                </c:pt>
                <c:pt idx="172">
                  <c:v>0.10688386220566701</c:v>
                </c:pt>
                <c:pt idx="173">
                  <c:v>0.1073182649878389</c:v>
                </c:pt>
                <c:pt idx="174">
                  <c:v>0.1077554638985885</c:v>
                </c:pt>
                <c:pt idx="175">
                  <c:v>0.10819542504191207</c:v>
                </c:pt>
                <c:pt idx="176">
                  <c:v>0.1086381148584603</c:v>
                </c:pt>
                <c:pt idx="177">
                  <c:v>0.1090835001271962</c:v>
                </c:pt>
                <c:pt idx="178">
                  <c:v>0.10953154796678449</c:v>
                </c:pt>
                <c:pt idx="179">
                  <c:v>0.10998222583672332</c:v>
                </c:pt>
                <c:pt idx="180">
                  <c:v>0.11043550153822825</c:v>
                </c:pt>
                <c:pt idx="181">
                  <c:v>0.11089134321487865</c:v>
                </c:pt>
                <c:pt idx="182">
                  <c:v>0.1113497193530366</c:v>
                </c:pt>
                <c:pt idx="183">
                  <c:v>0.11181059878204756</c:v>
                </c:pt>
                <c:pt idx="184">
                  <c:v>0.1122739506742326</c:v>
                </c:pt>
                <c:pt idx="185">
                  <c:v>0.11273974454468137</c:v>
                </c:pt>
                <c:pt idx="186">
                  <c:v>0.1132079502508548</c:v>
                </c:pt>
                <c:pt idx="187">
                  <c:v>0.11367853799200628</c:v>
                </c:pt>
                <c:pt idx="188">
                  <c:v>0.11415147830843023</c:v>
                </c:pt>
                <c:pt idx="189">
                  <c:v>0.114626742080546</c:v>
                </c:pt>
                <c:pt idx="190">
                  <c:v>0.11510430052782569</c:v>
                </c:pt>
                <c:pt idx="191">
                  <c:v>0.11558412520757345</c:v>
                </c:pt>
                <c:pt idx="192">
                  <c:v>0.11606618801356412</c:v>
                </c:pt>
                <c:pt idx="193">
                  <c:v>0.11655046117454884</c:v>
                </c:pt>
                <c:pt idx="194">
                  <c:v>0.1170369172526345</c:v>
                </c:pt>
                <c:pt idx="195">
                  <c:v>0.11752552914154446</c:v>
                </c:pt>
                <c:pt idx="196">
                  <c:v>0.11801627006476699</c:v>
                </c:pt>
                <c:pt idx="197">
                  <c:v>0.11850911357359829</c:v>
                </c:pt>
                <c:pt idx="198">
                  <c:v>0.11900403354508626</c:v>
                </c:pt>
                <c:pt idx="199">
                  <c:v>0.11950100417988134</c:v>
                </c:pt>
                <c:pt idx="200">
                  <c:v>0.12000000000000006</c:v>
                </c:pt>
              </c:numCache>
            </c:numRef>
          </c:xVal>
          <c:yVal>
            <c:numRef>
              <c:f>Sem_Short_Sell!$H$12:$H$212</c:f>
              <c:numCache>
                <c:formatCode>0.0%</c:formatCode>
                <c:ptCount val="2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7.17E-2</c:v>
                </c:pt>
                <c:pt idx="79">
                  <c:v>7.1849999999999997E-2</c:v>
                </c:pt>
                <c:pt idx="80">
                  <c:v>7.1999999999999995E-2</c:v>
                </c:pt>
                <c:pt idx="81">
                  <c:v>7.2149999999999992E-2</c:v>
                </c:pt>
                <c:pt idx="82">
                  <c:v>7.2300000000000003E-2</c:v>
                </c:pt>
                <c:pt idx="83">
                  <c:v>7.2450000000000001E-2</c:v>
                </c:pt>
                <c:pt idx="84">
                  <c:v>7.2599999999999998E-2</c:v>
                </c:pt>
                <c:pt idx="85">
                  <c:v>7.2749999999999995E-2</c:v>
                </c:pt>
                <c:pt idx="86">
                  <c:v>7.2899999999999993E-2</c:v>
                </c:pt>
                <c:pt idx="87">
                  <c:v>7.3050000000000004E-2</c:v>
                </c:pt>
                <c:pt idx="88">
                  <c:v>7.3200000000000001E-2</c:v>
                </c:pt>
                <c:pt idx="89">
                  <c:v>7.3349999999999999E-2</c:v>
                </c:pt>
                <c:pt idx="90">
                  <c:v>7.3499999999999996E-2</c:v>
                </c:pt>
                <c:pt idx="91">
                  <c:v>7.3649999999999993E-2</c:v>
                </c:pt>
                <c:pt idx="92">
                  <c:v>7.3800000000000004E-2</c:v>
                </c:pt>
                <c:pt idx="93">
                  <c:v>7.3950000000000002E-2</c:v>
                </c:pt>
                <c:pt idx="94">
                  <c:v>7.4099999999999999E-2</c:v>
                </c:pt>
                <c:pt idx="95">
                  <c:v>7.4249999999999997E-2</c:v>
                </c:pt>
                <c:pt idx="96">
                  <c:v>7.4400000000000008E-2</c:v>
                </c:pt>
                <c:pt idx="97">
                  <c:v>7.4550000000000005E-2</c:v>
                </c:pt>
                <c:pt idx="98">
                  <c:v>7.4700000000000003E-2</c:v>
                </c:pt>
                <c:pt idx="99">
                  <c:v>7.485E-2</c:v>
                </c:pt>
                <c:pt idx="100">
                  <c:v>7.4999999999999997E-2</c:v>
                </c:pt>
                <c:pt idx="101">
                  <c:v>7.5150000000000008E-2</c:v>
                </c:pt>
                <c:pt idx="102">
                  <c:v>7.5300000000000006E-2</c:v>
                </c:pt>
                <c:pt idx="103">
                  <c:v>7.5450000000000003E-2</c:v>
                </c:pt>
                <c:pt idx="104">
                  <c:v>7.5600000000000001E-2</c:v>
                </c:pt>
                <c:pt idx="105">
                  <c:v>7.5749999999999998E-2</c:v>
                </c:pt>
                <c:pt idx="106">
                  <c:v>7.5900000000000009E-2</c:v>
                </c:pt>
                <c:pt idx="107">
                  <c:v>7.6050000000000006E-2</c:v>
                </c:pt>
                <c:pt idx="108">
                  <c:v>7.6200000000000004E-2</c:v>
                </c:pt>
                <c:pt idx="109">
                  <c:v>7.6350000000000001E-2</c:v>
                </c:pt>
                <c:pt idx="110">
                  <c:v>7.6499999999999999E-2</c:v>
                </c:pt>
                <c:pt idx="111">
                  <c:v>7.6649999999999996E-2</c:v>
                </c:pt>
                <c:pt idx="112">
                  <c:v>7.6800000000000007E-2</c:v>
                </c:pt>
                <c:pt idx="113">
                  <c:v>7.6950000000000005E-2</c:v>
                </c:pt>
                <c:pt idx="114">
                  <c:v>7.7100000000000002E-2</c:v>
                </c:pt>
                <c:pt idx="115">
                  <c:v>7.7249999999999999E-2</c:v>
                </c:pt>
                <c:pt idx="116">
                  <c:v>7.7399999999999997E-2</c:v>
                </c:pt>
                <c:pt idx="117">
                  <c:v>7.7550000000000008E-2</c:v>
                </c:pt>
                <c:pt idx="118">
                  <c:v>7.7700000000000005E-2</c:v>
                </c:pt>
                <c:pt idx="119">
                  <c:v>7.7850000000000003E-2</c:v>
                </c:pt>
                <c:pt idx="120">
                  <c:v>7.8E-2</c:v>
                </c:pt>
                <c:pt idx="121">
                  <c:v>7.8149999999999997E-2</c:v>
                </c:pt>
                <c:pt idx="122">
                  <c:v>7.8300000000000008E-2</c:v>
                </c:pt>
                <c:pt idx="123">
                  <c:v>7.8450000000000006E-2</c:v>
                </c:pt>
                <c:pt idx="124">
                  <c:v>7.8600000000000003E-2</c:v>
                </c:pt>
                <c:pt idx="125">
                  <c:v>7.8750000000000001E-2</c:v>
                </c:pt>
                <c:pt idx="126">
                  <c:v>7.8899999999999998E-2</c:v>
                </c:pt>
                <c:pt idx="127">
                  <c:v>7.9050000000000009E-2</c:v>
                </c:pt>
                <c:pt idx="128">
                  <c:v>7.9200000000000007E-2</c:v>
                </c:pt>
                <c:pt idx="129">
                  <c:v>7.9350000000000004E-2</c:v>
                </c:pt>
                <c:pt idx="130">
                  <c:v>7.9500000000000001E-2</c:v>
                </c:pt>
                <c:pt idx="131">
                  <c:v>7.9649999999999999E-2</c:v>
                </c:pt>
                <c:pt idx="132">
                  <c:v>7.980000000000001E-2</c:v>
                </c:pt>
                <c:pt idx="133">
                  <c:v>7.9950000000000007E-2</c:v>
                </c:pt>
                <c:pt idx="134">
                  <c:v>8.0100000000000005E-2</c:v>
                </c:pt>
                <c:pt idx="135">
                  <c:v>8.0250000000000002E-2</c:v>
                </c:pt>
                <c:pt idx="136">
                  <c:v>8.0399999999999999E-2</c:v>
                </c:pt>
                <c:pt idx="137">
                  <c:v>8.055000000000001E-2</c:v>
                </c:pt>
                <c:pt idx="138">
                  <c:v>8.0700000000000008E-2</c:v>
                </c:pt>
                <c:pt idx="139">
                  <c:v>8.0850000000000005E-2</c:v>
                </c:pt>
                <c:pt idx="140">
                  <c:v>8.1000000000000003E-2</c:v>
                </c:pt>
                <c:pt idx="141">
                  <c:v>8.1150000000000014E-2</c:v>
                </c:pt>
                <c:pt idx="142">
                  <c:v>8.1299999999999997E-2</c:v>
                </c:pt>
                <c:pt idx="143">
                  <c:v>8.1450000000000009E-2</c:v>
                </c:pt>
                <c:pt idx="144">
                  <c:v>8.1600000000000006E-2</c:v>
                </c:pt>
                <c:pt idx="145">
                  <c:v>8.1750000000000003E-2</c:v>
                </c:pt>
                <c:pt idx="146">
                  <c:v>8.1900000000000014E-2</c:v>
                </c:pt>
                <c:pt idx="147">
                  <c:v>8.2049999999999998E-2</c:v>
                </c:pt>
                <c:pt idx="148">
                  <c:v>8.2200000000000009E-2</c:v>
                </c:pt>
                <c:pt idx="149">
                  <c:v>8.2350000000000007E-2</c:v>
                </c:pt>
                <c:pt idx="150">
                  <c:v>8.2500000000000004E-2</c:v>
                </c:pt>
                <c:pt idx="151">
                  <c:v>8.2650000000000015E-2</c:v>
                </c:pt>
                <c:pt idx="152">
                  <c:v>8.2799999999999999E-2</c:v>
                </c:pt>
                <c:pt idx="153">
                  <c:v>8.295000000000001E-2</c:v>
                </c:pt>
                <c:pt idx="154">
                  <c:v>8.3100000000000007E-2</c:v>
                </c:pt>
                <c:pt idx="155">
                  <c:v>8.3250000000000005E-2</c:v>
                </c:pt>
                <c:pt idx="156">
                  <c:v>8.3400000000000016E-2</c:v>
                </c:pt>
                <c:pt idx="157">
                  <c:v>8.3549999999999999E-2</c:v>
                </c:pt>
                <c:pt idx="158">
                  <c:v>8.3700000000000011E-2</c:v>
                </c:pt>
                <c:pt idx="159">
                  <c:v>8.3850000000000008E-2</c:v>
                </c:pt>
                <c:pt idx="160">
                  <c:v>8.4000000000000005E-2</c:v>
                </c:pt>
                <c:pt idx="161">
                  <c:v>8.4150000000000016E-2</c:v>
                </c:pt>
                <c:pt idx="162">
                  <c:v>8.43E-2</c:v>
                </c:pt>
                <c:pt idx="163">
                  <c:v>8.4450000000000011E-2</c:v>
                </c:pt>
                <c:pt idx="164">
                  <c:v>8.4600000000000009E-2</c:v>
                </c:pt>
                <c:pt idx="165">
                  <c:v>8.4750000000000006E-2</c:v>
                </c:pt>
                <c:pt idx="166">
                  <c:v>8.4900000000000017E-2</c:v>
                </c:pt>
                <c:pt idx="167">
                  <c:v>8.5050000000000001E-2</c:v>
                </c:pt>
                <c:pt idx="168">
                  <c:v>8.5200000000000012E-2</c:v>
                </c:pt>
                <c:pt idx="169">
                  <c:v>8.5350000000000009E-2</c:v>
                </c:pt>
                <c:pt idx="170">
                  <c:v>8.5500000000000007E-2</c:v>
                </c:pt>
                <c:pt idx="171">
                  <c:v>8.5650000000000018E-2</c:v>
                </c:pt>
                <c:pt idx="172">
                  <c:v>8.5800000000000001E-2</c:v>
                </c:pt>
                <c:pt idx="173">
                  <c:v>8.5950000000000013E-2</c:v>
                </c:pt>
                <c:pt idx="174">
                  <c:v>8.610000000000001E-2</c:v>
                </c:pt>
                <c:pt idx="175">
                  <c:v>8.6250000000000007E-2</c:v>
                </c:pt>
                <c:pt idx="176">
                  <c:v>8.6400000000000018E-2</c:v>
                </c:pt>
                <c:pt idx="177">
                  <c:v>8.6550000000000002E-2</c:v>
                </c:pt>
                <c:pt idx="178">
                  <c:v>8.6700000000000013E-2</c:v>
                </c:pt>
                <c:pt idx="179">
                  <c:v>8.6850000000000011E-2</c:v>
                </c:pt>
                <c:pt idx="180">
                  <c:v>8.7000000000000008E-2</c:v>
                </c:pt>
                <c:pt idx="181">
                  <c:v>8.7150000000000019E-2</c:v>
                </c:pt>
                <c:pt idx="182">
                  <c:v>8.7300000000000003E-2</c:v>
                </c:pt>
                <c:pt idx="183">
                  <c:v>8.7450000000000014E-2</c:v>
                </c:pt>
                <c:pt idx="184">
                  <c:v>8.7600000000000011E-2</c:v>
                </c:pt>
                <c:pt idx="185">
                  <c:v>8.7750000000000009E-2</c:v>
                </c:pt>
                <c:pt idx="186">
                  <c:v>8.790000000000002E-2</c:v>
                </c:pt>
                <c:pt idx="187">
                  <c:v>8.8050000000000003E-2</c:v>
                </c:pt>
                <c:pt idx="188">
                  <c:v>8.8200000000000014E-2</c:v>
                </c:pt>
                <c:pt idx="189">
                  <c:v>8.8350000000000012E-2</c:v>
                </c:pt>
                <c:pt idx="190">
                  <c:v>8.8500000000000009E-2</c:v>
                </c:pt>
                <c:pt idx="191">
                  <c:v>8.865000000000002E-2</c:v>
                </c:pt>
                <c:pt idx="192">
                  <c:v>8.8800000000000018E-2</c:v>
                </c:pt>
                <c:pt idx="193">
                  <c:v>8.8950000000000015E-2</c:v>
                </c:pt>
                <c:pt idx="194">
                  <c:v>8.9100000000000013E-2</c:v>
                </c:pt>
                <c:pt idx="195">
                  <c:v>8.925000000000001E-2</c:v>
                </c:pt>
                <c:pt idx="196">
                  <c:v>8.9400000000000021E-2</c:v>
                </c:pt>
                <c:pt idx="197">
                  <c:v>8.9550000000000018E-2</c:v>
                </c:pt>
                <c:pt idx="198">
                  <c:v>8.9700000000000016E-2</c:v>
                </c:pt>
                <c:pt idx="199">
                  <c:v>8.9850000000000013E-2</c:v>
                </c:pt>
                <c:pt idx="200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AFF-43F0-8961-92E6C03014B7}"/>
            </c:ext>
          </c:extLst>
        </c:ser>
        <c:ser>
          <c:idx val="0"/>
          <c:order val="6"/>
          <c:tx>
            <c:strRef>
              <c:f>Sem_Short_Sell!$F$11</c:f>
              <c:strCache>
                <c:ptCount val="1"/>
                <c:pt idx="0">
                  <c:v>Valor Esperado</c:v>
                </c:pt>
              </c:strCache>
            </c:strRef>
          </c:tx>
          <c:spPr>
            <a:ln w="50800" cap="flat" cmpd="sng" algn="ctr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Sem_Short_Sell!$E$12:$E$212</c:f>
              <c:numCache>
                <c:formatCode>0.0%</c:formatCode>
                <c:ptCount val="201"/>
                <c:pt idx="0">
                  <c:v>0.1</c:v>
                </c:pt>
                <c:pt idx="1">
                  <c:v>9.9621734576346349E-2</c:v>
                </c:pt>
                <c:pt idx="2">
                  <c:v>9.9246964689102726E-2</c:v>
                </c:pt>
                <c:pt idx="3">
                  <c:v>9.887573008580014E-2</c:v>
                </c:pt>
                <c:pt idx="4">
                  <c:v>9.8508070735346356E-2</c:v>
                </c:pt>
                <c:pt idx="5">
                  <c:v>9.8144026817733543E-2</c:v>
                </c:pt>
                <c:pt idx="6">
                  <c:v>9.778363871323259E-2</c:v>
                </c:pt>
                <c:pt idx="7">
                  <c:v>9.7426946991066077E-2</c:v>
                </c:pt>
                <c:pt idx="8">
                  <c:v>9.70739923975521E-2</c:v>
                </c:pt>
                <c:pt idx="9">
                  <c:v>9.6724815843712009E-2</c:v>
                </c:pt>
                <c:pt idx="10">
                  <c:v>9.6379458392335873E-2</c:v>
                </c:pt>
                <c:pt idx="11">
                  <c:v>9.6037961244499565E-2</c:v>
                </c:pt>
                <c:pt idx="12">
                  <c:v>9.570036572552898E-2</c:v>
                </c:pt>
                <c:pt idx="13">
                  <c:v>9.5366713270406883E-2</c:v>
                </c:pt>
                <c:pt idx="14">
                  <c:v>9.5037045408619486E-2</c:v>
                </c:pt>
                <c:pt idx="15">
                  <c:v>9.4711403748439921E-2</c:v>
                </c:pt>
                <c:pt idx="16">
                  <c:v>9.4389829960647764E-2</c:v>
                </c:pt>
                <c:pt idx="17">
                  <c:v>9.4072365761683707E-2</c:v>
                </c:pt>
                <c:pt idx="18">
                  <c:v>9.3759052896240369E-2</c:v>
                </c:pt>
                <c:pt idx="19">
                  <c:v>9.3449933119291215E-2</c:v>
                </c:pt>
                <c:pt idx="20">
                  <c:v>9.3145048177560141E-2</c:v>
                </c:pt>
                <c:pt idx="21">
                  <c:v>9.2844439790436564E-2</c:v>
                </c:pt>
                <c:pt idx="22">
                  <c:v>9.2548149630341067E-2</c:v>
                </c:pt>
                <c:pt idx="23">
                  <c:v>9.2256219302548931E-2</c:v>
                </c:pt>
                <c:pt idx="24">
                  <c:v>9.1968690324479449E-2</c:v>
                </c:pt>
                <c:pt idx="25">
                  <c:v>9.1685604104461235E-2</c:v>
                </c:pt>
                <c:pt idx="26">
                  <c:v>9.1407001919984229E-2</c:v>
                </c:pt>
                <c:pt idx="27">
                  <c:v>9.1132924895451481E-2</c:v>
                </c:pt>
                <c:pt idx="28">
                  <c:v>9.0863413979445001E-2</c:v>
                </c:pt>
                <c:pt idx="29">
                  <c:v>9.0598509921521339E-2</c:v>
                </c:pt>
                <c:pt idx="30">
                  <c:v>9.0338253248554684E-2</c:v>
                </c:pt>
                <c:pt idx="31">
                  <c:v>9.0082684240646374E-2</c:v>
                </c:pt>
                <c:pt idx="32">
                  <c:v>8.9831842906621925E-2</c:v>
                </c:pt>
                <c:pt idx="33">
                  <c:v>8.958576895913771E-2</c:v>
                </c:pt>
                <c:pt idx="34">
                  <c:v>8.9344501789421812E-2</c:v>
                </c:pt>
                <c:pt idx="35">
                  <c:v>8.910808044167487E-2</c:v>
                </c:pt>
                <c:pt idx="36">
                  <c:v>8.8876543587158019E-2</c:v>
                </c:pt>
                <c:pt idx="37">
                  <c:v>8.8649929497997909E-2</c:v>
                </c:pt>
                <c:pt idx="38">
                  <c:v>8.842827602073898E-2</c:v>
                </c:pt>
                <c:pt idx="39">
                  <c:v>8.8211620549675879E-2</c:v>
                </c:pt>
                <c:pt idx="40">
                  <c:v>8.7999999999999995E-2</c:v>
                </c:pt>
                <c:pt idx="41">
                  <c:v>8.7793450780795715E-2</c:v>
                </c:pt>
                <c:pt idx="42">
                  <c:v>8.7592008767923571E-2</c:v>
                </c:pt>
                <c:pt idx="43">
                  <c:v>8.7395709276828909E-2</c:v>
                </c:pt>
                <c:pt idx="44">
                  <c:v>8.7204587035315972E-2</c:v>
                </c:pt>
                <c:pt idx="45">
                  <c:v>8.7018676156328648E-2</c:v>
                </c:pt>
                <c:pt idx="46">
                  <c:v>8.6838010110780406E-2</c:v>
                </c:pt>
                <c:pt idx="47">
                  <c:v>8.6662621700477074E-2</c:v>
                </c:pt>
                <c:pt idx="48">
                  <c:v>8.6492543031176969E-2</c:v>
                </c:pt>
                <c:pt idx="49">
                  <c:v>8.6327805485834047E-2</c:v>
                </c:pt>
                <c:pt idx="50">
                  <c:v>8.616843969807042E-2</c:v>
                </c:pt>
                <c:pt idx="51">
                  <c:v>8.6014475525925282E-2</c:v>
                </c:pt>
                <c:pt idx="52">
                  <c:v>8.5865942025927816E-2</c:v>
                </c:pt>
                <c:pt idx="53">
                  <c:v>8.5722867427542329E-2</c:v>
                </c:pt>
                <c:pt idx="54">
                  <c:v>8.5585279108033513E-2</c:v>
                </c:pt>
                <c:pt idx="55">
                  <c:v>8.545320356780077E-2</c:v>
                </c:pt>
                <c:pt idx="56">
                  <c:v>8.5326666406229643E-2</c:v>
                </c:pt>
                <c:pt idx="57">
                  <c:v>8.5205692298108815E-2</c:v>
                </c:pt>
                <c:pt idx="58">
                  <c:v>8.5090304970660433E-2</c:v>
                </c:pt>
                <c:pt idx="59">
                  <c:v>8.498052718123135E-2</c:v>
                </c:pt>
                <c:pt idx="60">
                  <c:v>8.4876380695691769E-2</c:v>
                </c:pt>
                <c:pt idx="61">
                  <c:v>8.4777886267587491E-2</c:v>
                </c:pt>
                <c:pt idx="62">
                  <c:v>8.4685063618090278E-2</c:v>
                </c:pt>
                <c:pt idx="63">
                  <c:v>8.4597931416790562E-2</c:v>
                </c:pt>
                <c:pt idx="64">
                  <c:v>8.4516507263374285E-2</c:v>
                </c:pt>
                <c:pt idx="65">
                  <c:v>8.444080767022541E-2</c:v>
                </c:pt>
                <c:pt idx="66">
                  <c:v>8.437084804599275E-2</c:v>
                </c:pt>
                <c:pt idx="67">
                  <c:v>8.4306642680158944E-2</c:v>
                </c:pt>
                <c:pt idx="68">
                  <c:v>8.4248204728646886E-2</c:v>
                </c:pt>
                <c:pt idx="69">
                  <c:v>8.4195546200496851E-2</c:v>
                </c:pt>
                <c:pt idx="70">
                  <c:v>8.4148677945645692E-2</c:v>
                </c:pt>
                <c:pt idx="71">
                  <c:v>8.4107609643836623E-2</c:v>
                </c:pt>
                <c:pt idx="72">
                  <c:v>8.4072349794685766E-2</c:v>
                </c:pt>
                <c:pt idx="73">
                  <c:v>8.4042905708929402E-2</c:v>
                </c:pt>
                <c:pt idx="74">
                  <c:v>8.401928350087258E-2</c:v>
                </c:pt>
                <c:pt idx="75">
                  <c:v>8.4001488082057207E-2</c:v>
                </c:pt>
                <c:pt idx="76">
                  <c:v>8.3989523156165133E-2</c:v>
                </c:pt>
                <c:pt idx="77">
                  <c:v>8.3983391215168249E-2</c:v>
                </c:pt>
                <c:pt idx="78">
                  <c:v>8.3983093536735123E-2</c:v>
                </c:pt>
                <c:pt idx="79">
                  <c:v>8.3988630182900342E-2</c:v>
                </c:pt>
                <c:pt idx="80">
                  <c:v>8.4000000000000005E-2</c:v>
                </c:pt>
                <c:pt idx="81">
                  <c:v>8.401720061987307E-2</c:v>
                </c:pt>
                <c:pt idx="82">
                  <c:v>8.4040228462326297E-2</c:v>
                </c:pt>
                <c:pt idx="83">
                  <c:v>8.4069078738856176E-2</c:v>
                </c:pt>
                <c:pt idx="84">
                  <c:v>8.4103745457619186E-2</c:v>
                </c:pt>
                <c:pt idx="85">
                  <c:v>8.4144221429638288E-2</c:v>
                </c:pt>
                <c:pt idx="86">
                  <c:v>8.419049827623068E-2</c:v>
                </c:pt>
                <c:pt idx="87">
                  <c:v>8.4242566437638874E-2</c:v>
                </c:pt>
                <c:pt idx="88">
                  <c:v>8.4300415182844743E-2</c:v>
                </c:pt>
                <c:pt idx="89">
                  <c:v>8.4364032620542734E-2</c:v>
                </c:pt>
                <c:pt idx="90">
                  <c:v>8.4433405711246773E-2</c:v>
                </c:pt>
                <c:pt idx="91">
                  <c:v>8.4508520280501889E-2</c:v>
                </c:pt>
                <c:pt idx="92">
                  <c:v>8.4589361033170121E-2</c:v>
                </c:pt>
                <c:pt idx="93">
                  <c:v>8.467591156875727E-2</c:v>
                </c:pt>
                <c:pt idx="94">
                  <c:v>8.4768154397745391E-2</c:v>
                </c:pt>
                <c:pt idx="95">
                  <c:v>8.4866070958893813E-2</c:v>
                </c:pt>
                <c:pt idx="96">
                  <c:v>8.4969641637469562E-2</c:v>
                </c:pt>
                <c:pt idx="97">
                  <c:v>8.5078845784366391E-2</c:v>
                </c:pt>
                <c:pt idx="98">
                  <c:v>8.5193661736070486E-2</c:v>
                </c:pt>
                <c:pt idx="99">
                  <c:v>8.5314066835428734E-2</c:v>
                </c:pt>
                <c:pt idx="100">
                  <c:v>8.5440037453175313E-2</c:v>
                </c:pt>
                <c:pt idx="101">
                  <c:v>8.5571549010170431E-2</c:v>
                </c:pt>
                <c:pt idx="102">
                  <c:v>8.5708576000304668E-2</c:v>
                </c:pt>
                <c:pt idx="103">
                  <c:v>8.5851092014021593E-2</c:v>
                </c:pt>
                <c:pt idx="104">
                  <c:v>8.5999069762410812E-2</c:v>
                </c:pt>
                <c:pt idx="105">
                  <c:v>8.6152481101823192E-2</c:v>
                </c:pt>
                <c:pt idx="106">
                  <c:v>8.6311297058959791E-2</c:v>
                </c:pt>
                <c:pt idx="107">
                  <c:v>8.6475487856386229E-2</c:v>
                </c:pt>
                <c:pt idx="108">
                  <c:v>8.6645022938423882E-2</c:v>
                </c:pt>
                <c:pt idx="109">
                  <c:v>8.6819870997370194E-2</c:v>
                </c:pt>
                <c:pt idx="110">
                  <c:v>8.7000000000000022E-2</c:v>
                </c:pt>
                <c:pt idx="111">
                  <c:v>8.7185377214301266E-2</c:v>
                </c:pt>
                <c:pt idx="112">
                  <c:v>8.737596923639819E-2</c:v>
                </c:pt>
                <c:pt idx="113">
                  <c:v>8.7571742017616624E-2</c:v>
                </c:pt>
                <c:pt idx="114">
                  <c:v>8.7772660891646689E-2</c:v>
                </c:pt>
                <c:pt idx="115">
                  <c:v>8.7978690601758794E-2</c:v>
                </c:pt>
                <c:pt idx="116">
                  <c:v>8.818979532803102E-2</c:v>
                </c:pt>
                <c:pt idx="117">
                  <c:v>8.8405938714545662E-2</c:v>
                </c:pt>
                <c:pt idx="118">
                  <c:v>8.8627083896515524E-2</c:v>
                </c:pt>
                <c:pt idx="119">
                  <c:v>8.8853193527300992E-2</c:v>
                </c:pt>
                <c:pt idx="120">
                  <c:v>8.9084229805280357E-2</c:v>
                </c:pt>
                <c:pt idx="121">
                  <c:v>8.9320154500538138E-2</c:v>
                </c:pt>
                <c:pt idx="122">
                  <c:v>8.956092898133651E-2</c:v>
                </c:pt>
                <c:pt idx="123">
                  <c:v>8.9806514240337837E-2</c:v>
                </c:pt>
                <c:pt idx="124">
                  <c:v>9.0056870920546664E-2</c:v>
                </c:pt>
                <c:pt idx="125">
                  <c:v>9.0311959340942244E-2</c:v>
                </c:pt>
                <c:pt idx="126">
                  <c:v>9.0571739521773595E-2</c:v>
                </c:pt>
                <c:pt idx="127">
                  <c:v>9.0836171209491237E-2</c:v>
                </c:pt>
                <c:pt idx="128">
                  <c:v>9.1105213901291102E-2</c:v>
                </c:pt>
                <c:pt idx="129">
                  <c:v>9.1378826869248017E-2</c:v>
                </c:pt>
                <c:pt idx="130">
                  <c:v>9.1656969184017889E-2</c:v>
                </c:pt>
                <c:pt idx="131">
                  <c:v>9.1939599738088934E-2</c:v>
                </c:pt>
                <c:pt idx="132">
                  <c:v>9.2226677268564788E-2</c:v>
                </c:pt>
                <c:pt idx="133">
                  <c:v>9.2518160379462824E-2</c:v>
                </c:pt>
                <c:pt idx="134">
                  <c:v>9.2814007563513837E-2</c:v>
                </c:pt>
                <c:pt idx="135">
                  <c:v>9.3114177223449723E-2</c:v>
                </c:pt>
                <c:pt idx="136">
                  <c:v>9.3418627692768014E-2</c:v>
                </c:pt>
                <c:pt idx="137">
                  <c:v>9.3727317255963352E-2</c:v>
                </c:pt>
                <c:pt idx="138">
                  <c:v>9.4040204168217345E-2</c:v>
                </c:pt>
                <c:pt idx="139">
                  <c:v>9.4357246674540082E-2</c:v>
                </c:pt>
                <c:pt idx="140">
                  <c:v>9.4678403028357033E-2</c:v>
                </c:pt>
                <c:pt idx="141">
                  <c:v>9.5003631509537598E-2</c:v>
                </c:pt>
                <c:pt idx="142">
                  <c:v>9.5332890441861703E-2</c:v>
                </c:pt>
                <c:pt idx="143">
                  <c:v>9.5666138209922563E-2</c:v>
                </c:pt>
                <c:pt idx="144">
                  <c:v>9.6003333275464994E-2</c:v>
                </c:pt>
                <c:pt idx="145">
                  <c:v>9.6344434193159315E-2</c:v>
                </c:pt>
                <c:pt idx="146">
                  <c:v>9.6689399625812161E-2</c:v>
                </c:pt>
                <c:pt idx="147">
                  <c:v>9.7038188359016717E-2</c:v>
                </c:pt>
                <c:pt idx="148">
                  <c:v>9.7390759315245143E-2</c:v>
                </c:pt>
                <c:pt idx="149">
                  <c:v>9.7747071567387669E-2</c:v>
                </c:pt>
                <c:pt idx="150">
                  <c:v>9.8107084351742951E-2</c:v>
                </c:pt>
                <c:pt idx="151">
                  <c:v>9.8470757080465307E-2</c:v>
                </c:pt>
                <c:pt idx="152">
                  <c:v>9.8838049353475232E-2</c:v>
                </c:pt>
                <c:pt idx="153">
                  <c:v>9.9208920969840242E-2</c:v>
                </c:pt>
                <c:pt idx="154">
                  <c:v>9.9583331938633224E-2</c:v>
                </c:pt>
                <c:pt idx="155">
                  <c:v>9.9961242489276847E-2</c:v>
                </c:pt>
                <c:pt idx="156">
                  <c:v>0.10034261308138237</c:v>
                </c:pt>
                <c:pt idx="157">
                  <c:v>0.10072740441409184</c:v>
                </c:pt>
                <c:pt idx="158">
                  <c:v>0.10111557743493338</c:v>
                </c:pt>
                <c:pt idx="159">
                  <c:v>0.10150709334819912</c:v>
                </c:pt>
                <c:pt idx="160">
                  <c:v>0.10190191362285603</c:v>
                </c:pt>
                <c:pt idx="161">
                  <c:v>0.10230000000000003</c:v>
                </c:pt>
                <c:pt idx="162">
                  <c:v>0.10270131449986417</c:v>
                </c:pt>
                <c:pt idx="163">
                  <c:v>0.10310581942839118</c:v>
                </c:pt>
                <c:pt idx="164">
                  <c:v>0.10351347738338235</c:v>
                </c:pt>
                <c:pt idx="165">
                  <c:v>0.10392425126023286</c:v>
                </c:pt>
                <c:pt idx="166">
                  <c:v>0.10433810425726552</c:v>
                </c:pt>
                <c:pt idx="167">
                  <c:v>0.10475499988067401</c:v>
                </c:pt>
                <c:pt idx="168">
                  <c:v>0.10517490194908674</c:v>
                </c:pt>
                <c:pt idx="169">
                  <c:v>0.10559777459776323</c:v>
                </c:pt>
                <c:pt idx="170">
                  <c:v>0.1060235822824338</c:v>
                </c:pt>
                <c:pt idx="171">
                  <c:v>0.10645228978279431</c:v>
                </c:pt>
                <c:pt idx="172">
                  <c:v>0.10688386220566701</c:v>
                </c:pt>
                <c:pt idx="173">
                  <c:v>0.1073182649878389</c:v>
                </c:pt>
                <c:pt idx="174">
                  <c:v>0.1077554638985885</c:v>
                </c:pt>
                <c:pt idx="175">
                  <c:v>0.10819542504191207</c:v>
                </c:pt>
                <c:pt idx="176">
                  <c:v>0.1086381148584603</c:v>
                </c:pt>
                <c:pt idx="177">
                  <c:v>0.1090835001271962</c:v>
                </c:pt>
                <c:pt idx="178">
                  <c:v>0.10953154796678449</c:v>
                </c:pt>
                <c:pt idx="179">
                  <c:v>0.10998222583672332</c:v>
                </c:pt>
                <c:pt idx="180">
                  <c:v>0.11043550153822825</c:v>
                </c:pt>
                <c:pt idx="181">
                  <c:v>0.11089134321487865</c:v>
                </c:pt>
                <c:pt idx="182">
                  <c:v>0.1113497193530366</c:v>
                </c:pt>
                <c:pt idx="183">
                  <c:v>0.11181059878204756</c:v>
                </c:pt>
                <c:pt idx="184">
                  <c:v>0.1122739506742326</c:v>
                </c:pt>
                <c:pt idx="185">
                  <c:v>0.11273974454468137</c:v>
                </c:pt>
                <c:pt idx="186">
                  <c:v>0.1132079502508548</c:v>
                </c:pt>
                <c:pt idx="187">
                  <c:v>0.11367853799200628</c:v>
                </c:pt>
                <c:pt idx="188">
                  <c:v>0.11415147830843023</c:v>
                </c:pt>
                <c:pt idx="189">
                  <c:v>0.114626742080546</c:v>
                </c:pt>
                <c:pt idx="190">
                  <c:v>0.11510430052782569</c:v>
                </c:pt>
                <c:pt idx="191">
                  <c:v>0.11558412520757345</c:v>
                </c:pt>
                <c:pt idx="192">
                  <c:v>0.11606618801356412</c:v>
                </c:pt>
                <c:pt idx="193">
                  <c:v>0.11655046117454884</c:v>
                </c:pt>
                <c:pt idx="194">
                  <c:v>0.1170369172526345</c:v>
                </c:pt>
                <c:pt idx="195">
                  <c:v>0.11752552914154446</c:v>
                </c:pt>
                <c:pt idx="196">
                  <c:v>0.11801627006476699</c:v>
                </c:pt>
                <c:pt idx="197">
                  <c:v>0.11850911357359829</c:v>
                </c:pt>
                <c:pt idx="198">
                  <c:v>0.11900403354508626</c:v>
                </c:pt>
                <c:pt idx="199">
                  <c:v>0.11950100417988134</c:v>
                </c:pt>
                <c:pt idx="200">
                  <c:v>0.12000000000000006</c:v>
                </c:pt>
              </c:numCache>
            </c:numRef>
          </c:xVal>
          <c:yVal>
            <c:numRef>
              <c:f>Sem_Short_Sell!$F$12:$F$212</c:f>
              <c:numCache>
                <c:formatCode>0.0%</c:formatCode>
                <c:ptCount val="201"/>
                <c:pt idx="0">
                  <c:v>0.06</c:v>
                </c:pt>
                <c:pt idx="1">
                  <c:v>6.0149999999999995E-2</c:v>
                </c:pt>
                <c:pt idx="2">
                  <c:v>6.0299999999999992E-2</c:v>
                </c:pt>
                <c:pt idx="3">
                  <c:v>6.0449999999999997E-2</c:v>
                </c:pt>
                <c:pt idx="4">
                  <c:v>6.0600000000000001E-2</c:v>
                </c:pt>
                <c:pt idx="5">
                  <c:v>6.0749999999999998E-2</c:v>
                </c:pt>
                <c:pt idx="6">
                  <c:v>6.0899999999999996E-2</c:v>
                </c:pt>
                <c:pt idx="7">
                  <c:v>6.1049999999999993E-2</c:v>
                </c:pt>
                <c:pt idx="8">
                  <c:v>6.1199999999999997E-2</c:v>
                </c:pt>
                <c:pt idx="9">
                  <c:v>6.1349999999999995E-2</c:v>
                </c:pt>
                <c:pt idx="10">
                  <c:v>6.1499999999999992E-2</c:v>
                </c:pt>
                <c:pt idx="11">
                  <c:v>6.1649999999999996E-2</c:v>
                </c:pt>
                <c:pt idx="12">
                  <c:v>6.1799999999999994E-2</c:v>
                </c:pt>
                <c:pt idx="13">
                  <c:v>6.1949999999999998E-2</c:v>
                </c:pt>
                <c:pt idx="14">
                  <c:v>6.2099999999999995E-2</c:v>
                </c:pt>
                <c:pt idx="15">
                  <c:v>6.2249999999999993E-2</c:v>
                </c:pt>
                <c:pt idx="16">
                  <c:v>6.239999999999999E-2</c:v>
                </c:pt>
                <c:pt idx="17">
                  <c:v>6.2549999999999994E-2</c:v>
                </c:pt>
                <c:pt idx="18">
                  <c:v>6.2699999999999992E-2</c:v>
                </c:pt>
                <c:pt idx="19">
                  <c:v>6.2849999999999989E-2</c:v>
                </c:pt>
                <c:pt idx="20">
                  <c:v>6.3E-2</c:v>
                </c:pt>
                <c:pt idx="21">
                  <c:v>6.3149999999999998E-2</c:v>
                </c:pt>
                <c:pt idx="22">
                  <c:v>6.3299999999999995E-2</c:v>
                </c:pt>
                <c:pt idx="23">
                  <c:v>6.3449999999999993E-2</c:v>
                </c:pt>
                <c:pt idx="24">
                  <c:v>6.359999999999999E-2</c:v>
                </c:pt>
                <c:pt idx="25">
                  <c:v>6.3749999999999987E-2</c:v>
                </c:pt>
                <c:pt idx="26">
                  <c:v>6.3899999999999985E-2</c:v>
                </c:pt>
                <c:pt idx="27">
                  <c:v>6.4049999999999996E-2</c:v>
                </c:pt>
                <c:pt idx="28">
                  <c:v>6.4199999999999993E-2</c:v>
                </c:pt>
                <c:pt idx="29">
                  <c:v>6.4349999999999991E-2</c:v>
                </c:pt>
                <c:pt idx="30">
                  <c:v>6.4499999999999988E-2</c:v>
                </c:pt>
                <c:pt idx="31">
                  <c:v>6.4649999999999985E-2</c:v>
                </c:pt>
                <c:pt idx="32">
                  <c:v>6.4799999999999996E-2</c:v>
                </c:pt>
                <c:pt idx="33">
                  <c:v>6.4949999999999994E-2</c:v>
                </c:pt>
                <c:pt idx="34">
                  <c:v>6.5099999999999991E-2</c:v>
                </c:pt>
                <c:pt idx="35">
                  <c:v>6.5250000000000002E-2</c:v>
                </c:pt>
                <c:pt idx="36">
                  <c:v>6.5399999999999986E-2</c:v>
                </c:pt>
                <c:pt idx="37">
                  <c:v>6.5549999999999997E-2</c:v>
                </c:pt>
                <c:pt idx="38">
                  <c:v>6.5699999999999995E-2</c:v>
                </c:pt>
                <c:pt idx="39">
                  <c:v>6.5849999999999992E-2</c:v>
                </c:pt>
                <c:pt idx="40">
                  <c:v>6.6000000000000003E-2</c:v>
                </c:pt>
                <c:pt idx="41">
                  <c:v>6.6149999999999987E-2</c:v>
                </c:pt>
                <c:pt idx="42">
                  <c:v>6.6299999999999998E-2</c:v>
                </c:pt>
                <c:pt idx="43">
                  <c:v>6.6449999999999995E-2</c:v>
                </c:pt>
                <c:pt idx="44">
                  <c:v>6.6599999999999993E-2</c:v>
                </c:pt>
                <c:pt idx="45">
                  <c:v>6.6750000000000004E-2</c:v>
                </c:pt>
                <c:pt idx="46">
                  <c:v>6.6899999999999987E-2</c:v>
                </c:pt>
                <c:pt idx="47">
                  <c:v>6.7049999999999998E-2</c:v>
                </c:pt>
                <c:pt idx="48">
                  <c:v>6.7199999999999996E-2</c:v>
                </c:pt>
                <c:pt idx="49">
                  <c:v>6.7349999999999993E-2</c:v>
                </c:pt>
                <c:pt idx="50">
                  <c:v>6.7499999999999991E-2</c:v>
                </c:pt>
                <c:pt idx="51">
                  <c:v>6.7649999999999988E-2</c:v>
                </c:pt>
                <c:pt idx="52">
                  <c:v>6.7799999999999999E-2</c:v>
                </c:pt>
                <c:pt idx="53">
                  <c:v>6.7949999999999997E-2</c:v>
                </c:pt>
                <c:pt idx="54">
                  <c:v>6.8099999999999994E-2</c:v>
                </c:pt>
                <c:pt idx="55">
                  <c:v>6.8249999999999991E-2</c:v>
                </c:pt>
                <c:pt idx="56">
                  <c:v>6.8399999999999989E-2</c:v>
                </c:pt>
                <c:pt idx="57">
                  <c:v>6.855E-2</c:v>
                </c:pt>
                <c:pt idx="58">
                  <c:v>6.8699999999999997E-2</c:v>
                </c:pt>
                <c:pt idx="59">
                  <c:v>6.8849999999999995E-2</c:v>
                </c:pt>
                <c:pt idx="60">
                  <c:v>6.8999999999999992E-2</c:v>
                </c:pt>
                <c:pt idx="61">
                  <c:v>6.9149999999999989E-2</c:v>
                </c:pt>
                <c:pt idx="62">
                  <c:v>6.93E-2</c:v>
                </c:pt>
                <c:pt idx="63">
                  <c:v>6.9449999999999998E-2</c:v>
                </c:pt>
                <c:pt idx="64">
                  <c:v>6.9599999999999995E-2</c:v>
                </c:pt>
                <c:pt idx="65">
                  <c:v>6.9749999999999993E-2</c:v>
                </c:pt>
                <c:pt idx="66">
                  <c:v>6.989999999999999E-2</c:v>
                </c:pt>
                <c:pt idx="67">
                  <c:v>7.0050000000000001E-2</c:v>
                </c:pt>
                <c:pt idx="68">
                  <c:v>7.0199999999999999E-2</c:v>
                </c:pt>
                <c:pt idx="69">
                  <c:v>7.0349999999999996E-2</c:v>
                </c:pt>
                <c:pt idx="70">
                  <c:v>7.0499999999999993E-2</c:v>
                </c:pt>
                <c:pt idx="71">
                  <c:v>7.0649999999999991E-2</c:v>
                </c:pt>
                <c:pt idx="72">
                  <c:v>7.0800000000000002E-2</c:v>
                </c:pt>
                <c:pt idx="73">
                  <c:v>7.0949999999999999E-2</c:v>
                </c:pt>
                <c:pt idx="74">
                  <c:v>7.1099999999999997E-2</c:v>
                </c:pt>
                <c:pt idx="75">
                  <c:v>7.1249999999999994E-2</c:v>
                </c:pt>
                <c:pt idx="76">
                  <c:v>7.1399999999999991E-2</c:v>
                </c:pt>
                <c:pt idx="77">
                  <c:v>7.1550000000000002E-2</c:v>
                </c:pt>
                <c:pt idx="78">
                  <c:v>7.17E-2</c:v>
                </c:pt>
                <c:pt idx="79">
                  <c:v>7.1849999999999997E-2</c:v>
                </c:pt>
                <c:pt idx="80">
                  <c:v>7.1999999999999995E-2</c:v>
                </c:pt>
                <c:pt idx="81">
                  <c:v>7.2149999999999992E-2</c:v>
                </c:pt>
                <c:pt idx="82">
                  <c:v>7.2300000000000003E-2</c:v>
                </c:pt>
                <c:pt idx="83">
                  <c:v>7.2450000000000001E-2</c:v>
                </c:pt>
                <c:pt idx="84">
                  <c:v>7.2599999999999998E-2</c:v>
                </c:pt>
                <c:pt idx="85">
                  <c:v>7.2749999999999995E-2</c:v>
                </c:pt>
                <c:pt idx="86">
                  <c:v>7.2899999999999993E-2</c:v>
                </c:pt>
                <c:pt idx="87">
                  <c:v>7.3050000000000004E-2</c:v>
                </c:pt>
                <c:pt idx="88">
                  <c:v>7.3200000000000001E-2</c:v>
                </c:pt>
                <c:pt idx="89">
                  <c:v>7.3349999999999999E-2</c:v>
                </c:pt>
                <c:pt idx="90">
                  <c:v>7.3499999999999996E-2</c:v>
                </c:pt>
                <c:pt idx="91">
                  <c:v>7.3649999999999993E-2</c:v>
                </c:pt>
                <c:pt idx="92">
                  <c:v>7.3800000000000004E-2</c:v>
                </c:pt>
                <c:pt idx="93">
                  <c:v>7.3950000000000002E-2</c:v>
                </c:pt>
                <c:pt idx="94">
                  <c:v>7.4099999999999999E-2</c:v>
                </c:pt>
                <c:pt idx="95">
                  <c:v>7.4249999999999997E-2</c:v>
                </c:pt>
                <c:pt idx="96">
                  <c:v>7.4400000000000008E-2</c:v>
                </c:pt>
                <c:pt idx="97">
                  <c:v>7.4550000000000005E-2</c:v>
                </c:pt>
                <c:pt idx="98">
                  <c:v>7.4700000000000003E-2</c:v>
                </c:pt>
                <c:pt idx="99">
                  <c:v>7.485E-2</c:v>
                </c:pt>
                <c:pt idx="100">
                  <c:v>7.4999999999999997E-2</c:v>
                </c:pt>
                <c:pt idx="101">
                  <c:v>7.5150000000000008E-2</c:v>
                </c:pt>
                <c:pt idx="102">
                  <c:v>7.5300000000000006E-2</c:v>
                </c:pt>
                <c:pt idx="103">
                  <c:v>7.5450000000000003E-2</c:v>
                </c:pt>
                <c:pt idx="104">
                  <c:v>7.5600000000000001E-2</c:v>
                </c:pt>
                <c:pt idx="105">
                  <c:v>7.5749999999999998E-2</c:v>
                </c:pt>
                <c:pt idx="106">
                  <c:v>7.5900000000000009E-2</c:v>
                </c:pt>
                <c:pt idx="107">
                  <c:v>7.6050000000000006E-2</c:v>
                </c:pt>
                <c:pt idx="108">
                  <c:v>7.6200000000000004E-2</c:v>
                </c:pt>
                <c:pt idx="109">
                  <c:v>7.6350000000000001E-2</c:v>
                </c:pt>
                <c:pt idx="110">
                  <c:v>7.6499999999999999E-2</c:v>
                </c:pt>
                <c:pt idx="111">
                  <c:v>7.6649999999999996E-2</c:v>
                </c:pt>
                <c:pt idx="112">
                  <c:v>7.6800000000000007E-2</c:v>
                </c:pt>
                <c:pt idx="113">
                  <c:v>7.6950000000000005E-2</c:v>
                </c:pt>
                <c:pt idx="114">
                  <c:v>7.7100000000000002E-2</c:v>
                </c:pt>
                <c:pt idx="115">
                  <c:v>7.7249999999999999E-2</c:v>
                </c:pt>
                <c:pt idx="116">
                  <c:v>7.7399999999999997E-2</c:v>
                </c:pt>
                <c:pt idx="117">
                  <c:v>7.7550000000000008E-2</c:v>
                </c:pt>
                <c:pt idx="118">
                  <c:v>7.7700000000000005E-2</c:v>
                </c:pt>
                <c:pt idx="119">
                  <c:v>7.7850000000000003E-2</c:v>
                </c:pt>
                <c:pt idx="120">
                  <c:v>7.8E-2</c:v>
                </c:pt>
                <c:pt idx="121">
                  <c:v>7.8149999999999997E-2</c:v>
                </c:pt>
                <c:pt idx="122">
                  <c:v>7.8300000000000008E-2</c:v>
                </c:pt>
                <c:pt idx="123">
                  <c:v>7.8450000000000006E-2</c:v>
                </c:pt>
                <c:pt idx="124">
                  <c:v>7.8600000000000003E-2</c:v>
                </c:pt>
                <c:pt idx="125">
                  <c:v>7.8750000000000001E-2</c:v>
                </c:pt>
                <c:pt idx="126">
                  <c:v>7.8899999999999998E-2</c:v>
                </c:pt>
                <c:pt idx="127">
                  <c:v>7.9050000000000009E-2</c:v>
                </c:pt>
                <c:pt idx="128">
                  <c:v>7.9200000000000007E-2</c:v>
                </c:pt>
                <c:pt idx="129">
                  <c:v>7.9350000000000004E-2</c:v>
                </c:pt>
                <c:pt idx="130">
                  <c:v>7.9500000000000001E-2</c:v>
                </c:pt>
                <c:pt idx="131">
                  <c:v>7.9649999999999999E-2</c:v>
                </c:pt>
                <c:pt idx="132">
                  <c:v>7.980000000000001E-2</c:v>
                </c:pt>
                <c:pt idx="133">
                  <c:v>7.9950000000000007E-2</c:v>
                </c:pt>
                <c:pt idx="134">
                  <c:v>8.0100000000000005E-2</c:v>
                </c:pt>
                <c:pt idx="135">
                  <c:v>8.0250000000000002E-2</c:v>
                </c:pt>
                <c:pt idx="136">
                  <c:v>8.0399999999999999E-2</c:v>
                </c:pt>
                <c:pt idx="137">
                  <c:v>8.055000000000001E-2</c:v>
                </c:pt>
                <c:pt idx="138">
                  <c:v>8.0700000000000008E-2</c:v>
                </c:pt>
                <c:pt idx="139">
                  <c:v>8.0850000000000005E-2</c:v>
                </c:pt>
                <c:pt idx="140">
                  <c:v>8.1000000000000003E-2</c:v>
                </c:pt>
                <c:pt idx="141">
                  <c:v>8.1150000000000014E-2</c:v>
                </c:pt>
                <c:pt idx="142">
                  <c:v>8.1299999999999997E-2</c:v>
                </c:pt>
                <c:pt idx="143">
                  <c:v>8.1450000000000009E-2</c:v>
                </c:pt>
                <c:pt idx="144">
                  <c:v>8.1600000000000006E-2</c:v>
                </c:pt>
                <c:pt idx="145">
                  <c:v>8.1750000000000003E-2</c:v>
                </c:pt>
                <c:pt idx="146">
                  <c:v>8.1900000000000014E-2</c:v>
                </c:pt>
                <c:pt idx="147">
                  <c:v>8.2049999999999998E-2</c:v>
                </c:pt>
                <c:pt idx="148">
                  <c:v>8.2200000000000009E-2</c:v>
                </c:pt>
                <c:pt idx="149">
                  <c:v>8.2350000000000007E-2</c:v>
                </c:pt>
                <c:pt idx="150">
                  <c:v>8.2500000000000004E-2</c:v>
                </c:pt>
                <c:pt idx="151">
                  <c:v>8.2650000000000015E-2</c:v>
                </c:pt>
                <c:pt idx="152">
                  <c:v>8.2799999999999999E-2</c:v>
                </c:pt>
                <c:pt idx="153">
                  <c:v>8.295000000000001E-2</c:v>
                </c:pt>
                <c:pt idx="154">
                  <c:v>8.3100000000000007E-2</c:v>
                </c:pt>
                <c:pt idx="155">
                  <c:v>8.3250000000000005E-2</c:v>
                </c:pt>
                <c:pt idx="156">
                  <c:v>8.3400000000000016E-2</c:v>
                </c:pt>
                <c:pt idx="157">
                  <c:v>8.3549999999999999E-2</c:v>
                </c:pt>
                <c:pt idx="158">
                  <c:v>8.3700000000000011E-2</c:v>
                </c:pt>
                <c:pt idx="159">
                  <c:v>8.3850000000000008E-2</c:v>
                </c:pt>
                <c:pt idx="160">
                  <c:v>8.4000000000000005E-2</c:v>
                </c:pt>
                <c:pt idx="161">
                  <c:v>8.4150000000000016E-2</c:v>
                </c:pt>
                <c:pt idx="162">
                  <c:v>8.43E-2</c:v>
                </c:pt>
                <c:pt idx="163">
                  <c:v>8.4450000000000011E-2</c:v>
                </c:pt>
                <c:pt idx="164">
                  <c:v>8.4600000000000009E-2</c:v>
                </c:pt>
                <c:pt idx="165">
                  <c:v>8.4750000000000006E-2</c:v>
                </c:pt>
                <c:pt idx="166">
                  <c:v>8.4900000000000017E-2</c:v>
                </c:pt>
                <c:pt idx="167">
                  <c:v>8.5050000000000001E-2</c:v>
                </c:pt>
                <c:pt idx="168">
                  <c:v>8.5200000000000012E-2</c:v>
                </c:pt>
                <c:pt idx="169">
                  <c:v>8.5350000000000009E-2</c:v>
                </c:pt>
                <c:pt idx="170">
                  <c:v>8.5500000000000007E-2</c:v>
                </c:pt>
                <c:pt idx="171">
                  <c:v>8.5650000000000018E-2</c:v>
                </c:pt>
                <c:pt idx="172">
                  <c:v>8.5800000000000001E-2</c:v>
                </c:pt>
                <c:pt idx="173">
                  <c:v>8.5950000000000013E-2</c:v>
                </c:pt>
                <c:pt idx="174">
                  <c:v>8.610000000000001E-2</c:v>
                </c:pt>
                <c:pt idx="175">
                  <c:v>8.6250000000000007E-2</c:v>
                </c:pt>
                <c:pt idx="176">
                  <c:v>8.6400000000000018E-2</c:v>
                </c:pt>
                <c:pt idx="177">
                  <c:v>8.6550000000000002E-2</c:v>
                </c:pt>
                <c:pt idx="178">
                  <c:v>8.6700000000000013E-2</c:v>
                </c:pt>
                <c:pt idx="179">
                  <c:v>8.6850000000000011E-2</c:v>
                </c:pt>
                <c:pt idx="180">
                  <c:v>8.7000000000000008E-2</c:v>
                </c:pt>
                <c:pt idx="181">
                  <c:v>8.7150000000000019E-2</c:v>
                </c:pt>
                <c:pt idx="182">
                  <c:v>8.7300000000000003E-2</c:v>
                </c:pt>
                <c:pt idx="183">
                  <c:v>8.7450000000000014E-2</c:v>
                </c:pt>
                <c:pt idx="184">
                  <c:v>8.7600000000000011E-2</c:v>
                </c:pt>
                <c:pt idx="185">
                  <c:v>8.7750000000000009E-2</c:v>
                </c:pt>
                <c:pt idx="186">
                  <c:v>8.790000000000002E-2</c:v>
                </c:pt>
                <c:pt idx="187">
                  <c:v>8.8050000000000003E-2</c:v>
                </c:pt>
                <c:pt idx="188">
                  <c:v>8.8200000000000014E-2</c:v>
                </c:pt>
                <c:pt idx="189">
                  <c:v>8.8350000000000012E-2</c:v>
                </c:pt>
                <c:pt idx="190">
                  <c:v>8.8500000000000009E-2</c:v>
                </c:pt>
                <c:pt idx="191">
                  <c:v>8.865000000000002E-2</c:v>
                </c:pt>
                <c:pt idx="192">
                  <c:v>8.8800000000000018E-2</c:v>
                </c:pt>
                <c:pt idx="193">
                  <c:v>8.8950000000000015E-2</c:v>
                </c:pt>
                <c:pt idx="194">
                  <c:v>8.9100000000000013E-2</c:v>
                </c:pt>
                <c:pt idx="195">
                  <c:v>8.925000000000001E-2</c:v>
                </c:pt>
                <c:pt idx="196">
                  <c:v>8.9400000000000021E-2</c:v>
                </c:pt>
                <c:pt idx="197">
                  <c:v>8.9550000000000018E-2</c:v>
                </c:pt>
                <c:pt idx="198">
                  <c:v>8.9700000000000016E-2</c:v>
                </c:pt>
                <c:pt idx="199">
                  <c:v>8.9850000000000013E-2</c:v>
                </c:pt>
                <c:pt idx="200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AFF-43F0-8961-92E6C03014B7}"/>
            </c:ext>
          </c:extLst>
        </c:ser>
        <c:ser>
          <c:idx val="1"/>
          <c:order val="7"/>
          <c:spPr>
            <a:ln w="63500" cap="flat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Sem_Short_Sell!$G$12:$G$212</c:f>
              <c:numCache>
                <c:formatCode>0.0%</c:formatCode>
                <c:ptCount val="2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8.3983093536735123E-2</c:v>
                </c:pt>
                <c:pt idx="79">
                  <c:v>8.3988630182900342E-2</c:v>
                </c:pt>
                <c:pt idx="80">
                  <c:v>8.4000000000000005E-2</c:v>
                </c:pt>
                <c:pt idx="81">
                  <c:v>8.401720061987307E-2</c:v>
                </c:pt>
                <c:pt idx="82">
                  <c:v>8.4040228462326297E-2</c:v>
                </c:pt>
                <c:pt idx="83">
                  <c:v>8.4069078738856176E-2</c:v>
                </c:pt>
                <c:pt idx="84">
                  <c:v>8.4103745457619186E-2</c:v>
                </c:pt>
                <c:pt idx="85">
                  <c:v>8.4144221429638288E-2</c:v>
                </c:pt>
                <c:pt idx="86">
                  <c:v>8.419049827623068E-2</c:v>
                </c:pt>
                <c:pt idx="87">
                  <c:v>8.4242566437638874E-2</c:v>
                </c:pt>
                <c:pt idx="88">
                  <c:v>8.4300415182844743E-2</c:v>
                </c:pt>
                <c:pt idx="89">
                  <c:v>8.4364032620542734E-2</c:v>
                </c:pt>
                <c:pt idx="90">
                  <c:v>8.4433405711246773E-2</c:v>
                </c:pt>
                <c:pt idx="91">
                  <c:v>8.4508520280501889E-2</c:v>
                </c:pt>
                <c:pt idx="92">
                  <c:v>8.4589361033170121E-2</c:v>
                </c:pt>
                <c:pt idx="93">
                  <c:v>8.467591156875727E-2</c:v>
                </c:pt>
                <c:pt idx="94">
                  <c:v>8.4768154397745391E-2</c:v>
                </c:pt>
                <c:pt idx="95">
                  <c:v>8.4866070958893813E-2</c:v>
                </c:pt>
                <c:pt idx="96">
                  <c:v>8.4969641637469562E-2</c:v>
                </c:pt>
                <c:pt idx="97">
                  <c:v>8.5078845784366391E-2</c:v>
                </c:pt>
                <c:pt idx="98">
                  <c:v>8.5193661736070486E-2</c:v>
                </c:pt>
                <c:pt idx="99">
                  <c:v>8.5314066835428734E-2</c:v>
                </c:pt>
                <c:pt idx="100">
                  <c:v>8.5440037453175313E-2</c:v>
                </c:pt>
                <c:pt idx="101">
                  <c:v>8.5571549010170431E-2</c:v>
                </c:pt>
                <c:pt idx="102">
                  <c:v>8.5708576000304668E-2</c:v>
                </c:pt>
                <c:pt idx="103">
                  <c:v>8.5851092014021593E-2</c:v>
                </c:pt>
                <c:pt idx="104">
                  <c:v>8.5999069762410812E-2</c:v>
                </c:pt>
                <c:pt idx="105">
                  <c:v>8.6152481101823192E-2</c:v>
                </c:pt>
                <c:pt idx="106">
                  <c:v>8.6311297058959791E-2</c:v>
                </c:pt>
                <c:pt idx="107">
                  <c:v>8.6475487856386229E-2</c:v>
                </c:pt>
                <c:pt idx="108">
                  <c:v>8.6645022938423882E-2</c:v>
                </c:pt>
                <c:pt idx="109">
                  <c:v>8.6819870997370194E-2</c:v>
                </c:pt>
                <c:pt idx="110">
                  <c:v>8.7000000000000022E-2</c:v>
                </c:pt>
                <c:pt idx="111">
                  <c:v>8.7185377214301266E-2</c:v>
                </c:pt>
                <c:pt idx="112">
                  <c:v>8.737596923639819E-2</c:v>
                </c:pt>
                <c:pt idx="113">
                  <c:v>8.7571742017616624E-2</c:v>
                </c:pt>
                <c:pt idx="114">
                  <c:v>8.7772660891646689E-2</c:v>
                </c:pt>
                <c:pt idx="115">
                  <c:v>8.7978690601758794E-2</c:v>
                </c:pt>
                <c:pt idx="116">
                  <c:v>8.818979532803102E-2</c:v>
                </c:pt>
                <c:pt idx="117">
                  <c:v>8.8405938714545662E-2</c:v>
                </c:pt>
                <c:pt idx="118">
                  <c:v>8.8627083896515524E-2</c:v>
                </c:pt>
                <c:pt idx="119">
                  <c:v>8.8853193527300992E-2</c:v>
                </c:pt>
                <c:pt idx="120">
                  <c:v>8.9084229805280357E-2</c:v>
                </c:pt>
                <c:pt idx="121">
                  <c:v>8.9320154500538138E-2</c:v>
                </c:pt>
                <c:pt idx="122">
                  <c:v>8.956092898133651E-2</c:v>
                </c:pt>
                <c:pt idx="123">
                  <c:v>8.9806514240337837E-2</c:v>
                </c:pt>
                <c:pt idx="124">
                  <c:v>9.0056870920546664E-2</c:v>
                </c:pt>
                <c:pt idx="125">
                  <c:v>9.0311959340942244E-2</c:v>
                </c:pt>
                <c:pt idx="126">
                  <c:v>9.0571739521773595E-2</c:v>
                </c:pt>
                <c:pt idx="127">
                  <c:v>9.0836171209491237E-2</c:v>
                </c:pt>
                <c:pt idx="128">
                  <c:v>9.1105213901291102E-2</c:v>
                </c:pt>
                <c:pt idx="129">
                  <c:v>9.1378826869248017E-2</c:v>
                </c:pt>
                <c:pt idx="130">
                  <c:v>9.1656969184017889E-2</c:v>
                </c:pt>
                <c:pt idx="131">
                  <c:v>9.1939599738088934E-2</c:v>
                </c:pt>
                <c:pt idx="132">
                  <c:v>9.2226677268564788E-2</c:v>
                </c:pt>
                <c:pt idx="133">
                  <c:v>9.2518160379462824E-2</c:v>
                </c:pt>
                <c:pt idx="134">
                  <c:v>9.2814007563513837E-2</c:v>
                </c:pt>
                <c:pt idx="135">
                  <c:v>9.3114177223449723E-2</c:v>
                </c:pt>
                <c:pt idx="136">
                  <c:v>9.3418627692768014E-2</c:v>
                </c:pt>
                <c:pt idx="137">
                  <c:v>9.3727317255963352E-2</c:v>
                </c:pt>
                <c:pt idx="138">
                  <c:v>9.4040204168217345E-2</c:v>
                </c:pt>
                <c:pt idx="139">
                  <c:v>9.4357246674540082E-2</c:v>
                </c:pt>
                <c:pt idx="140">
                  <c:v>9.4678403028357033E-2</c:v>
                </c:pt>
                <c:pt idx="141">
                  <c:v>9.5003631509537598E-2</c:v>
                </c:pt>
                <c:pt idx="142">
                  <c:v>9.5332890441861703E-2</c:v>
                </c:pt>
                <c:pt idx="143">
                  <c:v>9.5666138209922563E-2</c:v>
                </c:pt>
                <c:pt idx="144">
                  <c:v>9.6003333275464994E-2</c:v>
                </c:pt>
                <c:pt idx="145">
                  <c:v>9.6344434193159315E-2</c:v>
                </c:pt>
                <c:pt idx="146">
                  <c:v>9.6689399625812161E-2</c:v>
                </c:pt>
                <c:pt idx="147">
                  <c:v>9.7038188359016717E-2</c:v>
                </c:pt>
                <c:pt idx="148">
                  <c:v>9.7390759315245143E-2</c:v>
                </c:pt>
                <c:pt idx="149">
                  <c:v>9.7747071567387669E-2</c:v>
                </c:pt>
                <c:pt idx="150">
                  <c:v>9.8107084351742951E-2</c:v>
                </c:pt>
                <c:pt idx="151">
                  <c:v>9.8470757080465307E-2</c:v>
                </c:pt>
                <c:pt idx="152">
                  <c:v>9.8838049353475232E-2</c:v>
                </c:pt>
                <c:pt idx="153">
                  <c:v>9.9208920969840242E-2</c:v>
                </c:pt>
                <c:pt idx="154">
                  <c:v>9.9583331938633224E-2</c:v>
                </c:pt>
                <c:pt idx="155">
                  <c:v>9.9961242489276847E-2</c:v>
                </c:pt>
                <c:pt idx="156">
                  <c:v>0.10034261308138237</c:v>
                </c:pt>
                <c:pt idx="157">
                  <c:v>0.10072740441409184</c:v>
                </c:pt>
                <c:pt idx="158">
                  <c:v>0.10111557743493338</c:v>
                </c:pt>
                <c:pt idx="159">
                  <c:v>0.10150709334819912</c:v>
                </c:pt>
                <c:pt idx="160">
                  <c:v>0.10190191362285603</c:v>
                </c:pt>
                <c:pt idx="161">
                  <c:v>0.10230000000000003</c:v>
                </c:pt>
                <c:pt idx="162">
                  <c:v>0.10270131449986417</c:v>
                </c:pt>
                <c:pt idx="163">
                  <c:v>0.10310581942839118</c:v>
                </c:pt>
                <c:pt idx="164">
                  <c:v>0.10351347738338235</c:v>
                </c:pt>
                <c:pt idx="165">
                  <c:v>0.10392425126023286</c:v>
                </c:pt>
                <c:pt idx="166">
                  <c:v>0.10433810425726552</c:v>
                </c:pt>
                <c:pt idx="167">
                  <c:v>0.10475499988067401</c:v>
                </c:pt>
                <c:pt idx="168">
                  <c:v>0.10517490194908674</c:v>
                </c:pt>
                <c:pt idx="169">
                  <c:v>0.10559777459776323</c:v>
                </c:pt>
                <c:pt idx="170">
                  <c:v>0.1060235822824338</c:v>
                </c:pt>
                <c:pt idx="171">
                  <c:v>0.10645228978279431</c:v>
                </c:pt>
                <c:pt idx="172">
                  <c:v>0.10688386220566701</c:v>
                </c:pt>
                <c:pt idx="173">
                  <c:v>0.1073182649878389</c:v>
                </c:pt>
                <c:pt idx="174">
                  <c:v>0.1077554638985885</c:v>
                </c:pt>
                <c:pt idx="175">
                  <c:v>0.10819542504191207</c:v>
                </c:pt>
                <c:pt idx="176">
                  <c:v>0.1086381148584603</c:v>
                </c:pt>
                <c:pt idx="177">
                  <c:v>0.1090835001271962</c:v>
                </c:pt>
                <c:pt idx="178">
                  <c:v>0.10953154796678449</c:v>
                </c:pt>
                <c:pt idx="179">
                  <c:v>0.10998222583672332</c:v>
                </c:pt>
                <c:pt idx="180">
                  <c:v>0.11043550153822825</c:v>
                </c:pt>
                <c:pt idx="181">
                  <c:v>0.11089134321487865</c:v>
                </c:pt>
                <c:pt idx="182">
                  <c:v>0.1113497193530366</c:v>
                </c:pt>
                <c:pt idx="183">
                  <c:v>0.11181059878204756</c:v>
                </c:pt>
                <c:pt idx="184">
                  <c:v>0.1122739506742326</c:v>
                </c:pt>
                <c:pt idx="185">
                  <c:v>0.11273974454468137</c:v>
                </c:pt>
                <c:pt idx="186">
                  <c:v>0.1132079502508548</c:v>
                </c:pt>
                <c:pt idx="187">
                  <c:v>0.11367853799200628</c:v>
                </c:pt>
                <c:pt idx="188">
                  <c:v>0.11415147830843023</c:v>
                </c:pt>
                <c:pt idx="189">
                  <c:v>0.114626742080546</c:v>
                </c:pt>
                <c:pt idx="190">
                  <c:v>0.11510430052782569</c:v>
                </c:pt>
                <c:pt idx="191">
                  <c:v>0.11558412520757345</c:v>
                </c:pt>
                <c:pt idx="192">
                  <c:v>0.11606618801356412</c:v>
                </c:pt>
                <c:pt idx="193">
                  <c:v>0.11655046117454884</c:v>
                </c:pt>
                <c:pt idx="194">
                  <c:v>0.1170369172526345</c:v>
                </c:pt>
                <c:pt idx="195">
                  <c:v>0.11752552914154446</c:v>
                </c:pt>
                <c:pt idx="196">
                  <c:v>0.11801627006476699</c:v>
                </c:pt>
                <c:pt idx="197">
                  <c:v>0.11850911357359829</c:v>
                </c:pt>
                <c:pt idx="198">
                  <c:v>0.11900403354508626</c:v>
                </c:pt>
                <c:pt idx="199">
                  <c:v>0.11950100417988134</c:v>
                </c:pt>
                <c:pt idx="200">
                  <c:v>0.12000000000000006</c:v>
                </c:pt>
              </c:numCache>
            </c:numRef>
          </c:xVal>
          <c:yVal>
            <c:numRef>
              <c:f>Sem_Short_Sell!$H$12:$H$212</c:f>
              <c:numCache>
                <c:formatCode>0.0%</c:formatCode>
                <c:ptCount val="2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7.17E-2</c:v>
                </c:pt>
                <c:pt idx="79">
                  <c:v>7.1849999999999997E-2</c:v>
                </c:pt>
                <c:pt idx="80">
                  <c:v>7.1999999999999995E-2</c:v>
                </c:pt>
                <c:pt idx="81">
                  <c:v>7.2149999999999992E-2</c:v>
                </c:pt>
                <c:pt idx="82">
                  <c:v>7.2300000000000003E-2</c:v>
                </c:pt>
                <c:pt idx="83">
                  <c:v>7.2450000000000001E-2</c:v>
                </c:pt>
                <c:pt idx="84">
                  <c:v>7.2599999999999998E-2</c:v>
                </c:pt>
                <c:pt idx="85">
                  <c:v>7.2749999999999995E-2</c:v>
                </c:pt>
                <c:pt idx="86">
                  <c:v>7.2899999999999993E-2</c:v>
                </c:pt>
                <c:pt idx="87">
                  <c:v>7.3050000000000004E-2</c:v>
                </c:pt>
                <c:pt idx="88">
                  <c:v>7.3200000000000001E-2</c:v>
                </c:pt>
                <c:pt idx="89">
                  <c:v>7.3349999999999999E-2</c:v>
                </c:pt>
                <c:pt idx="90">
                  <c:v>7.3499999999999996E-2</c:v>
                </c:pt>
                <c:pt idx="91">
                  <c:v>7.3649999999999993E-2</c:v>
                </c:pt>
                <c:pt idx="92">
                  <c:v>7.3800000000000004E-2</c:v>
                </c:pt>
                <c:pt idx="93">
                  <c:v>7.3950000000000002E-2</c:v>
                </c:pt>
                <c:pt idx="94">
                  <c:v>7.4099999999999999E-2</c:v>
                </c:pt>
                <c:pt idx="95">
                  <c:v>7.4249999999999997E-2</c:v>
                </c:pt>
                <c:pt idx="96">
                  <c:v>7.4400000000000008E-2</c:v>
                </c:pt>
                <c:pt idx="97">
                  <c:v>7.4550000000000005E-2</c:v>
                </c:pt>
                <c:pt idx="98">
                  <c:v>7.4700000000000003E-2</c:v>
                </c:pt>
                <c:pt idx="99">
                  <c:v>7.485E-2</c:v>
                </c:pt>
                <c:pt idx="100">
                  <c:v>7.4999999999999997E-2</c:v>
                </c:pt>
                <c:pt idx="101">
                  <c:v>7.5150000000000008E-2</c:v>
                </c:pt>
                <c:pt idx="102">
                  <c:v>7.5300000000000006E-2</c:v>
                </c:pt>
                <c:pt idx="103">
                  <c:v>7.5450000000000003E-2</c:v>
                </c:pt>
                <c:pt idx="104">
                  <c:v>7.5600000000000001E-2</c:v>
                </c:pt>
                <c:pt idx="105">
                  <c:v>7.5749999999999998E-2</c:v>
                </c:pt>
                <c:pt idx="106">
                  <c:v>7.5900000000000009E-2</c:v>
                </c:pt>
                <c:pt idx="107">
                  <c:v>7.6050000000000006E-2</c:v>
                </c:pt>
                <c:pt idx="108">
                  <c:v>7.6200000000000004E-2</c:v>
                </c:pt>
                <c:pt idx="109">
                  <c:v>7.6350000000000001E-2</c:v>
                </c:pt>
                <c:pt idx="110">
                  <c:v>7.6499999999999999E-2</c:v>
                </c:pt>
                <c:pt idx="111">
                  <c:v>7.6649999999999996E-2</c:v>
                </c:pt>
                <c:pt idx="112">
                  <c:v>7.6800000000000007E-2</c:v>
                </c:pt>
                <c:pt idx="113">
                  <c:v>7.6950000000000005E-2</c:v>
                </c:pt>
                <c:pt idx="114">
                  <c:v>7.7100000000000002E-2</c:v>
                </c:pt>
                <c:pt idx="115">
                  <c:v>7.7249999999999999E-2</c:v>
                </c:pt>
                <c:pt idx="116">
                  <c:v>7.7399999999999997E-2</c:v>
                </c:pt>
                <c:pt idx="117">
                  <c:v>7.7550000000000008E-2</c:v>
                </c:pt>
                <c:pt idx="118">
                  <c:v>7.7700000000000005E-2</c:v>
                </c:pt>
                <c:pt idx="119">
                  <c:v>7.7850000000000003E-2</c:v>
                </c:pt>
                <c:pt idx="120">
                  <c:v>7.8E-2</c:v>
                </c:pt>
                <c:pt idx="121">
                  <c:v>7.8149999999999997E-2</c:v>
                </c:pt>
                <c:pt idx="122">
                  <c:v>7.8300000000000008E-2</c:v>
                </c:pt>
                <c:pt idx="123">
                  <c:v>7.8450000000000006E-2</c:v>
                </c:pt>
                <c:pt idx="124">
                  <c:v>7.8600000000000003E-2</c:v>
                </c:pt>
                <c:pt idx="125">
                  <c:v>7.8750000000000001E-2</c:v>
                </c:pt>
                <c:pt idx="126">
                  <c:v>7.8899999999999998E-2</c:v>
                </c:pt>
                <c:pt idx="127">
                  <c:v>7.9050000000000009E-2</c:v>
                </c:pt>
                <c:pt idx="128">
                  <c:v>7.9200000000000007E-2</c:v>
                </c:pt>
                <c:pt idx="129">
                  <c:v>7.9350000000000004E-2</c:v>
                </c:pt>
                <c:pt idx="130">
                  <c:v>7.9500000000000001E-2</c:v>
                </c:pt>
                <c:pt idx="131">
                  <c:v>7.9649999999999999E-2</c:v>
                </c:pt>
                <c:pt idx="132">
                  <c:v>7.980000000000001E-2</c:v>
                </c:pt>
                <c:pt idx="133">
                  <c:v>7.9950000000000007E-2</c:v>
                </c:pt>
                <c:pt idx="134">
                  <c:v>8.0100000000000005E-2</c:v>
                </c:pt>
                <c:pt idx="135">
                  <c:v>8.0250000000000002E-2</c:v>
                </c:pt>
                <c:pt idx="136">
                  <c:v>8.0399999999999999E-2</c:v>
                </c:pt>
                <c:pt idx="137">
                  <c:v>8.055000000000001E-2</c:v>
                </c:pt>
                <c:pt idx="138">
                  <c:v>8.0700000000000008E-2</c:v>
                </c:pt>
                <c:pt idx="139">
                  <c:v>8.0850000000000005E-2</c:v>
                </c:pt>
                <c:pt idx="140">
                  <c:v>8.1000000000000003E-2</c:v>
                </c:pt>
                <c:pt idx="141">
                  <c:v>8.1150000000000014E-2</c:v>
                </c:pt>
                <c:pt idx="142">
                  <c:v>8.1299999999999997E-2</c:v>
                </c:pt>
                <c:pt idx="143">
                  <c:v>8.1450000000000009E-2</c:v>
                </c:pt>
                <c:pt idx="144">
                  <c:v>8.1600000000000006E-2</c:v>
                </c:pt>
                <c:pt idx="145">
                  <c:v>8.1750000000000003E-2</c:v>
                </c:pt>
                <c:pt idx="146">
                  <c:v>8.1900000000000014E-2</c:v>
                </c:pt>
                <c:pt idx="147">
                  <c:v>8.2049999999999998E-2</c:v>
                </c:pt>
                <c:pt idx="148">
                  <c:v>8.2200000000000009E-2</c:v>
                </c:pt>
                <c:pt idx="149">
                  <c:v>8.2350000000000007E-2</c:v>
                </c:pt>
                <c:pt idx="150">
                  <c:v>8.2500000000000004E-2</c:v>
                </c:pt>
                <c:pt idx="151">
                  <c:v>8.2650000000000015E-2</c:v>
                </c:pt>
                <c:pt idx="152">
                  <c:v>8.2799999999999999E-2</c:v>
                </c:pt>
                <c:pt idx="153">
                  <c:v>8.295000000000001E-2</c:v>
                </c:pt>
                <c:pt idx="154">
                  <c:v>8.3100000000000007E-2</c:v>
                </c:pt>
                <c:pt idx="155">
                  <c:v>8.3250000000000005E-2</c:v>
                </c:pt>
                <c:pt idx="156">
                  <c:v>8.3400000000000016E-2</c:v>
                </c:pt>
                <c:pt idx="157">
                  <c:v>8.3549999999999999E-2</c:v>
                </c:pt>
                <c:pt idx="158">
                  <c:v>8.3700000000000011E-2</c:v>
                </c:pt>
                <c:pt idx="159">
                  <c:v>8.3850000000000008E-2</c:v>
                </c:pt>
                <c:pt idx="160">
                  <c:v>8.4000000000000005E-2</c:v>
                </c:pt>
                <c:pt idx="161">
                  <c:v>8.4150000000000016E-2</c:v>
                </c:pt>
                <c:pt idx="162">
                  <c:v>8.43E-2</c:v>
                </c:pt>
                <c:pt idx="163">
                  <c:v>8.4450000000000011E-2</c:v>
                </c:pt>
                <c:pt idx="164">
                  <c:v>8.4600000000000009E-2</c:v>
                </c:pt>
                <c:pt idx="165">
                  <c:v>8.4750000000000006E-2</c:v>
                </c:pt>
                <c:pt idx="166">
                  <c:v>8.4900000000000017E-2</c:v>
                </c:pt>
                <c:pt idx="167">
                  <c:v>8.5050000000000001E-2</c:v>
                </c:pt>
                <c:pt idx="168">
                  <c:v>8.5200000000000012E-2</c:v>
                </c:pt>
                <c:pt idx="169">
                  <c:v>8.5350000000000009E-2</c:v>
                </c:pt>
                <c:pt idx="170">
                  <c:v>8.5500000000000007E-2</c:v>
                </c:pt>
                <c:pt idx="171">
                  <c:v>8.5650000000000018E-2</c:v>
                </c:pt>
                <c:pt idx="172">
                  <c:v>8.5800000000000001E-2</c:v>
                </c:pt>
                <c:pt idx="173">
                  <c:v>8.5950000000000013E-2</c:v>
                </c:pt>
                <c:pt idx="174">
                  <c:v>8.610000000000001E-2</c:v>
                </c:pt>
                <c:pt idx="175">
                  <c:v>8.6250000000000007E-2</c:v>
                </c:pt>
                <c:pt idx="176">
                  <c:v>8.6400000000000018E-2</c:v>
                </c:pt>
                <c:pt idx="177">
                  <c:v>8.6550000000000002E-2</c:v>
                </c:pt>
                <c:pt idx="178">
                  <c:v>8.6700000000000013E-2</c:v>
                </c:pt>
                <c:pt idx="179">
                  <c:v>8.6850000000000011E-2</c:v>
                </c:pt>
                <c:pt idx="180">
                  <c:v>8.7000000000000008E-2</c:v>
                </c:pt>
                <c:pt idx="181">
                  <c:v>8.7150000000000019E-2</c:v>
                </c:pt>
                <c:pt idx="182">
                  <c:v>8.7300000000000003E-2</c:v>
                </c:pt>
                <c:pt idx="183">
                  <c:v>8.7450000000000014E-2</c:v>
                </c:pt>
                <c:pt idx="184">
                  <c:v>8.7600000000000011E-2</c:v>
                </c:pt>
                <c:pt idx="185">
                  <c:v>8.7750000000000009E-2</c:v>
                </c:pt>
                <c:pt idx="186">
                  <c:v>8.790000000000002E-2</c:v>
                </c:pt>
                <c:pt idx="187">
                  <c:v>8.8050000000000003E-2</c:v>
                </c:pt>
                <c:pt idx="188">
                  <c:v>8.8200000000000014E-2</c:v>
                </c:pt>
                <c:pt idx="189">
                  <c:v>8.8350000000000012E-2</c:v>
                </c:pt>
                <c:pt idx="190">
                  <c:v>8.8500000000000009E-2</c:v>
                </c:pt>
                <c:pt idx="191">
                  <c:v>8.865000000000002E-2</c:v>
                </c:pt>
                <c:pt idx="192">
                  <c:v>8.8800000000000018E-2</c:v>
                </c:pt>
                <c:pt idx="193">
                  <c:v>8.8950000000000015E-2</c:v>
                </c:pt>
                <c:pt idx="194">
                  <c:v>8.9100000000000013E-2</c:v>
                </c:pt>
                <c:pt idx="195">
                  <c:v>8.925000000000001E-2</c:v>
                </c:pt>
                <c:pt idx="196">
                  <c:v>8.9400000000000021E-2</c:v>
                </c:pt>
                <c:pt idx="197">
                  <c:v>8.9550000000000018E-2</c:v>
                </c:pt>
                <c:pt idx="198">
                  <c:v>8.9700000000000016E-2</c:v>
                </c:pt>
                <c:pt idx="199">
                  <c:v>8.9850000000000013E-2</c:v>
                </c:pt>
                <c:pt idx="200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AFF-43F0-8961-92E6C0301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616824"/>
        <c:axId val="406914368"/>
      </c:scatterChart>
      <c:valAx>
        <c:axId val="524616824"/>
        <c:scaling>
          <c:orientation val="minMax"/>
          <c:min val="7.0000000000000007E-2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Risco</a:t>
                </a:r>
              </a:p>
            </c:rich>
          </c:tx>
          <c:layout>
            <c:manualLayout>
              <c:xMode val="edge"/>
              <c:yMode val="edge"/>
              <c:x val="0.48843037253408256"/>
              <c:y val="0.9552494513124432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 w="9525" cap="rnd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6914368"/>
        <c:crosses val="autoZero"/>
        <c:crossBetween val="midCat"/>
      </c:valAx>
      <c:valAx>
        <c:axId val="406914368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Retorno</a:t>
                </a:r>
              </a:p>
            </c:rich>
          </c:tx>
          <c:layout>
            <c:manualLayout>
              <c:xMode val="edge"/>
              <c:yMode val="edge"/>
              <c:x val="3.283054844836247E-4"/>
              <c:y val="0.3644452966683941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 w="9525" cap="rnd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461682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68469550131942"/>
          <c:y val="3.1619690941852588E-2"/>
          <c:w val="0.82002709176803412"/>
          <c:h val="0.82691580357585437"/>
        </c:manualLayout>
      </c:layout>
      <c:scatterChart>
        <c:scatterStyle val="lineMarker"/>
        <c:varyColors val="0"/>
        <c:ser>
          <c:idx val="4"/>
          <c:order val="0"/>
          <c:tx>
            <c:strRef>
              <c:f>Com_Short_Sell!$E$11</c:f>
              <c:strCache>
                <c:ptCount val="1"/>
                <c:pt idx="0">
                  <c:v>Valor Esperado</c:v>
                </c:pt>
              </c:strCache>
            </c:strRef>
          </c:tx>
          <c:spPr>
            <a:ln w="50800">
              <a:solidFill>
                <a:schemeClr val="accent2"/>
              </a:solidFill>
              <a:prstDash val="sysDot"/>
            </a:ln>
          </c:spPr>
          <c:marker>
            <c:symbol val="none"/>
          </c:marker>
          <c:xVal>
            <c:numRef>
              <c:f>Com_Short_Sell!$D$12:$D$612</c:f>
              <c:numCache>
                <c:formatCode>0.0%</c:formatCode>
                <c:ptCount val="601"/>
                <c:pt idx="0">
                  <c:v>0.21166010488516726</c:v>
                </c:pt>
                <c:pt idx="1">
                  <c:v>0.21101774806873475</c:v>
                </c:pt>
                <c:pt idx="2">
                  <c:v>0.21037575905983089</c:v>
                </c:pt>
                <c:pt idx="3">
                  <c:v>0.20973414123599435</c:v>
                </c:pt>
                <c:pt idx="4">
                  <c:v>0.2090928980142559</c:v>
                </c:pt>
                <c:pt idx="5">
                  <c:v>0.20845203285168515</c:v>
                </c:pt>
                <c:pt idx="6">
                  <c:v>0.20781154924594547</c:v>
                </c:pt>
                <c:pt idx="7">
                  <c:v>0.20717145073585796</c:v>
                </c:pt>
                <c:pt idx="8">
                  <c:v>0.20653174090197379</c:v>
                </c:pt>
                <c:pt idx="9">
                  <c:v>0.2058924233671556</c:v>
                </c:pt>
                <c:pt idx="10">
                  <c:v>0.205253501797168</c:v>
                </c:pt>
                <c:pt idx="11">
                  <c:v>0.20461497990127714</c:v>
                </c:pt>
                <c:pt idx="12">
                  <c:v>0.20397686143285973</c:v>
                </c:pt>
                <c:pt idx="13">
                  <c:v>0.20333915019002133</c:v>
                </c:pt>
                <c:pt idx="14">
                  <c:v>0.2027018500162247</c:v>
                </c:pt>
                <c:pt idx="15">
                  <c:v>0.20206496480092748</c:v>
                </c:pt>
                <c:pt idx="16">
                  <c:v>0.20142849848023009</c:v>
                </c:pt>
                <c:pt idx="17">
                  <c:v>0.20079245503753387</c:v>
                </c:pt>
                <c:pt idx="18">
                  <c:v>0.20015683850420918</c:v>
                </c:pt>
                <c:pt idx="19">
                  <c:v>0.19952165296027413</c:v>
                </c:pt>
                <c:pt idx="20">
                  <c:v>0.19888690253508418</c:v>
                </c:pt>
                <c:pt idx="21">
                  <c:v>0.198252591408032</c:v>
                </c:pt>
                <c:pt idx="22">
                  <c:v>0.19761872380925871</c:v>
                </c:pt>
                <c:pt idx="23">
                  <c:v>0.19698530402037631</c:v>
                </c:pt>
                <c:pt idx="24">
                  <c:v>0.19635233637520103</c:v>
                </c:pt>
                <c:pt idx="25">
                  <c:v>0.19571982526049858</c:v>
                </c:pt>
                <c:pt idx="26">
                  <c:v>0.19508777511674097</c:v>
                </c:pt>
                <c:pt idx="27">
                  <c:v>0.19445619043887519</c:v>
                </c:pt>
                <c:pt idx="28">
                  <c:v>0.19382507577710401</c:v>
                </c:pt>
                <c:pt idx="29">
                  <c:v>0.1931944357376788</c:v>
                </c:pt>
                <c:pt idx="30">
                  <c:v>0.1925642749837054</c:v>
                </c:pt>
                <c:pt idx="31">
                  <c:v>0.1919345982359619</c:v>
                </c:pt>
                <c:pt idx="32">
                  <c:v>0.19130541027372988</c:v>
                </c:pt>
                <c:pt idx="33">
                  <c:v>0.19067671593563831</c:v>
                </c:pt>
                <c:pt idx="34">
                  <c:v>0.19004852012052112</c:v>
                </c:pt>
                <c:pt idx="35">
                  <c:v>0.18942082778828764</c:v>
                </c:pt>
                <c:pt idx="36">
                  <c:v>0.18879364396080747</c:v>
                </c:pt>
                <c:pt idx="37">
                  <c:v>0.18816697372280858</c:v>
                </c:pt>
                <c:pt idx="38">
                  <c:v>0.18754082222279003</c:v>
                </c:pt>
                <c:pt idx="39">
                  <c:v>0.18691519467394868</c:v>
                </c:pt>
                <c:pt idx="40">
                  <c:v>0.18629009635512064</c:v>
                </c:pt>
                <c:pt idx="41">
                  <c:v>0.18566553261173746</c:v>
                </c:pt>
                <c:pt idx="42">
                  <c:v>0.18504150885679715</c:v>
                </c:pt>
                <c:pt idx="43">
                  <c:v>0.18441803057185094</c:v>
                </c:pt>
                <c:pt idx="44">
                  <c:v>0.1837951033080048</c:v>
                </c:pt>
                <c:pt idx="45">
                  <c:v>0.18317273268693721</c:v>
                </c:pt>
                <c:pt idx="46">
                  <c:v>0.18255092440193277</c:v>
                </c:pt>
                <c:pt idx="47">
                  <c:v>0.18192968421893158</c:v>
                </c:pt>
                <c:pt idx="48">
                  <c:v>0.1813090179775958</c:v>
                </c:pt>
                <c:pt idx="49">
                  <c:v>0.18068893159239213</c:v>
                </c:pt>
                <c:pt idx="50">
                  <c:v>0.18006943105369155</c:v>
                </c:pt>
                <c:pt idx="51">
                  <c:v>0.17945052242888615</c:v>
                </c:pt>
                <c:pt idx="52">
                  <c:v>0.17883221186352355</c:v>
                </c:pt>
                <c:pt idx="53">
                  <c:v>0.17821450558245863</c:v>
                </c:pt>
                <c:pt idx="54">
                  <c:v>0.17759740989102341</c:v>
                </c:pt>
                <c:pt idx="55">
                  <c:v>0.17698093117621511</c:v>
                </c:pt>
                <c:pt idx="56">
                  <c:v>0.17636507590790243</c:v>
                </c:pt>
                <c:pt idx="57">
                  <c:v>0.17574985064005086</c:v>
                </c:pt>
                <c:pt idx="58">
                  <c:v>0.17513526201196661</c:v>
                </c:pt>
                <c:pt idx="59">
                  <c:v>0.17452131674955981</c:v>
                </c:pt>
                <c:pt idx="60">
                  <c:v>0.17390802166662755</c:v>
                </c:pt>
                <c:pt idx="61">
                  <c:v>0.17329538366615599</c:v>
                </c:pt>
                <c:pt idx="62">
                  <c:v>0.17268340974164309</c:v>
                </c:pt>
                <c:pt idx="63">
                  <c:v>0.17207210697844147</c:v>
                </c:pt>
                <c:pt idx="64">
                  <c:v>0.17146148255512142</c:v>
                </c:pt>
                <c:pt idx="65">
                  <c:v>0.17085154374485531</c:v>
                </c:pt>
                <c:pt idx="66">
                  <c:v>0.17024229791682272</c:v>
                </c:pt>
                <c:pt idx="67">
                  <c:v>0.16963375253763685</c:v>
                </c:pt>
                <c:pt idx="68">
                  <c:v>0.16902591517279303</c:v>
                </c:pt>
                <c:pt idx="69">
                  <c:v>0.16841879348813843</c:v>
                </c:pt>
                <c:pt idx="70">
                  <c:v>0.16781239525136463</c:v>
                </c:pt>
                <c:pt idx="71">
                  <c:v>0.16720672833352199</c:v>
                </c:pt>
                <c:pt idx="72">
                  <c:v>0.16660180071055725</c:v>
                </c:pt>
                <c:pt idx="73">
                  <c:v>0.16599762046487362</c:v>
                </c:pt>
                <c:pt idx="74">
                  <c:v>0.16539419578691458</c:v>
                </c:pt>
                <c:pt idx="75">
                  <c:v>0.16479153497677068</c:v>
                </c:pt>
                <c:pt idx="76">
                  <c:v>0.16418964644581047</c:v>
                </c:pt>
                <c:pt idx="77">
                  <c:v>0.16358853871833517</c:v>
                </c:pt>
                <c:pt idx="78">
                  <c:v>0.16298822043325784</c:v>
                </c:pt>
                <c:pt idx="79">
                  <c:v>0.16238870034580682</c:v>
                </c:pt>
                <c:pt idx="80">
                  <c:v>0.16178998732925423</c:v>
                </c:pt>
                <c:pt idx="81">
                  <c:v>0.16119209037666907</c:v>
                </c:pt>
                <c:pt idx="82">
                  <c:v>0.16059501860269593</c:v>
                </c:pt>
                <c:pt idx="83">
                  <c:v>0.15999878124535905</c:v>
                </c:pt>
                <c:pt idx="84">
                  <c:v>0.15940338766789197</c:v>
                </c:pt>
                <c:pt idx="85">
                  <c:v>0.15880884736059345</c:v>
                </c:pt>
                <c:pt idx="86">
                  <c:v>0.15821516994270893</c:v>
                </c:pt>
                <c:pt idx="87">
                  <c:v>0.15762236516433911</c:v>
                </c:pt>
                <c:pt idx="88">
                  <c:v>0.15703044290837451</c:v>
                </c:pt>
                <c:pt idx="89">
                  <c:v>0.15643941319245694</c:v>
                </c:pt>
                <c:pt idx="90">
                  <c:v>0.15584928617096799</c:v>
                </c:pt>
                <c:pt idx="91">
                  <c:v>0.15526007213704454</c:v>
                </c:pt>
                <c:pt idx="92">
                  <c:v>0.1546717815246216</c:v>
                </c:pt>
                <c:pt idx="93">
                  <c:v>0.15408442491050248</c:v>
                </c:pt>
                <c:pt idx="94">
                  <c:v>0.1534980130164566</c:v>
                </c:pt>
                <c:pt idx="95">
                  <c:v>0.15291255671134493</c:v>
                </c:pt>
                <c:pt idx="96">
                  <c:v>0.15232806701327331</c:v>
                </c:pt>
                <c:pt idx="97">
                  <c:v>0.15174455509177354</c:v>
                </c:pt>
                <c:pt idx="98">
                  <c:v>0.15116203227001246</c:v>
                </c:pt>
                <c:pt idx="99">
                  <c:v>0.15058051002702935</c:v>
                </c:pt>
                <c:pt idx="100">
                  <c:v>0.15000000000000099</c:v>
                </c:pt>
                <c:pt idx="101">
                  <c:v>0.149420513986535</c:v>
                </c:pt>
                <c:pt idx="102">
                  <c:v>0.14884206394699148</c:v>
                </c:pt>
                <c:pt idx="103">
                  <c:v>0.14826466200683255</c:v>
                </c:pt>
                <c:pt idx="104">
                  <c:v>0.1476883204590001</c:v>
                </c:pt>
                <c:pt idx="105">
                  <c:v>0.1471130517663212</c:v>
                </c:pt>
                <c:pt idx="106">
                  <c:v>0.14653886856394213</c:v>
                </c:pt>
                <c:pt idx="107">
                  <c:v>0.14596578366178942</c:v>
                </c:pt>
                <c:pt idx="108">
                  <c:v>0.14539381004705912</c:v>
                </c:pt>
                <c:pt idx="109">
                  <c:v>0.14482296088673341</c:v>
                </c:pt>
                <c:pt idx="110">
                  <c:v>0.14425324953012433</c:v>
                </c:pt>
                <c:pt idx="111">
                  <c:v>0.14368468951144486</c:v>
                </c:pt>
                <c:pt idx="112">
                  <c:v>0.14311729455240663</c:v>
                </c:pt>
                <c:pt idx="113">
                  <c:v>0.14255107856484397</c:v>
                </c:pt>
                <c:pt idx="114">
                  <c:v>0.1419860556533645</c:v>
                </c:pt>
                <c:pt idx="115">
                  <c:v>0.14142224011802501</c:v>
                </c:pt>
                <c:pt idx="116">
                  <c:v>0.140859646457033</c:v>
                </c:pt>
                <c:pt idx="117">
                  <c:v>0.14029828936947281</c:v>
                </c:pt>
                <c:pt idx="118">
                  <c:v>0.13973818375805638</c:v>
                </c:pt>
                <c:pt idx="119">
                  <c:v>0.13917934473189739</c:v>
                </c:pt>
                <c:pt idx="120">
                  <c:v>0.13862178760930885</c:v>
                </c:pt>
                <c:pt idx="121">
                  <c:v>0.13806552792062302</c:v>
                </c:pt>
                <c:pt idx="122">
                  <c:v>0.13751058141103301</c:v>
                </c:pt>
                <c:pt idx="123">
                  <c:v>0.13695696404345542</c:v>
                </c:pt>
                <c:pt idx="124">
                  <c:v>0.136404692001413</c:v>
                </c:pt>
                <c:pt idx="125">
                  <c:v>0.13585378169193651</c:v>
                </c:pt>
                <c:pt idx="126">
                  <c:v>0.13530424974848479</c:v>
                </c:pt>
                <c:pt idx="127">
                  <c:v>0.13475611303388188</c:v>
                </c:pt>
                <c:pt idx="128">
                  <c:v>0.13420938864327023</c:v>
                </c:pt>
                <c:pt idx="129">
                  <c:v>0.1336640939070787</c:v>
                </c:pt>
                <c:pt idx="130">
                  <c:v>0.13312024639400405</c:v>
                </c:pt>
                <c:pt idx="131">
                  <c:v>0.13257786391400472</c:v>
                </c:pt>
                <c:pt idx="132">
                  <c:v>0.13203696452130501</c:v>
                </c:pt>
                <c:pt idx="133">
                  <c:v>0.13149756651740882</c:v>
                </c:pt>
                <c:pt idx="134">
                  <c:v>0.1309596884541207</c:v>
                </c:pt>
                <c:pt idx="135">
                  <c:v>0.13042334913657277</c:v>
                </c:pt>
                <c:pt idx="136">
                  <c:v>0.12988856762625556</c:v>
                </c:pt>
                <c:pt idx="137">
                  <c:v>0.12935536324405092</c:v>
                </c:pt>
                <c:pt idx="138">
                  <c:v>0.12882375557326514</c:v>
                </c:pt>
                <c:pt idx="139">
                  <c:v>0.12829376446265953</c:v>
                </c:pt>
                <c:pt idx="140">
                  <c:v>0.12776541002947694</c:v>
                </c:pt>
                <c:pt idx="141">
                  <c:v>0.12723871266246123</c:v>
                </c:pt>
                <c:pt idx="142">
                  <c:v>0.12671369302486754</c:v>
                </c:pt>
                <c:pt idx="143">
                  <c:v>0.12619037205746075</c:v>
                </c:pt>
                <c:pt idx="144">
                  <c:v>0.12566877098149873</c:v>
                </c:pt>
                <c:pt idx="145">
                  <c:v>0.12514891130169842</c:v>
                </c:pt>
                <c:pt idx="146">
                  <c:v>0.12463081480918103</c:v>
                </c:pt>
                <c:pt idx="147">
                  <c:v>0.1241145035843933</c:v>
                </c:pt>
                <c:pt idx="148">
                  <c:v>0.12360000000000154</c:v>
                </c:pt>
                <c:pt idx="149">
                  <c:v>0.12308732672375487</c:v>
                </c:pt>
                <c:pt idx="150">
                  <c:v>0.12257650672131419</c:v>
                </c:pt>
                <c:pt idx="151">
                  <c:v>0.12206756325904268</c:v>
                </c:pt>
                <c:pt idx="152">
                  <c:v>0.12156051990675421</c:v>
                </c:pt>
                <c:pt idx="153">
                  <c:v>0.12105540054041532</c:v>
                </c:pt>
                <c:pt idx="154">
                  <c:v>0.1205522293447964</c:v>
                </c:pt>
                <c:pt idx="155">
                  <c:v>0.12005103081606751</c:v>
                </c:pt>
                <c:pt idx="156">
                  <c:v>0.1195518297643344</c:v>
                </c:pt>
                <c:pt idx="157">
                  <c:v>0.11905465131610941</c:v>
                </c:pt>
                <c:pt idx="158">
                  <c:v>0.11855952091671253</c:v>
                </c:pt>
                <c:pt idx="159">
                  <c:v>0.11806646433259696</c:v>
                </c:pt>
                <c:pt idx="160">
                  <c:v>0.11757550765359423</c:v>
                </c:pt>
                <c:pt idx="161">
                  <c:v>0.11708667729507229</c:v>
                </c:pt>
                <c:pt idx="162">
                  <c:v>0.1166000000000017</c:v>
                </c:pt>
                <c:pt idx="163">
                  <c:v>0.11611550284092301</c:v>
                </c:pt>
                <c:pt idx="164">
                  <c:v>0.11563321322180924</c:v>
                </c:pt>
                <c:pt idx="165">
                  <c:v>0.11515315887981711</c:v>
                </c:pt>
                <c:pt idx="166">
                  <c:v>0.11467536788691983</c:v>
                </c:pt>
                <c:pt idx="167">
                  <c:v>0.11419986865141485</c:v>
                </c:pt>
                <c:pt idx="168">
                  <c:v>0.1137266899192991</c:v>
                </c:pt>
                <c:pt idx="169">
                  <c:v>0.11325586077550426</c:v>
                </c:pt>
                <c:pt idx="170">
                  <c:v>0.1127874106449847</c:v>
                </c:pt>
                <c:pt idx="171">
                  <c:v>0.11232136929364958</c:v>
                </c:pt>
                <c:pt idx="172">
                  <c:v>0.11185776682913176</c:v>
                </c:pt>
                <c:pt idx="173">
                  <c:v>0.1113966337013844</c:v>
                </c:pt>
                <c:pt idx="174">
                  <c:v>0.11093800070309727</c:v>
                </c:pt>
                <c:pt idx="175">
                  <c:v>0.11048189896992364</c:v>
                </c:pt>
                <c:pt idx="176">
                  <c:v>0.11002835998050872</c:v>
                </c:pt>
                <c:pt idx="177">
                  <c:v>0.10957741555631074</c:v>
                </c:pt>
                <c:pt idx="178">
                  <c:v>0.10912909786120481</c:v>
                </c:pt>
                <c:pt idx="179">
                  <c:v>0.10868343940086003</c:v>
                </c:pt>
                <c:pt idx="180">
                  <c:v>0.10824047302188039</c:v>
                </c:pt>
                <c:pt idx="181">
                  <c:v>0.10780023191069868</c:v>
                </c:pt>
                <c:pt idx="182">
                  <c:v>0.10736274959221387</c:v>
                </c:pt>
                <c:pt idx="183">
                  <c:v>0.10692805992816114</c:v>
                </c:pt>
                <c:pt idx="184">
                  <c:v>0.10649619711520417</c:v>
                </c:pt>
                <c:pt idx="185">
                  <c:v>0.10606719568273887</c:v>
                </c:pt>
                <c:pt idx="186">
                  <c:v>0.10564109049039783</c:v>
                </c:pt>
                <c:pt idx="187">
                  <c:v>0.10521791672524419</c:v>
                </c:pt>
                <c:pt idx="188">
                  <c:v>0.10479770989864437</c:v>
                </c:pt>
                <c:pt idx="189">
                  <c:v>0.10438050584280777</c:v>
                </c:pt>
                <c:pt idx="190">
                  <c:v>0.10396634070698278</c:v>
                </c:pt>
                <c:pt idx="191">
                  <c:v>0.10355525095329751</c:v>
                </c:pt>
                <c:pt idx="192">
                  <c:v>0.10314727335223373</c:v>
                </c:pt>
                <c:pt idx="193">
                  <c:v>0.10274244497772295</c:v>
                </c:pt>
                <c:pt idx="194">
                  <c:v>0.10234080320185311</c:v>
                </c:pt>
                <c:pt idx="195">
                  <c:v>0.10194238568917459</c:v>
                </c:pt>
                <c:pt idx="196">
                  <c:v>0.10154723039059425</c:v>
                </c:pt>
                <c:pt idx="197">
                  <c:v>0.10115537553684643</c:v>
                </c:pt>
                <c:pt idx="198">
                  <c:v>0.10076685963152981</c:v>
                </c:pt>
                <c:pt idx="199">
                  <c:v>0.10038172144369925</c:v>
                </c:pt>
                <c:pt idx="200">
                  <c:v>0.10000000000000216</c:v>
                </c:pt>
                <c:pt idx="201">
                  <c:v>9.96217345763485E-2</c:v>
                </c:pt>
                <c:pt idx="202">
                  <c:v>9.9246964689104877E-2</c:v>
                </c:pt>
                <c:pt idx="203">
                  <c:v>9.8875730085802291E-2</c:v>
                </c:pt>
                <c:pt idx="204">
                  <c:v>9.8508070735348507E-2</c:v>
                </c:pt>
                <c:pt idx="205">
                  <c:v>9.8144026817735694E-2</c:v>
                </c:pt>
                <c:pt idx="206">
                  <c:v>9.7783638713234741E-2</c:v>
                </c:pt>
                <c:pt idx="207">
                  <c:v>9.7426946991068242E-2</c:v>
                </c:pt>
                <c:pt idx="208">
                  <c:v>9.7073992397554237E-2</c:v>
                </c:pt>
                <c:pt idx="209">
                  <c:v>9.6724815843714146E-2</c:v>
                </c:pt>
                <c:pt idx="210">
                  <c:v>9.6379458392338024E-2</c:v>
                </c:pt>
                <c:pt idx="211">
                  <c:v>9.6037961244501716E-2</c:v>
                </c:pt>
                <c:pt idx="212">
                  <c:v>9.5700365725531131E-2</c:v>
                </c:pt>
                <c:pt idx="213">
                  <c:v>9.5366713270409034E-2</c:v>
                </c:pt>
                <c:pt idx="214">
                  <c:v>9.5037045408621637E-2</c:v>
                </c:pt>
                <c:pt idx="215">
                  <c:v>9.4711403748442086E-2</c:v>
                </c:pt>
                <c:pt idx="216">
                  <c:v>9.4389829960649929E-2</c:v>
                </c:pt>
                <c:pt idx="217">
                  <c:v>9.4072365761685844E-2</c:v>
                </c:pt>
                <c:pt idx="218">
                  <c:v>9.375905289624252E-2</c:v>
                </c:pt>
                <c:pt idx="219">
                  <c:v>9.3449933119293352E-2</c:v>
                </c:pt>
                <c:pt idx="220">
                  <c:v>9.3145048177562292E-2</c:v>
                </c:pt>
                <c:pt idx="221">
                  <c:v>9.2844439790438715E-2</c:v>
                </c:pt>
                <c:pt idx="222">
                  <c:v>9.2548149630343204E-2</c:v>
                </c:pt>
                <c:pt idx="223">
                  <c:v>9.2256219302551068E-2</c:v>
                </c:pt>
                <c:pt idx="224">
                  <c:v>9.1968690324481586E-2</c:v>
                </c:pt>
                <c:pt idx="225">
                  <c:v>9.1685604104463386E-2</c:v>
                </c:pt>
                <c:pt idx="226">
                  <c:v>9.1407001919986366E-2</c:v>
                </c:pt>
                <c:pt idx="227">
                  <c:v>9.1132924895453618E-2</c:v>
                </c:pt>
                <c:pt idx="228">
                  <c:v>9.0863413979447125E-2</c:v>
                </c:pt>
                <c:pt idx="229">
                  <c:v>9.0598509921523462E-2</c:v>
                </c:pt>
                <c:pt idx="230">
                  <c:v>9.0338253248556807E-2</c:v>
                </c:pt>
                <c:pt idx="231">
                  <c:v>9.0082684240648497E-2</c:v>
                </c:pt>
                <c:pt idx="232">
                  <c:v>8.9831842906624049E-2</c:v>
                </c:pt>
                <c:pt idx="233">
                  <c:v>8.9585768959139819E-2</c:v>
                </c:pt>
                <c:pt idx="234">
                  <c:v>8.934450178942395E-2</c:v>
                </c:pt>
                <c:pt idx="235">
                  <c:v>8.9108080441676979E-2</c:v>
                </c:pt>
                <c:pt idx="236">
                  <c:v>8.8876543587160142E-2</c:v>
                </c:pt>
                <c:pt idx="237">
                  <c:v>8.8649929498000005E-2</c:v>
                </c:pt>
                <c:pt idx="238">
                  <c:v>8.8428276020741076E-2</c:v>
                </c:pt>
                <c:pt idx="239">
                  <c:v>8.8211620549677974E-2</c:v>
                </c:pt>
                <c:pt idx="240">
                  <c:v>8.8000000000002104E-2</c:v>
                </c:pt>
                <c:pt idx="241">
                  <c:v>8.779345078079781E-2</c:v>
                </c:pt>
                <c:pt idx="242">
                  <c:v>8.7592008767925666E-2</c:v>
                </c:pt>
                <c:pt idx="243">
                  <c:v>8.7395709276831005E-2</c:v>
                </c:pt>
                <c:pt idx="244">
                  <c:v>8.7204587035318054E-2</c:v>
                </c:pt>
                <c:pt idx="245">
                  <c:v>8.7018676156330729E-2</c:v>
                </c:pt>
                <c:pt idx="246">
                  <c:v>8.6838010110782474E-2</c:v>
                </c:pt>
                <c:pt idx="247">
                  <c:v>8.6662621700479142E-2</c:v>
                </c:pt>
                <c:pt idx="248">
                  <c:v>8.6492543031179037E-2</c:v>
                </c:pt>
                <c:pt idx="249">
                  <c:v>8.6327805485836101E-2</c:v>
                </c:pt>
                <c:pt idx="250">
                  <c:v>8.6168439698072474E-2</c:v>
                </c:pt>
                <c:pt idx="251">
                  <c:v>8.6014475525927322E-2</c:v>
                </c:pt>
                <c:pt idx="252">
                  <c:v>8.586594202592987E-2</c:v>
                </c:pt>
                <c:pt idx="253">
                  <c:v>8.5722867427544369E-2</c:v>
                </c:pt>
                <c:pt idx="254">
                  <c:v>8.5585279108035553E-2</c:v>
                </c:pt>
                <c:pt idx="255">
                  <c:v>8.5453203567802796E-2</c:v>
                </c:pt>
                <c:pt idx="256">
                  <c:v>8.5326666406231669E-2</c:v>
                </c:pt>
                <c:pt idx="257">
                  <c:v>8.5205692298110827E-2</c:v>
                </c:pt>
                <c:pt idx="258">
                  <c:v>8.5090304970662431E-2</c:v>
                </c:pt>
                <c:pt idx="259">
                  <c:v>8.4980527181233348E-2</c:v>
                </c:pt>
                <c:pt idx="260">
                  <c:v>8.4876380695693768E-2</c:v>
                </c:pt>
                <c:pt idx="261">
                  <c:v>8.4777886267589475E-2</c:v>
                </c:pt>
                <c:pt idx="262">
                  <c:v>8.4685063618092277E-2</c:v>
                </c:pt>
                <c:pt idx="263">
                  <c:v>8.4597931416792532E-2</c:v>
                </c:pt>
                <c:pt idx="264">
                  <c:v>8.4516507263376256E-2</c:v>
                </c:pt>
                <c:pt idx="265">
                  <c:v>8.444080767022738E-2</c:v>
                </c:pt>
                <c:pt idx="266">
                  <c:v>8.4370848045994706E-2</c:v>
                </c:pt>
                <c:pt idx="267">
                  <c:v>8.4306642680160901E-2</c:v>
                </c:pt>
                <c:pt idx="268">
                  <c:v>8.4248204728648815E-2</c:v>
                </c:pt>
                <c:pt idx="269">
                  <c:v>8.419554620049878E-2</c:v>
                </c:pt>
                <c:pt idx="270">
                  <c:v>8.4148677945647621E-2</c:v>
                </c:pt>
                <c:pt idx="271">
                  <c:v>8.4107609643838538E-2</c:v>
                </c:pt>
                <c:pt idx="272">
                  <c:v>8.4072349794687667E-2</c:v>
                </c:pt>
                <c:pt idx="273">
                  <c:v>8.4042905708931304E-2</c:v>
                </c:pt>
                <c:pt idx="274">
                  <c:v>8.4019283500874467E-2</c:v>
                </c:pt>
                <c:pt idx="275">
                  <c:v>8.4001488082059081E-2</c:v>
                </c:pt>
                <c:pt idx="276">
                  <c:v>8.3989523156167006E-2</c:v>
                </c:pt>
                <c:pt idx="277">
                  <c:v>8.3983391215170108E-2</c:v>
                </c:pt>
                <c:pt idx="278">
                  <c:v>8.3983093536736969E-2</c:v>
                </c:pt>
                <c:pt idx="279">
                  <c:v>8.3988630182902188E-2</c:v>
                </c:pt>
                <c:pt idx="280">
                  <c:v>8.4000000000001837E-2</c:v>
                </c:pt>
                <c:pt idx="281">
                  <c:v>8.4017200619874888E-2</c:v>
                </c:pt>
                <c:pt idx="282">
                  <c:v>8.4040228462328115E-2</c:v>
                </c:pt>
                <c:pt idx="283">
                  <c:v>8.406907873885798E-2</c:v>
                </c:pt>
                <c:pt idx="284">
                  <c:v>8.4103745457620976E-2</c:v>
                </c:pt>
                <c:pt idx="285">
                  <c:v>8.4144221429640079E-2</c:v>
                </c:pt>
                <c:pt idx="286">
                  <c:v>8.4190498276232456E-2</c:v>
                </c:pt>
                <c:pt idx="287">
                  <c:v>8.4242566437640651E-2</c:v>
                </c:pt>
                <c:pt idx="288">
                  <c:v>8.4300415182846491E-2</c:v>
                </c:pt>
                <c:pt idx="289">
                  <c:v>8.4364032620544496E-2</c:v>
                </c:pt>
                <c:pt idx="290">
                  <c:v>8.4433405711248521E-2</c:v>
                </c:pt>
                <c:pt idx="291">
                  <c:v>8.4508520280503624E-2</c:v>
                </c:pt>
                <c:pt idx="292">
                  <c:v>8.4589361033171828E-2</c:v>
                </c:pt>
                <c:pt idx="293">
                  <c:v>8.4675911568758963E-2</c:v>
                </c:pt>
                <c:pt idx="294">
                  <c:v>8.476815439774707E-2</c:v>
                </c:pt>
                <c:pt idx="295">
                  <c:v>8.4866070958895493E-2</c:v>
                </c:pt>
                <c:pt idx="296">
                  <c:v>8.4969641637471227E-2</c:v>
                </c:pt>
                <c:pt idx="297">
                  <c:v>8.5078845784368057E-2</c:v>
                </c:pt>
                <c:pt idx="298">
                  <c:v>8.5193661736072138E-2</c:v>
                </c:pt>
                <c:pt idx="299">
                  <c:v>8.5314066835430372E-2</c:v>
                </c:pt>
                <c:pt idx="300">
                  <c:v>8.5440037453176937E-2</c:v>
                </c:pt>
                <c:pt idx="301">
                  <c:v>8.5571549010172041E-2</c:v>
                </c:pt>
                <c:pt idx="302">
                  <c:v>8.5708576000306264E-2</c:v>
                </c:pt>
                <c:pt idx="303">
                  <c:v>8.5851092014023175E-2</c:v>
                </c:pt>
                <c:pt idx="304">
                  <c:v>8.5999069762412395E-2</c:v>
                </c:pt>
                <c:pt idx="305">
                  <c:v>8.6152481101824746E-2</c:v>
                </c:pt>
                <c:pt idx="306">
                  <c:v>8.6311297058961345E-2</c:v>
                </c:pt>
                <c:pt idx="307">
                  <c:v>8.647548785638777E-2</c:v>
                </c:pt>
                <c:pt idx="308">
                  <c:v>8.6645022938425409E-2</c:v>
                </c:pt>
                <c:pt idx="309">
                  <c:v>8.6819870997371706E-2</c:v>
                </c:pt>
                <c:pt idx="310">
                  <c:v>8.7000000000001521E-2</c:v>
                </c:pt>
                <c:pt idx="311">
                  <c:v>8.7185377214302751E-2</c:v>
                </c:pt>
                <c:pt idx="312">
                  <c:v>8.7375969236399662E-2</c:v>
                </c:pt>
                <c:pt idx="313">
                  <c:v>8.7571742017618096E-2</c:v>
                </c:pt>
                <c:pt idx="314">
                  <c:v>8.7772660891648133E-2</c:v>
                </c:pt>
                <c:pt idx="315">
                  <c:v>8.7978690601760251E-2</c:v>
                </c:pt>
                <c:pt idx="316">
                  <c:v>8.818979532803245E-2</c:v>
                </c:pt>
                <c:pt idx="317">
                  <c:v>8.8405938714547078E-2</c:v>
                </c:pt>
                <c:pt idx="318">
                  <c:v>8.8627083896516939E-2</c:v>
                </c:pt>
                <c:pt idx="319">
                  <c:v>8.8853193527302379E-2</c:v>
                </c:pt>
                <c:pt idx="320">
                  <c:v>8.9084229805281745E-2</c:v>
                </c:pt>
                <c:pt idx="321">
                  <c:v>8.9320154500539511E-2</c:v>
                </c:pt>
                <c:pt idx="322">
                  <c:v>8.956092898133787E-2</c:v>
                </c:pt>
                <c:pt idx="323">
                  <c:v>8.9806514240339197E-2</c:v>
                </c:pt>
                <c:pt idx="324">
                  <c:v>9.0056870920547996E-2</c:v>
                </c:pt>
                <c:pt idx="325">
                  <c:v>9.0311959340943562E-2</c:v>
                </c:pt>
                <c:pt idx="326">
                  <c:v>9.0571739521774886E-2</c:v>
                </c:pt>
                <c:pt idx="327">
                  <c:v>9.0836171209492528E-2</c:v>
                </c:pt>
                <c:pt idx="328">
                  <c:v>9.1105213901292378E-2</c:v>
                </c:pt>
                <c:pt idx="329">
                  <c:v>9.1378826869249294E-2</c:v>
                </c:pt>
                <c:pt idx="330">
                  <c:v>9.1656969184019138E-2</c:v>
                </c:pt>
                <c:pt idx="331">
                  <c:v>9.1939599738090197E-2</c:v>
                </c:pt>
                <c:pt idx="332">
                  <c:v>9.2226677268566024E-2</c:v>
                </c:pt>
                <c:pt idx="333">
                  <c:v>9.2518160379464046E-2</c:v>
                </c:pt>
                <c:pt idx="334">
                  <c:v>9.2814007563515058E-2</c:v>
                </c:pt>
                <c:pt idx="335">
                  <c:v>9.3114177223450931E-2</c:v>
                </c:pt>
                <c:pt idx="336">
                  <c:v>9.3418627692769221E-2</c:v>
                </c:pt>
                <c:pt idx="337">
                  <c:v>9.3727317255964518E-2</c:v>
                </c:pt>
                <c:pt idx="338">
                  <c:v>9.4040204168218525E-2</c:v>
                </c:pt>
                <c:pt idx="339">
                  <c:v>9.4357246674541234E-2</c:v>
                </c:pt>
                <c:pt idx="340">
                  <c:v>9.4678403028358171E-2</c:v>
                </c:pt>
                <c:pt idx="341">
                  <c:v>9.5003631509538722E-2</c:v>
                </c:pt>
                <c:pt idx="342">
                  <c:v>9.5332890441862814E-2</c:v>
                </c:pt>
                <c:pt idx="343">
                  <c:v>9.5666138209923673E-2</c:v>
                </c:pt>
                <c:pt idx="344">
                  <c:v>9.6003333275466091E-2</c:v>
                </c:pt>
                <c:pt idx="345">
                  <c:v>9.6344434193160411E-2</c:v>
                </c:pt>
                <c:pt idx="346">
                  <c:v>9.6689399625813244E-2</c:v>
                </c:pt>
                <c:pt idx="347">
                  <c:v>9.7038188359017771E-2</c:v>
                </c:pt>
                <c:pt idx="348">
                  <c:v>9.7390759315246184E-2</c:v>
                </c:pt>
                <c:pt idx="349">
                  <c:v>9.7747071567388696E-2</c:v>
                </c:pt>
                <c:pt idx="350">
                  <c:v>9.8107084351743978E-2</c:v>
                </c:pt>
                <c:pt idx="351">
                  <c:v>9.847075708046632E-2</c:v>
                </c:pt>
                <c:pt idx="352">
                  <c:v>9.8838049353476246E-2</c:v>
                </c:pt>
                <c:pt idx="353">
                  <c:v>9.9208920969841241E-2</c:v>
                </c:pt>
                <c:pt idx="354">
                  <c:v>9.9583331938634195E-2</c:v>
                </c:pt>
                <c:pt idx="355">
                  <c:v>9.9961242489277818E-2</c:v>
                </c:pt>
                <c:pt idx="356">
                  <c:v>0.10034261308138333</c:v>
                </c:pt>
                <c:pt idx="357">
                  <c:v>0.10072740441409278</c:v>
                </c:pt>
                <c:pt idx="358">
                  <c:v>0.10111557743493432</c:v>
                </c:pt>
                <c:pt idx="359">
                  <c:v>0.10150709334820003</c:v>
                </c:pt>
                <c:pt idx="360">
                  <c:v>0.10190191362285693</c:v>
                </c:pt>
                <c:pt idx="361">
                  <c:v>0.10230000000000093</c:v>
                </c:pt>
                <c:pt idx="362">
                  <c:v>0.10270131449986505</c:v>
                </c:pt>
                <c:pt idx="363">
                  <c:v>0.10310581942839207</c:v>
                </c:pt>
                <c:pt idx="364">
                  <c:v>0.10351347738338322</c:v>
                </c:pt>
                <c:pt idx="365">
                  <c:v>0.1039242512602337</c:v>
                </c:pt>
                <c:pt idx="366">
                  <c:v>0.10433810425726636</c:v>
                </c:pt>
                <c:pt idx="367">
                  <c:v>0.10475499988067483</c:v>
                </c:pt>
                <c:pt idx="368">
                  <c:v>0.10517490194908756</c:v>
                </c:pt>
                <c:pt idx="369">
                  <c:v>0.10559777459776405</c:v>
                </c:pt>
                <c:pt idx="370">
                  <c:v>0.10602358228243459</c:v>
                </c:pt>
                <c:pt idx="371">
                  <c:v>0.10645228978279508</c:v>
                </c:pt>
                <c:pt idx="372">
                  <c:v>0.10688386220566778</c:v>
                </c:pt>
                <c:pt idx="373">
                  <c:v>0.1073182649878397</c:v>
                </c:pt>
                <c:pt idx="374">
                  <c:v>0.10775546389858927</c:v>
                </c:pt>
                <c:pt idx="375">
                  <c:v>0.10819542504191282</c:v>
                </c:pt>
                <c:pt idx="376">
                  <c:v>0.10863811485846103</c:v>
                </c:pt>
                <c:pt idx="377">
                  <c:v>0.10908350012719693</c:v>
                </c:pt>
                <c:pt idx="378">
                  <c:v>0.10953154796678521</c:v>
                </c:pt>
                <c:pt idx="379">
                  <c:v>0.10998222583672404</c:v>
                </c:pt>
                <c:pt idx="380">
                  <c:v>0.11043550153822894</c:v>
                </c:pt>
                <c:pt idx="381">
                  <c:v>0.11089134321487934</c:v>
                </c:pt>
                <c:pt idx="382">
                  <c:v>0.11134971935303729</c:v>
                </c:pt>
                <c:pt idx="383">
                  <c:v>0.11181059878204822</c:v>
                </c:pt>
                <c:pt idx="384">
                  <c:v>0.11227395067423325</c:v>
                </c:pt>
                <c:pt idx="385">
                  <c:v>0.11273974454468202</c:v>
                </c:pt>
                <c:pt idx="386">
                  <c:v>0.11320795025085544</c:v>
                </c:pt>
                <c:pt idx="387">
                  <c:v>0.11367853799200692</c:v>
                </c:pt>
                <c:pt idx="388">
                  <c:v>0.11415147830843084</c:v>
                </c:pt>
                <c:pt idx="389">
                  <c:v>0.11462674208054661</c:v>
                </c:pt>
                <c:pt idx="390">
                  <c:v>0.1151043005278263</c:v>
                </c:pt>
                <c:pt idx="391">
                  <c:v>0.11558412520757405</c:v>
                </c:pt>
                <c:pt idx="392">
                  <c:v>0.11606618801356471</c:v>
                </c:pt>
                <c:pt idx="393">
                  <c:v>0.11655046117454942</c:v>
                </c:pt>
                <c:pt idx="394">
                  <c:v>0.11703691725263507</c:v>
                </c:pt>
                <c:pt idx="395">
                  <c:v>0.11752552914154502</c:v>
                </c:pt>
                <c:pt idx="396">
                  <c:v>0.11801627006476755</c:v>
                </c:pt>
                <c:pt idx="397">
                  <c:v>0.11850911357359883</c:v>
                </c:pt>
                <c:pt idx="398">
                  <c:v>0.1190040335450868</c:v>
                </c:pt>
                <c:pt idx="399">
                  <c:v>0.11950100417988187</c:v>
                </c:pt>
                <c:pt idx="400">
                  <c:v>0.12000000000000059</c:v>
                </c:pt>
                <c:pt idx="401">
                  <c:v>0.120500995846508</c:v>
                </c:pt>
                <c:pt idx="402">
                  <c:v>0.12100396687712404</c:v>
                </c:pt>
                <c:pt idx="403">
                  <c:v>0.12150888856375952</c:v>
                </c:pt>
                <c:pt idx="404">
                  <c:v>0.12201573668998653</c:v>
                </c:pt>
                <c:pt idx="405">
                  <c:v>0.12252448734844851</c:v>
                </c:pt>
                <c:pt idx="406">
                  <c:v>0.12303511693821451</c:v>
                </c:pt>
                <c:pt idx="407">
                  <c:v>0.12354760216208209</c:v>
                </c:pt>
                <c:pt idx="408">
                  <c:v>0.12406192002383369</c:v>
                </c:pt>
                <c:pt idx="409">
                  <c:v>0.12457804782544997</c:v>
                </c:pt>
                <c:pt idx="410">
                  <c:v>0.12509596316428478</c:v>
                </c:pt>
                <c:pt idx="411">
                  <c:v>0.12561564393020516</c:v>
                </c:pt>
                <c:pt idx="412">
                  <c:v>0.12613706830270033</c:v>
                </c:pt>
                <c:pt idx="413">
                  <c:v>0.12666021474796291</c:v>
                </c:pt>
                <c:pt idx="414">
                  <c:v>0.1271850620159462</c:v>
                </c:pt>
                <c:pt idx="415">
                  <c:v>0.12771158913740002</c:v>
                </c:pt>
                <c:pt idx="416">
                  <c:v>0.12823977542088907</c:v>
                </c:pt>
                <c:pt idx="417">
                  <c:v>0.12876960044979585</c:v>
                </c:pt>
                <c:pt idx="418">
                  <c:v>0.12930104407931151</c:v>
                </c:pt>
                <c:pt idx="419">
                  <c:v>0.12983408643341721</c:v>
                </c:pt>
                <c:pt idx="420">
                  <c:v>0.13036870790185828</c:v>
                </c:pt>
                <c:pt idx="421">
                  <c:v>0.13090488913711376</c:v>
                </c:pt>
                <c:pt idx="422">
                  <c:v>0.13144261105136354</c:v>
                </c:pt>
                <c:pt idx="423">
                  <c:v>0.13198185481345545</c:v>
                </c:pt>
                <c:pt idx="424">
                  <c:v>0.13252260184587392</c:v>
                </c:pt>
                <c:pt idx="425">
                  <c:v>0.13306483382171272</c:v>
                </c:pt>
                <c:pt idx="426">
                  <c:v>0.13360853266165307</c:v>
                </c:pt>
                <c:pt idx="427">
                  <c:v>0.13415368053094934</c:v>
                </c:pt>
                <c:pt idx="428">
                  <c:v>0.1347002598364235</c:v>
                </c:pt>
                <c:pt idx="429">
                  <c:v>0.13524825322347053</c:v>
                </c:pt>
                <c:pt idx="430">
                  <c:v>0.13579764357307531</c:v>
                </c:pt>
                <c:pt idx="431">
                  <c:v>0.1363484139988434</c:v>
                </c:pt>
                <c:pt idx="432">
                  <c:v>0.13690054784404621</c:v>
                </c:pt>
                <c:pt idx="433">
                  <c:v>0.13745402867868217</c:v>
                </c:pt>
                <c:pt idx="434">
                  <c:v>0.13800884029655483</c:v>
                </c:pt>
                <c:pt idx="435">
                  <c:v>0.13856496671236915</c:v>
                </c:pt>
                <c:pt idx="436">
                  <c:v>0.13912239215884684</c:v>
                </c:pt>
                <c:pt idx="437">
                  <c:v>0.13968110108386159</c:v>
                </c:pt>
                <c:pt idx="438">
                  <c:v>0.1402410781475954</c:v>
                </c:pt>
                <c:pt idx="439">
                  <c:v>0.14080230821971618</c:v>
                </c:pt>
                <c:pt idx="440">
                  <c:v>0.14136477637657816</c:v>
                </c:pt>
                <c:pt idx="441">
                  <c:v>0.14192846789844502</c:v>
                </c:pt>
                <c:pt idx="442">
                  <c:v>0.142493368266737</c:v>
                </c:pt>
                <c:pt idx="443">
                  <c:v>0.14305946316130203</c:v>
                </c:pt>
                <c:pt idx="444">
                  <c:v>0.14362673845771171</c:v>
                </c:pt>
                <c:pt idx="445">
                  <c:v>0.1441951802245828</c:v>
                </c:pt>
                <c:pt idx="446">
                  <c:v>0.14476477472092411</c:v>
                </c:pt>
                <c:pt idx="447">
                  <c:v>0.14533550839350962</c:v>
                </c:pt>
                <c:pt idx="448">
                  <c:v>0.14590736787427805</c:v>
                </c:pt>
                <c:pt idx="449">
                  <c:v>0.14648033997775911</c:v>
                </c:pt>
                <c:pt idx="450">
                  <c:v>0.14705441169852707</c:v>
                </c:pt>
                <c:pt idx="451">
                  <c:v>0.14762957020868103</c:v>
                </c:pt>
                <c:pt idx="452">
                  <c:v>0.1482058028553534</c:v>
                </c:pt>
                <c:pt idx="453">
                  <c:v>0.14878309715824534</c:v>
                </c:pt>
                <c:pt idx="454">
                  <c:v>0.14936144080719047</c:v>
                </c:pt>
                <c:pt idx="455">
                  <c:v>0.14994082165974634</c:v>
                </c:pt>
                <c:pt idx="456">
                  <c:v>0.15052122773881382</c:v>
                </c:pt>
                <c:pt idx="457">
                  <c:v>0.15110264723028466</c:v>
                </c:pt>
                <c:pt idx="458">
                  <c:v>0.15168506848071711</c:v>
                </c:pt>
                <c:pt idx="459">
                  <c:v>0.15226847999503981</c:v>
                </c:pt>
                <c:pt idx="460">
                  <c:v>0.15285287043428342</c:v>
                </c:pt>
                <c:pt idx="461">
                  <c:v>0.15343822861334075</c:v>
                </c:pt>
                <c:pt idx="462">
                  <c:v>0.15402454349875483</c:v>
                </c:pt>
                <c:pt idx="463">
                  <c:v>0.15461180420653467</c:v>
                </c:pt>
                <c:pt idx="464">
                  <c:v>0.15519999999999937</c:v>
                </c:pt>
                <c:pt idx="465">
                  <c:v>0.15578912028764974</c:v>
                </c:pt>
                <c:pt idx="466">
                  <c:v>0.15637915462106769</c:v>
                </c:pt>
                <c:pt idx="467">
                  <c:v>0.1569700926928432</c:v>
                </c:pt>
                <c:pt idx="468">
                  <c:v>0.15756192433452881</c:v>
                </c:pt>
                <c:pt idx="469">
                  <c:v>0.15815463951462119</c:v>
                </c:pt>
                <c:pt idx="470">
                  <c:v>0.15874822833656999</c:v>
                </c:pt>
                <c:pt idx="471">
                  <c:v>0.15934268103681376</c:v>
                </c:pt>
                <c:pt idx="472">
                  <c:v>0.15993798798284212</c:v>
                </c:pt>
                <c:pt idx="473">
                  <c:v>0.16053413967128535</c:v>
                </c:pt>
                <c:pt idx="474">
                  <c:v>0.16113112672602939</c:v>
                </c:pt>
                <c:pt idx="475">
                  <c:v>0.16172893989635787</c:v>
                </c:pt>
                <c:pt idx="476">
                  <c:v>0.1623275700551195</c:v>
                </c:pt>
                <c:pt idx="477">
                  <c:v>0.16292700819692149</c:v>
                </c:pt>
                <c:pt idx="478">
                  <c:v>0.16352724543634836</c:v>
                </c:pt>
                <c:pt idx="479">
                  <c:v>0.16412827300620605</c:v>
                </c:pt>
                <c:pt idx="480">
                  <c:v>0.16473008225579111</c:v>
                </c:pt>
                <c:pt idx="481">
                  <c:v>0.1653326646491845</c:v>
                </c:pt>
                <c:pt idx="482">
                  <c:v>0.16593601176357015</c:v>
                </c:pt>
                <c:pt idx="483">
                  <c:v>0.16654011528757773</c:v>
                </c:pt>
                <c:pt idx="484">
                  <c:v>0.1671449670196494</c:v>
                </c:pt>
                <c:pt idx="485">
                  <c:v>0.16775055886643023</c:v>
                </c:pt>
                <c:pt idx="486">
                  <c:v>0.16835688284118255</c:v>
                </c:pt>
                <c:pt idx="487">
                  <c:v>0.16896393106222304</c:v>
                </c:pt>
                <c:pt idx="488">
                  <c:v>0.16957169575138314</c:v>
                </c:pt>
                <c:pt idx="489">
                  <c:v>0.1701801692324921</c:v>
                </c:pt>
                <c:pt idx="490">
                  <c:v>0.17078934392988235</c:v>
                </c:pt>
                <c:pt idx="491">
                  <c:v>0.17139921236691735</c:v>
                </c:pt>
                <c:pt idx="492">
                  <c:v>0.17200976716454106</c:v>
                </c:pt>
                <c:pt idx="493">
                  <c:v>0.17262100103984918</c:v>
                </c:pt>
                <c:pt idx="494">
                  <c:v>0.17323290680468192</c:v>
                </c:pt>
                <c:pt idx="495">
                  <c:v>0.17384547736423747</c:v>
                </c:pt>
                <c:pt idx="496">
                  <c:v>0.17445870571570682</c:v>
                </c:pt>
                <c:pt idx="497">
                  <c:v>0.17507258494692879</c:v>
                </c:pt>
                <c:pt idx="498">
                  <c:v>0.17568710823506539</c:v>
                </c:pt>
                <c:pt idx="499">
                  <c:v>0.17630226884529757</c:v>
                </c:pt>
                <c:pt idx="500">
                  <c:v>0.17691806012954012</c:v>
                </c:pt>
                <c:pt idx="501">
                  <c:v>0.17753447552517668</c:v>
                </c:pt>
                <c:pt idx="502">
                  <c:v>0.1781515085538137</c:v>
                </c:pt>
                <c:pt idx="503">
                  <c:v>0.17876915282005323</c:v>
                </c:pt>
                <c:pt idx="504">
                  <c:v>0.17938740201028483</c:v>
                </c:pt>
                <c:pt idx="505">
                  <c:v>0.18000624989149552</c:v>
                </c:pt>
                <c:pt idx="506">
                  <c:v>0.18062569031009829</c:v>
                </c:pt>
                <c:pt idx="507">
                  <c:v>0.18124571719077809</c:v>
                </c:pt>
                <c:pt idx="508">
                  <c:v>0.18186632453535623</c:v>
                </c:pt>
                <c:pt idx="509">
                  <c:v>0.18248750642167125</c:v>
                </c:pt>
                <c:pt idx="510">
                  <c:v>0.18310925700247788</c:v>
                </c:pt>
                <c:pt idx="511">
                  <c:v>0.18373157050436242</c:v>
                </c:pt>
                <c:pt idx="512">
                  <c:v>0.1843544412266748</c:v>
                </c:pt>
                <c:pt idx="513">
                  <c:v>0.18497786354047741</c:v>
                </c:pt>
                <c:pt idx="514">
                  <c:v>0.18560183188750987</c:v>
                </c:pt>
                <c:pt idx="515">
                  <c:v>0.18622634077916975</c:v>
                </c:pt>
                <c:pt idx="516">
                  <c:v>0.18685138479550925</c:v>
                </c:pt>
                <c:pt idx="517">
                  <c:v>0.18747695858424696</c:v>
                </c:pt>
                <c:pt idx="518">
                  <c:v>0.18810305685979545</c:v>
                </c:pt>
                <c:pt idx="519">
                  <c:v>0.18872967440230334</c:v>
                </c:pt>
                <c:pt idx="520">
                  <c:v>0.18935680605671248</c:v>
                </c:pt>
                <c:pt idx="521">
                  <c:v>0.18998444673182965</c:v>
                </c:pt>
                <c:pt idx="522">
                  <c:v>0.19061259139941256</c:v>
                </c:pt>
                <c:pt idx="523">
                  <c:v>0.1912412350932701</c:v>
                </c:pt>
                <c:pt idx="524">
                  <c:v>0.19187037290837633</c:v>
                </c:pt>
                <c:pt idx="525">
                  <c:v>0.19249999999999842</c:v>
                </c:pt>
                <c:pt idx="526">
                  <c:v>0.1931301115828378</c:v>
                </c:pt>
                <c:pt idx="527">
                  <c:v>0.19376070293018494</c:v>
                </c:pt>
                <c:pt idx="528">
                  <c:v>0.1943917693730868</c:v>
                </c:pt>
                <c:pt idx="529">
                  <c:v>0.19502330629952758</c:v>
                </c:pt>
                <c:pt idx="530">
                  <c:v>0.19565530915362186</c:v>
                </c:pt>
                <c:pt idx="531">
                  <c:v>0.19628777343482029</c:v>
                </c:pt>
                <c:pt idx="532">
                  <c:v>0.19692069469712759</c:v>
                </c:pt>
                <c:pt idx="533">
                  <c:v>0.19755406854833268</c:v>
                </c:pt>
                <c:pt idx="534">
                  <c:v>0.1981878906492506</c:v>
                </c:pt>
                <c:pt idx="535">
                  <c:v>0.19882215671297632</c:v>
                </c:pt>
                <c:pt idx="536">
                  <c:v>0.19945686250414976</c:v>
                </c:pt>
                <c:pt idx="537">
                  <c:v>0.20009200383823261</c:v>
                </c:pt>
                <c:pt idx="538">
                  <c:v>0.20072757658079593</c:v>
                </c:pt>
                <c:pt idx="539">
                  <c:v>0.20136357664681881</c:v>
                </c:pt>
                <c:pt idx="540">
                  <c:v>0.20199999999999818</c:v>
                </c:pt>
                <c:pt idx="541">
                  <c:v>0.20263684265206874</c:v>
                </c:pt>
                <c:pt idx="542">
                  <c:v>0.20327410066213369</c:v>
                </c:pt>
                <c:pt idx="543">
                  <c:v>0.20391177013600575</c:v>
                </c:pt>
                <c:pt idx="544">
                  <c:v>0.2045498472255583</c:v>
                </c:pt>
                <c:pt idx="545">
                  <c:v>0.20518832812808635</c:v>
                </c:pt>
                <c:pt idx="546">
                  <c:v>0.20582720908567756</c:v>
                </c:pt>
                <c:pt idx="547">
                  <c:v>0.20646648638459272</c:v>
                </c:pt>
                <c:pt idx="548">
                  <c:v>0.20710615635465596</c:v>
                </c:pt>
                <c:pt idx="549">
                  <c:v>0.20774621536865406</c:v>
                </c:pt>
                <c:pt idx="550">
                  <c:v>0.20838665984174512</c:v>
                </c:pt>
                <c:pt idx="551">
                  <c:v>0.2090274862308763</c:v>
                </c:pt>
                <c:pt idx="552">
                  <c:v>0.20966869103421037</c:v>
                </c:pt>
                <c:pt idx="553">
                  <c:v>0.21031027079056117</c:v>
                </c:pt>
                <c:pt idx="554">
                  <c:v>0.21095222207883746</c:v>
                </c:pt>
                <c:pt idx="555">
                  <c:v>0.21159454151749557</c:v>
                </c:pt>
                <c:pt idx="556">
                  <c:v>0.21223722576400009</c:v>
                </c:pt>
                <c:pt idx="557">
                  <c:v>0.21288027151429306</c:v>
                </c:pt>
                <c:pt idx="558">
                  <c:v>0.213523675502271</c:v>
                </c:pt>
                <c:pt idx="559">
                  <c:v>0.21416743449927003</c:v>
                </c:pt>
                <c:pt idx="560">
                  <c:v>0.21481154531355878</c:v>
                </c:pt>
                <c:pt idx="561">
                  <c:v>0.21545600478983892</c:v>
                </c:pt>
                <c:pt idx="562">
                  <c:v>0.2161008098087536</c:v>
                </c:pt>
                <c:pt idx="563">
                  <c:v>0.21674595728640267</c:v>
                </c:pt>
                <c:pt idx="564">
                  <c:v>0.21739144417386594</c:v>
                </c:pt>
                <c:pt idx="565">
                  <c:v>0.21803726745673335</c:v>
                </c:pt>
                <c:pt idx="566">
                  <c:v>0.21868342415464201</c:v>
                </c:pt>
                <c:pt idx="567">
                  <c:v>0.21932991132082064</c:v>
                </c:pt>
                <c:pt idx="568">
                  <c:v>0.21997672604164067</c:v>
                </c:pt>
                <c:pt idx="569">
                  <c:v>0.22062386543617404</c:v>
                </c:pt>
                <c:pt idx="570">
                  <c:v>0.22127132665575769</c:v>
                </c:pt>
                <c:pt idx="571">
                  <c:v>0.2219191068835647</c:v>
                </c:pt>
                <c:pt idx="572">
                  <c:v>0.22256720333418176</c:v>
                </c:pt>
                <c:pt idx="573">
                  <c:v>0.22321561325319292</c:v>
                </c:pt>
                <c:pt idx="574">
                  <c:v>0.22386433391676974</c:v>
                </c:pt>
                <c:pt idx="575">
                  <c:v>0.22451336263126742</c:v>
                </c:pt>
                <c:pt idx="576">
                  <c:v>0.22516269673282691</c:v>
                </c:pt>
                <c:pt idx="577">
                  <c:v>0.22581233358698316</c:v>
                </c:pt>
                <c:pt idx="578">
                  <c:v>0.22646227058827914</c:v>
                </c:pt>
                <c:pt idx="579">
                  <c:v>0.22711250515988532</c:v>
                </c:pt>
                <c:pt idx="580">
                  <c:v>0.22776303475322532</c:v>
                </c:pt>
                <c:pt idx="581">
                  <c:v>0.22841385684760662</c:v>
                </c:pt>
                <c:pt idx="582">
                  <c:v>0.22906496894985695</c:v>
                </c:pt>
                <c:pt idx="583">
                  <c:v>0.22971636859396613</c:v>
                </c:pt>
                <c:pt idx="584">
                  <c:v>0.23036805334073321</c:v>
                </c:pt>
                <c:pt idx="585">
                  <c:v>0.23102002077741854</c:v>
                </c:pt>
                <c:pt idx="586">
                  <c:v>0.23167226851740128</c:v>
                </c:pt>
                <c:pt idx="587">
                  <c:v>0.23232479419984187</c:v>
                </c:pt>
                <c:pt idx="588">
                  <c:v>0.23297759548934927</c:v>
                </c:pt>
                <c:pt idx="589">
                  <c:v>0.2336306700756535</c:v>
                </c:pt>
                <c:pt idx="590">
                  <c:v>0.23428401567328241</c:v>
                </c:pt>
                <c:pt idx="591">
                  <c:v>0.23493763002124382</c:v>
                </c:pt>
                <c:pt idx="592">
                  <c:v>0.23559151088271163</c:v>
                </c:pt>
                <c:pt idx="593">
                  <c:v>0.23624565604471714</c:v>
                </c:pt>
                <c:pt idx="594">
                  <c:v>0.23690006331784466</c:v>
                </c:pt>
                <c:pt idx="595">
                  <c:v>0.23755473053593101</c:v>
                </c:pt>
                <c:pt idx="596">
                  <c:v>0.23820965555577042</c:v>
                </c:pt>
                <c:pt idx="597">
                  <c:v>0.23886483625682281</c:v>
                </c:pt>
                <c:pt idx="598">
                  <c:v>0.23952027054092681</c:v>
                </c:pt>
                <c:pt idx="599">
                  <c:v>0.24017595633201663</c:v>
                </c:pt>
                <c:pt idx="600">
                  <c:v>0.24083189157584331</c:v>
                </c:pt>
              </c:numCache>
            </c:numRef>
          </c:xVal>
          <c:yVal>
            <c:numRef>
              <c:f>Com_Short_Sell!$E$12:$E$612</c:f>
              <c:numCache>
                <c:formatCode>0.0%</c:formatCode>
                <c:ptCount val="601"/>
                <c:pt idx="0">
                  <c:v>0.03</c:v>
                </c:pt>
                <c:pt idx="1">
                  <c:v>3.015000000000001E-2</c:v>
                </c:pt>
                <c:pt idx="2">
                  <c:v>3.0300000000000007E-2</c:v>
                </c:pt>
                <c:pt idx="3">
                  <c:v>3.0450000000000019E-2</c:v>
                </c:pt>
                <c:pt idx="4">
                  <c:v>3.0600000000000016E-2</c:v>
                </c:pt>
                <c:pt idx="5">
                  <c:v>3.0750000000000027E-2</c:v>
                </c:pt>
                <c:pt idx="6">
                  <c:v>3.0900000000000039E-2</c:v>
                </c:pt>
                <c:pt idx="7">
                  <c:v>3.105000000000005E-2</c:v>
                </c:pt>
                <c:pt idx="8">
                  <c:v>3.1200000000000061E-2</c:v>
                </c:pt>
                <c:pt idx="9">
                  <c:v>3.1350000000000058E-2</c:v>
                </c:pt>
                <c:pt idx="10">
                  <c:v>3.150000000000007E-2</c:v>
                </c:pt>
                <c:pt idx="11">
                  <c:v>3.1650000000000081E-2</c:v>
                </c:pt>
                <c:pt idx="12">
                  <c:v>3.1800000000000078E-2</c:v>
                </c:pt>
                <c:pt idx="13">
                  <c:v>3.1950000000000089E-2</c:v>
                </c:pt>
                <c:pt idx="14">
                  <c:v>3.2100000000000087E-2</c:v>
                </c:pt>
                <c:pt idx="15">
                  <c:v>3.2250000000000098E-2</c:v>
                </c:pt>
                <c:pt idx="16">
                  <c:v>3.2400000000000109E-2</c:v>
                </c:pt>
                <c:pt idx="17">
                  <c:v>3.2550000000000107E-2</c:v>
                </c:pt>
                <c:pt idx="18">
                  <c:v>3.2700000000000118E-2</c:v>
                </c:pt>
                <c:pt idx="19">
                  <c:v>3.2850000000000129E-2</c:v>
                </c:pt>
                <c:pt idx="20">
                  <c:v>3.300000000000014E-2</c:v>
                </c:pt>
                <c:pt idx="21">
                  <c:v>3.3150000000000152E-2</c:v>
                </c:pt>
                <c:pt idx="22">
                  <c:v>3.3300000000000149E-2</c:v>
                </c:pt>
                <c:pt idx="23">
                  <c:v>3.345000000000016E-2</c:v>
                </c:pt>
                <c:pt idx="24">
                  <c:v>3.3600000000000158E-2</c:v>
                </c:pt>
                <c:pt idx="25">
                  <c:v>3.3750000000000169E-2</c:v>
                </c:pt>
                <c:pt idx="26">
                  <c:v>3.390000000000018E-2</c:v>
                </c:pt>
                <c:pt idx="27">
                  <c:v>3.4050000000000177E-2</c:v>
                </c:pt>
                <c:pt idx="28">
                  <c:v>3.4200000000000189E-2</c:v>
                </c:pt>
                <c:pt idx="29">
                  <c:v>3.4350000000000186E-2</c:v>
                </c:pt>
                <c:pt idx="30">
                  <c:v>3.4500000000000197E-2</c:v>
                </c:pt>
                <c:pt idx="31">
                  <c:v>3.4650000000000222E-2</c:v>
                </c:pt>
                <c:pt idx="32">
                  <c:v>3.480000000000022E-2</c:v>
                </c:pt>
                <c:pt idx="33">
                  <c:v>3.4950000000000231E-2</c:v>
                </c:pt>
                <c:pt idx="34">
                  <c:v>3.5100000000000228E-2</c:v>
                </c:pt>
                <c:pt idx="35">
                  <c:v>3.5250000000000239E-2</c:v>
                </c:pt>
                <c:pt idx="36">
                  <c:v>3.5400000000000251E-2</c:v>
                </c:pt>
                <c:pt idx="37">
                  <c:v>3.5550000000000248E-2</c:v>
                </c:pt>
                <c:pt idx="38">
                  <c:v>3.5700000000000259E-2</c:v>
                </c:pt>
                <c:pt idx="39">
                  <c:v>3.5850000000000257E-2</c:v>
                </c:pt>
                <c:pt idx="40">
                  <c:v>3.6000000000000268E-2</c:v>
                </c:pt>
                <c:pt idx="41">
                  <c:v>3.6150000000000279E-2</c:v>
                </c:pt>
                <c:pt idx="42">
                  <c:v>3.6300000000000276E-2</c:v>
                </c:pt>
                <c:pt idx="43">
                  <c:v>3.6450000000000288E-2</c:v>
                </c:pt>
                <c:pt idx="44">
                  <c:v>3.6600000000000299E-2</c:v>
                </c:pt>
                <c:pt idx="45">
                  <c:v>3.675000000000031E-2</c:v>
                </c:pt>
                <c:pt idx="46">
                  <c:v>3.6900000000000321E-2</c:v>
                </c:pt>
                <c:pt idx="47">
                  <c:v>3.7050000000000319E-2</c:v>
                </c:pt>
                <c:pt idx="48">
                  <c:v>3.720000000000033E-2</c:v>
                </c:pt>
                <c:pt idx="49">
                  <c:v>3.7350000000000327E-2</c:v>
                </c:pt>
                <c:pt idx="50">
                  <c:v>3.7500000000000339E-2</c:v>
                </c:pt>
                <c:pt idx="51">
                  <c:v>3.765000000000035E-2</c:v>
                </c:pt>
                <c:pt idx="52">
                  <c:v>3.7800000000000347E-2</c:v>
                </c:pt>
                <c:pt idx="53">
                  <c:v>3.7950000000000358E-2</c:v>
                </c:pt>
                <c:pt idx="54">
                  <c:v>3.8100000000000356E-2</c:v>
                </c:pt>
                <c:pt idx="55">
                  <c:v>3.8250000000000367E-2</c:v>
                </c:pt>
                <c:pt idx="56">
                  <c:v>3.8400000000000392E-2</c:v>
                </c:pt>
                <c:pt idx="57">
                  <c:v>3.855000000000039E-2</c:v>
                </c:pt>
                <c:pt idx="58">
                  <c:v>3.8700000000000401E-2</c:v>
                </c:pt>
                <c:pt idx="59">
                  <c:v>3.8850000000000398E-2</c:v>
                </c:pt>
                <c:pt idx="60">
                  <c:v>3.9000000000000409E-2</c:v>
                </c:pt>
                <c:pt idx="61">
                  <c:v>3.9150000000000421E-2</c:v>
                </c:pt>
                <c:pt idx="62">
                  <c:v>3.9300000000000418E-2</c:v>
                </c:pt>
                <c:pt idx="63">
                  <c:v>3.9450000000000422E-2</c:v>
                </c:pt>
                <c:pt idx="64">
                  <c:v>3.9600000000000433E-2</c:v>
                </c:pt>
                <c:pt idx="65">
                  <c:v>3.9750000000000438E-2</c:v>
                </c:pt>
                <c:pt idx="66">
                  <c:v>3.9900000000000442E-2</c:v>
                </c:pt>
                <c:pt idx="67">
                  <c:v>4.0050000000000446E-2</c:v>
                </c:pt>
                <c:pt idx="68">
                  <c:v>4.0200000000000451E-2</c:v>
                </c:pt>
                <c:pt idx="69">
                  <c:v>4.0350000000000476E-2</c:v>
                </c:pt>
                <c:pt idx="70">
                  <c:v>4.050000000000048E-2</c:v>
                </c:pt>
                <c:pt idx="71">
                  <c:v>4.0650000000000484E-2</c:v>
                </c:pt>
                <c:pt idx="72">
                  <c:v>4.0800000000000489E-2</c:v>
                </c:pt>
                <c:pt idx="73">
                  <c:v>4.0950000000000493E-2</c:v>
                </c:pt>
                <c:pt idx="74">
                  <c:v>4.1100000000000504E-2</c:v>
                </c:pt>
                <c:pt idx="75">
                  <c:v>4.1250000000000508E-2</c:v>
                </c:pt>
                <c:pt idx="76">
                  <c:v>4.1400000000000513E-2</c:v>
                </c:pt>
                <c:pt idx="77">
                  <c:v>4.1550000000000517E-2</c:v>
                </c:pt>
                <c:pt idx="78">
                  <c:v>4.1700000000000521E-2</c:v>
                </c:pt>
                <c:pt idx="79">
                  <c:v>4.1850000000000533E-2</c:v>
                </c:pt>
                <c:pt idx="80">
                  <c:v>4.2000000000000537E-2</c:v>
                </c:pt>
                <c:pt idx="81">
                  <c:v>4.2150000000000555E-2</c:v>
                </c:pt>
                <c:pt idx="82">
                  <c:v>4.2300000000000559E-2</c:v>
                </c:pt>
                <c:pt idx="83">
                  <c:v>4.2450000000000564E-2</c:v>
                </c:pt>
                <c:pt idx="84">
                  <c:v>4.2600000000000575E-2</c:v>
                </c:pt>
                <c:pt idx="85">
                  <c:v>4.2750000000000579E-2</c:v>
                </c:pt>
                <c:pt idx="86">
                  <c:v>4.2900000000000583E-2</c:v>
                </c:pt>
                <c:pt idx="87">
                  <c:v>4.3050000000000588E-2</c:v>
                </c:pt>
                <c:pt idx="88">
                  <c:v>4.3200000000000592E-2</c:v>
                </c:pt>
                <c:pt idx="89">
                  <c:v>4.3350000000000603E-2</c:v>
                </c:pt>
                <c:pt idx="90">
                  <c:v>4.3500000000000608E-2</c:v>
                </c:pt>
                <c:pt idx="91">
                  <c:v>4.3650000000000612E-2</c:v>
                </c:pt>
                <c:pt idx="92">
                  <c:v>4.3800000000000616E-2</c:v>
                </c:pt>
                <c:pt idx="93">
                  <c:v>4.3950000000000634E-2</c:v>
                </c:pt>
                <c:pt idx="94">
                  <c:v>4.4100000000000646E-2</c:v>
                </c:pt>
                <c:pt idx="95">
                  <c:v>4.425000000000065E-2</c:v>
                </c:pt>
                <c:pt idx="96">
                  <c:v>4.4400000000000654E-2</c:v>
                </c:pt>
                <c:pt idx="97">
                  <c:v>4.4550000000000659E-2</c:v>
                </c:pt>
                <c:pt idx="98">
                  <c:v>4.4700000000000663E-2</c:v>
                </c:pt>
                <c:pt idx="99">
                  <c:v>4.4850000000000674E-2</c:v>
                </c:pt>
                <c:pt idx="100">
                  <c:v>4.5000000000000678E-2</c:v>
                </c:pt>
                <c:pt idx="101">
                  <c:v>4.5150000000000683E-2</c:v>
                </c:pt>
                <c:pt idx="102">
                  <c:v>4.5300000000000687E-2</c:v>
                </c:pt>
                <c:pt idx="103">
                  <c:v>4.5450000000000691E-2</c:v>
                </c:pt>
                <c:pt idx="104">
                  <c:v>4.5600000000000702E-2</c:v>
                </c:pt>
                <c:pt idx="105">
                  <c:v>4.5750000000000707E-2</c:v>
                </c:pt>
                <c:pt idx="106">
                  <c:v>4.5900000000000725E-2</c:v>
                </c:pt>
                <c:pt idx="107">
                  <c:v>4.6050000000000729E-2</c:v>
                </c:pt>
                <c:pt idx="108">
                  <c:v>4.6200000000000734E-2</c:v>
                </c:pt>
                <c:pt idx="109">
                  <c:v>4.6350000000000745E-2</c:v>
                </c:pt>
                <c:pt idx="110">
                  <c:v>4.6500000000000749E-2</c:v>
                </c:pt>
                <c:pt idx="111">
                  <c:v>4.6650000000000753E-2</c:v>
                </c:pt>
                <c:pt idx="112">
                  <c:v>4.6800000000000758E-2</c:v>
                </c:pt>
                <c:pt idx="113">
                  <c:v>4.6950000000000762E-2</c:v>
                </c:pt>
                <c:pt idx="114">
                  <c:v>4.7100000000000773E-2</c:v>
                </c:pt>
                <c:pt idx="115">
                  <c:v>4.7250000000000777E-2</c:v>
                </c:pt>
                <c:pt idx="116">
                  <c:v>4.7400000000000782E-2</c:v>
                </c:pt>
                <c:pt idx="117">
                  <c:v>4.7550000000000786E-2</c:v>
                </c:pt>
                <c:pt idx="118">
                  <c:v>4.7700000000000804E-2</c:v>
                </c:pt>
                <c:pt idx="119">
                  <c:v>4.7850000000000815E-2</c:v>
                </c:pt>
                <c:pt idx="120">
                  <c:v>4.800000000000082E-2</c:v>
                </c:pt>
                <c:pt idx="121">
                  <c:v>4.8150000000000824E-2</c:v>
                </c:pt>
                <c:pt idx="122">
                  <c:v>4.8300000000000828E-2</c:v>
                </c:pt>
                <c:pt idx="123">
                  <c:v>4.8450000000000833E-2</c:v>
                </c:pt>
                <c:pt idx="124">
                  <c:v>4.8600000000000844E-2</c:v>
                </c:pt>
                <c:pt idx="125">
                  <c:v>4.8750000000000848E-2</c:v>
                </c:pt>
                <c:pt idx="126">
                  <c:v>4.8900000000000853E-2</c:v>
                </c:pt>
                <c:pt idx="127">
                  <c:v>4.9050000000000857E-2</c:v>
                </c:pt>
                <c:pt idx="128">
                  <c:v>4.9200000000000861E-2</c:v>
                </c:pt>
                <c:pt idx="129">
                  <c:v>4.9350000000000865E-2</c:v>
                </c:pt>
                <c:pt idx="130">
                  <c:v>4.9500000000000891E-2</c:v>
                </c:pt>
                <c:pt idx="131">
                  <c:v>4.9650000000000895E-2</c:v>
                </c:pt>
                <c:pt idx="132">
                  <c:v>4.9800000000000899E-2</c:v>
                </c:pt>
                <c:pt idx="133">
                  <c:v>4.995000000000091E-2</c:v>
                </c:pt>
                <c:pt idx="134">
                  <c:v>5.0100000000000908E-2</c:v>
                </c:pt>
                <c:pt idx="135">
                  <c:v>5.0250000000000919E-2</c:v>
                </c:pt>
                <c:pt idx="136">
                  <c:v>5.0400000000000923E-2</c:v>
                </c:pt>
                <c:pt idx="137">
                  <c:v>5.0550000000000928E-2</c:v>
                </c:pt>
                <c:pt idx="138">
                  <c:v>5.0700000000000939E-2</c:v>
                </c:pt>
                <c:pt idx="139">
                  <c:v>5.0850000000000936E-2</c:v>
                </c:pt>
                <c:pt idx="140">
                  <c:v>5.1000000000000947E-2</c:v>
                </c:pt>
                <c:pt idx="141">
                  <c:v>5.1150000000000952E-2</c:v>
                </c:pt>
                <c:pt idx="142">
                  <c:v>5.1300000000000956E-2</c:v>
                </c:pt>
                <c:pt idx="143">
                  <c:v>5.1450000000000981E-2</c:v>
                </c:pt>
                <c:pt idx="144">
                  <c:v>5.1600000000000978E-2</c:v>
                </c:pt>
                <c:pt idx="145">
                  <c:v>5.175000000000099E-2</c:v>
                </c:pt>
                <c:pt idx="146">
                  <c:v>5.1900000000000994E-2</c:v>
                </c:pt>
                <c:pt idx="147">
                  <c:v>5.2050000000000998E-2</c:v>
                </c:pt>
                <c:pt idx="148">
                  <c:v>5.2200000000001003E-2</c:v>
                </c:pt>
                <c:pt idx="149">
                  <c:v>5.2350000000001007E-2</c:v>
                </c:pt>
                <c:pt idx="150">
                  <c:v>5.2500000000001018E-2</c:v>
                </c:pt>
                <c:pt idx="151">
                  <c:v>5.2650000000001022E-2</c:v>
                </c:pt>
                <c:pt idx="152">
                  <c:v>5.2800000000001027E-2</c:v>
                </c:pt>
                <c:pt idx="153">
                  <c:v>5.2950000000001031E-2</c:v>
                </c:pt>
                <c:pt idx="154">
                  <c:v>5.3100000000001035E-2</c:v>
                </c:pt>
                <c:pt idx="155">
                  <c:v>5.325000000000106E-2</c:v>
                </c:pt>
                <c:pt idx="156">
                  <c:v>5.3400000000001065E-2</c:v>
                </c:pt>
                <c:pt idx="157">
                  <c:v>5.3550000000001069E-2</c:v>
                </c:pt>
                <c:pt idx="158">
                  <c:v>5.3700000000001073E-2</c:v>
                </c:pt>
                <c:pt idx="159">
                  <c:v>5.3850000000001078E-2</c:v>
                </c:pt>
                <c:pt idx="160">
                  <c:v>5.4000000000001089E-2</c:v>
                </c:pt>
                <c:pt idx="161">
                  <c:v>5.4150000000001093E-2</c:v>
                </c:pt>
                <c:pt idx="162">
                  <c:v>5.4300000000001097E-2</c:v>
                </c:pt>
                <c:pt idx="163">
                  <c:v>5.4450000000001102E-2</c:v>
                </c:pt>
                <c:pt idx="164">
                  <c:v>5.4600000000001106E-2</c:v>
                </c:pt>
                <c:pt idx="165">
                  <c:v>5.4750000000001117E-2</c:v>
                </c:pt>
                <c:pt idx="166">
                  <c:v>5.4900000000001122E-2</c:v>
                </c:pt>
                <c:pt idx="167">
                  <c:v>5.5050000000001126E-2</c:v>
                </c:pt>
                <c:pt idx="168">
                  <c:v>5.5200000000001144E-2</c:v>
                </c:pt>
                <c:pt idx="169">
                  <c:v>5.5350000000001148E-2</c:v>
                </c:pt>
                <c:pt idx="170">
                  <c:v>5.550000000000116E-2</c:v>
                </c:pt>
                <c:pt idx="171">
                  <c:v>5.5650000000001164E-2</c:v>
                </c:pt>
                <c:pt idx="172">
                  <c:v>5.5800000000001168E-2</c:v>
                </c:pt>
                <c:pt idx="173">
                  <c:v>5.5950000000001172E-2</c:v>
                </c:pt>
                <c:pt idx="174">
                  <c:v>5.6100000000001177E-2</c:v>
                </c:pt>
                <c:pt idx="175">
                  <c:v>5.6250000000001188E-2</c:v>
                </c:pt>
                <c:pt idx="176">
                  <c:v>5.6400000000001192E-2</c:v>
                </c:pt>
                <c:pt idx="177">
                  <c:v>5.6550000000001197E-2</c:v>
                </c:pt>
                <c:pt idx="178">
                  <c:v>5.6700000000001201E-2</c:v>
                </c:pt>
                <c:pt idx="179">
                  <c:v>5.6850000000001205E-2</c:v>
                </c:pt>
                <c:pt idx="180">
                  <c:v>5.700000000000123E-2</c:v>
                </c:pt>
                <c:pt idx="181">
                  <c:v>5.7150000000001235E-2</c:v>
                </c:pt>
                <c:pt idx="182">
                  <c:v>5.7300000000001239E-2</c:v>
                </c:pt>
                <c:pt idx="183">
                  <c:v>5.7450000000001243E-2</c:v>
                </c:pt>
                <c:pt idx="184">
                  <c:v>5.7600000000001247E-2</c:v>
                </c:pt>
                <c:pt idx="185">
                  <c:v>5.7750000000001259E-2</c:v>
                </c:pt>
                <c:pt idx="186">
                  <c:v>5.7900000000001263E-2</c:v>
                </c:pt>
                <c:pt idx="187">
                  <c:v>5.8050000000001267E-2</c:v>
                </c:pt>
                <c:pt idx="188">
                  <c:v>5.8200000000001272E-2</c:v>
                </c:pt>
                <c:pt idx="189">
                  <c:v>5.8350000000001276E-2</c:v>
                </c:pt>
                <c:pt idx="190">
                  <c:v>5.850000000000128E-2</c:v>
                </c:pt>
                <c:pt idx="191">
                  <c:v>5.8650000000001284E-2</c:v>
                </c:pt>
                <c:pt idx="192">
                  <c:v>5.8800000000001296E-2</c:v>
                </c:pt>
                <c:pt idx="193">
                  <c:v>5.8950000000001307E-2</c:v>
                </c:pt>
                <c:pt idx="194">
                  <c:v>5.9100000000001311E-2</c:v>
                </c:pt>
                <c:pt idx="195">
                  <c:v>5.9250000000001322E-2</c:v>
                </c:pt>
                <c:pt idx="196">
                  <c:v>5.9400000000001327E-2</c:v>
                </c:pt>
                <c:pt idx="197">
                  <c:v>5.9550000000001331E-2</c:v>
                </c:pt>
                <c:pt idx="198">
                  <c:v>5.9700000000001335E-2</c:v>
                </c:pt>
                <c:pt idx="199">
                  <c:v>5.9850000000001347E-2</c:v>
                </c:pt>
                <c:pt idx="200">
                  <c:v>6.0000000000001351E-2</c:v>
                </c:pt>
                <c:pt idx="201">
                  <c:v>6.0150000000001355E-2</c:v>
                </c:pt>
                <c:pt idx="202">
                  <c:v>6.0300000000001353E-2</c:v>
                </c:pt>
                <c:pt idx="203">
                  <c:v>6.045000000000135E-2</c:v>
                </c:pt>
                <c:pt idx="204">
                  <c:v>6.0600000000001347E-2</c:v>
                </c:pt>
                <c:pt idx="205">
                  <c:v>6.0750000000001345E-2</c:v>
                </c:pt>
                <c:pt idx="206">
                  <c:v>6.0900000000001356E-2</c:v>
                </c:pt>
                <c:pt idx="207">
                  <c:v>6.1050000000001353E-2</c:v>
                </c:pt>
                <c:pt idx="208">
                  <c:v>6.1200000000001351E-2</c:v>
                </c:pt>
                <c:pt idx="209">
                  <c:v>6.1350000000001348E-2</c:v>
                </c:pt>
                <c:pt idx="210">
                  <c:v>6.1500000000001345E-2</c:v>
                </c:pt>
                <c:pt idx="211">
                  <c:v>6.165000000000135E-2</c:v>
                </c:pt>
                <c:pt idx="212">
                  <c:v>6.1800000000001347E-2</c:v>
                </c:pt>
                <c:pt idx="213">
                  <c:v>6.1950000000001344E-2</c:v>
                </c:pt>
                <c:pt idx="214">
                  <c:v>6.2100000000001349E-2</c:v>
                </c:pt>
                <c:pt idx="215">
                  <c:v>6.2250000000001346E-2</c:v>
                </c:pt>
                <c:pt idx="216">
                  <c:v>6.240000000000135E-2</c:v>
                </c:pt>
                <c:pt idx="217">
                  <c:v>6.2550000000001355E-2</c:v>
                </c:pt>
                <c:pt idx="218">
                  <c:v>6.2700000000001352E-2</c:v>
                </c:pt>
                <c:pt idx="219">
                  <c:v>6.2850000000001349E-2</c:v>
                </c:pt>
                <c:pt idx="220">
                  <c:v>6.3000000000001347E-2</c:v>
                </c:pt>
                <c:pt idx="221">
                  <c:v>6.3150000000001344E-2</c:v>
                </c:pt>
                <c:pt idx="222">
                  <c:v>6.3300000000001355E-2</c:v>
                </c:pt>
                <c:pt idx="223">
                  <c:v>6.3450000000001353E-2</c:v>
                </c:pt>
                <c:pt idx="224">
                  <c:v>6.360000000000135E-2</c:v>
                </c:pt>
                <c:pt idx="225">
                  <c:v>6.3750000000001347E-2</c:v>
                </c:pt>
                <c:pt idx="226">
                  <c:v>6.3900000000001345E-2</c:v>
                </c:pt>
                <c:pt idx="227">
                  <c:v>6.4050000000001356E-2</c:v>
                </c:pt>
                <c:pt idx="228">
                  <c:v>6.4200000000001353E-2</c:v>
                </c:pt>
                <c:pt idx="229">
                  <c:v>6.4350000000001351E-2</c:v>
                </c:pt>
                <c:pt idx="230">
                  <c:v>6.4500000000001348E-2</c:v>
                </c:pt>
                <c:pt idx="231">
                  <c:v>6.4650000000001345E-2</c:v>
                </c:pt>
                <c:pt idx="232">
                  <c:v>6.4800000000001357E-2</c:v>
                </c:pt>
                <c:pt idx="233">
                  <c:v>6.4950000000001354E-2</c:v>
                </c:pt>
                <c:pt idx="234">
                  <c:v>6.5100000000001351E-2</c:v>
                </c:pt>
                <c:pt idx="235">
                  <c:v>6.5250000000001349E-2</c:v>
                </c:pt>
                <c:pt idx="236">
                  <c:v>6.5400000000001346E-2</c:v>
                </c:pt>
                <c:pt idx="237">
                  <c:v>6.5550000000001357E-2</c:v>
                </c:pt>
                <c:pt idx="238">
                  <c:v>6.5700000000001341E-2</c:v>
                </c:pt>
                <c:pt idx="239">
                  <c:v>6.5850000000001352E-2</c:v>
                </c:pt>
                <c:pt idx="240">
                  <c:v>6.6000000000001349E-2</c:v>
                </c:pt>
                <c:pt idx="241">
                  <c:v>6.6150000000001347E-2</c:v>
                </c:pt>
                <c:pt idx="242">
                  <c:v>6.6300000000001358E-2</c:v>
                </c:pt>
                <c:pt idx="243">
                  <c:v>6.6450000000001341E-2</c:v>
                </c:pt>
                <c:pt idx="244">
                  <c:v>6.6600000000001353E-2</c:v>
                </c:pt>
                <c:pt idx="245">
                  <c:v>6.675000000000135E-2</c:v>
                </c:pt>
                <c:pt idx="246">
                  <c:v>6.6900000000001347E-2</c:v>
                </c:pt>
                <c:pt idx="247">
                  <c:v>6.7050000000001359E-2</c:v>
                </c:pt>
                <c:pt idx="248">
                  <c:v>6.7200000000001342E-2</c:v>
                </c:pt>
                <c:pt idx="249">
                  <c:v>6.7350000000001353E-2</c:v>
                </c:pt>
                <c:pt idx="250">
                  <c:v>6.7500000000001337E-2</c:v>
                </c:pt>
                <c:pt idx="251">
                  <c:v>6.7650000000001348E-2</c:v>
                </c:pt>
                <c:pt idx="252">
                  <c:v>6.7800000000001345E-2</c:v>
                </c:pt>
                <c:pt idx="253">
                  <c:v>6.7950000000001343E-2</c:v>
                </c:pt>
                <c:pt idx="254">
                  <c:v>6.8100000000001354E-2</c:v>
                </c:pt>
                <c:pt idx="255">
                  <c:v>6.8250000000001337E-2</c:v>
                </c:pt>
                <c:pt idx="256">
                  <c:v>6.8400000000001349E-2</c:v>
                </c:pt>
                <c:pt idx="257">
                  <c:v>6.8550000000001346E-2</c:v>
                </c:pt>
                <c:pt idx="258">
                  <c:v>6.8700000000001343E-2</c:v>
                </c:pt>
                <c:pt idx="259">
                  <c:v>6.8850000000001355E-2</c:v>
                </c:pt>
                <c:pt idx="260">
                  <c:v>6.9000000000001338E-2</c:v>
                </c:pt>
                <c:pt idx="261">
                  <c:v>6.9150000000001349E-2</c:v>
                </c:pt>
                <c:pt idx="262">
                  <c:v>6.9300000000001347E-2</c:v>
                </c:pt>
                <c:pt idx="263">
                  <c:v>6.9450000000001344E-2</c:v>
                </c:pt>
                <c:pt idx="264">
                  <c:v>6.9600000000001355E-2</c:v>
                </c:pt>
                <c:pt idx="265">
                  <c:v>6.9750000000001339E-2</c:v>
                </c:pt>
                <c:pt idx="266">
                  <c:v>6.990000000000135E-2</c:v>
                </c:pt>
                <c:pt idx="267">
                  <c:v>7.0050000000001347E-2</c:v>
                </c:pt>
                <c:pt idx="268">
                  <c:v>7.0200000000001345E-2</c:v>
                </c:pt>
                <c:pt idx="269">
                  <c:v>7.0350000000001356E-2</c:v>
                </c:pt>
                <c:pt idx="270">
                  <c:v>7.0500000000001339E-2</c:v>
                </c:pt>
                <c:pt idx="271">
                  <c:v>7.0650000000001351E-2</c:v>
                </c:pt>
                <c:pt idx="272">
                  <c:v>7.0800000000001362E-2</c:v>
                </c:pt>
                <c:pt idx="273">
                  <c:v>7.0950000000001345E-2</c:v>
                </c:pt>
                <c:pt idx="274">
                  <c:v>7.1100000000001357E-2</c:v>
                </c:pt>
                <c:pt idx="275">
                  <c:v>7.125000000000134E-2</c:v>
                </c:pt>
                <c:pt idx="276">
                  <c:v>7.1400000000001351E-2</c:v>
                </c:pt>
                <c:pt idx="277">
                  <c:v>7.1550000000001363E-2</c:v>
                </c:pt>
                <c:pt idx="278">
                  <c:v>7.1700000000001346E-2</c:v>
                </c:pt>
                <c:pt idx="279">
                  <c:v>7.1850000000001357E-2</c:v>
                </c:pt>
                <c:pt idx="280">
                  <c:v>7.2000000000001341E-2</c:v>
                </c:pt>
                <c:pt idx="281">
                  <c:v>7.2150000000001352E-2</c:v>
                </c:pt>
                <c:pt idx="282">
                  <c:v>7.2300000000001363E-2</c:v>
                </c:pt>
                <c:pt idx="283">
                  <c:v>7.2450000000001347E-2</c:v>
                </c:pt>
                <c:pt idx="284">
                  <c:v>7.2600000000001358E-2</c:v>
                </c:pt>
                <c:pt idx="285">
                  <c:v>7.2750000000001341E-2</c:v>
                </c:pt>
                <c:pt idx="286">
                  <c:v>7.2900000000001353E-2</c:v>
                </c:pt>
                <c:pt idx="287">
                  <c:v>7.3050000000001364E-2</c:v>
                </c:pt>
                <c:pt idx="288">
                  <c:v>7.3200000000001347E-2</c:v>
                </c:pt>
                <c:pt idx="289">
                  <c:v>7.3350000000001359E-2</c:v>
                </c:pt>
                <c:pt idx="290">
                  <c:v>7.3500000000001342E-2</c:v>
                </c:pt>
                <c:pt idx="291">
                  <c:v>7.3650000000001353E-2</c:v>
                </c:pt>
                <c:pt idx="292">
                  <c:v>7.3800000000001365E-2</c:v>
                </c:pt>
                <c:pt idx="293">
                  <c:v>7.3950000000001348E-2</c:v>
                </c:pt>
                <c:pt idx="294">
                  <c:v>7.4100000000001359E-2</c:v>
                </c:pt>
                <c:pt idx="295">
                  <c:v>7.4250000000001343E-2</c:v>
                </c:pt>
                <c:pt idx="296">
                  <c:v>7.4400000000001354E-2</c:v>
                </c:pt>
                <c:pt idx="297">
                  <c:v>7.4550000000001365E-2</c:v>
                </c:pt>
                <c:pt idx="298">
                  <c:v>7.4700000000001349E-2</c:v>
                </c:pt>
                <c:pt idx="299">
                  <c:v>7.485000000000136E-2</c:v>
                </c:pt>
                <c:pt idx="300">
                  <c:v>7.5000000000001343E-2</c:v>
                </c:pt>
                <c:pt idx="301">
                  <c:v>7.5150000000001355E-2</c:v>
                </c:pt>
                <c:pt idx="302">
                  <c:v>7.5300000000001352E-2</c:v>
                </c:pt>
                <c:pt idx="303">
                  <c:v>7.5450000000001349E-2</c:v>
                </c:pt>
                <c:pt idx="304">
                  <c:v>7.5600000000001347E-2</c:v>
                </c:pt>
                <c:pt idx="305">
                  <c:v>7.5750000000001344E-2</c:v>
                </c:pt>
                <c:pt idx="306">
                  <c:v>7.5900000000001355E-2</c:v>
                </c:pt>
                <c:pt idx="307">
                  <c:v>7.6050000000001353E-2</c:v>
                </c:pt>
                <c:pt idx="308">
                  <c:v>7.620000000000135E-2</c:v>
                </c:pt>
                <c:pt idx="309">
                  <c:v>7.6350000000001347E-2</c:v>
                </c:pt>
                <c:pt idx="310">
                  <c:v>7.6500000000001345E-2</c:v>
                </c:pt>
                <c:pt idx="311">
                  <c:v>7.6650000000001356E-2</c:v>
                </c:pt>
                <c:pt idx="312">
                  <c:v>7.6800000000001353E-2</c:v>
                </c:pt>
                <c:pt idx="313">
                  <c:v>7.6950000000001351E-2</c:v>
                </c:pt>
                <c:pt idx="314">
                  <c:v>7.7100000000001348E-2</c:v>
                </c:pt>
                <c:pt idx="315">
                  <c:v>7.7250000000001345E-2</c:v>
                </c:pt>
                <c:pt idx="316">
                  <c:v>7.7400000000001357E-2</c:v>
                </c:pt>
                <c:pt idx="317">
                  <c:v>7.7550000000001354E-2</c:v>
                </c:pt>
                <c:pt idx="318">
                  <c:v>7.7700000000001351E-2</c:v>
                </c:pt>
                <c:pt idx="319">
                  <c:v>7.7850000000001349E-2</c:v>
                </c:pt>
                <c:pt idx="320">
                  <c:v>7.8000000000001346E-2</c:v>
                </c:pt>
                <c:pt idx="321">
                  <c:v>7.8150000000001357E-2</c:v>
                </c:pt>
                <c:pt idx="322">
                  <c:v>7.8300000000001355E-2</c:v>
                </c:pt>
                <c:pt idx="323">
                  <c:v>7.8450000000001352E-2</c:v>
                </c:pt>
                <c:pt idx="324">
                  <c:v>7.8600000000001349E-2</c:v>
                </c:pt>
                <c:pt idx="325">
                  <c:v>7.8750000000001347E-2</c:v>
                </c:pt>
                <c:pt idx="326">
                  <c:v>7.8900000000001358E-2</c:v>
                </c:pt>
                <c:pt idx="327">
                  <c:v>7.9050000000001355E-2</c:v>
                </c:pt>
                <c:pt idx="328">
                  <c:v>7.9200000000001353E-2</c:v>
                </c:pt>
                <c:pt idx="329">
                  <c:v>7.935000000000135E-2</c:v>
                </c:pt>
                <c:pt idx="330">
                  <c:v>7.9500000000001347E-2</c:v>
                </c:pt>
                <c:pt idx="331">
                  <c:v>7.9650000000001359E-2</c:v>
                </c:pt>
                <c:pt idx="332">
                  <c:v>7.9800000000001356E-2</c:v>
                </c:pt>
                <c:pt idx="333">
                  <c:v>7.9950000000001353E-2</c:v>
                </c:pt>
                <c:pt idx="334">
                  <c:v>8.0100000000001351E-2</c:v>
                </c:pt>
                <c:pt idx="335">
                  <c:v>8.0250000000001348E-2</c:v>
                </c:pt>
                <c:pt idx="336">
                  <c:v>8.0400000000001359E-2</c:v>
                </c:pt>
                <c:pt idx="337">
                  <c:v>8.0550000000001357E-2</c:v>
                </c:pt>
                <c:pt idx="338">
                  <c:v>8.0700000000001354E-2</c:v>
                </c:pt>
                <c:pt idx="339">
                  <c:v>8.0850000000001365E-2</c:v>
                </c:pt>
                <c:pt idx="340">
                  <c:v>8.1000000000001349E-2</c:v>
                </c:pt>
                <c:pt idx="341">
                  <c:v>8.115000000000136E-2</c:v>
                </c:pt>
                <c:pt idx="342">
                  <c:v>8.1300000000001343E-2</c:v>
                </c:pt>
                <c:pt idx="343">
                  <c:v>8.1450000000001355E-2</c:v>
                </c:pt>
                <c:pt idx="344">
                  <c:v>8.1600000000001366E-2</c:v>
                </c:pt>
                <c:pt idx="345">
                  <c:v>8.1750000000001349E-2</c:v>
                </c:pt>
                <c:pt idx="346">
                  <c:v>8.1900000000001361E-2</c:v>
                </c:pt>
                <c:pt idx="347">
                  <c:v>8.2050000000001344E-2</c:v>
                </c:pt>
                <c:pt idx="348">
                  <c:v>8.2200000000001355E-2</c:v>
                </c:pt>
                <c:pt idx="349">
                  <c:v>8.2350000000001367E-2</c:v>
                </c:pt>
                <c:pt idx="350">
                  <c:v>8.250000000000135E-2</c:v>
                </c:pt>
                <c:pt idx="351">
                  <c:v>8.2650000000001361E-2</c:v>
                </c:pt>
                <c:pt idx="352">
                  <c:v>8.2800000000001345E-2</c:v>
                </c:pt>
                <c:pt idx="353">
                  <c:v>8.2950000000001356E-2</c:v>
                </c:pt>
                <c:pt idx="354">
                  <c:v>8.3100000000001367E-2</c:v>
                </c:pt>
                <c:pt idx="355">
                  <c:v>8.3250000000001351E-2</c:v>
                </c:pt>
                <c:pt idx="356">
                  <c:v>8.3400000000001362E-2</c:v>
                </c:pt>
                <c:pt idx="357">
                  <c:v>8.3550000000001345E-2</c:v>
                </c:pt>
                <c:pt idx="358">
                  <c:v>8.3700000000001357E-2</c:v>
                </c:pt>
                <c:pt idx="359">
                  <c:v>8.3850000000001368E-2</c:v>
                </c:pt>
                <c:pt idx="360">
                  <c:v>8.4000000000001351E-2</c:v>
                </c:pt>
                <c:pt idx="361">
                  <c:v>8.4150000000001363E-2</c:v>
                </c:pt>
                <c:pt idx="362">
                  <c:v>8.4300000000001346E-2</c:v>
                </c:pt>
                <c:pt idx="363">
                  <c:v>8.4450000000001357E-2</c:v>
                </c:pt>
                <c:pt idx="364">
                  <c:v>8.4600000000001369E-2</c:v>
                </c:pt>
                <c:pt idx="365">
                  <c:v>8.4750000000001352E-2</c:v>
                </c:pt>
                <c:pt idx="366">
                  <c:v>8.4900000000001363E-2</c:v>
                </c:pt>
                <c:pt idx="367">
                  <c:v>8.5050000000001347E-2</c:v>
                </c:pt>
                <c:pt idx="368">
                  <c:v>8.5200000000001358E-2</c:v>
                </c:pt>
                <c:pt idx="369">
                  <c:v>8.5350000000001369E-2</c:v>
                </c:pt>
                <c:pt idx="370">
                  <c:v>8.5500000000001353E-2</c:v>
                </c:pt>
                <c:pt idx="371">
                  <c:v>8.5650000000001364E-2</c:v>
                </c:pt>
                <c:pt idx="372">
                  <c:v>8.5800000000001347E-2</c:v>
                </c:pt>
                <c:pt idx="373">
                  <c:v>8.5950000000001359E-2</c:v>
                </c:pt>
                <c:pt idx="374">
                  <c:v>8.610000000000137E-2</c:v>
                </c:pt>
                <c:pt idx="375">
                  <c:v>8.6250000000001353E-2</c:v>
                </c:pt>
                <c:pt idx="376">
                  <c:v>8.6400000000001365E-2</c:v>
                </c:pt>
                <c:pt idx="377">
                  <c:v>8.6550000000001348E-2</c:v>
                </c:pt>
                <c:pt idx="378">
                  <c:v>8.6700000000001359E-2</c:v>
                </c:pt>
                <c:pt idx="379">
                  <c:v>8.6850000000001371E-2</c:v>
                </c:pt>
                <c:pt idx="380">
                  <c:v>8.7000000000001354E-2</c:v>
                </c:pt>
                <c:pt idx="381">
                  <c:v>8.7150000000001365E-2</c:v>
                </c:pt>
                <c:pt idx="382">
                  <c:v>8.7300000000001349E-2</c:v>
                </c:pt>
                <c:pt idx="383">
                  <c:v>8.745000000000136E-2</c:v>
                </c:pt>
                <c:pt idx="384">
                  <c:v>8.7600000000001357E-2</c:v>
                </c:pt>
                <c:pt idx="385">
                  <c:v>8.7750000000001355E-2</c:v>
                </c:pt>
                <c:pt idx="386">
                  <c:v>8.7900000000001366E-2</c:v>
                </c:pt>
                <c:pt idx="387">
                  <c:v>8.8050000000001349E-2</c:v>
                </c:pt>
                <c:pt idx="388">
                  <c:v>8.8200000000001361E-2</c:v>
                </c:pt>
                <c:pt idx="389">
                  <c:v>8.8350000000001358E-2</c:v>
                </c:pt>
                <c:pt idx="390">
                  <c:v>8.8500000000001355E-2</c:v>
                </c:pt>
                <c:pt idx="391">
                  <c:v>8.8650000000001367E-2</c:v>
                </c:pt>
                <c:pt idx="392">
                  <c:v>8.8800000000001364E-2</c:v>
                </c:pt>
                <c:pt idx="393">
                  <c:v>8.8950000000001361E-2</c:v>
                </c:pt>
                <c:pt idx="394">
                  <c:v>8.9100000000001359E-2</c:v>
                </c:pt>
                <c:pt idx="395">
                  <c:v>8.925000000000137E-2</c:v>
                </c:pt>
                <c:pt idx="396">
                  <c:v>8.9400000000001367E-2</c:v>
                </c:pt>
                <c:pt idx="397">
                  <c:v>8.9550000000001365E-2</c:v>
                </c:pt>
                <c:pt idx="398">
                  <c:v>8.9700000000001362E-2</c:v>
                </c:pt>
                <c:pt idx="399">
                  <c:v>8.9850000000001359E-2</c:v>
                </c:pt>
                <c:pt idx="400">
                  <c:v>9.0000000000001371E-2</c:v>
                </c:pt>
                <c:pt idx="401">
                  <c:v>9.0150000000001354E-2</c:v>
                </c:pt>
                <c:pt idx="402">
                  <c:v>9.0300000000001351E-2</c:v>
                </c:pt>
                <c:pt idx="403">
                  <c:v>9.0450000000001335E-2</c:v>
                </c:pt>
                <c:pt idx="404">
                  <c:v>9.0600000000001332E-2</c:v>
                </c:pt>
                <c:pt idx="405">
                  <c:v>9.0750000000001316E-2</c:v>
                </c:pt>
                <c:pt idx="406">
                  <c:v>9.0900000000001299E-2</c:v>
                </c:pt>
                <c:pt idx="407">
                  <c:v>9.1050000000001297E-2</c:v>
                </c:pt>
                <c:pt idx="408">
                  <c:v>9.1200000000001294E-2</c:v>
                </c:pt>
                <c:pt idx="409">
                  <c:v>9.1350000000001277E-2</c:v>
                </c:pt>
                <c:pt idx="410">
                  <c:v>9.1500000000001275E-2</c:v>
                </c:pt>
                <c:pt idx="411">
                  <c:v>9.1650000000001258E-2</c:v>
                </c:pt>
                <c:pt idx="412">
                  <c:v>9.1800000000001256E-2</c:v>
                </c:pt>
                <c:pt idx="413">
                  <c:v>9.1950000000001253E-2</c:v>
                </c:pt>
                <c:pt idx="414">
                  <c:v>9.2100000000001223E-2</c:v>
                </c:pt>
                <c:pt idx="415">
                  <c:v>9.225000000000122E-2</c:v>
                </c:pt>
                <c:pt idx="416">
                  <c:v>9.2400000000001217E-2</c:v>
                </c:pt>
                <c:pt idx="417">
                  <c:v>9.2550000000001201E-2</c:v>
                </c:pt>
                <c:pt idx="418">
                  <c:v>9.2700000000001198E-2</c:v>
                </c:pt>
                <c:pt idx="419">
                  <c:v>9.2850000000001182E-2</c:v>
                </c:pt>
                <c:pt idx="420">
                  <c:v>9.3000000000001179E-2</c:v>
                </c:pt>
                <c:pt idx="421">
                  <c:v>9.3150000000001176E-2</c:v>
                </c:pt>
                <c:pt idx="422">
                  <c:v>9.3300000000001146E-2</c:v>
                </c:pt>
                <c:pt idx="423">
                  <c:v>9.3450000000001143E-2</c:v>
                </c:pt>
                <c:pt idx="424">
                  <c:v>9.3600000000001127E-2</c:v>
                </c:pt>
                <c:pt idx="425">
                  <c:v>9.3750000000001124E-2</c:v>
                </c:pt>
                <c:pt idx="426">
                  <c:v>9.3900000000001121E-2</c:v>
                </c:pt>
                <c:pt idx="427">
                  <c:v>9.4050000000001105E-2</c:v>
                </c:pt>
                <c:pt idx="428">
                  <c:v>9.4200000000001102E-2</c:v>
                </c:pt>
                <c:pt idx="429">
                  <c:v>9.4350000000001086E-2</c:v>
                </c:pt>
                <c:pt idx="430">
                  <c:v>9.4500000000001069E-2</c:v>
                </c:pt>
                <c:pt idx="431">
                  <c:v>9.4650000000001067E-2</c:v>
                </c:pt>
                <c:pt idx="432">
                  <c:v>9.480000000000105E-2</c:v>
                </c:pt>
                <c:pt idx="433">
                  <c:v>9.4950000000001047E-2</c:v>
                </c:pt>
                <c:pt idx="434">
                  <c:v>9.5100000000001031E-2</c:v>
                </c:pt>
                <c:pt idx="435">
                  <c:v>9.5250000000001028E-2</c:v>
                </c:pt>
                <c:pt idx="436">
                  <c:v>9.5400000000001012E-2</c:v>
                </c:pt>
                <c:pt idx="437">
                  <c:v>9.5550000000001009E-2</c:v>
                </c:pt>
                <c:pt idx="438">
                  <c:v>9.5700000000000993E-2</c:v>
                </c:pt>
                <c:pt idx="439">
                  <c:v>9.5850000000000976E-2</c:v>
                </c:pt>
                <c:pt idx="440">
                  <c:v>9.6000000000000973E-2</c:v>
                </c:pt>
                <c:pt idx="441">
                  <c:v>9.6150000000000957E-2</c:v>
                </c:pt>
                <c:pt idx="442">
                  <c:v>9.6300000000000954E-2</c:v>
                </c:pt>
                <c:pt idx="443">
                  <c:v>9.6450000000000952E-2</c:v>
                </c:pt>
                <c:pt idx="444">
                  <c:v>9.6600000000000935E-2</c:v>
                </c:pt>
                <c:pt idx="445">
                  <c:v>9.6750000000000932E-2</c:v>
                </c:pt>
                <c:pt idx="446">
                  <c:v>9.690000000000093E-2</c:v>
                </c:pt>
                <c:pt idx="447">
                  <c:v>9.7050000000000899E-2</c:v>
                </c:pt>
                <c:pt idx="448">
                  <c:v>9.7200000000000897E-2</c:v>
                </c:pt>
                <c:pt idx="449">
                  <c:v>9.735000000000088E-2</c:v>
                </c:pt>
                <c:pt idx="450">
                  <c:v>9.7500000000000878E-2</c:v>
                </c:pt>
                <c:pt idx="451">
                  <c:v>9.7650000000000875E-2</c:v>
                </c:pt>
                <c:pt idx="452">
                  <c:v>9.7800000000000858E-2</c:v>
                </c:pt>
                <c:pt idx="453">
                  <c:v>9.7950000000000856E-2</c:v>
                </c:pt>
                <c:pt idx="454">
                  <c:v>9.8100000000000853E-2</c:v>
                </c:pt>
                <c:pt idx="455">
                  <c:v>9.8250000000000823E-2</c:v>
                </c:pt>
                <c:pt idx="456">
                  <c:v>9.840000000000082E-2</c:v>
                </c:pt>
                <c:pt idx="457">
                  <c:v>9.8550000000000804E-2</c:v>
                </c:pt>
                <c:pt idx="458">
                  <c:v>9.8700000000000801E-2</c:v>
                </c:pt>
                <c:pt idx="459">
                  <c:v>9.8850000000000798E-2</c:v>
                </c:pt>
                <c:pt idx="460">
                  <c:v>9.9000000000000782E-2</c:v>
                </c:pt>
                <c:pt idx="461">
                  <c:v>9.9150000000000779E-2</c:v>
                </c:pt>
                <c:pt idx="462">
                  <c:v>9.9300000000000763E-2</c:v>
                </c:pt>
                <c:pt idx="463">
                  <c:v>9.9450000000000746E-2</c:v>
                </c:pt>
                <c:pt idx="464">
                  <c:v>9.9600000000000743E-2</c:v>
                </c:pt>
                <c:pt idx="465">
                  <c:v>9.9750000000000727E-2</c:v>
                </c:pt>
                <c:pt idx="466">
                  <c:v>9.9900000000000724E-2</c:v>
                </c:pt>
                <c:pt idx="467">
                  <c:v>0.10005000000000071</c:v>
                </c:pt>
                <c:pt idx="468">
                  <c:v>0.10020000000000071</c:v>
                </c:pt>
                <c:pt idx="469">
                  <c:v>0.10035000000000069</c:v>
                </c:pt>
                <c:pt idx="470">
                  <c:v>0.10050000000000069</c:v>
                </c:pt>
                <c:pt idx="471">
                  <c:v>0.10065000000000067</c:v>
                </c:pt>
                <c:pt idx="472">
                  <c:v>0.10080000000000065</c:v>
                </c:pt>
                <c:pt idx="473">
                  <c:v>0.10095000000000065</c:v>
                </c:pt>
                <c:pt idx="474">
                  <c:v>0.10110000000000063</c:v>
                </c:pt>
                <c:pt idx="475">
                  <c:v>0.10125000000000063</c:v>
                </c:pt>
                <c:pt idx="476">
                  <c:v>0.10140000000000063</c:v>
                </c:pt>
                <c:pt idx="477">
                  <c:v>0.10155000000000061</c:v>
                </c:pt>
                <c:pt idx="478">
                  <c:v>0.1017000000000006</c:v>
                </c:pt>
                <c:pt idx="479">
                  <c:v>0.10185000000000061</c:v>
                </c:pt>
                <c:pt idx="480">
                  <c:v>0.10200000000000058</c:v>
                </c:pt>
                <c:pt idx="481">
                  <c:v>0.10215000000000059</c:v>
                </c:pt>
                <c:pt idx="482">
                  <c:v>0.10230000000000056</c:v>
                </c:pt>
                <c:pt idx="483">
                  <c:v>0.10245000000000057</c:v>
                </c:pt>
                <c:pt idx="484">
                  <c:v>0.10260000000000055</c:v>
                </c:pt>
                <c:pt idx="485">
                  <c:v>0.10275000000000052</c:v>
                </c:pt>
                <c:pt idx="486">
                  <c:v>0.10290000000000053</c:v>
                </c:pt>
                <c:pt idx="487">
                  <c:v>0.1030500000000005</c:v>
                </c:pt>
                <c:pt idx="488">
                  <c:v>0.10320000000000051</c:v>
                </c:pt>
                <c:pt idx="489">
                  <c:v>0.1033500000000005</c:v>
                </c:pt>
                <c:pt idx="490">
                  <c:v>0.10350000000000049</c:v>
                </c:pt>
                <c:pt idx="491">
                  <c:v>0.10365000000000048</c:v>
                </c:pt>
                <c:pt idx="492">
                  <c:v>0.10380000000000045</c:v>
                </c:pt>
                <c:pt idx="493">
                  <c:v>0.10395000000000046</c:v>
                </c:pt>
                <c:pt idx="494">
                  <c:v>0.10410000000000044</c:v>
                </c:pt>
                <c:pt idx="495">
                  <c:v>0.10425000000000044</c:v>
                </c:pt>
                <c:pt idx="496">
                  <c:v>0.10440000000000042</c:v>
                </c:pt>
                <c:pt idx="497">
                  <c:v>0.10455000000000042</c:v>
                </c:pt>
                <c:pt idx="498">
                  <c:v>0.1047000000000004</c:v>
                </c:pt>
                <c:pt idx="499">
                  <c:v>0.10485000000000042</c:v>
                </c:pt>
                <c:pt idx="500">
                  <c:v>0.10500000000000038</c:v>
                </c:pt>
                <c:pt idx="501">
                  <c:v>0.10515000000000037</c:v>
                </c:pt>
                <c:pt idx="502">
                  <c:v>0.10530000000000037</c:v>
                </c:pt>
                <c:pt idx="503">
                  <c:v>0.10545000000000035</c:v>
                </c:pt>
                <c:pt idx="504">
                  <c:v>0.10560000000000036</c:v>
                </c:pt>
                <c:pt idx="505">
                  <c:v>0.10575000000000034</c:v>
                </c:pt>
                <c:pt idx="506">
                  <c:v>0.10590000000000034</c:v>
                </c:pt>
                <c:pt idx="507">
                  <c:v>0.10605000000000031</c:v>
                </c:pt>
                <c:pt idx="508">
                  <c:v>0.10620000000000029</c:v>
                </c:pt>
                <c:pt idx="509">
                  <c:v>0.10635000000000031</c:v>
                </c:pt>
                <c:pt idx="510">
                  <c:v>0.10650000000000029</c:v>
                </c:pt>
                <c:pt idx="511">
                  <c:v>0.10665000000000029</c:v>
                </c:pt>
                <c:pt idx="512">
                  <c:v>0.10680000000000026</c:v>
                </c:pt>
                <c:pt idx="513">
                  <c:v>0.10695000000000027</c:v>
                </c:pt>
                <c:pt idx="514">
                  <c:v>0.10710000000000025</c:v>
                </c:pt>
                <c:pt idx="515">
                  <c:v>0.10725000000000026</c:v>
                </c:pt>
                <c:pt idx="516">
                  <c:v>0.10740000000000023</c:v>
                </c:pt>
                <c:pt idx="517">
                  <c:v>0.1075500000000002</c:v>
                </c:pt>
                <c:pt idx="518">
                  <c:v>0.10770000000000021</c:v>
                </c:pt>
                <c:pt idx="519">
                  <c:v>0.1078500000000002</c:v>
                </c:pt>
                <c:pt idx="520">
                  <c:v>0.10800000000000021</c:v>
                </c:pt>
                <c:pt idx="521">
                  <c:v>0.10815000000000018</c:v>
                </c:pt>
                <c:pt idx="522">
                  <c:v>0.10830000000000017</c:v>
                </c:pt>
                <c:pt idx="523">
                  <c:v>0.10845000000000016</c:v>
                </c:pt>
                <c:pt idx="524">
                  <c:v>0.10860000000000017</c:v>
                </c:pt>
                <c:pt idx="525">
                  <c:v>0.10875000000000015</c:v>
                </c:pt>
                <c:pt idx="526">
                  <c:v>0.10890000000000012</c:v>
                </c:pt>
                <c:pt idx="527">
                  <c:v>0.10905000000000012</c:v>
                </c:pt>
                <c:pt idx="528">
                  <c:v>0.1092000000000001</c:v>
                </c:pt>
                <c:pt idx="529">
                  <c:v>0.10935000000000011</c:v>
                </c:pt>
                <c:pt idx="530">
                  <c:v>0.1095000000000001</c:v>
                </c:pt>
                <c:pt idx="531">
                  <c:v>0.10965000000000009</c:v>
                </c:pt>
                <c:pt idx="532">
                  <c:v>0.10980000000000006</c:v>
                </c:pt>
                <c:pt idx="533">
                  <c:v>0.10995000000000005</c:v>
                </c:pt>
                <c:pt idx="534">
                  <c:v>0.11010000000000006</c:v>
                </c:pt>
                <c:pt idx="535">
                  <c:v>0.11025000000000004</c:v>
                </c:pt>
                <c:pt idx="536">
                  <c:v>0.11040000000000004</c:v>
                </c:pt>
                <c:pt idx="537">
                  <c:v>0.11055000000000001</c:v>
                </c:pt>
                <c:pt idx="538">
                  <c:v>0.11070000000000002</c:v>
                </c:pt>
                <c:pt idx="539">
                  <c:v>0.11085</c:v>
                </c:pt>
                <c:pt idx="540">
                  <c:v>0.11100000000000002</c:v>
                </c:pt>
                <c:pt idx="541">
                  <c:v>0.11114999999999998</c:v>
                </c:pt>
                <c:pt idx="542">
                  <c:v>0.11129999999999995</c:v>
                </c:pt>
                <c:pt idx="543">
                  <c:v>0.11144999999999997</c:v>
                </c:pt>
                <c:pt idx="544">
                  <c:v>0.11159999999999995</c:v>
                </c:pt>
                <c:pt idx="545">
                  <c:v>0.11174999999999996</c:v>
                </c:pt>
                <c:pt idx="546">
                  <c:v>0.11189999999999993</c:v>
                </c:pt>
                <c:pt idx="547">
                  <c:v>0.11204999999999993</c:v>
                </c:pt>
                <c:pt idx="548">
                  <c:v>0.11219999999999991</c:v>
                </c:pt>
                <c:pt idx="549">
                  <c:v>0.11234999999999992</c:v>
                </c:pt>
                <c:pt idx="550">
                  <c:v>0.11249999999999991</c:v>
                </c:pt>
                <c:pt idx="551">
                  <c:v>0.11264999999999988</c:v>
                </c:pt>
                <c:pt idx="552">
                  <c:v>0.11279999999999987</c:v>
                </c:pt>
                <c:pt idx="553">
                  <c:v>0.11294999999999986</c:v>
                </c:pt>
                <c:pt idx="554">
                  <c:v>0.11309999999999987</c:v>
                </c:pt>
                <c:pt idx="555">
                  <c:v>0.11324999999999985</c:v>
                </c:pt>
                <c:pt idx="556">
                  <c:v>0.11339999999999985</c:v>
                </c:pt>
                <c:pt idx="557">
                  <c:v>0.11354999999999982</c:v>
                </c:pt>
                <c:pt idx="558">
                  <c:v>0.1136999999999998</c:v>
                </c:pt>
                <c:pt idx="559">
                  <c:v>0.11384999999999981</c:v>
                </c:pt>
                <c:pt idx="560">
                  <c:v>0.1139999999999998</c:v>
                </c:pt>
                <c:pt idx="561">
                  <c:v>0.11414999999999979</c:v>
                </c:pt>
                <c:pt idx="562">
                  <c:v>0.11429999999999976</c:v>
                </c:pt>
                <c:pt idx="563">
                  <c:v>0.11444999999999977</c:v>
                </c:pt>
                <c:pt idx="564">
                  <c:v>0.11459999999999976</c:v>
                </c:pt>
                <c:pt idx="565">
                  <c:v>0.11474999999999977</c:v>
                </c:pt>
                <c:pt idx="566">
                  <c:v>0.11489999999999974</c:v>
                </c:pt>
                <c:pt idx="567">
                  <c:v>0.11504999999999971</c:v>
                </c:pt>
                <c:pt idx="568">
                  <c:v>0.11519999999999972</c:v>
                </c:pt>
                <c:pt idx="569">
                  <c:v>0.1153499999999997</c:v>
                </c:pt>
                <c:pt idx="570">
                  <c:v>0.11549999999999971</c:v>
                </c:pt>
                <c:pt idx="571">
                  <c:v>0.11564999999999968</c:v>
                </c:pt>
                <c:pt idx="572">
                  <c:v>0.11579999999999968</c:v>
                </c:pt>
                <c:pt idx="573">
                  <c:v>0.11594999999999966</c:v>
                </c:pt>
                <c:pt idx="574">
                  <c:v>0.11609999999999965</c:v>
                </c:pt>
                <c:pt idx="575">
                  <c:v>0.11624999999999966</c:v>
                </c:pt>
                <c:pt idx="576">
                  <c:v>0.11639999999999963</c:v>
                </c:pt>
                <c:pt idx="577">
                  <c:v>0.11654999999999963</c:v>
                </c:pt>
                <c:pt idx="578">
                  <c:v>0.11669999999999961</c:v>
                </c:pt>
                <c:pt idx="579">
                  <c:v>0.11684999999999962</c:v>
                </c:pt>
                <c:pt idx="580">
                  <c:v>0.1169999999999996</c:v>
                </c:pt>
                <c:pt idx="581">
                  <c:v>0.1171499999999996</c:v>
                </c:pt>
                <c:pt idx="582">
                  <c:v>0.11729999999999957</c:v>
                </c:pt>
                <c:pt idx="583">
                  <c:v>0.11744999999999955</c:v>
                </c:pt>
                <c:pt idx="584">
                  <c:v>0.11759999999999957</c:v>
                </c:pt>
                <c:pt idx="585">
                  <c:v>0.11774999999999955</c:v>
                </c:pt>
                <c:pt idx="586">
                  <c:v>0.11789999999999955</c:v>
                </c:pt>
                <c:pt idx="587">
                  <c:v>0.11804999999999952</c:v>
                </c:pt>
                <c:pt idx="588">
                  <c:v>0.11819999999999953</c:v>
                </c:pt>
                <c:pt idx="589">
                  <c:v>0.11834999999999951</c:v>
                </c:pt>
                <c:pt idx="590">
                  <c:v>0.11849999999999952</c:v>
                </c:pt>
                <c:pt idx="591">
                  <c:v>0.11864999999999949</c:v>
                </c:pt>
                <c:pt idx="592">
                  <c:v>0.11879999999999946</c:v>
                </c:pt>
                <c:pt idx="593">
                  <c:v>0.11894999999999947</c:v>
                </c:pt>
                <c:pt idx="594">
                  <c:v>0.11909999999999946</c:v>
                </c:pt>
                <c:pt idx="595">
                  <c:v>0.11924999999999947</c:v>
                </c:pt>
                <c:pt idx="596">
                  <c:v>0.11939999999999944</c:v>
                </c:pt>
                <c:pt idx="597">
                  <c:v>0.11954999999999943</c:v>
                </c:pt>
                <c:pt idx="598">
                  <c:v>0.11969999999999942</c:v>
                </c:pt>
                <c:pt idx="599">
                  <c:v>0.1198499999999994</c:v>
                </c:pt>
                <c:pt idx="600">
                  <c:v>0.11999999999999941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43-4612-AC60-7EC2F7A996B8}"/>
            </c:ext>
          </c:extLst>
        </c:ser>
        <c:ser>
          <c:idx val="1"/>
          <c:order val="1"/>
          <c:spPr>
            <a:ln w="53975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Com_Short_Sell!$F$12:$F$612</c:f>
              <c:numCache>
                <c:formatCode>0.0%</c:formatCode>
                <c:ptCount val="6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8.3983093536736969E-2</c:v>
                </c:pt>
                <c:pt idx="279">
                  <c:v>8.3988630182902188E-2</c:v>
                </c:pt>
                <c:pt idx="280">
                  <c:v>8.4000000000001837E-2</c:v>
                </c:pt>
                <c:pt idx="281">
                  <c:v>8.4017200619874888E-2</c:v>
                </c:pt>
                <c:pt idx="282">
                  <c:v>8.4040228462328115E-2</c:v>
                </c:pt>
                <c:pt idx="283">
                  <c:v>8.406907873885798E-2</c:v>
                </c:pt>
                <c:pt idx="284">
                  <c:v>8.4103745457620976E-2</c:v>
                </c:pt>
                <c:pt idx="285">
                  <c:v>8.4144221429640079E-2</c:v>
                </c:pt>
                <c:pt idx="286">
                  <c:v>8.4190498276232456E-2</c:v>
                </c:pt>
                <c:pt idx="287">
                  <c:v>8.4242566437640651E-2</c:v>
                </c:pt>
                <c:pt idx="288">
                  <c:v>8.4300415182846491E-2</c:v>
                </c:pt>
                <c:pt idx="289">
                  <c:v>8.4364032620544496E-2</c:v>
                </c:pt>
                <c:pt idx="290">
                  <c:v>8.4433405711248521E-2</c:v>
                </c:pt>
                <c:pt idx="291">
                  <c:v>8.4508520280503624E-2</c:v>
                </c:pt>
                <c:pt idx="292">
                  <c:v>8.4589361033171828E-2</c:v>
                </c:pt>
                <c:pt idx="293">
                  <c:v>8.4675911568758963E-2</c:v>
                </c:pt>
                <c:pt idx="294">
                  <c:v>8.476815439774707E-2</c:v>
                </c:pt>
                <c:pt idx="295">
                  <c:v>8.4866070958895493E-2</c:v>
                </c:pt>
                <c:pt idx="296">
                  <c:v>8.4969641637471227E-2</c:v>
                </c:pt>
                <c:pt idx="297">
                  <c:v>8.5078845784368057E-2</c:v>
                </c:pt>
                <c:pt idx="298">
                  <c:v>8.5193661736072138E-2</c:v>
                </c:pt>
                <c:pt idx="299">
                  <c:v>8.5314066835430372E-2</c:v>
                </c:pt>
                <c:pt idx="300">
                  <c:v>8.5440037453176937E-2</c:v>
                </c:pt>
                <c:pt idx="301">
                  <c:v>8.5571549010172041E-2</c:v>
                </c:pt>
                <c:pt idx="302">
                  <c:v>8.5708576000306264E-2</c:v>
                </c:pt>
                <c:pt idx="303">
                  <c:v>8.5851092014023175E-2</c:v>
                </c:pt>
                <c:pt idx="304">
                  <c:v>8.5999069762412395E-2</c:v>
                </c:pt>
                <c:pt idx="305">
                  <c:v>8.6152481101824746E-2</c:v>
                </c:pt>
                <c:pt idx="306">
                  <c:v>8.6311297058961345E-2</c:v>
                </c:pt>
                <c:pt idx="307">
                  <c:v>8.647548785638777E-2</c:v>
                </c:pt>
                <c:pt idx="308">
                  <c:v>8.6645022938425409E-2</c:v>
                </c:pt>
                <c:pt idx="309">
                  <c:v>8.6819870997371706E-2</c:v>
                </c:pt>
                <c:pt idx="310">
                  <c:v>8.7000000000001521E-2</c:v>
                </c:pt>
                <c:pt idx="311">
                  <c:v>8.7185377214302751E-2</c:v>
                </c:pt>
                <c:pt idx="312">
                  <c:v>8.7375969236399662E-2</c:v>
                </c:pt>
                <c:pt idx="313">
                  <c:v>8.7571742017618096E-2</c:v>
                </c:pt>
                <c:pt idx="314">
                  <c:v>8.7772660891648133E-2</c:v>
                </c:pt>
                <c:pt idx="315">
                  <c:v>8.7978690601760251E-2</c:v>
                </c:pt>
                <c:pt idx="316">
                  <c:v>8.818979532803245E-2</c:v>
                </c:pt>
                <c:pt idx="317">
                  <c:v>8.8405938714547078E-2</c:v>
                </c:pt>
                <c:pt idx="318">
                  <c:v>8.8627083896516939E-2</c:v>
                </c:pt>
                <c:pt idx="319">
                  <c:v>8.8853193527302379E-2</c:v>
                </c:pt>
                <c:pt idx="320">
                  <c:v>8.9084229805281745E-2</c:v>
                </c:pt>
                <c:pt idx="321">
                  <c:v>8.9320154500539511E-2</c:v>
                </c:pt>
                <c:pt idx="322">
                  <c:v>8.956092898133787E-2</c:v>
                </c:pt>
                <c:pt idx="323">
                  <c:v>8.9806514240339197E-2</c:v>
                </c:pt>
                <c:pt idx="324">
                  <c:v>9.0056870920547996E-2</c:v>
                </c:pt>
                <c:pt idx="325">
                  <c:v>9.0311959340943562E-2</c:v>
                </c:pt>
                <c:pt idx="326">
                  <c:v>9.0571739521774886E-2</c:v>
                </c:pt>
                <c:pt idx="327">
                  <c:v>9.0836171209492528E-2</c:v>
                </c:pt>
                <c:pt idx="328">
                  <c:v>9.1105213901292378E-2</c:v>
                </c:pt>
                <c:pt idx="329">
                  <c:v>9.1378826869249294E-2</c:v>
                </c:pt>
                <c:pt idx="330">
                  <c:v>9.1656969184019138E-2</c:v>
                </c:pt>
                <c:pt idx="331">
                  <c:v>9.1939599738090197E-2</c:v>
                </c:pt>
                <c:pt idx="332">
                  <c:v>9.2226677268566024E-2</c:v>
                </c:pt>
                <c:pt idx="333">
                  <c:v>9.2518160379464046E-2</c:v>
                </c:pt>
                <c:pt idx="334">
                  <c:v>9.2814007563515058E-2</c:v>
                </c:pt>
                <c:pt idx="335">
                  <c:v>9.3114177223450931E-2</c:v>
                </c:pt>
                <c:pt idx="336">
                  <c:v>9.3418627692769221E-2</c:v>
                </c:pt>
                <c:pt idx="337">
                  <c:v>9.3727317255964518E-2</c:v>
                </c:pt>
                <c:pt idx="338">
                  <c:v>9.4040204168218525E-2</c:v>
                </c:pt>
                <c:pt idx="339">
                  <c:v>9.4357246674541234E-2</c:v>
                </c:pt>
                <c:pt idx="340">
                  <c:v>9.4678403028358171E-2</c:v>
                </c:pt>
                <c:pt idx="341">
                  <c:v>9.5003631509538722E-2</c:v>
                </c:pt>
                <c:pt idx="342">
                  <c:v>9.5332890441862814E-2</c:v>
                </c:pt>
                <c:pt idx="343">
                  <c:v>9.5666138209923673E-2</c:v>
                </c:pt>
                <c:pt idx="344">
                  <c:v>9.6003333275466091E-2</c:v>
                </c:pt>
                <c:pt idx="345">
                  <c:v>9.6344434193160411E-2</c:v>
                </c:pt>
                <c:pt idx="346">
                  <c:v>9.6689399625813244E-2</c:v>
                </c:pt>
                <c:pt idx="347">
                  <c:v>9.7038188359017771E-2</c:v>
                </c:pt>
                <c:pt idx="348">
                  <c:v>9.7390759315246184E-2</c:v>
                </c:pt>
                <c:pt idx="349">
                  <c:v>9.7747071567388696E-2</c:v>
                </c:pt>
                <c:pt idx="350">
                  <c:v>9.8107084351743978E-2</c:v>
                </c:pt>
                <c:pt idx="351">
                  <c:v>9.847075708046632E-2</c:v>
                </c:pt>
                <c:pt idx="352">
                  <c:v>9.8838049353476246E-2</c:v>
                </c:pt>
                <c:pt idx="353">
                  <c:v>9.9208920969841241E-2</c:v>
                </c:pt>
                <c:pt idx="354">
                  <c:v>9.9583331938634195E-2</c:v>
                </c:pt>
                <c:pt idx="355">
                  <c:v>9.9961242489277818E-2</c:v>
                </c:pt>
                <c:pt idx="356">
                  <c:v>0.10034261308138333</c:v>
                </c:pt>
                <c:pt idx="357">
                  <c:v>0.10072740441409278</c:v>
                </c:pt>
                <c:pt idx="358">
                  <c:v>0.10111557743493432</c:v>
                </c:pt>
                <c:pt idx="359">
                  <c:v>0.10150709334820003</c:v>
                </c:pt>
                <c:pt idx="360">
                  <c:v>0.10190191362285693</c:v>
                </c:pt>
                <c:pt idx="361">
                  <c:v>0.10230000000000093</c:v>
                </c:pt>
                <c:pt idx="362">
                  <c:v>0.10270131449986505</c:v>
                </c:pt>
                <c:pt idx="363">
                  <c:v>0.10310581942839207</c:v>
                </c:pt>
                <c:pt idx="364">
                  <c:v>0.10351347738338322</c:v>
                </c:pt>
                <c:pt idx="365">
                  <c:v>0.1039242512602337</c:v>
                </c:pt>
                <c:pt idx="366">
                  <c:v>0.10433810425726636</c:v>
                </c:pt>
                <c:pt idx="367">
                  <c:v>0.10475499988067483</c:v>
                </c:pt>
                <c:pt idx="368">
                  <c:v>0.10517490194908756</c:v>
                </c:pt>
                <c:pt idx="369">
                  <c:v>0.10559777459776405</c:v>
                </c:pt>
                <c:pt idx="370">
                  <c:v>0.10602358228243459</c:v>
                </c:pt>
                <c:pt idx="371">
                  <c:v>0.10645228978279508</c:v>
                </c:pt>
                <c:pt idx="372">
                  <c:v>0.10688386220566778</c:v>
                </c:pt>
                <c:pt idx="373">
                  <c:v>0.1073182649878397</c:v>
                </c:pt>
                <c:pt idx="374">
                  <c:v>0.10775546389858927</c:v>
                </c:pt>
                <c:pt idx="375">
                  <c:v>0.10819542504191282</c:v>
                </c:pt>
                <c:pt idx="376">
                  <c:v>0.10863811485846103</c:v>
                </c:pt>
                <c:pt idx="377">
                  <c:v>0.10908350012719693</c:v>
                </c:pt>
                <c:pt idx="378">
                  <c:v>0.10953154796678521</c:v>
                </c:pt>
                <c:pt idx="379">
                  <c:v>0.10998222583672404</c:v>
                </c:pt>
                <c:pt idx="380">
                  <c:v>0.11043550153822894</c:v>
                </c:pt>
                <c:pt idx="381">
                  <c:v>0.11089134321487934</c:v>
                </c:pt>
                <c:pt idx="382">
                  <c:v>0.11134971935303729</c:v>
                </c:pt>
                <c:pt idx="383">
                  <c:v>0.11181059878204822</c:v>
                </c:pt>
                <c:pt idx="384">
                  <c:v>0.11227395067423325</c:v>
                </c:pt>
                <c:pt idx="385">
                  <c:v>0.11273974454468202</c:v>
                </c:pt>
                <c:pt idx="386">
                  <c:v>0.11320795025085544</c:v>
                </c:pt>
                <c:pt idx="387">
                  <c:v>0.11367853799200692</c:v>
                </c:pt>
                <c:pt idx="388">
                  <c:v>0.11415147830843084</c:v>
                </c:pt>
                <c:pt idx="389">
                  <c:v>0.11462674208054661</c:v>
                </c:pt>
                <c:pt idx="390">
                  <c:v>0.1151043005278263</c:v>
                </c:pt>
                <c:pt idx="391">
                  <c:v>0.11558412520757405</c:v>
                </c:pt>
                <c:pt idx="392">
                  <c:v>0.11606618801356471</c:v>
                </c:pt>
                <c:pt idx="393">
                  <c:v>0.11655046117454942</c:v>
                </c:pt>
                <c:pt idx="394">
                  <c:v>0.11703691725263507</c:v>
                </c:pt>
                <c:pt idx="395">
                  <c:v>0.11752552914154502</c:v>
                </c:pt>
                <c:pt idx="396">
                  <c:v>0.11801627006476755</c:v>
                </c:pt>
                <c:pt idx="397">
                  <c:v>0.11850911357359883</c:v>
                </c:pt>
                <c:pt idx="398">
                  <c:v>0.1190040335450868</c:v>
                </c:pt>
                <c:pt idx="399">
                  <c:v>0.11950100417988187</c:v>
                </c:pt>
                <c:pt idx="400">
                  <c:v>0.12000000000000059</c:v>
                </c:pt>
                <c:pt idx="401">
                  <c:v>0.120500995846508</c:v>
                </c:pt>
                <c:pt idx="402">
                  <c:v>0.12100396687712404</c:v>
                </c:pt>
                <c:pt idx="403">
                  <c:v>0.12150888856375952</c:v>
                </c:pt>
                <c:pt idx="404">
                  <c:v>0.12201573668998653</c:v>
                </c:pt>
                <c:pt idx="405">
                  <c:v>0.12252448734844851</c:v>
                </c:pt>
                <c:pt idx="406">
                  <c:v>0.12303511693821451</c:v>
                </c:pt>
                <c:pt idx="407">
                  <c:v>0.12354760216208209</c:v>
                </c:pt>
                <c:pt idx="408">
                  <c:v>0.12406192002383369</c:v>
                </c:pt>
                <c:pt idx="409">
                  <c:v>0.12457804782544997</c:v>
                </c:pt>
                <c:pt idx="410">
                  <c:v>0.12509596316428478</c:v>
                </c:pt>
                <c:pt idx="411">
                  <c:v>0.12561564393020516</c:v>
                </c:pt>
                <c:pt idx="412">
                  <c:v>0.12613706830270033</c:v>
                </c:pt>
                <c:pt idx="413">
                  <c:v>0.12666021474796291</c:v>
                </c:pt>
                <c:pt idx="414">
                  <c:v>0.1271850620159462</c:v>
                </c:pt>
                <c:pt idx="415">
                  <c:v>0.12771158913740002</c:v>
                </c:pt>
                <c:pt idx="416">
                  <c:v>0.12823977542088907</c:v>
                </c:pt>
                <c:pt idx="417">
                  <c:v>0.12876960044979585</c:v>
                </c:pt>
                <c:pt idx="418">
                  <c:v>0.12930104407931151</c:v>
                </c:pt>
                <c:pt idx="419">
                  <c:v>0.12983408643341721</c:v>
                </c:pt>
                <c:pt idx="420">
                  <c:v>0.13036870790185828</c:v>
                </c:pt>
                <c:pt idx="421">
                  <c:v>0.13090488913711376</c:v>
                </c:pt>
                <c:pt idx="422">
                  <c:v>0.13144261105136354</c:v>
                </c:pt>
                <c:pt idx="423">
                  <c:v>0.13198185481345545</c:v>
                </c:pt>
                <c:pt idx="424">
                  <c:v>0.13252260184587392</c:v>
                </c:pt>
                <c:pt idx="425">
                  <c:v>0.13306483382171272</c:v>
                </c:pt>
                <c:pt idx="426">
                  <c:v>0.13360853266165307</c:v>
                </c:pt>
                <c:pt idx="427">
                  <c:v>0.13415368053094934</c:v>
                </c:pt>
                <c:pt idx="428">
                  <c:v>0.1347002598364235</c:v>
                </c:pt>
                <c:pt idx="429">
                  <c:v>0.13524825322347053</c:v>
                </c:pt>
                <c:pt idx="430">
                  <c:v>0.13579764357307531</c:v>
                </c:pt>
                <c:pt idx="431">
                  <c:v>0.1363484139988434</c:v>
                </c:pt>
                <c:pt idx="432">
                  <c:v>0.13690054784404621</c:v>
                </c:pt>
                <c:pt idx="433">
                  <c:v>0.13745402867868217</c:v>
                </c:pt>
                <c:pt idx="434">
                  <c:v>0.13800884029655483</c:v>
                </c:pt>
                <c:pt idx="435">
                  <c:v>0.13856496671236915</c:v>
                </c:pt>
                <c:pt idx="436">
                  <c:v>0.13912239215884684</c:v>
                </c:pt>
                <c:pt idx="437">
                  <c:v>0.13968110108386159</c:v>
                </c:pt>
                <c:pt idx="438">
                  <c:v>0.1402410781475954</c:v>
                </c:pt>
                <c:pt idx="439">
                  <c:v>0.14080230821971618</c:v>
                </c:pt>
                <c:pt idx="440">
                  <c:v>0.14136477637657816</c:v>
                </c:pt>
                <c:pt idx="441">
                  <c:v>0.14192846789844502</c:v>
                </c:pt>
                <c:pt idx="442">
                  <c:v>0.142493368266737</c:v>
                </c:pt>
                <c:pt idx="443">
                  <c:v>0.14305946316130203</c:v>
                </c:pt>
                <c:pt idx="444">
                  <c:v>0.14362673845771171</c:v>
                </c:pt>
                <c:pt idx="445">
                  <c:v>0.1441951802245828</c:v>
                </c:pt>
                <c:pt idx="446">
                  <c:v>0.14476477472092411</c:v>
                </c:pt>
                <c:pt idx="447">
                  <c:v>0.14533550839350962</c:v>
                </c:pt>
                <c:pt idx="448">
                  <c:v>0.14590736787427805</c:v>
                </c:pt>
                <c:pt idx="449">
                  <c:v>0.14648033997775911</c:v>
                </c:pt>
                <c:pt idx="450">
                  <c:v>0.14705441169852707</c:v>
                </c:pt>
                <c:pt idx="451">
                  <c:v>0.14762957020868103</c:v>
                </c:pt>
                <c:pt idx="452">
                  <c:v>0.1482058028553534</c:v>
                </c:pt>
                <c:pt idx="453">
                  <c:v>0.14878309715824534</c:v>
                </c:pt>
                <c:pt idx="454">
                  <c:v>0.14936144080719047</c:v>
                </c:pt>
                <c:pt idx="455">
                  <c:v>0.14994082165974634</c:v>
                </c:pt>
                <c:pt idx="456">
                  <c:v>0.15052122773881382</c:v>
                </c:pt>
                <c:pt idx="457">
                  <c:v>0.15110264723028466</c:v>
                </c:pt>
                <c:pt idx="458">
                  <c:v>0.15168506848071711</c:v>
                </c:pt>
                <c:pt idx="459">
                  <c:v>0.15226847999503981</c:v>
                </c:pt>
                <c:pt idx="460">
                  <c:v>0.15285287043428342</c:v>
                </c:pt>
                <c:pt idx="461">
                  <c:v>0.15343822861334075</c:v>
                </c:pt>
                <c:pt idx="462">
                  <c:v>0.15402454349875483</c:v>
                </c:pt>
                <c:pt idx="463">
                  <c:v>0.15461180420653467</c:v>
                </c:pt>
                <c:pt idx="464">
                  <c:v>0.15519999999999937</c:v>
                </c:pt>
                <c:pt idx="465">
                  <c:v>0.15578912028764974</c:v>
                </c:pt>
                <c:pt idx="466">
                  <c:v>0.15637915462106769</c:v>
                </c:pt>
                <c:pt idx="467">
                  <c:v>0.1569700926928432</c:v>
                </c:pt>
                <c:pt idx="468">
                  <c:v>0.15756192433452881</c:v>
                </c:pt>
                <c:pt idx="469">
                  <c:v>0.15815463951462119</c:v>
                </c:pt>
                <c:pt idx="470">
                  <c:v>0.15874822833656999</c:v>
                </c:pt>
                <c:pt idx="471">
                  <c:v>0.15934268103681376</c:v>
                </c:pt>
                <c:pt idx="472">
                  <c:v>0.15993798798284212</c:v>
                </c:pt>
                <c:pt idx="473">
                  <c:v>0.16053413967128535</c:v>
                </c:pt>
                <c:pt idx="474">
                  <c:v>0.16113112672602939</c:v>
                </c:pt>
                <c:pt idx="475">
                  <c:v>0.16172893989635787</c:v>
                </c:pt>
                <c:pt idx="476">
                  <c:v>0.1623275700551195</c:v>
                </c:pt>
                <c:pt idx="477">
                  <c:v>0.16292700819692149</c:v>
                </c:pt>
                <c:pt idx="478">
                  <c:v>0.16352724543634836</c:v>
                </c:pt>
                <c:pt idx="479">
                  <c:v>0.16412827300620605</c:v>
                </c:pt>
                <c:pt idx="480">
                  <c:v>0.16473008225579111</c:v>
                </c:pt>
                <c:pt idx="481">
                  <c:v>0.1653326646491845</c:v>
                </c:pt>
                <c:pt idx="482">
                  <c:v>0.16593601176357015</c:v>
                </c:pt>
                <c:pt idx="483">
                  <c:v>0.16654011528757773</c:v>
                </c:pt>
                <c:pt idx="484">
                  <c:v>0.1671449670196494</c:v>
                </c:pt>
                <c:pt idx="485">
                  <c:v>0.16775055886643023</c:v>
                </c:pt>
                <c:pt idx="486">
                  <c:v>0.16835688284118255</c:v>
                </c:pt>
                <c:pt idx="487">
                  <c:v>0.16896393106222304</c:v>
                </c:pt>
                <c:pt idx="488">
                  <c:v>0.16957169575138314</c:v>
                </c:pt>
                <c:pt idx="489">
                  <c:v>0.1701801692324921</c:v>
                </c:pt>
                <c:pt idx="490">
                  <c:v>0.17078934392988235</c:v>
                </c:pt>
                <c:pt idx="491">
                  <c:v>0.17139921236691735</c:v>
                </c:pt>
                <c:pt idx="492">
                  <c:v>0.17200976716454106</c:v>
                </c:pt>
                <c:pt idx="493">
                  <c:v>0.17262100103984918</c:v>
                </c:pt>
                <c:pt idx="494">
                  <c:v>0.17323290680468192</c:v>
                </c:pt>
                <c:pt idx="495">
                  <c:v>0.17384547736423747</c:v>
                </c:pt>
                <c:pt idx="496">
                  <c:v>0.17445870571570682</c:v>
                </c:pt>
                <c:pt idx="497">
                  <c:v>0.17507258494692879</c:v>
                </c:pt>
                <c:pt idx="498">
                  <c:v>0.17568710823506539</c:v>
                </c:pt>
                <c:pt idx="499">
                  <c:v>0.17630226884529757</c:v>
                </c:pt>
                <c:pt idx="500">
                  <c:v>0.17691806012954012</c:v>
                </c:pt>
                <c:pt idx="501">
                  <c:v>0.17753447552517668</c:v>
                </c:pt>
                <c:pt idx="502">
                  <c:v>0.1781515085538137</c:v>
                </c:pt>
                <c:pt idx="503">
                  <c:v>0.17876915282005323</c:v>
                </c:pt>
                <c:pt idx="504">
                  <c:v>0.17938740201028483</c:v>
                </c:pt>
                <c:pt idx="505">
                  <c:v>0.18000624989149552</c:v>
                </c:pt>
                <c:pt idx="506">
                  <c:v>0.18062569031009829</c:v>
                </c:pt>
                <c:pt idx="507">
                  <c:v>0.18124571719077809</c:v>
                </c:pt>
                <c:pt idx="508">
                  <c:v>0.18186632453535623</c:v>
                </c:pt>
                <c:pt idx="509">
                  <c:v>0.18248750642167125</c:v>
                </c:pt>
                <c:pt idx="510">
                  <c:v>0.18310925700247788</c:v>
                </c:pt>
                <c:pt idx="511">
                  <c:v>0.18373157050436242</c:v>
                </c:pt>
                <c:pt idx="512">
                  <c:v>0.1843544412266748</c:v>
                </c:pt>
                <c:pt idx="513">
                  <c:v>0.18497786354047741</c:v>
                </c:pt>
                <c:pt idx="514">
                  <c:v>0.18560183188750987</c:v>
                </c:pt>
                <c:pt idx="515">
                  <c:v>0.18622634077916975</c:v>
                </c:pt>
                <c:pt idx="516">
                  <c:v>0.18685138479550925</c:v>
                </c:pt>
                <c:pt idx="517">
                  <c:v>0.18747695858424696</c:v>
                </c:pt>
                <c:pt idx="518">
                  <c:v>0.18810305685979545</c:v>
                </c:pt>
                <c:pt idx="519">
                  <c:v>0.18872967440230334</c:v>
                </c:pt>
                <c:pt idx="520">
                  <c:v>0.18935680605671248</c:v>
                </c:pt>
                <c:pt idx="521">
                  <c:v>0.18998444673182965</c:v>
                </c:pt>
                <c:pt idx="522">
                  <c:v>0.19061259139941256</c:v>
                </c:pt>
                <c:pt idx="523">
                  <c:v>0.1912412350932701</c:v>
                </c:pt>
                <c:pt idx="524">
                  <c:v>0.19187037290837633</c:v>
                </c:pt>
                <c:pt idx="525">
                  <c:v>0.19249999999999842</c:v>
                </c:pt>
                <c:pt idx="526">
                  <c:v>0.1931301115828378</c:v>
                </c:pt>
                <c:pt idx="527">
                  <c:v>0.19376070293018494</c:v>
                </c:pt>
                <c:pt idx="528">
                  <c:v>0.1943917693730868</c:v>
                </c:pt>
                <c:pt idx="529">
                  <c:v>0.19502330629952758</c:v>
                </c:pt>
                <c:pt idx="530">
                  <c:v>0.19565530915362186</c:v>
                </c:pt>
                <c:pt idx="531">
                  <c:v>0.19628777343482029</c:v>
                </c:pt>
                <c:pt idx="532">
                  <c:v>0.19692069469712759</c:v>
                </c:pt>
                <c:pt idx="533">
                  <c:v>0.19755406854833268</c:v>
                </c:pt>
                <c:pt idx="534">
                  <c:v>0.1981878906492506</c:v>
                </c:pt>
                <c:pt idx="535">
                  <c:v>0.19882215671297632</c:v>
                </c:pt>
                <c:pt idx="536">
                  <c:v>0.19945686250414976</c:v>
                </c:pt>
                <c:pt idx="537">
                  <c:v>0.20009200383823261</c:v>
                </c:pt>
                <c:pt idx="538">
                  <c:v>0.20072757658079593</c:v>
                </c:pt>
                <c:pt idx="539">
                  <c:v>0.20136357664681881</c:v>
                </c:pt>
                <c:pt idx="540">
                  <c:v>0.20199999999999818</c:v>
                </c:pt>
                <c:pt idx="541">
                  <c:v>0.20263684265206874</c:v>
                </c:pt>
                <c:pt idx="542">
                  <c:v>0.20327410066213369</c:v>
                </c:pt>
                <c:pt idx="543">
                  <c:v>0.20391177013600575</c:v>
                </c:pt>
                <c:pt idx="544">
                  <c:v>0.2045498472255583</c:v>
                </c:pt>
                <c:pt idx="545">
                  <c:v>0.20518832812808635</c:v>
                </c:pt>
                <c:pt idx="546">
                  <c:v>0.20582720908567756</c:v>
                </c:pt>
                <c:pt idx="547">
                  <c:v>0.20646648638459272</c:v>
                </c:pt>
                <c:pt idx="548">
                  <c:v>0.20710615635465596</c:v>
                </c:pt>
                <c:pt idx="549">
                  <c:v>0.20774621536865406</c:v>
                </c:pt>
                <c:pt idx="550">
                  <c:v>0.20838665984174512</c:v>
                </c:pt>
                <c:pt idx="551">
                  <c:v>0.2090274862308763</c:v>
                </c:pt>
                <c:pt idx="552">
                  <c:v>0.20966869103421037</c:v>
                </c:pt>
                <c:pt idx="553">
                  <c:v>0.21031027079056117</c:v>
                </c:pt>
                <c:pt idx="554">
                  <c:v>0.21095222207883746</c:v>
                </c:pt>
                <c:pt idx="555">
                  <c:v>0.21159454151749557</c:v>
                </c:pt>
                <c:pt idx="556">
                  <c:v>0.21223722576400009</c:v>
                </c:pt>
                <c:pt idx="557">
                  <c:v>0.21288027151429306</c:v>
                </c:pt>
                <c:pt idx="558">
                  <c:v>0.213523675502271</c:v>
                </c:pt>
                <c:pt idx="559">
                  <c:v>0.21416743449927003</c:v>
                </c:pt>
                <c:pt idx="560">
                  <c:v>0.21481154531355878</c:v>
                </c:pt>
                <c:pt idx="561">
                  <c:v>0.21545600478983892</c:v>
                </c:pt>
                <c:pt idx="562">
                  <c:v>0.2161008098087536</c:v>
                </c:pt>
                <c:pt idx="563">
                  <c:v>0.21674595728640267</c:v>
                </c:pt>
                <c:pt idx="564">
                  <c:v>0.21739144417386594</c:v>
                </c:pt>
                <c:pt idx="565">
                  <c:v>0.21803726745673335</c:v>
                </c:pt>
                <c:pt idx="566">
                  <c:v>0.21868342415464201</c:v>
                </c:pt>
                <c:pt idx="567">
                  <c:v>0.21932991132082064</c:v>
                </c:pt>
                <c:pt idx="568">
                  <c:v>0.21997672604164067</c:v>
                </c:pt>
                <c:pt idx="569">
                  <c:v>0.22062386543617404</c:v>
                </c:pt>
                <c:pt idx="570">
                  <c:v>0.22127132665575769</c:v>
                </c:pt>
                <c:pt idx="571">
                  <c:v>0.2219191068835647</c:v>
                </c:pt>
                <c:pt idx="572">
                  <c:v>0.22256720333418176</c:v>
                </c:pt>
                <c:pt idx="573">
                  <c:v>0.22321561325319292</c:v>
                </c:pt>
                <c:pt idx="574">
                  <c:v>0.22386433391676974</c:v>
                </c:pt>
                <c:pt idx="575">
                  <c:v>0.22451336263126742</c:v>
                </c:pt>
                <c:pt idx="576">
                  <c:v>0.22516269673282691</c:v>
                </c:pt>
                <c:pt idx="577">
                  <c:v>0.22581233358698316</c:v>
                </c:pt>
                <c:pt idx="578">
                  <c:v>0.22646227058827914</c:v>
                </c:pt>
                <c:pt idx="579">
                  <c:v>0.22711250515988532</c:v>
                </c:pt>
                <c:pt idx="580">
                  <c:v>0.22776303475322532</c:v>
                </c:pt>
                <c:pt idx="581">
                  <c:v>0.22841385684760662</c:v>
                </c:pt>
                <c:pt idx="582">
                  <c:v>0.22906496894985695</c:v>
                </c:pt>
                <c:pt idx="583">
                  <c:v>0.22971636859396613</c:v>
                </c:pt>
                <c:pt idx="584">
                  <c:v>0.23036805334073321</c:v>
                </c:pt>
                <c:pt idx="585">
                  <c:v>0.23102002077741854</c:v>
                </c:pt>
                <c:pt idx="586">
                  <c:v>0.23167226851740128</c:v>
                </c:pt>
                <c:pt idx="587">
                  <c:v>0.23232479419984187</c:v>
                </c:pt>
                <c:pt idx="588">
                  <c:v>0.23297759548934927</c:v>
                </c:pt>
                <c:pt idx="589">
                  <c:v>0.2336306700756535</c:v>
                </c:pt>
                <c:pt idx="590">
                  <c:v>0.23428401567328241</c:v>
                </c:pt>
                <c:pt idx="591">
                  <c:v>0.23493763002124382</c:v>
                </c:pt>
                <c:pt idx="592">
                  <c:v>0.23559151088271163</c:v>
                </c:pt>
                <c:pt idx="593">
                  <c:v>0.23624565604471714</c:v>
                </c:pt>
                <c:pt idx="594">
                  <c:v>0.23690006331784466</c:v>
                </c:pt>
                <c:pt idx="595">
                  <c:v>0.23755473053593101</c:v>
                </c:pt>
                <c:pt idx="596">
                  <c:v>0.23820965555577042</c:v>
                </c:pt>
                <c:pt idx="597">
                  <c:v>0.23886483625682281</c:v>
                </c:pt>
                <c:pt idx="598">
                  <c:v>0.23952027054092681</c:v>
                </c:pt>
                <c:pt idx="599">
                  <c:v>0.24017595633201663</c:v>
                </c:pt>
                <c:pt idx="600">
                  <c:v>0.24083189157584331</c:v>
                </c:pt>
              </c:numCache>
            </c:numRef>
          </c:xVal>
          <c:yVal>
            <c:numRef>
              <c:f>Com_Short_Sell!$G$12:$G$612</c:f>
              <c:numCache>
                <c:formatCode>0.0%</c:formatCode>
                <c:ptCount val="6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7.1700000000001346E-2</c:v>
                </c:pt>
                <c:pt idx="279">
                  <c:v>7.1850000000001357E-2</c:v>
                </c:pt>
                <c:pt idx="280">
                  <c:v>7.2000000000001341E-2</c:v>
                </c:pt>
                <c:pt idx="281">
                  <c:v>7.2150000000001352E-2</c:v>
                </c:pt>
                <c:pt idx="282">
                  <c:v>7.2300000000001363E-2</c:v>
                </c:pt>
                <c:pt idx="283">
                  <c:v>7.2450000000001347E-2</c:v>
                </c:pt>
                <c:pt idx="284">
                  <c:v>7.2600000000001358E-2</c:v>
                </c:pt>
                <c:pt idx="285">
                  <c:v>7.2750000000001341E-2</c:v>
                </c:pt>
                <c:pt idx="286">
                  <c:v>7.2900000000001353E-2</c:v>
                </c:pt>
                <c:pt idx="287">
                  <c:v>7.3050000000001364E-2</c:v>
                </c:pt>
                <c:pt idx="288">
                  <c:v>7.3200000000001347E-2</c:v>
                </c:pt>
                <c:pt idx="289">
                  <c:v>7.3350000000001359E-2</c:v>
                </c:pt>
                <c:pt idx="290">
                  <c:v>7.3500000000001342E-2</c:v>
                </c:pt>
                <c:pt idx="291">
                  <c:v>7.3650000000001353E-2</c:v>
                </c:pt>
                <c:pt idx="292">
                  <c:v>7.3800000000001365E-2</c:v>
                </c:pt>
                <c:pt idx="293">
                  <c:v>7.3950000000001348E-2</c:v>
                </c:pt>
                <c:pt idx="294">
                  <c:v>7.4100000000001359E-2</c:v>
                </c:pt>
                <c:pt idx="295">
                  <c:v>7.4250000000001343E-2</c:v>
                </c:pt>
                <c:pt idx="296">
                  <c:v>7.4400000000001354E-2</c:v>
                </c:pt>
                <c:pt idx="297">
                  <c:v>7.4550000000001365E-2</c:v>
                </c:pt>
                <c:pt idx="298">
                  <c:v>7.4700000000001349E-2</c:v>
                </c:pt>
                <c:pt idx="299">
                  <c:v>7.485000000000136E-2</c:v>
                </c:pt>
                <c:pt idx="300">
                  <c:v>7.5000000000001343E-2</c:v>
                </c:pt>
                <c:pt idx="301">
                  <c:v>7.5150000000001355E-2</c:v>
                </c:pt>
                <c:pt idx="302">
                  <c:v>7.5300000000001352E-2</c:v>
                </c:pt>
                <c:pt idx="303">
                  <c:v>7.5450000000001349E-2</c:v>
                </c:pt>
                <c:pt idx="304">
                  <c:v>7.5600000000001347E-2</c:v>
                </c:pt>
                <c:pt idx="305">
                  <c:v>7.5750000000001344E-2</c:v>
                </c:pt>
                <c:pt idx="306">
                  <c:v>7.5900000000001355E-2</c:v>
                </c:pt>
                <c:pt idx="307">
                  <c:v>7.6050000000001353E-2</c:v>
                </c:pt>
                <c:pt idx="308">
                  <c:v>7.620000000000135E-2</c:v>
                </c:pt>
                <c:pt idx="309">
                  <c:v>7.6350000000001347E-2</c:v>
                </c:pt>
                <c:pt idx="310">
                  <c:v>7.6500000000001345E-2</c:v>
                </c:pt>
                <c:pt idx="311">
                  <c:v>7.6650000000001356E-2</c:v>
                </c:pt>
                <c:pt idx="312">
                  <c:v>7.6800000000001353E-2</c:v>
                </c:pt>
                <c:pt idx="313">
                  <c:v>7.6950000000001351E-2</c:v>
                </c:pt>
                <c:pt idx="314">
                  <c:v>7.7100000000001348E-2</c:v>
                </c:pt>
                <c:pt idx="315">
                  <c:v>7.7250000000001345E-2</c:v>
                </c:pt>
                <c:pt idx="316">
                  <c:v>7.7400000000001357E-2</c:v>
                </c:pt>
                <c:pt idx="317">
                  <c:v>7.7550000000001354E-2</c:v>
                </c:pt>
                <c:pt idx="318">
                  <c:v>7.7700000000001351E-2</c:v>
                </c:pt>
                <c:pt idx="319">
                  <c:v>7.7850000000001349E-2</c:v>
                </c:pt>
                <c:pt idx="320">
                  <c:v>7.8000000000001346E-2</c:v>
                </c:pt>
                <c:pt idx="321">
                  <c:v>7.8150000000001357E-2</c:v>
                </c:pt>
                <c:pt idx="322">
                  <c:v>7.8300000000001355E-2</c:v>
                </c:pt>
                <c:pt idx="323">
                  <c:v>7.8450000000001352E-2</c:v>
                </c:pt>
                <c:pt idx="324">
                  <c:v>7.8600000000001349E-2</c:v>
                </c:pt>
                <c:pt idx="325">
                  <c:v>7.8750000000001347E-2</c:v>
                </c:pt>
                <c:pt idx="326">
                  <c:v>7.8900000000001358E-2</c:v>
                </c:pt>
                <c:pt idx="327">
                  <c:v>7.9050000000001355E-2</c:v>
                </c:pt>
                <c:pt idx="328">
                  <c:v>7.9200000000001353E-2</c:v>
                </c:pt>
                <c:pt idx="329">
                  <c:v>7.935000000000135E-2</c:v>
                </c:pt>
                <c:pt idx="330">
                  <c:v>7.9500000000001347E-2</c:v>
                </c:pt>
                <c:pt idx="331">
                  <c:v>7.9650000000001359E-2</c:v>
                </c:pt>
                <c:pt idx="332">
                  <c:v>7.9800000000001356E-2</c:v>
                </c:pt>
                <c:pt idx="333">
                  <c:v>7.9950000000001353E-2</c:v>
                </c:pt>
                <c:pt idx="334">
                  <c:v>8.0100000000001351E-2</c:v>
                </c:pt>
                <c:pt idx="335">
                  <c:v>8.0250000000001348E-2</c:v>
                </c:pt>
                <c:pt idx="336">
                  <c:v>8.0400000000001359E-2</c:v>
                </c:pt>
                <c:pt idx="337">
                  <c:v>8.0550000000001357E-2</c:v>
                </c:pt>
                <c:pt idx="338">
                  <c:v>8.0700000000001354E-2</c:v>
                </c:pt>
                <c:pt idx="339">
                  <c:v>8.0850000000001365E-2</c:v>
                </c:pt>
                <c:pt idx="340">
                  <c:v>8.1000000000001349E-2</c:v>
                </c:pt>
                <c:pt idx="341">
                  <c:v>8.115000000000136E-2</c:v>
                </c:pt>
                <c:pt idx="342">
                  <c:v>8.1300000000001343E-2</c:v>
                </c:pt>
                <c:pt idx="343">
                  <c:v>8.1450000000001355E-2</c:v>
                </c:pt>
                <c:pt idx="344">
                  <c:v>8.1600000000001366E-2</c:v>
                </c:pt>
                <c:pt idx="345">
                  <c:v>8.1750000000001349E-2</c:v>
                </c:pt>
                <c:pt idx="346">
                  <c:v>8.1900000000001361E-2</c:v>
                </c:pt>
                <c:pt idx="347">
                  <c:v>8.2050000000001344E-2</c:v>
                </c:pt>
                <c:pt idx="348">
                  <c:v>8.2200000000001355E-2</c:v>
                </c:pt>
                <c:pt idx="349">
                  <c:v>8.2350000000001367E-2</c:v>
                </c:pt>
                <c:pt idx="350">
                  <c:v>8.250000000000135E-2</c:v>
                </c:pt>
                <c:pt idx="351">
                  <c:v>8.2650000000001361E-2</c:v>
                </c:pt>
                <c:pt idx="352">
                  <c:v>8.2800000000001345E-2</c:v>
                </c:pt>
                <c:pt idx="353">
                  <c:v>8.2950000000001356E-2</c:v>
                </c:pt>
                <c:pt idx="354">
                  <c:v>8.3100000000001367E-2</c:v>
                </c:pt>
                <c:pt idx="355">
                  <c:v>8.3250000000001351E-2</c:v>
                </c:pt>
                <c:pt idx="356">
                  <c:v>8.3400000000001362E-2</c:v>
                </c:pt>
                <c:pt idx="357">
                  <c:v>8.3550000000001345E-2</c:v>
                </c:pt>
                <c:pt idx="358">
                  <c:v>8.3700000000001357E-2</c:v>
                </c:pt>
                <c:pt idx="359">
                  <c:v>8.3850000000001368E-2</c:v>
                </c:pt>
                <c:pt idx="360">
                  <c:v>8.4000000000001351E-2</c:v>
                </c:pt>
                <c:pt idx="361">
                  <c:v>8.4150000000001363E-2</c:v>
                </c:pt>
                <c:pt idx="362">
                  <c:v>8.4300000000001346E-2</c:v>
                </c:pt>
                <c:pt idx="363">
                  <c:v>8.4450000000001357E-2</c:v>
                </c:pt>
                <c:pt idx="364">
                  <c:v>8.4600000000001369E-2</c:v>
                </c:pt>
                <c:pt idx="365">
                  <c:v>8.4750000000001352E-2</c:v>
                </c:pt>
                <c:pt idx="366">
                  <c:v>8.4900000000001363E-2</c:v>
                </c:pt>
                <c:pt idx="367">
                  <c:v>8.5050000000001347E-2</c:v>
                </c:pt>
                <c:pt idx="368">
                  <c:v>8.5200000000001358E-2</c:v>
                </c:pt>
                <c:pt idx="369">
                  <c:v>8.5350000000001369E-2</c:v>
                </c:pt>
                <c:pt idx="370">
                  <c:v>8.5500000000001353E-2</c:v>
                </c:pt>
                <c:pt idx="371">
                  <c:v>8.5650000000001364E-2</c:v>
                </c:pt>
                <c:pt idx="372">
                  <c:v>8.5800000000001347E-2</c:v>
                </c:pt>
                <c:pt idx="373">
                  <c:v>8.5950000000001359E-2</c:v>
                </c:pt>
                <c:pt idx="374">
                  <c:v>8.610000000000137E-2</c:v>
                </c:pt>
                <c:pt idx="375">
                  <c:v>8.6250000000001353E-2</c:v>
                </c:pt>
                <c:pt idx="376">
                  <c:v>8.6400000000001365E-2</c:v>
                </c:pt>
                <c:pt idx="377">
                  <c:v>8.6550000000001348E-2</c:v>
                </c:pt>
                <c:pt idx="378">
                  <c:v>8.6700000000001359E-2</c:v>
                </c:pt>
                <c:pt idx="379">
                  <c:v>8.6850000000001371E-2</c:v>
                </c:pt>
                <c:pt idx="380">
                  <c:v>8.7000000000001354E-2</c:v>
                </c:pt>
                <c:pt idx="381">
                  <c:v>8.7150000000001365E-2</c:v>
                </c:pt>
                <c:pt idx="382">
                  <c:v>8.7300000000001349E-2</c:v>
                </c:pt>
                <c:pt idx="383">
                  <c:v>8.745000000000136E-2</c:v>
                </c:pt>
                <c:pt idx="384">
                  <c:v>8.7600000000001357E-2</c:v>
                </c:pt>
                <c:pt idx="385">
                  <c:v>8.7750000000001355E-2</c:v>
                </c:pt>
                <c:pt idx="386">
                  <c:v>8.7900000000001366E-2</c:v>
                </c:pt>
                <c:pt idx="387">
                  <c:v>8.8050000000001349E-2</c:v>
                </c:pt>
                <c:pt idx="388">
                  <c:v>8.8200000000001361E-2</c:v>
                </c:pt>
                <c:pt idx="389">
                  <c:v>8.8350000000001358E-2</c:v>
                </c:pt>
                <c:pt idx="390">
                  <c:v>8.8500000000001355E-2</c:v>
                </c:pt>
                <c:pt idx="391">
                  <c:v>8.8650000000001367E-2</c:v>
                </c:pt>
                <c:pt idx="392">
                  <c:v>8.8800000000001364E-2</c:v>
                </c:pt>
                <c:pt idx="393">
                  <c:v>8.8950000000001361E-2</c:v>
                </c:pt>
                <c:pt idx="394">
                  <c:v>8.9100000000001359E-2</c:v>
                </c:pt>
                <c:pt idx="395">
                  <c:v>8.925000000000137E-2</c:v>
                </c:pt>
                <c:pt idx="396">
                  <c:v>8.9400000000001367E-2</c:v>
                </c:pt>
                <c:pt idx="397">
                  <c:v>8.9550000000001365E-2</c:v>
                </c:pt>
                <c:pt idx="398">
                  <c:v>8.9700000000001362E-2</c:v>
                </c:pt>
                <c:pt idx="399">
                  <c:v>8.9850000000001359E-2</c:v>
                </c:pt>
                <c:pt idx="400">
                  <c:v>9.0000000000001371E-2</c:v>
                </c:pt>
                <c:pt idx="401">
                  <c:v>9.0150000000001354E-2</c:v>
                </c:pt>
                <c:pt idx="402">
                  <c:v>9.0300000000001351E-2</c:v>
                </c:pt>
                <c:pt idx="403">
                  <c:v>9.0450000000001335E-2</c:v>
                </c:pt>
                <c:pt idx="404">
                  <c:v>9.0600000000001332E-2</c:v>
                </c:pt>
                <c:pt idx="405">
                  <c:v>9.0750000000001316E-2</c:v>
                </c:pt>
                <c:pt idx="406">
                  <c:v>9.0900000000001299E-2</c:v>
                </c:pt>
                <c:pt idx="407">
                  <c:v>9.1050000000001297E-2</c:v>
                </c:pt>
                <c:pt idx="408">
                  <c:v>9.1200000000001294E-2</c:v>
                </c:pt>
                <c:pt idx="409">
                  <c:v>9.1350000000001277E-2</c:v>
                </c:pt>
                <c:pt idx="410">
                  <c:v>9.1500000000001275E-2</c:v>
                </c:pt>
                <c:pt idx="411">
                  <c:v>9.1650000000001258E-2</c:v>
                </c:pt>
                <c:pt idx="412">
                  <c:v>9.1800000000001256E-2</c:v>
                </c:pt>
                <c:pt idx="413">
                  <c:v>9.1950000000001253E-2</c:v>
                </c:pt>
                <c:pt idx="414">
                  <c:v>9.2100000000001223E-2</c:v>
                </c:pt>
                <c:pt idx="415">
                  <c:v>9.225000000000122E-2</c:v>
                </c:pt>
                <c:pt idx="416">
                  <c:v>9.2400000000001217E-2</c:v>
                </c:pt>
                <c:pt idx="417">
                  <c:v>9.2550000000001201E-2</c:v>
                </c:pt>
                <c:pt idx="418">
                  <c:v>9.2700000000001198E-2</c:v>
                </c:pt>
                <c:pt idx="419">
                  <c:v>9.2850000000001182E-2</c:v>
                </c:pt>
                <c:pt idx="420">
                  <c:v>9.3000000000001179E-2</c:v>
                </c:pt>
                <c:pt idx="421">
                  <c:v>9.3150000000001176E-2</c:v>
                </c:pt>
                <c:pt idx="422">
                  <c:v>9.3300000000001146E-2</c:v>
                </c:pt>
                <c:pt idx="423">
                  <c:v>9.3450000000001143E-2</c:v>
                </c:pt>
                <c:pt idx="424">
                  <c:v>9.3600000000001127E-2</c:v>
                </c:pt>
                <c:pt idx="425">
                  <c:v>9.3750000000001124E-2</c:v>
                </c:pt>
                <c:pt idx="426">
                  <c:v>9.3900000000001121E-2</c:v>
                </c:pt>
                <c:pt idx="427">
                  <c:v>9.4050000000001105E-2</c:v>
                </c:pt>
                <c:pt idx="428">
                  <c:v>9.4200000000001102E-2</c:v>
                </c:pt>
                <c:pt idx="429">
                  <c:v>9.4350000000001086E-2</c:v>
                </c:pt>
                <c:pt idx="430">
                  <c:v>9.4500000000001069E-2</c:v>
                </c:pt>
                <c:pt idx="431">
                  <c:v>9.4650000000001067E-2</c:v>
                </c:pt>
                <c:pt idx="432">
                  <c:v>9.480000000000105E-2</c:v>
                </c:pt>
                <c:pt idx="433">
                  <c:v>9.4950000000001047E-2</c:v>
                </c:pt>
                <c:pt idx="434">
                  <c:v>9.5100000000001031E-2</c:v>
                </c:pt>
                <c:pt idx="435">
                  <c:v>9.5250000000001028E-2</c:v>
                </c:pt>
                <c:pt idx="436">
                  <c:v>9.5400000000001012E-2</c:v>
                </c:pt>
                <c:pt idx="437">
                  <c:v>9.5550000000001009E-2</c:v>
                </c:pt>
                <c:pt idx="438">
                  <c:v>9.5700000000000993E-2</c:v>
                </c:pt>
                <c:pt idx="439">
                  <c:v>9.5850000000000976E-2</c:v>
                </c:pt>
                <c:pt idx="440">
                  <c:v>9.6000000000000973E-2</c:v>
                </c:pt>
                <c:pt idx="441">
                  <c:v>9.6150000000000957E-2</c:v>
                </c:pt>
                <c:pt idx="442">
                  <c:v>9.6300000000000954E-2</c:v>
                </c:pt>
                <c:pt idx="443">
                  <c:v>9.6450000000000952E-2</c:v>
                </c:pt>
                <c:pt idx="444">
                  <c:v>9.6600000000000935E-2</c:v>
                </c:pt>
                <c:pt idx="445">
                  <c:v>9.6750000000000932E-2</c:v>
                </c:pt>
                <c:pt idx="446">
                  <c:v>9.690000000000093E-2</c:v>
                </c:pt>
                <c:pt idx="447">
                  <c:v>9.7050000000000899E-2</c:v>
                </c:pt>
                <c:pt idx="448">
                  <c:v>9.7200000000000897E-2</c:v>
                </c:pt>
                <c:pt idx="449">
                  <c:v>9.735000000000088E-2</c:v>
                </c:pt>
                <c:pt idx="450">
                  <c:v>9.7500000000000878E-2</c:v>
                </c:pt>
                <c:pt idx="451">
                  <c:v>9.7650000000000875E-2</c:v>
                </c:pt>
                <c:pt idx="452">
                  <c:v>9.7800000000000858E-2</c:v>
                </c:pt>
                <c:pt idx="453">
                  <c:v>9.7950000000000856E-2</c:v>
                </c:pt>
                <c:pt idx="454">
                  <c:v>9.8100000000000853E-2</c:v>
                </c:pt>
                <c:pt idx="455">
                  <c:v>9.8250000000000823E-2</c:v>
                </c:pt>
                <c:pt idx="456">
                  <c:v>9.840000000000082E-2</c:v>
                </c:pt>
                <c:pt idx="457">
                  <c:v>9.8550000000000804E-2</c:v>
                </c:pt>
                <c:pt idx="458">
                  <c:v>9.8700000000000801E-2</c:v>
                </c:pt>
                <c:pt idx="459">
                  <c:v>9.8850000000000798E-2</c:v>
                </c:pt>
                <c:pt idx="460">
                  <c:v>9.9000000000000782E-2</c:v>
                </c:pt>
                <c:pt idx="461">
                  <c:v>9.9150000000000779E-2</c:v>
                </c:pt>
                <c:pt idx="462">
                  <c:v>9.9300000000000763E-2</c:v>
                </c:pt>
                <c:pt idx="463">
                  <c:v>9.9450000000000746E-2</c:v>
                </c:pt>
                <c:pt idx="464">
                  <c:v>9.9600000000000743E-2</c:v>
                </c:pt>
                <c:pt idx="465">
                  <c:v>9.9750000000000727E-2</c:v>
                </c:pt>
                <c:pt idx="466">
                  <c:v>9.9900000000000724E-2</c:v>
                </c:pt>
                <c:pt idx="467">
                  <c:v>0.10005000000000071</c:v>
                </c:pt>
                <c:pt idx="468">
                  <c:v>0.10020000000000071</c:v>
                </c:pt>
                <c:pt idx="469">
                  <c:v>0.10035000000000069</c:v>
                </c:pt>
                <c:pt idx="470">
                  <c:v>0.10050000000000069</c:v>
                </c:pt>
                <c:pt idx="471">
                  <c:v>0.10065000000000067</c:v>
                </c:pt>
                <c:pt idx="472">
                  <c:v>0.10080000000000065</c:v>
                </c:pt>
                <c:pt idx="473">
                  <c:v>0.10095000000000065</c:v>
                </c:pt>
                <c:pt idx="474">
                  <c:v>0.10110000000000063</c:v>
                </c:pt>
                <c:pt idx="475">
                  <c:v>0.10125000000000063</c:v>
                </c:pt>
                <c:pt idx="476">
                  <c:v>0.10140000000000063</c:v>
                </c:pt>
                <c:pt idx="477">
                  <c:v>0.10155000000000061</c:v>
                </c:pt>
                <c:pt idx="478">
                  <c:v>0.1017000000000006</c:v>
                </c:pt>
                <c:pt idx="479">
                  <c:v>0.10185000000000061</c:v>
                </c:pt>
                <c:pt idx="480">
                  <c:v>0.10200000000000058</c:v>
                </c:pt>
                <c:pt idx="481">
                  <c:v>0.10215000000000059</c:v>
                </c:pt>
                <c:pt idx="482">
                  <c:v>0.10230000000000056</c:v>
                </c:pt>
                <c:pt idx="483">
                  <c:v>0.10245000000000057</c:v>
                </c:pt>
                <c:pt idx="484">
                  <c:v>0.10260000000000055</c:v>
                </c:pt>
                <c:pt idx="485">
                  <c:v>0.10275000000000052</c:v>
                </c:pt>
                <c:pt idx="486">
                  <c:v>0.10290000000000053</c:v>
                </c:pt>
                <c:pt idx="487">
                  <c:v>0.1030500000000005</c:v>
                </c:pt>
                <c:pt idx="488">
                  <c:v>0.10320000000000051</c:v>
                </c:pt>
                <c:pt idx="489">
                  <c:v>0.1033500000000005</c:v>
                </c:pt>
                <c:pt idx="490">
                  <c:v>0.10350000000000049</c:v>
                </c:pt>
                <c:pt idx="491">
                  <c:v>0.10365000000000048</c:v>
                </c:pt>
                <c:pt idx="492">
                  <c:v>0.10380000000000045</c:v>
                </c:pt>
                <c:pt idx="493">
                  <c:v>0.10395000000000046</c:v>
                </c:pt>
                <c:pt idx="494">
                  <c:v>0.10410000000000044</c:v>
                </c:pt>
                <c:pt idx="495">
                  <c:v>0.10425000000000044</c:v>
                </c:pt>
                <c:pt idx="496">
                  <c:v>0.10440000000000042</c:v>
                </c:pt>
                <c:pt idx="497">
                  <c:v>0.10455000000000042</c:v>
                </c:pt>
                <c:pt idx="498">
                  <c:v>0.1047000000000004</c:v>
                </c:pt>
                <c:pt idx="499">
                  <c:v>0.10485000000000042</c:v>
                </c:pt>
                <c:pt idx="500">
                  <c:v>0.10500000000000038</c:v>
                </c:pt>
                <c:pt idx="501">
                  <c:v>0.10515000000000037</c:v>
                </c:pt>
                <c:pt idx="502">
                  <c:v>0.10530000000000037</c:v>
                </c:pt>
                <c:pt idx="503">
                  <c:v>0.10545000000000035</c:v>
                </c:pt>
                <c:pt idx="504">
                  <c:v>0.10560000000000036</c:v>
                </c:pt>
                <c:pt idx="505">
                  <c:v>0.10575000000000034</c:v>
                </c:pt>
                <c:pt idx="506">
                  <c:v>0.10590000000000034</c:v>
                </c:pt>
                <c:pt idx="507">
                  <c:v>0.10605000000000031</c:v>
                </c:pt>
                <c:pt idx="508">
                  <c:v>0.10620000000000029</c:v>
                </c:pt>
                <c:pt idx="509">
                  <c:v>0.10635000000000031</c:v>
                </c:pt>
                <c:pt idx="510">
                  <c:v>0.10650000000000029</c:v>
                </c:pt>
                <c:pt idx="511">
                  <c:v>0.10665000000000029</c:v>
                </c:pt>
                <c:pt idx="512">
                  <c:v>0.10680000000000026</c:v>
                </c:pt>
                <c:pt idx="513">
                  <c:v>0.10695000000000027</c:v>
                </c:pt>
                <c:pt idx="514">
                  <c:v>0.10710000000000025</c:v>
                </c:pt>
                <c:pt idx="515">
                  <c:v>0.10725000000000026</c:v>
                </c:pt>
                <c:pt idx="516">
                  <c:v>0.10740000000000023</c:v>
                </c:pt>
                <c:pt idx="517">
                  <c:v>0.1075500000000002</c:v>
                </c:pt>
                <c:pt idx="518">
                  <c:v>0.10770000000000021</c:v>
                </c:pt>
                <c:pt idx="519">
                  <c:v>0.1078500000000002</c:v>
                </c:pt>
                <c:pt idx="520">
                  <c:v>0.10800000000000021</c:v>
                </c:pt>
                <c:pt idx="521">
                  <c:v>0.10815000000000018</c:v>
                </c:pt>
                <c:pt idx="522">
                  <c:v>0.10830000000000017</c:v>
                </c:pt>
                <c:pt idx="523">
                  <c:v>0.10845000000000016</c:v>
                </c:pt>
                <c:pt idx="524">
                  <c:v>0.10860000000000017</c:v>
                </c:pt>
                <c:pt idx="525">
                  <c:v>0.10875000000000015</c:v>
                </c:pt>
                <c:pt idx="526">
                  <c:v>0.10890000000000012</c:v>
                </c:pt>
                <c:pt idx="527">
                  <c:v>0.10905000000000012</c:v>
                </c:pt>
                <c:pt idx="528">
                  <c:v>0.1092000000000001</c:v>
                </c:pt>
                <c:pt idx="529">
                  <c:v>0.10935000000000011</c:v>
                </c:pt>
                <c:pt idx="530">
                  <c:v>0.1095000000000001</c:v>
                </c:pt>
                <c:pt idx="531">
                  <c:v>0.10965000000000009</c:v>
                </c:pt>
                <c:pt idx="532">
                  <c:v>0.10980000000000006</c:v>
                </c:pt>
                <c:pt idx="533">
                  <c:v>0.10995000000000005</c:v>
                </c:pt>
                <c:pt idx="534">
                  <c:v>0.11010000000000006</c:v>
                </c:pt>
                <c:pt idx="535">
                  <c:v>0.11025000000000004</c:v>
                </c:pt>
                <c:pt idx="536">
                  <c:v>0.11040000000000004</c:v>
                </c:pt>
                <c:pt idx="537">
                  <c:v>0.11055000000000001</c:v>
                </c:pt>
                <c:pt idx="538">
                  <c:v>0.11070000000000002</c:v>
                </c:pt>
                <c:pt idx="539">
                  <c:v>0.11085</c:v>
                </c:pt>
                <c:pt idx="540">
                  <c:v>0.11100000000000002</c:v>
                </c:pt>
                <c:pt idx="541">
                  <c:v>0.11114999999999998</c:v>
                </c:pt>
                <c:pt idx="542">
                  <c:v>0.11129999999999995</c:v>
                </c:pt>
                <c:pt idx="543">
                  <c:v>0.11144999999999997</c:v>
                </c:pt>
                <c:pt idx="544">
                  <c:v>0.11159999999999995</c:v>
                </c:pt>
                <c:pt idx="545">
                  <c:v>0.11174999999999996</c:v>
                </c:pt>
                <c:pt idx="546">
                  <c:v>0.11189999999999993</c:v>
                </c:pt>
                <c:pt idx="547">
                  <c:v>0.11204999999999993</c:v>
                </c:pt>
                <c:pt idx="548">
                  <c:v>0.11219999999999991</c:v>
                </c:pt>
                <c:pt idx="549">
                  <c:v>0.11234999999999992</c:v>
                </c:pt>
                <c:pt idx="550">
                  <c:v>0.11249999999999991</c:v>
                </c:pt>
                <c:pt idx="551">
                  <c:v>0.11264999999999988</c:v>
                </c:pt>
                <c:pt idx="552">
                  <c:v>0.11279999999999987</c:v>
                </c:pt>
                <c:pt idx="553">
                  <c:v>0.11294999999999986</c:v>
                </c:pt>
                <c:pt idx="554">
                  <c:v>0.11309999999999987</c:v>
                </c:pt>
                <c:pt idx="555">
                  <c:v>0.11324999999999985</c:v>
                </c:pt>
                <c:pt idx="556">
                  <c:v>0.11339999999999985</c:v>
                </c:pt>
                <c:pt idx="557">
                  <c:v>0.11354999999999982</c:v>
                </c:pt>
                <c:pt idx="558">
                  <c:v>0.1136999999999998</c:v>
                </c:pt>
                <c:pt idx="559">
                  <c:v>0.11384999999999981</c:v>
                </c:pt>
                <c:pt idx="560">
                  <c:v>0.1139999999999998</c:v>
                </c:pt>
                <c:pt idx="561">
                  <c:v>0.11414999999999979</c:v>
                </c:pt>
                <c:pt idx="562">
                  <c:v>0.11429999999999976</c:v>
                </c:pt>
                <c:pt idx="563">
                  <c:v>0.11444999999999977</c:v>
                </c:pt>
                <c:pt idx="564">
                  <c:v>0.11459999999999976</c:v>
                </c:pt>
                <c:pt idx="565">
                  <c:v>0.11474999999999977</c:v>
                </c:pt>
                <c:pt idx="566">
                  <c:v>0.11489999999999974</c:v>
                </c:pt>
                <c:pt idx="567">
                  <c:v>0.11504999999999971</c:v>
                </c:pt>
                <c:pt idx="568">
                  <c:v>0.11519999999999972</c:v>
                </c:pt>
                <c:pt idx="569">
                  <c:v>0.1153499999999997</c:v>
                </c:pt>
                <c:pt idx="570">
                  <c:v>0.11549999999999971</c:v>
                </c:pt>
                <c:pt idx="571">
                  <c:v>0.11564999999999968</c:v>
                </c:pt>
                <c:pt idx="572">
                  <c:v>0.11579999999999968</c:v>
                </c:pt>
                <c:pt idx="573">
                  <c:v>0.11594999999999966</c:v>
                </c:pt>
                <c:pt idx="574">
                  <c:v>0.11609999999999965</c:v>
                </c:pt>
                <c:pt idx="575">
                  <c:v>0.11624999999999966</c:v>
                </c:pt>
                <c:pt idx="576">
                  <c:v>0.11639999999999963</c:v>
                </c:pt>
                <c:pt idx="577">
                  <c:v>0.11654999999999963</c:v>
                </c:pt>
                <c:pt idx="578">
                  <c:v>0.11669999999999961</c:v>
                </c:pt>
                <c:pt idx="579">
                  <c:v>0.11684999999999962</c:v>
                </c:pt>
                <c:pt idx="580">
                  <c:v>0.1169999999999996</c:v>
                </c:pt>
                <c:pt idx="581">
                  <c:v>0.1171499999999996</c:v>
                </c:pt>
                <c:pt idx="582">
                  <c:v>0.11729999999999957</c:v>
                </c:pt>
                <c:pt idx="583">
                  <c:v>0.11744999999999955</c:v>
                </c:pt>
                <c:pt idx="584">
                  <c:v>0.11759999999999957</c:v>
                </c:pt>
                <c:pt idx="585">
                  <c:v>0.11774999999999955</c:v>
                </c:pt>
                <c:pt idx="586">
                  <c:v>0.11789999999999955</c:v>
                </c:pt>
                <c:pt idx="587">
                  <c:v>0.11804999999999952</c:v>
                </c:pt>
                <c:pt idx="588">
                  <c:v>0.11819999999999953</c:v>
                </c:pt>
                <c:pt idx="589">
                  <c:v>0.11834999999999951</c:v>
                </c:pt>
                <c:pt idx="590">
                  <c:v>0.11849999999999952</c:v>
                </c:pt>
                <c:pt idx="591">
                  <c:v>0.11864999999999949</c:v>
                </c:pt>
                <c:pt idx="592">
                  <c:v>0.11879999999999946</c:v>
                </c:pt>
                <c:pt idx="593">
                  <c:v>0.11894999999999947</c:v>
                </c:pt>
                <c:pt idx="594">
                  <c:v>0.11909999999999946</c:v>
                </c:pt>
                <c:pt idx="595">
                  <c:v>0.11924999999999947</c:v>
                </c:pt>
                <c:pt idx="596">
                  <c:v>0.11939999999999944</c:v>
                </c:pt>
                <c:pt idx="597">
                  <c:v>0.11954999999999943</c:v>
                </c:pt>
                <c:pt idx="598">
                  <c:v>0.11969999999999942</c:v>
                </c:pt>
                <c:pt idx="599">
                  <c:v>0.1198499999999994</c:v>
                </c:pt>
                <c:pt idx="600">
                  <c:v>0.11999999999999941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443-4612-AC60-7EC2F7A99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616824"/>
        <c:axId val="406914368"/>
      </c:scatterChart>
      <c:valAx>
        <c:axId val="524616824"/>
        <c:scaling>
          <c:orientation val="minMax"/>
          <c:min val="7.0000000000000007E-2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Risco</a:t>
                </a:r>
              </a:p>
            </c:rich>
          </c:tx>
          <c:layout>
            <c:manualLayout>
              <c:xMode val="edge"/>
              <c:yMode val="edge"/>
              <c:x val="0.48843037253408256"/>
              <c:y val="0.9552494513124432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 w="9525" cap="rnd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6914368"/>
        <c:crosses val="autoZero"/>
        <c:crossBetween val="midCat"/>
      </c:valAx>
      <c:valAx>
        <c:axId val="40691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Retorno</a:t>
                </a:r>
              </a:p>
            </c:rich>
          </c:tx>
          <c:layout>
            <c:manualLayout>
              <c:xMode val="edge"/>
              <c:yMode val="edge"/>
              <c:x val="3.283054844836247E-4"/>
              <c:y val="0.3644452966683941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 w="9525" cap="rnd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461682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ferramentasdoinvestidor.com.br/" TargetMode="Externa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ferramentasdoinvestidor.com.br/" TargetMode="Externa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194015</xdr:colOff>
      <xdr:row>3</xdr:row>
      <xdr:rowOff>49657</xdr:rowOff>
    </xdr:from>
    <xdr:to>
      <xdr:col>22</xdr:col>
      <xdr:colOff>152400</xdr:colOff>
      <xdr:row>23</xdr:row>
      <xdr:rowOff>97972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3810</xdr:colOff>
      <xdr:row>0</xdr:row>
      <xdr:rowOff>413555</xdr:rowOff>
    </xdr:from>
    <xdr:ext cx="2707857" cy="142875"/>
    <xdr:sp macro="" textlink="">
      <xdr:nvSpPr>
        <xdr:cNvPr id="3" name="Text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BCFDFD-54CE-4FC9-84B9-89DFE5E0B11F}"/>
            </a:ext>
          </a:extLst>
        </xdr:cNvPr>
        <xdr:cNvSpPr txBox="1"/>
      </xdr:nvSpPr>
      <xdr:spPr>
        <a:xfrm>
          <a:off x="1322070" y="413555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1</xdr:col>
      <xdr:colOff>91440</xdr:colOff>
      <xdr:row>0</xdr:row>
      <xdr:rowOff>0</xdr:rowOff>
    </xdr:from>
    <xdr:to>
      <xdr:col>2</xdr:col>
      <xdr:colOff>1120140</xdr:colOff>
      <xdr:row>0</xdr:row>
      <xdr:rowOff>557907</xdr:rowOff>
    </xdr:to>
    <xdr:pic>
      <xdr:nvPicPr>
        <xdr:cNvPr id="4" name="Picture 3" descr="logo_fi3">
          <a:extLst>
            <a:ext uri="{FF2B5EF4-FFF2-40B4-BE49-F238E27FC236}">
              <a16:creationId xmlns:a16="http://schemas.microsoft.com/office/drawing/2014/main" id="{FC79F243-98C7-4F71-AF2D-F33F035D5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0"/>
          <a:ext cx="1143000" cy="557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270215</xdr:colOff>
      <xdr:row>3</xdr:row>
      <xdr:rowOff>49657</xdr:rowOff>
    </xdr:from>
    <xdr:to>
      <xdr:col>20</xdr:col>
      <xdr:colOff>152400</xdr:colOff>
      <xdr:row>23</xdr:row>
      <xdr:rowOff>97972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C9E1D3-7D3A-4D64-9DA5-129B718DD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3810</xdr:colOff>
      <xdr:row>0</xdr:row>
      <xdr:rowOff>413555</xdr:rowOff>
    </xdr:from>
    <xdr:ext cx="2707857" cy="142875"/>
    <xdr:sp macro="" textlink="">
      <xdr:nvSpPr>
        <xdr:cNvPr id="3" name="Text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F38326-5E6F-4A73-8EE0-EF1D4DA132B8}"/>
            </a:ext>
          </a:extLst>
        </xdr:cNvPr>
        <xdr:cNvSpPr txBox="1"/>
      </xdr:nvSpPr>
      <xdr:spPr>
        <a:xfrm>
          <a:off x="1192530" y="413555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76201</xdr:colOff>
      <xdr:row>0</xdr:row>
      <xdr:rowOff>0</xdr:rowOff>
    </xdr:from>
    <xdr:to>
      <xdr:col>1</xdr:col>
      <xdr:colOff>1143000</xdr:colOff>
      <xdr:row>0</xdr:row>
      <xdr:rowOff>557907</xdr:rowOff>
    </xdr:to>
    <xdr:pic>
      <xdr:nvPicPr>
        <xdr:cNvPr id="4" name="Picture 3" descr="logo_fi3">
          <a:extLst>
            <a:ext uri="{FF2B5EF4-FFF2-40B4-BE49-F238E27FC236}">
              <a16:creationId xmlns:a16="http://schemas.microsoft.com/office/drawing/2014/main" id="{F5990F37-E8E4-4EE2-A8CB-34BBAE4AC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557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13</xdr:col>
      <xdr:colOff>540328</xdr:colOff>
      <xdr:row>3</xdr:row>
      <xdr:rowOff>249382</xdr:rowOff>
    </xdr:from>
    <xdr:ext cx="3084562" cy="59330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ED71424-E074-4316-A217-10D6FCA60E70}"/>
            </a:ext>
          </a:extLst>
        </xdr:cNvPr>
        <xdr:cNvSpPr txBox="1"/>
      </xdr:nvSpPr>
      <xdr:spPr>
        <a:xfrm>
          <a:off x="13785273" y="1136073"/>
          <a:ext cx="3084562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3200"/>
            <a:t>COM</a:t>
          </a:r>
          <a:r>
            <a:rPr lang="pt-BR" sz="3200" baseline="0"/>
            <a:t> SHORT SELL</a:t>
          </a:r>
          <a:endParaRPr lang="pt-BR" sz="3200"/>
        </a:p>
      </xdr:txBody>
    </xdr:sp>
    <xdr:clientData/>
  </xdr:oneCellAnchor>
  <xdr:oneCellAnchor>
    <xdr:from>
      <xdr:col>26</xdr:col>
      <xdr:colOff>332509</xdr:colOff>
      <xdr:row>3</xdr:row>
      <xdr:rowOff>207817</xdr:rowOff>
    </xdr:from>
    <xdr:ext cx="2982932" cy="59330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662E619-1AE3-48E3-B1E3-3E6E53D62A78}"/>
            </a:ext>
          </a:extLst>
        </xdr:cNvPr>
        <xdr:cNvSpPr txBox="1"/>
      </xdr:nvSpPr>
      <xdr:spPr>
        <a:xfrm>
          <a:off x="23414182" y="1094508"/>
          <a:ext cx="2982932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3200"/>
            <a:t>SEM</a:t>
          </a:r>
          <a:r>
            <a:rPr lang="pt-BR" sz="3200" baseline="0"/>
            <a:t> SHORT SELL</a:t>
          </a:r>
          <a:endParaRPr lang="pt-BR" sz="32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12"/>
  <sheetViews>
    <sheetView showGridLines="0" tabSelected="1" topLeftCell="B1" zoomScale="70" zoomScaleNormal="70" workbookViewId="0">
      <selection activeCell="F12" sqref="F12"/>
    </sheetView>
  </sheetViews>
  <sheetFormatPr defaultRowHeight="14.4" x14ac:dyDescent="0.3"/>
  <cols>
    <col min="1" max="1" width="1.88671875" hidden="1" customWidth="1"/>
    <col min="2" max="2" width="1.6640625" customWidth="1"/>
    <col min="3" max="3" width="17.33203125" customWidth="1"/>
    <col min="4" max="4" width="16.6640625" bestFit="1" customWidth="1"/>
    <col min="5" max="5" width="17.88671875" customWidth="1"/>
    <col min="6" max="6" width="22.44140625" style="1" bestFit="1" customWidth="1"/>
    <col min="7" max="7" width="19.6640625" style="1" customWidth="1"/>
    <col min="8" max="8" width="16.77734375" bestFit="1" customWidth="1"/>
    <col min="9" max="9" width="36.5546875" bestFit="1" customWidth="1"/>
    <col min="10" max="10" width="9.88671875" customWidth="1"/>
    <col min="11" max="11" width="12.33203125" customWidth="1"/>
    <col min="20" max="20" width="18.21875" customWidth="1"/>
    <col min="21" max="21" width="27.5546875" customWidth="1"/>
  </cols>
  <sheetData>
    <row r="1" spans="1:10" ht="48" customHeight="1" thickBot="1" x14ac:dyDescent="0.35">
      <c r="D1" s="15"/>
      <c r="F1"/>
      <c r="G1" s="14"/>
    </row>
    <row r="2" spans="1:10" s="16" customFormat="1" ht="6.75" customHeight="1" thickBot="1" x14ac:dyDescent="0.35">
      <c r="G2" s="17"/>
    </row>
    <row r="3" spans="1:10" ht="15" thickBot="1" x14ac:dyDescent="0.35"/>
    <row r="4" spans="1:10" ht="22.8" thickBot="1" x14ac:dyDescent="0.35">
      <c r="C4" s="19" t="s">
        <v>6</v>
      </c>
      <c r="D4" s="20" t="s">
        <v>4</v>
      </c>
      <c r="E4" s="21">
        <v>0.1</v>
      </c>
      <c r="F4" s="22" t="s">
        <v>0</v>
      </c>
      <c r="G4" s="23">
        <v>0.06</v>
      </c>
      <c r="I4" s="31" t="s">
        <v>9</v>
      </c>
      <c r="J4" s="32"/>
    </row>
    <row r="5" spans="1:10" ht="22.8" thickBot="1" x14ac:dyDescent="0.45">
      <c r="C5" s="19" t="s">
        <v>7</v>
      </c>
      <c r="D5" s="20" t="s">
        <v>5</v>
      </c>
      <c r="E5" s="21">
        <v>0.12</v>
      </c>
      <c r="F5" s="22" t="s">
        <v>0</v>
      </c>
      <c r="G5" s="23">
        <v>0.09</v>
      </c>
      <c r="I5" s="24" t="s">
        <v>10</v>
      </c>
      <c r="J5" s="26">
        <f>MIN(E12:E212)</f>
        <v>8.3983093536735123E-2</v>
      </c>
    </row>
    <row r="6" spans="1:10" ht="23.4" x14ac:dyDescent="0.45">
      <c r="D6" s="2" t="s">
        <v>1</v>
      </c>
      <c r="E6" s="4">
        <v>0.2</v>
      </c>
      <c r="F6" s="3"/>
      <c r="G6" s="3"/>
      <c r="I6" s="24" t="s">
        <v>2</v>
      </c>
      <c r="J6" s="27">
        <f>INDEX(C12:C212,MATCH(J5,$E$12:$E$212,0))</f>
        <v>0.60999999999999965</v>
      </c>
    </row>
    <row r="7" spans="1:10" ht="23.4" x14ac:dyDescent="0.45">
      <c r="D7" s="2"/>
      <c r="E7" s="2"/>
      <c r="F7" s="3"/>
      <c r="G7" s="3"/>
      <c r="I7" s="24" t="s">
        <v>3</v>
      </c>
      <c r="J7" s="27">
        <f>INDEX(D12:D212,MATCH(J5,$E$12:$E$212,0))</f>
        <v>0.39000000000000024</v>
      </c>
    </row>
    <row r="8" spans="1:10" ht="21" x14ac:dyDescent="0.4">
      <c r="C8" s="34" t="s">
        <v>8</v>
      </c>
      <c r="D8" s="34"/>
      <c r="F8" s="5"/>
      <c r="I8" s="24" t="s">
        <v>4</v>
      </c>
      <c r="J8" s="27">
        <f>J5</f>
        <v>8.3983093536735123E-2</v>
      </c>
    </row>
    <row r="9" spans="1:10" ht="21.6" thickBot="1" x14ac:dyDescent="0.45">
      <c r="C9" s="34"/>
      <c r="D9" s="34"/>
      <c r="I9" s="25" t="s">
        <v>0</v>
      </c>
      <c r="J9" s="28">
        <f>INDEX(F12:F212,MATCH(J5,$E$12:$E$212,0))</f>
        <v>7.17E-2</v>
      </c>
    </row>
    <row r="10" spans="1:10" ht="23.4" x14ac:dyDescent="0.45">
      <c r="C10" s="35"/>
      <c r="D10" s="35"/>
      <c r="F10" s="14"/>
      <c r="G10" s="33" t="s">
        <v>11</v>
      </c>
      <c r="H10" s="33"/>
      <c r="I10" s="29"/>
      <c r="J10" s="30"/>
    </row>
    <row r="11" spans="1:10" ht="30.75" customHeight="1" thickBot="1" x14ac:dyDescent="0.35">
      <c r="C11" s="18" t="s">
        <v>2</v>
      </c>
      <c r="D11" s="18" t="s">
        <v>3</v>
      </c>
      <c r="E11" s="18" t="s">
        <v>4</v>
      </c>
      <c r="F11" s="18" t="s">
        <v>0</v>
      </c>
      <c r="G11" s="18" t="s">
        <v>4</v>
      </c>
      <c r="H11" s="18" t="s">
        <v>0</v>
      </c>
    </row>
    <row r="12" spans="1:10" ht="24.6" thickTop="1" thickBot="1" x14ac:dyDescent="0.5">
      <c r="A12" s="6"/>
      <c r="B12" s="10"/>
      <c r="C12" s="36">
        <v>1</v>
      </c>
      <c r="D12" s="37">
        <v>0</v>
      </c>
      <c r="E12" s="13">
        <f>SQRT(C12^2*$E$4^2+D12^2*$E$5^2+2*D12*C12*$E$4*$E$5*$E$6)</f>
        <v>0.1</v>
      </c>
      <c r="F12" s="13">
        <f>$G$4*C12+$G$5*D12</f>
        <v>0.06</v>
      </c>
      <c r="G12" s="13" t="e">
        <f>IF(F12&gt;=$J$9,E12,NA())</f>
        <v>#N/A</v>
      </c>
      <c r="H12" s="13" t="e">
        <f>IF(F12&gt;=$J$9,F12,NA())</f>
        <v>#N/A</v>
      </c>
    </row>
    <row r="13" spans="1:10" ht="24" thickBot="1" x14ac:dyDescent="0.5">
      <c r="C13" s="38">
        <f>C12-0.5%</f>
        <v>0.995</v>
      </c>
      <c r="D13" s="39">
        <f>D12+0.5%</f>
        <v>5.0000000000000001E-3</v>
      </c>
      <c r="E13" s="9">
        <f>SQRT(C13^2*$E$4^2+D13^2*$E$5^2+2*D13*C13*$E$4*$E$5*$E$6)</f>
        <v>9.9621734576346349E-2</v>
      </c>
      <c r="F13" s="9">
        <f>$G$4*C13+$G$5*D13</f>
        <v>6.0149999999999995E-2</v>
      </c>
      <c r="G13" s="13" t="e">
        <f t="shared" ref="G13:G76" si="0">IF(F13&gt;=$J$9,E13,NA())</f>
        <v>#N/A</v>
      </c>
      <c r="H13" s="13" t="e">
        <f t="shared" ref="H13:H76" si="1">IF(F13&gt;=$J$9,F13,NA())</f>
        <v>#N/A</v>
      </c>
    </row>
    <row r="14" spans="1:10" ht="24" thickBot="1" x14ac:dyDescent="0.5">
      <c r="C14" s="38">
        <f t="shared" ref="C14:C77" si="2">C13-0.5%</f>
        <v>0.99</v>
      </c>
      <c r="D14" s="39">
        <f t="shared" ref="D14:D77" si="3">D13+0.5%</f>
        <v>0.01</v>
      </c>
      <c r="E14" s="9">
        <f>SQRT(C14^2*$E$4^2+D14^2*$E$5^2+2*D14*C14*$E$4*$E$5*$E$6)</f>
        <v>9.9246964689102726E-2</v>
      </c>
      <c r="F14" s="9">
        <f t="shared" ref="F14:F77" si="4">$G$4*C14+$G$5*D14</f>
        <v>6.0299999999999992E-2</v>
      </c>
      <c r="G14" s="13" t="e">
        <f t="shared" si="0"/>
        <v>#N/A</v>
      </c>
      <c r="H14" s="13" t="e">
        <f t="shared" si="1"/>
        <v>#N/A</v>
      </c>
    </row>
    <row r="15" spans="1:10" ht="24" thickBot="1" x14ac:dyDescent="0.5">
      <c r="C15" s="38">
        <f t="shared" si="2"/>
        <v>0.98499999999999999</v>
      </c>
      <c r="D15" s="39">
        <f t="shared" si="3"/>
        <v>1.4999999999999999E-2</v>
      </c>
      <c r="E15" s="9">
        <f>SQRT(C15^2*$E$4^2+D15^2*$E$5^2+2*D15*C15*$E$4*$E$5*$E$6)</f>
        <v>9.887573008580014E-2</v>
      </c>
      <c r="F15" s="9">
        <f>$G$4*C15+$G$5*D15</f>
        <v>6.0449999999999997E-2</v>
      </c>
      <c r="G15" s="13" t="e">
        <f t="shared" si="0"/>
        <v>#N/A</v>
      </c>
      <c r="H15" s="13" t="e">
        <f t="shared" si="1"/>
        <v>#N/A</v>
      </c>
    </row>
    <row r="16" spans="1:10" ht="24" thickBot="1" x14ac:dyDescent="0.5">
      <c r="C16" s="38">
        <f t="shared" si="2"/>
        <v>0.98</v>
      </c>
      <c r="D16" s="39">
        <f>D15+0.5%</f>
        <v>0.02</v>
      </c>
      <c r="E16" s="9">
        <f t="shared" ref="E16:E77" si="5">SQRT(C16^2*$E$4^2+D16^2*$E$5^2+2*D16*C16*$E$4*$E$5*$E$6)</f>
        <v>9.8508070735346356E-2</v>
      </c>
      <c r="F16" s="9">
        <f t="shared" si="4"/>
        <v>6.0600000000000001E-2</v>
      </c>
      <c r="G16" s="13" t="e">
        <f t="shared" si="0"/>
        <v>#N/A</v>
      </c>
      <c r="H16" s="13" t="e">
        <f t="shared" si="1"/>
        <v>#N/A</v>
      </c>
    </row>
    <row r="17" spans="3:8" ht="24" thickBot="1" x14ac:dyDescent="0.5">
      <c r="C17" s="38">
        <f t="shared" si="2"/>
        <v>0.97499999999999998</v>
      </c>
      <c r="D17" s="39">
        <f t="shared" si="3"/>
        <v>2.5000000000000001E-2</v>
      </c>
      <c r="E17" s="9">
        <f>SQRT(C17^2*$E$4^2+D17^2*$E$5^2+2*D17*C17*$E$4*$E$5*$E$6)</f>
        <v>9.8144026817733543E-2</v>
      </c>
      <c r="F17" s="9">
        <f t="shared" si="4"/>
        <v>6.0749999999999998E-2</v>
      </c>
      <c r="G17" s="13" t="e">
        <f t="shared" si="0"/>
        <v>#N/A</v>
      </c>
      <c r="H17" s="13" t="e">
        <f t="shared" si="1"/>
        <v>#N/A</v>
      </c>
    </row>
    <row r="18" spans="3:8" ht="24" thickBot="1" x14ac:dyDescent="0.5">
      <c r="C18" s="38">
        <f t="shared" si="2"/>
        <v>0.97</v>
      </c>
      <c r="D18" s="39">
        <f t="shared" si="3"/>
        <v>3.0000000000000002E-2</v>
      </c>
      <c r="E18" s="9">
        <f>SQRT(C18^2*$E$4^2+D18^2*$E$5^2+2*D18*C18*$E$4*$E$5*$E$6)</f>
        <v>9.778363871323259E-2</v>
      </c>
      <c r="F18" s="9">
        <f t="shared" si="4"/>
        <v>6.0899999999999996E-2</v>
      </c>
      <c r="G18" s="13" t="e">
        <f t="shared" si="0"/>
        <v>#N/A</v>
      </c>
      <c r="H18" s="13" t="e">
        <f t="shared" si="1"/>
        <v>#N/A</v>
      </c>
    </row>
    <row r="19" spans="3:8" ht="24" thickBot="1" x14ac:dyDescent="0.5">
      <c r="C19" s="38">
        <f t="shared" si="2"/>
        <v>0.96499999999999997</v>
      </c>
      <c r="D19" s="39">
        <f t="shared" si="3"/>
        <v>3.5000000000000003E-2</v>
      </c>
      <c r="E19" s="9">
        <f>SQRT(C19^2*$E$4^2+D19^2*$E$5^2+2*D19*C19*$E$4*$E$5*$E$6)</f>
        <v>9.7426946991066077E-2</v>
      </c>
      <c r="F19" s="9">
        <f t="shared" si="4"/>
        <v>6.1049999999999993E-2</v>
      </c>
      <c r="G19" s="13" t="e">
        <f t="shared" si="0"/>
        <v>#N/A</v>
      </c>
      <c r="H19" s="13" t="e">
        <f t="shared" si="1"/>
        <v>#N/A</v>
      </c>
    </row>
    <row r="20" spans="3:8" ht="24" thickBot="1" x14ac:dyDescent="0.5">
      <c r="C20" s="38">
        <f t="shared" si="2"/>
        <v>0.96</v>
      </c>
      <c r="D20" s="39">
        <f t="shared" si="3"/>
        <v>0.04</v>
      </c>
      <c r="E20" s="9">
        <f>SQRT(C20^2*$E$4^2+D20^2*$E$5^2+2*D20*C20*$E$4*$E$5*$E$6)</f>
        <v>9.70739923975521E-2</v>
      </c>
      <c r="F20" s="9">
        <f t="shared" si="4"/>
        <v>6.1199999999999997E-2</v>
      </c>
      <c r="G20" s="13" t="e">
        <f t="shared" si="0"/>
        <v>#N/A</v>
      </c>
      <c r="H20" s="13" t="e">
        <f t="shared" si="1"/>
        <v>#N/A</v>
      </c>
    </row>
    <row r="21" spans="3:8" ht="24" thickBot="1" x14ac:dyDescent="0.5">
      <c r="C21" s="38">
        <f t="shared" si="2"/>
        <v>0.95499999999999996</v>
      </c>
      <c r="D21" s="39">
        <f t="shared" si="3"/>
        <v>4.4999999999999998E-2</v>
      </c>
      <c r="E21" s="9">
        <f t="shared" si="5"/>
        <v>9.6724815843712009E-2</v>
      </c>
      <c r="F21" s="9">
        <f t="shared" si="4"/>
        <v>6.1349999999999995E-2</v>
      </c>
      <c r="G21" s="13" t="e">
        <f t="shared" si="0"/>
        <v>#N/A</v>
      </c>
      <c r="H21" s="13" t="e">
        <f t="shared" si="1"/>
        <v>#N/A</v>
      </c>
    </row>
    <row r="22" spans="3:8" ht="24" thickBot="1" x14ac:dyDescent="0.5">
      <c r="C22" s="38">
        <f t="shared" si="2"/>
        <v>0.95</v>
      </c>
      <c r="D22" s="39">
        <f t="shared" si="3"/>
        <v>4.9999999999999996E-2</v>
      </c>
      <c r="E22" s="9">
        <f t="shared" si="5"/>
        <v>9.6379458392335873E-2</v>
      </c>
      <c r="F22" s="9">
        <f t="shared" si="4"/>
        <v>6.1499999999999992E-2</v>
      </c>
      <c r="G22" s="13" t="e">
        <f t="shared" si="0"/>
        <v>#N/A</v>
      </c>
      <c r="H22" s="13" t="e">
        <f t="shared" si="1"/>
        <v>#N/A</v>
      </c>
    </row>
    <row r="23" spans="3:8" ht="24" thickBot="1" x14ac:dyDescent="0.5">
      <c r="C23" s="38">
        <f t="shared" si="2"/>
        <v>0.94499999999999995</v>
      </c>
      <c r="D23" s="39">
        <f t="shared" si="3"/>
        <v>5.4999999999999993E-2</v>
      </c>
      <c r="E23" s="9">
        <f t="shared" si="5"/>
        <v>9.6037961244499565E-2</v>
      </c>
      <c r="F23" s="9">
        <f t="shared" si="4"/>
        <v>6.1649999999999996E-2</v>
      </c>
      <c r="G23" s="13" t="e">
        <f t="shared" si="0"/>
        <v>#N/A</v>
      </c>
      <c r="H23" s="13" t="e">
        <f t="shared" si="1"/>
        <v>#N/A</v>
      </c>
    </row>
    <row r="24" spans="3:8" ht="24" thickBot="1" x14ac:dyDescent="0.5">
      <c r="C24" s="38">
        <f t="shared" si="2"/>
        <v>0.94</v>
      </c>
      <c r="D24" s="39">
        <f t="shared" si="3"/>
        <v>5.9999999999999991E-2</v>
      </c>
      <c r="E24" s="9">
        <f>SQRT(C24^2*$E$4^2+D24^2*$E$5^2+2*D24*C24*$E$4*$E$5*$E$6)</f>
        <v>9.570036572552898E-2</v>
      </c>
      <c r="F24" s="9">
        <f t="shared" si="4"/>
        <v>6.1799999999999994E-2</v>
      </c>
      <c r="G24" s="13" t="e">
        <f t="shared" si="0"/>
        <v>#N/A</v>
      </c>
      <c r="H24" s="13" t="e">
        <f t="shared" si="1"/>
        <v>#N/A</v>
      </c>
    </row>
    <row r="25" spans="3:8" ht="24" thickBot="1" x14ac:dyDescent="0.5">
      <c r="C25" s="7">
        <f t="shared" si="2"/>
        <v>0.93499999999999994</v>
      </c>
      <c r="D25" s="8">
        <f t="shared" si="3"/>
        <v>6.4999999999999988E-2</v>
      </c>
      <c r="E25" s="9">
        <f t="shared" si="5"/>
        <v>9.5366713270406883E-2</v>
      </c>
      <c r="F25" s="9">
        <f t="shared" si="4"/>
        <v>6.1949999999999998E-2</v>
      </c>
      <c r="G25" s="13" t="e">
        <f t="shared" si="0"/>
        <v>#N/A</v>
      </c>
      <c r="H25" s="13" t="e">
        <f t="shared" si="1"/>
        <v>#N/A</v>
      </c>
    </row>
    <row r="26" spans="3:8" ht="24" thickBot="1" x14ac:dyDescent="0.5">
      <c r="C26" s="7">
        <f t="shared" si="2"/>
        <v>0.92999999999999994</v>
      </c>
      <c r="D26" s="8">
        <f t="shared" si="3"/>
        <v>6.9999999999999993E-2</v>
      </c>
      <c r="E26" s="9">
        <f t="shared" si="5"/>
        <v>9.5037045408619486E-2</v>
      </c>
      <c r="F26" s="9">
        <f t="shared" si="4"/>
        <v>6.2099999999999995E-2</v>
      </c>
      <c r="G26" s="13" t="e">
        <f t="shared" si="0"/>
        <v>#N/A</v>
      </c>
      <c r="H26" s="13" t="e">
        <f t="shared" si="1"/>
        <v>#N/A</v>
      </c>
    </row>
    <row r="27" spans="3:8" ht="24" thickBot="1" x14ac:dyDescent="0.5">
      <c r="C27" s="7">
        <f t="shared" si="2"/>
        <v>0.92499999999999993</v>
      </c>
      <c r="D27" s="8">
        <f t="shared" si="3"/>
        <v>7.4999999999999997E-2</v>
      </c>
      <c r="E27" s="9">
        <f t="shared" si="5"/>
        <v>9.4711403748439921E-2</v>
      </c>
      <c r="F27" s="9">
        <f t="shared" si="4"/>
        <v>6.2249999999999993E-2</v>
      </c>
      <c r="G27" s="13" t="e">
        <f t="shared" si="0"/>
        <v>#N/A</v>
      </c>
      <c r="H27" s="13" t="e">
        <f t="shared" si="1"/>
        <v>#N/A</v>
      </c>
    </row>
    <row r="28" spans="3:8" ht="24" thickBot="1" x14ac:dyDescent="0.5">
      <c r="C28" s="7">
        <f t="shared" si="2"/>
        <v>0.91999999999999993</v>
      </c>
      <c r="D28" s="8">
        <f t="shared" si="3"/>
        <v>0.08</v>
      </c>
      <c r="E28" s="9">
        <f t="shared" si="5"/>
        <v>9.4389829960647764E-2</v>
      </c>
      <c r="F28" s="9">
        <f t="shared" si="4"/>
        <v>6.239999999999999E-2</v>
      </c>
      <c r="G28" s="13" t="e">
        <f t="shared" si="0"/>
        <v>#N/A</v>
      </c>
      <c r="H28" s="13" t="e">
        <f t="shared" si="1"/>
        <v>#N/A</v>
      </c>
    </row>
    <row r="29" spans="3:8" ht="24" thickBot="1" x14ac:dyDescent="0.5">
      <c r="C29" s="7">
        <f t="shared" si="2"/>
        <v>0.91499999999999992</v>
      </c>
      <c r="D29" s="8">
        <f t="shared" si="3"/>
        <v>8.5000000000000006E-2</v>
      </c>
      <c r="E29" s="9">
        <f t="shared" si="5"/>
        <v>9.4072365761683707E-2</v>
      </c>
      <c r="F29" s="9">
        <f t="shared" si="4"/>
        <v>6.2549999999999994E-2</v>
      </c>
      <c r="G29" s="13" t="e">
        <f t="shared" si="0"/>
        <v>#N/A</v>
      </c>
      <c r="H29" s="13" t="e">
        <f t="shared" si="1"/>
        <v>#N/A</v>
      </c>
    </row>
    <row r="30" spans="3:8" ht="24" thickBot="1" x14ac:dyDescent="0.5">
      <c r="C30" s="7">
        <f t="shared" si="2"/>
        <v>0.90999999999999992</v>
      </c>
      <c r="D30" s="8">
        <f t="shared" si="3"/>
        <v>9.0000000000000011E-2</v>
      </c>
      <c r="E30" s="9">
        <f t="shared" si="5"/>
        <v>9.3759052896240369E-2</v>
      </c>
      <c r="F30" s="9">
        <f t="shared" si="4"/>
        <v>6.2699999999999992E-2</v>
      </c>
      <c r="G30" s="13" t="e">
        <f t="shared" si="0"/>
        <v>#N/A</v>
      </c>
      <c r="H30" s="13" t="e">
        <f t="shared" si="1"/>
        <v>#N/A</v>
      </c>
    </row>
    <row r="31" spans="3:8" ht="24" thickBot="1" x14ac:dyDescent="0.5">
      <c r="C31" s="7">
        <f t="shared" si="2"/>
        <v>0.90499999999999992</v>
      </c>
      <c r="D31" s="8">
        <f t="shared" si="3"/>
        <v>9.5000000000000015E-2</v>
      </c>
      <c r="E31" s="9">
        <f t="shared" si="5"/>
        <v>9.3449933119291215E-2</v>
      </c>
      <c r="F31" s="9">
        <f t="shared" si="4"/>
        <v>6.2849999999999989E-2</v>
      </c>
      <c r="G31" s="13" t="e">
        <f t="shared" si="0"/>
        <v>#N/A</v>
      </c>
      <c r="H31" s="13" t="e">
        <f t="shared" si="1"/>
        <v>#N/A</v>
      </c>
    </row>
    <row r="32" spans="3:8" ht="24" thickBot="1" x14ac:dyDescent="0.5">
      <c r="C32" s="7">
        <f t="shared" si="2"/>
        <v>0.89999999999999991</v>
      </c>
      <c r="D32" s="8">
        <f t="shared" si="3"/>
        <v>0.10000000000000002</v>
      </c>
      <c r="E32" s="9">
        <f t="shared" si="5"/>
        <v>9.3145048177560141E-2</v>
      </c>
      <c r="F32" s="9">
        <f t="shared" si="4"/>
        <v>6.3E-2</v>
      </c>
      <c r="G32" s="13" t="e">
        <f t="shared" si="0"/>
        <v>#N/A</v>
      </c>
      <c r="H32" s="13" t="e">
        <f t="shared" si="1"/>
        <v>#N/A</v>
      </c>
    </row>
    <row r="33" spans="3:8" ht="24" thickBot="1" x14ac:dyDescent="0.5">
      <c r="C33" s="7">
        <f t="shared" si="2"/>
        <v>0.89499999999999991</v>
      </c>
      <c r="D33" s="8">
        <f t="shared" si="3"/>
        <v>0.10500000000000002</v>
      </c>
      <c r="E33" s="9">
        <f t="shared" si="5"/>
        <v>9.2844439790436564E-2</v>
      </c>
      <c r="F33" s="9">
        <f t="shared" si="4"/>
        <v>6.3149999999999998E-2</v>
      </c>
      <c r="G33" s="13" t="e">
        <f t="shared" si="0"/>
        <v>#N/A</v>
      </c>
      <c r="H33" s="13" t="e">
        <f t="shared" si="1"/>
        <v>#N/A</v>
      </c>
    </row>
    <row r="34" spans="3:8" ht="24" thickBot="1" x14ac:dyDescent="0.5">
      <c r="C34" s="7">
        <f t="shared" si="2"/>
        <v>0.8899999999999999</v>
      </c>
      <c r="D34" s="8">
        <f t="shared" si="3"/>
        <v>0.11000000000000003</v>
      </c>
      <c r="E34" s="9">
        <f t="shared" si="5"/>
        <v>9.2548149630341067E-2</v>
      </c>
      <c r="F34" s="9">
        <f t="shared" si="4"/>
        <v>6.3299999999999995E-2</v>
      </c>
      <c r="G34" s="13" t="e">
        <f t="shared" si="0"/>
        <v>#N/A</v>
      </c>
      <c r="H34" s="13" t="e">
        <f t="shared" si="1"/>
        <v>#N/A</v>
      </c>
    </row>
    <row r="35" spans="3:8" ht="24" thickBot="1" x14ac:dyDescent="0.5">
      <c r="C35" s="7">
        <f t="shared" si="2"/>
        <v>0.8849999999999999</v>
      </c>
      <c r="D35" s="8">
        <f t="shared" si="3"/>
        <v>0.11500000000000003</v>
      </c>
      <c r="E35" s="9">
        <f t="shared" si="5"/>
        <v>9.2256219302548931E-2</v>
      </c>
      <c r="F35" s="9">
        <f t="shared" si="4"/>
        <v>6.3449999999999993E-2</v>
      </c>
      <c r="G35" s="13" t="e">
        <f t="shared" si="0"/>
        <v>#N/A</v>
      </c>
      <c r="H35" s="13" t="e">
        <f t="shared" si="1"/>
        <v>#N/A</v>
      </c>
    </row>
    <row r="36" spans="3:8" ht="24" thickBot="1" x14ac:dyDescent="0.5">
      <c r="C36" s="7">
        <f t="shared" si="2"/>
        <v>0.87999999999999989</v>
      </c>
      <c r="D36" s="8">
        <f t="shared" si="3"/>
        <v>0.12000000000000004</v>
      </c>
      <c r="E36" s="9">
        <f t="shared" si="5"/>
        <v>9.1968690324479449E-2</v>
      </c>
      <c r="F36" s="9">
        <f t="shared" si="4"/>
        <v>6.359999999999999E-2</v>
      </c>
      <c r="G36" s="13" t="e">
        <f t="shared" si="0"/>
        <v>#N/A</v>
      </c>
      <c r="H36" s="13" t="e">
        <f t="shared" si="1"/>
        <v>#N/A</v>
      </c>
    </row>
    <row r="37" spans="3:8" ht="24" thickBot="1" x14ac:dyDescent="0.5">
      <c r="C37" s="7">
        <f t="shared" si="2"/>
        <v>0.87499999999999989</v>
      </c>
      <c r="D37" s="8">
        <f t="shared" si="3"/>
        <v>0.12500000000000003</v>
      </c>
      <c r="E37" s="9">
        <f t="shared" si="5"/>
        <v>9.1685604104461235E-2</v>
      </c>
      <c r="F37" s="9">
        <f t="shared" si="4"/>
        <v>6.3749999999999987E-2</v>
      </c>
      <c r="G37" s="13" t="e">
        <f t="shared" si="0"/>
        <v>#N/A</v>
      </c>
      <c r="H37" s="13" t="e">
        <f t="shared" si="1"/>
        <v>#N/A</v>
      </c>
    </row>
    <row r="38" spans="3:8" ht="24" thickBot="1" x14ac:dyDescent="0.5">
      <c r="C38" s="7">
        <f t="shared" si="2"/>
        <v>0.86999999999999988</v>
      </c>
      <c r="D38" s="8">
        <f t="shared" si="3"/>
        <v>0.13000000000000003</v>
      </c>
      <c r="E38" s="9">
        <f t="shared" si="5"/>
        <v>9.1407001919984229E-2</v>
      </c>
      <c r="F38" s="9">
        <f t="shared" si="4"/>
        <v>6.3899999999999985E-2</v>
      </c>
      <c r="G38" s="13" t="e">
        <f t="shared" si="0"/>
        <v>#N/A</v>
      </c>
      <c r="H38" s="13" t="e">
        <f t="shared" si="1"/>
        <v>#N/A</v>
      </c>
    </row>
    <row r="39" spans="3:8" ht="24" thickBot="1" x14ac:dyDescent="0.5">
      <c r="C39" s="7">
        <f t="shared" si="2"/>
        <v>0.86499999999999988</v>
      </c>
      <c r="D39" s="8">
        <f t="shared" si="3"/>
        <v>0.13500000000000004</v>
      </c>
      <c r="E39" s="9">
        <f t="shared" si="5"/>
        <v>9.1132924895451481E-2</v>
      </c>
      <c r="F39" s="9">
        <f t="shared" si="4"/>
        <v>6.4049999999999996E-2</v>
      </c>
      <c r="G39" s="13" t="e">
        <f t="shared" si="0"/>
        <v>#N/A</v>
      </c>
      <c r="H39" s="13" t="e">
        <f t="shared" si="1"/>
        <v>#N/A</v>
      </c>
    </row>
    <row r="40" spans="3:8" ht="24" thickBot="1" x14ac:dyDescent="0.5">
      <c r="C40" s="7">
        <f t="shared" si="2"/>
        <v>0.85999999999999988</v>
      </c>
      <c r="D40" s="8">
        <f t="shared" si="3"/>
        <v>0.14000000000000004</v>
      </c>
      <c r="E40" s="9">
        <f t="shared" si="5"/>
        <v>9.0863413979445001E-2</v>
      </c>
      <c r="F40" s="9">
        <f t="shared" si="4"/>
        <v>6.4199999999999993E-2</v>
      </c>
      <c r="G40" s="13" t="e">
        <f t="shared" si="0"/>
        <v>#N/A</v>
      </c>
      <c r="H40" s="13" t="e">
        <f t="shared" si="1"/>
        <v>#N/A</v>
      </c>
    </row>
    <row r="41" spans="3:8" ht="24" thickBot="1" x14ac:dyDescent="0.5">
      <c r="C41" s="7">
        <f t="shared" si="2"/>
        <v>0.85499999999999987</v>
      </c>
      <c r="D41" s="8">
        <f t="shared" si="3"/>
        <v>0.14500000000000005</v>
      </c>
      <c r="E41" s="9">
        <f t="shared" si="5"/>
        <v>9.0598509921521339E-2</v>
      </c>
      <c r="F41" s="9">
        <f t="shared" si="4"/>
        <v>6.4349999999999991E-2</v>
      </c>
      <c r="G41" s="13" t="e">
        <f t="shared" si="0"/>
        <v>#N/A</v>
      </c>
      <c r="H41" s="13" t="e">
        <f t="shared" si="1"/>
        <v>#N/A</v>
      </c>
    </row>
    <row r="42" spans="3:8" ht="24" thickBot="1" x14ac:dyDescent="0.5">
      <c r="C42" s="7">
        <f t="shared" si="2"/>
        <v>0.84999999999999987</v>
      </c>
      <c r="D42" s="8">
        <f t="shared" si="3"/>
        <v>0.15000000000000005</v>
      </c>
      <c r="E42" s="9">
        <f t="shared" si="5"/>
        <v>9.0338253248554684E-2</v>
      </c>
      <c r="F42" s="9">
        <f t="shared" si="4"/>
        <v>6.4499999999999988E-2</v>
      </c>
      <c r="G42" s="13" t="e">
        <f t="shared" si="0"/>
        <v>#N/A</v>
      </c>
      <c r="H42" s="13" t="e">
        <f t="shared" si="1"/>
        <v>#N/A</v>
      </c>
    </row>
    <row r="43" spans="3:8" ht="24" thickBot="1" x14ac:dyDescent="0.5">
      <c r="C43" s="7">
        <f t="shared" si="2"/>
        <v>0.84499999999999986</v>
      </c>
      <c r="D43" s="8">
        <f t="shared" si="3"/>
        <v>0.15500000000000005</v>
      </c>
      <c r="E43" s="9">
        <f t="shared" si="5"/>
        <v>9.0082684240646374E-2</v>
      </c>
      <c r="F43" s="9">
        <f t="shared" si="4"/>
        <v>6.4649999999999985E-2</v>
      </c>
      <c r="G43" s="13" t="e">
        <f t="shared" si="0"/>
        <v>#N/A</v>
      </c>
      <c r="H43" s="13" t="e">
        <f t="shared" si="1"/>
        <v>#N/A</v>
      </c>
    </row>
    <row r="44" spans="3:8" ht="24" thickBot="1" x14ac:dyDescent="0.5">
      <c r="C44" s="7">
        <f t="shared" si="2"/>
        <v>0.83999999999999986</v>
      </c>
      <c r="D44" s="8">
        <f t="shared" si="3"/>
        <v>0.16000000000000006</v>
      </c>
      <c r="E44" s="9">
        <f t="shared" si="5"/>
        <v>8.9831842906621925E-2</v>
      </c>
      <c r="F44" s="9">
        <f t="shared" si="4"/>
        <v>6.4799999999999996E-2</v>
      </c>
      <c r="G44" s="13" t="e">
        <f t="shared" si="0"/>
        <v>#N/A</v>
      </c>
      <c r="H44" s="13" t="e">
        <f t="shared" si="1"/>
        <v>#N/A</v>
      </c>
    </row>
    <row r="45" spans="3:8" ht="24" thickBot="1" x14ac:dyDescent="0.5">
      <c r="C45" s="7">
        <f t="shared" si="2"/>
        <v>0.83499999999999985</v>
      </c>
      <c r="D45" s="8">
        <f t="shared" si="3"/>
        <v>0.16500000000000006</v>
      </c>
      <c r="E45" s="9">
        <f t="shared" si="5"/>
        <v>8.958576895913771E-2</v>
      </c>
      <c r="F45" s="9">
        <f t="shared" si="4"/>
        <v>6.4949999999999994E-2</v>
      </c>
      <c r="G45" s="13" t="e">
        <f t="shared" si="0"/>
        <v>#N/A</v>
      </c>
      <c r="H45" s="13" t="e">
        <f t="shared" si="1"/>
        <v>#N/A</v>
      </c>
    </row>
    <row r="46" spans="3:8" ht="24" thickBot="1" x14ac:dyDescent="0.5">
      <c r="C46" s="7">
        <f t="shared" si="2"/>
        <v>0.82999999999999985</v>
      </c>
      <c r="D46" s="8">
        <f t="shared" si="3"/>
        <v>0.17000000000000007</v>
      </c>
      <c r="E46" s="9">
        <f t="shared" si="5"/>
        <v>8.9344501789421812E-2</v>
      </c>
      <c r="F46" s="9">
        <f t="shared" si="4"/>
        <v>6.5099999999999991E-2</v>
      </c>
      <c r="G46" s="13" t="e">
        <f t="shared" si="0"/>
        <v>#N/A</v>
      </c>
      <c r="H46" s="13" t="e">
        <f t="shared" si="1"/>
        <v>#N/A</v>
      </c>
    </row>
    <row r="47" spans="3:8" ht="24" thickBot="1" x14ac:dyDescent="0.5">
      <c r="C47" s="7">
        <f t="shared" si="2"/>
        <v>0.82499999999999984</v>
      </c>
      <c r="D47" s="8">
        <f t="shared" si="3"/>
        <v>0.17500000000000007</v>
      </c>
      <c r="E47" s="9">
        <f t="shared" si="5"/>
        <v>8.910808044167487E-2</v>
      </c>
      <c r="F47" s="9">
        <f t="shared" si="4"/>
        <v>6.5250000000000002E-2</v>
      </c>
      <c r="G47" s="13" t="e">
        <f t="shared" si="0"/>
        <v>#N/A</v>
      </c>
      <c r="H47" s="13" t="e">
        <f t="shared" si="1"/>
        <v>#N/A</v>
      </c>
    </row>
    <row r="48" spans="3:8" ht="24" thickBot="1" x14ac:dyDescent="0.5">
      <c r="C48" s="7">
        <f t="shared" si="2"/>
        <v>0.81999999999999984</v>
      </c>
      <c r="D48" s="8">
        <f t="shared" si="3"/>
        <v>0.18000000000000008</v>
      </c>
      <c r="E48" s="9">
        <f t="shared" si="5"/>
        <v>8.8876543587158019E-2</v>
      </c>
      <c r="F48" s="9">
        <f t="shared" si="4"/>
        <v>6.5399999999999986E-2</v>
      </c>
      <c r="G48" s="13" t="e">
        <f t="shared" si="0"/>
        <v>#N/A</v>
      </c>
      <c r="H48" s="13" t="e">
        <f t="shared" si="1"/>
        <v>#N/A</v>
      </c>
    </row>
    <row r="49" spans="3:8" ht="24" thickBot="1" x14ac:dyDescent="0.5">
      <c r="C49" s="7">
        <f t="shared" si="2"/>
        <v>0.81499999999999984</v>
      </c>
      <c r="D49" s="8">
        <f t="shared" si="3"/>
        <v>0.18500000000000008</v>
      </c>
      <c r="E49" s="9">
        <f t="shared" si="5"/>
        <v>8.8649929497997909E-2</v>
      </c>
      <c r="F49" s="9">
        <f t="shared" si="4"/>
        <v>6.5549999999999997E-2</v>
      </c>
      <c r="G49" s="13" t="e">
        <f t="shared" si="0"/>
        <v>#N/A</v>
      </c>
      <c r="H49" s="13" t="e">
        <f t="shared" si="1"/>
        <v>#N/A</v>
      </c>
    </row>
    <row r="50" spans="3:8" ht="24" thickBot="1" x14ac:dyDescent="0.5">
      <c r="C50" s="7">
        <f t="shared" si="2"/>
        <v>0.80999999999999983</v>
      </c>
      <c r="D50" s="8">
        <f t="shared" si="3"/>
        <v>0.19000000000000009</v>
      </c>
      <c r="E50" s="9">
        <f t="shared" si="5"/>
        <v>8.842827602073898E-2</v>
      </c>
      <c r="F50" s="9">
        <f t="shared" si="4"/>
        <v>6.5699999999999995E-2</v>
      </c>
      <c r="G50" s="13" t="e">
        <f t="shared" si="0"/>
        <v>#N/A</v>
      </c>
      <c r="H50" s="13" t="e">
        <f t="shared" si="1"/>
        <v>#N/A</v>
      </c>
    </row>
    <row r="51" spans="3:8" ht="24" thickBot="1" x14ac:dyDescent="0.5">
      <c r="C51" s="7">
        <f t="shared" si="2"/>
        <v>0.80499999999999983</v>
      </c>
      <c r="D51" s="8">
        <f t="shared" si="3"/>
        <v>0.19500000000000009</v>
      </c>
      <c r="E51" s="9">
        <f t="shared" si="5"/>
        <v>8.8211620549675879E-2</v>
      </c>
      <c r="F51" s="9">
        <f t="shared" si="4"/>
        <v>6.5849999999999992E-2</v>
      </c>
      <c r="G51" s="13" t="e">
        <f t="shared" si="0"/>
        <v>#N/A</v>
      </c>
      <c r="H51" s="13" t="e">
        <f t="shared" si="1"/>
        <v>#N/A</v>
      </c>
    </row>
    <row r="52" spans="3:8" ht="24" thickBot="1" x14ac:dyDescent="0.5">
      <c r="C52" s="7">
        <f t="shared" si="2"/>
        <v>0.79999999999999982</v>
      </c>
      <c r="D52" s="8">
        <f t="shared" si="3"/>
        <v>0.20000000000000009</v>
      </c>
      <c r="E52" s="9">
        <f t="shared" si="5"/>
        <v>8.7999999999999995E-2</v>
      </c>
      <c r="F52" s="9">
        <f t="shared" si="4"/>
        <v>6.6000000000000003E-2</v>
      </c>
      <c r="G52" s="13" t="e">
        <f t="shared" si="0"/>
        <v>#N/A</v>
      </c>
      <c r="H52" s="13" t="e">
        <f t="shared" si="1"/>
        <v>#N/A</v>
      </c>
    </row>
    <row r="53" spans="3:8" ht="24" thickBot="1" x14ac:dyDescent="0.5">
      <c r="C53" s="7">
        <f t="shared" si="2"/>
        <v>0.79499999999999982</v>
      </c>
      <c r="D53" s="8">
        <f t="shared" si="3"/>
        <v>0.2050000000000001</v>
      </c>
      <c r="E53" s="9">
        <f t="shared" si="5"/>
        <v>8.7793450780795715E-2</v>
      </c>
      <c r="F53" s="9">
        <f t="shared" si="4"/>
        <v>6.6149999999999987E-2</v>
      </c>
      <c r="G53" s="13" t="e">
        <f t="shared" si="0"/>
        <v>#N/A</v>
      </c>
      <c r="H53" s="13" t="e">
        <f t="shared" si="1"/>
        <v>#N/A</v>
      </c>
    </row>
    <row r="54" spans="3:8" ht="24" thickBot="1" x14ac:dyDescent="0.5">
      <c r="C54" s="7">
        <f t="shared" si="2"/>
        <v>0.78999999999999981</v>
      </c>
      <c r="D54" s="8">
        <f t="shared" si="3"/>
        <v>0.2100000000000001</v>
      </c>
      <c r="E54" s="9">
        <f t="shared" si="5"/>
        <v>8.7592008767923571E-2</v>
      </c>
      <c r="F54" s="9">
        <f t="shared" si="4"/>
        <v>6.6299999999999998E-2</v>
      </c>
      <c r="G54" s="13" t="e">
        <f t="shared" si="0"/>
        <v>#N/A</v>
      </c>
      <c r="H54" s="13" t="e">
        <f t="shared" si="1"/>
        <v>#N/A</v>
      </c>
    </row>
    <row r="55" spans="3:8" ht="24" thickBot="1" x14ac:dyDescent="0.5">
      <c r="C55" s="7">
        <f t="shared" si="2"/>
        <v>0.78499999999999981</v>
      </c>
      <c r="D55" s="8">
        <f t="shared" si="3"/>
        <v>0.21500000000000011</v>
      </c>
      <c r="E55" s="9">
        <f t="shared" si="5"/>
        <v>8.7395709276828909E-2</v>
      </c>
      <c r="F55" s="9">
        <f t="shared" si="4"/>
        <v>6.6449999999999995E-2</v>
      </c>
      <c r="G55" s="13" t="e">
        <f t="shared" si="0"/>
        <v>#N/A</v>
      </c>
      <c r="H55" s="13" t="e">
        <f t="shared" si="1"/>
        <v>#N/A</v>
      </c>
    </row>
    <row r="56" spans="3:8" ht="24" thickBot="1" x14ac:dyDescent="0.5">
      <c r="C56" s="7">
        <f t="shared" si="2"/>
        <v>0.7799999999999998</v>
      </c>
      <c r="D56" s="8">
        <f t="shared" si="3"/>
        <v>0.22000000000000011</v>
      </c>
      <c r="E56" s="9">
        <f t="shared" si="5"/>
        <v>8.7204587035315972E-2</v>
      </c>
      <c r="F56" s="9">
        <f t="shared" si="4"/>
        <v>6.6599999999999993E-2</v>
      </c>
      <c r="G56" s="13" t="e">
        <f t="shared" si="0"/>
        <v>#N/A</v>
      </c>
      <c r="H56" s="13" t="e">
        <f t="shared" si="1"/>
        <v>#N/A</v>
      </c>
    </row>
    <row r="57" spans="3:8" ht="24" thickBot="1" x14ac:dyDescent="0.5">
      <c r="C57" s="7">
        <f t="shared" si="2"/>
        <v>0.7749999999999998</v>
      </c>
      <c r="D57" s="8">
        <f t="shared" si="3"/>
        <v>0.22500000000000012</v>
      </c>
      <c r="E57" s="9">
        <f t="shared" si="5"/>
        <v>8.7018676156328648E-2</v>
      </c>
      <c r="F57" s="9">
        <f t="shared" si="4"/>
        <v>6.6750000000000004E-2</v>
      </c>
      <c r="G57" s="13" t="e">
        <f t="shared" si="0"/>
        <v>#N/A</v>
      </c>
      <c r="H57" s="13" t="e">
        <f t="shared" si="1"/>
        <v>#N/A</v>
      </c>
    </row>
    <row r="58" spans="3:8" ht="24" thickBot="1" x14ac:dyDescent="0.5">
      <c r="C58" s="7">
        <f t="shared" si="2"/>
        <v>0.7699999999999998</v>
      </c>
      <c r="D58" s="8">
        <f t="shared" si="3"/>
        <v>0.23000000000000012</v>
      </c>
      <c r="E58" s="9">
        <f t="shared" si="5"/>
        <v>8.6838010110780406E-2</v>
      </c>
      <c r="F58" s="9">
        <f t="shared" si="4"/>
        <v>6.6899999999999987E-2</v>
      </c>
      <c r="G58" s="13" t="e">
        <f t="shared" si="0"/>
        <v>#N/A</v>
      </c>
      <c r="H58" s="13" t="e">
        <f t="shared" si="1"/>
        <v>#N/A</v>
      </c>
    </row>
    <row r="59" spans="3:8" ht="24" thickBot="1" x14ac:dyDescent="0.5">
      <c r="C59" s="7">
        <f t="shared" si="2"/>
        <v>0.76499999999999979</v>
      </c>
      <c r="D59" s="8">
        <f t="shared" si="3"/>
        <v>0.23500000000000013</v>
      </c>
      <c r="E59" s="9">
        <f t="shared" si="5"/>
        <v>8.6662621700477074E-2</v>
      </c>
      <c r="F59" s="9">
        <f t="shared" si="4"/>
        <v>6.7049999999999998E-2</v>
      </c>
      <c r="G59" s="13" t="e">
        <f t="shared" si="0"/>
        <v>#N/A</v>
      </c>
      <c r="H59" s="13" t="e">
        <f t="shared" si="1"/>
        <v>#N/A</v>
      </c>
    </row>
    <row r="60" spans="3:8" ht="24" thickBot="1" x14ac:dyDescent="0.5">
      <c r="C60" s="7">
        <f t="shared" si="2"/>
        <v>0.75999999999999979</v>
      </c>
      <c r="D60" s="8">
        <f t="shared" si="3"/>
        <v>0.24000000000000013</v>
      </c>
      <c r="E60" s="9">
        <f t="shared" si="5"/>
        <v>8.6492543031176969E-2</v>
      </c>
      <c r="F60" s="9">
        <f t="shared" si="4"/>
        <v>6.7199999999999996E-2</v>
      </c>
      <c r="G60" s="13" t="e">
        <f t="shared" si="0"/>
        <v>#N/A</v>
      </c>
      <c r="H60" s="13" t="e">
        <f t="shared" si="1"/>
        <v>#N/A</v>
      </c>
    </row>
    <row r="61" spans="3:8" ht="24" thickBot="1" x14ac:dyDescent="0.5">
      <c r="C61" s="7">
        <f t="shared" si="2"/>
        <v>0.75499999999999978</v>
      </c>
      <c r="D61" s="8">
        <f t="shared" si="3"/>
        <v>0.24500000000000013</v>
      </c>
      <c r="E61" s="9">
        <f t="shared" si="5"/>
        <v>8.6327805485834047E-2</v>
      </c>
      <c r="F61" s="9">
        <f t="shared" si="4"/>
        <v>6.7349999999999993E-2</v>
      </c>
      <c r="G61" s="13" t="e">
        <f t="shared" si="0"/>
        <v>#N/A</v>
      </c>
      <c r="H61" s="13" t="e">
        <f t="shared" si="1"/>
        <v>#N/A</v>
      </c>
    </row>
    <row r="62" spans="3:8" ht="24" thickBot="1" x14ac:dyDescent="0.5">
      <c r="C62" s="7">
        <f t="shared" si="2"/>
        <v>0.74999999999999978</v>
      </c>
      <c r="D62" s="8">
        <f t="shared" si="3"/>
        <v>0.25000000000000011</v>
      </c>
      <c r="E62" s="9">
        <f t="shared" si="5"/>
        <v>8.616843969807042E-2</v>
      </c>
      <c r="F62" s="9">
        <f t="shared" si="4"/>
        <v>6.7499999999999991E-2</v>
      </c>
      <c r="G62" s="13" t="e">
        <f t="shared" si="0"/>
        <v>#N/A</v>
      </c>
      <c r="H62" s="13" t="e">
        <f t="shared" si="1"/>
        <v>#N/A</v>
      </c>
    </row>
    <row r="63" spans="3:8" ht="24" thickBot="1" x14ac:dyDescent="0.5">
      <c r="C63" s="7">
        <f t="shared" si="2"/>
        <v>0.74499999999999977</v>
      </c>
      <c r="D63" s="8">
        <f t="shared" si="3"/>
        <v>0.25500000000000012</v>
      </c>
      <c r="E63" s="9">
        <f t="shared" si="5"/>
        <v>8.6014475525925282E-2</v>
      </c>
      <c r="F63" s="9">
        <f t="shared" si="4"/>
        <v>6.7649999999999988E-2</v>
      </c>
      <c r="G63" s="13" t="e">
        <f t="shared" si="0"/>
        <v>#N/A</v>
      </c>
      <c r="H63" s="13" t="e">
        <f t="shared" si="1"/>
        <v>#N/A</v>
      </c>
    </row>
    <row r="64" spans="3:8" ht="24" thickBot="1" x14ac:dyDescent="0.5">
      <c r="C64" s="7">
        <f t="shared" si="2"/>
        <v>0.73999999999999977</v>
      </c>
      <c r="D64" s="8">
        <f t="shared" si="3"/>
        <v>0.26000000000000012</v>
      </c>
      <c r="E64" s="9">
        <f t="shared" si="5"/>
        <v>8.5865942025927816E-2</v>
      </c>
      <c r="F64" s="9">
        <f t="shared" si="4"/>
        <v>6.7799999999999999E-2</v>
      </c>
      <c r="G64" s="13" t="e">
        <f t="shared" si="0"/>
        <v>#N/A</v>
      </c>
      <c r="H64" s="13" t="e">
        <f t="shared" si="1"/>
        <v>#N/A</v>
      </c>
    </row>
    <row r="65" spans="3:8" ht="24" thickBot="1" x14ac:dyDescent="0.5">
      <c r="C65" s="7">
        <f t="shared" si="2"/>
        <v>0.73499999999999976</v>
      </c>
      <c r="D65" s="8">
        <f t="shared" si="3"/>
        <v>0.26500000000000012</v>
      </c>
      <c r="E65" s="9">
        <f t="shared" si="5"/>
        <v>8.5722867427542329E-2</v>
      </c>
      <c r="F65" s="9">
        <f t="shared" si="4"/>
        <v>6.7949999999999997E-2</v>
      </c>
      <c r="G65" s="13" t="e">
        <f t="shared" si="0"/>
        <v>#N/A</v>
      </c>
      <c r="H65" s="13" t="e">
        <f t="shared" si="1"/>
        <v>#N/A</v>
      </c>
    </row>
    <row r="66" spans="3:8" ht="24" thickBot="1" x14ac:dyDescent="0.5">
      <c r="C66" s="7">
        <f t="shared" si="2"/>
        <v>0.72999999999999976</v>
      </c>
      <c r="D66" s="8">
        <f t="shared" si="3"/>
        <v>0.27000000000000013</v>
      </c>
      <c r="E66" s="9">
        <f t="shared" si="5"/>
        <v>8.5585279108033513E-2</v>
      </c>
      <c r="F66" s="9">
        <f t="shared" si="4"/>
        <v>6.8099999999999994E-2</v>
      </c>
      <c r="G66" s="13" t="e">
        <f t="shared" si="0"/>
        <v>#N/A</v>
      </c>
      <c r="H66" s="13" t="e">
        <f t="shared" si="1"/>
        <v>#N/A</v>
      </c>
    </row>
    <row r="67" spans="3:8" ht="24" thickBot="1" x14ac:dyDescent="0.5">
      <c r="C67" s="7">
        <f t="shared" si="2"/>
        <v>0.72499999999999976</v>
      </c>
      <c r="D67" s="8">
        <f t="shared" si="3"/>
        <v>0.27500000000000013</v>
      </c>
      <c r="E67" s="9">
        <f t="shared" si="5"/>
        <v>8.545320356780077E-2</v>
      </c>
      <c r="F67" s="9">
        <f t="shared" si="4"/>
        <v>6.8249999999999991E-2</v>
      </c>
      <c r="G67" s="13" t="e">
        <f t="shared" si="0"/>
        <v>#N/A</v>
      </c>
      <c r="H67" s="13" t="e">
        <f t="shared" si="1"/>
        <v>#N/A</v>
      </c>
    </row>
    <row r="68" spans="3:8" ht="24" thickBot="1" x14ac:dyDescent="0.5">
      <c r="C68" s="7">
        <f t="shared" si="2"/>
        <v>0.71999999999999975</v>
      </c>
      <c r="D68" s="8">
        <f t="shared" si="3"/>
        <v>0.28000000000000014</v>
      </c>
      <c r="E68" s="9">
        <f t="shared" si="5"/>
        <v>8.5326666406229643E-2</v>
      </c>
      <c r="F68" s="9">
        <f t="shared" si="4"/>
        <v>6.8399999999999989E-2</v>
      </c>
      <c r="G68" s="13" t="e">
        <f t="shared" si="0"/>
        <v>#N/A</v>
      </c>
      <c r="H68" s="13" t="e">
        <f t="shared" si="1"/>
        <v>#N/A</v>
      </c>
    </row>
    <row r="69" spans="3:8" ht="24" thickBot="1" x14ac:dyDescent="0.5">
      <c r="C69" s="7">
        <f t="shared" si="2"/>
        <v>0.71499999999999975</v>
      </c>
      <c r="D69" s="8">
        <f t="shared" si="3"/>
        <v>0.28500000000000014</v>
      </c>
      <c r="E69" s="9">
        <f t="shared" si="5"/>
        <v>8.5205692298108815E-2</v>
      </c>
      <c r="F69" s="9">
        <f t="shared" si="4"/>
        <v>6.855E-2</v>
      </c>
      <c r="G69" s="13" t="e">
        <f t="shared" si="0"/>
        <v>#N/A</v>
      </c>
      <c r="H69" s="13" t="e">
        <f t="shared" si="1"/>
        <v>#N/A</v>
      </c>
    </row>
    <row r="70" spans="3:8" ht="24" thickBot="1" x14ac:dyDescent="0.5">
      <c r="C70" s="7">
        <f t="shared" si="2"/>
        <v>0.70999999999999974</v>
      </c>
      <c r="D70" s="8">
        <f t="shared" si="3"/>
        <v>0.29000000000000015</v>
      </c>
      <c r="E70" s="9">
        <f t="shared" si="5"/>
        <v>8.5090304970660433E-2</v>
      </c>
      <c r="F70" s="9">
        <f t="shared" si="4"/>
        <v>6.8699999999999997E-2</v>
      </c>
      <c r="G70" s="13" t="e">
        <f t="shared" si="0"/>
        <v>#N/A</v>
      </c>
      <c r="H70" s="13" t="e">
        <f t="shared" si="1"/>
        <v>#N/A</v>
      </c>
    </row>
    <row r="71" spans="3:8" ht="24" thickBot="1" x14ac:dyDescent="0.5">
      <c r="C71" s="7">
        <f t="shared" si="2"/>
        <v>0.70499999999999974</v>
      </c>
      <c r="D71" s="8">
        <f t="shared" si="3"/>
        <v>0.29500000000000015</v>
      </c>
      <c r="E71" s="9">
        <f t="shared" si="5"/>
        <v>8.498052718123135E-2</v>
      </c>
      <c r="F71" s="9">
        <f t="shared" si="4"/>
        <v>6.8849999999999995E-2</v>
      </c>
      <c r="G71" s="13" t="e">
        <f t="shared" si="0"/>
        <v>#N/A</v>
      </c>
      <c r="H71" s="13" t="e">
        <f t="shared" si="1"/>
        <v>#N/A</v>
      </c>
    </row>
    <row r="72" spans="3:8" ht="24" thickBot="1" x14ac:dyDescent="0.5">
      <c r="C72" s="7">
        <f t="shared" si="2"/>
        <v>0.69999999999999973</v>
      </c>
      <c r="D72" s="8">
        <f t="shared" si="3"/>
        <v>0.30000000000000016</v>
      </c>
      <c r="E72" s="9">
        <f t="shared" si="5"/>
        <v>8.4876380695691769E-2</v>
      </c>
      <c r="F72" s="9">
        <f t="shared" si="4"/>
        <v>6.8999999999999992E-2</v>
      </c>
      <c r="G72" s="13" t="e">
        <f t="shared" si="0"/>
        <v>#N/A</v>
      </c>
      <c r="H72" s="13" t="e">
        <f t="shared" si="1"/>
        <v>#N/A</v>
      </c>
    </row>
    <row r="73" spans="3:8" ht="24" thickBot="1" x14ac:dyDescent="0.5">
      <c r="C73" s="7">
        <f t="shared" si="2"/>
        <v>0.69499999999999973</v>
      </c>
      <c r="D73" s="8">
        <f t="shared" si="3"/>
        <v>0.30500000000000016</v>
      </c>
      <c r="E73" s="9">
        <f t="shared" si="5"/>
        <v>8.4777886267587491E-2</v>
      </c>
      <c r="F73" s="9">
        <f t="shared" si="4"/>
        <v>6.9149999999999989E-2</v>
      </c>
      <c r="G73" s="13" t="e">
        <f t="shared" si="0"/>
        <v>#N/A</v>
      </c>
      <c r="H73" s="13" t="e">
        <f t="shared" si="1"/>
        <v>#N/A</v>
      </c>
    </row>
    <row r="74" spans="3:8" ht="24" thickBot="1" x14ac:dyDescent="0.5">
      <c r="C74" s="7">
        <f t="shared" si="2"/>
        <v>0.68999999999999972</v>
      </c>
      <c r="D74" s="8">
        <f t="shared" si="3"/>
        <v>0.31000000000000016</v>
      </c>
      <c r="E74" s="9">
        <f t="shared" si="5"/>
        <v>8.4685063618090278E-2</v>
      </c>
      <c r="F74" s="9">
        <f t="shared" si="4"/>
        <v>6.93E-2</v>
      </c>
      <c r="G74" s="13" t="e">
        <f t="shared" si="0"/>
        <v>#N/A</v>
      </c>
      <c r="H74" s="13" t="e">
        <f t="shared" si="1"/>
        <v>#N/A</v>
      </c>
    </row>
    <row r="75" spans="3:8" ht="24" thickBot="1" x14ac:dyDescent="0.5">
      <c r="C75" s="7">
        <f t="shared" si="2"/>
        <v>0.68499999999999972</v>
      </c>
      <c r="D75" s="8">
        <f t="shared" si="3"/>
        <v>0.31500000000000017</v>
      </c>
      <c r="E75" s="9">
        <f t="shared" si="5"/>
        <v>8.4597931416790562E-2</v>
      </c>
      <c r="F75" s="9">
        <f t="shared" si="4"/>
        <v>6.9449999999999998E-2</v>
      </c>
      <c r="G75" s="13" t="e">
        <f t="shared" si="0"/>
        <v>#N/A</v>
      </c>
      <c r="H75" s="13" t="e">
        <f t="shared" si="1"/>
        <v>#N/A</v>
      </c>
    </row>
    <row r="76" spans="3:8" ht="24" thickBot="1" x14ac:dyDescent="0.5">
      <c r="C76" s="7">
        <f t="shared" si="2"/>
        <v>0.67999999999999972</v>
      </c>
      <c r="D76" s="8">
        <f t="shared" si="3"/>
        <v>0.32000000000000017</v>
      </c>
      <c r="E76" s="9">
        <f t="shared" si="5"/>
        <v>8.4516507263374285E-2</v>
      </c>
      <c r="F76" s="9">
        <f t="shared" si="4"/>
        <v>6.9599999999999995E-2</v>
      </c>
      <c r="G76" s="13" t="e">
        <f t="shared" si="0"/>
        <v>#N/A</v>
      </c>
      <c r="H76" s="13" t="e">
        <f t="shared" si="1"/>
        <v>#N/A</v>
      </c>
    </row>
    <row r="77" spans="3:8" ht="24" thickBot="1" x14ac:dyDescent="0.5">
      <c r="C77" s="7">
        <f t="shared" si="2"/>
        <v>0.67499999999999971</v>
      </c>
      <c r="D77" s="8">
        <f t="shared" si="3"/>
        <v>0.32500000000000018</v>
      </c>
      <c r="E77" s="9">
        <f t="shared" si="5"/>
        <v>8.444080767022541E-2</v>
      </c>
      <c r="F77" s="9">
        <f t="shared" si="4"/>
        <v>6.9749999999999993E-2</v>
      </c>
      <c r="G77" s="13" t="e">
        <f t="shared" ref="G77:G140" si="6">IF(F77&gt;=$J$9,E77,NA())</f>
        <v>#N/A</v>
      </c>
      <c r="H77" s="13" t="e">
        <f t="shared" ref="H77:H140" si="7">IF(F77&gt;=$J$9,F77,NA())</f>
        <v>#N/A</v>
      </c>
    </row>
    <row r="78" spans="3:8" ht="24" thickBot="1" x14ac:dyDescent="0.5">
      <c r="C78" s="7">
        <f t="shared" ref="C78:C141" si="8">C77-0.5%</f>
        <v>0.66999999999999971</v>
      </c>
      <c r="D78" s="8">
        <f t="shared" ref="D78:D141" si="9">D77+0.5%</f>
        <v>0.33000000000000018</v>
      </c>
      <c r="E78" s="9">
        <f t="shared" ref="E78:E141" si="10">SQRT(C78^2*$E$4^2+D78^2*$E$5^2+2*D78*C78*$E$4*$E$5*$E$6)</f>
        <v>8.437084804599275E-2</v>
      </c>
      <c r="F78" s="9">
        <f t="shared" ref="F78:F141" si="11">$G$4*C78+$G$5*D78</f>
        <v>6.989999999999999E-2</v>
      </c>
      <c r="G78" s="13" t="e">
        <f t="shared" si="6"/>
        <v>#N/A</v>
      </c>
      <c r="H78" s="13" t="e">
        <f t="shared" si="7"/>
        <v>#N/A</v>
      </c>
    </row>
    <row r="79" spans="3:8" ht="24" thickBot="1" x14ac:dyDescent="0.5">
      <c r="C79" s="7">
        <f t="shared" si="8"/>
        <v>0.6649999999999997</v>
      </c>
      <c r="D79" s="8">
        <f t="shared" si="9"/>
        <v>0.33500000000000019</v>
      </c>
      <c r="E79" s="9">
        <f t="shared" si="10"/>
        <v>8.4306642680158944E-2</v>
      </c>
      <c r="F79" s="9">
        <f t="shared" si="11"/>
        <v>7.0050000000000001E-2</v>
      </c>
      <c r="G79" s="13" t="e">
        <f t="shared" si="6"/>
        <v>#N/A</v>
      </c>
      <c r="H79" s="13" t="e">
        <f t="shared" si="7"/>
        <v>#N/A</v>
      </c>
    </row>
    <row r="80" spans="3:8" ht="24" thickBot="1" x14ac:dyDescent="0.5">
      <c r="C80" s="7">
        <f t="shared" si="8"/>
        <v>0.6599999999999997</v>
      </c>
      <c r="D80" s="8">
        <f t="shared" si="9"/>
        <v>0.34000000000000019</v>
      </c>
      <c r="E80" s="9">
        <f t="shared" si="10"/>
        <v>8.4248204728646886E-2</v>
      </c>
      <c r="F80" s="9">
        <f t="shared" si="11"/>
        <v>7.0199999999999999E-2</v>
      </c>
      <c r="G80" s="13" t="e">
        <f t="shared" si="6"/>
        <v>#N/A</v>
      </c>
      <c r="H80" s="13" t="e">
        <f t="shared" si="7"/>
        <v>#N/A</v>
      </c>
    </row>
    <row r="81" spans="3:8" ht="24" thickBot="1" x14ac:dyDescent="0.5">
      <c r="C81" s="7">
        <f t="shared" si="8"/>
        <v>0.65499999999999969</v>
      </c>
      <c r="D81" s="8">
        <f t="shared" si="9"/>
        <v>0.3450000000000002</v>
      </c>
      <c r="E81" s="9">
        <f t="shared" si="10"/>
        <v>8.4195546200496851E-2</v>
      </c>
      <c r="F81" s="9">
        <f t="shared" si="11"/>
        <v>7.0349999999999996E-2</v>
      </c>
      <c r="G81" s="13" t="e">
        <f t="shared" si="6"/>
        <v>#N/A</v>
      </c>
      <c r="H81" s="13" t="e">
        <f t="shared" si="7"/>
        <v>#N/A</v>
      </c>
    </row>
    <row r="82" spans="3:8" ht="24" thickBot="1" x14ac:dyDescent="0.5">
      <c r="C82" s="7">
        <f t="shared" si="8"/>
        <v>0.64999999999999969</v>
      </c>
      <c r="D82" s="8">
        <f t="shared" si="9"/>
        <v>0.3500000000000002</v>
      </c>
      <c r="E82" s="9">
        <f t="shared" si="10"/>
        <v>8.4148677945645692E-2</v>
      </c>
      <c r="F82" s="9">
        <f t="shared" si="11"/>
        <v>7.0499999999999993E-2</v>
      </c>
      <c r="G82" s="13" t="e">
        <f t="shared" si="6"/>
        <v>#N/A</v>
      </c>
      <c r="H82" s="13" t="e">
        <f t="shared" si="7"/>
        <v>#N/A</v>
      </c>
    </row>
    <row r="83" spans="3:8" ht="24" thickBot="1" x14ac:dyDescent="0.5">
      <c r="C83" s="7">
        <f t="shared" si="8"/>
        <v>0.64499999999999968</v>
      </c>
      <c r="D83" s="8">
        <f t="shared" si="9"/>
        <v>0.3550000000000002</v>
      </c>
      <c r="E83" s="9">
        <f t="shared" si="10"/>
        <v>8.4107609643836623E-2</v>
      </c>
      <c r="F83" s="9">
        <f t="shared" si="11"/>
        <v>7.0649999999999991E-2</v>
      </c>
      <c r="G83" s="13" t="e">
        <f t="shared" si="6"/>
        <v>#N/A</v>
      </c>
      <c r="H83" s="13" t="e">
        <f t="shared" si="7"/>
        <v>#N/A</v>
      </c>
    </row>
    <row r="84" spans="3:8" ht="24" thickBot="1" x14ac:dyDescent="0.5">
      <c r="C84" s="7">
        <f t="shared" si="8"/>
        <v>0.63999999999999968</v>
      </c>
      <c r="D84" s="8">
        <f t="shared" si="9"/>
        <v>0.36000000000000021</v>
      </c>
      <c r="E84" s="9">
        <f t="shared" si="10"/>
        <v>8.4072349794685766E-2</v>
      </c>
      <c r="F84" s="9">
        <f t="shared" si="11"/>
        <v>7.0800000000000002E-2</v>
      </c>
      <c r="G84" s="13" t="e">
        <f t="shared" si="6"/>
        <v>#N/A</v>
      </c>
      <c r="H84" s="13" t="e">
        <f t="shared" si="7"/>
        <v>#N/A</v>
      </c>
    </row>
    <row r="85" spans="3:8" ht="24" thickBot="1" x14ac:dyDescent="0.5">
      <c r="C85" s="7">
        <f t="shared" si="8"/>
        <v>0.63499999999999968</v>
      </c>
      <c r="D85" s="8">
        <f t="shared" si="9"/>
        <v>0.36500000000000021</v>
      </c>
      <c r="E85" s="9">
        <f t="shared" si="10"/>
        <v>8.4042905708929402E-2</v>
      </c>
      <c r="F85" s="9">
        <f t="shared" si="11"/>
        <v>7.0949999999999999E-2</v>
      </c>
      <c r="G85" s="13" t="e">
        <f t="shared" si="6"/>
        <v>#N/A</v>
      </c>
      <c r="H85" s="13" t="e">
        <f t="shared" si="7"/>
        <v>#N/A</v>
      </c>
    </row>
    <row r="86" spans="3:8" ht="24" thickBot="1" x14ac:dyDescent="0.5">
      <c r="C86" s="7">
        <f t="shared" si="8"/>
        <v>0.62999999999999967</v>
      </c>
      <c r="D86" s="8">
        <f t="shared" si="9"/>
        <v>0.37000000000000022</v>
      </c>
      <c r="E86" s="9">
        <f t="shared" si="10"/>
        <v>8.401928350087258E-2</v>
      </c>
      <c r="F86" s="9">
        <f t="shared" si="11"/>
        <v>7.1099999999999997E-2</v>
      </c>
      <c r="G86" s="13" t="e">
        <f t="shared" si="6"/>
        <v>#N/A</v>
      </c>
      <c r="H86" s="13" t="e">
        <f t="shared" si="7"/>
        <v>#N/A</v>
      </c>
    </row>
    <row r="87" spans="3:8" ht="24" thickBot="1" x14ac:dyDescent="0.5">
      <c r="C87" s="7">
        <f t="shared" si="8"/>
        <v>0.62499999999999967</v>
      </c>
      <c r="D87" s="8">
        <f t="shared" si="9"/>
        <v>0.37500000000000022</v>
      </c>
      <c r="E87" s="9">
        <f t="shared" si="10"/>
        <v>8.4001488082057207E-2</v>
      </c>
      <c r="F87" s="9">
        <f t="shared" si="11"/>
        <v>7.1249999999999994E-2</v>
      </c>
      <c r="G87" s="13" t="e">
        <f t="shared" si="6"/>
        <v>#N/A</v>
      </c>
      <c r="H87" s="13" t="e">
        <f t="shared" si="7"/>
        <v>#N/A</v>
      </c>
    </row>
    <row r="88" spans="3:8" ht="24" thickBot="1" x14ac:dyDescent="0.5">
      <c r="C88" s="7">
        <f t="shared" si="8"/>
        <v>0.61999999999999966</v>
      </c>
      <c r="D88" s="8">
        <f t="shared" si="9"/>
        <v>0.38000000000000023</v>
      </c>
      <c r="E88" s="9">
        <f t="shared" si="10"/>
        <v>8.3989523156165133E-2</v>
      </c>
      <c r="F88" s="9">
        <f t="shared" si="11"/>
        <v>7.1399999999999991E-2</v>
      </c>
      <c r="G88" s="13" t="e">
        <f t="shared" si="6"/>
        <v>#N/A</v>
      </c>
      <c r="H88" s="13" t="e">
        <f t="shared" si="7"/>
        <v>#N/A</v>
      </c>
    </row>
    <row r="89" spans="3:8" ht="24" thickBot="1" x14ac:dyDescent="0.5">
      <c r="C89" s="7">
        <f t="shared" si="8"/>
        <v>0.61499999999999966</v>
      </c>
      <c r="D89" s="8">
        <f t="shared" si="9"/>
        <v>0.38500000000000023</v>
      </c>
      <c r="E89" s="9">
        <f t="shared" si="10"/>
        <v>8.3983391215168249E-2</v>
      </c>
      <c r="F89" s="9">
        <f t="shared" si="11"/>
        <v>7.1550000000000002E-2</v>
      </c>
      <c r="G89" s="13" t="e">
        <f t="shared" si="6"/>
        <v>#N/A</v>
      </c>
      <c r="H89" s="13" t="e">
        <f t="shared" si="7"/>
        <v>#N/A</v>
      </c>
    </row>
    <row r="90" spans="3:8" ht="24" thickBot="1" x14ac:dyDescent="0.5">
      <c r="C90" s="7">
        <f t="shared" si="8"/>
        <v>0.60999999999999965</v>
      </c>
      <c r="D90" s="8">
        <f t="shared" si="9"/>
        <v>0.39000000000000024</v>
      </c>
      <c r="E90" s="9">
        <f t="shared" si="10"/>
        <v>8.3983093536735123E-2</v>
      </c>
      <c r="F90" s="9">
        <f t="shared" si="11"/>
        <v>7.17E-2</v>
      </c>
      <c r="G90" s="13">
        <f t="shared" si="6"/>
        <v>8.3983093536735123E-2</v>
      </c>
      <c r="H90" s="13">
        <f t="shared" si="7"/>
        <v>7.17E-2</v>
      </c>
    </row>
    <row r="91" spans="3:8" ht="24" thickBot="1" x14ac:dyDescent="0.5">
      <c r="C91" s="7">
        <f t="shared" si="8"/>
        <v>0.60499999999999965</v>
      </c>
      <c r="D91" s="8">
        <f t="shared" si="9"/>
        <v>0.39500000000000024</v>
      </c>
      <c r="E91" s="9">
        <f t="shared" si="10"/>
        <v>8.3988630182900342E-2</v>
      </c>
      <c r="F91" s="9">
        <f t="shared" si="11"/>
        <v>7.1849999999999997E-2</v>
      </c>
      <c r="G91" s="13">
        <f t="shared" si="6"/>
        <v>8.3988630182900342E-2</v>
      </c>
      <c r="H91" s="13">
        <f t="shared" si="7"/>
        <v>7.1849999999999997E-2</v>
      </c>
    </row>
    <row r="92" spans="3:8" ht="24" thickBot="1" x14ac:dyDescent="0.5">
      <c r="C92" s="7">
        <f t="shared" si="8"/>
        <v>0.59999999999999964</v>
      </c>
      <c r="D92" s="8">
        <f t="shared" si="9"/>
        <v>0.40000000000000024</v>
      </c>
      <c r="E92" s="9">
        <f t="shared" si="10"/>
        <v>8.4000000000000005E-2</v>
      </c>
      <c r="F92" s="9">
        <f t="shared" si="11"/>
        <v>7.1999999999999995E-2</v>
      </c>
      <c r="G92" s="13">
        <f t="shared" si="6"/>
        <v>8.4000000000000005E-2</v>
      </c>
      <c r="H92" s="13">
        <f t="shared" si="7"/>
        <v>7.1999999999999995E-2</v>
      </c>
    </row>
    <row r="93" spans="3:8" ht="24" thickBot="1" x14ac:dyDescent="0.5">
      <c r="C93" s="7">
        <f t="shared" si="8"/>
        <v>0.59499999999999964</v>
      </c>
      <c r="D93" s="8">
        <f t="shared" si="9"/>
        <v>0.40500000000000025</v>
      </c>
      <c r="E93" s="9">
        <f t="shared" si="10"/>
        <v>8.401720061987307E-2</v>
      </c>
      <c r="F93" s="9">
        <f t="shared" si="11"/>
        <v>7.2149999999999992E-2</v>
      </c>
      <c r="G93" s="13">
        <f t="shared" si="6"/>
        <v>8.401720061987307E-2</v>
      </c>
      <c r="H93" s="13">
        <f t="shared" si="7"/>
        <v>7.2149999999999992E-2</v>
      </c>
    </row>
    <row r="94" spans="3:8" ht="24" thickBot="1" x14ac:dyDescent="0.5">
      <c r="C94" s="7">
        <f t="shared" si="8"/>
        <v>0.58999999999999964</v>
      </c>
      <c r="D94" s="8">
        <f t="shared" si="9"/>
        <v>0.41000000000000025</v>
      </c>
      <c r="E94" s="9">
        <f t="shared" si="10"/>
        <v>8.4040228462326297E-2</v>
      </c>
      <c r="F94" s="9">
        <f t="shared" si="11"/>
        <v>7.2300000000000003E-2</v>
      </c>
      <c r="G94" s="13">
        <f t="shared" si="6"/>
        <v>8.4040228462326297E-2</v>
      </c>
      <c r="H94" s="13">
        <f t="shared" si="7"/>
        <v>7.2300000000000003E-2</v>
      </c>
    </row>
    <row r="95" spans="3:8" ht="24" thickBot="1" x14ac:dyDescent="0.5">
      <c r="C95" s="7">
        <f t="shared" si="8"/>
        <v>0.58499999999999963</v>
      </c>
      <c r="D95" s="8">
        <f t="shared" si="9"/>
        <v>0.41500000000000026</v>
      </c>
      <c r="E95" s="9">
        <f t="shared" si="10"/>
        <v>8.4069078738856176E-2</v>
      </c>
      <c r="F95" s="9">
        <f t="shared" si="11"/>
        <v>7.2450000000000001E-2</v>
      </c>
      <c r="G95" s="13">
        <f t="shared" si="6"/>
        <v>8.4069078738856176E-2</v>
      </c>
      <c r="H95" s="13">
        <f t="shared" si="7"/>
        <v>7.2450000000000001E-2</v>
      </c>
    </row>
    <row r="96" spans="3:8" ht="24" thickBot="1" x14ac:dyDescent="0.5">
      <c r="C96" s="7">
        <f t="shared" si="8"/>
        <v>0.57999999999999963</v>
      </c>
      <c r="D96" s="8">
        <f t="shared" si="9"/>
        <v>0.42000000000000026</v>
      </c>
      <c r="E96" s="9">
        <f t="shared" si="10"/>
        <v>8.4103745457619186E-2</v>
      </c>
      <c r="F96" s="9">
        <f t="shared" si="11"/>
        <v>7.2599999999999998E-2</v>
      </c>
      <c r="G96" s="13">
        <f t="shared" si="6"/>
        <v>8.4103745457619186E-2</v>
      </c>
      <c r="H96" s="13">
        <f t="shared" si="7"/>
        <v>7.2599999999999998E-2</v>
      </c>
    </row>
    <row r="97" spans="3:8" ht="24" thickBot="1" x14ac:dyDescent="0.5">
      <c r="C97" s="7">
        <f t="shared" si="8"/>
        <v>0.57499999999999962</v>
      </c>
      <c r="D97" s="8">
        <f t="shared" si="9"/>
        <v>0.42500000000000027</v>
      </c>
      <c r="E97" s="9">
        <f t="shared" si="10"/>
        <v>8.4144221429638288E-2</v>
      </c>
      <c r="F97" s="9">
        <f t="shared" si="11"/>
        <v>7.2749999999999995E-2</v>
      </c>
      <c r="G97" s="13">
        <f t="shared" si="6"/>
        <v>8.4144221429638288E-2</v>
      </c>
      <c r="H97" s="13">
        <f t="shared" si="7"/>
        <v>7.2749999999999995E-2</v>
      </c>
    </row>
    <row r="98" spans="3:8" ht="24" thickBot="1" x14ac:dyDescent="0.5">
      <c r="C98" s="7">
        <f t="shared" si="8"/>
        <v>0.56999999999999962</v>
      </c>
      <c r="D98" s="8">
        <f t="shared" si="9"/>
        <v>0.43000000000000027</v>
      </c>
      <c r="E98" s="9">
        <f t="shared" si="10"/>
        <v>8.419049827623068E-2</v>
      </c>
      <c r="F98" s="9">
        <f t="shared" si="11"/>
        <v>7.2899999999999993E-2</v>
      </c>
      <c r="G98" s="13">
        <f t="shared" si="6"/>
        <v>8.419049827623068E-2</v>
      </c>
      <c r="H98" s="13">
        <f t="shared" si="7"/>
        <v>7.2899999999999993E-2</v>
      </c>
    </row>
    <row r="99" spans="3:8" ht="24" thickBot="1" x14ac:dyDescent="0.5">
      <c r="C99" s="7">
        <f t="shared" si="8"/>
        <v>0.56499999999999961</v>
      </c>
      <c r="D99" s="8">
        <f t="shared" si="9"/>
        <v>0.43500000000000028</v>
      </c>
      <c r="E99" s="9">
        <f t="shared" si="10"/>
        <v>8.4242566437638874E-2</v>
      </c>
      <c r="F99" s="9">
        <f t="shared" si="11"/>
        <v>7.3050000000000004E-2</v>
      </c>
      <c r="G99" s="13">
        <f t="shared" si="6"/>
        <v>8.4242566437638874E-2</v>
      </c>
      <c r="H99" s="13">
        <f t="shared" si="7"/>
        <v>7.3050000000000004E-2</v>
      </c>
    </row>
    <row r="100" spans="3:8" ht="24" thickBot="1" x14ac:dyDescent="0.5">
      <c r="C100" s="7">
        <f t="shared" si="8"/>
        <v>0.55999999999999961</v>
      </c>
      <c r="D100" s="8">
        <f t="shared" si="9"/>
        <v>0.44000000000000028</v>
      </c>
      <c r="E100" s="9">
        <f t="shared" si="10"/>
        <v>8.4300415182844743E-2</v>
      </c>
      <c r="F100" s="9">
        <f t="shared" si="11"/>
        <v>7.3200000000000001E-2</v>
      </c>
      <c r="G100" s="13">
        <f t="shared" si="6"/>
        <v>8.4300415182844743E-2</v>
      </c>
      <c r="H100" s="13">
        <f t="shared" si="7"/>
        <v>7.3200000000000001E-2</v>
      </c>
    </row>
    <row r="101" spans="3:8" ht="24" thickBot="1" x14ac:dyDescent="0.5">
      <c r="C101" s="7">
        <f t="shared" si="8"/>
        <v>0.5549999999999996</v>
      </c>
      <c r="D101" s="8">
        <f t="shared" si="9"/>
        <v>0.44500000000000028</v>
      </c>
      <c r="E101" s="9">
        <f t="shared" si="10"/>
        <v>8.4364032620542734E-2</v>
      </c>
      <c r="F101" s="9">
        <f t="shared" si="11"/>
        <v>7.3349999999999999E-2</v>
      </c>
      <c r="G101" s="13">
        <f t="shared" si="6"/>
        <v>8.4364032620542734E-2</v>
      </c>
      <c r="H101" s="13">
        <f t="shared" si="7"/>
        <v>7.3349999999999999E-2</v>
      </c>
    </row>
    <row r="102" spans="3:8" ht="24" thickBot="1" x14ac:dyDescent="0.5">
      <c r="C102" s="7">
        <f t="shared" si="8"/>
        <v>0.5499999999999996</v>
      </c>
      <c r="D102" s="8">
        <f t="shared" si="9"/>
        <v>0.45000000000000029</v>
      </c>
      <c r="E102" s="9">
        <f t="shared" si="10"/>
        <v>8.4433405711246773E-2</v>
      </c>
      <c r="F102" s="9">
        <f t="shared" si="11"/>
        <v>7.3499999999999996E-2</v>
      </c>
      <c r="G102" s="13">
        <f t="shared" si="6"/>
        <v>8.4433405711246773E-2</v>
      </c>
      <c r="H102" s="13">
        <f t="shared" si="7"/>
        <v>7.3499999999999996E-2</v>
      </c>
    </row>
    <row r="103" spans="3:8" ht="24" thickBot="1" x14ac:dyDescent="0.5">
      <c r="C103" s="7">
        <f t="shared" si="8"/>
        <v>0.5449999999999996</v>
      </c>
      <c r="D103" s="8">
        <f t="shared" si="9"/>
        <v>0.45500000000000029</v>
      </c>
      <c r="E103" s="9">
        <f t="shared" si="10"/>
        <v>8.4508520280501889E-2</v>
      </c>
      <c r="F103" s="9">
        <f t="shared" si="11"/>
        <v>7.3649999999999993E-2</v>
      </c>
      <c r="G103" s="13">
        <f t="shared" si="6"/>
        <v>8.4508520280501889E-2</v>
      </c>
      <c r="H103" s="13">
        <f t="shared" si="7"/>
        <v>7.3649999999999993E-2</v>
      </c>
    </row>
    <row r="104" spans="3:8" ht="24" thickBot="1" x14ac:dyDescent="0.5">
      <c r="C104" s="7">
        <f t="shared" si="8"/>
        <v>0.53999999999999959</v>
      </c>
      <c r="D104" s="8">
        <f t="shared" si="9"/>
        <v>0.4600000000000003</v>
      </c>
      <c r="E104" s="9">
        <f t="shared" si="10"/>
        <v>8.4589361033170121E-2</v>
      </c>
      <c r="F104" s="9">
        <f t="shared" si="11"/>
        <v>7.3800000000000004E-2</v>
      </c>
      <c r="G104" s="13">
        <f t="shared" si="6"/>
        <v>8.4589361033170121E-2</v>
      </c>
      <c r="H104" s="13">
        <f t="shared" si="7"/>
        <v>7.3800000000000004E-2</v>
      </c>
    </row>
    <row r="105" spans="3:8" ht="24" thickBot="1" x14ac:dyDescent="0.5">
      <c r="C105" s="7">
        <f t="shared" si="8"/>
        <v>0.53499999999999959</v>
      </c>
      <c r="D105" s="8">
        <f t="shared" si="9"/>
        <v>0.4650000000000003</v>
      </c>
      <c r="E105" s="9">
        <f t="shared" si="10"/>
        <v>8.467591156875727E-2</v>
      </c>
      <c r="F105" s="9">
        <f t="shared" si="11"/>
        <v>7.3950000000000002E-2</v>
      </c>
      <c r="G105" s="13">
        <f t="shared" si="6"/>
        <v>8.467591156875727E-2</v>
      </c>
      <c r="H105" s="13">
        <f t="shared" si="7"/>
        <v>7.3950000000000002E-2</v>
      </c>
    </row>
    <row r="106" spans="3:8" ht="24" thickBot="1" x14ac:dyDescent="0.5">
      <c r="C106" s="7">
        <f t="shared" si="8"/>
        <v>0.52999999999999958</v>
      </c>
      <c r="D106" s="8">
        <f t="shared" si="9"/>
        <v>0.47000000000000031</v>
      </c>
      <c r="E106" s="9">
        <f t="shared" si="10"/>
        <v>8.4768154397745391E-2</v>
      </c>
      <c r="F106" s="9">
        <f t="shared" si="11"/>
        <v>7.4099999999999999E-2</v>
      </c>
      <c r="G106" s="13">
        <f t="shared" si="6"/>
        <v>8.4768154397745391E-2</v>
      </c>
      <c r="H106" s="13">
        <f t="shared" si="7"/>
        <v>7.4099999999999999E-2</v>
      </c>
    </row>
    <row r="107" spans="3:8" ht="24" thickBot="1" x14ac:dyDescent="0.5">
      <c r="C107" s="7">
        <f t="shared" si="8"/>
        <v>0.52499999999999958</v>
      </c>
      <c r="D107" s="8">
        <f t="shared" si="9"/>
        <v>0.47500000000000031</v>
      </c>
      <c r="E107" s="9">
        <f t="shared" si="10"/>
        <v>8.4866070958893813E-2</v>
      </c>
      <c r="F107" s="9">
        <f t="shared" si="11"/>
        <v>7.4249999999999997E-2</v>
      </c>
      <c r="G107" s="13">
        <f t="shared" si="6"/>
        <v>8.4866070958893813E-2</v>
      </c>
      <c r="H107" s="13">
        <f t="shared" si="7"/>
        <v>7.4249999999999997E-2</v>
      </c>
    </row>
    <row r="108" spans="3:8" ht="24" thickBot="1" x14ac:dyDescent="0.5">
      <c r="C108" s="7">
        <f t="shared" si="8"/>
        <v>0.51999999999999957</v>
      </c>
      <c r="D108" s="8">
        <f t="shared" si="9"/>
        <v>0.48000000000000032</v>
      </c>
      <c r="E108" s="9">
        <f t="shared" si="10"/>
        <v>8.4969641637469562E-2</v>
      </c>
      <c r="F108" s="9">
        <f t="shared" si="11"/>
        <v>7.4400000000000008E-2</v>
      </c>
      <c r="G108" s="13">
        <f t="shared" si="6"/>
        <v>8.4969641637469562E-2</v>
      </c>
      <c r="H108" s="13">
        <f t="shared" si="7"/>
        <v>7.4400000000000008E-2</v>
      </c>
    </row>
    <row r="109" spans="3:8" ht="24" thickBot="1" x14ac:dyDescent="0.5">
      <c r="C109" s="7">
        <f t="shared" si="8"/>
        <v>0.51499999999999957</v>
      </c>
      <c r="D109" s="8">
        <f t="shared" si="9"/>
        <v>0.48500000000000032</v>
      </c>
      <c r="E109" s="9">
        <f t="shared" si="10"/>
        <v>8.5078845784366391E-2</v>
      </c>
      <c r="F109" s="9">
        <f t="shared" si="11"/>
        <v>7.4550000000000005E-2</v>
      </c>
      <c r="G109" s="13">
        <f t="shared" si="6"/>
        <v>8.5078845784366391E-2</v>
      </c>
      <c r="H109" s="13">
        <f t="shared" si="7"/>
        <v>7.4550000000000005E-2</v>
      </c>
    </row>
    <row r="110" spans="3:8" ht="24" thickBot="1" x14ac:dyDescent="0.5">
      <c r="C110" s="7">
        <f t="shared" si="8"/>
        <v>0.50999999999999956</v>
      </c>
      <c r="D110" s="8">
        <f t="shared" si="9"/>
        <v>0.49000000000000032</v>
      </c>
      <c r="E110" s="9">
        <f t="shared" si="10"/>
        <v>8.5193661736070486E-2</v>
      </c>
      <c r="F110" s="9">
        <f t="shared" si="11"/>
        <v>7.4700000000000003E-2</v>
      </c>
      <c r="G110" s="13">
        <f t="shared" si="6"/>
        <v>8.5193661736070486E-2</v>
      </c>
      <c r="H110" s="13">
        <f t="shared" si="7"/>
        <v>7.4700000000000003E-2</v>
      </c>
    </row>
    <row r="111" spans="3:8" ht="24" thickBot="1" x14ac:dyDescent="0.5">
      <c r="C111" s="7">
        <f t="shared" si="8"/>
        <v>0.50499999999999956</v>
      </c>
      <c r="D111" s="8">
        <f t="shared" si="9"/>
        <v>0.49500000000000033</v>
      </c>
      <c r="E111" s="9">
        <f t="shared" si="10"/>
        <v>8.5314066835428734E-2</v>
      </c>
      <c r="F111" s="9">
        <f t="shared" si="11"/>
        <v>7.485E-2</v>
      </c>
      <c r="G111" s="13">
        <f t="shared" si="6"/>
        <v>8.5314066835428734E-2</v>
      </c>
      <c r="H111" s="13">
        <f t="shared" si="7"/>
        <v>7.485E-2</v>
      </c>
    </row>
    <row r="112" spans="3:8" ht="24" thickBot="1" x14ac:dyDescent="0.5">
      <c r="C112" s="7">
        <f t="shared" si="8"/>
        <v>0.49999999999999956</v>
      </c>
      <c r="D112" s="8">
        <f t="shared" si="9"/>
        <v>0.50000000000000033</v>
      </c>
      <c r="E112" s="9">
        <f t="shared" si="10"/>
        <v>8.5440037453175313E-2</v>
      </c>
      <c r="F112" s="9">
        <f t="shared" si="11"/>
        <v>7.4999999999999997E-2</v>
      </c>
      <c r="G112" s="13">
        <f t="shared" si="6"/>
        <v>8.5440037453175313E-2</v>
      </c>
      <c r="H112" s="13">
        <f t="shared" si="7"/>
        <v>7.4999999999999997E-2</v>
      </c>
    </row>
    <row r="113" spans="3:8" ht="24" thickBot="1" x14ac:dyDescent="0.5">
      <c r="C113" s="7">
        <f t="shared" si="8"/>
        <v>0.49499999999999955</v>
      </c>
      <c r="D113" s="8">
        <f t="shared" si="9"/>
        <v>0.50500000000000034</v>
      </c>
      <c r="E113" s="9">
        <f t="shared" si="10"/>
        <v>8.5571549010170431E-2</v>
      </c>
      <c r="F113" s="9">
        <f t="shared" si="11"/>
        <v>7.5150000000000008E-2</v>
      </c>
      <c r="G113" s="13">
        <f t="shared" si="6"/>
        <v>8.5571549010170431E-2</v>
      </c>
      <c r="H113" s="13">
        <f t="shared" si="7"/>
        <v>7.5150000000000008E-2</v>
      </c>
    </row>
    <row r="114" spans="3:8" ht="24" thickBot="1" x14ac:dyDescent="0.5">
      <c r="C114" s="7">
        <f t="shared" si="8"/>
        <v>0.48999999999999955</v>
      </c>
      <c r="D114" s="8">
        <f t="shared" si="9"/>
        <v>0.51000000000000034</v>
      </c>
      <c r="E114" s="9">
        <f t="shared" si="10"/>
        <v>8.5708576000304668E-2</v>
      </c>
      <c r="F114" s="9">
        <f t="shared" si="11"/>
        <v>7.5300000000000006E-2</v>
      </c>
      <c r="G114" s="13">
        <f t="shared" si="6"/>
        <v>8.5708576000304668E-2</v>
      </c>
      <c r="H114" s="13">
        <f t="shared" si="7"/>
        <v>7.5300000000000006E-2</v>
      </c>
    </row>
    <row r="115" spans="3:8" ht="24" thickBot="1" x14ac:dyDescent="0.5">
      <c r="C115" s="7">
        <f t="shared" si="8"/>
        <v>0.48499999999999954</v>
      </c>
      <c r="D115" s="8">
        <f t="shared" si="9"/>
        <v>0.51500000000000035</v>
      </c>
      <c r="E115" s="9">
        <f t="shared" si="10"/>
        <v>8.5851092014021593E-2</v>
      </c>
      <c r="F115" s="9">
        <f t="shared" si="11"/>
        <v>7.5450000000000003E-2</v>
      </c>
      <c r="G115" s="13">
        <f t="shared" si="6"/>
        <v>8.5851092014021593E-2</v>
      </c>
      <c r="H115" s="13">
        <f t="shared" si="7"/>
        <v>7.5450000000000003E-2</v>
      </c>
    </row>
    <row r="116" spans="3:8" ht="24" thickBot="1" x14ac:dyDescent="0.5">
      <c r="C116" s="7">
        <f t="shared" si="8"/>
        <v>0.47999999999999954</v>
      </c>
      <c r="D116" s="8">
        <f t="shared" si="9"/>
        <v>0.52000000000000035</v>
      </c>
      <c r="E116" s="9">
        <f t="shared" si="10"/>
        <v>8.5999069762410812E-2</v>
      </c>
      <c r="F116" s="9">
        <f t="shared" si="11"/>
        <v>7.5600000000000001E-2</v>
      </c>
      <c r="G116" s="13">
        <f t="shared" si="6"/>
        <v>8.5999069762410812E-2</v>
      </c>
      <c r="H116" s="13">
        <f t="shared" si="7"/>
        <v>7.5600000000000001E-2</v>
      </c>
    </row>
    <row r="117" spans="3:8" ht="24" thickBot="1" x14ac:dyDescent="0.5">
      <c r="C117" s="7">
        <f t="shared" si="8"/>
        <v>0.47499999999999953</v>
      </c>
      <c r="D117" s="8">
        <f t="shared" si="9"/>
        <v>0.52500000000000036</v>
      </c>
      <c r="E117" s="9">
        <f t="shared" si="10"/>
        <v>8.6152481101823192E-2</v>
      </c>
      <c r="F117" s="9">
        <f t="shared" si="11"/>
        <v>7.5749999999999998E-2</v>
      </c>
      <c r="G117" s="13">
        <f t="shared" si="6"/>
        <v>8.6152481101823192E-2</v>
      </c>
      <c r="H117" s="13">
        <f t="shared" si="7"/>
        <v>7.5749999999999998E-2</v>
      </c>
    </row>
    <row r="118" spans="3:8" ht="24" thickBot="1" x14ac:dyDescent="0.5">
      <c r="C118" s="7">
        <f t="shared" si="8"/>
        <v>0.46999999999999953</v>
      </c>
      <c r="D118" s="8">
        <f t="shared" si="9"/>
        <v>0.53000000000000036</v>
      </c>
      <c r="E118" s="9">
        <f t="shared" si="10"/>
        <v>8.6311297058959791E-2</v>
      </c>
      <c r="F118" s="9">
        <f t="shared" si="11"/>
        <v>7.5900000000000009E-2</v>
      </c>
      <c r="G118" s="13">
        <f t="shared" si="6"/>
        <v>8.6311297058959791E-2</v>
      </c>
      <c r="H118" s="13">
        <f t="shared" si="7"/>
        <v>7.5900000000000009E-2</v>
      </c>
    </row>
    <row r="119" spans="3:8" ht="24" thickBot="1" x14ac:dyDescent="0.5">
      <c r="C119" s="7">
        <f t="shared" si="8"/>
        <v>0.46499999999999952</v>
      </c>
      <c r="D119" s="8">
        <f t="shared" si="9"/>
        <v>0.53500000000000036</v>
      </c>
      <c r="E119" s="9">
        <f t="shared" si="10"/>
        <v>8.6475487856386229E-2</v>
      </c>
      <c r="F119" s="9">
        <f t="shared" si="11"/>
        <v>7.6050000000000006E-2</v>
      </c>
      <c r="G119" s="13">
        <f t="shared" si="6"/>
        <v>8.6475487856386229E-2</v>
      </c>
      <c r="H119" s="13">
        <f t="shared" si="7"/>
        <v>7.6050000000000006E-2</v>
      </c>
    </row>
    <row r="120" spans="3:8" ht="24" thickBot="1" x14ac:dyDescent="0.5">
      <c r="C120" s="7">
        <f t="shared" si="8"/>
        <v>0.45999999999999952</v>
      </c>
      <c r="D120" s="8">
        <f t="shared" si="9"/>
        <v>0.54000000000000037</v>
      </c>
      <c r="E120" s="9">
        <f t="shared" si="10"/>
        <v>8.6645022938423882E-2</v>
      </c>
      <c r="F120" s="9">
        <f t="shared" si="11"/>
        <v>7.6200000000000004E-2</v>
      </c>
      <c r="G120" s="13">
        <f t="shared" si="6"/>
        <v>8.6645022938423882E-2</v>
      </c>
      <c r="H120" s="13">
        <f t="shared" si="7"/>
        <v>7.6200000000000004E-2</v>
      </c>
    </row>
    <row r="121" spans="3:8" ht="24" thickBot="1" x14ac:dyDescent="0.5">
      <c r="C121" s="7">
        <f t="shared" si="8"/>
        <v>0.45499999999999952</v>
      </c>
      <c r="D121" s="8">
        <f t="shared" si="9"/>
        <v>0.54500000000000037</v>
      </c>
      <c r="E121" s="9">
        <f t="shared" si="10"/>
        <v>8.6819870997370194E-2</v>
      </c>
      <c r="F121" s="9">
        <f t="shared" si="11"/>
        <v>7.6350000000000001E-2</v>
      </c>
      <c r="G121" s="13">
        <f t="shared" si="6"/>
        <v>8.6819870997370194E-2</v>
      </c>
      <c r="H121" s="13">
        <f t="shared" si="7"/>
        <v>7.6350000000000001E-2</v>
      </c>
    </row>
    <row r="122" spans="3:8" ht="24" thickBot="1" x14ac:dyDescent="0.5">
      <c r="C122" s="7">
        <f t="shared" si="8"/>
        <v>0.44999999999999951</v>
      </c>
      <c r="D122" s="8">
        <f t="shared" si="9"/>
        <v>0.55000000000000038</v>
      </c>
      <c r="E122" s="9">
        <f t="shared" si="10"/>
        <v>8.7000000000000022E-2</v>
      </c>
      <c r="F122" s="9">
        <f t="shared" si="11"/>
        <v>7.6499999999999999E-2</v>
      </c>
      <c r="G122" s="13">
        <f t="shared" si="6"/>
        <v>8.7000000000000022E-2</v>
      </c>
      <c r="H122" s="13">
        <f t="shared" si="7"/>
        <v>7.6499999999999999E-2</v>
      </c>
    </row>
    <row r="123" spans="3:8" ht="24" thickBot="1" x14ac:dyDescent="0.5">
      <c r="C123" s="7">
        <f t="shared" si="8"/>
        <v>0.44499999999999951</v>
      </c>
      <c r="D123" s="8">
        <f t="shared" si="9"/>
        <v>0.55500000000000038</v>
      </c>
      <c r="E123" s="9">
        <f t="shared" si="10"/>
        <v>8.7185377214301266E-2</v>
      </c>
      <c r="F123" s="9">
        <f t="shared" si="11"/>
        <v>7.6649999999999996E-2</v>
      </c>
      <c r="G123" s="13">
        <f t="shared" si="6"/>
        <v>8.7185377214301266E-2</v>
      </c>
      <c r="H123" s="13">
        <f t="shared" si="7"/>
        <v>7.6649999999999996E-2</v>
      </c>
    </row>
    <row r="124" spans="3:8" ht="24" thickBot="1" x14ac:dyDescent="0.5">
      <c r="C124" s="7">
        <f t="shared" si="8"/>
        <v>0.4399999999999995</v>
      </c>
      <c r="D124" s="8">
        <f t="shared" si="9"/>
        <v>0.56000000000000039</v>
      </c>
      <c r="E124" s="9">
        <f t="shared" si="10"/>
        <v>8.737596923639819E-2</v>
      </c>
      <c r="F124" s="9">
        <f t="shared" si="11"/>
        <v>7.6800000000000007E-2</v>
      </c>
      <c r="G124" s="13">
        <f t="shared" si="6"/>
        <v>8.737596923639819E-2</v>
      </c>
      <c r="H124" s="13">
        <f t="shared" si="7"/>
        <v>7.6800000000000007E-2</v>
      </c>
    </row>
    <row r="125" spans="3:8" ht="24" thickBot="1" x14ac:dyDescent="0.5">
      <c r="C125" s="7">
        <f t="shared" si="8"/>
        <v>0.4349999999999995</v>
      </c>
      <c r="D125" s="8">
        <f t="shared" si="9"/>
        <v>0.56500000000000039</v>
      </c>
      <c r="E125" s="9">
        <f t="shared" si="10"/>
        <v>8.7571742017616624E-2</v>
      </c>
      <c r="F125" s="9">
        <f t="shared" si="11"/>
        <v>7.6950000000000005E-2</v>
      </c>
      <c r="G125" s="13">
        <f t="shared" si="6"/>
        <v>8.7571742017616624E-2</v>
      </c>
      <c r="H125" s="13">
        <f t="shared" si="7"/>
        <v>7.6950000000000005E-2</v>
      </c>
    </row>
    <row r="126" spans="3:8" ht="24" thickBot="1" x14ac:dyDescent="0.5">
      <c r="C126" s="7">
        <f t="shared" si="8"/>
        <v>0.42999999999999949</v>
      </c>
      <c r="D126" s="8">
        <f t="shared" si="9"/>
        <v>0.5700000000000004</v>
      </c>
      <c r="E126" s="9">
        <f t="shared" si="10"/>
        <v>8.7772660891646689E-2</v>
      </c>
      <c r="F126" s="9">
        <f t="shared" si="11"/>
        <v>7.7100000000000002E-2</v>
      </c>
      <c r="G126" s="13">
        <f t="shared" si="6"/>
        <v>8.7772660891646689E-2</v>
      </c>
      <c r="H126" s="13">
        <f t="shared" si="7"/>
        <v>7.7100000000000002E-2</v>
      </c>
    </row>
    <row r="127" spans="3:8" ht="24" thickBot="1" x14ac:dyDescent="0.5">
      <c r="C127" s="7">
        <f t="shared" si="8"/>
        <v>0.42499999999999949</v>
      </c>
      <c r="D127" s="8">
        <f t="shared" si="9"/>
        <v>0.5750000000000004</v>
      </c>
      <c r="E127" s="9">
        <f t="shared" si="10"/>
        <v>8.7978690601758794E-2</v>
      </c>
      <c r="F127" s="9">
        <f t="shared" si="11"/>
        <v>7.7249999999999999E-2</v>
      </c>
      <c r="G127" s="13">
        <f t="shared" si="6"/>
        <v>8.7978690601758794E-2</v>
      </c>
      <c r="H127" s="13">
        <f t="shared" si="7"/>
        <v>7.7249999999999999E-2</v>
      </c>
    </row>
    <row r="128" spans="3:8" ht="24" thickBot="1" x14ac:dyDescent="0.5">
      <c r="C128" s="7">
        <f t="shared" si="8"/>
        <v>0.41999999999999948</v>
      </c>
      <c r="D128" s="8">
        <f t="shared" si="9"/>
        <v>0.5800000000000004</v>
      </c>
      <c r="E128" s="9">
        <f t="shared" si="10"/>
        <v>8.818979532803102E-2</v>
      </c>
      <c r="F128" s="9">
        <f t="shared" si="11"/>
        <v>7.7399999999999997E-2</v>
      </c>
      <c r="G128" s="13">
        <f t="shared" si="6"/>
        <v>8.818979532803102E-2</v>
      </c>
      <c r="H128" s="13">
        <f t="shared" si="7"/>
        <v>7.7399999999999997E-2</v>
      </c>
    </row>
    <row r="129" spans="3:8" ht="24" thickBot="1" x14ac:dyDescent="0.5">
      <c r="C129" s="7">
        <f t="shared" si="8"/>
        <v>0.41499999999999948</v>
      </c>
      <c r="D129" s="8">
        <f t="shared" si="9"/>
        <v>0.58500000000000041</v>
      </c>
      <c r="E129" s="9">
        <f t="shared" si="10"/>
        <v>8.8405938714545662E-2</v>
      </c>
      <c r="F129" s="9">
        <f t="shared" si="11"/>
        <v>7.7550000000000008E-2</v>
      </c>
      <c r="G129" s="13">
        <f t="shared" si="6"/>
        <v>8.8405938714545662E-2</v>
      </c>
      <c r="H129" s="13">
        <f t="shared" si="7"/>
        <v>7.7550000000000008E-2</v>
      </c>
    </row>
    <row r="130" spans="3:8" ht="24" thickBot="1" x14ac:dyDescent="0.5">
      <c r="C130" s="7">
        <f t="shared" si="8"/>
        <v>0.40999999999999948</v>
      </c>
      <c r="D130" s="8">
        <f t="shared" si="9"/>
        <v>0.59000000000000041</v>
      </c>
      <c r="E130" s="9">
        <f t="shared" si="10"/>
        <v>8.8627083896515524E-2</v>
      </c>
      <c r="F130" s="9">
        <f t="shared" si="11"/>
        <v>7.7700000000000005E-2</v>
      </c>
      <c r="G130" s="13">
        <f t="shared" si="6"/>
        <v>8.8627083896515524E-2</v>
      </c>
      <c r="H130" s="13">
        <f t="shared" si="7"/>
        <v>7.7700000000000005E-2</v>
      </c>
    </row>
    <row r="131" spans="3:8" ht="24" thickBot="1" x14ac:dyDescent="0.5">
      <c r="C131" s="7">
        <f t="shared" si="8"/>
        <v>0.40499999999999947</v>
      </c>
      <c r="D131" s="8">
        <f t="shared" si="9"/>
        <v>0.59500000000000042</v>
      </c>
      <c r="E131" s="9">
        <f t="shared" si="10"/>
        <v>8.8853193527300992E-2</v>
      </c>
      <c r="F131" s="9">
        <f t="shared" si="11"/>
        <v>7.7850000000000003E-2</v>
      </c>
      <c r="G131" s="13">
        <f t="shared" si="6"/>
        <v>8.8853193527300992E-2</v>
      </c>
      <c r="H131" s="13">
        <f t="shared" si="7"/>
        <v>7.7850000000000003E-2</v>
      </c>
    </row>
    <row r="132" spans="3:8" ht="24" thickBot="1" x14ac:dyDescent="0.5">
      <c r="C132" s="7">
        <f t="shared" si="8"/>
        <v>0.39999999999999947</v>
      </c>
      <c r="D132" s="8">
        <f t="shared" si="9"/>
        <v>0.60000000000000042</v>
      </c>
      <c r="E132" s="9">
        <f t="shared" si="10"/>
        <v>8.9084229805280357E-2</v>
      </c>
      <c r="F132" s="9">
        <f t="shared" si="11"/>
        <v>7.8E-2</v>
      </c>
      <c r="G132" s="13">
        <f t="shared" si="6"/>
        <v>8.9084229805280357E-2</v>
      </c>
      <c r="H132" s="13">
        <f t="shared" si="7"/>
        <v>7.8E-2</v>
      </c>
    </row>
    <row r="133" spans="3:8" ht="24" thickBot="1" x14ac:dyDescent="0.5">
      <c r="C133" s="7">
        <f t="shared" si="8"/>
        <v>0.39499999999999946</v>
      </c>
      <c r="D133" s="8">
        <f t="shared" si="9"/>
        <v>0.60500000000000043</v>
      </c>
      <c r="E133" s="9">
        <f t="shared" si="10"/>
        <v>8.9320154500538138E-2</v>
      </c>
      <c r="F133" s="9">
        <f t="shared" si="11"/>
        <v>7.8149999999999997E-2</v>
      </c>
      <c r="G133" s="13">
        <f t="shared" si="6"/>
        <v>8.9320154500538138E-2</v>
      </c>
      <c r="H133" s="13">
        <f t="shared" si="7"/>
        <v>7.8149999999999997E-2</v>
      </c>
    </row>
    <row r="134" spans="3:8" ht="24" thickBot="1" x14ac:dyDescent="0.5">
      <c r="C134" s="7">
        <f t="shared" si="8"/>
        <v>0.38999999999999946</v>
      </c>
      <c r="D134" s="8">
        <f t="shared" si="9"/>
        <v>0.61000000000000043</v>
      </c>
      <c r="E134" s="9">
        <f t="shared" si="10"/>
        <v>8.956092898133651E-2</v>
      </c>
      <c r="F134" s="9">
        <f t="shared" si="11"/>
        <v>7.8300000000000008E-2</v>
      </c>
      <c r="G134" s="13">
        <f t="shared" si="6"/>
        <v>8.956092898133651E-2</v>
      </c>
      <c r="H134" s="13">
        <f t="shared" si="7"/>
        <v>7.8300000000000008E-2</v>
      </c>
    </row>
    <row r="135" spans="3:8" ht="24" thickBot="1" x14ac:dyDescent="0.5">
      <c r="C135" s="7">
        <f t="shared" si="8"/>
        <v>0.38499999999999945</v>
      </c>
      <c r="D135" s="8">
        <f t="shared" si="9"/>
        <v>0.61500000000000044</v>
      </c>
      <c r="E135" s="9">
        <f t="shared" si="10"/>
        <v>8.9806514240337837E-2</v>
      </c>
      <c r="F135" s="9">
        <f t="shared" si="11"/>
        <v>7.8450000000000006E-2</v>
      </c>
      <c r="G135" s="13">
        <f t="shared" si="6"/>
        <v>8.9806514240337837E-2</v>
      </c>
      <c r="H135" s="13">
        <f t="shared" si="7"/>
        <v>7.8450000000000006E-2</v>
      </c>
    </row>
    <row r="136" spans="3:8" ht="24" thickBot="1" x14ac:dyDescent="0.5">
      <c r="C136" s="7">
        <f t="shared" si="8"/>
        <v>0.37999999999999945</v>
      </c>
      <c r="D136" s="8">
        <f t="shared" si="9"/>
        <v>0.62000000000000044</v>
      </c>
      <c r="E136" s="9">
        <f t="shared" si="10"/>
        <v>9.0056870920546664E-2</v>
      </c>
      <c r="F136" s="9">
        <f t="shared" si="11"/>
        <v>7.8600000000000003E-2</v>
      </c>
      <c r="G136" s="13">
        <f t="shared" si="6"/>
        <v>9.0056870920546664E-2</v>
      </c>
      <c r="H136" s="13">
        <f t="shared" si="7"/>
        <v>7.8600000000000003E-2</v>
      </c>
    </row>
    <row r="137" spans="3:8" ht="24" thickBot="1" x14ac:dyDescent="0.5">
      <c r="C137" s="7">
        <f t="shared" si="8"/>
        <v>0.37499999999999944</v>
      </c>
      <c r="D137" s="8">
        <f t="shared" si="9"/>
        <v>0.62500000000000044</v>
      </c>
      <c r="E137" s="9">
        <f t="shared" si="10"/>
        <v>9.0311959340942244E-2</v>
      </c>
      <c r="F137" s="9">
        <f t="shared" si="11"/>
        <v>7.8750000000000001E-2</v>
      </c>
      <c r="G137" s="13">
        <f t="shared" si="6"/>
        <v>9.0311959340942244E-2</v>
      </c>
      <c r="H137" s="13">
        <f t="shared" si="7"/>
        <v>7.8750000000000001E-2</v>
      </c>
    </row>
    <row r="138" spans="3:8" ht="24" thickBot="1" x14ac:dyDescent="0.5">
      <c r="C138" s="7">
        <f t="shared" si="8"/>
        <v>0.36999999999999944</v>
      </c>
      <c r="D138" s="8">
        <f t="shared" si="9"/>
        <v>0.63000000000000045</v>
      </c>
      <c r="E138" s="9">
        <f t="shared" si="10"/>
        <v>9.0571739521773595E-2</v>
      </c>
      <c r="F138" s="9">
        <f t="shared" si="11"/>
        <v>7.8899999999999998E-2</v>
      </c>
      <c r="G138" s="13">
        <f t="shared" si="6"/>
        <v>9.0571739521773595E-2</v>
      </c>
      <c r="H138" s="13">
        <f t="shared" si="7"/>
        <v>7.8899999999999998E-2</v>
      </c>
    </row>
    <row r="139" spans="3:8" ht="24" thickBot="1" x14ac:dyDescent="0.5">
      <c r="C139" s="7">
        <f t="shared" si="8"/>
        <v>0.36499999999999944</v>
      </c>
      <c r="D139" s="8">
        <f t="shared" si="9"/>
        <v>0.63500000000000045</v>
      </c>
      <c r="E139" s="9">
        <f t="shared" si="10"/>
        <v>9.0836171209491237E-2</v>
      </c>
      <c r="F139" s="9">
        <f t="shared" si="11"/>
        <v>7.9050000000000009E-2</v>
      </c>
      <c r="G139" s="13">
        <f t="shared" si="6"/>
        <v>9.0836171209491237E-2</v>
      </c>
      <c r="H139" s="13">
        <f t="shared" si="7"/>
        <v>7.9050000000000009E-2</v>
      </c>
    </row>
    <row r="140" spans="3:8" ht="24" thickBot="1" x14ac:dyDescent="0.5">
      <c r="C140" s="7">
        <f t="shared" si="8"/>
        <v>0.35999999999999943</v>
      </c>
      <c r="D140" s="8">
        <f t="shared" si="9"/>
        <v>0.64000000000000046</v>
      </c>
      <c r="E140" s="9">
        <f t="shared" si="10"/>
        <v>9.1105213901291102E-2</v>
      </c>
      <c r="F140" s="9">
        <f t="shared" si="11"/>
        <v>7.9200000000000007E-2</v>
      </c>
      <c r="G140" s="13">
        <f t="shared" si="6"/>
        <v>9.1105213901291102E-2</v>
      </c>
      <c r="H140" s="13">
        <f t="shared" si="7"/>
        <v>7.9200000000000007E-2</v>
      </c>
    </row>
    <row r="141" spans="3:8" ht="24" thickBot="1" x14ac:dyDescent="0.5">
      <c r="C141" s="7">
        <f t="shared" si="8"/>
        <v>0.35499999999999943</v>
      </c>
      <c r="D141" s="8">
        <f t="shared" si="9"/>
        <v>0.64500000000000046</v>
      </c>
      <c r="E141" s="9">
        <f t="shared" si="10"/>
        <v>9.1378826869248017E-2</v>
      </c>
      <c r="F141" s="9">
        <f t="shared" si="11"/>
        <v>7.9350000000000004E-2</v>
      </c>
      <c r="G141" s="13">
        <f t="shared" ref="G141:G204" si="12">IF(F141&gt;=$J$9,E141,NA())</f>
        <v>9.1378826869248017E-2</v>
      </c>
      <c r="H141" s="13">
        <f t="shared" ref="H141:H204" si="13">IF(F141&gt;=$J$9,F141,NA())</f>
        <v>7.9350000000000004E-2</v>
      </c>
    </row>
    <row r="142" spans="3:8" ht="24" thickBot="1" x14ac:dyDescent="0.5">
      <c r="C142" s="7">
        <f t="shared" ref="C142:C205" si="14">C141-0.5%</f>
        <v>0.34999999999999942</v>
      </c>
      <c r="D142" s="8">
        <f t="shared" ref="D142:D205" si="15">D141+0.5%</f>
        <v>0.65000000000000047</v>
      </c>
      <c r="E142" s="9">
        <f t="shared" ref="E142:E205" si="16">SQRT(C142^2*$E$4^2+D142^2*$E$5^2+2*D142*C142*$E$4*$E$5*$E$6)</f>
        <v>9.1656969184017889E-2</v>
      </c>
      <c r="F142" s="9">
        <f t="shared" ref="F142:F205" si="17">$G$4*C142+$G$5*D142</f>
        <v>7.9500000000000001E-2</v>
      </c>
      <c r="G142" s="13">
        <f t="shared" si="12"/>
        <v>9.1656969184017889E-2</v>
      </c>
      <c r="H142" s="13">
        <f t="shared" si="13"/>
        <v>7.9500000000000001E-2</v>
      </c>
    </row>
    <row r="143" spans="3:8" ht="24" thickBot="1" x14ac:dyDescent="0.5">
      <c r="C143" s="7">
        <f t="shared" si="14"/>
        <v>0.34499999999999942</v>
      </c>
      <c r="D143" s="8">
        <f t="shared" si="15"/>
        <v>0.65500000000000047</v>
      </c>
      <c r="E143" s="9">
        <f t="shared" si="16"/>
        <v>9.1939599738088934E-2</v>
      </c>
      <c r="F143" s="9">
        <f t="shared" si="17"/>
        <v>7.9649999999999999E-2</v>
      </c>
      <c r="G143" s="13">
        <f t="shared" si="12"/>
        <v>9.1939599738088934E-2</v>
      </c>
      <c r="H143" s="13">
        <f t="shared" si="13"/>
        <v>7.9649999999999999E-2</v>
      </c>
    </row>
    <row r="144" spans="3:8" ht="24" thickBot="1" x14ac:dyDescent="0.5">
      <c r="C144" s="7">
        <f t="shared" si="14"/>
        <v>0.33999999999999941</v>
      </c>
      <c r="D144" s="8">
        <f t="shared" si="15"/>
        <v>0.66000000000000048</v>
      </c>
      <c r="E144" s="9">
        <f t="shared" si="16"/>
        <v>9.2226677268564788E-2</v>
      </c>
      <c r="F144" s="9">
        <f t="shared" si="17"/>
        <v>7.980000000000001E-2</v>
      </c>
      <c r="G144" s="13">
        <f t="shared" si="12"/>
        <v>9.2226677268564788E-2</v>
      </c>
      <c r="H144" s="13">
        <f t="shared" si="13"/>
        <v>7.980000000000001E-2</v>
      </c>
    </row>
    <row r="145" spans="3:8" ht="24" thickBot="1" x14ac:dyDescent="0.5">
      <c r="C145" s="7">
        <f t="shared" si="14"/>
        <v>0.33499999999999941</v>
      </c>
      <c r="D145" s="8">
        <f t="shared" si="15"/>
        <v>0.66500000000000048</v>
      </c>
      <c r="E145" s="9">
        <f t="shared" si="16"/>
        <v>9.2518160379462824E-2</v>
      </c>
      <c r="F145" s="9">
        <f t="shared" si="17"/>
        <v>7.9950000000000007E-2</v>
      </c>
      <c r="G145" s="13">
        <f t="shared" si="12"/>
        <v>9.2518160379462824E-2</v>
      </c>
      <c r="H145" s="13">
        <f t="shared" si="13"/>
        <v>7.9950000000000007E-2</v>
      </c>
    </row>
    <row r="146" spans="3:8" ht="24" thickBot="1" x14ac:dyDescent="0.5">
      <c r="C146" s="7">
        <f t="shared" si="14"/>
        <v>0.3299999999999994</v>
      </c>
      <c r="D146" s="8">
        <f t="shared" si="15"/>
        <v>0.67000000000000048</v>
      </c>
      <c r="E146" s="9">
        <f t="shared" si="16"/>
        <v>9.2814007563513837E-2</v>
      </c>
      <c r="F146" s="9">
        <f t="shared" si="17"/>
        <v>8.0100000000000005E-2</v>
      </c>
      <c r="G146" s="13">
        <f t="shared" si="12"/>
        <v>9.2814007563513837E-2</v>
      </c>
      <c r="H146" s="13">
        <f t="shared" si="13"/>
        <v>8.0100000000000005E-2</v>
      </c>
    </row>
    <row r="147" spans="3:8" ht="24" thickBot="1" x14ac:dyDescent="0.5">
      <c r="C147" s="7">
        <f t="shared" si="14"/>
        <v>0.3249999999999994</v>
      </c>
      <c r="D147" s="8">
        <f t="shared" si="15"/>
        <v>0.67500000000000049</v>
      </c>
      <c r="E147" s="9">
        <f t="shared" si="16"/>
        <v>9.3114177223449723E-2</v>
      </c>
      <c r="F147" s="9">
        <f t="shared" si="17"/>
        <v>8.0250000000000002E-2</v>
      </c>
      <c r="G147" s="13">
        <f t="shared" si="12"/>
        <v>9.3114177223449723E-2</v>
      </c>
      <c r="H147" s="13">
        <f t="shared" si="13"/>
        <v>8.0250000000000002E-2</v>
      </c>
    </row>
    <row r="148" spans="3:8" ht="24" thickBot="1" x14ac:dyDescent="0.5">
      <c r="C148" s="7">
        <f t="shared" si="14"/>
        <v>0.3199999999999994</v>
      </c>
      <c r="D148" s="8">
        <f t="shared" si="15"/>
        <v>0.68000000000000049</v>
      </c>
      <c r="E148" s="9">
        <f t="shared" si="16"/>
        <v>9.3418627692768014E-2</v>
      </c>
      <c r="F148" s="9">
        <f t="shared" si="17"/>
        <v>8.0399999999999999E-2</v>
      </c>
      <c r="G148" s="13">
        <f t="shared" si="12"/>
        <v>9.3418627692768014E-2</v>
      </c>
      <c r="H148" s="13">
        <f t="shared" si="13"/>
        <v>8.0399999999999999E-2</v>
      </c>
    </row>
    <row r="149" spans="3:8" ht="24" thickBot="1" x14ac:dyDescent="0.5">
      <c r="C149" s="7">
        <f t="shared" si="14"/>
        <v>0.31499999999999939</v>
      </c>
      <c r="D149" s="8">
        <f t="shared" si="15"/>
        <v>0.6850000000000005</v>
      </c>
      <c r="E149" s="9">
        <f t="shared" si="16"/>
        <v>9.3727317255963352E-2</v>
      </c>
      <c r="F149" s="9">
        <f t="shared" si="17"/>
        <v>8.055000000000001E-2</v>
      </c>
      <c r="G149" s="13">
        <f t="shared" si="12"/>
        <v>9.3727317255963352E-2</v>
      </c>
      <c r="H149" s="13">
        <f t="shared" si="13"/>
        <v>8.055000000000001E-2</v>
      </c>
    </row>
    <row r="150" spans="3:8" ht="24" thickBot="1" x14ac:dyDescent="0.5">
      <c r="C150" s="7">
        <f t="shared" si="14"/>
        <v>0.30999999999999939</v>
      </c>
      <c r="D150" s="8">
        <f t="shared" si="15"/>
        <v>0.6900000000000005</v>
      </c>
      <c r="E150" s="9">
        <f t="shared" si="16"/>
        <v>9.4040204168217345E-2</v>
      </c>
      <c r="F150" s="9">
        <f t="shared" si="17"/>
        <v>8.0700000000000008E-2</v>
      </c>
      <c r="G150" s="13">
        <f t="shared" si="12"/>
        <v>9.4040204168217345E-2</v>
      </c>
      <c r="H150" s="13">
        <f t="shared" si="13"/>
        <v>8.0700000000000008E-2</v>
      </c>
    </row>
    <row r="151" spans="3:8" ht="24" thickBot="1" x14ac:dyDescent="0.5">
      <c r="C151" s="7">
        <f t="shared" si="14"/>
        <v>0.30499999999999938</v>
      </c>
      <c r="D151" s="8">
        <f t="shared" si="15"/>
        <v>0.69500000000000051</v>
      </c>
      <c r="E151" s="9">
        <f t="shared" si="16"/>
        <v>9.4357246674540082E-2</v>
      </c>
      <c r="F151" s="9">
        <f t="shared" si="17"/>
        <v>8.0850000000000005E-2</v>
      </c>
      <c r="G151" s="13">
        <f t="shared" si="12"/>
        <v>9.4357246674540082E-2</v>
      </c>
      <c r="H151" s="13">
        <f t="shared" si="13"/>
        <v>8.0850000000000005E-2</v>
      </c>
    </row>
    <row r="152" spans="3:8" ht="24" thickBot="1" x14ac:dyDescent="0.5">
      <c r="C152" s="7">
        <f t="shared" si="14"/>
        <v>0.29999999999999938</v>
      </c>
      <c r="D152" s="8">
        <f t="shared" si="15"/>
        <v>0.70000000000000051</v>
      </c>
      <c r="E152" s="9">
        <f t="shared" si="16"/>
        <v>9.4678403028357033E-2</v>
      </c>
      <c r="F152" s="9">
        <f t="shared" si="17"/>
        <v>8.1000000000000003E-2</v>
      </c>
      <c r="G152" s="13">
        <f t="shared" si="12"/>
        <v>9.4678403028357033E-2</v>
      </c>
      <c r="H152" s="13">
        <f t="shared" si="13"/>
        <v>8.1000000000000003E-2</v>
      </c>
    </row>
    <row r="153" spans="3:8" ht="24" thickBot="1" x14ac:dyDescent="0.5">
      <c r="C153" s="7">
        <f t="shared" si="14"/>
        <v>0.29499999999999937</v>
      </c>
      <c r="D153" s="8">
        <f t="shared" si="15"/>
        <v>0.70500000000000052</v>
      </c>
      <c r="E153" s="9">
        <f t="shared" si="16"/>
        <v>9.5003631509537598E-2</v>
      </c>
      <c r="F153" s="9">
        <f t="shared" si="17"/>
        <v>8.1150000000000014E-2</v>
      </c>
      <c r="G153" s="13">
        <f t="shared" si="12"/>
        <v>9.5003631509537598E-2</v>
      </c>
      <c r="H153" s="13">
        <f t="shared" si="13"/>
        <v>8.1150000000000014E-2</v>
      </c>
    </row>
    <row r="154" spans="3:8" ht="24" thickBot="1" x14ac:dyDescent="0.5">
      <c r="C154" s="7">
        <f t="shared" si="14"/>
        <v>0.28999999999999937</v>
      </c>
      <c r="D154" s="8">
        <f t="shared" si="15"/>
        <v>0.71000000000000052</v>
      </c>
      <c r="E154" s="9">
        <f t="shared" si="16"/>
        <v>9.5332890441861703E-2</v>
      </c>
      <c r="F154" s="9">
        <f t="shared" si="17"/>
        <v>8.1299999999999997E-2</v>
      </c>
      <c r="G154" s="13">
        <f t="shared" si="12"/>
        <v>9.5332890441861703E-2</v>
      </c>
      <c r="H154" s="13">
        <f t="shared" si="13"/>
        <v>8.1299999999999997E-2</v>
      </c>
    </row>
    <row r="155" spans="3:8" ht="24" thickBot="1" x14ac:dyDescent="0.5">
      <c r="C155" s="7">
        <f t="shared" si="14"/>
        <v>0.28499999999999936</v>
      </c>
      <c r="D155" s="8">
        <f t="shared" si="15"/>
        <v>0.71500000000000052</v>
      </c>
      <c r="E155" s="9">
        <f t="shared" si="16"/>
        <v>9.5666138209922563E-2</v>
      </c>
      <c r="F155" s="9">
        <f t="shared" si="17"/>
        <v>8.1450000000000009E-2</v>
      </c>
      <c r="G155" s="13">
        <f t="shared" si="12"/>
        <v>9.5666138209922563E-2</v>
      </c>
      <c r="H155" s="13">
        <f t="shared" si="13"/>
        <v>8.1450000000000009E-2</v>
      </c>
    </row>
    <row r="156" spans="3:8" ht="24" thickBot="1" x14ac:dyDescent="0.5">
      <c r="C156" s="7">
        <f t="shared" si="14"/>
        <v>0.27999999999999936</v>
      </c>
      <c r="D156" s="8">
        <f t="shared" si="15"/>
        <v>0.72000000000000053</v>
      </c>
      <c r="E156" s="9">
        <f t="shared" si="16"/>
        <v>9.6003333275464994E-2</v>
      </c>
      <c r="F156" s="9">
        <f t="shared" si="17"/>
        <v>8.1600000000000006E-2</v>
      </c>
      <c r="G156" s="13">
        <f t="shared" si="12"/>
        <v>9.6003333275464994E-2</v>
      </c>
      <c r="H156" s="13">
        <f t="shared" si="13"/>
        <v>8.1600000000000006E-2</v>
      </c>
    </row>
    <row r="157" spans="3:8" ht="24" thickBot="1" x14ac:dyDescent="0.5">
      <c r="C157" s="7">
        <f t="shared" si="14"/>
        <v>0.27499999999999936</v>
      </c>
      <c r="D157" s="8">
        <f t="shared" si="15"/>
        <v>0.72500000000000053</v>
      </c>
      <c r="E157" s="9">
        <f t="shared" si="16"/>
        <v>9.6344434193159315E-2</v>
      </c>
      <c r="F157" s="9">
        <f t="shared" si="17"/>
        <v>8.1750000000000003E-2</v>
      </c>
      <c r="G157" s="13">
        <f t="shared" si="12"/>
        <v>9.6344434193159315E-2</v>
      </c>
      <c r="H157" s="13">
        <f t="shared" si="13"/>
        <v>8.1750000000000003E-2</v>
      </c>
    </row>
    <row r="158" spans="3:8" ht="24" thickBot="1" x14ac:dyDescent="0.5">
      <c r="C158" s="7">
        <f t="shared" si="14"/>
        <v>0.26999999999999935</v>
      </c>
      <c r="D158" s="8">
        <f t="shared" si="15"/>
        <v>0.73000000000000054</v>
      </c>
      <c r="E158" s="9">
        <f t="shared" si="16"/>
        <v>9.6689399625812161E-2</v>
      </c>
      <c r="F158" s="9">
        <f t="shared" si="17"/>
        <v>8.1900000000000014E-2</v>
      </c>
      <c r="G158" s="13">
        <f t="shared" si="12"/>
        <v>9.6689399625812161E-2</v>
      </c>
      <c r="H158" s="13">
        <f t="shared" si="13"/>
        <v>8.1900000000000014E-2</v>
      </c>
    </row>
    <row r="159" spans="3:8" ht="24" thickBot="1" x14ac:dyDescent="0.5">
      <c r="C159" s="7">
        <f t="shared" si="14"/>
        <v>0.26499999999999935</v>
      </c>
      <c r="D159" s="8">
        <f t="shared" si="15"/>
        <v>0.73500000000000054</v>
      </c>
      <c r="E159" s="9">
        <f t="shared" si="16"/>
        <v>9.7038188359016717E-2</v>
      </c>
      <c r="F159" s="9">
        <f t="shared" si="17"/>
        <v>8.2049999999999998E-2</v>
      </c>
      <c r="G159" s="13">
        <f t="shared" si="12"/>
        <v>9.7038188359016717E-2</v>
      </c>
      <c r="H159" s="13">
        <f t="shared" si="13"/>
        <v>8.2049999999999998E-2</v>
      </c>
    </row>
    <row r="160" spans="3:8" ht="24" thickBot="1" x14ac:dyDescent="0.5">
      <c r="C160" s="7">
        <f t="shared" si="14"/>
        <v>0.25999999999999934</v>
      </c>
      <c r="D160" s="8">
        <f t="shared" si="15"/>
        <v>0.74000000000000055</v>
      </c>
      <c r="E160" s="9">
        <f t="shared" si="16"/>
        <v>9.7390759315245143E-2</v>
      </c>
      <c r="F160" s="9">
        <f t="shared" si="17"/>
        <v>8.2200000000000009E-2</v>
      </c>
      <c r="G160" s="13">
        <f t="shared" si="12"/>
        <v>9.7390759315245143E-2</v>
      </c>
      <c r="H160" s="13">
        <f t="shared" si="13"/>
        <v>8.2200000000000009E-2</v>
      </c>
    </row>
    <row r="161" spans="3:8" ht="24" thickBot="1" x14ac:dyDescent="0.5">
      <c r="C161" s="7">
        <f t="shared" si="14"/>
        <v>0.25499999999999934</v>
      </c>
      <c r="D161" s="8">
        <f t="shared" si="15"/>
        <v>0.74500000000000055</v>
      </c>
      <c r="E161" s="9">
        <f t="shared" si="16"/>
        <v>9.7747071567387669E-2</v>
      </c>
      <c r="F161" s="9">
        <f t="shared" si="17"/>
        <v>8.2350000000000007E-2</v>
      </c>
      <c r="G161" s="13">
        <f t="shared" si="12"/>
        <v>9.7747071567387669E-2</v>
      </c>
      <c r="H161" s="13">
        <f t="shared" si="13"/>
        <v>8.2350000000000007E-2</v>
      </c>
    </row>
    <row r="162" spans="3:8" ht="24" thickBot="1" x14ac:dyDescent="0.5">
      <c r="C162" s="7">
        <f t="shared" si="14"/>
        <v>0.24999999999999933</v>
      </c>
      <c r="D162" s="8">
        <f t="shared" si="15"/>
        <v>0.75000000000000056</v>
      </c>
      <c r="E162" s="9">
        <f t="shared" si="16"/>
        <v>9.8107084351742951E-2</v>
      </c>
      <c r="F162" s="9">
        <f t="shared" si="17"/>
        <v>8.2500000000000004E-2</v>
      </c>
      <c r="G162" s="13">
        <f t="shared" si="12"/>
        <v>9.8107084351742951E-2</v>
      </c>
      <c r="H162" s="13">
        <f t="shared" si="13"/>
        <v>8.2500000000000004E-2</v>
      </c>
    </row>
    <row r="163" spans="3:8" ht="24" thickBot="1" x14ac:dyDescent="0.5">
      <c r="C163" s="7">
        <f t="shared" si="14"/>
        <v>0.24499999999999933</v>
      </c>
      <c r="D163" s="8">
        <f t="shared" si="15"/>
        <v>0.75500000000000056</v>
      </c>
      <c r="E163" s="9">
        <f t="shared" si="16"/>
        <v>9.8470757080465307E-2</v>
      </c>
      <c r="F163" s="9">
        <f t="shared" si="17"/>
        <v>8.2650000000000015E-2</v>
      </c>
      <c r="G163" s="13">
        <f t="shared" si="12"/>
        <v>9.8470757080465307E-2</v>
      </c>
      <c r="H163" s="13">
        <f t="shared" si="13"/>
        <v>8.2650000000000015E-2</v>
      </c>
    </row>
    <row r="164" spans="3:8" ht="24" thickBot="1" x14ac:dyDescent="0.5">
      <c r="C164" s="7">
        <f t="shared" si="14"/>
        <v>0.23999999999999932</v>
      </c>
      <c r="D164" s="8">
        <f t="shared" si="15"/>
        <v>0.76000000000000056</v>
      </c>
      <c r="E164" s="9">
        <f t="shared" si="16"/>
        <v>9.8838049353475232E-2</v>
      </c>
      <c r="F164" s="9">
        <f t="shared" si="17"/>
        <v>8.2799999999999999E-2</v>
      </c>
      <c r="G164" s="13">
        <f t="shared" si="12"/>
        <v>9.8838049353475232E-2</v>
      </c>
      <c r="H164" s="13">
        <f t="shared" si="13"/>
        <v>8.2799999999999999E-2</v>
      </c>
    </row>
    <row r="165" spans="3:8" ht="24" thickBot="1" x14ac:dyDescent="0.5">
      <c r="C165" s="7">
        <f t="shared" si="14"/>
        <v>0.23499999999999932</v>
      </c>
      <c r="D165" s="8">
        <f t="shared" si="15"/>
        <v>0.76500000000000057</v>
      </c>
      <c r="E165" s="9">
        <f t="shared" si="16"/>
        <v>9.9208920969840242E-2</v>
      </c>
      <c r="F165" s="9">
        <f t="shared" si="17"/>
        <v>8.295000000000001E-2</v>
      </c>
      <c r="G165" s="13">
        <f t="shared" si="12"/>
        <v>9.9208920969840242E-2</v>
      </c>
      <c r="H165" s="13">
        <f t="shared" si="13"/>
        <v>8.295000000000001E-2</v>
      </c>
    </row>
    <row r="166" spans="3:8" ht="24" thickBot="1" x14ac:dyDescent="0.5">
      <c r="C166" s="7">
        <f t="shared" si="14"/>
        <v>0.22999999999999932</v>
      </c>
      <c r="D166" s="8">
        <f t="shared" si="15"/>
        <v>0.77000000000000057</v>
      </c>
      <c r="E166" s="9">
        <f t="shared" si="16"/>
        <v>9.9583331938633224E-2</v>
      </c>
      <c r="F166" s="9">
        <f t="shared" si="17"/>
        <v>8.3100000000000007E-2</v>
      </c>
      <c r="G166" s="13">
        <f t="shared" si="12"/>
        <v>9.9583331938633224E-2</v>
      </c>
      <c r="H166" s="13">
        <f t="shared" si="13"/>
        <v>8.3100000000000007E-2</v>
      </c>
    </row>
    <row r="167" spans="3:8" ht="24" thickBot="1" x14ac:dyDescent="0.5">
      <c r="C167" s="7">
        <f t="shared" si="14"/>
        <v>0.22499999999999931</v>
      </c>
      <c r="D167" s="8">
        <f t="shared" si="15"/>
        <v>0.77500000000000058</v>
      </c>
      <c r="E167" s="9">
        <f t="shared" si="16"/>
        <v>9.9961242489276847E-2</v>
      </c>
      <c r="F167" s="9">
        <f t="shared" si="17"/>
        <v>8.3250000000000005E-2</v>
      </c>
      <c r="G167" s="13">
        <f t="shared" si="12"/>
        <v>9.9961242489276847E-2</v>
      </c>
      <c r="H167" s="13">
        <f t="shared" si="13"/>
        <v>8.3250000000000005E-2</v>
      </c>
    </row>
    <row r="168" spans="3:8" ht="24" thickBot="1" x14ac:dyDescent="0.5">
      <c r="C168" s="7">
        <f t="shared" si="14"/>
        <v>0.21999999999999931</v>
      </c>
      <c r="D168" s="8">
        <f t="shared" si="15"/>
        <v>0.78000000000000058</v>
      </c>
      <c r="E168" s="9">
        <f t="shared" si="16"/>
        <v>0.10034261308138237</v>
      </c>
      <c r="F168" s="9">
        <f t="shared" si="17"/>
        <v>8.3400000000000016E-2</v>
      </c>
      <c r="G168" s="13">
        <f t="shared" si="12"/>
        <v>0.10034261308138237</v>
      </c>
      <c r="H168" s="13">
        <f t="shared" si="13"/>
        <v>8.3400000000000016E-2</v>
      </c>
    </row>
    <row r="169" spans="3:8" ht="24" thickBot="1" x14ac:dyDescent="0.5">
      <c r="C169" s="7">
        <f t="shared" si="14"/>
        <v>0.2149999999999993</v>
      </c>
      <c r="D169" s="8">
        <f t="shared" si="15"/>
        <v>0.78500000000000059</v>
      </c>
      <c r="E169" s="9">
        <f t="shared" si="16"/>
        <v>0.10072740441409184</v>
      </c>
      <c r="F169" s="9">
        <f t="shared" si="17"/>
        <v>8.3549999999999999E-2</v>
      </c>
      <c r="G169" s="13">
        <f t="shared" si="12"/>
        <v>0.10072740441409184</v>
      </c>
      <c r="H169" s="13">
        <f t="shared" si="13"/>
        <v>8.3549999999999999E-2</v>
      </c>
    </row>
    <row r="170" spans="3:8" ht="24" thickBot="1" x14ac:dyDescent="0.5">
      <c r="C170" s="7">
        <f t="shared" si="14"/>
        <v>0.2099999999999993</v>
      </c>
      <c r="D170" s="8">
        <f t="shared" si="15"/>
        <v>0.79000000000000059</v>
      </c>
      <c r="E170" s="9">
        <f t="shared" si="16"/>
        <v>0.10111557743493338</v>
      </c>
      <c r="F170" s="9">
        <f t="shared" si="17"/>
        <v>8.3700000000000011E-2</v>
      </c>
      <c r="G170" s="13">
        <f t="shared" si="12"/>
        <v>0.10111557743493338</v>
      </c>
      <c r="H170" s="13">
        <f t="shared" si="13"/>
        <v>8.3700000000000011E-2</v>
      </c>
    </row>
    <row r="171" spans="3:8" ht="24" thickBot="1" x14ac:dyDescent="0.5">
      <c r="C171" s="7">
        <f t="shared" si="14"/>
        <v>0.20499999999999929</v>
      </c>
      <c r="D171" s="8">
        <f t="shared" si="15"/>
        <v>0.7950000000000006</v>
      </c>
      <c r="E171" s="9">
        <f t="shared" si="16"/>
        <v>0.10150709334819912</v>
      </c>
      <c r="F171" s="9">
        <f t="shared" si="17"/>
        <v>8.3850000000000008E-2</v>
      </c>
      <c r="G171" s="13">
        <f t="shared" si="12"/>
        <v>0.10150709334819912</v>
      </c>
      <c r="H171" s="13">
        <f t="shared" si="13"/>
        <v>8.3850000000000008E-2</v>
      </c>
    </row>
    <row r="172" spans="3:8" ht="24" thickBot="1" x14ac:dyDescent="0.5">
      <c r="C172" s="7">
        <f t="shared" si="14"/>
        <v>0.19999999999999929</v>
      </c>
      <c r="D172" s="8">
        <f t="shared" si="15"/>
        <v>0.8000000000000006</v>
      </c>
      <c r="E172" s="9">
        <f t="shared" si="16"/>
        <v>0.10190191362285603</v>
      </c>
      <c r="F172" s="9">
        <f t="shared" si="17"/>
        <v>8.4000000000000005E-2</v>
      </c>
      <c r="G172" s="13">
        <f t="shared" si="12"/>
        <v>0.10190191362285603</v>
      </c>
      <c r="H172" s="13">
        <f t="shared" si="13"/>
        <v>8.4000000000000005E-2</v>
      </c>
    </row>
    <row r="173" spans="3:8" ht="24" thickBot="1" x14ac:dyDescent="0.5">
      <c r="C173" s="7">
        <f t="shared" si="14"/>
        <v>0.19499999999999929</v>
      </c>
      <c r="D173" s="8">
        <f t="shared" si="15"/>
        <v>0.8050000000000006</v>
      </c>
      <c r="E173" s="9">
        <f t="shared" si="16"/>
        <v>0.10230000000000003</v>
      </c>
      <c r="F173" s="9">
        <f t="shared" si="17"/>
        <v>8.4150000000000016E-2</v>
      </c>
      <c r="G173" s="13">
        <f t="shared" si="12"/>
        <v>0.10230000000000003</v>
      </c>
      <c r="H173" s="13">
        <f t="shared" si="13"/>
        <v>8.4150000000000016E-2</v>
      </c>
    </row>
    <row r="174" spans="3:8" ht="24" thickBot="1" x14ac:dyDescent="0.5">
      <c r="C174" s="7">
        <f t="shared" si="14"/>
        <v>0.18999999999999928</v>
      </c>
      <c r="D174" s="8">
        <f t="shared" si="15"/>
        <v>0.81000000000000061</v>
      </c>
      <c r="E174" s="9">
        <f t="shared" si="16"/>
        <v>0.10270131449986417</v>
      </c>
      <c r="F174" s="9">
        <f t="shared" si="17"/>
        <v>8.43E-2</v>
      </c>
      <c r="G174" s="13">
        <f t="shared" si="12"/>
        <v>0.10270131449986417</v>
      </c>
      <c r="H174" s="13">
        <f t="shared" si="13"/>
        <v>8.43E-2</v>
      </c>
    </row>
    <row r="175" spans="3:8" ht="24" thickBot="1" x14ac:dyDescent="0.5">
      <c r="C175" s="7">
        <f t="shared" si="14"/>
        <v>0.18499999999999928</v>
      </c>
      <c r="D175" s="8">
        <f t="shared" si="15"/>
        <v>0.81500000000000061</v>
      </c>
      <c r="E175" s="9">
        <f t="shared" si="16"/>
        <v>0.10310581942839118</v>
      </c>
      <c r="F175" s="9">
        <f t="shared" si="17"/>
        <v>8.4450000000000011E-2</v>
      </c>
      <c r="G175" s="13">
        <f t="shared" si="12"/>
        <v>0.10310581942839118</v>
      </c>
      <c r="H175" s="13">
        <f t="shared" si="13"/>
        <v>8.4450000000000011E-2</v>
      </c>
    </row>
    <row r="176" spans="3:8" ht="24" thickBot="1" x14ac:dyDescent="0.5">
      <c r="C176" s="7">
        <f t="shared" si="14"/>
        <v>0.17999999999999927</v>
      </c>
      <c r="D176" s="8">
        <f t="shared" si="15"/>
        <v>0.82000000000000062</v>
      </c>
      <c r="E176" s="9">
        <f t="shared" si="16"/>
        <v>0.10351347738338235</v>
      </c>
      <c r="F176" s="9">
        <f t="shared" si="17"/>
        <v>8.4600000000000009E-2</v>
      </c>
      <c r="G176" s="13">
        <f t="shared" si="12"/>
        <v>0.10351347738338235</v>
      </c>
      <c r="H176" s="13">
        <f t="shared" si="13"/>
        <v>8.4600000000000009E-2</v>
      </c>
    </row>
    <row r="177" spans="3:8" ht="24" thickBot="1" x14ac:dyDescent="0.5">
      <c r="C177" s="7">
        <f t="shared" si="14"/>
        <v>0.17499999999999927</v>
      </c>
      <c r="D177" s="8">
        <f t="shared" si="15"/>
        <v>0.82500000000000062</v>
      </c>
      <c r="E177" s="9">
        <f t="shared" si="16"/>
        <v>0.10392425126023286</v>
      </c>
      <c r="F177" s="9">
        <f t="shared" si="17"/>
        <v>8.4750000000000006E-2</v>
      </c>
      <c r="G177" s="13">
        <f t="shared" si="12"/>
        <v>0.10392425126023286</v>
      </c>
      <c r="H177" s="13">
        <f t="shared" si="13"/>
        <v>8.4750000000000006E-2</v>
      </c>
    </row>
    <row r="178" spans="3:8" ht="24" thickBot="1" x14ac:dyDescent="0.5">
      <c r="C178" s="7">
        <f t="shared" si="14"/>
        <v>0.16999999999999926</v>
      </c>
      <c r="D178" s="8">
        <f t="shared" si="15"/>
        <v>0.83000000000000063</v>
      </c>
      <c r="E178" s="9">
        <f t="shared" si="16"/>
        <v>0.10433810425726552</v>
      </c>
      <c r="F178" s="9">
        <f t="shared" si="17"/>
        <v>8.4900000000000017E-2</v>
      </c>
      <c r="G178" s="13">
        <f t="shared" si="12"/>
        <v>0.10433810425726552</v>
      </c>
      <c r="H178" s="13">
        <f t="shared" si="13"/>
        <v>8.4900000000000017E-2</v>
      </c>
    </row>
    <row r="179" spans="3:8" ht="24" thickBot="1" x14ac:dyDescent="0.5">
      <c r="C179" s="7">
        <f t="shared" si="14"/>
        <v>0.16499999999999926</v>
      </c>
      <c r="D179" s="8">
        <f t="shared" si="15"/>
        <v>0.83500000000000063</v>
      </c>
      <c r="E179" s="9">
        <f t="shared" si="16"/>
        <v>0.10475499988067401</v>
      </c>
      <c r="F179" s="9">
        <f t="shared" si="17"/>
        <v>8.5050000000000001E-2</v>
      </c>
      <c r="G179" s="13">
        <f t="shared" si="12"/>
        <v>0.10475499988067401</v>
      </c>
      <c r="H179" s="13">
        <f t="shared" si="13"/>
        <v>8.5050000000000001E-2</v>
      </c>
    </row>
    <row r="180" spans="3:8" ht="24" thickBot="1" x14ac:dyDescent="0.5">
      <c r="C180" s="7">
        <f t="shared" si="14"/>
        <v>0.15999999999999925</v>
      </c>
      <c r="D180" s="8">
        <f t="shared" si="15"/>
        <v>0.84000000000000064</v>
      </c>
      <c r="E180" s="9">
        <f t="shared" si="16"/>
        <v>0.10517490194908674</v>
      </c>
      <c r="F180" s="9">
        <f t="shared" si="17"/>
        <v>8.5200000000000012E-2</v>
      </c>
      <c r="G180" s="13">
        <f t="shared" si="12"/>
        <v>0.10517490194908674</v>
      </c>
      <c r="H180" s="13">
        <f t="shared" si="13"/>
        <v>8.5200000000000012E-2</v>
      </c>
    </row>
    <row r="181" spans="3:8" ht="24" thickBot="1" x14ac:dyDescent="0.5">
      <c r="C181" s="7">
        <f t="shared" si="14"/>
        <v>0.15499999999999925</v>
      </c>
      <c r="D181" s="8">
        <f t="shared" si="15"/>
        <v>0.84500000000000064</v>
      </c>
      <c r="E181" s="9">
        <f t="shared" si="16"/>
        <v>0.10559777459776323</v>
      </c>
      <c r="F181" s="9">
        <f t="shared" si="17"/>
        <v>8.5350000000000009E-2</v>
      </c>
      <c r="G181" s="13">
        <f t="shared" si="12"/>
        <v>0.10559777459776323</v>
      </c>
      <c r="H181" s="13">
        <f t="shared" si="13"/>
        <v>8.5350000000000009E-2</v>
      </c>
    </row>
    <row r="182" spans="3:8" ht="24" thickBot="1" x14ac:dyDescent="0.5">
      <c r="C182" s="7">
        <f t="shared" si="14"/>
        <v>0.14999999999999925</v>
      </c>
      <c r="D182" s="8">
        <f t="shared" si="15"/>
        <v>0.85000000000000064</v>
      </c>
      <c r="E182" s="9">
        <f t="shared" si="16"/>
        <v>0.1060235822824338</v>
      </c>
      <c r="F182" s="9">
        <f t="shared" si="17"/>
        <v>8.5500000000000007E-2</v>
      </c>
      <c r="G182" s="13">
        <f t="shared" si="12"/>
        <v>0.1060235822824338</v>
      </c>
      <c r="H182" s="13">
        <f t="shared" si="13"/>
        <v>8.5500000000000007E-2</v>
      </c>
    </row>
    <row r="183" spans="3:8" ht="24" thickBot="1" x14ac:dyDescent="0.5">
      <c r="C183" s="7">
        <f t="shared" si="14"/>
        <v>0.14499999999999924</v>
      </c>
      <c r="D183" s="8">
        <f t="shared" si="15"/>
        <v>0.85500000000000065</v>
      </c>
      <c r="E183" s="9">
        <f t="shared" si="16"/>
        <v>0.10645228978279431</v>
      </c>
      <c r="F183" s="9">
        <f t="shared" si="17"/>
        <v>8.5650000000000018E-2</v>
      </c>
      <c r="G183" s="13">
        <f t="shared" si="12"/>
        <v>0.10645228978279431</v>
      </c>
      <c r="H183" s="13">
        <f t="shared" si="13"/>
        <v>8.5650000000000018E-2</v>
      </c>
    </row>
    <row r="184" spans="3:8" ht="24" thickBot="1" x14ac:dyDescent="0.5">
      <c r="C184" s="7">
        <f t="shared" si="14"/>
        <v>0.13999999999999924</v>
      </c>
      <c r="D184" s="8">
        <f t="shared" si="15"/>
        <v>0.86000000000000065</v>
      </c>
      <c r="E184" s="9">
        <f t="shared" si="16"/>
        <v>0.10688386220566701</v>
      </c>
      <c r="F184" s="9">
        <f t="shared" si="17"/>
        <v>8.5800000000000001E-2</v>
      </c>
      <c r="G184" s="13">
        <f t="shared" si="12"/>
        <v>0.10688386220566701</v>
      </c>
      <c r="H184" s="13">
        <f t="shared" si="13"/>
        <v>8.5800000000000001E-2</v>
      </c>
    </row>
    <row r="185" spans="3:8" ht="24" thickBot="1" x14ac:dyDescent="0.5">
      <c r="C185" s="7">
        <f t="shared" si="14"/>
        <v>0.13499999999999923</v>
      </c>
      <c r="D185" s="8">
        <f t="shared" si="15"/>
        <v>0.86500000000000066</v>
      </c>
      <c r="E185" s="9">
        <f t="shared" si="16"/>
        <v>0.1073182649878389</v>
      </c>
      <c r="F185" s="9">
        <f t="shared" si="17"/>
        <v>8.5950000000000013E-2</v>
      </c>
      <c r="G185" s="13">
        <f t="shared" si="12"/>
        <v>0.1073182649878389</v>
      </c>
      <c r="H185" s="13">
        <f t="shared" si="13"/>
        <v>8.5950000000000013E-2</v>
      </c>
    </row>
    <row r="186" spans="3:8" ht="24" thickBot="1" x14ac:dyDescent="0.5">
      <c r="C186" s="7">
        <f t="shared" si="14"/>
        <v>0.12999999999999923</v>
      </c>
      <c r="D186" s="8">
        <f t="shared" si="15"/>
        <v>0.87000000000000066</v>
      </c>
      <c r="E186" s="9">
        <f t="shared" si="16"/>
        <v>0.1077554638985885</v>
      </c>
      <c r="F186" s="9">
        <f t="shared" si="17"/>
        <v>8.610000000000001E-2</v>
      </c>
      <c r="G186" s="13">
        <f t="shared" si="12"/>
        <v>0.1077554638985885</v>
      </c>
      <c r="H186" s="13">
        <f t="shared" si="13"/>
        <v>8.610000000000001E-2</v>
      </c>
    </row>
    <row r="187" spans="3:8" ht="24" thickBot="1" x14ac:dyDescent="0.5">
      <c r="C187" s="7">
        <f t="shared" si="14"/>
        <v>0.12499999999999922</v>
      </c>
      <c r="D187" s="8">
        <f t="shared" si="15"/>
        <v>0.87500000000000067</v>
      </c>
      <c r="E187" s="9">
        <f t="shared" si="16"/>
        <v>0.10819542504191207</v>
      </c>
      <c r="F187" s="9">
        <f t="shared" si="17"/>
        <v>8.6250000000000007E-2</v>
      </c>
      <c r="G187" s="13">
        <f t="shared" si="12"/>
        <v>0.10819542504191207</v>
      </c>
      <c r="H187" s="13">
        <f t="shared" si="13"/>
        <v>8.6250000000000007E-2</v>
      </c>
    </row>
    <row r="188" spans="3:8" ht="24" thickBot="1" x14ac:dyDescent="0.5">
      <c r="C188" s="7">
        <f t="shared" si="14"/>
        <v>0.11999999999999922</v>
      </c>
      <c r="D188" s="8">
        <f t="shared" si="15"/>
        <v>0.88000000000000067</v>
      </c>
      <c r="E188" s="9">
        <f t="shared" si="16"/>
        <v>0.1086381148584603</v>
      </c>
      <c r="F188" s="9">
        <f t="shared" si="17"/>
        <v>8.6400000000000018E-2</v>
      </c>
      <c r="G188" s="13">
        <f t="shared" si="12"/>
        <v>0.1086381148584603</v>
      </c>
      <c r="H188" s="13">
        <f t="shared" si="13"/>
        <v>8.6400000000000018E-2</v>
      </c>
    </row>
    <row r="189" spans="3:8" ht="24" thickBot="1" x14ac:dyDescent="0.5">
      <c r="C189" s="7">
        <f t="shared" si="14"/>
        <v>0.11499999999999921</v>
      </c>
      <c r="D189" s="8">
        <f t="shared" si="15"/>
        <v>0.88500000000000068</v>
      </c>
      <c r="E189" s="9">
        <f t="shared" si="16"/>
        <v>0.1090835001271962</v>
      </c>
      <c r="F189" s="9">
        <f t="shared" si="17"/>
        <v>8.6550000000000002E-2</v>
      </c>
      <c r="G189" s="13">
        <f t="shared" si="12"/>
        <v>0.1090835001271962</v>
      </c>
      <c r="H189" s="13">
        <f t="shared" si="13"/>
        <v>8.6550000000000002E-2</v>
      </c>
    </row>
    <row r="190" spans="3:8" ht="24" thickBot="1" x14ac:dyDescent="0.5">
      <c r="C190" s="7">
        <f t="shared" si="14"/>
        <v>0.10999999999999921</v>
      </c>
      <c r="D190" s="8">
        <f t="shared" si="15"/>
        <v>0.89000000000000068</v>
      </c>
      <c r="E190" s="9">
        <f t="shared" si="16"/>
        <v>0.10953154796678449</v>
      </c>
      <c r="F190" s="9">
        <f t="shared" si="17"/>
        <v>8.6700000000000013E-2</v>
      </c>
      <c r="G190" s="13">
        <f t="shared" si="12"/>
        <v>0.10953154796678449</v>
      </c>
      <c r="H190" s="13">
        <f t="shared" si="13"/>
        <v>8.6700000000000013E-2</v>
      </c>
    </row>
    <row r="191" spans="3:8" ht="24" thickBot="1" x14ac:dyDescent="0.5">
      <c r="C191" s="7">
        <f t="shared" si="14"/>
        <v>0.10499999999999921</v>
      </c>
      <c r="D191" s="8">
        <f t="shared" si="15"/>
        <v>0.89500000000000068</v>
      </c>
      <c r="E191" s="9">
        <f t="shared" si="16"/>
        <v>0.10998222583672332</v>
      </c>
      <c r="F191" s="9">
        <f t="shared" si="17"/>
        <v>8.6850000000000011E-2</v>
      </c>
      <c r="G191" s="13">
        <f t="shared" si="12"/>
        <v>0.10998222583672332</v>
      </c>
      <c r="H191" s="13">
        <f t="shared" si="13"/>
        <v>8.6850000000000011E-2</v>
      </c>
    </row>
    <row r="192" spans="3:8" ht="24" thickBot="1" x14ac:dyDescent="0.5">
      <c r="C192" s="7">
        <f t="shared" si="14"/>
        <v>9.9999999999999201E-2</v>
      </c>
      <c r="D192" s="8">
        <f t="shared" si="15"/>
        <v>0.90000000000000069</v>
      </c>
      <c r="E192" s="9">
        <f t="shared" si="16"/>
        <v>0.11043550153822825</v>
      </c>
      <c r="F192" s="9">
        <f t="shared" si="17"/>
        <v>8.7000000000000008E-2</v>
      </c>
      <c r="G192" s="13">
        <f t="shared" si="12"/>
        <v>0.11043550153822825</v>
      </c>
      <c r="H192" s="13">
        <f t="shared" si="13"/>
        <v>8.7000000000000008E-2</v>
      </c>
    </row>
    <row r="193" spans="3:8" ht="24" thickBot="1" x14ac:dyDescent="0.5">
      <c r="C193" s="7">
        <f t="shared" si="14"/>
        <v>9.4999999999999196E-2</v>
      </c>
      <c r="D193" s="8">
        <f t="shared" si="15"/>
        <v>0.90500000000000069</v>
      </c>
      <c r="E193" s="9">
        <f t="shared" si="16"/>
        <v>0.11089134321487865</v>
      </c>
      <c r="F193" s="9">
        <f t="shared" si="17"/>
        <v>8.7150000000000019E-2</v>
      </c>
      <c r="G193" s="13">
        <f t="shared" si="12"/>
        <v>0.11089134321487865</v>
      </c>
      <c r="H193" s="13">
        <f t="shared" si="13"/>
        <v>8.7150000000000019E-2</v>
      </c>
    </row>
    <row r="194" spans="3:8" ht="24" thickBot="1" x14ac:dyDescent="0.5">
      <c r="C194" s="7">
        <f t="shared" si="14"/>
        <v>8.9999999999999192E-2</v>
      </c>
      <c r="D194" s="8">
        <f t="shared" si="15"/>
        <v>0.9100000000000007</v>
      </c>
      <c r="E194" s="9">
        <f t="shared" si="16"/>
        <v>0.1113497193530366</v>
      </c>
      <c r="F194" s="9">
        <f t="shared" si="17"/>
        <v>8.7300000000000003E-2</v>
      </c>
      <c r="G194" s="13">
        <f t="shared" si="12"/>
        <v>0.1113497193530366</v>
      </c>
      <c r="H194" s="13">
        <f t="shared" si="13"/>
        <v>8.7300000000000003E-2</v>
      </c>
    </row>
    <row r="195" spans="3:8" ht="24" thickBot="1" x14ac:dyDescent="0.5">
      <c r="C195" s="7">
        <f t="shared" si="14"/>
        <v>8.4999999999999187E-2</v>
      </c>
      <c r="D195" s="8">
        <f t="shared" si="15"/>
        <v>0.9150000000000007</v>
      </c>
      <c r="E195" s="9">
        <f t="shared" si="16"/>
        <v>0.11181059878204756</v>
      </c>
      <c r="F195" s="9">
        <f t="shared" si="17"/>
        <v>8.7450000000000014E-2</v>
      </c>
      <c r="G195" s="13">
        <f t="shared" si="12"/>
        <v>0.11181059878204756</v>
      </c>
      <c r="H195" s="13">
        <f t="shared" si="13"/>
        <v>8.7450000000000014E-2</v>
      </c>
    </row>
    <row r="196" spans="3:8" ht="24" thickBot="1" x14ac:dyDescent="0.5">
      <c r="C196" s="7">
        <f t="shared" si="14"/>
        <v>7.9999999999999183E-2</v>
      </c>
      <c r="D196" s="8">
        <f t="shared" si="15"/>
        <v>0.92000000000000071</v>
      </c>
      <c r="E196" s="9">
        <f t="shared" si="16"/>
        <v>0.1122739506742326</v>
      </c>
      <c r="F196" s="9">
        <f t="shared" si="17"/>
        <v>8.7600000000000011E-2</v>
      </c>
      <c r="G196" s="13">
        <f t="shared" si="12"/>
        <v>0.1122739506742326</v>
      </c>
      <c r="H196" s="13">
        <f t="shared" si="13"/>
        <v>8.7600000000000011E-2</v>
      </c>
    </row>
    <row r="197" spans="3:8" ht="24" thickBot="1" x14ac:dyDescent="0.5">
      <c r="C197" s="7">
        <f t="shared" si="14"/>
        <v>7.4999999999999178E-2</v>
      </c>
      <c r="D197" s="8">
        <f t="shared" si="15"/>
        <v>0.92500000000000071</v>
      </c>
      <c r="E197" s="9">
        <f t="shared" si="16"/>
        <v>0.11273974454468137</v>
      </c>
      <c r="F197" s="9">
        <f t="shared" si="17"/>
        <v>8.7750000000000009E-2</v>
      </c>
      <c r="G197" s="13">
        <f t="shared" si="12"/>
        <v>0.11273974454468137</v>
      </c>
      <c r="H197" s="13">
        <f t="shared" si="13"/>
        <v>8.7750000000000009E-2</v>
      </c>
    </row>
    <row r="198" spans="3:8" ht="24" thickBot="1" x14ac:dyDescent="0.5">
      <c r="C198" s="7">
        <f t="shared" si="14"/>
        <v>6.9999999999999174E-2</v>
      </c>
      <c r="D198" s="8">
        <f t="shared" si="15"/>
        <v>0.93000000000000071</v>
      </c>
      <c r="E198" s="9">
        <f t="shared" si="16"/>
        <v>0.1132079502508548</v>
      </c>
      <c r="F198" s="9">
        <f t="shared" si="17"/>
        <v>8.790000000000002E-2</v>
      </c>
      <c r="G198" s="13">
        <f t="shared" si="12"/>
        <v>0.1132079502508548</v>
      </c>
      <c r="H198" s="13">
        <f t="shared" si="13"/>
        <v>8.790000000000002E-2</v>
      </c>
    </row>
    <row r="199" spans="3:8" ht="24" thickBot="1" x14ac:dyDescent="0.5">
      <c r="C199" s="7">
        <f t="shared" si="14"/>
        <v>6.499999999999917E-2</v>
      </c>
      <c r="D199" s="8">
        <f t="shared" si="15"/>
        <v>0.93500000000000072</v>
      </c>
      <c r="E199" s="9">
        <f t="shared" si="16"/>
        <v>0.11367853799200628</v>
      </c>
      <c r="F199" s="9">
        <f t="shared" si="17"/>
        <v>8.8050000000000003E-2</v>
      </c>
      <c r="G199" s="13">
        <f t="shared" si="12"/>
        <v>0.11367853799200628</v>
      </c>
      <c r="H199" s="13">
        <f t="shared" si="13"/>
        <v>8.8050000000000003E-2</v>
      </c>
    </row>
    <row r="200" spans="3:8" ht="24" thickBot="1" x14ac:dyDescent="0.5">
      <c r="C200" s="7">
        <f t="shared" si="14"/>
        <v>5.9999999999999172E-2</v>
      </c>
      <c r="D200" s="8">
        <f t="shared" si="15"/>
        <v>0.94000000000000072</v>
      </c>
      <c r="E200" s="9">
        <f t="shared" si="16"/>
        <v>0.11415147830843023</v>
      </c>
      <c r="F200" s="9">
        <f t="shared" si="17"/>
        <v>8.8200000000000014E-2</v>
      </c>
      <c r="G200" s="13">
        <f t="shared" si="12"/>
        <v>0.11415147830843023</v>
      </c>
      <c r="H200" s="13">
        <f t="shared" si="13"/>
        <v>8.8200000000000014E-2</v>
      </c>
    </row>
    <row r="201" spans="3:8" ht="24" thickBot="1" x14ac:dyDescent="0.5">
      <c r="C201" s="7">
        <f t="shared" si="14"/>
        <v>5.4999999999999175E-2</v>
      </c>
      <c r="D201" s="8">
        <f t="shared" si="15"/>
        <v>0.94500000000000073</v>
      </c>
      <c r="E201" s="9">
        <f t="shared" si="16"/>
        <v>0.114626742080546</v>
      </c>
      <c r="F201" s="9">
        <f t="shared" si="17"/>
        <v>8.8350000000000012E-2</v>
      </c>
      <c r="G201" s="13">
        <f t="shared" si="12"/>
        <v>0.114626742080546</v>
      </c>
      <c r="H201" s="13">
        <f t="shared" si="13"/>
        <v>8.8350000000000012E-2</v>
      </c>
    </row>
    <row r="202" spans="3:8" ht="24" thickBot="1" x14ac:dyDescent="0.5">
      <c r="C202" s="7">
        <f t="shared" si="14"/>
        <v>4.9999999999999177E-2</v>
      </c>
      <c r="D202" s="8">
        <f t="shared" si="15"/>
        <v>0.95000000000000073</v>
      </c>
      <c r="E202" s="9">
        <f t="shared" si="16"/>
        <v>0.11510430052782569</v>
      </c>
      <c r="F202" s="9">
        <f t="shared" si="17"/>
        <v>8.8500000000000009E-2</v>
      </c>
      <c r="G202" s="13">
        <f t="shared" si="12"/>
        <v>0.11510430052782569</v>
      </c>
      <c r="H202" s="13">
        <f t="shared" si="13"/>
        <v>8.8500000000000009E-2</v>
      </c>
    </row>
    <row r="203" spans="3:8" ht="24" thickBot="1" x14ac:dyDescent="0.5">
      <c r="C203" s="7">
        <f t="shared" si="14"/>
        <v>4.499999999999918E-2</v>
      </c>
      <c r="D203" s="8">
        <f t="shared" si="15"/>
        <v>0.95500000000000074</v>
      </c>
      <c r="E203" s="9">
        <f t="shared" si="16"/>
        <v>0.11558412520757345</v>
      </c>
      <c r="F203" s="9">
        <f t="shared" si="17"/>
        <v>8.865000000000002E-2</v>
      </c>
      <c r="G203" s="13">
        <f t="shared" si="12"/>
        <v>0.11558412520757345</v>
      </c>
      <c r="H203" s="13">
        <f t="shared" si="13"/>
        <v>8.865000000000002E-2</v>
      </c>
    </row>
    <row r="204" spans="3:8" ht="24" thickBot="1" x14ac:dyDescent="0.5">
      <c r="C204" s="7">
        <f t="shared" si="14"/>
        <v>3.9999999999999182E-2</v>
      </c>
      <c r="D204" s="8">
        <f t="shared" si="15"/>
        <v>0.96000000000000074</v>
      </c>
      <c r="E204" s="9">
        <f t="shared" si="16"/>
        <v>0.11606618801356412</v>
      </c>
      <c r="F204" s="9">
        <f t="shared" si="17"/>
        <v>8.8800000000000018E-2</v>
      </c>
      <c r="G204" s="13">
        <f t="shared" si="12"/>
        <v>0.11606618801356412</v>
      </c>
      <c r="H204" s="13">
        <f t="shared" si="13"/>
        <v>8.8800000000000018E-2</v>
      </c>
    </row>
    <row r="205" spans="3:8" ht="24" thickBot="1" x14ac:dyDescent="0.5">
      <c r="C205" s="7">
        <f t="shared" si="14"/>
        <v>3.4999999999999185E-2</v>
      </c>
      <c r="D205" s="8">
        <f t="shared" si="15"/>
        <v>0.96500000000000075</v>
      </c>
      <c r="E205" s="9">
        <f t="shared" si="16"/>
        <v>0.11655046117454884</v>
      </c>
      <c r="F205" s="9">
        <f t="shared" si="17"/>
        <v>8.8950000000000015E-2</v>
      </c>
      <c r="G205" s="13">
        <f t="shared" ref="G205:G212" si="18">IF(F205&gt;=$J$9,E205,NA())</f>
        <v>0.11655046117454884</v>
      </c>
      <c r="H205" s="13">
        <f t="shared" ref="H205:H212" si="19">IF(F205&gt;=$J$9,F205,NA())</f>
        <v>8.8950000000000015E-2</v>
      </c>
    </row>
    <row r="206" spans="3:8" ht="24" thickBot="1" x14ac:dyDescent="0.5">
      <c r="C206" s="7">
        <f t="shared" ref="C206:C212" si="20">C205-0.5%</f>
        <v>2.9999999999999184E-2</v>
      </c>
      <c r="D206" s="8">
        <f t="shared" ref="D206:D212" si="21">D205+0.5%</f>
        <v>0.97000000000000075</v>
      </c>
      <c r="E206" s="9">
        <f t="shared" ref="E206:E212" si="22">SQRT(C206^2*$E$4^2+D206^2*$E$5^2+2*D206*C206*$E$4*$E$5*$E$6)</f>
        <v>0.1170369172526345</v>
      </c>
      <c r="F206" s="9">
        <f t="shared" ref="F206:F212" si="23">$G$4*C206+$G$5*D206</f>
        <v>8.9100000000000013E-2</v>
      </c>
      <c r="G206" s="13">
        <f t="shared" si="18"/>
        <v>0.1170369172526345</v>
      </c>
      <c r="H206" s="13">
        <f t="shared" si="19"/>
        <v>8.9100000000000013E-2</v>
      </c>
    </row>
    <row r="207" spans="3:8" ht="24" thickBot="1" x14ac:dyDescent="0.5">
      <c r="C207" s="7">
        <f t="shared" si="20"/>
        <v>2.4999999999999183E-2</v>
      </c>
      <c r="D207" s="8">
        <f t="shared" si="21"/>
        <v>0.97500000000000075</v>
      </c>
      <c r="E207" s="9">
        <f t="shared" si="22"/>
        <v>0.11752552914154446</v>
      </c>
      <c r="F207" s="9">
        <f t="shared" si="23"/>
        <v>8.925000000000001E-2</v>
      </c>
      <c r="G207" s="13">
        <f t="shared" si="18"/>
        <v>0.11752552914154446</v>
      </c>
      <c r="H207" s="13">
        <f t="shared" si="19"/>
        <v>8.925000000000001E-2</v>
      </c>
    </row>
    <row r="208" spans="3:8" ht="24" thickBot="1" x14ac:dyDescent="0.5">
      <c r="C208" s="7">
        <f t="shared" si="20"/>
        <v>1.9999999999999182E-2</v>
      </c>
      <c r="D208" s="8">
        <f t="shared" si="21"/>
        <v>0.98000000000000076</v>
      </c>
      <c r="E208" s="9">
        <f t="shared" si="22"/>
        <v>0.11801627006476699</v>
      </c>
      <c r="F208" s="9">
        <f t="shared" si="23"/>
        <v>8.9400000000000021E-2</v>
      </c>
      <c r="G208" s="13">
        <f t="shared" si="18"/>
        <v>0.11801627006476699</v>
      </c>
      <c r="H208" s="13">
        <f t="shared" si="19"/>
        <v>8.9400000000000021E-2</v>
      </c>
    </row>
    <row r="209" spans="3:8" ht="24" thickBot="1" x14ac:dyDescent="0.5">
      <c r="C209" s="7">
        <f t="shared" si="20"/>
        <v>1.4999999999999181E-2</v>
      </c>
      <c r="D209" s="8">
        <f t="shared" si="21"/>
        <v>0.98500000000000076</v>
      </c>
      <c r="E209" s="9">
        <f t="shared" si="22"/>
        <v>0.11850911357359829</v>
      </c>
      <c r="F209" s="9">
        <f t="shared" si="23"/>
        <v>8.9550000000000018E-2</v>
      </c>
      <c r="G209" s="13">
        <f t="shared" si="18"/>
        <v>0.11850911357359829</v>
      </c>
      <c r="H209" s="13">
        <f t="shared" si="19"/>
        <v>8.9550000000000018E-2</v>
      </c>
    </row>
    <row r="210" spans="3:8" ht="24" thickBot="1" x14ac:dyDescent="0.5">
      <c r="C210" s="7">
        <f t="shared" si="20"/>
        <v>9.9999999999991797E-3</v>
      </c>
      <c r="D210" s="8">
        <f t="shared" si="21"/>
        <v>0.99000000000000077</v>
      </c>
      <c r="E210" s="9">
        <f t="shared" si="22"/>
        <v>0.11900403354508626</v>
      </c>
      <c r="F210" s="9">
        <f t="shared" si="23"/>
        <v>8.9700000000000016E-2</v>
      </c>
      <c r="G210" s="13">
        <f t="shared" si="18"/>
        <v>0.11900403354508626</v>
      </c>
      <c r="H210" s="13">
        <f t="shared" si="19"/>
        <v>8.9700000000000016E-2</v>
      </c>
    </row>
    <row r="211" spans="3:8" ht="24" thickBot="1" x14ac:dyDescent="0.5">
      <c r="C211" s="7">
        <f t="shared" si="20"/>
        <v>4.9999999999991796E-3</v>
      </c>
      <c r="D211" s="8">
        <f t="shared" si="21"/>
        <v>0.99500000000000077</v>
      </c>
      <c r="E211" s="9">
        <f t="shared" si="22"/>
        <v>0.11950100417988134</v>
      </c>
      <c r="F211" s="9">
        <f t="shared" si="23"/>
        <v>8.9850000000000013E-2</v>
      </c>
      <c r="G211" s="13">
        <f t="shared" si="18"/>
        <v>0.11950100417988134</v>
      </c>
      <c r="H211" s="13">
        <f t="shared" si="19"/>
        <v>8.9850000000000013E-2</v>
      </c>
    </row>
    <row r="212" spans="3:8" ht="24" thickBot="1" x14ac:dyDescent="0.5">
      <c r="C212" s="7">
        <f t="shared" si="20"/>
        <v>-8.2052420413702976E-16</v>
      </c>
      <c r="D212" s="8">
        <f t="shared" si="21"/>
        <v>1.0000000000000007</v>
      </c>
      <c r="E212" s="9">
        <f t="shared" si="22"/>
        <v>0.12000000000000006</v>
      </c>
      <c r="F212" s="9">
        <f t="shared" si="23"/>
        <v>0.09</v>
      </c>
      <c r="G212" s="13">
        <f t="shared" si="18"/>
        <v>0.12000000000000006</v>
      </c>
      <c r="H212" s="13">
        <f t="shared" si="19"/>
        <v>0.09</v>
      </c>
    </row>
  </sheetData>
  <mergeCells count="3">
    <mergeCell ref="I4:J4"/>
    <mergeCell ref="G10:H10"/>
    <mergeCell ref="C8:D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5334-D499-4285-9822-741500026594}">
  <sheetPr codeName="Sheet4"/>
  <dimension ref="A1:I612"/>
  <sheetViews>
    <sheetView showGridLines="0" topLeftCell="B1" zoomScale="70" zoomScaleNormal="70" workbookViewId="0">
      <selection activeCell="Y24" sqref="A21:Y24"/>
    </sheetView>
  </sheetViews>
  <sheetFormatPr defaultRowHeight="14.4" x14ac:dyDescent="0.3"/>
  <cols>
    <col min="1" max="1" width="1.88671875" hidden="1" customWidth="1"/>
    <col min="2" max="2" width="17.33203125" customWidth="1"/>
    <col min="3" max="3" width="16.6640625" bestFit="1" customWidth="1"/>
    <col min="4" max="4" width="14.6640625" customWidth="1"/>
    <col min="5" max="5" width="22.44140625" style="14" bestFit="1" customWidth="1"/>
    <col min="6" max="6" width="19.6640625" style="14" customWidth="1"/>
    <col min="7" max="7" width="16.77734375" bestFit="1" customWidth="1"/>
    <col min="8" max="8" width="36.5546875" bestFit="1" customWidth="1"/>
    <col min="9" max="9" width="9.88671875" customWidth="1"/>
    <col min="10" max="10" width="12.33203125" customWidth="1"/>
    <col min="19" max="19" width="18.21875" customWidth="1"/>
    <col min="20" max="20" width="27.5546875" customWidth="1"/>
  </cols>
  <sheetData>
    <row r="1" spans="1:9" ht="48" customHeight="1" thickBot="1" x14ac:dyDescent="0.35">
      <c r="C1" s="15"/>
      <c r="E1"/>
    </row>
    <row r="2" spans="1:9" s="16" customFormat="1" ht="6.75" customHeight="1" thickBot="1" x14ac:dyDescent="0.35">
      <c r="F2" s="17"/>
    </row>
    <row r="3" spans="1:9" ht="15" thickBot="1" x14ac:dyDescent="0.35"/>
    <row r="4" spans="1:9" ht="22.8" thickBot="1" x14ac:dyDescent="0.35">
      <c r="B4" s="19" t="s">
        <v>6</v>
      </c>
      <c r="C4" s="20" t="s">
        <v>4</v>
      </c>
      <c r="D4" s="21">
        <v>0.1</v>
      </c>
      <c r="E4" s="22" t="s">
        <v>0</v>
      </c>
      <c r="F4" s="23">
        <v>0.06</v>
      </c>
      <c r="H4" s="31" t="s">
        <v>9</v>
      </c>
      <c r="I4" s="32"/>
    </row>
    <row r="5" spans="1:9" ht="22.8" thickBot="1" x14ac:dyDescent="0.45">
      <c r="B5" s="19" t="s">
        <v>7</v>
      </c>
      <c r="C5" s="20" t="s">
        <v>5</v>
      </c>
      <c r="D5" s="21">
        <v>0.12</v>
      </c>
      <c r="E5" s="22" t="s">
        <v>0</v>
      </c>
      <c r="F5" s="23">
        <v>0.09</v>
      </c>
      <c r="H5" s="24" t="s">
        <v>10</v>
      </c>
      <c r="I5" s="26">
        <f>MIN(D12:D612)</f>
        <v>8.3983093536736969E-2</v>
      </c>
    </row>
    <row r="6" spans="1:9" ht="23.4" x14ac:dyDescent="0.45">
      <c r="C6" s="2" t="s">
        <v>1</v>
      </c>
      <c r="D6" s="4">
        <v>0.2</v>
      </c>
      <c r="E6" s="3"/>
      <c r="F6" s="3"/>
      <c r="H6" s="24" t="s">
        <v>2</v>
      </c>
      <c r="I6" s="27">
        <f>INDEX(B12:B612,MATCH(I5,$D$12:$D$612,0))</f>
        <v>0.61000000000002097</v>
      </c>
    </row>
    <row r="7" spans="1:9" ht="23.4" x14ac:dyDescent="0.45">
      <c r="C7" s="2"/>
      <c r="D7" s="2"/>
      <c r="E7" s="3"/>
      <c r="F7" s="3"/>
      <c r="H7" s="24" t="s">
        <v>3</v>
      </c>
      <c r="I7" s="27">
        <f>INDEX(C12:C612,MATCH(I5,$D$12:$D$612,0))</f>
        <v>0.39000000000000107</v>
      </c>
    </row>
    <row r="8" spans="1:9" ht="21" x14ac:dyDescent="0.4">
      <c r="B8" s="34" t="s">
        <v>8</v>
      </c>
      <c r="C8" s="34"/>
      <c r="E8" s="5"/>
      <c r="H8" s="24" t="s">
        <v>4</v>
      </c>
      <c r="I8" s="27">
        <f>I5</f>
        <v>8.3983093536736969E-2</v>
      </c>
    </row>
    <row r="9" spans="1:9" ht="21.6" thickBot="1" x14ac:dyDescent="0.45">
      <c r="B9" s="34"/>
      <c r="C9" s="34"/>
      <c r="H9" s="25" t="s">
        <v>0</v>
      </c>
      <c r="I9" s="28">
        <f>INDEX(E12:E612,MATCH(I5,$D$12:$D$612,0))</f>
        <v>7.1700000000001346E-2</v>
      </c>
    </row>
    <row r="10" spans="1:9" ht="23.4" x14ac:dyDescent="0.45">
      <c r="B10" s="35"/>
      <c r="C10" s="35"/>
      <c r="F10" s="33" t="s">
        <v>11</v>
      </c>
      <c r="G10" s="33"/>
      <c r="H10" s="29"/>
      <c r="I10" s="30"/>
    </row>
    <row r="11" spans="1:9" ht="30.75" customHeight="1" thickBot="1" x14ac:dyDescent="0.35">
      <c r="B11" s="18" t="s">
        <v>2</v>
      </c>
      <c r="C11" s="18" t="s">
        <v>3</v>
      </c>
      <c r="D11" s="18" t="s">
        <v>4</v>
      </c>
      <c r="E11" s="18" t="s">
        <v>0</v>
      </c>
      <c r="F11" s="18" t="s">
        <v>4</v>
      </c>
      <c r="G11" s="18" t="s">
        <v>0</v>
      </c>
    </row>
    <row r="12" spans="1:9" ht="24.6" thickTop="1" thickBot="1" x14ac:dyDescent="0.5">
      <c r="A12" s="6"/>
      <c r="B12" s="11">
        <v>2</v>
      </c>
      <c r="C12" s="12">
        <v>-1</v>
      </c>
      <c r="D12" s="13">
        <f>SQRT(B12^2*$D$4^2+C12^2*$D$5^2+2*C12*B12*$D$4*$D$5*$D$6)</f>
        <v>0.21166010488516726</v>
      </c>
      <c r="E12" s="13">
        <f>$F$4*B12+$F$5*C12</f>
        <v>0.03</v>
      </c>
      <c r="F12" s="13" t="e">
        <f>IF(E12&gt;=$I$9,D12,NA())</f>
        <v>#N/A</v>
      </c>
      <c r="G12" s="13" t="e">
        <f>IF(E12&gt;=$I$9,E12,NA())</f>
        <v>#N/A</v>
      </c>
    </row>
    <row r="13" spans="1:9" ht="24" thickBot="1" x14ac:dyDescent="0.5">
      <c r="B13" s="7">
        <f>B12-0.5%</f>
        <v>1.9950000000000001</v>
      </c>
      <c r="C13" s="8">
        <f>C12+0.5%</f>
        <v>-0.995</v>
      </c>
      <c r="D13" s="9">
        <f>SQRT(B13^2*$D$4^2+C13^2*$D$5^2+2*C13*B13*$D$4*$D$5*$D$6)</f>
        <v>0.21101774806873475</v>
      </c>
      <c r="E13" s="9">
        <f>$F$4*B13+$F$5*C13</f>
        <v>3.015000000000001E-2</v>
      </c>
      <c r="F13" s="13" t="e">
        <f t="shared" ref="F13" si="0">IF(E13&gt;=$I$9,D13,NA())</f>
        <v>#N/A</v>
      </c>
      <c r="G13" s="13" t="e">
        <f t="shared" ref="G13" si="1">IF(E13&gt;=$I$9,E13,NA())</f>
        <v>#N/A</v>
      </c>
    </row>
    <row r="14" spans="1:9" ht="24" thickBot="1" x14ac:dyDescent="0.5">
      <c r="B14" s="7">
        <f t="shared" ref="B14:B77" si="2">B13-0.5%</f>
        <v>1.9900000000000002</v>
      </c>
      <c r="C14" s="8">
        <f t="shared" ref="C14:C77" si="3">C13+0.5%</f>
        <v>-0.99</v>
      </c>
      <c r="D14" s="9">
        <f t="shared" ref="D14:D77" si="4">SQRT(B14^2*$D$4^2+C14^2*$D$5^2+2*C14*B14*$D$4*$D$5*$D$6)</f>
        <v>0.21037575905983089</v>
      </c>
      <c r="E14" s="9">
        <f t="shared" ref="E14:E77" si="5">$F$4*B14+$F$5*C14</f>
        <v>3.0300000000000007E-2</v>
      </c>
      <c r="F14" s="13" t="e">
        <f t="shared" ref="F14:F77" si="6">IF(E14&gt;=$I$9,D14,NA())</f>
        <v>#N/A</v>
      </c>
      <c r="G14" s="13" t="e">
        <f t="shared" ref="G14:G77" si="7">IF(E14&gt;=$I$9,E14,NA())</f>
        <v>#N/A</v>
      </c>
    </row>
    <row r="15" spans="1:9" ht="24" thickBot="1" x14ac:dyDescent="0.5">
      <c r="B15" s="7">
        <f t="shared" si="2"/>
        <v>1.9850000000000003</v>
      </c>
      <c r="C15" s="8">
        <f t="shared" si="3"/>
        <v>-0.98499999999999999</v>
      </c>
      <c r="D15" s="9">
        <f t="shared" si="4"/>
        <v>0.20973414123599435</v>
      </c>
      <c r="E15" s="9">
        <f t="shared" si="5"/>
        <v>3.0450000000000019E-2</v>
      </c>
      <c r="F15" s="13" t="e">
        <f t="shared" si="6"/>
        <v>#N/A</v>
      </c>
      <c r="G15" s="13" t="e">
        <f t="shared" si="7"/>
        <v>#N/A</v>
      </c>
    </row>
    <row r="16" spans="1:9" ht="24" thickBot="1" x14ac:dyDescent="0.5">
      <c r="B16" s="7">
        <f t="shared" si="2"/>
        <v>1.9800000000000004</v>
      </c>
      <c r="C16" s="8">
        <f t="shared" si="3"/>
        <v>-0.98</v>
      </c>
      <c r="D16" s="9">
        <f t="shared" si="4"/>
        <v>0.2090928980142559</v>
      </c>
      <c r="E16" s="9">
        <f t="shared" si="5"/>
        <v>3.0600000000000016E-2</v>
      </c>
      <c r="F16" s="13" t="e">
        <f t="shared" si="6"/>
        <v>#N/A</v>
      </c>
      <c r="G16" s="13" t="e">
        <f t="shared" si="7"/>
        <v>#N/A</v>
      </c>
    </row>
    <row r="17" spans="2:7" ht="24" thickBot="1" x14ac:dyDescent="0.5">
      <c r="B17" s="7">
        <f t="shared" si="2"/>
        <v>1.9750000000000005</v>
      </c>
      <c r="C17" s="8">
        <f t="shared" si="3"/>
        <v>-0.97499999999999998</v>
      </c>
      <c r="D17" s="9">
        <f t="shared" si="4"/>
        <v>0.20845203285168515</v>
      </c>
      <c r="E17" s="9">
        <f t="shared" si="5"/>
        <v>3.0750000000000027E-2</v>
      </c>
      <c r="F17" s="13" t="e">
        <f t="shared" si="6"/>
        <v>#N/A</v>
      </c>
      <c r="G17" s="13" t="e">
        <f t="shared" si="7"/>
        <v>#N/A</v>
      </c>
    </row>
    <row r="18" spans="2:7" ht="24" thickBot="1" x14ac:dyDescent="0.5">
      <c r="B18" s="7">
        <f t="shared" si="2"/>
        <v>1.9700000000000006</v>
      </c>
      <c r="C18" s="8">
        <f t="shared" si="3"/>
        <v>-0.97</v>
      </c>
      <c r="D18" s="9">
        <f t="shared" si="4"/>
        <v>0.20781154924594547</v>
      </c>
      <c r="E18" s="9">
        <f t="shared" si="5"/>
        <v>3.0900000000000039E-2</v>
      </c>
      <c r="F18" s="13" t="e">
        <f t="shared" si="6"/>
        <v>#N/A</v>
      </c>
      <c r="G18" s="13" t="e">
        <f t="shared" si="7"/>
        <v>#N/A</v>
      </c>
    </row>
    <row r="19" spans="2:7" ht="24" thickBot="1" x14ac:dyDescent="0.5">
      <c r="B19" s="7">
        <f t="shared" si="2"/>
        <v>1.9650000000000007</v>
      </c>
      <c r="C19" s="8">
        <f t="shared" si="3"/>
        <v>-0.96499999999999997</v>
      </c>
      <c r="D19" s="9">
        <f t="shared" si="4"/>
        <v>0.20717145073585796</v>
      </c>
      <c r="E19" s="9">
        <f t="shared" si="5"/>
        <v>3.105000000000005E-2</v>
      </c>
      <c r="F19" s="13" t="e">
        <f t="shared" si="6"/>
        <v>#N/A</v>
      </c>
      <c r="G19" s="13" t="e">
        <f t="shared" si="7"/>
        <v>#N/A</v>
      </c>
    </row>
    <row r="20" spans="2:7" ht="24" thickBot="1" x14ac:dyDescent="0.5">
      <c r="B20" s="7">
        <f t="shared" si="2"/>
        <v>1.9600000000000009</v>
      </c>
      <c r="C20" s="8">
        <f t="shared" si="3"/>
        <v>-0.96</v>
      </c>
      <c r="D20" s="9">
        <f t="shared" si="4"/>
        <v>0.20653174090197379</v>
      </c>
      <c r="E20" s="9">
        <f t="shared" si="5"/>
        <v>3.1200000000000061E-2</v>
      </c>
      <c r="F20" s="13" t="e">
        <f t="shared" si="6"/>
        <v>#N/A</v>
      </c>
      <c r="G20" s="13" t="e">
        <f t="shared" si="7"/>
        <v>#N/A</v>
      </c>
    </row>
    <row r="21" spans="2:7" ht="24" thickBot="1" x14ac:dyDescent="0.5">
      <c r="B21" s="7">
        <f t="shared" si="2"/>
        <v>1.955000000000001</v>
      </c>
      <c r="C21" s="8">
        <f t="shared" si="3"/>
        <v>-0.95499999999999996</v>
      </c>
      <c r="D21" s="9">
        <f t="shared" si="4"/>
        <v>0.2058924233671556</v>
      </c>
      <c r="E21" s="9">
        <f t="shared" si="5"/>
        <v>3.1350000000000058E-2</v>
      </c>
      <c r="F21" s="13" t="e">
        <f t="shared" si="6"/>
        <v>#N/A</v>
      </c>
      <c r="G21" s="13" t="e">
        <f t="shared" si="7"/>
        <v>#N/A</v>
      </c>
    </row>
    <row r="22" spans="2:7" ht="24" thickBot="1" x14ac:dyDescent="0.5">
      <c r="B22" s="7">
        <f t="shared" si="2"/>
        <v>1.9500000000000011</v>
      </c>
      <c r="C22" s="8">
        <f t="shared" si="3"/>
        <v>-0.95</v>
      </c>
      <c r="D22" s="9">
        <f t="shared" si="4"/>
        <v>0.205253501797168</v>
      </c>
      <c r="E22" s="9">
        <f t="shared" si="5"/>
        <v>3.150000000000007E-2</v>
      </c>
      <c r="F22" s="13" t="e">
        <f t="shared" si="6"/>
        <v>#N/A</v>
      </c>
      <c r="G22" s="13" t="e">
        <f t="shared" si="7"/>
        <v>#N/A</v>
      </c>
    </row>
    <row r="23" spans="2:7" ht="24" thickBot="1" x14ac:dyDescent="0.5">
      <c r="B23" s="7">
        <f t="shared" si="2"/>
        <v>1.9450000000000012</v>
      </c>
      <c r="C23" s="8">
        <f t="shared" si="3"/>
        <v>-0.94499999999999995</v>
      </c>
      <c r="D23" s="9">
        <f t="shared" si="4"/>
        <v>0.20461497990127714</v>
      </c>
      <c r="E23" s="9">
        <f t="shared" si="5"/>
        <v>3.1650000000000081E-2</v>
      </c>
      <c r="F23" s="13" t="e">
        <f t="shared" si="6"/>
        <v>#N/A</v>
      </c>
      <c r="G23" s="13" t="e">
        <f t="shared" si="7"/>
        <v>#N/A</v>
      </c>
    </row>
    <row r="24" spans="2:7" ht="24" thickBot="1" x14ac:dyDescent="0.5">
      <c r="B24" s="7">
        <f t="shared" si="2"/>
        <v>1.9400000000000013</v>
      </c>
      <c r="C24" s="8">
        <f t="shared" si="3"/>
        <v>-0.94</v>
      </c>
      <c r="D24" s="9">
        <f t="shared" si="4"/>
        <v>0.20397686143285973</v>
      </c>
      <c r="E24" s="9">
        <f t="shared" si="5"/>
        <v>3.1800000000000078E-2</v>
      </c>
      <c r="F24" s="13" t="e">
        <f t="shared" si="6"/>
        <v>#N/A</v>
      </c>
      <c r="G24" s="13" t="e">
        <f t="shared" si="7"/>
        <v>#N/A</v>
      </c>
    </row>
    <row r="25" spans="2:7" ht="24" thickBot="1" x14ac:dyDescent="0.5">
      <c r="B25" s="7">
        <f t="shared" si="2"/>
        <v>1.9350000000000014</v>
      </c>
      <c r="C25" s="8">
        <f t="shared" si="3"/>
        <v>-0.93499999999999994</v>
      </c>
      <c r="D25" s="9">
        <f t="shared" si="4"/>
        <v>0.20333915019002133</v>
      </c>
      <c r="E25" s="9">
        <f t="shared" si="5"/>
        <v>3.1950000000000089E-2</v>
      </c>
      <c r="F25" s="13" t="e">
        <f t="shared" si="6"/>
        <v>#N/A</v>
      </c>
      <c r="G25" s="13" t="e">
        <f t="shared" si="7"/>
        <v>#N/A</v>
      </c>
    </row>
    <row r="26" spans="2:7" ht="24" thickBot="1" x14ac:dyDescent="0.5">
      <c r="B26" s="7">
        <f t="shared" si="2"/>
        <v>1.9300000000000015</v>
      </c>
      <c r="C26" s="8">
        <f t="shared" si="3"/>
        <v>-0.92999999999999994</v>
      </c>
      <c r="D26" s="9">
        <f t="shared" si="4"/>
        <v>0.2027018500162247</v>
      </c>
      <c r="E26" s="9">
        <f t="shared" si="5"/>
        <v>3.2100000000000087E-2</v>
      </c>
      <c r="F26" s="13" t="e">
        <f t="shared" si="6"/>
        <v>#N/A</v>
      </c>
      <c r="G26" s="13" t="e">
        <f t="shared" si="7"/>
        <v>#N/A</v>
      </c>
    </row>
    <row r="27" spans="2:7" ht="24" thickBot="1" x14ac:dyDescent="0.5">
      <c r="B27" s="7">
        <f t="shared" si="2"/>
        <v>1.9250000000000016</v>
      </c>
      <c r="C27" s="8">
        <f t="shared" si="3"/>
        <v>-0.92499999999999993</v>
      </c>
      <c r="D27" s="9">
        <f t="shared" si="4"/>
        <v>0.20206496480092748</v>
      </c>
      <c r="E27" s="9">
        <f t="shared" si="5"/>
        <v>3.2250000000000098E-2</v>
      </c>
      <c r="F27" s="13" t="e">
        <f t="shared" si="6"/>
        <v>#N/A</v>
      </c>
      <c r="G27" s="13" t="e">
        <f t="shared" si="7"/>
        <v>#N/A</v>
      </c>
    </row>
    <row r="28" spans="2:7" ht="24" thickBot="1" x14ac:dyDescent="0.5">
      <c r="B28" s="7">
        <f t="shared" si="2"/>
        <v>1.9200000000000017</v>
      </c>
      <c r="C28" s="8">
        <f t="shared" si="3"/>
        <v>-0.91999999999999993</v>
      </c>
      <c r="D28" s="9">
        <f t="shared" si="4"/>
        <v>0.20142849848023009</v>
      </c>
      <c r="E28" s="9">
        <f t="shared" si="5"/>
        <v>3.2400000000000109E-2</v>
      </c>
      <c r="F28" s="13" t="e">
        <f t="shared" si="6"/>
        <v>#N/A</v>
      </c>
      <c r="G28" s="13" t="e">
        <f t="shared" si="7"/>
        <v>#N/A</v>
      </c>
    </row>
    <row r="29" spans="2:7" ht="24" thickBot="1" x14ac:dyDescent="0.5">
      <c r="B29" s="7">
        <f t="shared" si="2"/>
        <v>1.9150000000000018</v>
      </c>
      <c r="C29" s="8">
        <f t="shared" si="3"/>
        <v>-0.91499999999999992</v>
      </c>
      <c r="D29" s="9">
        <f t="shared" si="4"/>
        <v>0.20079245503753387</v>
      </c>
      <c r="E29" s="9">
        <f t="shared" si="5"/>
        <v>3.2550000000000107E-2</v>
      </c>
      <c r="F29" s="13" t="e">
        <f t="shared" si="6"/>
        <v>#N/A</v>
      </c>
      <c r="G29" s="13" t="e">
        <f t="shared" si="7"/>
        <v>#N/A</v>
      </c>
    </row>
    <row r="30" spans="2:7" ht="24" thickBot="1" x14ac:dyDescent="0.5">
      <c r="B30" s="7">
        <f t="shared" si="2"/>
        <v>1.9100000000000019</v>
      </c>
      <c r="C30" s="8">
        <f t="shared" si="3"/>
        <v>-0.90999999999999992</v>
      </c>
      <c r="D30" s="9">
        <f t="shared" si="4"/>
        <v>0.20015683850420918</v>
      </c>
      <c r="E30" s="9">
        <f t="shared" si="5"/>
        <v>3.2700000000000118E-2</v>
      </c>
      <c r="F30" s="13" t="e">
        <f t="shared" si="6"/>
        <v>#N/A</v>
      </c>
      <c r="G30" s="13" t="e">
        <f t="shared" si="7"/>
        <v>#N/A</v>
      </c>
    </row>
    <row r="31" spans="2:7" ht="24" thickBot="1" x14ac:dyDescent="0.5">
      <c r="B31" s="7">
        <f t="shared" si="2"/>
        <v>1.905000000000002</v>
      </c>
      <c r="C31" s="8">
        <f t="shared" si="3"/>
        <v>-0.90499999999999992</v>
      </c>
      <c r="D31" s="9">
        <f t="shared" si="4"/>
        <v>0.19952165296027413</v>
      </c>
      <c r="E31" s="9">
        <f t="shared" si="5"/>
        <v>3.2850000000000129E-2</v>
      </c>
      <c r="F31" s="13" t="e">
        <f t="shared" si="6"/>
        <v>#N/A</v>
      </c>
      <c r="G31" s="13" t="e">
        <f t="shared" si="7"/>
        <v>#N/A</v>
      </c>
    </row>
    <row r="32" spans="2:7" ht="24" thickBot="1" x14ac:dyDescent="0.5">
      <c r="B32" s="7">
        <f t="shared" si="2"/>
        <v>1.9000000000000021</v>
      </c>
      <c r="C32" s="8">
        <f t="shared" si="3"/>
        <v>-0.89999999999999991</v>
      </c>
      <c r="D32" s="9">
        <f t="shared" si="4"/>
        <v>0.19888690253508418</v>
      </c>
      <c r="E32" s="9">
        <f t="shared" si="5"/>
        <v>3.300000000000014E-2</v>
      </c>
      <c r="F32" s="13" t="e">
        <f t="shared" si="6"/>
        <v>#N/A</v>
      </c>
      <c r="G32" s="13" t="e">
        <f t="shared" si="7"/>
        <v>#N/A</v>
      </c>
    </row>
    <row r="33" spans="2:7" ht="24" thickBot="1" x14ac:dyDescent="0.5">
      <c r="B33" s="7">
        <f t="shared" si="2"/>
        <v>1.8950000000000022</v>
      </c>
      <c r="C33" s="8">
        <f t="shared" si="3"/>
        <v>-0.89499999999999991</v>
      </c>
      <c r="D33" s="9">
        <f t="shared" si="4"/>
        <v>0.198252591408032</v>
      </c>
      <c r="E33" s="9">
        <f t="shared" si="5"/>
        <v>3.3150000000000152E-2</v>
      </c>
      <c r="F33" s="13" t="e">
        <f t="shared" si="6"/>
        <v>#N/A</v>
      </c>
      <c r="G33" s="13" t="e">
        <f t="shared" si="7"/>
        <v>#N/A</v>
      </c>
    </row>
    <row r="34" spans="2:7" ht="24" thickBot="1" x14ac:dyDescent="0.5">
      <c r="B34" s="7">
        <f t="shared" si="2"/>
        <v>1.8900000000000023</v>
      </c>
      <c r="C34" s="8">
        <f t="shared" si="3"/>
        <v>-0.8899999999999999</v>
      </c>
      <c r="D34" s="9">
        <f t="shared" si="4"/>
        <v>0.19761872380925871</v>
      </c>
      <c r="E34" s="9">
        <f t="shared" si="5"/>
        <v>3.3300000000000149E-2</v>
      </c>
      <c r="F34" s="13" t="e">
        <f t="shared" si="6"/>
        <v>#N/A</v>
      </c>
      <c r="G34" s="13" t="e">
        <f t="shared" si="7"/>
        <v>#N/A</v>
      </c>
    </row>
    <row r="35" spans="2:7" ht="24" thickBot="1" x14ac:dyDescent="0.5">
      <c r="B35" s="7">
        <f t="shared" si="2"/>
        <v>1.8850000000000025</v>
      </c>
      <c r="C35" s="8">
        <f t="shared" si="3"/>
        <v>-0.8849999999999999</v>
      </c>
      <c r="D35" s="9">
        <f t="shared" si="4"/>
        <v>0.19698530402037631</v>
      </c>
      <c r="E35" s="9">
        <f t="shared" si="5"/>
        <v>3.345000000000016E-2</v>
      </c>
      <c r="F35" s="13" t="e">
        <f t="shared" si="6"/>
        <v>#N/A</v>
      </c>
      <c r="G35" s="13" t="e">
        <f t="shared" si="7"/>
        <v>#N/A</v>
      </c>
    </row>
    <row r="36" spans="2:7" ht="24" thickBot="1" x14ac:dyDescent="0.5">
      <c r="B36" s="7">
        <f t="shared" si="2"/>
        <v>1.8800000000000026</v>
      </c>
      <c r="C36" s="8">
        <f t="shared" si="3"/>
        <v>-0.87999999999999989</v>
      </c>
      <c r="D36" s="9">
        <f t="shared" si="4"/>
        <v>0.19635233637520103</v>
      </c>
      <c r="E36" s="9">
        <f t="shared" si="5"/>
        <v>3.3600000000000158E-2</v>
      </c>
      <c r="F36" s="13" t="e">
        <f t="shared" si="6"/>
        <v>#N/A</v>
      </c>
      <c r="G36" s="13" t="e">
        <f t="shared" si="7"/>
        <v>#N/A</v>
      </c>
    </row>
    <row r="37" spans="2:7" ht="24" thickBot="1" x14ac:dyDescent="0.5">
      <c r="B37" s="7">
        <f t="shared" si="2"/>
        <v>1.8750000000000027</v>
      </c>
      <c r="C37" s="8">
        <f t="shared" si="3"/>
        <v>-0.87499999999999989</v>
      </c>
      <c r="D37" s="9">
        <f t="shared" si="4"/>
        <v>0.19571982526049858</v>
      </c>
      <c r="E37" s="9">
        <f t="shared" si="5"/>
        <v>3.3750000000000169E-2</v>
      </c>
      <c r="F37" s="13" t="e">
        <f t="shared" si="6"/>
        <v>#N/A</v>
      </c>
      <c r="G37" s="13" t="e">
        <f t="shared" si="7"/>
        <v>#N/A</v>
      </c>
    </row>
    <row r="38" spans="2:7" ht="24" thickBot="1" x14ac:dyDescent="0.5">
      <c r="B38" s="7">
        <f t="shared" si="2"/>
        <v>1.8700000000000028</v>
      </c>
      <c r="C38" s="8">
        <f t="shared" si="3"/>
        <v>-0.86999999999999988</v>
      </c>
      <c r="D38" s="9">
        <f t="shared" si="4"/>
        <v>0.19508777511674097</v>
      </c>
      <c r="E38" s="9">
        <f t="shared" si="5"/>
        <v>3.390000000000018E-2</v>
      </c>
      <c r="F38" s="13" t="e">
        <f t="shared" si="6"/>
        <v>#N/A</v>
      </c>
      <c r="G38" s="13" t="e">
        <f t="shared" si="7"/>
        <v>#N/A</v>
      </c>
    </row>
    <row r="39" spans="2:7" ht="24" thickBot="1" x14ac:dyDescent="0.5">
      <c r="B39" s="7">
        <f t="shared" si="2"/>
        <v>1.8650000000000029</v>
      </c>
      <c r="C39" s="8">
        <f t="shared" si="3"/>
        <v>-0.86499999999999988</v>
      </c>
      <c r="D39" s="9">
        <f t="shared" si="4"/>
        <v>0.19445619043887519</v>
      </c>
      <c r="E39" s="9">
        <f t="shared" si="5"/>
        <v>3.4050000000000177E-2</v>
      </c>
      <c r="F39" s="13" t="e">
        <f t="shared" si="6"/>
        <v>#N/A</v>
      </c>
      <c r="G39" s="13" t="e">
        <f t="shared" si="7"/>
        <v>#N/A</v>
      </c>
    </row>
    <row r="40" spans="2:7" ht="24" thickBot="1" x14ac:dyDescent="0.5">
      <c r="B40" s="7">
        <f t="shared" si="2"/>
        <v>1.860000000000003</v>
      </c>
      <c r="C40" s="8">
        <f t="shared" si="3"/>
        <v>-0.85999999999999988</v>
      </c>
      <c r="D40" s="9">
        <f t="shared" si="4"/>
        <v>0.19382507577710401</v>
      </c>
      <c r="E40" s="9">
        <f t="shared" si="5"/>
        <v>3.4200000000000189E-2</v>
      </c>
      <c r="F40" s="13" t="e">
        <f t="shared" si="6"/>
        <v>#N/A</v>
      </c>
      <c r="G40" s="13" t="e">
        <f t="shared" si="7"/>
        <v>#N/A</v>
      </c>
    </row>
    <row r="41" spans="2:7" ht="24" thickBot="1" x14ac:dyDescent="0.5">
      <c r="B41" s="7">
        <f t="shared" si="2"/>
        <v>1.8550000000000031</v>
      </c>
      <c r="C41" s="8">
        <f t="shared" si="3"/>
        <v>-0.85499999999999987</v>
      </c>
      <c r="D41" s="9">
        <f t="shared" si="4"/>
        <v>0.1931944357376788</v>
      </c>
      <c r="E41" s="9">
        <f t="shared" si="5"/>
        <v>3.4350000000000186E-2</v>
      </c>
      <c r="F41" s="13" t="e">
        <f t="shared" si="6"/>
        <v>#N/A</v>
      </c>
      <c r="G41" s="13" t="e">
        <f t="shared" si="7"/>
        <v>#N/A</v>
      </c>
    </row>
    <row r="42" spans="2:7" ht="24" thickBot="1" x14ac:dyDescent="0.5">
      <c r="B42" s="7">
        <f t="shared" si="2"/>
        <v>1.8500000000000032</v>
      </c>
      <c r="C42" s="8">
        <f t="shared" si="3"/>
        <v>-0.84999999999999987</v>
      </c>
      <c r="D42" s="9">
        <f t="shared" si="4"/>
        <v>0.1925642749837054</v>
      </c>
      <c r="E42" s="9">
        <f t="shared" si="5"/>
        <v>3.4500000000000197E-2</v>
      </c>
      <c r="F42" s="13" t="e">
        <f t="shared" si="6"/>
        <v>#N/A</v>
      </c>
      <c r="G42" s="13" t="e">
        <f t="shared" si="7"/>
        <v>#N/A</v>
      </c>
    </row>
    <row r="43" spans="2:7" ht="24" thickBot="1" x14ac:dyDescent="0.5">
      <c r="B43" s="7">
        <f t="shared" si="2"/>
        <v>1.8450000000000033</v>
      </c>
      <c r="C43" s="8">
        <f t="shared" si="3"/>
        <v>-0.84499999999999986</v>
      </c>
      <c r="D43" s="9">
        <f t="shared" si="4"/>
        <v>0.1919345982359619</v>
      </c>
      <c r="E43" s="9">
        <f t="shared" si="5"/>
        <v>3.4650000000000222E-2</v>
      </c>
      <c r="F43" s="13" t="e">
        <f t="shared" si="6"/>
        <v>#N/A</v>
      </c>
      <c r="G43" s="13" t="e">
        <f t="shared" si="7"/>
        <v>#N/A</v>
      </c>
    </row>
    <row r="44" spans="2:7" ht="24" thickBot="1" x14ac:dyDescent="0.5">
      <c r="B44" s="7">
        <f t="shared" si="2"/>
        <v>1.8400000000000034</v>
      </c>
      <c r="C44" s="8">
        <f t="shared" si="3"/>
        <v>-0.83999999999999986</v>
      </c>
      <c r="D44" s="9">
        <f t="shared" si="4"/>
        <v>0.19130541027372988</v>
      </c>
      <c r="E44" s="9">
        <f t="shared" si="5"/>
        <v>3.480000000000022E-2</v>
      </c>
      <c r="F44" s="13" t="e">
        <f t="shared" si="6"/>
        <v>#N/A</v>
      </c>
      <c r="G44" s="13" t="e">
        <f t="shared" si="7"/>
        <v>#N/A</v>
      </c>
    </row>
    <row r="45" spans="2:7" ht="24" thickBot="1" x14ac:dyDescent="0.5">
      <c r="B45" s="7">
        <f t="shared" si="2"/>
        <v>1.8350000000000035</v>
      </c>
      <c r="C45" s="8">
        <f t="shared" si="3"/>
        <v>-0.83499999999999985</v>
      </c>
      <c r="D45" s="9">
        <f t="shared" si="4"/>
        <v>0.19067671593563831</v>
      </c>
      <c r="E45" s="9">
        <f t="shared" si="5"/>
        <v>3.4950000000000231E-2</v>
      </c>
      <c r="F45" s="13" t="e">
        <f t="shared" si="6"/>
        <v>#N/A</v>
      </c>
      <c r="G45" s="13" t="e">
        <f t="shared" si="7"/>
        <v>#N/A</v>
      </c>
    </row>
    <row r="46" spans="2:7" ht="24" thickBot="1" x14ac:dyDescent="0.5">
      <c r="B46" s="7">
        <f t="shared" si="2"/>
        <v>1.8300000000000036</v>
      </c>
      <c r="C46" s="8">
        <f t="shared" si="3"/>
        <v>-0.82999999999999985</v>
      </c>
      <c r="D46" s="9">
        <f t="shared" si="4"/>
        <v>0.19004852012052112</v>
      </c>
      <c r="E46" s="9">
        <f t="shared" si="5"/>
        <v>3.5100000000000228E-2</v>
      </c>
      <c r="F46" s="13" t="e">
        <f t="shared" si="6"/>
        <v>#N/A</v>
      </c>
      <c r="G46" s="13" t="e">
        <f t="shared" si="7"/>
        <v>#N/A</v>
      </c>
    </row>
    <row r="47" spans="2:7" ht="24" thickBot="1" x14ac:dyDescent="0.5">
      <c r="B47" s="7">
        <f t="shared" si="2"/>
        <v>1.8250000000000037</v>
      </c>
      <c r="C47" s="8">
        <f t="shared" si="3"/>
        <v>-0.82499999999999984</v>
      </c>
      <c r="D47" s="9">
        <f t="shared" si="4"/>
        <v>0.18942082778828764</v>
      </c>
      <c r="E47" s="9">
        <f t="shared" si="5"/>
        <v>3.5250000000000239E-2</v>
      </c>
      <c r="F47" s="13" t="e">
        <f t="shared" si="6"/>
        <v>#N/A</v>
      </c>
      <c r="G47" s="13" t="e">
        <f t="shared" si="7"/>
        <v>#N/A</v>
      </c>
    </row>
    <row r="48" spans="2:7" ht="24" thickBot="1" x14ac:dyDescent="0.5">
      <c r="B48" s="7">
        <f t="shared" si="2"/>
        <v>1.8200000000000038</v>
      </c>
      <c r="C48" s="8">
        <f t="shared" si="3"/>
        <v>-0.81999999999999984</v>
      </c>
      <c r="D48" s="9">
        <f t="shared" si="4"/>
        <v>0.18879364396080747</v>
      </c>
      <c r="E48" s="9">
        <f t="shared" si="5"/>
        <v>3.5400000000000251E-2</v>
      </c>
      <c r="F48" s="13" t="e">
        <f t="shared" si="6"/>
        <v>#N/A</v>
      </c>
      <c r="G48" s="13" t="e">
        <f t="shared" si="7"/>
        <v>#N/A</v>
      </c>
    </row>
    <row r="49" spans="2:7" ht="24" thickBot="1" x14ac:dyDescent="0.5">
      <c r="B49" s="7">
        <f t="shared" si="2"/>
        <v>1.8150000000000039</v>
      </c>
      <c r="C49" s="8">
        <f t="shared" si="3"/>
        <v>-0.81499999999999984</v>
      </c>
      <c r="D49" s="9">
        <f t="shared" si="4"/>
        <v>0.18816697372280858</v>
      </c>
      <c r="E49" s="9">
        <f t="shared" si="5"/>
        <v>3.5550000000000248E-2</v>
      </c>
      <c r="F49" s="13" t="e">
        <f t="shared" si="6"/>
        <v>#N/A</v>
      </c>
      <c r="G49" s="13" t="e">
        <f t="shared" si="7"/>
        <v>#N/A</v>
      </c>
    </row>
    <row r="50" spans="2:7" ht="24" thickBot="1" x14ac:dyDescent="0.5">
      <c r="B50" s="7">
        <f t="shared" si="2"/>
        <v>1.8100000000000041</v>
      </c>
      <c r="C50" s="8">
        <f t="shared" si="3"/>
        <v>-0.80999999999999983</v>
      </c>
      <c r="D50" s="9">
        <f t="shared" si="4"/>
        <v>0.18754082222279003</v>
      </c>
      <c r="E50" s="9">
        <f t="shared" si="5"/>
        <v>3.5700000000000259E-2</v>
      </c>
      <c r="F50" s="13" t="e">
        <f t="shared" si="6"/>
        <v>#N/A</v>
      </c>
      <c r="G50" s="13" t="e">
        <f t="shared" si="7"/>
        <v>#N/A</v>
      </c>
    </row>
    <row r="51" spans="2:7" ht="24" thickBot="1" x14ac:dyDescent="0.5">
      <c r="B51" s="7">
        <f t="shared" si="2"/>
        <v>1.8050000000000042</v>
      </c>
      <c r="C51" s="8">
        <f t="shared" si="3"/>
        <v>-0.80499999999999983</v>
      </c>
      <c r="D51" s="9">
        <f t="shared" si="4"/>
        <v>0.18691519467394868</v>
      </c>
      <c r="E51" s="9">
        <f t="shared" si="5"/>
        <v>3.5850000000000257E-2</v>
      </c>
      <c r="F51" s="13" t="e">
        <f t="shared" si="6"/>
        <v>#N/A</v>
      </c>
      <c r="G51" s="13" t="e">
        <f t="shared" si="7"/>
        <v>#N/A</v>
      </c>
    </row>
    <row r="52" spans="2:7" ht="24" thickBot="1" x14ac:dyDescent="0.5">
      <c r="B52" s="7">
        <f t="shared" si="2"/>
        <v>1.8000000000000043</v>
      </c>
      <c r="C52" s="8">
        <f t="shared" si="3"/>
        <v>-0.79999999999999982</v>
      </c>
      <c r="D52" s="9">
        <f t="shared" si="4"/>
        <v>0.18629009635512064</v>
      </c>
      <c r="E52" s="9">
        <f t="shared" si="5"/>
        <v>3.6000000000000268E-2</v>
      </c>
      <c r="F52" s="13" t="e">
        <f t="shared" si="6"/>
        <v>#N/A</v>
      </c>
      <c r="G52" s="13" t="e">
        <f t="shared" si="7"/>
        <v>#N/A</v>
      </c>
    </row>
    <row r="53" spans="2:7" ht="24" thickBot="1" x14ac:dyDescent="0.5">
      <c r="B53" s="7">
        <f t="shared" si="2"/>
        <v>1.7950000000000044</v>
      </c>
      <c r="C53" s="8">
        <f t="shared" si="3"/>
        <v>-0.79499999999999982</v>
      </c>
      <c r="D53" s="9">
        <f t="shared" si="4"/>
        <v>0.18566553261173746</v>
      </c>
      <c r="E53" s="9">
        <f t="shared" si="5"/>
        <v>3.6150000000000279E-2</v>
      </c>
      <c r="F53" s="13" t="e">
        <f t="shared" si="6"/>
        <v>#N/A</v>
      </c>
      <c r="G53" s="13" t="e">
        <f t="shared" si="7"/>
        <v>#N/A</v>
      </c>
    </row>
    <row r="54" spans="2:7" ht="24" thickBot="1" x14ac:dyDescent="0.5">
      <c r="B54" s="7">
        <f t="shared" si="2"/>
        <v>1.7900000000000045</v>
      </c>
      <c r="C54" s="8">
        <f t="shared" si="3"/>
        <v>-0.78999999999999981</v>
      </c>
      <c r="D54" s="9">
        <f t="shared" si="4"/>
        <v>0.18504150885679715</v>
      </c>
      <c r="E54" s="9">
        <f t="shared" si="5"/>
        <v>3.6300000000000276E-2</v>
      </c>
      <c r="F54" s="13" t="e">
        <f t="shared" si="6"/>
        <v>#N/A</v>
      </c>
      <c r="G54" s="13" t="e">
        <f t="shared" si="7"/>
        <v>#N/A</v>
      </c>
    </row>
    <row r="55" spans="2:7" ht="24" thickBot="1" x14ac:dyDescent="0.5">
      <c r="B55" s="7">
        <f t="shared" si="2"/>
        <v>1.7850000000000046</v>
      </c>
      <c r="C55" s="8">
        <f t="shared" si="3"/>
        <v>-0.78499999999999981</v>
      </c>
      <c r="D55" s="9">
        <f t="shared" si="4"/>
        <v>0.18441803057185094</v>
      </c>
      <c r="E55" s="9">
        <f t="shared" si="5"/>
        <v>3.6450000000000288E-2</v>
      </c>
      <c r="F55" s="13" t="e">
        <f t="shared" si="6"/>
        <v>#N/A</v>
      </c>
      <c r="G55" s="13" t="e">
        <f t="shared" si="7"/>
        <v>#N/A</v>
      </c>
    </row>
    <row r="56" spans="2:7" ht="24" thickBot="1" x14ac:dyDescent="0.5">
      <c r="B56" s="7">
        <f t="shared" si="2"/>
        <v>1.7800000000000047</v>
      </c>
      <c r="C56" s="8">
        <f t="shared" si="3"/>
        <v>-0.7799999999999998</v>
      </c>
      <c r="D56" s="9">
        <f t="shared" si="4"/>
        <v>0.1837951033080048</v>
      </c>
      <c r="E56" s="9">
        <f t="shared" si="5"/>
        <v>3.6600000000000299E-2</v>
      </c>
      <c r="F56" s="13" t="e">
        <f t="shared" si="6"/>
        <v>#N/A</v>
      </c>
      <c r="G56" s="13" t="e">
        <f t="shared" si="7"/>
        <v>#N/A</v>
      </c>
    </row>
    <row r="57" spans="2:7" ht="24" thickBot="1" x14ac:dyDescent="0.5">
      <c r="B57" s="7">
        <f t="shared" si="2"/>
        <v>1.7750000000000048</v>
      </c>
      <c r="C57" s="8">
        <f t="shared" si="3"/>
        <v>-0.7749999999999998</v>
      </c>
      <c r="D57" s="9">
        <f t="shared" si="4"/>
        <v>0.18317273268693721</v>
      </c>
      <c r="E57" s="9">
        <f t="shared" si="5"/>
        <v>3.675000000000031E-2</v>
      </c>
      <c r="F57" s="13" t="e">
        <f t="shared" si="6"/>
        <v>#N/A</v>
      </c>
      <c r="G57" s="13" t="e">
        <f t="shared" si="7"/>
        <v>#N/A</v>
      </c>
    </row>
    <row r="58" spans="2:7" ht="24" thickBot="1" x14ac:dyDescent="0.5">
      <c r="B58" s="7">
        <f t="shared" si="2"/>
        <v>1.7700000000000049</v>
      </c>
      <c r="C58" s="8">
        <f t="shared" si="3"/>
        <v>-0.7699999999999998</v>
      </c>
      <c r="D58" s="9">
        <f t="shared" si="4"/>
        <v>0.18255092440193277</v>
      </c>
      <c r="E58" s="9">
        <f t="shared" si="5"/>
        <v>3.6900000000000321E-2</v>
      </c>
      <c r="F58" s="13" t="e">
        <f t="shared" si="6"/>
        <v>#N/A</v>
      </c>
      <c r="G58" s="13" t="e">
        <f t="shared" si="7"/>
        <v>#N/A</v>
      </c>
    </row>
    <row r="59" spans="2:7" ht="24" thickBot="1" x14ac:dyDescent="0.5">
      <c r="B59" s="7">
        <f t="shared" si="2"/>
        <v>1.765000000000005</v>
      </c>
      <c r="C59" s="8">
        <f t="shared" si="3"/>
        <v>-0.76499999999999979</v>
      </c>
      <c r="D59" s="9">
        <f t="shared" si="4"/>
        <v>0.18192968421893158</v>
      </c>
      <c r="E59" s="9">
        <f t="shared" si="5"/>
        <v>3.7050000000000319E-2</v>
      </c>
      <c r="F59" s="13" t="e">
        <f t="shared" si="6"/>
        <v>#N/A</v>
      </c>
      <c r="G59" s="13" t="e">
        <f t="shared" si="7"/>
        <v>#N/A</v>
      </c>
    </row>
    <row r="60" spans="2:7" ht="24" thickBot="1" x14ac:dyDescent="0.5">
      <c r="B60" s="7">
        <f t="shared" si="2"/>
        <v>1.7600000000000051</v>
      </c>
      <c r="C60" s="8">
        <f t="shared" si="3"/>
        <v>-0.75999999999999979</v>
      </c>
      <c r="D60" s="9">
        <f t="shared" si="4"/>
        <v>0.1813090179775958</v>
      </c>
      <c r="E60" s="9">
        <f t="shared" si="5"/>
        <v>3.720000000000033E-2</v>
      </c>
      <c r="F60" s="13" t="e">
        <f t="shared" si="6"/>
        <v>#N/A</v>
      </c>
      <c r="G60" s="13" t="e">
        <f t="shared" si="7"/>
        <v>#N/A</v>
      </c>
    </row>
    <row r="61" spans="2:7" ht="24" thickBot="1" x14ac:dyDescent="0.5">
      <c r="B61" s="7">
        <f t="shared" si="2"/>
        <v>1.7550000000000052</v>
      </c>
      <c r="C61" s="8">
        <f t="shared" si="3"/>
        <v>-0.75499999999999978</v>
      </c>
      <c r="D61" s="9">
        <f t="shared" si="4"/>
        <v>0.18068893159239213</v>
      </c>
      <c r="E61" s="9">
        <f t="shared" si="5"/>
        <v>3.7350000000000327E-2</v>
      </c>
      <c r="F61" s="13" t="e">
        <f t="shared" si="6"/>
        <v>#N/A</v>
      </c>
      <c r="G61" s="13" t="e">
        <f t="shared" si="7"/>
        <v>#N/A</v>
      </c>
    </row>
    <row r="62" spans="2:7" ht="24" thickBot="1" x14ac:dyDescent="0.5">
      <c r="B62" s="7">
        <f t="shared" si="2"/>
        <v>1.7500000000000053</v>
      </c>
      <c r="C62" s="8">
        <f t="shared" si="3"/>
        <v>-0.74999999999999978</v>
      </c>
      <c r="D62" s="9">
        <f t="shared" si="4"/>
        <v>0.18006943105369155</v>
      </c>
      <c r="E62" s="9">
        <f t="shared" si="5"/>
        <v>3.7500000000000339E-2</v>
      </c>
      <c r="F62" s="13" t="e">
        <f t="shared" si="6"/>
        <v>#N/A</v>
      </c>
      <c r="G62" s="13" t="e">
        <f t="shared" si="7"/>
        <v>#N/A</v>
      </c>
    </row>
    <row r="63" spans="2:7" ht="24" thickBot="1" x14ac:dyDescent="0.5">
      <c r="B63" s="7">
        <f t="shared" si="2"/>
        <v>1.7450000000000054</v>
      </c>
      <c r="C63" s="8">
        <f t="shared" si="3"/>
        <v>-0.74499999999999977</v>
      </c>
      <c r="D63" s="9">
        <f t="shared" si="4"/>
        <v>0.17945052242888615</v>
      </c>
      <c r="E63" s="9">
        <f t="shared" si="5"/>
        <v>3.765000000000035E-2</v>
      </c>
      <c r="F63" s="13" t="e">
        <f t="shared" si="6"/>
        <v>#N/A</v>
      </c>
      <c r="G63" s="13" t="e">
        <f t="shared" si="7"/>
        <v>#N/A</v>
      </c>
    </row>
    <row r="64" spans="2:7" ht="24" thickBot="1" x14ac:dyDescent="0.5">
      <c r="B64" s="7">
        <f t="shared" si="2"/>
        <v>1.7400000000000055</v>
      </c>
      <c r="C64" s="8">
        <f t="shared" si="3"/>
        <v>-0.73999999999999977</v>
      </c>
      <c r="D64" s="9">
        <f t="shared" si="4"/>
        <v>0.17883221186352355</v>
      </c>
      <c r="E64" s="9">
        <f t="shared" si="5"/>
        <v>3.7800000000000347E-2</v>
      </c>
      <c r="F64" s="13" t="e">
        <f t="shared" si="6"/>
        <v>#N/A</v>
      </c>
      <c r="G64" s="13" t="e">
        <f t="shared" si="7"/>
        <v>#N/A</v>
      </c>
    </row>
    <row r="65" spans="2:7" ht="24" thickBot="1" x14ac:dyDescent="0.5">
      <c r="B65" s="7">
        <f t="shared" si="2"/>
        <v>1.7350000000000056</v>
      </c>
      <c r="C65" s="8">
        <f t="shared" si="3"/>
        <v>-0.73499999999999976</v>
      </c>
      <c r="D65" s="9">
        <f t="shared" si="4"/>
        <v>0.17821450558245863</v>
      </c>
      <c r="E65" s="9">
        <f t="shared" si="5"/>
        <v>3.7950000000000358E-2</v>
      </c>
      <c r="F65" s="13" t="e">
        <f t="shared" si="6"/>
        <v>#N/A</v>
      </c>
      <c r="G65" s="13" t="e">
        <f t="shared" si="7"/>
        <v>#N/A</v>
      </c>
    </row>
    <row r="66" spans="2:7" ht="24" thickBot="1" x14ac:dyDescent="0.5">
      <c r="B66" s="7">
        <f t="shared" si="2"/>
        <v>1.7300000000000058</v>
      </c>
      <c r="C66" s="8">
        <f t="shared" si="3"/>
        <v>-0.72999999999999976</v>
      </c>
      <c r="D66" s="9">
        <f t="shared" si="4"/>
        <v>0.17759740989102341</v>
      </c>
      <c r="E66" s="9">
        <f t="shared" si="5"/>
        <v>3.8100000000000356E-2</v>
      </c>
      <c r="F66" s="13" t="e">
        <f t="shared" si="6"/>
        <v>#N/A</v>
      </c>
      <c r="G66" s="13" t="e">
        <f t="shared" si="7"/>
        <v>#N/A</v>
      </c>
    </row>
    <row r="67" spans="2:7" ht="24" thickBot="1" x14ac:dyDescent="0.5">
      <c r="B67" s="7">
        <f t="shared" si="2"/>
        <v>1.7250000000000059</v>
      </c>
      <c r="C67" s="8">
        <f t="shared" si="3"/>
        <v>-0.72499999999999976</v>
      </c>
      <c r="D67" s="9">
        <f t="shared" si="4"/>
        <v>0.17698093117621511</v>
      </c>
      <c r="E67" s="9">
        <f t="shared" si="5"/>
        <v>3.8250000000000367E-2</v>
      </c>
      <c r="F67" s="13" t="e">
        <f t="shared" si="6"/>
        <v>#N/A</v>
      </c>
      <c r="G67" s="13" t="e">
        <f t="shared" si="7"/>
        <v>#N/A</v>
      </c>
    </row>
    <row r="68" spans="2:7" ht="24" thickBot="1" x14ac:dyDescent="0.5">
      <c r="B68" s="7">
        <f t="shared" si="2"/>
        <v>1.720000000000006</v>
      </c>
      <c r="C68" s="8">
        <f t="shared" si="3"/>
        <v>-0.71999999999999975</v>
      </c>
      <c r="D68" s="9">
        <f t="shared" si="4"/>
        <v>0.17636507590790243</v>
      </c>
      <c r="E68" s="9">
        <f t="shared" si="5"/>
        <v>3.8400000000000392E-2</v>
      </c>
      <c r="F68" s="13" t="e">
        <f t="shared" si="6"/>
        <v>#N/A</v>
      </c>
      <c r="G68" s="13" t="e">
        <f t="shared" si="7"/>
        <v>#N/A</v>
      </c>
    </row>
    <row r="69" spans="2:7" ht="24" thickBot="1" x14ac:dyDescent="0.5">
      <c r="B69" s="7">
        <f t="shared" si="2"/>
        <v>1.7150000000000061</v>
      </c>
      <c r="C69" s="8">
        <f t="shared" si="3"/>
        <v>-0.71499999999999975</v>
      </c>
      <c r="D69" s="9">
        <f t="shared" si="4"/>
        <v>0.17574985064005086</v>
      </c>
      <c r="E69" s="9">
        <f t="shared" si="5"/>
        <v>3.855000000000039E-2</v>
      </c>
      <c r="F69" s="13" t="e">
        <f t="shared" si="6"/>
        <v>#N/A</v>
      </c>
      <c r="G69" s="13" t="e">
        <f t="shared" si="7"/>
        <v>#N/A</v>
      </c>
    </row>
    <row r="70" spans="2:7" ht="24" thickBot="1" x14ac:dyDescent="0.5">
      <c r="B70" s="7">
        <f t="shared" si="2"/>
        <v>1.7100000000000062</v>
      </c>
      <c r="C70" s="8">
        <f t="shared" si="3"/>
        <v>-0.70999999999999974</v>
      </c>
      <c r="D70" s="9">
        <f t="shared" si="4"/>
        <v>0.17513526201196661</v>
      </c>
      <c r="E70" s="9">
        <f t="shared" si="5"/>
        <v>3.8700000000000401E-2</v>
      </c>
      <c r="F70" s="13" t="e">
        <f t="shared" si="6"/>
        <v>#N/A</v>
      </c>
      <c r="G70" s="13" t="e">
        <f t="shared" si="7"/>
        <v>#N/A</v>
      </c>
    </row>
    <row r="71" spans="2:7" ht="24" thickBot="1" x14ac:dyDescent="0.5">
      <c r="B71" s="7">
        <f t="shared" si="2"/>
        <v>1.7050000000000063</v>
      </c>
      <c r="C71" s="8">
        <f t="shared" si="3"/>
        <v>-0.70499999999999974</v>
      </c>
      <c r="D71" s="9">
        <f t="shared" si="4"/>
        <v>0.17452131674955981</v>
      </c>
      <c r="E71" s="9">
        <f t="shared" si="5"/>
        <v>3.8850000000000398E-2</v>
      </c>
      <c r="F71" s="13" t="e">
        <f t="shared" si="6"/>
        <v>#N/A</v>
      </c>
      <c r="G71" s="13" t="e">
        <f t="shared" si="7"/>
        <v>#N/A</v>
      </c>
    </row>
    <row r="72" spans="2:7" ht="24" thickBot="1" x14ac:dyDescent="0.5">
      <c r="B72" s="7">
        <f t="shared" si="2"/>
        <v>1.7000000000000064</v>
      </c>
      <c r="C72" s="8">
        <f t="shared" si="3"/>
        <v>-0.69999999999999973</v>
      </c>
      <c r="D72" s="9">
        <f t="shared" si="4"/>
        <v>0.17390802166662755</v>
      </c>
      <c r="E72" s="9">
        <f t="shared" si="5"/>
        <v>3.9000000000000409E-2</v>
      </c>
      <c r="F72" s="13" t="e">
        <f t="shared" si="6"/>
        <v>#N/A</v>
      </c>
      <c r="G72" s="13" t="e">
        <f t="shared" si="7"/>
        <v>#N/A</v>
      </c>
    </row>
    <row r="73" spans="2:7" ht="24" thickBot="1" x14ac:dyDescent="0.5">
      <c r="B73" s="7">
        <f t="shared" si="2"/>
        <v>1.6950000000000065</v>
      </c>
      <c r="C73" s="8">
        <f t="shared" si="3"/>
        <v>-0.69499999999999973</v>
      </c>
      <c r="D73" s="9">
        <f t="shared" si="4"/>
        <v>0.17329538366615599</v>
      </c>
      <c r="E73" s="9">
        <f t="shared" si="5"/>
        <v>3.9150000000000421E-2</v>
      </c>
      <c r="F73" s="13" t="e">
        <f t="shared" si="6"/>
        <v>#N/A</v>
      </c>
      <c r="G73" s="13" t="e">
        <f t="shared" si="7"/>
        <v>#N/A</v>
      </c>
    </row>
    <row r="74" spans="2:7" ht="24" thickBot="1" x14ac:dyDescent="0.5">
      <c r="B74" s="7">
        <f t="shared" si="2"/>
        <v>1.6900000000000066</v>
      </c>
      <c r="C74" s="8">
        <f t="shared" si="3"/>
        <v>-0.68999999999999972</v>
      </c>
      <c r="D74" s="9">
        <f t="shared" si="4"/>
        <v>0.17268340974164309</v>
      </c>
      <c r="E74" s="9">
        <f t="shared" si="5"/>
        <v>3.9300000000000418E-2</v>
      </c>
      <c r="F74" s="13" t="e">
        <f t="shared" si="6"/>
        <v>#N/A</v>
      </c>
      <c r="G74" s="13" t="e">
        <f t="shared" si="7"/>
        <v>#N/A</v>
      </c>
    </row>
    <row r="75" spans="2:7" ht="24" thickBot="1" x14ac:dyDescent="0.5">
      <c r="B75" s="7">
        <f t="shared" si="2"/>
        <v>1.6850000000000067</v>
      </c>
      <c r="C75" s="8">
        <f t="shared" si="3"/>
        <v>-0.68499999999999972</v>
      </c>
      <c r="D75" s="9">
        <f t="shared" si="4"/>
        <v>0.17207210697844147</v>
      </c>
      <c r="E75" s="9">
        <f t="shared" si="5"/>
        <v>3.9450000000000422E-2</v>
      </c>
      <c r="F75" s="13" t="e">
        <f t="shared" si="6"/>
        <v>#N/A</v>
      </c>
      <c r="G75" s="13" t="e">
        <f t="shared" si="7"/>
        <v>#N/A</v>
      </c>
    </row>
    <row r="76" spans="2:7" ht="24" thickBot="1" x14ac:dyDescent="0.5">
      <c r="B76" s="7">
        <f t="shared" si="2"/>
        <v>1.6800000000000068</v>
      </c>
      <c r="C76" s="8">
        <f t="shared" si="3"/>
        <v>-0.67999999999999972</v>
      </c>
      <c r="D76" s="9">
        <f t="shared" si="4"/>
        <v>0.17146148255512142</v>
      </c>
      <c r="E76" s="9">
        <f t="shared" si="5"/>
        <v>3.9600000000000433E-2</v>
      </c>
      <c r="F76" s="13" t="e">
        <f t="shared" si="6"/>
        <v>#N/A</v>
      </c>
      <c r="G76" s="13" t="e">
        <f t="shared" si="7"/>
        <v>#N/A</v>
      </c>
    </row>
    <row r="77" spans="2:7" ht="24" thickBot="1" x14ac:dyDescent="0.5">
      <c r="B77" s="7">
        <f t="shared" si="2"/>
        <v>1.6750000000000069</v>
      </c>
      <c r="C77" s="8">
        <f t="shared" si="3"/>
        <v>-0.67499999999999971</v>
      </c>
      <c r="D77" s="9">
        <f t="shared" si="4"/>
        <v>0.17085154374485531</v>
      </c>
      <c r="E77" s="9">
        <f t="shared" si="5"/>
        <v>3.9750000000000438E-2</v>
      </c>
      <c r="F77" s="13" t="e">
        <f t="shared" si="6"/>
        <v>#N/A</v>
      </c>
      <c r="G77" s="13" t="e">
        <f t="shared" si="7"/>
        <v>#N/A</v>
      </c>
    </row>
    <row r="78" spans="2:7" ht="24" thickBot="1" x14ac:dyDescent="0.5">
      <c r="B78" s="7">
        <f t="shared" ref="B78:B141" si="8">B77-0.5%</f>
        <v>1.670000000000007</v>
      </c>
      <c r="C78" s="8">
        <f t="shared" ref="C78:C141" si="9">C77+0.5%</f>
        <v>-0.66999999999999971</v>
      </c>
      <c r="D78" s="9">
        <f t="shared" ref="D78:D141" si="10">SQRT(B78^2*$D$4^2+C78^2*$D$5^2+2*C78*B78*$D$4*$D$5*$D$6)</f>
        <v>0.17024229791682272</v>
      </c>
      <c r="E78" s="9">
        <f t="shared" ref="E78:E141" si="11">$F$4*B78+$F$5*C78</f>
        <v>3.9900000000000442E-2</v>
      </c>
      <c r="F78" s="13" t="e">
        <f t="shared" ref="F78:F141" si="12">IF(E78&gt;=$I$9,D78,NA())</f>
        <v>#N/A</v>
      </c>
      <c r="G78" s="13" t="e">
        <f t="shared" ref="G78:G141" si="13">IF(E78&gt;=$I$9,E78,NA())</f>
        <v>#N/A</v>
      </c>
    </row>
    <row r="79" spans="2:7" ht="24" thickBot="1" x14ac:dyDescent="0.5">
      <c r="B79" s="7">
        <f t="shared" si="8"/>
        <v>1.6650000000000071</v>
      </c>
      <c r="C79" s="8">
        <f t="shared" si="9"/>
        <v>-0.6649999999999997</v>
      </c>
      <c r="D79" s="9">
        <f t="shared" si="10"/>
        <v>0.16963375253763685</v>
      </c>
      <c r="E79" s="9">
        <f t="shared" si="11"/>
        <v>4.0050000000000446E-2</v>
      </c>
      <c r="F79" s="13" t="e">
        <f t="shared" si="12"/>
        <v>#N/A</v>
      </c>
      <c r="G79" s="13" t="e">
        <f t="shared" si="13"/>
        <v>#N/A</v>
      </c>
    </row>
    <row r="80" spans="2:7" ht="24" thickBot="1" x14ac:dyDescent="0.5">
      <c r="B80" s="7">
        <f t="shared" si="8"/>
        <v>1.6600000000000072</v>
      </c>
      <c r="C80" s="8">
        <f t="shared" si="9"/>
        <v>-0.6599999999999997</v>
      </c>
      <c r="D80" s="9">
        <f t="shared" si="10"/>
        <v>0.16902591517279303</v>
      </c>
      <c r="E80" s="9">
        <f t="shared" si="11"/>
        <v>4.0200000000000451E-2</v>
      </c>
      <c r="F80" s="13" t="e">
        <f t="shared" si="12"/>
        <v>#N/A</v>
      </c>
      <c r="G80" s="13" t="e">
        <f t="shared" si="13"/>
        <v>#N/A</v>
      </c>
    </row>
    <row r="81" spans="2:7" ht="24" thickBot="1" x14ac:dyDescent="0.5">
      <c r="B81" s="7">
        <f t="shared" si="8"/>
        <v>1.6550000000000074</v>
      </c>
      <c r="C81" s="8">
        <f t="shared" si="9"/>
        <v>-0.65499999999999969</v>
      </c>
      <c r="D81" s="9">
        <f t="shared" si="10"/>
        <v>0.16841879348813843</v>
      </c>
      <c r="E81" s="9">
        <f t="shared" si="11"/>
        <v>4.0350000000000476E-2</v>
      </c>
      <c r="F81" s="13" t="e">
        <f t="shared" si="12"/>
        <v>#N/A</v>
      </c>
      <c r="G81" s="13" t="e">
        <f t="shared" si="13"/>
        <v>#N/A</v>
      </c>
    </row>
    <row r="82" spans="2:7" ht="24" thickBot="1" x14ac:dyDescent="0.5">
      <c r="B82" s="7">
        <f t="shared" si="8"/>
        <v>1.6500000000000075</v>
      </c>
      <c r="C82" s="8">
        <f t="shared" si="9"/>
        <v>-0.64999999999999969</v>
      </c>
      <c r="D82" s="9">
        <f t="shared" si="10"/>
        <v>0.16781239525136463</v>
      </c>
      <c r="E82" s="9">
        <f t="shared" si="11"/>
        <v>4.050000000000048E-2</v>
      </c>
      <c r="F82" s="13" t="e">
        <f t="shared" si="12"/>
        <v>#N/A</v>
      </c>
      <c r="G82" s="13" t="e">
        <f t="shared" si="13"/>
        <v>#N/A</v>
      </c>
    </row>
    <row r="83" spans="2:7" ht="24" thickBot="1" x14ac:dyDescent="0.5">
      <c r="B83" s="7">
        <f t="shared" si="8"/>
        <v>1.6450000000000076</v>
      </c>
      <c r="C83" s="8">
        <f t="shared" si="9"/>
        <v>-0.64499999999999968</v>
      </c>
      <c r="D83" s="9">
        <f t="shared" si="10"/>
        <v>0.16720672833352199</v>
      </c>
      <c r="E83" s="9">
        <f t="shared" si="11"/>
        <v>4.0650000000000484E-2</v>
      </c>
      <c r="F83" s="13" t="e">
        <f t="shared" si="12"/>
        <v>#N/A</v>
      </c>
      <c r="G83" s="13" t="e">
        <f t="shared" si="13"/>
        <v>#N/A</v>
      </c>
    </row>
    <row r="84" spans="2:7" ht="24" thickBot="1" x14ac:dyDescent="0.5">
      <c r="B84" s="7">
        <f t="shared" si="8"/>
        <v>1.6400000000000077</v>
      </c>
      <c r="C84" s="8">
        <f t="shared" si="9"/>
        <v>-0.63999999999999968</v>
      </c>
      <c r="D84" s="9">
        <f t="shared" si="10"/>
        <v>0.16660180071055725</v>
      </c>
      <c r="E84" s="9">
        <f t="shared" si="11"/>
        <v>4.0800000000000489E-2</v>
      </c>
      <c r="F84" s="13" t="e">
        <f t="shared" si="12"/>
        <v>#N/A</v>
      </c>
      <c r="G84" s="13" t="e">
        <f t="shared" si="13"/>
        <v>#N/A</v>
      </c>
    </row>
    <row r="85" spans="2:7" ht="24" thickBot="1" x14ac:dyDescent="0.5">
      <c r="B85" s="7">
        <f t="shared" si="8"/>
        <v>1.6350000000000078</v>
      </c>
      <c r="C85" s="8">
        <f t="shared" si="9"/>
        <v>-0.63499999999999968</v>
      </c>
      <c r="D85" s="9">
        <f t="shared" si="10"/>
        <v>0.16599762046487362</v>
      </c>
      <c r="E85" s="9">
        <f t="shared" si="11"/>
        <v>4.0950000000000493E-2</v>
      </c>
      <c r="F85" s="13" t="e">
        <f t="shared" si="12"/>
        <v>#N/A</v>
      </c>
      <c r="G85" s="13" t="e">
        <f t="shared" si="13"/>
        <v>#N/A</v>
      </c>
    </row>
    <row r="86" spans="2:7" ht="24" thickBot="1" x14ac:dyDescent="0.5">
      <c r="B86" s="7">
        <f t="shared" si="8"/>
        <v>1.6300000000000079</v>
      </c>
      <c r="C86" s="8">
        <f t="shared" si="9"/>
        <v>-0.62999999999999967</v>
      </c>
      <c r="D86" s="9">
        <f t="shared" si="10"/>
        <v>0.16539419578691458</v>
      </c>
      <c r="E86" s="9">
        <f t="shared" si="11"/>
        <v>4.1100000000000504E-2</v>
      </c>
      <c r="F86" s="13" t="e">
        <f t="shared" si="12"/>
        <v>#N/A</v>
      </c>
      <c r="G86" s="13" t="e">
        <f t="shared" si="13"/>
        <v>#N/A</v>
      </c>
    </row>
    <row r="87" spans="2:7" ht="24" thickBot="1" x14ac:dyDescent="0.5">
      <c r="B87" s="7">
        <f t="shared" si="8"/>
        <v>1.625000000000008</v>
      </c>
      <c r="C87" s="8">
        <f t="shared" si="9"/>
        <v>-0.62499999999999967</v>
      </c>
      <c r="D87" s="9">
        <f t="shared" si="10"/>
        <v>0.16479153497677068</v>
      </c>
      <c r="E87" s="9">
        <f t="shared" si="11"/>
        <v>4.1250000000000508E-2</v>
      </c>
      <c r="F87" s="13" t="e">
        <f t="shared" si="12"/>
        <v>#N/A</v>
      </c>
      <c r="G87" s="13" t="e">
        <f t="shared" si="13"/>
        <v>#N/A</v>
      </c>
    </row>
    <row r="88" spans="2:7" ht="24" thickBot="1" x14ac:dyDescent="0.5">
      <c r="B88" s="7">
        <f t="shared" si="8"/>
        <v>1.6200000000000081</v>
      </c>
      <c r="C88" s="8">
        <f t="shared" si="9"/>
        <v>-0.61999999999999966</v>
      </c>
      <c r="D88" s="9">
        <f t="shared" si="10"/>
        <v>0.16418964644581047</v>
      </c>
      <c r="E88" s="9">
        <f t="shared" si="11"/>
        <v>4.1400000000000513E-2</v>
      </c>
      <c r="F88" s="13" t="e">
        <f t="shared" si="12"/>
        <v>#N/A</v>
      </c>
      <c r="G88" s="13" t="e">
        <f t="shared" si="13"/>
        <v>#N/A</v>
      </c>
    </row>
    <row r="89" spans="2:7" ht="24" thickBot="1" x14ac:dyDescent="0.5">
      <c r="B89" s="7">
        <f t="shared" si="8"/>
        <v>1.6150000000000082</v>
      </c>
      <c r="C89" s="8">
        <f t="shared" si="9"/>
        <v>-0.61499999999999966</v>
      </c>
      <c r="D89" s="9">
        <f t="shared" si="10"/>
        <v>0.16358853871833517</v>
      </c>
      <c r="E89" s="9">
        <f t="shared" si="11"/>
        <v>4.1550000000000517E-2</v>
      </c>
      <c r="F89" s="13" t="e">
        <f t="shared" si="12"/>
        <v>#N/A</v>
      </c>
      <c r="G89" s="13" t="e">
        <f t="shared" si="13"/>
        <v>#N/A</v>
      </c>
    </row>
    <row r="90" spans="2:7" ht="24" thickBot="1" x14ac:dyDescent="0.5">
      <c r="B90" s="7">
        <f t="shared" si="8"/>
        <v>1.6100000000000083</v>
      </c>
      <c r="C90" s="8">
        <f t="shared" si="9"/>
        <v>-0.60999999999999965</v>
      </c>
      <c r="D90" s="9">
        <f t="shared" si="10"/>
        <v>0.16298822043325784</v>
      </c>
      <c r="E90" s="9">
        <f t="shared" si="11"/>
        <v>4.1700000000000521E-2</v>
      </c>
      <c r="F90" s="13" t="e">
        <f t="shared" si="12"/>
        <v>#N/A</v>
      </c>
      <c r="G90" s="13" t="e">
        <f t="shared" si="13"/>
        <v>#N/A</v>
      </c>
    </row>
    <row r="91" spans="2:7" ht="24" thickBot="1" x14ac:dyDescent="0.5">
      <c r="B91" s="7">
        <f t="shared" si="8"/>
        <v>1.6050000000000084</v>
      </c>
      <c r="C91" s="8">
        <f t="shared" si="9"/>
        <v>-0.60499999999999965</v>
      </c>
      <c r="D91" s="9">
        <f t="shared" si="10"/>
        <v>0.16238870034580682</v>
      </c>
      <c r="E91" s="9">
        <f t="shared" si="11"/>
        <v>4.1850000000000533E-2</v>
      </c>
      <c r="F91" s="13" t="e">
        <f t="shared" si="12"/>
        <v>#N/A</v>
      </c>
      <c r="G91" s="13" t="e">
        <f t="shared" si="13"/>
        <v>#N/A</v>
      </c>
    </row>
    <row r="92" spans="2:7" ht="24" thickBot="1" x14ac:dyDescent="0.5">
      <c r="B92" s="7">
        <f t="shared" si="8"/>
        <v>1.6000000000000085</v>
      </c>
      <c r="C92" s="8">
        <f t="shared" si="9"/>
        <v>-0.59999999999999964</v>
      </c>
      <c r="D92" s="9">
        <f t="shared" si="10"/>
        <v>0.16178998732925423</v>
      </c>
      <c r="E92" s="9">
        <f t="shared" si="11"/>
        <v>4.2000000000000537E-2</v>
      </c>
      <c r="F92" s="13" t="e">
        <f t="shared" si="12"/>
        <v>#N/A</v>
      </c>
      <c r="G92" s="13" t="e">
        <f t="shared" si="13"/>
        <v>#N/A</v>
      </c>
    </row>
    <row r="93" spans="2:7" ht="24" thickBot="1" x14ac:dyDescent="0.5">
      <c r="B93" s="7">
        <f t="shared" si="8"/>
        <v>1.5950000000000086</v>
      </c>
      <c r="C93" s="8">
        <f t="shared" si="9"/>
        <v>-0.59499999999999964</v>
      </c>
      <c r="D93" s="9">
        <f t="shared" si="10"/>
        <v>0.16119209037666907</v>
      </c>
      <c r="E93" s="9">
        <f t="shared" si="11"/>
        <v>4.2150000000000555E-2</v>
      </c>
      <c r="F93" s="13" t="e">
        <f t="shared" si="12"/>
        <v>#N/A</v>
      </c>
      <c r="G93" s="13" t="e">
        <f t="shared" si="13"/>
        <v>#N/A</v>
      </c>
    </row>
    <row r="94" spans="2:7" ht="24" thickBot="1" x14ac:dyDescent="0.5">
      <c r="B94" s="7">
        <f t="shared" si="8"/>
        <v>1.5900000000000087</v>
      </c>
      <c r="C94" s="8">
        <f t="shared" si="9"/>
        <v>-0.58999999999999964</v>
      </c>
      <c r="D94" s="9">
        <f t="shared" si="10"/>
        <v>0.16059501860269593</v>
      </c>
      <c r="E94" s="9">
        <f t="shared" si="11"/>
        <v>4.2300000000000559E-2</v>
      </c>
      <c r="F94" s="13" t="e">
        <f t="shared" si="12"/>
        <v>#N/A</v>
      </c>
      <c r="G94" s="13" t="e">
        <f t="shared" si="13"/>
        <v>#N/A</v>
      </c>
    </row>
    <row r="95" spans="2:7" ht="24" thickBot="1" x14ac:dyDescent="0.5">
      <c r="B95" s="7">
        <f t="shared" si="8"/>
        <v>1.5850000000000088</v>
      </c>
      <c r="C95" s="8">
        <f t="shared" si="9"/>
        <v>-0.58499999999999963</v>
      </c>
      <c r="D95" s="9">
        <f t="shared" si="10"/>
        <v>0.15999878124535905</v>
      </c>
      <c r="E95" s="9">
        <f t="shared" si="11"/>
        <v>4.2450000000000564E-2</v>
      </c>
      <c r="F95" s="13" t="e">
        <f t="shared" si="12"/>
        <v>#N/A</v>
      </c>
      <c r="G95" s="13" t="e">
        <f t="shared" si="13"/>
        <v>#N/A</v>
      </c>
    </row>
    <row r="96" spans="2:7" ht="24" thickBot="1" x14ac:dyDescent="0.5">
      <c r="B96" s="7">
        <f t="shared" si="8"/>
        <v>1.580000000000009</v>
      </c>
      <c r="C96" s="8">
        <f t="shared" si="9"/>
        <v>-0.57999999999999963</v>
      </c>
      <c r="D96" s="9">
        <f t="shared" si="10"/>
        <v>0.15940338766789197</v>
      </c>
      <c r="E96" s="9">
        <f t="shared" si="11"/>
        <v>4.2600000000000575E-2</v>
      </c>
      <c r="F96" s="13" t="e">
        <f t="shared" si="12"/>
        <v>#N/A</v>
      </c>
      <c r="G96" s="13" t="e">
        <f t="shared" si="13"/>
        <v>#N/A</v>
      </c>
    </row>
    <row r="97" spans="2:7" ht="24" thickBot="1" x14ac:dyDescent="0.5">
      <c r="B97" s="7">
        <f t="shared" si="8"/>
        <v>1.5750000000000091</v>
      </c>
      <c r="C97" s="8">
        <f t="shared" si="9"/>
        <v>-0.57499999999999962</v>
      </c>
      <c r="D97" s="9">
        <f t="shared" si="10"/>
        <v>0.15880884736059345</v>
      </c>
      <c r="E97" s="9">
        <f t="shared" si="11"/>
        <v>4.2750000000000579E-2</v>
      </c>
      <c r="F97" s="13" t="e">
        <f t="shared" si="12"/>
        <v>#N/A</v>
      </c>
      <c r="G97" s="13" t="e">
        <f t="shared" si="13"/>
        <v>#N/A</v>
      </c>
    </row>
    <row r="98" spans="2:7" ht="24" thickBot="1" x14ac:dyDescent="0.5">
      <c r="B98" s="7">
        <f t="shared" si="8"/>
        <v>1.5700000000000092</v>
      </c>
      <c r="C98" s="8">
        <f t="shared" si="9"/>
        <v>-0.56999999999999962</v>
      </c>
      <c r="D98" s="9">
        <f t="shared" si="10"/>
        <v>0.15821516994270893</v>
      </c>
      <c r="E98" s="9">
        <f t="shared" si="11"/>
        <v>4.2900000000000583E-2</v>
      </c>
      <c r="F98" s="13" t="e">
        <f t="shared" si="12"/>
        <v>#N/A</v>
      </c>
      <c r="G98" s="13" t="e">
        <f t="shared" si="13"/>
        <v>#N/A</v>
      </c>
    </row>
    <row r="99" spans="2:7" ht="24" thickBot="1" x14ac:dyDescent="0.5">
      <c r="B99" s="7">
        <f t="shared" si="8"/>
        <v>1.5650000000000093</v>
      </c>
      <c r="C99" s="8">
        <f t="shared" si="9"/>
        <v>-0.56499999999999961</v>
      </c>
      <c r="D99" s="9">
        <f t="shared" si="10"/>
        <v>0.15762236516433911</v>
      </c>
      <c r="E99" s="9">
        <f t="shared" si="11"/>
        <v>4.3050000000000588E-2</v>
      </c>
      <c r="F99" s="13" t="e">
        <f t="shared" si="12"/>
        <v>#N/A</v>
      </c>
      <c r="G99" s="13" t="e">
        <f t="shared" si="13"/>
        <v>#N/A</v>
      </c>
    </row>
    <row r="100" spans="2:7" ht="24" thickBot="1" x14ac:dyDescent="0.5">
      <c r="B100" s="7">
        <f t="shared" si="8"/>
        <v>1.5600000000000094</v>
      </c>
      <c r="C100" s="8">
        <f t="shared" si="9"/>
        <v>-0.55999999999999961</v>
      </c>
      <c r="D100" s="9">
        <f t="shared" si="10"/>
        <v>0.15703044290837451</v>
      </c>
      <c r="E100" s="9">
        <f t="shared" si="11"/>
        <v>4.3200000000000592E-2</v>
      </c>
      <c r="F100" s="13" t="e">
        <f t="shared" si="12"/>
        <v>#N/A</v>
      </c>
      <c r="G100" s="13" t="e">
        <f t="shared" si="13"/>
        <v>#N/A</v>
      </c>
    </row>
    <row r="101" spans="2:7" ht="24" thickBot="1" x14ac:dyDescent="0.5">
      <c r="B101" s="7">
        <f t="shared" si="8"/>
        <v>1.5550000000000095</v>
      </c>
      <c r="C101" s="8">
        <f t="shared" si="9"/>
        <v>-0.5549999999999996</v>
      </c>
      <c r="D101" s="9">
        <f t="shared" si="10"/>
        <v>0.15643941319245694</v>
      </c>
      <c r="E101" s="9">
        <f t="shared" si="11"/>
        <v>4.3350000000000603E-2</v>
      </c>
      <c r="F101" s="13" t="e">
        <f t="shared" si="12"/>
        <v>#N/A</v>
      </c>
      <c r="G101" s="13" t="e">
        <f t="shared" si="13"/>
        <v>#N/A</v>
      </c>
    </row>
    <row r="102" spans="2:7" ht="24" thickBot="1" x14ac:dyDescent="0.5">
      <c r="B102" s="7">
        <f t="shared" si="8"/>
        <v>1.5500000000000096</v>
      </c>
      <c r="C102" s="8">
        <f t="shared" si="9"/>
        <v>-0.5499999999999996</v>
      </c>
      <c r="D102" s="9">
        <f t="shared" si="10"/>
        <v>0.15584928617096799</v>
      </c>
      <c r="E102" s="9">
        <f t="shared" si="11"/>
        <v>4.3500000000000608E-2</v>
      </c>
      <c r="F102" s="13" t="e">
        <f t="shared" si="12"/>
        <v>#N/A</v>
      </c>
      <c r="G102" s="13" t="e">
        <f t="shared" si="13"/>
        <v>#N/A</v>
      </c>
    </row>
    <row r="103" spans="2:7" ht="24" thickBot="1" x14ac:dyDescent="0.5">
      <c r="B103" s="7">
        <f t="shared" si="8"/>
        <v>1.5450000000000097</v>
      </c>
      <c r="C103" s="8">
        <f t="shared" si="9"/>
        <v>-0.5449999999999996</v>
      </c>
      <c r="D103" s="9">
        <f t="shared" si="10"/>
        <v>0.15526007213704454</v>
      </c>
      <c r="E103" s="9">
        <f t="shared" si="11"/>
        <v>4.3650000000000612E-2</v>
      </c>
      <c r="F103" s="13" t="e">
        <f t="shared" si="12"/>
        <v>#N/A</v>
      </c>
      <c r="G103" s="13" t="e">
        <f t="shared" si="13"/>
        <v>#N/A</v>
      </c>
    </row>
    <row r="104" spans="2:7" ht="24" thickBot="1" x14ac:dyDescent="0.5">
      <c r="B104" s="7">
        <f t="shared" si="8"/>
        <v>1.5400000000000098</v>
      </c>
      <c r="C104" s="8">
        <f t="shared" si="9"/>
        <v>-0.53999999999999959</v>
      </c>
      <c r="D104" s="9">
        <f t="shared" si="10"/>
        <v>0.1546717815246216</v>
      </c>
      <c r="E104" s="9">
        <f t="shared" si="11"/>
        <v>4.3800000000000616E-2</v>
      </c>
      <c r="F104" s="13" t="e">
        <f t="shared" si="12"/>
        <v>#N/A</v>
      </c>
      <c r="G104" s="13" t="e">
        <f t="shared" si="13"/>
        <v>#N/A</v>
      </c>
    </row>
    <row r="105" spans="2:7" ht="24" thickBot="1" x14ac:dyDescent="0.5">
      <c r="B105" s="7">
        <f t="shared" si="8"/>
        <v>1.5350000000000099</v>
      </c>
      <c r="C105" s="8">
        <f t="shared" si="9"/>
        <v>-0.53499999999999959</v>
      </c>
      <c r="D105" s="9">
        <f t="shared" si="10"/>
        <v>0.15408442491050248</v>
      </c>
      <c r="E105" s="9">
        <f t="shared" si="11"/>
        <v>4.3950000000000634E-2</v>
      </c>
      <c r="F105" s="13" t="e">
        <f t="shared" si="12"/>
        <v>#N/A</v>
      </c>
      <c r="G105" s="13" t="e">
        <f t="shared" si="13"/>
        <v>#N/A</v>
      </c>
    </row>
    <row r="106" spans="2:7" ht="24" thickBot="1" x14ac:dyDescent="0.5">
      <c r="B106" s="7">
        <f t="shared" si="8"/>
        <v>1.53000000000001</v>
      </c>
      <c r="C106" s="8">
        <f t="shared" si="9"/>
        <v>-0.52999999999999958</v>
      </c>
      <c r="D106" s="9">
        <f t="shared" si="10"/>
        <v>0.1534980130164566</v>
      </c>
      <c r="E106" s="9">
        <f t="shared" si="11"/>
        <v>4.4100000000000646E-2</v>
      </c>
      <c r="F106" s="13" t="e">
        <f t="shared" si="12"/>
        <v>#N/A</v>
      </c>
      <c r="G106" s="13" t="e">
        <f t="shared" si="13"/>
        <v>#N/A</v>
      </c>
    </row>
    <row r="107" spans="2:7" ht="24" thickBot="1" x14ac:dyDescent="0.5">
      <c r="B107" s="7">
        <f t="shared" si="8"/>
        <v>1.5250000000000101</v>
      </c>
      <c r="C107" s="8">
        <f t="shared" si="9"/>
        <v>-0.52499999999999958</v>
      </c>
      <c r="D107" s="9">
        <f t="shared" si="10"/>
        <v>0.15291255671134493</v>
      </c>
      <c r="E107" s="9">
        <f t="shared" si="11"/>
        <v>4.425000000000065E-2</v>
      </c>
      <c r="F107" s="13" t="e">
        <f t="shared" si="12"/>
        <v>#N/A</v>
      </c>
      <c r="G107" s="13" t="e">
        <f t="shared" si="13"/>
        <v>#N/A</v>
      </c>
    </row>
    <row r="108" spans="2:7" ht="24" thickBot="1" x14ac:dyDescent="0.5">
      <c r="B108" s="7">
        <f t="shared" si="8"/>
        <v>1.5200000000000102</v>
      </c>
      <c r="C108" s="8">
        <f t="shared" si="9"/>
        <v>-0.51999999999999957</v>
      </c>
      <c r="D108" s="9">
        <f t="shared" si="10"/>
        <v>0.15232806701327331</v>
      </c>
      <c r="E108" s="9">
        <f t="shared" si="11"/>
        <v>4.4400000000000654E-2</v>
      </c>
      <c r="F108" s="13" t="e">
        <f t="shared" si="12"/>
        <v>#N/A</v>
      </c>
      <c r="G108" s="13" t="e">
        <f t="shared" si="13"/>
        <v>#N/A</v>
      </c>
    </row>
    <row r="109" spans="2:7" ht="24" thickBot="1" x14ac:dyDescent="0.5">
      <c r="B109" s="7">
        <f t="shared" si="8"/>
        <v>1.5150000000000103</v>
      </c>
      <c r="C109" s="8">
        <f t="shared" si="9"/>
        <v>-0.51499999999999957</v>
      </c>
      <c r="D109" s="9">
        <f t="shared" si="10"/>
        <v>0.15174455509177354</v>
      </c>
      <c r="E109" s="9">
        <f t="shared" si="11"/>
        <v>4.4550000000000659E-2</v>
      </c>
      <c r="F109" s="13" t="e">
        <f t="shared" si="12"/>
        <v>#N/A</v>
      </c>
      <c r="G109" s="13" t="e">
        <f t="shared" si="13"/>
        <v>#N/A</v>
      </c>
    </row>
    <row r="110" spans="2:7" ht="24" thickBot="1" x14ac:dyDescent="0.5">
      <c r="B110" s="7">
        <f t="shared" si="8"/>
        <v>1.5100000000000104</v>
      </c>
      <c r="C110" s="8">
        <f t="shared" si="9"/>
        <v>-0.50999999999999956</v>
      </c>
      <c r="D110" s="9">
        <f t="shared" si="10"/>
        <v>0.15116203227001246</v>
      </c>
      <c r="E110" s="9">
        <f t="shared" si="11"/>
        <v>4.4700000000000663E-2</v>
      </c>
      <c r="F110" s="13" t="e">
        <f t="shared" si="12"/>
        <v>#N/A</v>
      </c>
      <c r="G110" s="13" t="e">
        <f t="shared" si="13"/>
        <v>#N/A</v>
      </c>
    </row>
    <row r="111" spans="2:7" ht="24" thickBot="1" x14ac:dyDescent="0.5">
      <c r="B111" s="7">
        <f t="shared" si="8"/>
        <v>1.5050000000000106</v>
      </c>
      <c r="C111" s="8">
        <f t="shared" si="9"/>
        <v>-0.50499999999999956</v>
      </c>
      <c r="D111" s="9">
        <f t="shared" si="10"/>
        <v>0.15058051002702935</v>
      </c>
      <c r="E111" s="9">
        <f t="shared" si="11"/>
        <v>4.4850000000000674E-2</v>
      </c>
      <c r="F111" s="13" t="e">
        <f t="shared" si="12"/>
        <v>#N/A</v>
      </c>
      <c r="G111" s="13" t="e">
        <f t="shared" si="13"/>
        <v>#N/A</v>
      </c>
    </row>
    <row r="112" spans="2:7" ht="24" thickBot="1" x14ac:dyDescent="0.5">
      <c r="B112" s="7">
        <f t="shared" si="8"/>
        <v>1.5000000000000107</v>
      </c>
      <c r="C112" s="8">
        <f t="shared" si="9"/>
        <v>-0.49999999999999956</v>
      </c>
      <c r="D112" s="9">
        <f t="shared" si="10"/>
        <v>0.15000000000000099</v>
      </c>
      <c r="E112" s="9">
        <f t="shared" si="11"/>
        <v>4.5000000000000678E-2</v>
      </c>
      <c r="F112" s="13" t="e">
        <f t="shared" si="12"/>
        <v>#N/A</v>
      </c>
      <c r="G112" s="13" t="e">
        <f t="shared" si="13"/>
        <v>#N/A</v>
      </c>
    </row>
    <row r="113" spans="2:7" ht="24" thickBot="1" x14ac:dyDescent="0.5">
      <c r="B113" s="7">
        <f t="shared" si="8"/>
        <v>1.4950000000000108</v>
      </c>
      <c r="C113" s="8">
        <f t="shared" si="9"/>
        <v>-0.49499999999999955</v>
      </c>
      <c r="D113" s="9">
        <f t="shared" si="10"/>
        <v>0.149420513986535</v>
      </c>
      <c r="E113" s="9">
        <f t="shared" si="11"/>
        <v>4.5150000000000683E-2</v>
      </c>
      <c r="F113" s="13" t="e">
        <f t="shared" si="12"/>
        <v>#N/A</v>
      </c>
      <c r="G113" s="13" t="e">
        <f t="shared" si="13"/>
        <v>#N/A</v>
      </c>
    </row>
    <row r="114" spans="2:7" ht="24" thickBot="1" x14ac:dyDescent="0.5">
      <c r="B114" s="7">
        <f t="shared" si="8"/>
        <v>1.4900000000000109</v>
      </c>
      <c r="C114" s="8">
        <f t="shared" si="9"/>
        <v>-0.48999999999999955</v>
      </c>
      <c r="D114" s="9">
        <f t="shared" si="10"/>
        <v>0.14884206394699148</v>
      </c>
      <c r="E114" s="9">
        <f t="shared" si="11"/>
        <v>4.5300000000000687E-2</v>
      </c>
      <c r="F114" s="13" t="e">
        <f t="shared" si="12"/>
        <v>#N/A</v>
      </c>
      <c r="G114" s="13" t="e">
        <f t="shared" si="13"/>
        <v>#N/A</v>
      </c>
    </row>
    <row r="115" spans="2:7" ht="24" thickBot="1" x14ac:dyDescent="0.5">
      <c r="B115" s="7">
        <f t="shared" si="8"/>
        <v>1.485000000000011</v>
      </c>
      <c r="C115" s="8">
        <f t="shared" si="9"/>
        <v>-0.48499999999999954</v>
      </c>
      <c r="D115" s="9">
        <f t="shared" si="10"/>
        <v>0.14826466200683255</v>
      </c>
      <c r="E115" s="9">
        <f t="shared" si="11"/>
        <v>4.5450000000000691E-2</v>
      </c>
      <c r="F115" s="13" t="e">
        <f t="shared" si="12"/>
        <v>#N/A</v>
      </c>
      <c r="G115" s="13" t="e">
        <f t="shared" si="13"/>
        <v>#N/A</v>
      </c>
    </row>
    <row r="116" spans="2:7" ht="24" thickBot="1" x14ac:dyDescent="0.5">
      <c r="B116" s="7">
        <f t="shared" si="8"/>
        <v>1.4800000000000111</v>
      </c>
      <c r="C116" s="8">
        <f t="shared" si="9"/>
        <v>-0.47999999999999954</v>
      </c>
      <c r="D116" s="9">
        <f t="shared" si="10"/>
        <v>0.1476883204590001</v>
      </c>
      <c r="E116" s="9">
        <f t="shared" si="11"/>
        <v>4.5600000000000702E-2</v>
      </c>
      <c r="F116" s="13" t="e">
        <f t="shared" si="12"/>
        <v>#N/A</v>
      </c>
      <c r="G116" s="13" t="e">
        <f t="shared" si="13"/>
        <v>#N/A</v>
      </c>
    </row>
    <row r="117" spans="2:7" ht="24" thickBot="1" x14ac:dyDescent="0.5">
      <c r="B117" s="7">
        <f t="shared" si="8"/>
        <v>1.4750000000000112</v>
      </c>
      <c r="C117" s="8">
        <f t="shared" si="9"/>
        <v>-0.47499999999999953</v>
      </c>
      <c r="D117" s="9">
        <f t="shared" si="10"/>
        <v>0.1471130517663212</v>
      </c>
      <c r="E117" s="9">
        <f t="shared" si="11"/>
        <v>4.5750000000000707E-2</v>
      </c>
      <c r="F117" s="13" t="e">
        <f t="shared" si="12"/>
        <v>#N/A</v>
      </c>
      <c r="G117" s="13" t="e">
        <f t="shared" si="13"/>
        <v>#N/A</v>
      </c>
    </row>
    <row r="118" spans="2:7" ht="24" thickBot="1" x14ac:dyDescent="0.5">
      <c r="B118" s="7">
        <f t="shared" si="8"/>
        <v>1.4700000000000113</v>
      </c>
      <c r="C118" s="8">
        <f t="shared" si="9"/>
        <v>-0.46999999999999953</v>
      </c>
      <c r="D118" s="9">
        <f t="shared" si="10"/>
        <v>0.14653886856394213</v>
      </c>
      <c r="E118" s="9">
        <f t="shared" si="11"/>
        <v>4.5900000000000725E-2</v>
      </c>
      <c r="F118" s="13" t="e">
        <f t="shared" si="12"/>
        <v>#N/A</v>
      </c>
      <c r="G118" s="13" t="e">
        <f t="shared" si="13"/>
        <v>#N/A</v>
      </c>
    </row>
    <row r="119" spans="2:7" ht="24" thickBot="1" x14ac:dyDescent="0.5">
      <c r="B119" s="7">
        <f t="shared" si="8"/>
        <v>1.4650000000000114</v>
      </c>
      <c r="C119" s="8">
        <f t="shared" si="9"/>
        <v>-0.46499999999999952</v>
      </c>
      <c r="D119" s="9">
        <f t="shared" si="10"/>
        <v>0.14596578366178942</v>
      </c>
      <c r="E119" s="9">
        <f t="shared" si="11"/>
        <v>4.6050000000000729E-2</v>
      </c>
      <c r="F119" s="13" t="e">
        <f t="shared" si="12"/>
        <v>#N/A</v>
      </c>
      <c r="G119" s="13" t="e">
        <f t="shared" si="13"/>
        <v>#N/A</v>
      </c>
    </row>
    <row r="120" spans="2:7" ht="24" thickBot="1" x14ac:dyDescent="0.5">
      <c r="B120" s="7">
        <f t="shared" si="8"/>
        <v>1.4600000000000115</v>
      </c>
      <c r="C120" s="8">
        <f t="shared" si="9"/>
        <v>-0.45999999999999952</v>
      </c>
      <c r="D120" s="9">
        <f t="shared" si="10"/>
        <v>0.14539381004705912</v>
      </c>
      <c r="E120" s="9">
        <f t="shared" si="11"/>
        <v>4.6200000000000734E-2</v>
      </c>
      <c r="F120" s="13" t="e">
        <f t="shared" si="12"/>
        <v>#N/A</v>
      </c>
      <c r="G120" s="13" t="e">
        <f t="shared" si="13"/>
        <v>#N/A</v>
      </c>
    </row>
    <row r="121" spans="2:7" ht="24" thickBot="1" x14ac:dyDescent="0.5">
      <c r="B121" s="7">
        <f t="shared" si="8"/>
        <v>1.4550000000000116</v>
      </c>
      <c r="C121" s="8">
        <f t="shared" si="9"/>
        <v>-0.45499999999999952</v>
      </c>
      <c r="D121" s="9">
        <f t="shared" si="10"/>
        <v>0.14482296088673341</v>
      </c>
      <c r="E121" s="9">
        <f t="shared" si="11"/>
        <v>4.6350000000000745E-2</v>
      </c>
      <c r="F121" s="13" t="e">
        <f t="shared" si="12"/>
        <v>#N/A</v>
      </c>
      <c r="G121" s="13" t="e">
        <f t="shared" si="13"/>
        <v>#N/A</v>
      </c>
    </row>
    <row r="122" spans="2:7" ht="24" thickBot="1" x14ac:dyDescent="0.5">
      <c r="B122" s="7">
        <f t="shared" si="8"/>
        <v>1.4500000000000117</v>
      </c>
      <c r="C122" s="8">
        <f t="shared" si="9"/>
        <v>-0.44999999999999951</v>
      </c>
      <c r="D122" s="9">
        <f t="shared" si="10"/>
        <v>0.14425324953012433</v>
      </c>
      <c r="E122" s="9">
        <f t="shared" si="11"/>
        <v>4.6500000000000749E-2</v>
      </c>
      <c r="F122" s="13" t="e">
        <f t="shared" si="12"/>
        <v>#N/A</v>
      </c>
      <c r="G122" s="13" t="e">
        <f t="shared" si="13"/>
        <v>#N/A</v>
      </c>
    </row>
    <row r="123" spans="2:7" ht="24" thickBot="1" x14ac:dyDescent="0.5">
      <c r="B123" s="7">
        <f t="shared" si="8"/>
        <v>1.4450000000000118</v>
      </c>
      <c r="C123" s="8">
        <f t="shared" si="9"/>
        <v>-0.44499999999999951</v>
      </c>
      <c r="D123" s="9">
        <f t="shared" si="10"/>
        <v>0.14368468951144486</v>
      </c>
      <c r="E123" s="9">
        <f t="shared" si="11"/>
        <v>4.6650000000000753E-2</v>
      </c>
      <c r="F123" s="13" t="e">
        <f t="shared" si="12"/>
        <v>#N/A</v>
      </c>
      <c r="G123" s="13" t="e">
        <f t="shared" si="13"/>
        <v>#N/A</v>
      </c>
    </row>
    <row r="124" spans="2:7" ht="24" thickBot="1" x14ac:dyDescent="0.5">
      <c r="B124" s="7">
        <f t="shared" si="8"/>
        <v>1.4400000000000119</v>
      </c>
      <c r="C124" s="8">
        <f t="shared" si="9"/>
        <v>-0.4399999999999995</v>
      </c>
      <c r="D124" s="9">
        <f t="shared" si="10"/>
        <v>0.14311729455240663</v>
      </c>
      <c r="E124" s="9">
        <f t="shared" si="11"/>
        <v>4.6800000000000758E-2</v>
      </c>
      <c r="F124" s="13" t="e">
        <f t="shared" si="12"/>
        <v>#N/A</v>
      </c>
      <c r="G124" s="13" t="e">
        <f t="shared" si="13"/>
        <v>#N/A</v>
      </c>
    </row>
    <row r="125" spans="2:7" ht="24" thickBot="1" x14ac:dyDescent="0.5">
      <c r="B125" s="7">
        <f t="shared" si="8"/>
        <v>1.435000000000012</v>
      </c>
      <c r="C125" s="8">
        <f t="shared" si="9"/>
        <v>-0.4349999999999995</v>
      </c>
      <c r="D125" s="9">
        <f t="shared" si="10"/>
        <v>0.14255107856484397</v>
      </c>
      <c r="E125" s="9">
        <f t="shared" si="11"/>
        <v>4.6950000000000762E-2</v>
      </c>
      <c r="F125" s="13" t="e">
        <f t="shared" si="12"/>
        <v>#N/A</v>
      </c>
      <c r="G125" s="13" t="e">
        <f t="shared" si="13"/>
        <v>#N/A</v>
      </c>
    </row>
    <row r="126" spans="2:7" ht="24" thickBot="1" x14ac:dyDescent="0.5">
      <c r="B126" s="7">
        <f t="shared" si="8"/>
        <v>1.4300000000000122</v>
      </c>
      <c r="C126" s="8">
        <f t="shared" si="9"/>
        <v>-0.42999999999999949</v>
      </c>
      <c r="D126" s="9">
        <f t="shared" si="10"/>
        <v>0.1419860556533645</v>
      </c>
      <c r="E126" s="9">
        <f t="shared" si="11"/>
        <v>4.7100000000000773E-2</v>
      </c>
      <c r="F126" s="13" t="e">
        <f t="shared" si="12"/>
        <v>#N/A</v>
      </c>
      <c r="G126" s="13" t="e">
        <f t="shared" si="13"/>
        <v>#N/A</v>
      </c>
    </row>
    <row r="127" spans="2:7" ht="24" thickBot="1" x14ac:dyDescent="0.5">
      <c r="B127" s="7">
        <f t="shared" si="8"/>
        <v>1.4250000000000123</v>
      </c>
      <c r="C127" s="8">
        <f t="shared" si="9"/>
        <v>-0.42499999999999949</v>
      </c>
      <c r="D127" s="9">
        <f t="shared" si="10"/>
        <v>0.14142224011802501</v>
      </c>
      <c r="E127" s="9">
        <f t="shared" si="11"/>
        <v>4.7250000000000777E-2</v>
      </c>
      <c r="F127" s="13" t="e">
        <f t="shared" si="12"/>
        <v>#N/A</v>
      </c>
      <c r="G127" s="13" t="e">
        <f t="shared" si="13"/>
        <v>#N/A</v>
      </c>
    </row>
    <row r="128" spans="2:7" ht="24" thickBot="1" x14ac:dyDescent="0.5">
      <c r="B128" s="7">
        <f t="shared" si="8"/>
        <v>1.4200000000000124</v>
      </c>
      <c r="C128" s="8">
        <f t="shared" si="9"/>
        <v>-0.41999999999999948</v>
      </c>
      <c r="D128" s="9">
        <f t="shared" si="10"/>
        <v>0.140859646457033</v>
      </c>
      <c r="E128" s="9">
        <f t="shared" si="11"/>
        <v>4.7400000000000782E-2</v>
      </c>
      <c r="F128" s="13" t="e">
        <f t="shared" si="12"/>
        <v>#N/A</v>
      </c>
      <c r="G128" s="13" t="e">
        <f t="shared" si="13"/>
        <v>#N/A</v>
      </c>
    </row>
    <row r="129" spans="2:7" ht="24" thickBot="1" x14ac:dyDescent="0.5">
      <c r="B129" s="7">
        <f t="shared" si="8"/>
        <v>1.4150000000000125</v>
      </c>
      <c r="C129" s="8">
        <f t="shared" si="9"/>
        <v>-0.41499999999999948</v>
      </c>
      <c r="D129" s="9">
        <f t="shared" si="10"/>
        <v>0.14029828936947281</v>
      </c>
      <c r="E129" s="9">
        <f t="shared" si="11"/>
        <v>4.7550000000000786E-2</v>
      </c>
      <c r="F129" s="13" t="e">
        <f t="shared" si="12"/>
        <v>#N/A</v>
      </c>
      <c r="G129" s="13" t="e">
        <f t="shared" si="13"/>
        <v>#N/A</v>
      </c>
    </row>
    <row r="130" spans="2:7" ht="24" thickBot="1" x14ac:dyDescent="0.5">
      <c r="B130" s="7">
        <f t="shared" si="8"/>
        <v>1.4100000000000126</v>
      </c>
      <c r="C130" s="8">
        <f t="shared" si="9"/>
        <v>-0.40999999999999948</v>
      </c>
      <c r="D130" s="9">
        <f t="shared" si="10"/>
        <v>0.13973818375805638</v>
      </c>
      <c r="E130" s="9">
        <f t="shared" si="11"/>
        <v>4.7700000000000804E-2</v>
      </c>
      <c r="F130" s="13" t="e">
        <f t="shared" si="12"/>
        <v>#N/A</v>
      </c>
      <c r="G130" s="13" t="e">
        <f t="shared" si="13"/>
        <v>#N/A</v>
      </c>
    </row>
    <row r="131" spans="2:7" ht="24" thickBot="1" x14ac:dyDescent="0.5">
      <c r="B131" s="7">
        <f t="shared" si="8"/>
        <v>1.4050000000000127</v>
      </c>
      <c r="C131" s="8">
        <f t="shared" si="9"/>
        <v>-0.40499999999999947</v>
      </c>
      <c r="D131" s="9">
        <f t="shared" si="10"/>
        <v>0.13917934473189739</v>
      </c>
      <c r="E131" s="9">
        <f t="shared" si="11"/>
        <v>4.7850000000000815E-2</v>
      </c>
      <c r="F131" s="13" t="e">
        <f t="shared" si="12"/>
        <v>#N/A</v>
      </c>
      <c r="G131" s="13" t="e">
        <f t="shared" si="13"/>
        <v>#N/A</v>
      </c>
    </row>
    <row r="132" spans="2:7" ht="24" thickBot="1" x14ac:dyDescent="0.5">
      <c r="B132" s="7">
        <f t="shared" si="8"/>
        <v>1.4000000000000128</v>
      </c>
      <c r="C132" s="8">
        <f t="shared" si="9"/>
        <v>-0.39999999999999947</v>
      </c>
      <c r="D132" s="9">
        <f t="shared" si="10"/>
        <v>0.13862178760930885</v>
      </c>
      <c r="E132" s="9">
        <f t="shared" si="11"/>
        <v>4.800000000000082E-2</v>
      </c>
      <c r="F132" s="13" t="e">
        <f t="shared" si="12"/>
        <v>#N/A</v>
      </c>
      <c r="G132" s="13" t="e">
        <f t="shared" si="13"/>
        <v>#N/A</v>
      </c>
    </row>
    <row r="133" spans="2:7" ht="24" thickBot="1" x14ac:dyDescent="0.5">
      <c r="B133" s="7">
        <f t="shared" si="8"/>
        <v>1.3950000000000129</v>
      </c>
      <c r="C133" s="8">
        <f t="shared" si="9"/>
        <v>-0.39499999999999946</v>
      </c>
      <c r="D133" s="9">
        <f t="shared" si="10"/>
        <v>0.13806552792062302</v>
      </c>
      <c r="E133" s="9">
        <f t="shared" si="11"/>
        <v>4.8150000000000824E-2</v>
      </c>
      <c r="F133" s="13" t="e">
        <f t="shared" si="12"/>
        <v>#N/A</v>
      </c>
      <c r="G133" s="13" t="e">
        <f t="shared" si="13"/>
        <v>#N/A</v>
      </c>
    </row>
    <row r="134" spans="2:7" ht="24" thickBot="1" x14ac:dyDescent="0.5">
      <c r="B134" s="7">
        <f t="shared" si="8"/>
        <v>1.390000000000013</v>
      </c>
      <c r="C134" s="8">
        <f t="shared" si="9"/>
        <v>-0.38999999999999946</v>
      </c>
      <c r="D134" s="9">
        <f t="shared" si="10"/>
        <v>0.13751058141103301</v>
      </c>
      <c r="E134" s="9">
        <f t="shared" si="11"/>
        <v>4.8300000000000828E-2</v>
      </c>
      <c r="F134" s="13" t="e">
        <f t="shared" si="12"/>
        <v>#N/A</v>
      </c>
      <c r="G134" s="13" t="e">
        <f t="shared" si="13"/>
        <v>#N/A</v>
      </c>
    </row>
    <row r="135" spans="2:7" ht="24" thickBot="1" x14ac:dyDescent="0.5">
      <c r="B135" s="7">
        <f t="shared" si="8"/>
        <v>1.3850000000000131</v>
      </c>
      <c r="C135" s="8">
        <f t="shared" si="9"/>
        <v>-0.38499999999999945</v>
      </c>
      <c r="D135" s="9">
        <f t="shared" si="10"/>
        <v>0.13695696404345542</v>
      </c>
      <c r="E135" s="9">
        <f t="shared" si="11"/>
        <v>4.8450000000000833E-2</v>
      </c>
      <c r="F135" s="13" t="e">
        <f t="shared" si="12"/>
        <v>#N/A</v>
      </c>
      <c r="G135" s="13" t="e">
        <f t="shared" si="13"/>
        <v>#N/A</v>
      </c>
    </row>
    <row r="136" spans="2:7" ht="24" thickBot="1" x14ac:dyDescent="0.5">
      <c r="B136" s="7">
        <f t="shared" si="8"/>
        <v>1.3800000000000132</v>
      </c>
      <c r="C136" s="8">
        <f t="shared" si="9"/>
        <v>-0.37999999999999945</v>
      </c>
      <c r="D136" s="9">
        <f t="shared" si="10"/>
        <v>0.136404692001413</v>
      </c>
      <c r="E136" s="9">
        <f t="shared" si="11"/>
        <v>4.8600000000000844E-2</v>
      </c>
      <c r="F136" s="13" t="e">
        <f t="shared" si="12"/>
        <v>#N/A</v>
      </c>
      <c r="G136" s="13" t="e">
        <f t="shared" si="13"/>
        <v>#N/A</v>
      </c>
    </row>
    <row r="137" spans="2:7" ht="24" thickBot="1" x14ac:dyDescent="0.5">
      <c r="B137" s="7">
        <f t="shared" si="8"/>
        <v>1.3750000000000133</v>
      </c>
      <c r="C137" s="8">
        <f t="shared" si="9"/>
        <v>-0.37499999999999944</v>
      </c>
      <c r="D137" s="9">
        <f t="shared" si="10"/>
        <v>0.13585378169193651</v>
      </c>
      <c r="E137" s="9">
        <f t="shared" si="11"/>
        <v>4.8750000000000848E-2</v>
      </c>
      <c r="F137" s="13" t="e">
        <f t="shared" si="12"/>
        <v>#N/A</v>
      </c>
      <c r="G137" s="13" t="e">
        <f t="shared" si="13"/>
        <v>#N/A</v>
      </c>
    </row>
    <row r="138" spans="2:7" ht="24" thickBot="1" x14ac:dyDescent="0.5">
      <c r="B138" s="7">
        <f t="shared" si="8"/>
        <v>1.3700000000000134</v>
      </c>
      <c r="C138" s="8">
        <f t="shared" si="9"/>
        <v>-0.36999999999999944</v>
      </c>
      <c r="D138" s="9">
        <f t="shared" si="10"/>
        <v>0.13530424974848479</v>
      </c>
      <c r="E138" s="9">
        <f t="shared" si="11"/>
        <v>4.8900000000000853E-2</v>
      </c>
      <c r="F138" s="13" t="e">
        <f t="shared" si="12"/>
        <v>#N/A</v>
      </c>
      <c r="G138" s="13" t="e">
        <f t="shared" si="13"/>
        <v>#N/A</v>
      </c>
    </row>
    <row r="139" spans="2:7" ht="24" thickBot="1" x14ac:dyDescent="0.5">
      <c r="B139" s="7">
        <f t="shared" si="8"/>
        <v>1.3650000000000135</v>
      </c>
      <c r="C139" s="8">
        <f t="shared" si="9"/>
        <v>-0.36499999999999944</v>
      </c>
      <c r="D139" s="9">
        <f t="shared" si="10"/>
        <v>0.13475611303388188</v>
      </c>
      <c r="E139" s="9">
        <f t="shared" si="11"/>
        <v>4.9050000000000857E-2</v>
      </c>
      <c r="F139" s="13" t="e">
        <f t="shared" si="12"/>
        <v>#N/A</v>
      </c>
      <c r="G139" s="13" t="e">
        <f t="shared" si="13"/>
        <v>#N/A</v>
      </c>
    </row>
    <row r="140" spans="2:7" ht="24" thickBot="1" x14ac:dyDescent="0.5">
      <c r="B140" s="7">
        <f t="shared" si="8"/>
        <v>1.3600000000000136</v>
      </c>
      <c r="C140" s="8">
        <f t="shared" si="9"/>
        <v>-0.35999999999999943</v>
      </c>
      <c r="D140" s="9">
        <f t="shared" si="10"/>
        <v>0.13420938864327023</v>
      </c>
      <c r="E140" s="9">
        <f t="shared" si="11"/>
        <v>4.9200000000000861E-2</v>
      </c>
      <c r="F140" s="13" t="e">
        <f t="shared" si="12"/>
        <v>#N/A</v>
      </c>
      <c r="G140" s="13" t="e">
        <f t="shared" si="13"/>
        <v>#N/A</v>
      </c>
    </row>
    <row r="141" spans="2:7" ht="24" thickBot="1" x14ac:dyDescent="0.5">
      <c r="B141" s="7">
        <f t="shared" si="8"/>
        <v>1.3550000000000137</v>
      </c>
      <c r="C141" s="8">
        <f t="shared" si="9"/>
        <v>-0.35499999999999943</v>
      </c>
      <c r="D141" s="9">
        <f t="shared" si="10"/>
        <v>0.1336640939070787</v>
      </c>
      <c r="E141" s="9">
        <f t="shared" si="11"/>
        <v>4.9350000000000865E-2</v>
      </c>
      <c r="F141" s="13" t="e">
        <f t="shared" si="12"/>
        <v>#N/A</v>
      </c>
      <c r="G141" s="13" t="e">
        <f t="shared" si="13"/>
        <v>#N/A</v>
      </c>
    </row>
    <row r="142" spans="2:7" ht="24" thickBot="1" x14ac:dyDescent="0.5">
      <c r="B142" s="7">
        <f t="shared" ref="B142:B205" si="14">B141-0.5%</f>
        <v>1.3500000000000139</v>
      </c>
      <c r="C142" s="8">
        <f t="shared" ref="C142:C205" si="15">C141+0.5%</f>
        <v>-0.34999999999999942</v>
      </c>
      <c r="D142" s="9">
        <f t="shared" ref="D142:D205" si="16">SQRT(B142^2*$D$4^2+C142^2*$D$5^2+2*C142*B142*$D$4*$D$5*$D$6)</f>
        <v>0.13312024639400405</v>
      </c>
      <c r="E142" s="9">
        <f t="shared" ref="E142:E205" si="17">$F$4*B142+$F$5*C142</f>
        <v>4.9500000000000891E-2</v>
      </c>
      <c r="F142" s="13" t="e">
        <f t="shared" ref="F142:F205" si="18">IF(E142&gt;=$I$9,D142,NA())</f>
        <v>#N/A</v>
      </c>
      <c r="G142" s="13" t="e">
        <f t="shared" ref="G142:G205" si="19">IF(E142&gt;=$I$9,E142,NA())</f>
        <v>#N/A</v>
      </c>
    </row>
    <row r="143" spans="2:7" ht="24" thickBot="1" x14ac:dyDescent="0.5">
      <c r="B143" s="7">
        <f t="shared" si="14"/>
        <v>1.345000000000014</v>
      </c>
      <c r="C143" s="8">
        <f t="shared" si="15"/>
        <v>-0.34499999999999942</v>
      </c>
      <c r="D143" s="9">
        <f t="shared" si="16"/>
        <v>0.13257786391400472</v>
      </c>
      <c r="E143" s="9">
        <f t="shared" si="17"/>
        <v>4.9650000000000895E-2</v>
      </c>
      <c r="F143" s="13" t="e">
        <f t="shared" si="18"/>
        <v>#N/A</v>
      </c>
      <c r="G143" s="13" t="e">
        <f t="shared" si="19"/>
        <v>#N/A</v>
      </c>
    </row>
    <row r="144" spans="2:7" ht="24" thickBot="1" x14ac:dyDescent="0.5">
      <c r="B144" s="7">
        <f t="shared" si="14"/>
        <v>1.3400000000000141</v>
      </c>
      <c r="C144" s="8">
        <f t="shared" si="15"/>
        <v>-0.33999999999999941</v>
      </c>
      <c r="D144" s="9">
        <f t="shared" si="16"/>
        <v>0.13203696452130501</v>
      </c>
      <c r="E144" s="9">
        <f t="shared" si="17"/>
        <v>4.9800000000000899E-2</v>
      </c>
      <c r="F144" s="13" t="e">
        <f t="shared" si="18"/>
        <v>#N/A</v>
      </c>
      <c r="G144" s="13" t="e">
        <f t="shared" si="19"/>
        <v>#N/A</v>
      </c>
    </row>
    <row r="145" spans="2:7" ht="24" thickBot="1" x14ac:dyDescent="0.5">
      <c r="B145" s="7">
        <f t="shared" si="14"/>
        <v>1.3350000000000142</v>
      </c>
      <c r="C145" s="8">
        <f t="shared" si="15"/>
        <v>-0.33499999999999941</v>
      </c>
      <c r="D145" s="9">
        <f t="shared" si="16"/>
        <v>0.13149756651740882</v>
      </c>
      <c r="E145" s="9">
        <f t="shared" si="17"/>
        <v>4.995000000000091E-2</v>
      </c>
      <c r="F145" s="13" t="e">
        <f t="shared" si="18"/>
        <v>#N/A</v>
      </c>
      <c r="G145" s="13" t="e">
        <f t="shared" si="19"/>
        <v>#N/A</v>
      </c>
    </row>
    <row r="146" spans="2:7" ht="24" thickBot="1" x14ac:dyDescent="0.5">
      <c r="B146" s="7">
        <f t="shared" si="14"/>
        <v>1.3300000000000143</v>
      </c>
      <c r="C146" s="8">
        <f t="shared" si="15"/>
        <v>-0.3299999999999994</v>
      </c>
      <c r="D146" s="9">
        <f t="shared" si="16"/>
        <v>0.1309596884541207</v>
      </c>
      <c r="E146" s="9">
        <f t="shared" si="17"/>
        <v>5.0100000000000908E-2</v>
      </c>
      <c r="F146" s="13" t="e">
        <f t="shared" si="18"/>
        <v>#N/A</v>
      </c>
      <c r="G146" s="13" t="e">
        <f t="shared" si="19"/>
        <v>#N/A</v>
      </c>
    </row>
    <row r="147" spans="2:7" ht="24" thickBot="1" x14ac:dyDescent="0.5">
      <c r="B147" s="7">
        <f t="shared" si="14"/>
        <v>1.3250000000000144</v>
      </c>
      <c r="C147" s="8">
        <f t="shared" si="15"/>
        <v>-0.3249999999999994</v>
      </c>
      <c r="D147" s="9">
        <f t="shared" si="16"/>
        <v>0.13042334913657277</v>
      </c>
      <c r="E147" s="9">
        <f t="shared" si="17"/>
        <v>5.0250000000000919E-2</v>
      </c>
      <c r="F147" s="13" t="e">
        <f t="shared" si="18"/>
        <v>#N/A</v>
      </c>
      <c r="G147" s="13" t="e">
        <f t="shared" si="19"/>
        <v>#N/A</v>
      </c>
    </row>
    <row r="148" spans="2:7" ht="24" thickBot="1" x14ac:dyDescent="0.5">
      <c r="B148" s="7">
        <f t="shared" si="14"/>
        <v>1.3200000000000145</v>
      </c>
      <c r="C148" s="8">
        <f t="shared" si="15"/>
        <v>-0.3199999999999994</v>
      </c>
      <c r="D148" s="9">
        <f t="shared" si="16"/>
        <v>0.12988856762625556</v>
      </c>
      <c r="E148" s="9">
        <f t="shared" si="17"/>
        <v>5.0400000000000923E-2</v>
      </c>
      <c r="F148" s="13" t="e">
        <f t="shared" si="18"/>
        <v>#N/A</v>
      </c>
      <c r="G148" s="13" t="e">
        <f t="shared" si="19"/>
        <v>#N/A</v>
      </c>
    </row>
    <row r="149" spans="2:7" ht="24" thickBot="1" x14ac:dyDescent="0.5">
      <c r="B149" s="7">
        <f t="shared" si="14"/>
        <v>1.3150000000000146</v>
      </c>
      <c r="C149" s="8">
        <f t="shared" si="15"/>
        <v>-0.31499999999999939</v>
      </c>
      <c r="D149" s="9">
        <f t="shared" si="16"/>
        <v>0.12935536324405092</v>
      </c>
      <c r="E149" s="9">
        <f t="shared" si="17"/>
        <v>5.0550000000000928E-2</v>
      </c>
      <c r="F149" s="13" t="e">
        <f t="shared" si="18"/>
        <v>#N/A</v>
      </c>
      <c r="G149" s="13" t="e">
        <f t="shared" si="19"/>
        <v>#N/A</v>
      </c>
    </row>
    <row r="150" spans="2:7" ht="24" thickBot="1" x14ac:dyDescent="0.5">
      <c r="B150" s="7">
        <f t="shared" si="14"/>
        <v>1.3100000000000147</v>
      </c>
      <c r="C150" s="8">
        <f t="shared" si="15"/>
        <v>-0.30999999999999939</v>
      </c>
      <c r="D150" s="9">
        <f t="shared" si="16"/>
        <v>0.12882375557326514</v>
      </c>
      <c r="E150" s="9">
        <f t="shared" si="17"/>
        <v>5.0700000000000939E-2</v>
      </c>
      <c r="F150" s="13" t="e">
        <f t="shared" si="18"/>
        <v>#N/A</v>
      </c>
      <c r="G150" s="13" t="e">
        <f t="shared" si="19"/>
        <v>#N/A</v>
      </c>
    </row>
    <row r="151" spans="2:7" ht="24" thickBot="1" x14ac:dyDescent="0.5">
      <c r="B151" s="7">
        <f t="shared" si="14"/>
        <v>1.3050000000000148</v>
      </c>
      <c r="C151" s="8">
        <f t="shared" si="15"/>
        <v>-0.30499999999999938</v>
      </c>
      <c r="D151" s="9">
        <f t="shared" si="16"/>
        <v>0.12829376446265953</v>
      </c>
      <c r="E151" s="9">
        <f t="shared" si="17"/>
        <v>5.0850000000000936E-2</v>
      </c>
      <c r="F151" s="13" t="e">
        <f t="shared" si="18"/>
        <v>#N/A</v>
      </c>
      <c r="G151" s="13" t="e">
        <f t="shared" si="19"/>
        <v>#N/A</v>
      </c>
    </row>
    <row r="152" spans="2:7" ht="24" thickBot="1" x14ac:dyDescent="0.5">
      <c r="B152" s="7">
        <f t="shared" si="14"/>
        <v>1.3000000000000149</v>
      </c>
      <c r="C152" s="8">
        <f t="shared" si="15"/>
        <v>-0.29999999999999938</v>
      </c>
      <c r="D152" s="9">
        <f t="shared" si="16"/>
        <v>0.12776541002947694</v>
      </c>
      <c r="E152" s="9">
        <f t="shared" si="17"/>
        <v>5.1000000000000947E-2</v>
      </c>
      <c r="F152" s="13" t="e">
        <f t="shared" si="18"/>
        <v>#N/A</v>
      </c>
      <c r="G152" s="13" t="e">
        <f t="shared" si="19"/>
        <v>#N/A</v>
      </c>
    </row>
    <row r="153" spans="2:7" ht="24" thickBot="1" x14ac:dyDescent="0.5">
      <c r="B153" s="7">
        <f t="shared" si="14"/>
        <v>1.295000000000015</v>
      </c>
      <c r="C153" s="8">
        <f t="shared" si="15"/>
        <v>-0.29499999999999937</v>
      </c>
      <c r="D153" s="9">
        <f t="shared" si="16"/>
        <v>0.12723871266246123</v>
      </c>
      <c r="E153" s="9">
        <f t="shared" si="17"/>
        <v>5.1150000000000952E-2</v>
      </c>
      <c r="F153" s="13" t="e">
        <f t="shared" si="18"/>
        <v>#N/A</v>
      </c>
      <c r="G153" s="13" t="e">
        <f t="shared" si="19"/>
        <v>#N/A</v>
      </c>
    </row>
    <row r="154" spans="2:7" ht="24" thickBot="1" x14ac:dyDescent="0.5">
      <c r="B154" s="7">
        <f t="shared" si="14"/>
        <v>1.2900000000000151</v>
      </c>
      <c r="C154" s="8">
        <f t="shared" si="15"/>
        <v>-0.28999999999999937</v>
      </c>
      <c r="D154" s="9">
        <f t="shared" si="16"/>
        <v>0.12671369302486754</v>
      </c>
      <c r="E154" s="9">
        <f t="shared" si="17"/>
        <v>5.1300000000000956E-2</v>
      </c>
      <c r="F154" s="13" t="e">
        <f t="shared" si="18"/>
        <v>#N/A</v>
      </c>
      <c r="G154" s="13" t="e">
        <f t="shared" si="19"/>
        <v>#N/A</v>
      </c>
    </row>
    <row r="155" spans="2:7" ht="24" thickBot="1" x14ac:dyDescent="0.5">
      <c r="B155" s="7">
        <f t="shared" si="14"/>
        <v>1.2850000000000152</v>
      </c>
      <c r="C155" s="8">
        <f t="shared" si="15"/>
        <v>-0.28499999999999936</v>
      </c>
      <c r="D155" s="9">
        <f t="shared" si="16"/>
        <v>0.12619037205746075</v>
      </c>
      <c r="E155" s="9">
        <f t="shared" si="17"/>
        <v>5.1450000000000981E-2</v>
      </c>
      <c r="F155" s="13" t="e">
        <f t="shared" si="18"/>
        <v>#N/A</v>
      </c>
      <c r="G155" s="13" t="e">
        <f t="shared" si="19"/>
        <v>#N/A</v>
      </c>
    </row>
    <row r="156" spans="2:7" ht="24" thickBot="1" x14ac:dyDescent="0.5">
      <c r="B156" s="7">
        <f t="shared" si="14"/>
        <v>1.2800000000000153</v>
      </c>
      <c r="C156" s="8">
        <f t="shared" si="15"/>
        <v>-0.27999999999999936</v>
      </c>
      <c r="D156" s="9">
        <f t="shared" si="16"/>
        <v>0.12566877098149873</v>
      </c>
      <c r="E156" s="9">
        <f t="shared" si="17"/>
        <v>5.1600000000000978E-2</v>
      </c>
      <c r="F156" s="13" t="e">
        <f t="shared" si="18"/>
        <v>#N/A</v>
      </c>
      <c r="G156" s="13" t="e">
        <f t="shared" si="19"/>
        <v>#N/A</v>
      </c>
    </row>
    <row r="157" spans="2:7" ht="24" thickBot="1" x14ac:dyDescent="0.5">
      <c r="B157" s="7">
        <f t="shared" si="14"/>
        <v>1.2750000000000155</v>
      </c>
      <c r="C157" s="8">
        <f t="shared" si="15"/>
        <v>-0.27499999999999936</v>
      </c>
      <c r="D157" s="9">
        <f t="shared" si="16"/>
        <v>0.12514891130169842</v>
      </c>
      <c r="E157" s="9">
        <f t="shared" si="17"/>
        <v>5.175000000000099E-2</v>
      </c>
      <c r="F157" s="13" t="e">
        <f t="shared" si="18"/>
        <v>#N/A</v>
      </c>
      <c r="G157" s="13" t="e">
        <f t="shared" si="19"/>
        <v>#N/A</v>
      </c>
    </row>
    <row r="158" spans="2:7" ht="24" thickBot="1" x14ac:dyDescent="0.5">
      <c r="B158" s="7">
        <f t="shared" si="14"/>
        <v>1.2700000000000156</v>
      </c>
      <c r="C158" s="8">
        <f t="shared" si="15"/>
        <v>-0.26999999999999935</v>
      </c>
      <c r="D158" s="9">
        <f t="shared" si="16"/>
        <v>0.12463081480918103</v>
      </c>
      <c r="E158" s="9">
        <f t="shared" si="17"/>
        <v>5.1900000000000994E-2</v>
      </c>
      <c r="F158" s="13" t="e">
        <f t="shared" si="18"/>
        <v>#N/A</v>
      </c>
      <c r="G158" s="13" t="e">
        <f t="shared" si="19"/>
        <v>#N/A</v>
      </c>
    </row>
    <row r="159" spans="2:7" ht="24" thickBot="1" x14ac:dyDescent="0.5">
      <c r="B159" s="7">
        <f t="shared" si="14"/>
        <v>1.2650000000000157</v>
      </c>
      <c r="C159" s="8">
        <f t="shared" si="15"/>
        <v>-0.26499999999999935</v>
      </c>
      <c r="D159" s="9">
        <f t="shared" si="16"/>
        <v>0.1241145035843933</v>
      </c>
      <c r="E159" s="9">
        <f t="shared" si="17"/>
        <v>5.2050000000000998E-2</v>
      </c>
      <c r="F159" s="13" t="e">
        <f t="shared" si="18"/>
        <v>#N/A</v>
      </c>
      <c r="G159" s="13" t="e">
        <f t="shared" si="19"/>
        <v>#N/A</v>
      </c>
    </row>
    <row r="160" spans="2:7" ht="24" thickBot="1" x14ac:dyDescent="0.5">
      <c r="B160" s="7">
        <f t="shared" si="14"/>
        <v>1.2600000000000158</v>
      </c>
      <c r="C160" s="8">
        <f t="shared" si="15"/>
        <v>-0.25999999999999934</v>
      </c>
      <c r="D160" s="9">
        <f t="shared" si="16"/>
        <v>0.12360000000000154</v>
      </c>
      <c r="E160" s="9">
        <f t="shared" si="17"/>
        <v>5.2200000000001003E-2</v>
      </c>
      <c r="F160" s="13" t="e">
        <f t="shared" si="18"/>
        <v>#N/A</v>
      </c>
      <c r="G160" s="13" t="e">
        <f t="shared" si="19"/>
        <v>#N/A</v>
      </c>
    </row>
    <row r="161" spans="2:7" ht="24" thickBot="1" x14ac:dyDescent="0.5">
      <c r="B161" s="7">
        <f t="shared" si="14"/>
        <v>1.2550000000000159</v>
      </c>
      <c r="C161" s="8">
        <f t="shared" si="15"/>
        <v>-0.25499999999999934</v>
      </c>
      <c r="D161" s="9">
        <f t="shared" si="16"/>
        <v>0.12308732672375487</v>
      </c>
      <c r="E161" s="9">
        <f t="shared" si="17"/>
        <v>5.2350000000001007E-2</v>
      </c>
      <c r="F161" s="13" t="e">
        <f t="shared" si="18"/>
        <v>#N/A</v>
      </c>
      <c r="G161" s="13" t="e">
        <f t="shared" si="19"/>
        <v>#N/A</v>
      </c>
    </row>
    <row r="162" spans="2:7" ht="24" thickBot="1" x14ac:dyDescent="0.5">
      <c r="B162" s="7">
        <f t="shared" si="14"/>
        <v>1.250000000000016</v>
      </c>
      <c r="C162" s="8">
        <f t="shared" si="15"/>
        <v>-0.24999999999999933</v>
      </c>
      <c r="D162" s="9">
        <f t="shared" si="16"/>
        <v>0.12257650672131419</v>
      </c>
      <c r="E162" s="9">
        <f t="shared" si="17"/>
        <v>5.2500000000001018E-2</v>
      </c>
      <c r="F162" s="13" t="e">
        <f t="shared" si="18"/>
        <v>#N/A</v>
      </c>
      <c r="G162" s="13" t="e">
        <f t="shared" si="19"/>
        <v>#N/A</v>
      </c>
    </row>
    <row r="163" spans="2:7" ht="24" thickBot="1" x14ac:dyDescent="0.5">
      <c r="B163" s="7">
        <f t="shared" si="14"/>
        <v>1.2450000000000161</v>
      </c>
      <c r="C163" s="8">
        <f t="shared" si="15"/>
        <v>-0.24499999999999933</v>
      </c>
      <c r="D163" s="9">
        <f t="shared" si="16"/>
        <v>0.12206756325904268</v>
      </c>
      <c r="E163" s="9">
        <f t="shared" si="17"/>
        <v>5.2650000000001022E-2</v>
      </c>
      <c r="F163" s="13" t="e">
        <f t="shared" si="18"/>
        <v>#N/A</v>
      </c>
      <c r="G163" s="13" t="e">
        <f t="shared" si="19"/>
        <v>#N/A</v>
      </c>
    </row>
    <row r="164" spans="2:7" ht="24" thickBot="1" x14ac:dyDescent="0.5">
      <c r="B164" s="7">
        <f t="shared" si="14"/>
        <v>1.2400000000000162</v>
      </c>
      <c r="C164" s="8">
        <f t="shared" si="15"/>
        <v>-0.23999999999999932</v>
      </c>
      <c r="D164" s="9">
        <f t="shared" si="16"/>
        <v>0.12156051990675421</v>
      </c>
      <c r="E164" s="9">
        <f t="shared" si="17"/>
        <v>5.2800000000001027E-2</v>
      </c>
      <c r="F164" s="13" t="e">
        <f t="shared" si="18"/>
        <v>#N/A</v>
      </c>
      <c r="G164" s="13" t="e">
        <f t="shared" si="19"/>
        <v>#N/A</v>
      </c>
    </row>
    <row r="165" spans="2:7" ht="24" thickBot="1" x14ac:dyDescent="0.5">
      <c r="B165" s="7">
        <f t="shared" si="14"/>
        <v>1.2350000000000163</v>
      </c>
      <c r="C165" s="8">
        <f t="shared" si="15"/>
        <v>-0.23499999999999932</v>
      </c>
      <c r="D165" s="9">
        <f t="shared" si="16"/>
        <v>0.12105540054041532</v>
      </c>
      <c r="E165" s="9">
        <f t="shared" si="17"/>
        <v>5.2950000000001031E-2</v>
      </c>
      <c r="F165" s="13" t="e">
        <f t="shared" si="18"/>
        <v>#N/A</v>
      </c>
      <c r="G165" s="13" t="e">
        <f t="shared" si="19"/>
        <v>#N/A</v>
      </c>
    </row>
    <row r="166" spans="2:7" ht="24" thickBot="1" x14ac:dyDescent="0.5">
      <c r="B166" s="7">
        <f t="shared" si="14"/>
        <v>1.2300000000000164</v>
      </c>
      <c r="C166" s="8">
        <f t="shared" si="15"/>
        <v>-0.22999999999999932</v>
      </c>
      <c r="D166" s="9">
        <f t="shared" si="16"/>
        <v>0.1205522293447964</v>
      </c>
      <c r="E166" s="9">
        <f t="shared" si="17"/>
        <v>5.3100000000001035E-2</v>
      </c>
      <c r="F166" s="13" t="e">
        <f t="shared" si="18"/>
        <v>#N/A</v>
      </c>
      <c r="G166" s="13" t="e">
        <f t="shared" si="19"/>
        <v>#N/A</v>
      </c>
    </row>
    <row r="167" spans="2:7" ht="24" thickBot="1" x14ac:dyDescent="0.5">
      <c r="B167" s="7">
        <f t="shared" si="14"/>
        <v>1.2250000000000165</v>
      </c>
      <c r="C167" s="8">
        <f t="shared" si="15"/>
        <v>-0.22499999999999931</v>
      </c>
      <c r="D167" s="9">
        <f t="shared" si="16"/>
        <v>0.12005103081606751</v>
      </c>
      <c r="E167" s="9">
        <f t="shared" si="17"/>
        <v>5.325000000000106E-2</v>
      </c>
      <c r="F167" s="13" t="e">
        <f t="shared" si="18"/>
        <v>#N/A</v>
      </c>
      <c r="G167" s="13" t="e">
        <f t="shared" si="19"/>
        <v>#N/A</v>
      </c>
    </row>
    <row r="168" spans="2:7" ht="24" thickBot="1" x14ac:dyDescent="0.5">
      <c r="B168" s="7">
        <f t="shared" si="14"/>
        <v>1.2200000000000166</v>
      </c>
      <c r="C168" s="8">
        <f t="shared" si="15"/>
        <v>-0.21999999999999931</v>
      </c>
      <c r="D168" s="9">
        <f t="shared" si="16"/>
        <v>0.1195518297643344</v>
      </c>
      <c r="E168" s="9">
        <f t="shared" si="17"/>
        <v>5.3400000000001065E-2</v>
      </c>
      <c r="F168" s="13" t="e">
        <f t="shared" si="18"/>
        <v>#N/A</v>
      </c>
      <c r="G168" s="13" t="e">
        <f t="shared" si="19"/>
        <v>#N/A</v>
      </c>
    </row>
    <row r="169" spans="2:7" ht="24" thickBot="1" x14ac:dyDescent="0.5">
      <c r="B169" s="7">
        <f t="shared" si="14"/>
        <v>1.2150000000000167</v>
      </c>
      <c r="C169" s="8">
        <f t="shared" si="15"/>
        <v>-0.2149999999999993</v>
      </c>
      <c r="D169" s="9">
        <f t="shared" si="16"/>
        <v>0.11905465131610941</v>
      </c>
      <c r="E169" s="9">
        <f t="shared" si="17"/>
        <v>5.3550000000001069E-2</v>
      </c>
      <c r="F169" s="13" t="e">
        <f t="shared" si="18"/>
        <v>#N/A</v>
      </c>
      <c r="G169" s="13" t="e">
        <f t="shared" si="19"/>
        <v>#N/A</v>
      </c>
    </row>
    <row r="170" spans="2:7" ht="24" thickBot="1" x14ac:dyDescent="0.5">
      <c r="B170" s="7">
        <f t="shared" si="14"/>
        <v>1.2100000000000168</v>
      </c>
      <c r="C170" s="8">
        <f t="shared" si="15"/>
        <v>-0.2099999999999993</v>
      </c>
      <c r="D170" s="9">
        <f t="shared" si="16"/>
        <v>0.11855952091671253</v>
      </c>
      <c r="E170" s="9">
        <f t="shared" si="17"/>
        <v>5.3700000000001073E-2</v>
      </c>
      <c r="F170" s="13" t="e">
        <f t="shared" si="18"/>
        <v>#N/A</v>
      </c>
      <c r="G170" s="13" t="e">
        <f t="shared" si="19"/>
        <v>#N/A</v>
      </c>
    </row>
    <row r="171" spans="2:7" ht="24" thickBot="1" x14ac:dyDescent="0.5">
      <c r="B171" s="7">
        <f t="shared" si="14"/>
        <v>1.2050000000000169</v>
      </c>
      <c r="C171" s="8">
        <f t="shared" si="15"/>
        <v>-0.20499999999999929</v>
      </c>
      <c r="D171" s="9">
        <f t="shared" si="16"/>
        <v>0.11806646433259696</v>
      </c>
      <c r="E171" s="9">
        <f t="shared" si="17"/>
        <v>5.3850000000001078E-2</v>
      </c>
      <c r="F171" s="13" t="e">
        <f t="shared" si="18"/>
        <v>#N/A</v>
      </c>
      <c r="G171" s="13" t="e">
        <f t="shared" si="19"/>
        <v>#N/A</v>
      </c>
    </row>
    <row r="172" spans="2:7" ht="24" thickBot="1" x14ac:dyDescent="0.5">
      <c r="B172" s="7">
        <f t="shared" si="14"/>
        <v>1.2000000000000171</v>
      </c>
      <c r="C172" s="8">
        <f t="shared" si="15"/>
        <v>-0.19999999999999929</v>
      </c>
      <c r="D172" s="9">
        <f t="shared" si="16"/>
        <v>0.11757550765359423</v>
      </c>
      <c r="E172" s="9">
        <f t="shared" si="17"/>
        <v>5.4000000000001089E-2</v>
      </c>
      <c r="F172" s="13" t="e">
        <f t="shared" si="18"/>
        <v>#N/A</v>
      </c>
      <c r="G172" s="13" t="e">
        <f t="shared" si="19"/>
        <v>#N/A</v>
      </c>
    </row>
    <row r="173" spans="2:7" ht="24" thickBot="1" x14ac:dyDescent="0.5">
      <c r="B173" s="7">
        <f t="shared" si="14"/>
        <v>1.1950000000000172</v>
      </c>
      <c r="C173" s="8">
        <f t="shared" si="15"/>
        <v>-0.19499999999999929</v>
      </c>
      <c r="D173" s="9">
        <f t="shared" si="16"/>
        <v>0.11708667729507229</v>
      </c>
      <c r="E173" s="9">
        <f t="shared" si="17"/>
        <v>5.4150000000001093E-2</v>
      </c>
      <c r="F173" s="13" t="e">
        <f t="shared" si="18"/>
        <v>#N/A</v>
      </c>
      <c r="G173" s="13" t="e">
        <f t="shared" si="19"/>
        <v>#N/A</v>
      </c>
    </row>
    <row r="174" spans="2:7" ht="24" thickBot="1" x14ac:dyDescent="0.5">
      <c r="B174" s="7">
        <f t="shared" si="14"/>
        <v>1.1900000000000173</v>
      </c>
      <c r="C174" s="8">
        <f t="shared" si="15"/>
        <v>-0.18999999999999928</v>
      </c>
      <c r="D174" s="9">
        <f t="shared" si="16"/>
        <v>0.1166000000000017</v>
      </c>
      <c r="E174" s="9">
        <f t="shared" si="17"/>
        <v>5.4300000000001097E-2</v>
      </c>
      <c r="F174" s="13" t="e">
        <f t="shared" si="18"/>
        <v>#N/A</v>
      </c>
      <c r="G174" s="13" t="e">
        <f t="shared" si="19"/>
        <v>#N/A</v>
      </c>
    </row>
    <row r="175" spans="2:7" ht="24" thickBot="1" x14ac:dyDescent="0.5">
      <c r="B175" s="7">
        <f t="shared" si="14"/>
        <v>1.1850000000000174</v>
      </c>
      <c r="C175" s="8">
        <f t="shared" si="15"/>
        <v>-0.18499999999999928</v>
      </c>
      <c r="D175" s="9">
        <f t="shared" si="16"/>
        <v>0.11611550284092301</v>
      </c>
      <c r="E175" s="9">
        <f t="shared" si="17"/>
        <v>5.4450000000001102E-2</v>
      </c>
      <c r="F175" s="13" t="e">
        <f t="shared" si="18"/>
        <v>#N/A</v>
      </c>
      <c r="G175" s="13" t="e">
        <f t="shared" si="19"/>
        <v>#N/A</v>
      </c>
    </row>
    <row r="176" spans="2:7" ht="24" thickBot="1" x14ac:dyDescent="0.5">
      <c r="B176" s="7">
        <f t="shared" si="14"/>
        <v>1.1800000000000175</v>
      </c>
      <c r="C176" s="8">
        <f t="shared" si="15"/>
        <v>-0.17999999999999927</v>
      </c>
      <c r="D176" s="9">
        <f t="shared" si="16"/>
        <v>0.11563321322180924</v>
      </c>
      <c r="E176" s="9">
        <f t="shared" si="17"/>
        <v>5.4600000000001106E-2</v>
      </c>
      <c r="F176" s="13" t="e">
        <f t="shared" si="18"/>
        <v>#N/A</v>
      </c>
      <c r="G176" s="13" t="e">
        <f t="shared" si="19"/>
        <v>#N/A</v>
      </c>
    </row>
    <row r="177" spans="2:7" ht="24" thickBot="1" x14ac:dyDescent="0.5">
      <c r="B177" s="7">
        <f t="shared" si="14"/>
        <v>1.1750000000000176</v>
      </c>
      <c r="C177" s="8">
        <f t="shared" si="15"/>
        <v>-0.17499999999999927</v>
      </c>
      <c r="D177" s="9">
        <f t="shared" si="16"/>
        <v>0.11515315887981711</v>
      </c>
      <c r="E177" s="9">
        <f t="shared" si="17"/>
        <v>5.4750000000001117E-2</v>
      </c>
      <c r="F177" s="13" t="e">
        <f t="shared" si="18"/>
        <v>#N/A</v>
      </c>
      <c r="G177" s="13" t="e">
        <f t="shared" si="19"/>
        <v>#N/A</v>
      </c>
    </row>
    <row r="178" spans="2:7" ht="24" thickBot="1" x14ac:dyDescent="0.5">
      <c r="B178" s="7">
        <f t="shared" si="14"/>
        <v>1.1700000000000177</v>
      </c>
      <c r="C178" s="8">
        <f t="shared" si="15"/>
        <v>-0.16999999999999926</v>
      </c>
      <c r="D178" s="9">
        <f t="shared" si="16"/>
        <v>0.11467536788691983</v>
      </c>
      <c r="E178" s="9">
        <f t="shared" si="17"/>
        <v>5.4900000000001122E-2</v>
      </c>
      <c r="F178" s="13" t="e">
        <f t="shared" si="18"/>
        <v>#N/A</v>
      </c>
      <c r="G178" s="13" t="e">
        <f t="shared" si="19"/>
        <v>#N/A</v>
      </c>
    </row>
    <row r="179" spans="2:7" ht="24" thickBot="1" x14ac:dyDescent="0.5">
      <c r="B179" s="7">
        <f t="shared" si="14"/>
        <v>1.1650000000000178</v>
      </c>
      <c r="C179" s="8">
        <f t="shared" si="15"/>
        <v>-0.16499999999999926</v>
      </c>
      <c r="D179" s="9">
        <f t="shared" si="16"/>
        <v>0.11419986865141485</v>
      </c>
      <c r="E179" s="9">
        <f t="shared" si="17"/>
        <v>5.5050000000001126E-2</v>
      </c>
      <c r="F179" s="13" t="e">
        <f t="shared" si="18"/>
        <v>#N/A</v>
      </c>
      <c r="G179" s="13" t="e">
        <f t="shared" si="19"/>
        <v>#N/A</v>
      </c>
    </row>
    <row r="180" spans="2:7" ht="24" thickBot="1" x14ac:dyDescent="0.5">
      <c r="B180" s="7">
        <f t="shared" si="14"/>
        <v>1.1600000000000179</v>
      </c>
      <c r="C180" s="8">
        <f t="shared" si="15"/>
        <v>-0.15999999999999925</v>
      </c>
      <c r="D180" s="9">
        <f t="shared" si="16"/>
        <v>0.1137266899192991</v>
      </c>
      <c r="E180" s="9">
        <f t="shared" si="17"/>
        <v>5.5200000000001144E-2</v>
      </c>
      <c r="F180" s="13" t="e">
        <f t="shared" si="18"/>
        <v>#N/A</v>
      </c>
      <c r="G180" s="13" t="e">
        <f t="shared" si="19"/>
        <v>#N/A</v>
      </c>
    </row>
    <row r="181" spans="2:7" ht="24" thickBot="1" x14ac:dyDescent="0.5">
      <c r="B181" s="7">
        <f t="shared" si="14"/>
        <v>1.155000000000018</v>
      </c>
      <c r="C181" s="8">
        <f t="shared" si="15"/>
        <v>-0.15499999999999925</v>
      </c>
      <c r="D181" s="9">
        <f t="shared" si="16"/>
        <v>0.11325586077550426</v>
      </c>
      <c r="E181" s="9">
        <f t="shared" si="17"/>
        <v>5.5350000000001148E-2</v>
      </c>
      <c r="F181" s="13" t="e">
        <f t="shared" si="18"/>
        <v>#N/A</v>
      </c>
      <c r="G181" s="13" t="e">
        <f t="shared" si="19"/>
        <v>#N/A</v>
      </c>
    </row>
    <row r="182" spans="2:7" ht="24" thickBot="1" x14ac:dyDescent="0.5">
      <c r="B182" s="7">
        <f t="shared" si="14"/>
        <v>1.1500000000000181</v>
      </c>
      <c r="C182" s="8">
        <f t="shared" si="15"/>
        <v>-0.14999999999999925</v>
      </c>
      <c r="D182" s="9">
        <f t="shared" si="16"/>
        <v>0.1127874106449847</v>
      </c>
      <c r="E182" s="9">
        <f t="shared" si="17"/>
        <v>5.550000000000116E-2</v>
      </c>
      <c r="F182" s="13" t="e">
        <f t="shared" si="18"/>
        <v>#N/A</v>
      </c>
      <c r="G182" s="13" t="e">
        <f t="shared" si="19"/>
        <v>#N/A</v>
      </c>
    </row>
    <row r="183" spans="2:7" ht="24" thickBot="1" x14ac:dyDescent="0.5">
      <c r="B183" s="7">
        <f t="shared" si="14"/>
        <v>1.1450000000000182</v>
      </c>
      <c r="C183" s="8">
        <f t="shared" si="15"/>
        <v>-0.14499999999999924</v>
      </c>
      <c r="D183" s="9">
        <f t="shared" si="16"/>
        <v>0.11232136929364958</v>
      </c>
      <c r="E183" s="9">
        <f t="shared" si="17"/>
        <v>5.5650000000001164E-2</v>
      </c>
      <c r="F183" s="13" t="e">
        <f t="shared" si="18"/>
        <v>#N/A</v>
      </c>
      <c r="G183" s="13" t="e">
        <f t="shared" si="19"/>
        <v>#N/A</v>
      </c>
    </row>
    <row r="184" spans="2:7" ht="24" thickBot="1" x14ac:dyDescent="0.5">
      <c r="B184" s="7">
        <f t="shared" si="14"/>
        <v>1.1400000000000183</v>
      </c>
      <c r="C184" s="8">
        <f t="shared" si="15"/>
        <v>-0.13999999999999924</v>
      </c>
      <c r="D184" s="9">
        <f t="shared" si="16"/>
        <v>0.11185776682913176</v>
      </c>
      <c r="E184" s="9">
        <f t="shared" si="17"/>
        <v>5.5800000000001168E-2</v>
      </c>
      <c r="F184" s="13" t="e">
        <f t="shared" si="18"/>
        <v>#N/A</v>
      </c>
      <c r="G184" s="13" t="e">
        <f t="shared" si="19"/>
        <v>#N/A</v>
      </c>
    </row>
    <row r="185" spans="2:7" ht="24" thickBot="1" x14ac:dyDescent="0.5">
      <c r="B185" s="7">
        <f t="shared" si="14"/>
        <v>1.1350000000000184</v>
      </c>
      <c r="C185" s="8">
        <f t="shared" si="15"/>
        <v>-0.13499999999999923</v>
      </c>
      <c r="D185" s="9">
        <f t="shared" si="16"/>
        <v>0.1113966337013844</v>
      </c>
      <c r="E185" s="9">
        <f t="shared" si="17"/>
        <v>5.5950000000001172E-2</v>
      </c>
      <c r="F185" s="13" t="e">
        <f t="shared" si="18"/>
        <v>#N/A</v>
      </c>
      <c r="G185" s="13" t="e">
        <f t="shared" si="19"/>
        <v>#N/A</v>
      </c>
    </row>
    <row r="186" spans="2:7" ht="24" thickBot="1" x14ac:dyDescent="0.5">
      <c r="B186" s="7">
        <f t="shared" si="14"/>
        <v>1.1300000000000185</v>
      </c>
      <c r="C186" s="8">
        <f t="shared" si="15"/>
        <v>-0.12999999999999923</v>
      </c>
      <c r="D186" s="9">
        <f t="shared" si="16"/>
        <v>0.11093800070309727</v>
      </c>
      <c r="E186" s="9">
        <f t="shared" si="17"/>
        <v>5.6100000000001177E-2</v>
      </c>
      <c r="F186" s="13" t="e">
        <f t="shared" si="18"/>
        <v>#N/A</v>
      </c>
      <c r="G186" s="13" t="e">
        <f t="shared" si="19"/>
        <v>#N/A</v>
      </c>
    </row>
    <row r="187" spans="2:7" ht="24" thickBot="1" x14ac:dyDescent="0.5">
      <c r="B187" s="7">
        <f t="shared" si="14"/>
        <v>1.1250000000000187</v>
      </c>
      <c r="C187" s="8">
        <f t="shared" si="15"/>
        <v>-0.12499999999999922</v>
      </c>
      <c r="D187" s="9">
        <f t="shared" si="16"/>
        <v>0.11048189896992364</v>
      </c>
      <c r="E187" s="9">
        <f t="shared" si="17"/>
        <v>5.6250000000001188E-2</v>
      </c>
      <c r="F187" s="13" t="e">
        <f t="shared" si="18"/>
        <v>#N/A</v>
      </c>
      <c r="G187" s="13" t="e">
        <f t="shared" si="19"/>
        <v>#N/A</v>
      </c>
    </row>
    <row r="188" spans="2:7" ht="24" thickBot="1" x14ac:dyDescent="0.5">
      <c r="B188" s="7">
        <f t="shared" si="14"/>
        <v>1.1200000000000188</v>
      </c>
      <c r="C188" s="8">
        <f t="shared" si="15"/>
        <v>-0.11999999999999922</v>
      </c>
      <c r="D188" s="9">
        <f t="shared" si="16"/>
        <v>0.11002835998050872</v>
      </c>
      <c r="E188" s="9">
        <f t="shared" si="17"/>
        <v>5.6400000000001192E-2</v>
      </c>
      <c r="F188" s="13" t="e">
        <f t="shared" si="18"/>
        <v>#N/A</v>
      </c>
      <c r="G188" s="13" t="e">
        <f t="shared" si="19"/>
        <v>#N/A</v>
      </c>
    </row>
    <row r="189" spans="2:7" ht="24" thickBot="1" x14ac:dyDescent="0.5">
      <c r="B189" s="7">
        <f t="shared" si="14"/>
        <v>1.1150000000000189</v>
      </c>
      <c r="C189" s="8">
        <f t="shared" si="15"/>
        <v>-0.11499999999999921</v>
      </c>
      <c r="D189" s="9">
        <f t="shared" si="16"/>
        <v>0.10957741555631074</v>
      </c>
      <c r="E189" s="9">
        <f t="shared" si="17"/>
        <v>5.6550000000001197E-2</v>
      </c>
      <c r="F189" s="13" t="e">
        <f t="shared" si="18"/>
        <v>#N/A</v>
      </c>
      <c r="G189" s="13" t="e">
        <f t="shared" si="19"/>
        <v>#N/A</v>
      </c>
    </row>
    <row r="190" spans="2:7" ht="24" thickBot="1" x14ac:dyDescent="0.5">
      <c r="B190" s="7">
        <f t="shared" si="14"/>
        <v>1.110000000000019</v>
      </c>
      <c r="C190" s="8">
        <f t="shared" si="15"/>
        <v>-0.10999999999999921</v>
      </c>
      <c r="D190" s="9">
        <f t="shared" si="16"/>
        <v>0.10912909786120481</v>
      </c>
      <c r="E190" s="9">
        <f t="shared" si="17"/>
        <v>5.6700000000001201E-2</v>
      </c>
      <c r="F190" s="13" t="e">
        <f t="shared" si="18"/>
        <v>#N/A</v>
      </c>
      <c r="G190" s="13" t="e">
        <f t="shared" si="19"/>
        <v>#N/A</v>
      </c>
    </row>
    <row r="191" spans="2:7" ht="24" thickBot="1" x14ac:dyDescent="0.5">
      <c r="B191" s="7">
        <f t="shared" si="14"/>
        <v>1.1050000000000191</v>
      </c>
      <c r="C191" s="8">
        <f t="shared" si="15"/>
        <v>-0.10499999999999921</v>
      </c>
      <c r="D191" s="9">
        <f t="shared" si="16"/>
        <v>0.10868343940086003</v>
      </c>
      <c r="E191" s="9">
        <f t="shared" si="17"/>
        <v>5.6850000000001205E-2</v>
      </c>
      <c r="F191" s="13" t="e">
        <f t="shared" si="18"/>
        <v>#N/A</v>
      </c>
      <c r="G191" s="13" t="e">
        <f t="shared" si="19"/>
        <v>#N/A</v>
      </c>
    </row>
    <row r="192" spans="2:7" ht="24" thickBot="1" x14ac:dyDescent="0.5">
      <c r="B192" s="7">
        <f t="shared" si="14"/>
        <v>1.1000000000000192</v>
      </c>
      <c r="C192" s="8">
        <f t="shared" si="15"/>
        <v>-9.9999999999999201E-2</v>
      </c>
      <c r="D192" s="9">
        <f t="shared" si="16"/>
        <v>0.10824047302188039</v>
      </c>
      <c r="E192" s="9">
        <f t="shared" si="17"/>
        <v>5.700000000000123E-2</v>
      </c>
      <c r="F192" s="13" t="e">
        <f t="shared" si="18"/>
        <v>#N/A</v>
      </c>
      <c r="G192" s="13" t="e">
        <f t="shared" si="19"/>
        <v>#N/A</v>
      </c>
    </row>
    <row r="193" spans="2:7" ht="24" thickBot="1" x14ac:dyDescent="0.5">
      <c r="B193" s="7">
        <f t="shared" si="14"/>
        <v>1.0950000000000193</v>
      </c>
      <c r="C193" s="8">
        <f t="shared" si="15"/>
        <v>-9.4999999999999196E-2</v>
      </c>
      <c r="D193" s="9">
        <f t="shared" si="16"/>
        <v>0.10780023191069868</v>
      </c>
      <c r="E193" s="9">
        <f t="shared" si="17"/>
        <v>5.7150000000001235E-2</v>
      </c>
      <c r="F193" s="13" t="e">
        <f t="shared" si="18"/>
        <v>#N/A</v>
      </c>
      <c r="G193" s="13" t="e">
        <f t="shared" si="19"/>
        <v>#N/A</v>
      </c>
    </row>
    <row r="194" spans="2:7" ht="24" thickBot="1" x14ac:dyDescent="0.5">
      <c r="B194" s="7">
        <f t="shared" si="14"/>
        <v>1.0900000000000194</v>
      </c>
      <c r="C194" s="8">
        <f t="shared" si="15"/>
        <v>-8.9999999999999192E-2</v>
      </c>
      <c r="D194" s="9">
        <f t="shared" si="16"/>
        <v>0.10736274959221387</v>
      </c>
      <c r="E194" s="9">
        <f t="shared" si="17"/>
        <v>5.7300000000001239E-2</v>
      </c>
      <c r="F194" s="13" t="e">
        <f t="shared" si="18"/>
        <v>#N/A</v>
      </c>
      <c r="G194" s="13" t="e">
        <f t="shared" si="19"/>
        <v>#N/A</v>
      </c>
    </row>
    <row r="195" spans="2:7" ht="24" thickBot="1" x14ac:dyDescent="0.5">
      <c r="B195" s="7">
        <f t="shared" si="14"/>
        <v>1.0850000000000195</v>
      </c>
      <c r="C195" s="8">
        <f t="shared" si="15"/>
        <v>-8.4999999999999187E-2</v>
      </c>
      <c r="D195" s="9">
        <f t="shared" si="16"/>
        <v>0.10692805992816114</v>
      </c>
      <c r="E195" s="9">
        <f t="shared" si="17"/>
        <v>5.7450000000001243E-2</v>
      </c>
      <c r="F195" s="13" t="e">
        <f t="shared" si="18"/>
        <v>#N/A</v>
      </c>
      <c r="G195" s="13" t="e">
        <f t="shared" si="19"/>
        <v>#N/A</v>
      </c>
    </row>
    <row r="196" spans="2:7" ht="24" thickBot="1" x14ac:dyDescent="0.5">
      <c r="B196" s="7">
        <f t="shared" si="14"/>
        <v>1.0800000000000196</v>
      </c>
      <c r="C196" s="8">
        <f t="shared" si="15"/>
        <v>-7.9999999999999183E-2</v>
      </c>
      <c r="D196" s="9">
        <f t="shared" si="16"/>
        <v>0.10649619711520417</v>
      </c>
      <c r="E196" s="9">
        <f t="shared" si="17"/>
        <v>5.7600000000001247E-2</v>
      </c>
      <c r="F196" s="13" t="e">
        <f t="shared" si="18"/>
        <v>#N/A</v>
      </c>
      <c r="G196" s="13" t="e">
        <f t="shared" si="19"/>
        <v>#N/A</v>
      </c>
    </row>
    <row r="197" spans="2:7" ht="24" thickBot="1" x14ac:dyDescent="0.5">
      <c r="B197" s="7">
        <f t="shared" si="14"/>
        <v>1.0750000000000197</v>
      </c>
      <c r="C197" s="8">
        <f t="shared" si="15"/>
        <v>-7.4999999999999178E-2</v>
      </c>
      <c r="D197" s="9">
        <f t="shared" si="16"/>
        <v>0.10606719568273887</v>
      </c>
      <c r="E197" s="9">
        <f t="shared" si="17"/>
        <v>5.7750000000001259E-2</v>
      </c>
      <c r="F197" s="13" t="e">
        <f t="shared" si="18"/>
        <v>#N/A</v>
      </c>
      <c r="G197" s="13" t="e">
        <f t="shared" si="19"/>
        <v>#N/A</v>
      </c>
    </row>
    <row r="198" spans="2:7" ht="24" thickBot="1" x14ac:dyDescent="0.5">
      <c r="B198" s="7">
        <f t="shared" si="14"/>
        <v>1.0700000000000198</v>
      </c>
      <c r="C198" s="8">
        <f t="shared" si="15"/>
        <v>-6.9999999999999174E-2</v>
      </c>
      <c r="D198" s="9">
        <f t="shared" si="16"/>
        <v>0.10564109049039783</v>
      </c>
      <c r="E198" s="9">
        <f t="shared" si="17"/>
        <v>5.7900000000001263E-2</v>
      </c>
      <c r="F198" s="13" t="e">
        <f t="shared" si="18"/>
        <v>#N/A</v>
      </c>
      <c r="G198" s="13" t="e">
        <f t="shared" si="19"/>
        <v>#N/A</v>
      </c>
    </row>
    <row r="199" spans="2:7" ht="24" thickBot="1" x14ac:dyDescent="0.5">
      <c r="B199" s="7">
        <f t="shared" si="14"/>
        <v>1.0650000000000199</v>
      </c>
      <c r="C199" s="8">
        <f t="shared" si="15"/>
        <v>-6.499999999999917E-2</v>
      </c>
      <c r="D199" s="9">
        <f t="shared" si="16"/>
        <v>0.10521791672524419</v>
      </c>
      <c r="E199" s="9">
        <f t="shared" si="17"/>
        <v>5.8050000000001267E-2</v>
      </c>
      <c r="F199" s="13" t="e">
        <f t="shared" si="18"/>
        <v>#N/A</v>
      </c>
      <c r="G199" s="13" t="e">
        <f t="shared" si="19"/>
        <v>#N/A</v>
      </c>
    </row>
    <row r="200" spans="2:7" ht="24" thickBot="1" x14ac:dyDescent="0.5">
      <c r="B200" s="7">
        <f t="shared" si="14"/>
        <v>1.06000000000002</v>
      </c>
      <c r="C200" s="8">
        <f t="shared" si="15"/>
        <v>-5.9999999999999172E-2</v>
      </c>
      <c r="D200" s="9">
        <f t="shared" si="16"/>
        <v>0.10479770989864437</v>
      </c>
      <c r="E200" s="9">
        <f t="shared" si="17"/>
        <v>5.8200000000001272E-2</v>
      </c>
      <c r="F200" s="13" t="e">
        <f t="shared" si="18"/>
        <v>#N/A</v>
      </c>
      <c r="G200" s="13" t="e">
        <f t="shared" si="19"/>
        <v>#N/A</v>
      </c>
    </row>
    <row r="201" spans="2:7" ht="24" thickBot="1" x14ac:dyDescent="0.5">
      <c r="B201" s="7">
        <f t="shared" si="14"/>
        <v>1.0550000000000201</v>
      </c>
      <c r="C201" s="8">
        <f t="shared" si="15"/>
        <v>-5.4999999999999175E-2</v>
      </c>
      <c r="D201" s="9">
        <f t="shared" si="16"/>
        <v>0.10438050584280777</v>
      </c>
      <c r="E201" s="9">
        <f t="shared" si="17"/>
        <v>5.8350000000001276E-2</v>
      </c>
      <c r="F201" s="13" t="e">
        <f t="shared" si="18"/>
        <v>#N/A</v>
      </c>
      <c r="G201" s="13" t="e">
        <f t="shared" si="19"/>
        <v>#N/A</v>
      </c>
    </row>
    <row r="202" spans="2:7" ht="24" thickBot="1" x14ac:dyDescent="0.5">
      <c r="B202" s="7">
        <f t="shared" si="14"/>
        <v>1.0500000000000203</v>
      </c>
      <c r="C202" s="8">
        <f t="shared" si="15"/>
        <v>-4.9999999999999177E-2</v>
      </c>
      <c r="D202" s="9">
        <f t="shared" si="16"/>
        <v>0.10396634070698278</v>
      </c>
      <c r="E202" s="9">
        <f t="shared" si="17"/>
        <v>5.850000000000128E-2</v>
      </c>
      <c r="F202" s="13" t="e">
        <f t="shared" si="18"/>
        <v>#N/A</v>
      </c>
      <c r="G202" s="13" t="e">
        <f t="shared" si="19"/>
        <v>#N/A</v>
      </c>
    </row>
    <row r="203" spans="2:7" ht="24" thickBot="1" x14ac:dyDescent="0.5">
      <c r="B203" s="7">
        <f t="shared" si="14"/>
        <v>1.0450000000000204</v>
      </c>
      <c r="C203" s="8">
        <f t="shared" si="15"/>
        <v>-4.499999999999918E-2</v>
      </c>
      <c r="D203" s="9">
        <f t="shared" si="16"/>
        <v>0.10355525095329751</v>
      </c>
      <c r="E203" s="9">
        <f t="shared" si="17"/>
        <v>5.8650000000001284E-2</v>
      </c>
      <c r="F203" s="13" t="e">
        <f t="shared" si="18"/>
        <v>#N/A</v>
      </c>
      <c r="G203" s="13" t="e">
        <f t="shared" si="19"/>
        <v>#N/A</v>
      </c>
    </row>
    <row r="204" spans="2:7" ht="24" thickBot="1" x14ac:dyDescent="0.5">
      <c r="B204" s="7">
        <f t="shared" si="14"/>
        <v>1.0400000000000205</v>
      </c>
      <c r="C204" s="8">
        <f t="shared" si="15"/>
        <v>-3.9999999999999182E-2</v>
      </c>
      <c r="D204" s="9">
        <f t="shared" si="16"/>
        <v>0.10314727335223373</v>
      </c>
      <c r="E204" s="9">
        <f t="shared" si="17"/>
        <v>5.8800000000001296E-2</v>
      </c>
      <c r="F204" s="13" t="e">
        <f t="shared" si="18"/>
        <v>#N/A</v>
      </c>
      <c r="G204" s="13" t="e">
        <f t="shared" si="19"/>
        <v>#N/A</v>
      </c>
    </row>
    <row r="205" spans="2:7" ht="24" thickBot="1" x14ac:dyDescent="0.5">
      <c r="B205" s="7">
        <f t="shared" si="14"/>
        <v>1.0350000000000206</v>
      </c>
      <c r="C205" s="8">
        <f t="shared" si="15"/>
        <v>-3.4999999999999185E-2</v>
      </c>
      <c r="D205" s="9">
        <f t="shared" si="16"/>
        <v>0.10274244497772295</v>
      </c>
      <c r="E205" s="9">
        <f t="shared" si="17"/>
        <v>5.8950000000001307E-2</v>
      </c>
      <c r="F205" s="13" t="e">
        <f t="shared" si="18"/>
        <v>#N/A</v>
      </c>
      <c r="G205" s="13" t="e">
        <f t="shared" si="19"/>
        <v>#N/A</v>
      </c>
    </row>
    <row r="206" spans="2:7" ht="24" thickBot="1" x14ac:dyDescent="0.5">
      <c r="B206" s="7">
        <f t="shared" ref="B206:B269" si="20">B205-0.5%</f>
        <v>1.0300000000000207</v>
      </c>
      <c r="C206" s="8">
        <f t="shared" ref="C206:C269" si="21">C205+0.5%</f>
        <v>-2.9999999999999184E-2</v>
      </c>
      <c r="D206" s="9">
        <f t="shared" ref="D206:D269" si="22">SQRT(B206^2*$D$4^2+C206^2*$D$5^2+2*C206*B206*$D$4*$D$5*$D$6)</f>
        <v>0.10234080320185311</v>
      </c>
      <c r="E206" s="9">
        <f t="shared" ref="E206:E269" si="23">$F$4*B206+$F$5*C206</f>
        <v>5.9100000000001311E-2</v>
      </c>
      <c r="F206" s="13" t="e">
        <f t="shared" ref="F206:F269" si="24">IF(E206&gt;=$I$9,D206,NA())</f>
        <v>#N/A</v>
      </c>
      <c r="G206" s="13" t="e">
        <f t="shared" ref="G206:G269" si="25">IF(E206&gt;=$I$9,E206,NA())</f>
        <v>#N/A</v>
      </c>
    </row>
    <row r="207" spans="2:7" ht="24" thickBot="1" x14ac:dyDescent="0.5">
      <c r="B207" s="7">
        <f t="shared" si="20"/>
        <v>1.0250000000000208</v>
      </c>
      <c r="C207" s="8">
        <f t="shared" si="21"/>
        <v>-2.4999999999999183E-2</v>
      </c>
      <c r="D207" s="9">
        <f t="shared" si="22"/>
        <v>0.10194238568917459</v>
      </c>
      <c r="E207" s="9">
        <f t="shared" si="23"/>
        <v>5.9250000000001322E-2</v>
      </c>
      <c r="F207" s="13" t="e">
        <f t="shared" si="24"/>
        <v>#N/A</v>
      </c>
      <c r="G207" s="13" t="e">
        <f t="shared" si="25"/>
        <v>#N/A</v>
      </c>
    </row>
    <row r="208" spans="2:7" ht="24" thickBot="1" x14ac:dyDescent="0.5">
      <c r="B208" s="7">
        <f t="shared" si="20"/>
        <v>1.0200000000000209</v>
      </c>
      <c r="C208" s="8">
        <f t="shared" si="21"/>
        <v>-1.9999999999999182E-2</v>
      </c>
      <c r="D208" s="9">
        <f t="shared" si="22"/>
        <v>0.10154723039059425</v>
      </c>
      <c r="E208" s="9">
        <f t="shared" si="23"/>
        <v>5.9400000000001327E-2</v>
      </c>
      <c r="F208" s="13" t="e">
        <f t="shared" si="24"/>
        <v>#N/A</v>
      </c>
      <c r="G208" s="13" t="e">
        <f t="shared" si="25"/>
        <v>#N/A</v>
      </c>
    </row>
    <row r="209" spans="2:7" ht="24" thickBot="1" x14ac:dyDescent="0.5">
      <c r="B209" s="7">
        <f t="shared" si="20"/>
        <v>1.015000000000021</v>
      </c>
      <c r="C209" s="8">
        <f t="shared" si="21"/>
        <v>-1.4999999999999181E-2</v>
      </c>
      <c r="D209" s="9">
        <f t="shared" si="22"/>
        <v>0.10115537553684643</v>
      </c>
      <c r="E209" s="9">
        <f t="shared" si="23"/>
        <v>5.9550000000001331E-2</v>
      </c>
      <c r="F209" s="13" t="e">
        <f t="shared" si="24"/>
        <v>#N/A</v>
      </c>
      <c r="G209" s="13" t="e">
        <f t="shared" si="25"/>
        <v>#N/A</v>
      </c>
    </row>
    <row r="210" spans="2:7" ht="24" thickBot="1" x14ac:dyDescent="0.5">
      <c r="B210" s="7">
        <f t="shared" si="20"/>
        <v>1.0100000000000211</v>
      </c>
      <c r="C210" s="8">
        <f t="shared" si="21"/>
        <v>-9.9999999999991797E-3</v>
      </c>
      <c r="D210" s="9">
        <f t="shared" si="22"/>
        <v>0.10076685963152981</v>
      </c>
      <c r="E210" s="9">
        <f t="shared" si="23"/>
        <v>5.9700000000001335E-2</v>
      </c>
      <c r="F210" s="13" t="e">
        <f t="shared" si="24"/>
        <v>#N/A</v>
      </c>
      <c r="G210" s="13" t="e">
        <f t="shared" si="25"/>
        <v>#N/A</v>
      </c>
    </row>
    <row r="211" spans="2:7" ht="24" thickBot="1" x14ac:dyDescent="0.5">
      <c r="B211" s="7">
        <f t="shared" si="20"/>
        <v>1.0050000000000212</v>
      </c>
      <c r="C211" s="8">
        <f t="shared" si="21"/>
        <v>-4.9999999999991796E-3</v>
      </c>
      <c r="D211" s="9">
        <f t="shared" si="22"/>
        <v>0.10038172144369925</v>
      </c>
      <c r="E211" s="9">
        <f t="shared" si="23"/>
        <v>5.9850000000001347E-2</v>
      </c>
      <c r="F211" s="13" t="e">
        <f t="shared" si="24"/>
        <v>#N/A</v>
      </c>
      <c r="G211" s="13" t="e">
        <f t="shared" si="25"/>
        <v>#N/A</v>
      </c>
    </row>
    <row r="212" spans="2:7" ht="24" thickBot="1" x14ac:dyDescent="0.5">
      <c r="B212" s="7">
        <f t="shared" si="20"/>
        <v>1.0000000000000213</v>
      </c>
      <c r="C212" s="8">
        <f t="shared" si="21"/>
        <v>8.2052420413702976E-16</v>
      </c>
      <c r="D212" s="9">
        <f t="shared" si="22"/>
        <v>0.10000000000000216</v>
      </c>
      <c r="E212" s="9">
        <f t="shared" si="23"/>
        <v>6.0000000000001351E-2</v>
      </c>
      <c r="F212" s="13" t="e">
        <f t="shared" si="24"/>
        <v>#N/A</v>
      </c>
      <c r="G212" s="13" t="e">
        <f t="shared" si="25"/>
        <v>#N/A</v>
      </c>
    </row>
    <row r="213" spans="2:7" ht="24" thickBot="1" x14ac:dyDescent="0.5">
      <c r="B213" s="7">
        <f t="shared" si="20"/>
        <v>0.99500000000002131</v>
      </c>
      <c r="C213" s="8">
        <f t="shared" si="21"/>
        <v>5.0000000000008206E-3</v>
      </c>
      <c r="D213" s="9">
        <f t="shared" si="22"/>
        <v>9.96217345763485E-2</v>
      </c>
      <c r="E213" s="9">
        <f t="shared" si="23"/>
        <v>6.0150000000001355E-2</v>
      </c>
      <c r="F213" s="13" t="e">
        <f t="shared" si="24"/>
        <v>#N/A</v>
      </c>
      <c r="G213" s="13" t="e">
        <f t="shared" si="25"/>
        <v>#N/A</v>
      </c>
    </row>
    <row r="214" spans="2:7" ht="24" thickBot="1" x14ac:dyDescent="0.5">
      <c r="B214" s="7">
        <f t="shared" si="20"/>
        <v>0.99000000000002131</v>
      </c>
      <c r="C214" s="8">
        <f t="shared" si="21"/>
        <v>1.0000000000000821E-2</v>
      </c>
      <c r="D214" s="9">
        <f t="shared" si="22"/>
        <v>9.9246964689104877E-2</v>
      </c>
      <c r="E214" s="9">
        <f t="shared" si="23"/>
        <v>6.0300000000001353E-2</v>
      </c>
      <c r="F214" s="13" t="e">
        <f t="shared" si="24"/>
        <v>#N/A</v>
      </c>
      <c r="G214" s="13" t="e">
        <f t="shared" si="25"/>
        <v>#N/A</v>
      </c>
    </row>
    <row r="215" spans="2:7" ht="24" thickBot="1" x14ac:dyDescent="0.5">
      <c r="B215" s="7">
        <f t="shared" si="20"/>
        <v>0.9850000000000213</v>
      </c>
      <c r="C215" s="8">
        <f t="shared" si="21"/>
        <v>1.5000000000000822E-2</v>
      </c>
      <c r="D215" s="9">
        <f t="shared" si="22"/>
        <v>9.8875730085802291E-2</v>
      </c>
      <c r="E215" s="9">
        <f t="shared" si="23"/>
        <v>6.045000000000135E-2</v>
      </c>
      <c r="F215" s="13" t="e">
        <f t="shared" si="24"/>
        <v>#N/A</v>
      </c>
      <c r="G215" s="13" t="e">
        <f t="shared" si="25"/>
        <v>#N/A</v>
      </c>
    </row>
    <row r="216" spans="2:7" ht="24" thickBot="1" x14ac:dyDescent="0.5">
      <c r="B216" s="7">
        <f t="shared" si="20"/>
        <v>0.9800000000000213</v>
      </c>
      <c r="C216" s="8">
        <f t="shared" si="21"/>
        <v>2.0000000000000823E-2</v>
      </c>
      <c r="D216" s="9">
        <f t="shared" si="22"/>
        <v>9.8508070735348507E-2</v>
      </c>
      <c r="E216" s="9">
        <f t="shared" si="23"/>
        <v>6.0600000000001347E-2</v>
      </c>
      <c r="F216" s="13" t="e">
        <f t="shared" si="24"/>
        <v>#N/A</v>
      </c>
      <c r="G216" s="13" t="e">
        <f t="shared" si="25"/>
        <v>#N/A</v>
      </c>
    </row>
    <row r="217" spans="2:7" ht="24" thickBot="1" x14ac:dyDescent="0.5">
      <c r="B217" s="7">
        <f t="shared" si="20"/>
        <v>0.97500000000002129</v>
      </c>
      <c r="C217" s="8">
        <f t="shared" si="21"/>
        <v>2.5000000000000824E-2</v>
      </c>
      <c r="D217" s="9">
        <f t="shared" si="22"/>
        <v>9.8144026817735694E-2</v>
      </c>
      <c r="E217" s="9">
        <f t="shared" si="23"/>
        <v>6.0750000000001345E-2</v>
      </c>
      <c r="F217" s="13" t="e">
        <f t="shared" si="24"/>
        <v>#N/A</v>
      </c>
      <c r="G217" s="13" t="e">
        <f t="shared" si="25"/>
        <v>#N/A</v>
      </c>
    </row>
    <row r="218" spans="2:7" ht="24" thickBot="1" x14ac:dyDescent="0.5">
      <c r="B218" s="7">
        <f t="shared" si="20"/>
        <v>0.97000000000002129</v>
      </c>
      <c r="C218" s="8">
        <f t="shared" si="21"/>
        <v>3.0000000000000825E-2</v>
      </c>
      <c r="D218" s="9">
        <f t="shared" si="22"/>
        <v>9.7783638713234741E-2</v>
      </c>
      <c r="E218" s="9">
        <f t="shared" si="23"/>
        <v>6.0900000000001356E-2</v>
      </c>
      <c r="F218" s="13" t="e">
        <f t="shared" si="24"/>
        <v>#N/A</v>
      </c>
      <c r="G218" s="13" t="e">
        <f t="shared" si="25"/>
        <v>#N/A</v>
      </c>
    </row>
    <row r="219" spans="2:7" ht="24" thickBot="1" x14ac:dyDescent="0.5">
      <c r="B219" s="7">
        <f t="shared" si="20"/>
        <v>0.96500000000002129</v>
      </c>
      <c r="C219" s="8">
        <f t="shared" si="21"/>
        <v>3.5000000000000822E-2</v>
      </c>
      <c r="D219" s="9">
        <f t="shared" si="22"/>
        <v>9.7426946991068242E-2</v>
      </c>
      <c r="E219" s="9">
        <f t="shared" si="23"/>
        <v>6.1050000000001353E-2</v>
      </c>
      <c r="F219" s="13" t="e">
        <f t="shared" si="24"/>
        <v>#N/A</v>
      </c>
      <c r="G219" s="13" t="e">
        <f t="shared" si="25"/>
        <v>#N/A</v>
      </c>
    </row>
    <row r="220" spans="2:7" ht="24" thickBot="1" x14ac:dyDescent="0.5">
      <c r="B220" s="7">
        <f t="shared" si="20"/>
        <v>0.96000000000002128</v>
      </c>
      <c r="C220" s="8">
        <f t="shared" si="21"/>
        <v>4.000000000000082E-2</v>
      </c>
      <c r="D220" s="9">
        <f t="shared" si="22"/>
        <v>9.7073992397554237E-2</v>
      </c>
      <c r="E220" s="9">
        <f t="shared" si="23"/>
        <v>6.1200000000001351E-2</v>
      </c>
      <c r="F220" s="13" t="e">
        <f t="shared" si="24"/>
        <v>#N/A</v>
      </c>
      <c r="G220" s="13" t="e">
        <f t="shared" si="25"/>
        <v>#N/A</v>
      </c>
    </row>
    <row r="221" spans="2:7" ht="24" thickBot="1" x14ac:dyDescent="0.5">
      <c r="B221" s="7">
        <f t="shared" si="20"/>
        <v>0.95500000000002128</v>
      </c>
      <c r="C221" s="8">
        <f t="shared" si="21"/>
        <v>4.5000000000000817E-2</v>
      </c>
      <c r="D221" s="9">
        <f t="shared" si="22"/>
        <v>9.6724815843714146E-2</v>
      </c>
      <c r="E221" s="9">
        <f t="shared" si="23"/>
        <v>6.1350000000001348E-2</v>
      </c>
      <c r="F221" s="13" t="e">
        <f t="shared" si="24"/>
        <v>#N/A</v>
      </c>
      <c r="G221" s="13" t="e">
        <f t="shared" si="25"/>
        <v>#N/A</v>
      </c>
    </row>
    <row r="222" spans="2:7" ht="24" thickBot="1" x14ac:dyDescent="0.5">
      <c r="B222" s="7">
        <f t="shared" si="20"/>
        <v>0.95000000000002127</v>
      </c>
      <c r="C222" s="8">
        <f t="shared" si="21"/>
        <v>5.0000000000000815E-2</v>
      </c>
      <c r="D222" s="9">
        <f t="shared" si="22"/>
        <v>9.6379458392338024E-2</v>
      </c>
      <c r="E222" s="9">
        <f t="shared" si="23"/>
        <v>6.1500000000001345E-2</v>
      </c>
      <c r="F222" s="13" t="e">
        <f t="shared" si="24"/>
        <v>#N/A</v>
      </c>
      <c r="G222" s="13" t="e">
        <f t="shared" si="25"/>
        <v>#N/A</v>
      </c>
    </row>
    <row r="223" spans="2:7" ht="24" thickBot="1" x14ac:dyDescent="0.5">
      <c r="B223" s="7">
        <f t="shared" si="20"/>
        <v>0.94500000000002127</v>
      </c>
      <c r="C223" s="8">
        <f t="shared" si="21"/>
        <v>5.5000000000000812E-2</v>
      </c>
      <c r="D223" s="9">
        <f t="shared" si="22"/>
        <v>9.6037961244501716E-2</v>
      </c>
      <c r="E223" s="9">
        <f t="shared" si="23"/>
        <v>6.165000000000135E-2</v>
      </c>
      <c r="F223" s="13" t="e">
        <f t="shared" si="24"/>
        <v>#N/A</v>
      </c>
      <c r="G223" s="13" t="e">
        <f t="shared" si="25"/>
        <v>#N/A</v>
      </c>
    </row>
    <row r="224" spans="2:7" ht="24" thickBot="1" x14ac:dyDescent="0.5">
      <c r="B224" s="7">
        <f t="shared" si="20"/>
        <v>0.94000000000002126</v>
      </c>
      <c r="C224" s="8">
        <f t="shared" si="21"/>
        <v>6.000000000000081E-2</v>
      </c>
      <c r="D224" s="9">
        <f t="shared" si="22"/>
        <v>9.5700365725531131E-2</v>
      </c>
      <c r="E224" s="9">
        <f t="shared" si="23"/>
        <v>6.1800000000001347E-2</v>
      </c>
      <c r="F224" s="13" t="e">
        <f t="shared" si="24"/>
        <v>#N/A</v>
      </c>
      <c r="G224" s="13" t="e">
        <f t="shared" si="25"/>
        <v>#N/A</v>
      </c>
    </row>
    <row r="225" spans="2:7" ht="24" thickBot="1" x14ac:dyDescent="0.5">
      <c r="B225" s="7">
        <f t="shared" si="20"/>
        <v>0.93500000000002126</v>
      </c>
      <c r="C225" s="8">
        <f t="shared" si="21"/>
        <v>6.5000000000000807E-2</v>
      </c>
      <c r="D225" s="9">
        <f t="shared" si="22"/>
        <v>9.5366713270409034E-2</v>
      </c>
      <c r="E225" s="9">
        <f t="shared" si="23"/>
        <v>6.1950000000001344E-2</v>
      </c>
      <c r="F225" s="13" t="e">
        <f t="shared" si="24"/>
        <v>#N/A</v>
      </c>
      <c r="G225" s="13" t="e">
        <f t="shared" si="25"/>
        <v>#N/A</v>
      </c>
    </row>
    <row r="226" spans="2:7" ht="24" thickBot="1" x14ac:dyDescent="0.5">
      <c r="B226" s="7">
        <f t="shared" si="20"/>
        <v>0.93000000000002125</v>
      </c>
      <c r="C226" s="8">
        <f t="shared" si="21"/>
        <v>7.0000000000000812E-2</v>
      </c>
      <c r="D226" s="9">
        <f t="shared" si="22"/>
        <v>9.5037045408621637E-2</v>
      </c>
      <c r="E226" s="9">
        <f t="shared" si="23"/>
        <v>6.2100000000001349E-2</v>
      </c>
      <c r="F226" s="13" t="e">
        <f t="shared" si="24"/>
        <v>#N/A</v>
      </c>
      <c r="G226" s="13" t="e">
        <f t="shared" si="25"/>
        <v>#N/A</v>
      </c>
    </row>
    <row r="227" spans="2:7" ht="24" thickBot="1" x14ac:dyDescent="0.5">
      <c r="B227" s="7">
        <f t="shared" si="20"/>
        <v>0.92500000000002125</v>
      </c>
      <c r="C227" s="8">
        <f t="shared" si="21"/>
        <v>7.5000000000000816E-2</v>
      </c>
      <c r="D227" s="9">
        <f t="shared" si="22"/>
        <v>9.4711403748442086E-2</v>
      </c>
      <c r="E227" s="9">
        <f t="shared" si="23"/>
        <v>6.2250000000001346E-2</v>
      </c>
      <c r="F227" s="13" t="e">
        <f t="shared" si="24"/>
        <v>#N/A</v>
      </c>
      <c r="G227" s="13" t="e">
        <f t="shared" si="25"/>
        <v>#N/A</v>
      </c>
    </row>
    <row r="228" spans="2:7" ht="24" thickBot="1" x14ac:dyDescent="0.5">
      <c r="B228" s="7">
        <f t="shared" si="20"/>
        <v>0.92000000000002125</v>
      </c>
      <c r="C228" s="8">
        <f t="shared" si="21"/>
        <v>8.000000000000082E-2</v>
      </c>
      <c r="D228" s="9">
        <f t="shared" si="22"/>
        <v>9.4389829960649929E-2</v>
      </c>
      <c r="E228" s="9">
        <f t="shared" si="23"/>
        <v>6.240000000000135E-2</v>
      </c>
      <c r="F228" s="13" t="e">
        <f t="shared" si="24"/>
        <v>#N/A</v>
      </c>
      <c r="G228" s="13" t="e">
        <f t="shared" si="25"/>
        <v>#N/A</v>
      </c>
    </row>
    <row r="229" spans="2:7" ht="24" thickBot="1" x14ac:dyDescent="0.5">
      <c r="B229" s="7">
        <f t="shared" si="20"/>
        <v>0.91500000000002124</v>
      </c>
      <c r="C229" s="8">
        <f t="shared" si="21"/>
        <v>8.5000000000000825E-2</v>
      </c>
      <c r="D229" s="9">
        <f t="shared" si="22"/>
        <v>9.4072365761685844E-2</v>
      </c>
      <c r="E229" s="9">
        <f t="shared" si="23"/>
        <v>6.2550000000001355E-2</v>
      </c>
      <c r="F229" s="13" t="e">
        <f t="shared" si="24"/>
        <v>#N/A</v>
      </c>
      <c r="G229" s="13" t="e">
        <f t="shared" si="25"/>
        <v>#N/A</v>
      </c>
    </row>
    <row r="230" spans="2:7" ht="24" thickBot="1" x14ac:dyDescent="0.5">
      <c r="B230" s="7">
        <f t="shared" si="20"/>
        <v>0.91000000000002124</v>
      </c>
      <c r="C230" s="8">
        <f t="shared" si="21"/>
        <v>9.0000000000000829E-2</v>
      </c>
      <c r="D230" s="9">
        <f t="shared" si="22"/>
        <v>9.375905289624252E-2</v>
      </c>
      <c r="E230" s="9">
        <f t="shared" si="23"/>
        <v>6.2700000000001352E-2</v>
      </c>
      <c r="F230" s="13" t="e">
        <f t="shared" si="24"/>
        <v>#N/A</v>
      </c>
      <c r="G230" s="13" t="e">
        <f t="shared" si="25"/>
        <v>#N/A</v>
      </c>
    </row>
    <row r="231" spans="2:7" ht="24" thickBot="1" x14ac:dyDescent="0.5">
      <c r="B231" s="7">
        <f t="shared" si="20"/>
        <v>0.90500000000002123</v>
      </c>
      <c r="C231" s="8">
        <f t="shared" si="21"/>
        <v>9.5000000000000834E-2</v>
      </c>
      <c r="D231" s="9">
        <f t="shared" si="22"/>
        <v>9.3449933119293352E-2</v>
      </c>
      <c r="E231" s="9">
        <f t="shared" si="23"/>
        <v>6.2850000000001349E-2</v>
      </c>
      <c r="F231" s="13" t="e">
        <f t="shared" si="24"/>
        <v>#N/A</v>
      </c>
      <c r="G231" s="13" t="e">
        <f t="shared" si="25"/>
        <v>#N/A</v>
      </c>
    </row>
    <row r="232" spans="2:7" ht="24" thickBot="1" x14ac:dyDescent="0.5">
      <c r="B232" s="7">
        <f t="shared" si="20"/>
        <v>0.90000000000002123</v>
      </c>
      <c r="C232" s="8">
        <f t="shared" si="21"/>
        <v>0.10000000000000084</v>
      </c>
      <c r="D232" s="9">
        <f t="shared" si="22"/>
        <v>9.3145048177562292E-2</v>
      </c>
      <c r="E232" s="9">
        <f t="shared" si="23"/>
        <v>6.3000000000001347E-2</v>
      </c>
      <c r="F232" s="13" t="e">
        <f t="shared" si="24"/>
        <v>#N/A</v>
      </c>
      <c r="G232" s="13" t="e">
        <f t="shared" si="25"/>
        <v>#N/A</v>
      </c>
    </row>
    <row r="233" spans="2:7" ht="24" thickBot="1" x14ac:dyDescent="0.5">
      <c r="B233" s="7">
        <f t="shared" si="20"/>
        <v>0.89500000000002122</v>
      </c>
      <c r="C233" s="8">
        <f t="shared" si="21"/>
        <v>0.10500000000000084</v>
      </c>
      <c r="D233" s="9">
        <f t="shared" si="22"/>
        <v>9.2844439790438715E-2</v>
      </c>
      <c r="E233" s="9">
        <f t="shared" si="23"/>
        <v>6.3150000000001344E-2</v>
      </c>
      <c r="F233" s="13" t="e">
        <f t="shared" si="24"/>
        <v>#N/A</v>
      </c>
      <c r="G233" s="13" t="e">
        <f t="shared" si="25"/>
        <v>#N/A</v>
      </c>
    </row>
    <row r="234" spans="2:7" ht="24" thickBot="1" x14ac:dyDescent="0.5">
      <c r="B234" s="7">
        <f t="shared" si="20"/>
        <v>0.89000000000002122</v>
      </c>
      <c r="C234" s="8">
        <f t="shared" si="21"/>
        <v>0.11000000000000085</v>
      </c>
      <c r="D234" s="9">
        <f t="shared" si="22"/>
        <v>9.2548149630343204E-2</v>
      </c>
      <c r="E234" s="9">
        <f t="shared" si="23"/>
        <v>6.3300000000001355E-2</v>
      </c>
      <c r="F234" s="13" t="e">
        <f t="shared" si="24"/>
        <v>#N/A</v>
      </c>
      <c r="G234" s="13" t="e">
        <f t="shared" si="25"/>
        <v>#N/A</v>
      </c>
    </row>
    <row r="235" spans="2:7" ht="24" thickBot="1" x14ac:dyDescent="0.5">
      <c r="B235" s="7">
        <f t="shared" si="20"/>
        <v>0.88500000000002121</v>
      </c>
      <c r="C235" s="8">
        <f t="shared" si="21"/>
        <v>0.11500000000000085</v>
      </c>
      <c r="D235" s="9">
        <f t="shared" si="22"/>
        <v>9.2256219302551068E-2</v>
      </c>
      <c r="E235" s="9">
        <f t="shared" si="23"/>
        <v>6.3450000000001353E-2</v>
      </c>
      <c r="F235" s="13" t="e">
        <f t="shared" si="24"/>
        <v>#N/A</v>
      </c>
      <c r="G235" s="13" t="e">
        <f t="shared" si="25"/>
        <v>#N/A</v>
      </c>
    </row>
    <row r="236" spans="2:7" ht="24" thickBot="1" x14ac:dyDescent="0.5">
      <c r="B236" s="7">
        <f t="shared" si="20"/>
        <v>0.88000000000002121</v>
      </c>
      <c r="C236" s="8">
        <f t="shared" si="21"/>
        <v>0.12000000000000086</v>
      </c>
      <c r="D236" s="9">
        <f t="shared" si="22"/>
        <v>9.1968690324481586E-2</v>
      </c>
      <c r="E236" s="9">
        <f t="shared" si="23"/>
        <v>6.360000000000135E-2</v>
      </c>
      <c r="F236" s="13" t="e">
        <f t="shared" si="24"/>
        <v>#N/A</v>
      </c>
      <c r="G236" s="13" t="e">
        <f t="shared" si="25"/>
        <v>#N/A</v>
      </c>
    </row>
    <row r="237" spans="2:7" ht="24" thickBot="1" x14ac:dyDescent="0.5">
      <c r="B237" s="7">
        <f t="shared" si="20"/>
        <v>0.87500000000002121</v>
      </c>
      <c r="C237" s="8">
        <f t="shared" si="21"/>
        <v>0.12500000000000086</v>
      </c>
      <c r="D237" s="9">
        <f t="shared" si="22"/>
        <v>9.1685604104463386E-2</v>
      </c>
      <c r="E237" s="9">
        <f t="shared" si="23"/>
        <v>6.3750000000001347E-2</v>
      </c>
      <c r="F237" s="13" t="e">
        <f t="shared" si="24"/>
        <v>#N/A</v>
      </c>
      <c r="G237" s="13" t="e">
        <f t="shared" si="25"/>
        <v>#N/A</v>
      </c>
    </row>
    <row r="238" spans="2:7" ht="24" thickBot="1" x14ac:dyDescent="0.5">
      <c r="B238" s="7">
        <f t="shared" si="20"/>
        <v>0.8700000000000212</v>
      </c>
      <c r="C238" s="8">
        <f t="shared" si="21"/>
        <v>0.13000000000000086</v>
      </c>
      <c r="D238" s="9">
        <f t="shared" si="22"/>
        <v>9.1407001919986366E-2</v>
      </c>
      <c r="E238" s="9">
        <f t="shared" si="23"/>
        <v>6.3900000000001345E-2</v>
      </c>
      <c r="F238" s="13" t="e">
        <f t="shared" si="24"/>
        <v>#N/A</v>
      </c>
      <c r="G238" s="13" t="e">
        <f t="shared" si="25"/>
        <v>#N/A</v>
      </c>
    </row>
    <row r="239" spans="2:7" ht="24" thickBot="1" x14ac:dyDescent="0.5">
      <c r="B239" s="7">
        <f t="shared" si="20"/>
        <v>0.8650000000000212</v>
      </c>
      <c r="C239" s="8">
        <f t="shared" si="21"/>
        <v>0.13500000000000087</v>
      </c>
      <c r="D239" s="9">
        <f t="shared" si="22"/>
        <v>9.1132924895453618E-2</v>
      </c>
      <c r="E239" s="9">
        <f t="shared" si="23"/>
        <v>6.4050000000001356E-2</v>
      </c>
      <c r="F239" s="13" t="e">
        <f t="shared" si="24"/>
        <v>#N/A</v>
      </c>
      <c r="G239" s="13" t="e">
        <f t="shared" si="25"/>
        <v>#N/A</v>
      </c>
    </row>
    <row r="240" spans="2:7" ht="24" thickBot="1" x14ac:dyDescent="0.5">
      <c r="B240" s="7">
        <f t="shared" si="20"/>
        <v>0.86000000000002119</v>
      </c>
      <c r="C240" s="8">
        <f t="shared" si="21"/>
        <v>0.14000000000000087</v>
      </c>
      <c r="D240" s="9">
        <f t="shared" si="22"/>
        <v>9.0863413979447125E-2</v>
      </c>
      <c r="E240" s="9">
        <f t="shared" si="23"/>
        <v>6.4200000000001353E-2</v>
      </c>
      <c r="F240" s="13" t="e">
        <f t="shared" si="24"/>
        <v>#N/A</v>
      </c>
      <c r="G240" s="13" t="e">
        <f t="shared" si="25"/>
        <v>#N/A</v>
      </c>
    </row>
    <row r="241" spans="2:7" ht="24" thickBot="1" x14ac:dyDescent="0.5">
      <c r="B241" s="7">
        <f t="shared" si="20"/>
        <v>0.85500000000002119</v>
      </c>
      <c r="C241" s="8">
        <f t="shared" si="21"/>
        <v>0.14500000000000088</v>
      </c>
      <c r="D241" s="9">
        <f t="shared" si="22"/>
        <v>9.0598509921523462E-2</v>
      </c>
      <c r="E241" s="9">
        <f t="shared" si="23"/>
        <v>6.4350000000001351E-2</v>
      </c>
      <c r="F241" s="13" t="e">
        <f t="shared" si="24"/>
        <v>#N/A</v>
      </c>
      <c r="G241" s="13" t="e">
        <f t="shared" si="25"/>
        <v>#N/A</v>
      </c>
    </row>
    <row r="242" spans="2:7" ht="24" thickBot="1" x14ac:dyDescent="0.5">
      <c r="B242" s="7">
        <f t="shared" si="20"/>
        <v>0.85000000000002118</v>
      </c>
      <c r="C242" s="8">
        <f t="shared" si="21"/>
        <v>0.15000000000000088</v>
      </c>
      <c r="D242" s="9">
        <f t="shared" si="22"/>
        <v>9.0338253248556807E-2</v>
      </c>
      <c r="E242" s="9">
        <f t="shared" si="23"/>
        <v>6.4500000000001348E-2</v>
      </c>
      <c r="F242" s="13" t="e">
        <f t="shared" si="24"/>
        <v>#N/A</v>
      </c>
      <c r="G242" s="13" t="e">
        <f t="shared" si="25"/>
        <v>#N/A</v>
      </c>
    </row>
    <row r="243" spans="2:7" ht="24" thickBot="1" x14ac:dyDescent="0.5">
      <c r="B243" s="7">
        <f t="shared" si="20"/>
        <v>0.84500000000002118</v>
      </c>
      <c r="C243" s="8">
        <f t="shared" si="21"/>
        <v>0.15500000000000089</v>
      </c>
      <c r="D243" s="9">
        <f t="shared" si="22"/>
        <v>9.0082684240648497E-2</v>
      </c>
      <c r="E243" s="9">
        <f t="shared" si="23"/>
        <v>6.4650000000001345E-2</v>
      </c>
      <c r="F243" s="13" t="e">
        <f t="shared" si="24"/>
        <v>#N/A</v>
      </c>
      <c r="G243" s="13" t="e">
        <f t="shared" si="25"/>
        <v>#N/A</v>
      </c>
    </row>
    <row r="244" spans="2:7" ht="24" thickBot="1" x14ac:dyDescent="0.5">
      <c r="B244" s="7">
        <f t="shared" si="20"/>
        <v>0.84000000000002117</v>
      </c>
      <c r="C244" s="8">
        <f t="shared" si="21"/>
        <v>0.16000000000000089</v>
      </c>
      <c r="D244" s="9">
        <f t="shared" si="22"/>
        <v>8.9831842906624049E-2</v>
      </c>
      <c r="E244" s="9">
        <f t="shared" si="23"/>
        <v>6.4800000000001357E-2</v>
      </c>
      <c r="F244" s="13" t="e">
        <f t="shared" si="24"/>
        <v>#N/A</v>
      </c>
      <c r="G244" s="13" t="e">
        <f t="shared" si="25"/>
        <v>#N/A</v>
      </c>
    </row>
    <row r="245" spans="2:7" ht="24" thickBot="1" x14ac:dyDescent="0.5">
      <c r="B245" s="7">
        <f t="shared" si="20"/>
        <v>0.83500000000002117</v>
      </c>
      <c r="C245" s="8">
        <f t="shared" si="21"/>
        <v>0.1650000000000009</v>
      </c>
      <c r="D245" s="9">
        <f t="shared" si="22"/>
        <v>8.9585768959139819E-2</v>
      </c>
      <c r="E245" s="9">
        <f t="shared" si="23"/>
        <v>6.4950000000001354E-2</v>
      </c>
      <c r="F245" s="13" t="e">
        <f t="shared" si="24"/>
        <v>#N/A</v>
      </c>
      <c r="G245" s="13" t="e">
        <f t="shared" si="25"/>
        <v>#N/A</v>
      </c>
    </row>
    <row r="246" spans="2:7" ht="24" thickBot="1" x14ac:dyDescent="0.5">
      <c r="B246" s="7">
        <f t="shared" si="20"/>
        <v>0.83000000000002117</v>
      </c>
      <c r="C246" s="8">
        <f t="shared" si="21"/>
        <v>0.1700000000000009</v>
      </c>
      <c r="D246" s="9">
        <f t="shared" si="22"/>
        <v>8.934450178942395E-2</v>
      </c>
      <c r="E246" s="9">
        <f t="shared" si="23"/>
        <v>6.5100000000001351E-2</v>
      </c>
      <c r="F246" s="13" t="e">
        <f t="shared" si="24"/>
        <v>#N/A</v>
      </c>
      <c r="G246" s="13" t="e">
        <f t="shared" si="25"/>
        <v>#N/A</v>
      </c>
    </row>
    <row r="247" spans="2:7" ht="24" thickBot="1" x14ac:dyDescent="0.5">
      <c r="B247" s="7">
        <f t="shared" si="20"/>
        <v>0.82500000000002116</v>
      </c>
      <c r="C247" s="8">
        <f t="shared" si="21"/>
        <v>0.1750000000000009</v>
      </c>
      <c r="D247" s="9">
        <f t="shared" si="22"/>
        <v>8.9108080441676979E-2</v>
      </c>
      <c r="E247" s="9">
        <f t="shared" si="23"/>
        <v>6.5250000000001349E-2</v>
      </c>
      <c r="F247" s="13" t="e">
        <f t="shared" si="24"/>
        <v>#N/A</v>
      </c>
      <c r="G247" s="13" t="e">
        <f t="shared" si="25"/>
        <v>#N/A</v>
      </c>
    </row>
    <row r="248" spans="2:7" ht="24" thickBot="1" x14ac:dyDescent="0.5">
      <c r="B248" s="7">
        <f t="shared" si="20"/>
        <v>0.82000000000002116</v>
      </c>
      <c r="C248" s="8">
        <f t="shared" si="21"/>
        <v>0.18000000000000091</v>
      </c>
      <c r="D248" s="9">
        <f t="shared" si="22"/>
        <v>8.8876543587160142E-2</v>
      </c>
      <c r="E248" s="9">
        <f t="shared" si="23"/>
        <v>6.5400000000001346E-2</v>
      </c>
      <c r="F248" s="13" t="e">
        <f t="shared" si="24"/>
        <v>#N/A</v>
      </c>
      <c r="G248" s="13" t="e">
        <f t="shared" si="25"/>
        <v>#N/A</v>
      </c>
    </row>
    <row r="249" spans="2:7" ht="24" thickBot="1" x14ac:dyDescent="0.5">
      <c r="B249" s="7">
        <f t="shared" si="20"/>
        <v>0.81500000000002115</v>
      </c>
      <c r="C249" s="8">
        <f t="shared" si="21"/>
        <v>0.18500000000000091</v>
      </c>
      <c r="D249" s="9">
        <f t="shared" si="22"/>
        <v>8.8649929498000005E-2</v>
      </c>
      <c r="E249" s="9">
        <f t="shared" si="23"/>
        <v>6.5550000000001357E-2</v>
      </c>
      <c r="F249" s="13" t="e">
        <f t="shared" si="24"/>
        <v>#N/A</v>
      </c>
      <c r="G249" s="13" t="e">
        <f t="shared" si="25"/>
        <v>#N/A</v>
      </c>
    </row>
    <row r="250" spans="2:7" ht="24" thickBot="1" x14ac:dyDescent="0.5">
      <c r="B250" s="7">
        <f t="shared" si="20"/>
        <v>0.81000000000002115</v>
      </c>
      <c r="C250" s="8">
        <f t="shared" si="21"/>
        <v>0.19000000000000092</v>
      </c>
      <c r="D250" s="9">
        <f t="shared" si="22"/>
        <v>8.8428276020741076E-2</v>
      </c>
      <c r="E250" s="9">
        <f t="shared" si="23"/>
        <v>6.5700000000001341E-2</v>
      </c>
      <c r="F250" s="13" t="e">
        <f t="shared" si="24"/>
        <v>#N/A</v>
      </c>
      <c r="G250" s="13" t="e">
        <f t="shared" si="25"/>
        <v>#N/A</v>
      </c>
    </row>
    <row r="251" spans="2:7" ht="24" thickBot="1" x14ac:dyDescent="0.5">
      <c r="B251" s="7">
        <f t="shared" si="20"/>
        <v>0.80500000000002114</v>
      </c>
      <c r="C251" s="8">
        <f t="shared" si="21"/>
        <v>0.19500000000000092</v>
      </c>
      <c r="D251" s="9">
        <f t="shared" si="22"/>
        <v>8.8211620549677974E-2</v>
      </c>
      <c r="E251" s="9">
        <f t="shared" si="23"/>
        <v>6.5850000000001352E-2</v>
      </c>
      <c r="F251" s="13" t="e">
        <f t="shared" si="24"/>
        <v>#N/A</v>
      </c>
      <c r="G251" s="13" t="e">
        <f t="shared" si="25"/>
        <v>#N/A</v>
      </c>
    </row>
    <row r="252" spans="2:7" ht="24" thickBot="1" x14ac:dyDescent="0.5">
      <c r="B252" s="7">
        <f t="shared" si="20"/>
        <v>0.80000000000002114</v>
      </c>
      <c r="C252" s="8">
        <f t="shared" si="21"/>
        <v>0.20000000000000093</v>
      </c>
      <c r="D252" s="9">
        <f t="shared" si="22"/>
        <v>8.8000000000002104E-2</v>
      </c>
      <c r="E252" s="9">
        <f t="shared" si="23"/>
        <v>6.6000000000001349E-2</v>
      </c>
      <c r="F252" s="13" t="e">
        <f t="shared" si="24"/>
        <v>#N/A</v>
      </c>
      <c r="G252" s="13" t="e">
        <f t="shared" si="25"/>
        <v>#N/A</v>
      </c>
    </row>
    <row r="253" spans="2:7" ht="24" thickBot="1" x14ac:dyDescent="0.5">
      <c r="B253" s="7">
        <f t="shared" si="20"/>
        <v>0.79500000000002113</v>
      </c>
      <c r="C253" s="8">
        <f t="shared" si="21"/>
        <v>0.20500000000000093</v>
      </c>
      <c r="D253" s="9">
        <f t="shared" si="22"/>
        <v>8.779345078079781E-2</v>
      </c>
      <c r="E253" s="9">
        <f t="shared" si="23"/>
        <v>6.6150000000001347E-2</v>
      </c>
      <c r="F253" s="13" t="e">
        <f t="shared" si="24"/>
        <v>#N/A</v>
      </c>
      <c r="G253" s="13" t="e">
        <f t="shared" si="25"/>
        <v>#N/A</v>
      </c>
    </row>
    <row r="254" spans="2:7" ht="24" thickBot="1" x14ac:dyDescent="0.5">
      <c r="B254" s="7">
        <f t="shared" si="20"/>
        <v>0.79000000000002113</v>
      </c>
      <c r="C254" s="8">
        <f t="shared" si="21"/>
        <v>0.21000000000000094</v>
      </c>
      <c r="D254" s="9">
        <f t="shared" si="22"/>
        <v>8.7592008767925666E-2</v>
      </c>
      <c r="E254" s="9">
        <f t="shared" si="23"/>
        <v>6.6300000000001358E-2</v>
      </c>
      <c r="F254" s="13" t="e">
        <f t="shared" si="24"/>
        <v>#N/A</v>
      </c>
      <c r="G254" s="13" t="e">
        <f t="shared" si="25"/>
        <v>#N/A</v>
      </c>
    </row>
    <row r="255" spans="2:7" ht="24" thickBot="1" x14ac:dyDescent="0.5">
      <c r="B255" s="7">
        <f t="shared" si="20"/>
        <v>0.78500000000002113</v>
      </c>
      <c r="C255" s="8">
        <f t="shared" si="21"/>
        <v>0.21500000000000094</v>
      </c>
      <c r="D255" s="9">
        <f t="shared" si="22"/>
        <v>8.7395709276831005E-2</v>
      </c>
      <c r="E255" s="9">
        <f t="shared" si="23"/>
        <v>6.6450000000001341E-2</v>
      </c>
      <c r="F255" s="13" t="e">
        <f t="shared" si="24"/>
        <v>#N/A</v>
      </c>
      <c r="G255" s="13" t="e">
        <f t="shared" si="25"/>
        <v>#N/A</v>
      </c>
    </row>
    <row r="256" spans="2:7" ht="24" thickBot="1" x14ac:dyDescent="0.5">
      <c r="B256" s="7">
        <f t="shared" si="20"/>
        <v>0.78000000000002112</v>
      </c>
      <c r="C256" s="8">
        <f t="shared" si="21"/>
        <v>0.22000000000000094</v>
      </c>
      <c r="D256" s="9">
        <f t="shared" si="22"/>
        <v>8.7204587035318054E-2</v>
      </c>
      <c r="E256" s="9">
        <f t="shared" si="23"/>
        <v>6.6600000000001353E-2</v>
      </c>
      <c r="F256" s="13" t="e">
        <f t="shared" si="24"/>
        <v>#N/A</v>
      </c>
      <c r="G256" s="13" t="e">
        <f t="shared" si="25"/>
        <v>#N/A</v>
      </c>
    </row>
    <row r="257" spans="2:7" ht="24" thickBot="1" x14ac:dyDescent="0.5">
      <c r="B257" s="7">
        <f t="shared" si="20"/>
        <v>0.77500000000002112</v>
      </c>
      <c r="C257" s="8">
        <f t="shared" si="21"/>
        <v>0.22500000000000095</v>
      </c>
      <c r="D257" s="9">
        <f t="shared" si="22"/>
        <v>8.7018676156330729E-2</v>
      </c>
      <c r="E257" s="9">
        <f t="shared" si="23"/>
        <v>6.675000000000135E-2</v>
      </c>
      <c r="F257" s="13" t="e">
        <f t="shared" si="24"/>
        <v>#N/A</v>
      </c>
      <c r="G257" s="13" t="e">
        <f t="shared" si="25"/>
        <v>#N/A</v>
      </c>
    </row>
    <row r="258" spans="2:7" ht="24" thickBot="1" x14ac:dyDescent="0.5">
      <c r="B258" s="7">
        <f t="shared" si="20"/>
        <v>0.77000000000002111</v>
      </c>
      <c r="C258" s="8">
        <f t="shared" si="21"/>
        <v>0.23000000000000095</v>
      </c>
      <c r="D258" s="9">
        <f t="shared" si="22"/>
        <v>8.6838010110782474E-2</v>
      </c>
      <c r="E258" s="9">
        <f t="shared" si="23"/>
        <v>6.6900000000001347E-2</v>
      </c>
      <c r="F258" s="13" t="e">
        <f t="shared" si="24"/>
        <v>#N/A</v>
      </c>
      <c r="G258" s="13" t="e">
        <f t="shared" si="25"/>
        <v>#N/A</v>
      </c>
    </row>
    <row r="259" spans="2:7" ht="24" thickBot="1" x14ac:dyDescent="0.5">
      <c r="B259" s="7">
        <f t="shared" si="20"/>
        <v>0.76500000000002111</v>
      </c>
      <c r="C259" s="8">
        <f t="shared" si="21"/>
        <v>0.23500000000000096</v>
      </c>
      <c r="D259" s="9">
        <f t="shared" si="22"/>
        <v>8.6662621700479142E-2</v>
      </c>
      <c r="E259" s="9">
        <f t="shared" si="23"/>
        <v>6.7050000000001359E-2</v>
      </c>
      <c r="F259" s="13" t="e">
        <f t="shared" si="24"/>
        <v>#N/A</v>
      </c>
      <c r="G259" s="13" t="e">
        <f t="shared" si="25"/>
        <v>#N/A</v>
      </c>
    </row>
    <row r="260" spans="2:7" ht="24" thickBot="1" x14ac:dyDescent="0.5">
      <c r="B260" s="7">
        <f t="shared" si="20"/>
        <v>0.7600000000000211</v>
      </c>
      <c r="C260" s="8">
        <f t="shared" si="21"/>
        <v>0.24000000000000096</v>
      </c>
      <c r="D260" s="9">
        <f t="shared" si="22"/>
        <v>8.6492543031179037E-2</v>
      </c>
      <c r="E260" s="9">
        <f t="shared" si="23"/>
        <v>6.7200000000001342E-2</v>
      </c>
      <c r="F260" s="13" t="e">
        <f t="shared" si="24"/>
        <v>#N/A</v>
      </c>
      <c r="G260" s="13" t="e">
        <f t="shared" si="25"/>
        <v>#N/A</v>
      </c>
    </row>
    <row r="261" spans="2:7" ht="24" thickBot="1" x14ac:dyDescent="0.5">
      <c r="B261" s="7">
        <f t="shared" si="20"/>
        <v>0.7550000000000211</v>
      </c>
      <c r="C261" s="8">
        <f t="shared" si="21"/>
        <v>0.24500000000000097</v>
      </c>
      <c r="D261" s="9">
        <f t="shared" si="22"/>
        <v>8.6327805485836101E-2</v>
      </c>
      <c r="E261" s="9">
        <f t="shared" si="23"/>
        <v>6.7350000000001353E-2</v>
      </c>
      <c r="F261" s="13" t="e">
        <f t="shared" si="24"/>
        <v>#N/A</v>
      </c>
      <c r="G261" s="13" t="e">
        <f t="shared" si="25"/>
        <v>#N/A</v>
      </c>
    </row>
    <row r="262" spans="2:7" ht="24" thickBot="1" x14ac:dyDescent="0.5">
      <c r="B262" s="7">
        <f t="shared" si="20"/>
        <v>0.75000000000002109</v>
      </c>
      <c r="C262" s="8">
        <f t="shared" si="21"/>
        <v>0.25000000000000094</v>
      </c>
      <c r="D262" s="9">
        <f t="shared" si="22"/>
        <v>8.6168439698072474E-2</v>
      </c>
      <c r="E262" s="9">
        <f t="shared" si="23"/>
        <v>6.7500000000001337E-2</v>
      </c>
      <c r="F262" s="13" t="e">
        <f t="shared" si="24"/>
        <v>#N/A</v>
      </c>
      <c r="G262" s="13" t="e">
        <f t="shared" si="25"/>
        <v>#N/A</v>
      </c>
    </row>
    <row r="263" spans="2:7" ht="24" thickBot="1" x14ac:dyDescent="0.5">
      <c r="B263" s="7">
        <f t="shared" si="20"/>
        <v>0.74500000000002109</v>
      </c>
      <c r="C263" s="8">
        <f t="shared" si="21"/>
        <v>0.25500000000000095</v>
      </c>
      <c r="D263" s="9">
        <f t="shared" si="22"/>
        <v>8.6014475525927322E-2</v>
      </c>
      <c r="E263" s="9">
        <f t="shared" si="23"/>
        <v>6.7650000000001348E-2</v>
      </c>
      <c r="F263" s="13" t="e">
        <f t="shared" si="24"/>
        <v>#N/A</v>
      </c>
      <c r="G263" s="13" t="e">
        <f t="shared" si="25"/>
        <v>#N/A</v>
      </c>
    </row>
    <row r="264" spans="2:7" ht="24" thickBot="1" x14ac:dyDescent="0.5">
      <c r="B264" s="7">
        <f t="shared" si="20"/>
        <v>0.74000000000002109</v>
      </c>
      <c r="C264" s="8">
        <f t="shared" si="21"/>
        <v>0.26000000000000095</v>
      </c>
      <c r="D264" s="9">
        <f t="shared" si="22"/>
        <v>8.586594202592987E-2</v>
      </c>
      <c r="E264" s="9">
        <f t="shared" si="23"/>
        <v>6.7800000000001345E-2</v>
      </c>
      <c r="F264" s="13" t="e">
        <f t="shared" si="24"/>
        <v>#N/A</v>
      </c>
      <c r="G264" s="13" t="e">
        <f t="shared" si="25"/>
        <v>#N/A</v>
      </c>
    </row>
    <row r="265" spans="2:7" ht="24" thickBot="1" x14ac:dyDescent="0.5">
      <c r="B265" s="7">
        <f t="shared" si="20"/>
        <v>0.73500000000002108</v>
      </c>
      <c r="C265" s="8">
        <f t="shared" si="21"/>
        <v>0.26500000000000096</v>
      </c>
      <c r="D265" s="9">
        <f t="shared" si="22"/>
        <v>8.5722867427544369E-2</v>
      </c>
      <c r="E265" s="9">
        <f t="shared" si="23"/>
        <v>6.7950000000001343E-2</v>
      </c>
      <c r="F265" s="13" t="e">
        <f t="shared" si="24"/>
        <v>#N/A</v>
      </c>
      <c r="G265" s="13" t="e">
        <f t="shared" si="25"/>
        <v>#N/A</v>
      </c>
    </row>
    <row r="266" spans="2:7" ht="24" thickBot="1" x14ac:dyDescent="0.5">
      <c r="B266" s="7">
        <f t="shared" si="20"/>
        <v>0.73000000000002108</v>
      </c>
      <c r="C266" s="8">
        <f t="shared" si="21"/>
        <v>0.27000000000000096</v>
      </c>
      <c r="D266" s="9">
        <f t="shared" si="22"/>
        <v>8.5585279108035553E-2</v>
      </c>
      <c r="E266" s="9">
        <f t="shared" si="23"/>
        <v>6.8100000000001354E-2</v>
      </c>
      <c r="F266" s="13" t="e">
        <f t="shared" si="24"/>
        <v>#N/A</v>
      </c>
      <c r="G266" s="13" t="e">
        <f t="shared" si="25"/>
        <v>#N/A</v>
      </c>
    </row>
    <row r="267" spans="2:7" ht="24" thickBot="1" x14ac:dyDescent="0.5">
      <c r="B267" s="7">
        <f t="shared" si="20"/>
        <v>0.72500000000002107</v>
      </c>
      <c r="C267" s="8">
        <f t="shared" si="21"/>
        <v>0.27500000000000097</v>
      </c>
      <c r="D267" s="9">
        <f t="shared" si="22"/>
        <v>8.5453203567802796E-2</v>
      </c>
      <c r="E267" s="9">
        <f t="shared" si="23"/>
        <v>6.8250000000001337E-2</v>
      </c>
      <c r="F267" s="13" t="e">
        <f t="shared" si="24"/>
        <v>#N/A</v>
      </c>
      <c r="G267" s="13" t="e">
        <f t="shared" si="25"/>
        <v>#N/A</v>
      </c>
    </row>
    <row r="268" spans="2:7" ht="24" thickBot="1" x14ac:dyDescent="0.5">
      <c r="B268" s="7">
        <f t="shared" si="20"/>
        <v>0.72000000000002107</v>
      </c>
      <c r="C268" s="8">
        <f t="shared" si="21"/>
        <v>0.28000000000000097</v>
      </c>
      <c r="D268" s="9">
        <f t="shared" si="22"/>
        <v>8.5326666406231669E-2</v>
      </c>
      <c r="E268" s="9">
        <f t="shared" si="23"/>
        <v>6.8400000000001349E-2</v>
      </c>
      <c r="F268" s="13" t="e">
        <f t="shared" si="24"/>
        <v>#N/A</v>
      </c>
      <c r="G268" s="13" t="e">
        <f t="shared" si="25"/>
        <v>#N/A</v>
      </c>
    </row>
    <row r="269" spans="2:7" ht="24" thickBot="1" x14ac:dyDescent="0.5">
      <c r="B269" s="7">
        <f t="shared" si="20"/>
        <v>0.71500000000002106</v>
      </c>
      <c r="C269" s="8">
        <f t="shared" si="21"/>
        <v>0.28500000000000097</v>
      </c>
      <c r="D269" s="9">
        <f t="shared" si="22"/>
        <v>8.5205692298110827E-2</v>
      </c>
      <c r="E269" s="9">
        <f t="shared" si="23"/>
        <v>6.8550000000001346E-2</v>
      </c>
      <c r="F269" s="13" t="e">
        <f t="shared" si="24"/>
        <v>#N/A</v>
      </c>
      <c r="G269" s="13" t="e">
        <f t="shared" si="25"/>
        <v>#N/A</v>
      </c>
    </row>
    <row r="270" spans="2:7" ht="24" thickBot="1" x14ac:dyDescent="0.5">
      <c r="B270" s="7">
        <f t="shared" ref="B270:B333" si="26">B269-0.5%</f>
        <v>0.71000000000002106</v>
      </c>
      <c r="C270" s="8">
        <f t="shared" ref="C270:C333" si="27">C269+0.5%</f>
        <v>0.29000000000000098</v>
      </c>
      <c r="D270" s="9">
        <f t="shared" ref="D270:D333" si="28">SQRT(B270^2*$D$4^2+C270^2*$D$5^2+2*C270*B270*$D$4*$D$5*$D$6)</f>
        <v>8.5090304970662431E-2</v>
      </c>
      <c r="E270" s="9">
        <f t="shared" ref="E270:E333" si="29">$F$4*B270+$F$5*C270</f>
        <v>6.8700000000001343E-2</v>
      </c>
      <c r="F270" s="13" t="e">
        <f t="shared" ref="F270:F333" si="30">IF(E270&gt;=$I$9,D270,NA())</f>
        <v>#N/A</v>
      </c>
      <c r="G270" s="13" t="e">
        <f t="shared" ref="G270:G333" si="31">IF(E270&gt;=$I$9,E270,NA())</f>
        <v>#N/A</v>
      </c>
    </row>
    <row r="271" spans="2:7" ht="24" thickBot="1" x14ac:dyDescent="0.5">
      <c r="B271" s="7">
        <f t="shared" si="26"/>
        <v>0.70500000000002105</v>
      </c>
      <c r="C271" s="8">
        <f t="shared" si="27"/>
        <v>0.29500000000000098</v>
      </c>
      <c r="D271" s="9">
        <f t="shared" si="28"/>
        <v>8.4980527181233348E-2</v>
      </c>
      <c r="E271" s="9">
        <f t="shared" si="29"/>
        <v>6.8850000000001355E-2</v>
      </c>
      <c r="F271" s="13" t="e">
        <f t="shared" si="30"/>
        <v>#N/A</v>
      </c>
      <c r="G271" s="13" t="e">
        <f t="shared" si="31"/>
        <v>#N/A</v>
      </c>
    </row>
    <row r="272" spans="2:7" ht="24" thickBot="1" x14ac:dyDescent="0.5">
      <c r="B272" s="7">
        <f t="shared" si="26"/>
        <v>0.70000000000002105</v>
      </c>
      <c r="C272" s="8">
        <f t="shared" si="27"/>
        <v>0.30000000000000099</v>
      </c>
      <c r="D272" s="9">
        <f t="shared" si="28"/>
        <v>8.4876380695693768E-2</v>
      </c>
      <c r="E272" s="9">
        <f t="shared" si="29"/>
        <v>6.9000000000001338E-2</v>
      </c>
      <c r="F272" s="13" t="e">
        <f t="shared" si="30"/>
        <v>#N/A</v>
      </c>
      <c r="G272" s="13" t="e">
        <f t="shared" si="31"/>
        <v>#N/A</v>
      </c>
    </row>
    <row r="273" spans="2:7" ht="24" thickBot="1" x14ac:dyDescent="0.5">
      <c r="B273" s="7">
        <f t="shared" si="26"/>
        <v>0.69500000000002105</v>
      </c>
      <c r="C273" s="8">
        <f t="shared" si="27"/>
        <v>0.30500000000000099</v>
      </c>
      <c r="D273" s="9">
        <f t="shared" si="28"/>
        <v>8.4777886267589475E-2</v>
      </c>
      <c r="E273" s="9">
        <f t="shared" si="29"/>
        <v>6.9150000000001349E-2</v>
      </c>
      <c r="F273" s="13" t="e">
        <f t="shared" si="30"/>
        <v>#N/A</v>
      </c>
      <c r="G273" s="13" t="e">
        <f t="shared" si="31"/>
        <v>#N/A</v>
      </c>
    </row>
    <row r="274" spans="2:7" ht="24" thickBot="1" x14ac:dyDescent="0.5">
      <c r="B274" s="7">
        <f t="shared" si="26"/>
        <v>0.69000000000002104</v>
      </c>
      <c r="C274" s="8">
        <f t="shared" si="27"/>
        <v>0.310000000000001</v>
      </c>
      <c r="D274" s="9">
        <f t="shared" si="28"/>
        <v>8.4685063618092277E-2</v>
      </c>
      <c r="E274" s="9">
        <f t="shared" si="29"/>
        <v>6.9300000000001347E-2</v>
      </c>
      <c r="F274" s="13" t="e">
        <f t="shared" si="30"/>
        <v>#N/A</v>
      </c>
      <c r="G274" s="13" t="e">
        <f t="shared" si="31"/>
        <v>#N/A</v>
      </c>
    </row>
    <row r="275" spans="2:7" ht="24" thickBot="1" x14ac:dyDescent="0.5">
      <c r="B275" s="7">
        <f t="shared" si="26"/>
        <v>0.68500000000002104</v>
      </c>
      <c r="C275" s="8">
        <f t="shared" si="27"/>
        <v>0.315000000000001</v>
      </c>
      <c r="D275" s="9">
        <f t="shared" si="28"/>
        <v>8.4597931416792532E-2</v>
      </c>
      <c r="E275" s="9">
        <f t="shared" si="29"/>
        <v>6.9450000000001344E-2</v>
      </c>
      <c r="F275" s="13" t="e">
        <f t="shared" si="30"/>
        <v>#N/A</v>
      </c>
      <c r="G275" s="13" t="e">
        <f t="shared" si="31"/>
        <v>#N/A</v>
      </c>
    </row>
    <row r="276" spans="2:7" ht="24" thickBot="1" x14ac:dyDescent="0.5">
      <c r="B276" s="7">
        <f t="shared" si="26"/>
        <v>0.68000000000002103</v>
      </c>
      <c r="C276" s="8">
        <f t="shared" si="27"/>
        <v>0.32000000000000101</v>
      </c>
      <c r="D276" s="9">
        <f t="shared" si="28"/>
        <v>8.4516507263376256E-2</v>
      </c>
      <c r="E276" s="9">
        <f t="shared" si="29"/>
        <v>6.9600000000001355E-2</v>
      </c>
      <c r="F276" s="13" t="e">
        <f t="shared" si="30"/>
        <v>#N/A</v>
      </c>
      <c r="G276" s="13" t="e">
        <f t="shared" si="31"/>
        <v>#N/A</v>
      </c>
    </row>
    <row r="277" spans="2:7" ht="24" thickBot="1" x14ac:dyDescent="0.5">
      <c r="B277" s="7">
        <f t="shared" si="26"/>
        <v>0.67500000000002103</v>
      </c>
      <c r="C277" s="8">
        <f t="shared" si="27"/>
        <v>0.32500000000000101</v>
      </c>
      <c r="D277" s="9">
        <f t="shared" si="28"/>
        <v>8.444080767022738E-2</v>
      </c>
      <c r="E277" s="9">
        <f t="shared" si="29"/>
        <v>6.9750000000001339E-2</v>
      </c>
      <c r="F277" s="13" t="e">
        <f t="shared" si="30"/>
        <v>#N/A</v>
      </c>
      <c r="G277" s="13" t="e">
        <f t="shared" si="31"/>
        <v>#N/A</v>
      </c>
    </row>
    <row r="278" spans="2:7" ht="24" thickBot="1" x14ac:dyDescent="0.5">
      <c r="B278" s="7">
        <f t="shared" si="26"/>
        <v>0.67000000000002102</v>
      </c>
      <c r="C278" s="8">
        <f t="shared" si="27"/>
        <v>0.33000000000000101</v>
      </c>
      <c r="D278" s="9">
        <f t="shared" si="28"/>
        <v>8.4370848045994706E-2</v>
      </c>
      <c r="E278" s="9">
        <f t="shared" si="29"/>
        <v>6.990000000000135E-2</v>
      </c>
      <c r="F278" s="13" t="e">
        <f t="shared" si="30"/>
        <v>#N/A</v>
      </c>
      <c r="G278" s="13" t="e">
        <f t="shared" si="31"/>
        <v>#N/A</v>
      </c>
    </row>
    <row r="279" spans="2:7" ht="24" thickBot="1" x14ac:dyDescent="0.5">
      <c r="B279" s="7">
        <f t="shared" si="26"/>
        <v>0.66500000000002102</v>
      </c>
      <c r="C279" s="8">
        <f t="shared" si="27"/>
        <v>0.33500000000000102</v>
      </c>
      <c r="D279" s="9">
        <f t="shared" si="28"/>
        <v>8.4306642680160901E-2</v>
      </c>
      <c r="E279" s="9">
        <f t="shared" si="29"/>
        <v>7.0050000000001347E-2</v>
      </c>
      <c r="F279" s="13" t="e">
        <f t="shared" si="30"/>
        <v>#N/A</v>
      </c>
      <c r="G279" s="13" t="e">
        <f t="shared" si="31"/>
        <v>#N/A</v>
      </c>
    </row>
    <row r="280" spans="2:7" ht="24" thickBot="1" x14ac:dyDescent="0.5">
      <c r="B280" s="7">
        <f t="shared" si="26"/>
        <v>0.66000000000002101</v>
      </c>
      <c r="C280" s="8">
        <f t="shared" si="27"/>
        <v>0.34000000000000102</v>
      </c>
      <c r="D280" s="9">
        <f t="shared" si="28"/>
        <v>8.4248204728648815E-2</v>
      </c>
      <c r="E280" s="9">
        <f t="shared" si="29"/>
        <v>7.0200000000001345E-2</v>
      </c>
      <c r="F280" s="13" t="e">
        <f t="shared" si="30"/>
        <v>#N/A</v>
      </c>
      <c r="G280" s="13" t="e">
        <f t="shared" si="31"/>
        <v>#N/A</v>
      </c>
    </row>
    <row r="281" spans="2:7" ht="24" thickBot="1" x14ac:dyDescent="0.5">
      <c r="B281" s="7">
        <f t="shared" si="26"/>
        <v>0.65500000000002101</v>
      </c>
      <c r="C281" s="8">
        <f t="shared" si="27"/>
        <v>0.34500000000000103</v>
      </c>
      <c r="D281" s="9">
        <f t="shared" si="28"/>
        <v>8.419554620049878E-2</v>
      </c>
      <c r="E281" s="9">
        <f t="shared" si="29"/>
        <v>7.0350000000001356E-2</v>
      </c>
      <c r="F281" s="13" t="e">
        <f t="shared" si="30"/>
        <v>#N/A</v>
      </c>
      <c r="G281" s="13" t="e">
        <f t="shared" si="31"/>
        <v>#N/A</v>
      </c>
    </row>
    <row r="282" spans="2:7" ht="24" thickBot="1" x14ac:dyDescent="0.5">
      <c r="B282" s="7">
        <f t="shared" si="26"/>
        <v>0.65000000000002101</v>
      </c>
      <c r="C282" s="8">
        <f t="shared" si="27"/>
        <v>0.35000000000000103</v>
      </c>
      <c r="D282" s="9">
        <f t="shared" si="28"/>
        <v>8.4148677945647621E-2</v>
      </c>
      <c r="E282" s="9">
        <f t="shared" si="29"/>
        <v>7.0500000000001339E-2</v>
      </c>
      <c r="F282" s="13" t="e">
        <f t="shared" si="30"/>
        <v>#N/A</v>
      </c>
      <c r="G282" s="13" t="e">
        <f t="shared" si="31"/>
        <v>#N/A</v>
      </c>
    </row>
    <row r="283" spans="2:7" ht="24" thickBot="1" x14ac:dyDescent="0.5">
      <c r="B283" s="7">
        <f t="shared" si="26"/>
        <v>0.645000000000021</v>
      </c>
      <c r="C283" s="8">
        <f t="shared" si="27"/>
        <v>0.35500000000000104</v>
      </c>
      <c r="D283" s="9">
        <f t="shared" si="28"/>
        <v>8.4107609643838538E-2</v>
      </c>
      <c r="E283" s="9">
        <f t="shared" si="29"/>
        <v>7.0650000000001351E-2</v>
      </c>
      <c r="F283" s="13" t="e">
        <f t="shared" si="30"/>
        <v>#N/A</v>
      </c>
      <c r="G283" s="13" t="e">
        <f t="shared" si="31"/>
        <v>#N/A</v>
      </c>
    </row>
    <row r="284" spans="2:7" ht="24" thickBot="1" x14ac:dyDescent="0.5">
      <c r="B284" s="7">
        <f t="shared" si="26"/>
        <v>0.640000000000021</v>
      </c>
      <c r="C284" s="8">
        <f t="shared" si="27"/>
        <v>0.36000000000000104</v>
      </c>
      <c r="D284" s="9">
        <f t="shared" si="28"/>
        <v>8.4072349794687667E-2</v>
      </c>
      <c r="E284" s="9">
        <f t="shared" si="29"/>
        <v>7.0800000000001362E-2</v>
      </c>
      <c r="F284" s="13" t="e">
        <f t="shared" si="30"/>
        <v>#N/A</v>
      </c>
      <c r="G284" s="13" t="e">
        <f t="shared" si="31"/>
        <v>#N/A</v>
      </c>
    </row>
    <row r="285" spans="2:7" ht="24" thickBot="1" x14ac:dyDescent="0.5">
      <c r="B285" s="7">
        <f t="shared" si="26"/>
        <v>0.63500000000002099</v>
      </c>
      <c r="C285" s="8">
        <f t="shared" si="27"/>
        <v>0.36500000000000105</v>
      </c>
      <c r="D285" s="9">
        <f t="shared" si="28"/>
        <v>8.4042905708931304E-2</v>
      </c>
      <c r="E285" s="9">
        <f t="shared" si="29"/>
        <v>7.0950000000001345E-2</v>
      </c>
      <c r="F285" s="13" t="e">
        <f t="shared" si="30"/>
        <v>#N/A</v>
      </c>
      <c r="G285" s="13" t="e">
        <f t="shared" si="31"/>
        <v>#N/A</v>
      </c>
    </row>
    <row r="286" spans="2:7" ht="24" thickBot="1" x14ac:dyDescent="0.5">
      <c r="B286" s="7">
        <f t="shared" si="26"/>
        <v>0.63000000000002099</v>
      </c>
      <c r="C286" s="8">
        <f t="shared" si="27"/>
        <v>0.37000000000000105</v>
      </c>
      <c r="D286" s="9">
        <f t="shared" si="28"/>
        <v>8.4019283500874467E-2</v>
      </c>
      <c r="E286" s="9">
        <f t="shared" si="29"/>
        <v>7.1100000000001357E-2</v>
      </c>
      <c r="F286" s="13" t="e">
        <f t="shared" si="30"/>
        <v>#N/A</v>
      </c>
      <c r="G286" s="13" t="e">
        <f t="shared" si="31"/>
        <v>#N/A</v>
      </c>
    </row>
    <row r="287" spans="2:7" ht="24" thickBot="1" x14ac:dyDescent="0.5">
      <c r="B287" s="7">
        <f t="shared" si="26"/>
        <v>0.62500000000002098</v>
      </c>
      <c r="C287" s="8">
        <f t="shared" si="27"/>
        <v>0.37500000000000105</v>
      </c>
      <c r="D287" s="9">
        <f t="shared" si="28"/>
        <v>8.4001488082059081E-2</v>
      </c>
      <c r="E287" s="9">
        <f t="shared" si="29"/>
        <v>7.125000000000134E-2</v>
      </c>
      <c r="F287" s="13" t="e">
        <f t="shared" si="30"/>
        <v>#N/A</v>
      </c>
      <c r="G287" s="13" t="e">
        <f t="shared" si="31"/>
        <v>#N/A</v>
      </c>
    </row>
    <row r="288" spans="2:7" ht="24" thickBot="1" x14ac:dyDescent="0.5">
      <c r="B288" s="7">
        <f t="shared" si="26"/>
        <v>0.62000000000002098</v>
      </c>
      <c r="C288" s="8">
        <f t="shared" si="27"/>
        <v>0.38000000000000106</v>
      </c>
      <c r="D288" s="9">
        <f t="shared" si="28"/>
        <v>8.3989523156167006E-2</v>
      </c>
      <c r="E288" s="9">
        <f t="shared" si="29"/>
        <v>7.1400000000001351E-2</v>
      </c>
      <c r="F288" s="13" t="e">
        <f t="shared" si="30"/>
        <v>#N/A</v>
      </c>
      <c r="G288" s="13" t="e">
        <f t="shared" si="31"/>
        <v>#N/A</v>
      </c>
    </row>
    <row r="289" spans="2:7" ht="24" thickBot="1" x14ac:dyDescent="0.5">
      <c r="B289" s="7">
        <f t="shared" si="26"/>
        <v>0.61500000000002097</v>
      </c>
      <c r="C289" s="8">
        <f t="shared" si="27"/>
        <v>0.38500000000000106</v>
      </c>
      <c r="D289" s="9">
        <f t="shared" si="28"/>
        <v>8.3983391215170108E-2</v>
      </c>
      <c r="E289" s="9">
        <f t="shared" si="29"/>
        <v>7.1550000000001363E-2</v>
      </c>
      <c r="F289" s="13" t="e">
        <f t="shared" si="30"/>
        <v>#N/A</v>
      </c>
      <c r="G289" s="13" t="e">
        <f t="shared" si="31"/>
        <v>#N/A</v>
      </c>
    </row>
    <row r="290" spans="2:7" ht="24" thickBot="1" x14ac:dyDescent="0.5">
      <c r="B290" s="7">
        <f t="shared" si="26"/>
        <v>0.61000000000002097</v>
      </c>
      <c r="C290" s="8">
        <f t="shared" si="27"/>
        <v>0.39000000000000107</v>
      </c>
      <c r="D290" s="9">
        <f t="shared" si="28"/>
        <v>8.3983093536736969E-2</v>
      </c>
      <c r="E290" s="9">
        <f t="shared" si="29"/>
        <v>7.1700000000001346E-2</v>
      </c>
      <c r="F290" s="13">
        <f t="shared" si="30"/>
        <v>8.3983093536736969E-2</v>
      </c>
      <c r="G290" s="13">
        <f t="shared" si="31"/>
        <v>7.1700000000001346E-2</v>
      </c>
    </row>
    <row r="291" spans="2:7" ht="24" thickBot="1" x14ac:dyDescent="0.5">
      <c r="B291" s="7">
        <f t="shared" si="26"/>
        <v>0.60500000000002097</v>
      </c>
      <c r="C291" s="8">
        <f t="shared" si="27"/>
        <v>0.39500000000000107</v>
      </c>
      <c r="D291" s="9">
        <f t="shared" si="28"/>
        <v>8.3988630182902188E-2</v>
      </c>
      <c r="E291" s="9">
        <f t="shared" si="29"/>
        <v>7.1850000000001357E-2</v>
      </c>
      <c r="F291" s="13">
        <f t="shared" si="30"/>
        <v>8.3988630182902188E-2</v>
      </c>
      <c r="G291" s="13">
        <f t="shared" si="31"/>
        <v>7.1850000000001357E-2</v>
      </c>
    </row>
    <row r="292" spans="2:7" ht="24" thickBot="1" x14ac:dyDescent="0.5">
      <c r="B292" s="7">
        <f t="shared" si="26"/>
        <v>0.60000000000002096</v>
      </c>
      <c r="C292" s="8">
        <f t="shared" si="27"/>
        <v>0.40000000000000108</v>
      </c>
      <c r="D292" s="9">
        <f t="shared" si="28"/>
        <v>8.4000000000001837E-2</v>
      </c>
      <c r="E292" s="9">
        <f t="shared" si="29"/>
        <v>7.2000000000001341E-2</v>
      </c>
      <c r="F292" s="13">
        <f t="shared" si="30"/>
        <v>8.4000000000001837E-2</v>
      </c>
      <c r="G292" s="13">
        <f t="shared" si="31"/>
        <v>7.2000000000001341E-2</v>
      </c>
    </row>
    <row r="293" spans="2:7" ht="24" thickBot="1" x14ac:dyDescent="0.5">
      <c r="B293" s="7">
        <f t="shared" si="26"/>
        <v>0.59500000000002096</v>
      </c>
      <c r="C293" s="8">
        <f t="shared" si="27"/>
        <v>0.40500000000000108</v>
      </c>
      <c r="D293" s="9">
        <f t="shared" si="28"/>
        <v>8.4017200619874888E-2</v>
      </c>
      <c r="E293" s="9">
        <f t="shared" si="29"/>
        <v>7.2150000000001352E-2</v>
      </c>
      <c r="F293" s="13">
        <f t="shared" si="30"/>
        <v>8.4017200619874888E-2</v>
      </c>
      <c r="G293" s="13">
        <f t="shared" si="31"/>
        <v>7.2150000000001352E-2</v>
      </c>
    </row>
    <row r="294" spans="2:7" ht="24" thickBot="1" x14ac:dyDescent="0.5">
      <c r="B294" s="7">
        <f t="shared" si="26"/>
        <v>0.59000000000002095</v>
      </c>
      <c r="C294" s="8">
        <f t="shared" si="27"/>
        <v>0.41000000000000109</v>
      </c>
      <c r="D294" s="9">
        <f t="shared" si="28"/>
        <v>8.4040228462328115E-2</v>
      </c>
      <c r="E294" s="9">
        <f t="shared" si="29"/>
        <v>7.2300000000001363E-2</v>
      </c>
      <c r="F294" s="13">
        <f t="shared" si="30"/>
        <v>8.4040228462328115E-2</v>
      </c>
      <c r="G294" s="13">
        <f t="shared" si="31"/>
        <v>7.2300000000001363E-2</v>
      </c>
    </row>
    <row r="295" spans="2:7" ht="24" thickBot="1" x14ac:dyDescent="0.5">
      <c r="B295" s="7">
        <f t="shared" si="26"/>
        <v>0.58500000000002095</v>
      </c>
      <c r="C295" s="8">
        <f t="shared" si="27"/>
        <v>0.41500000000000109</v>
      </c>
      <c r="D295" s="9">
        <f t="shared" si="28"/>
        <v>8.406907873885798E-2</v>
      </c>
      <c r="E295" s="9">
        <f t="shared" si="29"/>
        <v>7.2450000000001347E-2</v>
      </c>
      <c r="F295" s="13">
        <f t="shared" si="30"/>
        <v>8.406907873885798E-2</v>
      </c>
      <c r="G295" s="13">
        <f t="shared" si="31"/>
        <v>7.2450000000001347E-2</v>
      </c>
    </row>
    <row r="296" spans="2:7" ht="24" thickBot="1" x14ac:dyDescent="0.5">
      <c r="B296" s="7">
        <f t="shared" si="26"/>
        <v>0.58000000000002094</v>
      </c>
      <c r="C296" s="8">
        <f t="shared" si="27"/>
        <v>0.42000000000000109</v>
      </c>
      <c r="D296" s="9">
        <f t="shared" si="28"/>
        <v>8.4103745457620976E-2</v>
      </c>
      <c r="E296" s="9">
        <f t="shared" si="29"/>
        <v>7.2600000000001358E-2</v>
      </c>
      <c r="F296" s="13">
        <f t="shared" si="30"/>
        <v>8.4103745457620976E-2</v>
      </c>
      <c r="G296" s="13">
        <f t="shared" si="31"/>
        <v>7.2600000000001358E-2</v>
      </c>
    </row>
    <row r="297" spans="2:7" ht="24" thickBot="1" x14ac:dyDescent="0.5">
      <c r="B297" s="7">
        <f t="shared" si="26"/>
        <v>0.57500000000002094</v>
      </c>
      <c r="C297" s="8">
        <f t="shared" si="27"/>
        <v>0.4250000000000011</v>
      </c>
      <c r="D297" s="9">
        <f t="shared" si="28"/>
        <v>8.4144221429640079E-2</v>
      </c>
      <c r="E297" s="9">
        <f t="shared" si="29"/>
        <v>7.2750000000001341E-2</v>
      </c>
      <c r="F297" s="13">
        <f t="shared" si="30"/>
        <v>8.4144221429640079E-2</v>
      </c>
      <c r="G297" s="13">
        <f t="shared" si="31"/>
        <v>7.2750000000001341E-2</v>
      </c>
    </row>
    <row r="298" spans="2:7" ht="24" thickBot="1" x14ac:dyDescent="0.5">
      <c r="B298" s="7">
        <f t="shared" si="26"/>
        <v>0.57000000000002093</v>
      </c>
      <c r="C298" s="8">
        <f t="shared" si="27"/>
        <v>0.4300000000000011</v>
      </c>
      <c r="D298" s="9">
        <f t="shared" si="28"/>
        <v>8.4190498276232456E-2</v>
      </c>
      <c r="E298" s="9">
        <f t="shared" si="29"/>
        <v>7.2900000000001353E-2</v>
      </c>
      <c r="F298" s="13">
        <f t="shared" si="30"/>
        <v>8.4190498276232456E-2</v>
      </c>
      <c r="G298" s="13">
        <f t="shared" si="31"/>
        <v>7.2900000000001353E-2</v>
      </c>
    </row>
    <row r="299" spans="2:7" ht="24" thickBot="1" x14ac:dyDescent="0.5">
      <c r="B299" s="7">
        <f t="shared" si="26"/>
        <v>0.56500000000002093</v>
      </c>
      <c r="C299" s="8">
        <f t="shared" si="27"/>
        <v>0.43500000000000111</v>
      </c>
      <c r="D299" s="9">
        <f t="shared" si="28"/>
        <v>8.4242566437640651E-2</v>
      </c>
      <c r="E299" s="9">
        <f t="shared" si="29"/>
        <v>7.3050000000001364E-2</v>
      </c>
      <c r="F299" s="13">
        <f t="shared" si="30"/>
        <v>8.4242566437640651E-2</v>
      </c>
      <c r="G299" s="13">
        <f t="shared" si="31"/>
        <v>7.3050000000001364E-2</v>
      </c>
    </row>
    <row r="300" spans="2:7" ht="24" thickBot="1" x14ac:dyDescent="0.5">
      <c r="B300" s="7">
        <f t="shared" si="26"/>
        <v>0.56000000000002093</v>
      </c>
      <c r="C300" s="8">
        <f t="shared" si="27"/>
        <v>0.44000000000000111</v>
      </c>
      <c r="D300" s="9">
        <f t="shared" si="28"/>
        <v>8.4300415182846491E-2</v>
      </c>
      <c r="E300" s="9">
        <f t="shared" si="29"/>
        <v>7.3200000000001347E-2</v>
      </c>
      <c r="F300" s="13">
        <f t="shared" si="30"/>
        <v>8.4300415182846491E-2</v>
      </c>
      <c r="G300" s="13">
        <f t="shared" si="31"/>
        <v>7.3200000000001347E-2</v>
      </c>
    </row>
    <row r="301" spans="2:7" ht="24" thickBot="1" x14ac:dyDescent="0.5">
      <c r="B301" s="7">
        <f t="shared" si="26"/>
        <v>0.55500000000002092</v>
      </c>
      <c r="C301" s="8">
        <f t="shared" si="27"/>
        <v>0.44500000000000112</v>
      </c>
      <c r="D301" s="9">
        <f t="shared" si="28"/>
        <v>8.4364032620544496E-2</v>
      </c>
      <c r="E301" s="9">
        <f t="shared" si="29"/>
        <v>7.3350000000001359E-2</v>
      </c>
      <c r="F301" s="13">
        <f t="shared" si="30"/>
        <v>8.4364032620544496E-2</v>
      </c>
      <c r="G301" s="13">
        <f t="shared" si="31"/>
        <v>7.3350000000001359E-2</v>
      </c>
    </row>
    <row r="302" spans="2:7" ht="24" thickBot="1" x14ac:dyDescent="0.5">
      <c r="B302" s="7">
        <f t="shared" si="26"/>
        <v>0.55000000000002092</v>
      </c>
      <c r="C302" s="8">
        <f t="shared" si="27"/>
        <v>0.45000000000000112</v>
      </c>
      <c r="D302" s="9">
        <f t="shared" si="28"/>
        <v>8.4433405711248521E-2</v>
      </c>
      <c r="E302" s="9">
        <f t="shared" si="29"/>
        <v>7.3500000000001342E-2</v>
      </c>
      <c r="F302" s="13">
        <f t="shared" si="30"/>
        <v>8.4433405711248521E-2</v>
      </c>
      <c r="G302" s="13">
        <f t="shared" si="31"/>
        <v>7.3500000000001342E-2</v>
      </c>
    </row>
    <row r="303" spans="2:7" ht="24" thickBot="1" x14ac:dyDescent="0.5">
      <c r="B303" s="7">
        <f t="shared" si="26"/>
        <v>0.54500000000002091</v>
      </c>
      <c r="C303" s="8">
        <f t="shared" si="27"/>
        <v>0.45500000000000113</v>
      </c>
      <c r="D303" s="9">
        <f t="shared" si="28"/>
        <v>8.4508520280503624E-2</v>
      </c>
      <c r="E303" s="9">
        <f t="shared" si="29"/>
        <v>7.3650000000001353E-2</v>
      </c>
      <c r="F303" s="13">
        <f t="shared" si="30"/>
        <v>8.4508520280503624E-2</v>
      </c>
      <c r="G303" s="13">
        <f t="shared" si="31"/>
        <v>7.3650000000001353E-2</v>
      </c>
    </row>
    <row r="304" spans="2:7" ht="24" thickBot="1" x14ac:dyDescent="0.5">
      <c r="B304" s="7">
        <f t="shared" si="26"/>
        <v>0.54000000000002091</v>
      </c>
      <c r="C304" s="8">
        <f t="shared" si="27"/>
        <v>0.46000000000000113</v>
      </c>
      <c r="D304" s="9">
        <f t="shared" si="28"/>
        <v>8.4589361033171828E-2</v>
      </c>
      <c r="E304" s="9">
        <f t="shared" si="29"/>
        <v>7.3800000000001365E-2</v>
      </c>
      <c r="F304" s="13">
        <f t="shared" si="30"/>
        <v>8.4589361033171828E-2</v>
      </c>
      <c r="G304" s="13">
        <f t="shared" si="31"/>
        <v>7.3800000000001365E-2</v>
      </c>
    </row>
    <row r="305" spans="2:7" ht="24" thickBot="1" x14ac:dyDescent="0.5">
      <c r="B305" s="7">
        <f t="shared" si="26"/>
        <v>0.5350000000000209</v>
      </c>
      <c r="C305" s="8">
        <f t="shared" si="27"/>
        <v>0.46500000000000113</v>
      </c>
      <c r="D305" s="9">
        <f t="shared" si="28"/>
        <v>8.4675911568758963E-2</v>
      </c>
      <c r="E305" s="9">
        <f t="shared" si="29"/>
        <v>7.3950000000001348E-2</v>
      </c>
      <c r="F305" s="13">
        <f t="shared" si="30"/>
        <v>8.4675911568758963E-2</v>
      </c>
      <c r="G305" s="13">
        <f t="shared" si="31"/>
        <v>7.3950000000001348E-2</v>
      </c>
    </row>
    <row r="306" spans="2:7" ht="24" thickBot="1" x14ac:dyDescent="0.5">
      <c r="B306" s="7">
        <f t="shared" si="26"/>
        <v>0.5300000000000209</v>
      </c>
      <c r="C306" s="8">
        <f t="shared" si="27"/>
        <v>0.47000000000000114</v>
      </c>
      <c r="D306" s="9">
        <f t="shared" si="28"/>
        <v>8.476815439774707E-2</v>
      </c>
      <c r="E306" s="9">
        <f t="shared" si="29"/>
        <v>7.4100000000001359E-2</v>
      </c>
      <c r="F306" s="13">
        <f t="shared" si="30"/>
        <v>8.476815439774707E-2</v>
      </c>
      <c r="G306" s="13">
        <f t="shared" si="31"/>
        <v>7.4100000000001359E-2</v>
      </c>
    </row>
    <row r="307" spans="2:7" ht="24" thickBot="1" x14ac:dyDescent="0.5">
      <c r="B307" s="7">
        <f t="shared" si="26"/>
        <v>0.52500000000002089</v>
      </c>
      <c r="C307" s="8">
        <f t="shared" si="27"/>
        <v>0.47500000000000114</v>
      </c>
      <c r="D307" s="9">
        <f t="shared" si="28"/>
        <v>8.4866070958895493E-2</v>
      </c>
      <c r="E307" s="9">
        <f t="shared" si="29"/>
        <v>7.4250000000001343E-2</v>
      </c>
      <c r="F307" s="13">
        <f t="shared" si="30"/>
        <v>8.4866070958895493E-2</v>
      </c>
      <c r="G307" s="13">
        <f t="shared" si="31"/>
        <v>7.4250000000001343E-2</v>
      </c>
    </row>
    <row r="308" spans="2:7" ht="24" thickBot="1" x14ac:dyDescent="0.5">
      <c r="B308" s="7">
        <f t="shared" si="26"/>
        <v>0.52000000000002089</v>
      </c>
      <c r="C308" s="8">
        <f t="shared" si="27"/>
        <v>0.48000000000000115</v>
      </c>
      <c r="D308" s="9">
        <f t="shared" si="28"/>
        <v>8.4969641637471227E-2</v>
      </c>
      <c r="E308" s="9">
        <f t="shared" si="29"/>
        <v>7.4400000000001354E-2</v>
      </c>
      <c r="F308" s="13">
        <f t="shared" si="30"/>
        <v>8.4969641637471227E-2</v>
      </c>
      <c r="G308" s="13">
        <f t="shared" si="31"/>
        <v>7.4400000000001354E-2</v>
      </c>
    </row>
    <row r="309" spans="2:7" ht="24" thickBot="1" x14ac:dyDescent="0.5">
      <c r="B309" s="7">
        <f t="shared" si="26"/>
        <v>0.51500000000002089</v>
      </c>
      <c r="C309" s="8">
        <f t="shared" si="27"/>
        <v>0.48500000000000115</v>
      </c>
      <c r="D309" s="9">
        <f t="shared" si="28"/>
        <v>8.5078845784368057E-2</v>
      </c>
      <c r="E309" s="9">
        <f t="shared" si="29"/>
        <v>7.4550000000001365E-2</v>
      </c>
      <c r="F309" s="13">
        <f t="shared" si="30"/>
        <v>8.5078845784368057E-2</v>
      </c>
      <c r="G309" s="13">
        <f t="shared" si="31"/>
        <v>7.4550000000001365E-2</v>
      </c>
    </row>
    <row r="310" spans="2:7" ht="24" thickBot="1" x14ac:dyDescent="0.5">
      <c r="B310" s="7">
        <f t="shared" si="26"/>
        <v>0.51000000000002088</v>
      </c>
      <c r="C310" s="8">
        <f t="shared" si="27"/>
        <v>0.49000000000000116</v>
      </c>
      <c r="D310" s="9">
        <f t="shared" si="28"/>
        <v>8.5193661736072138E-2</v>
      </c>
      <c r="E310" s="9">
        <f t="shared" si="29"/>
        <v>7.4700000000001349E-2</v>
      </c>
      <c r="F310" s="13">
        <f t="shared" si="30"/>
        <v>8.5193661736072138E-2</v>
      </c>
      <c r="G310" s="13">
        <f t="shared" si="31"/>
        <v>7.4700000000001349E-2</v>
      </c>
    </row>
    <row r="311" spans="2:7" ht="24" thickBot="1" x14ac:dyDescent="0.5">
      <c r="B311" s="7">
        <f t="shared" si="26"/>
        <v>0.50500000000002088</v>
      </c>
      <c r="C311" s="8">
        <f t="shared" si="27"/>
        <v>0.49500000000000116</v>
      </c>
      <c r="D311" s="9">
        <f t="shared" si="28"/>
        <v>8.5314066835430372E-2</v>
      </c>
      <c r="E311" s="9">
        <f t="shared" si="29"/>
        <v>7.485000000000136E-2</v>
      </c>
      <c r="F311" s="13">
        <f t="shared" si="30"/>
        <v>8.5314066835430372E-2</v>
      </c>
      <c r="G311" s="13">
        <f t="shared" si="31"/>
        <v>7.485000000000136E-2</v>
      </c>
    </row>
    <row r="312" spans="2:7" ht="24" thickBot="1" x14ac:dyDescent="0.5">
      <c r="B312" s="7">
        <f t="shared" si="26"/>
        <v>0.50000000000002087</v>
      </c>
      <c r="C312" s="8">
        <f t="shared" si="27"/>
        <v>0.50000000000000111</v>
      </c>
      <c r="D312" s="9">
        <f t="shared" si="28"/>
        <v>8.5440037453176937E-2</v>
      </c>
      <c r="E312" s="9">
        <f t="shared" si="29"/>
        <v>7.5000000000001343E-2</v>
      </c>
      <c r="F312" s="13">
        <f t="shared" si="30"/>
        <v>8.5440037453176937E-2</v>
      </c>
      <c r="G312" s="13">
        <f t="shared" si="31"/>
        <v>7.5000000000001343E-2</v>
      </c>
    </row>
    <row r="313" spans="2:7" ht="24" thickBot="1" x14ac:dyDescent="0.5">
      <c r="B313" s="7">
        <f t="shared" si="26"/>
        <v>0.49500000000002087</v>
      </c>
      <c r="C313" s="8">
        <f t="shared" si="27"/>
        <v>0.50500000000000111</v>
      </c>
      <c r="D313" s="9">
        <f t="shared" si="28"/>
        <v>8.5571549010172041E-2</v>
      </c>
      <c r="E313" s="9">
        <f t="shared" si="29"/>
        <v>7.5150000000001355E-2</v>
      </c>
      <c r="F313" s="13">
        <f t="shared" si="30"/>
        <v>8.5571549010172041E-2</v>
      </c>
      <c r="G313" s="13">
        <f t="shared" si="31"/>
        <v>7.5150000000001355E-2</v>
      </c>
    </row>
    <row r="314" spans="2:7" ht="24" thickBot="1" x14ac:dyDescent="0.5">
      <c r="B314" s="7">
        <f t="shared" si="26"/>
        <v>0.49000000000002086</v>
      </c>
      <c r="C314" s="8">
        <f t="shared" si="27"/>
        <v>0.51000000000000112</v>
      </c>
      <c r="D314" s="9">
        <f t="shared" si="28"/>
        <v>8.5708576000306264E-2</v>
      </c>
      <c r="E314" s="9">
        <f t="shared" si="29"/>
        <v>7.5300000000001352E-2</v>
      </c>
      <c r="F314" s="13">
        <f t="shared" si="30"/>
        <v>8.5708576000306264E-2</v>
      </c>
      <c r="G314" s="13">
        <f t="shared" si="31"/>
        <v>7.5300000000001352E-2</v>
      </c>
    </row>
    <row r="315" spans="2:7" ht="24" thickBot="1" x14ac:dyDescent="0.5">
      <c r="B315" s="7">
        <f t="shared" si="26"/>
        <v>0.48500000000002086</v>
      </c>
      <c r="C315" s="8">
        <f t="shared" si="27"/>
        <v>0.51500000000000112</v>
      </c>
      <c r="D315" s="9">
        <f t="shared" si="28"/>
        <v>8.5851092014023175E-2</v>
      </c>
      <c r="E315" s="9">
        <f t="shared" si="29"/>
        <v>7.5450000000001349E-2</v>
      </c>
      <c r="F315" s="13">
        <f t="shared" si="30"/>
        <v>8.5851092014023175E-2</v>
      </c>
      <c r="G315" s="13">
        <f t="shared" si="31"/>
        <v>7.5450000000001349E-2</v>
      </c>
    </row>
    <row r="316" spans="2:7" ht="24" thickBot="1" x14ac:dyDescent="0.5">
      <c r="B316" s="7">
        <f t="shared" si="26"/>
        <v>0.48000000000002085</v>
      </c>
      <c r="C316" s="8">
        <f t="shared" si="27"/>
        <v>0.52000000000000113</v>
      </c>
      <c r="D316" s="9">
        <f t="shared" si="28"/>
        <v>8.5999069762412395E-2</v>
      </c>
      <c r="E316" s="9">
        <f t="shared" si="29"/>
        <v>7.5600000000001347E-2</v>
      </c>
      <c r="F316" s="13">
        <f t="shared" si="30"/>
        <v>8.5999069762412395E-2</v>
      </c>
      <c r="G316" s="13">
        <f t="shared" si="31"/>
        <v>7.5600000000001347E-2</v>
      </c>
    </row>
    <row r="317" spans="2:7" ht="24" thickBot="1" x14ac:dyDescent="0.5">
      <c r="B317" s="7">
        <f t="shared" si="26"/>
        <v>0.47500000000002085</v>
      </c>
      <c r="C317" s="8">
        <f t="shared" si="27"/>
        <v>0.52500000000000113</v>
      </c>
      <c r="D317" s="9">
        <f t="shared" si="28"/>
        <v>8.6152481101824746E-2</v>
      </c>
      <c r="E317" s="9">
        <f t="shared" si="29"/>
        <v>7.5750000000001344E-2</v>
      </c>
      <c r="F317" s="13">
        <f t="shared" si="30"/>
        <v>8.6152481101824746E-2</v>
      </c>
      <c r="G317" s="13">
        <f t="shared" si="31"/>
        <v>7.5750000000001344E-2</v>
      </c>
    </row>
    <row r="318" spans="2:7" ht="24" thickBot="1" x14ac:dyDescent="0.5">
      <c r="B318" s="7">
        <f t="shared" si="26"/>
        <v>0.47000000000002085</v>
      </c>
      <c r="C318" s="8">
        <f t="shared" si="27"/>
        <v>0.53000000000000114</v>
      </c>
      <c r="D318" s="9">
        <f t="shared" si="28"/>
        <v>8.6311297058961345E-2</v>
      </c>
      <c r="E318" s="9">
        <f t="shared" si="29"/>
        <v>7.5900000000001355E-2</v>
      </c>
      <c r="F318" s="13">
        <f t="shared" si="30"/>
        <v>8.6311297058961345E-2</v>
      </c>
      <c r="G318" s="13">
        <f t="shared" si="31"/>
        <v>7.5900000000001355E-2</v>
      </c>
    </row>
    <row r="319" spans="2:7" ht="24" thickBot="1" x14ac:dyDescent="0.5">
      <c r="B319" s="7">
        <f t="shared" si="26"/>
        <v>0.46500000000002084</v>
      </c>
      <c r="C319" s="8">
        <f t="shared" si="27"/>
        <v>0.53500000000000114</v>
      </c>
      <c r="D319" s="9">
        <f t="shared" si="28"/>
        <v>8.647548785638777E-2</v>
      </c>
      <c r="E319" s="9">
        <f t="shared" si="29"/>
        <v>7.6050000000001353E-2</v>
      </c>
      <c r="F319" s="13">
        <f t="shared" si="30"/>
        <v>8.647548785638777E-2</v>
      </c>
      <c r="G319" s="13">
        <f t="shared" si="31"/>
        <v>7.6050000000001353E-2</v>
      </c>
    </row>
    <row r="320" spans="2:7" ht="24" thickBot="1" x14ac:dyDescent="0.5">
      <c r="B320" s="7">
        <f t="shared" si="26"/>
        <v>0.46000000000002084</v>
      </c>
      <c r="C320" s="8">
        <f t="shared" si="27"/>
        <v>0.54000000000000115</v>
      </c>
      <c r="D320" s="9">
        <f t="shared" si="28"/>
        <v>8.6645022938425409E-2</v>
      </c>
      <c r="E320" s="9">
        <f t="shared" si="29"/>
        <v>7.620000000000135E-2</v>
      </c>
      <c r="F320" s="13">
        <f t="shared" si="30"/>
        <v>8.6645022938425409E-2</v>
      </c>
      <c r="G320" s="13">
        <f t="shared" si="31"/>
        <v>7.620000000000135E-2</v>
      </c>
    </row>
    <row r="321" spans="2:7" ht="24" thickBot="1" x14ac:dyDescent="0.5">
      <c r="B321" s="7">
        <f t="shared" si="26"/>
        <v>0.45500000000002083</v>
      </c>
      <c r="C321" s="8">
        <f t="shared" si="27"/>
        <v>0.54500000000000115</v>
      </c>
      <c r="D321" s="9">
        <f t="shared" si="28"/>
        <v>8.6819870997371706E-2</v>
      </c>
      <c r="E321" s="9">
        <f t="shared" si="29"/>
        <v>7.6350000000001347E-2</v>
      </c>
      <c r="F321" s="13">
        <f t="shared" si="30"/>
        <v>8.6819870997371706E-2</v>
      </c>
      <c r="G321" s="13">
        <f t="shared" si="31"/>
        <v>7.6350000000001347E-2</v>
      </c>
    </row>
    <row r="322" spans="2:7" ht="24" thickBot="1" x14ac:dyDescent="0.5">
      <c r="B322" s="7">
        <f t="shared" si="26"/>
        <v>0.45000000000002083</v>
      </c>
      <c r="C322" s="8">
        <f t="shared" si="27"/>
        <v>0.55000000000000115</v>
      </c>
      <c r="D322" s="9">
        <f t="shared" si="28"/>
        <v>8.7000000000001521E-2</v>
      </c>
      <c r="E322" s="9">
        <f t="shared" si="29"/>
        <v>7.6500000000001345E-2</v>
      </c>
      <c r="F322" s="13">
        <f t="shared" si="30"/>
        <v>8.7000000000001521E-2</v>
      </c>
      <c r="G322" s="13">
        <f t="shared" si="31"/>
        <v>7.6500000000001345E-2</v>
      </c>
    </row>
    <row r="323" spans="2:7" ht="24" thickBot="1" x14ac:dyDescent="0.5">
      <c r="B323" s="7">
        <f t="shared" si="26"/>
        <v>0.44500000000002082</v>
      </c>
      <c r="C323" s="8">
        <f t="shared" si="27"/>
        <v>0.55500000000000116</v>
      </c>
      <c r="D323" s="9">
        <f t="shared" si="28"/>
        <v>8.7185377214302751E-2</v>
      </c>
      <c r="E323" s="9">
        <f t="shared" si="29"/>
        <v>7.6650000000001356E-2</v>
      </c>
      <c r="F323" s="13">
        <f t="shared" si="30"/>
        <v>8.7185377214302751E-2</v>
      </c>
      <c r="G323" s="13">
        <f t="shared" si="31"/>
        <v>7.6650000000001356E-2</v>
      </c>
    </row>
    <row r="324" spans="2:7" ht="24" thickBot="1" x14ac:dyDescent="0.5">
      <c r="B324" s="7">
        <f t="shared" si="26"/>
        <v>0.44000000000002082</v>
      </c>
      <c r="C324" s="8">
        <f t="shared" si="27"/>
        <v>0.56000000000000116</v>
      </c>
      <c r="D324" s="9">
        <f t="shared" si="28"/>
        <v>8.7375969236399662E-2</v>
      </c>
      <c r="E324" s="9">
        <f t="shared" si="29"/>
        <v>7.6800000000001353E-2</v>
      </c>
      <c r="F324" s="13">
        <f t="shared" si="30"/>
        <v>8.7375969236399662E-2</v>
      </c>
      <c r="G324" s="13">
        <f t="shared" si="31"/>
        <v>7.6800000000001353E-2</v>
      </c>
    </row>
    <row r="325" spans="2:7" ht="24" thickBot="1" x14ac:dyDescent="0.5">
      <c r="B325" s="7">
        <f t="shared" si="26"/>
        <v>0.43500000000002081</v>
      </c>
      <c r="C325" s="8">
        <f t="shared" si="27"/>
        <v>0.56500000000000117</v>
      </c>
      <c r="D325" s="9">
        <f t="shared" si="28"/>
        <v>8.7571742017618096E-2</v>
      </c>
      <c r="E325" s="9">
        <f t="shared" si="29"/>
        <v>7.6950000000001351E-2</v>
      </c>
      <c r="F325" s="13">
        <f t="shared" si="30"/>
        <v>8.7571742017618096E-2</v>
      </c>
      <c r="G325" s="13">
        <f t="shared" si="31"/>
        <v>7.6950000000001351E-2</v>
      </c>
    </row>
    <row r="326" spans="2:7" ht="24" thickBot="1" x14ac:dyDescent="0.5">
      <c r="B326" s="7">
        <f t="shared" si="26"/>
        <v>0.43000000000002081</v>
      </c>
      <c r="C326" s="8">
        <f t="shared" si="27"/>
        <v>0.57000000000000117</v>
      </c>
      <c r="D326" s="9">
        <f t="shared" si="28"/>
        <v>8.7772660891648133E-2</v>
      </c>
      <c r="E326" s="9">
        <f t="shared" si="29"/>
        <v>7.7100000000001348E-2</v>
      </c>
      <c r="F326" s="13">
        <f t="shared" si="30"/>
        <v>8.7772660891648133E-2</v>
      </c>
      <c r="G326" s="13">
        <f t="shared" si="31"/>
        <v>7.7100000000001348E-2</v>
      </c>
    </row>
    <row r="327" spans="2:7" ht="24" thickBot="1" x14ac:dyDescent="0.5">
      <c r="B327" s="7">
        <f t="shared" si="26"/>
        <v>0.42500000000002081</v>
      </c>
      <c r="C327" s="8">
        <f t="shared" si="27"/>
        <v>0.57500000000000118</v>
      </c>
      <c r="D327" s="9">
        <f t="shared" si="28"/>
        <v>8.7978690601760251E-2</v>
      </c>
      <c r="E327" s="9">
        <f t="shared" si="29"/>
        <v>7.7250000000001345E-2</v>
      </c>
      <c r="F327" s="13">
        <f t="shared" si="30"/>
        <v>8.7978690601760251E-2</v>
      </c>
      <c r="G327" s="13">
        <f t="shared" si="31"/>
        <v>7.7250000000001345E-2</v>
      </c>
    </row>
    <row r="328" spans="2:7" ht="24" thickBot="1" x14ac:dyDescent="0.5">
      <c r="B328" s="7">
        <f t="shared" si="26"/>
        <v>0.4200000000000208</v>
      </c>
      <c r="C328" s="8">
        <f t="shared" si="27"/>
        <v>0.58000000000000118</v>
      </c>
      <c r="D328" s="9">
        <f t="shared" si="28"/>
        <v>8.818979532803245E-2</v>
      </c>
      <c r="E328" s="9">
        <f t="shared" si="29"/>
        <v>7.7400000000001357E-2</v>
      </c>
      <c r="F328" s="13">
        <f t="shared" si="30"/>
        <v>8.818979532803245E-2</v>
      </c>
      <c r="G328" s="13">
        <f t="shared" si="31"/>
        <v>7.7400000000001357E-2</v>
      </c>
    </row>
    <row r="329" spans="2:7" ht="24" thickBot="1" x14ac:dyDescent="0.5">
      <c r="B329" s="7">
        <f t="shared" si="26"/>
        <v>0.4150000000000208</v>
      </c>
      <c r="C329" s="8">
        <f t="shared" si="27"/>
        <v>0.58500000000000119</v>
      </c>
      <c r="D329" s="9">
        <f t="shared" si="28"/>
        <v>8.8405938714547078E-2</v>
      </c>
      <c r="E329" s="9">
        <f t="shared" si="29"/>
        <v>7.7550000000001354E-2</v>
      </c>
      <c r="F329" s="13">
        <f t="shared" si="30"/>
        <v>8.8405938714547078E-2</v>
      </c>
      <c r="G329" s="13">
        <f t="shared" si="31"/>
        <v>7.7550000000001354E-2</v>
      </c>
    </row>
    <row r="330" spans="2:7" ht="24" thickBot="1" x14ac:dyDescent="0.5">
      <c r="B330" s="7">
        <f t="shared" si="26"/>
        <v>0.41000000000002079</v>
      </c>
      <c r="C330" s="8">
        <f t="shared" si="27"/>
        <v>0.59000000000000119</v>
      </c>
      <c r="D330" s="9">
        <f t="shared" si="28"/>
        <v>8.8627083896516939E-2</v>
      </c>
      <c r="E330" s="9">
        <f t="shared" si="29"/>
        <v>7.7700000000001351E-2</v>
      </c>
      <c r="F330" s="13">
        <f t="shared" si="30"/>
        <v>8.8627083896516939E-2</v>
      </c>
      <c r="G330" s="13">
        <f t="shared" si="31"/>
        <v>7.7700000000001351E-2</v>
      </c>
    </row>
    <row r="331" spans="2:7" ht="24" thickBot="1" x14ac:dyDescent="0.5">
      <c r="B331" s="7">
        <f t="shared" si="26"/>
        <v>0.40500000000002079</v>
      </c>
      <c r="C331" s="8">
        <f t="shared" si="27"/>
        <v>0.59500000000000119</v>
      </c>
      <c r="D331" s="9">
        <f t="shared" si="28"/>
        <v>8.8853193527302379E-2</v>
      </c>
      <c r="E331" s="9">
        <f t="shared" si="29"/>
        <v>7.7850000000001349E-2</v>
      </c>
      <c r="F331" s="13">
        <f t="shared" si="30"/>
        <v>8.8853193527302379E-2</v>
      </c>
      <c r="G331" s="13">
        <f t="shared" si="31"/>
        <v>7.7850000000001349E-2</v>
      </c>
    </row>
    <row r="332" spans="2:7" ht="24" thickBot="1" x14ac:dyDescent="0.5">
      <c r="B332" s="7">
        <f t="shared" si="26"/>
        <v>0.40000000000002078</v>
      </c>
      <c r="C332" s="8">
        <f t="shared" si="27"/>
        <v>0.6000000000000012</v>
      </c>
      <c r="D332" s="9">
        <f t="shared" si="28"/>
        <v>8.9084229805281745E-2</v>
      </c>
      <c r="E332" s="9">
        <f t="shared" si="29"/>
        <v>7.8000000000001346E-2</v>
      </c>
      <c r="F332" s="13">
        <f t="shared" si="30"/>
        <v>8.9084229805281745E-2</v>
      </c>
      <c r="G332" s="13">
        <f t="shared" si="31"/>
        <v>7.8000000000001346E-2</v>
      </c>
    </row>
    <row r="333" spans="2:7" ht="24" thickBot="1" x14ac:dyDescent="0.5">
      <c r="B333" s="7">
        <f t="shared" si="26"/>
        <v>0.39500000000002078</v>
      </c>
      <c r="C333" s="8">
        <f t="shared" si="27"/>
        <v>0.6050000000000012</v>
      </c>
      <c r="D333" s="9">
        <f t="shared" si="28"/>
        <v>8.9320154500539511E-2</v>
      </c>
      <c r="E333" s="9">
        <f t="shared" si="29"/>
        <v>7.8150000000001357E-2</v>
      </c>
      <c r="F333" s="13">
        <f t="shared" si="30"/>
        <v>8.9320154500539511E-2</v>
      </c>
      <c r="G333" s="13">
        <f t="shared" si="31"/>
        <v>7.8150000000001357E-2</v>
      </c>
    </row>
    <row r="334" spans="2:7" ht="24" thickBot="1" x14ac:dyDescent="0.5">
      <c r="B334" s="7">
        <f t="shared" ref="B334:B397" si="32">B333-0.5%</f>
        <v>0.39000000000002077</v>
      </c>
      <c r="C334" s="8">
        <f t="shared" ref="C334:C397" si="33">C333+0.5%</f>
        <v>0.61000000000000121</v>
      </c>
      <c r="D334" s="9">
        <f t="shared" ref="D334:D397" si="34">SQRT(B334^2*$D$4^2+C334^2*$D$5^2+2*C334*B334*$D$4*$D$5*$D$6)</f>
        <v>8.956092898133787E-2</v>
      </c>
      <c r="E334" s="9">
        <f t="shared" ref="E334:E397" si="35">$F$4*B334+$F$5*C334</f>
        <v>7.8300000000001355E-2</v>
      </c>
      <c r="F334" s="13">
        <f t="shared" ref="F334:F397" si="36">IF(E334&gt;=$I$9,D334,NA())</f>
        <v>8.956092898133787E-2</v>
      </c>
      <c r="G334" s="13">
        <f t="shared" ref="G334:G397" si="37">IF(E334&gt;=$I$9,E334,NA())</f>
        <v>7.8300000000001355E-2</v>
      </c>
    </row>
    <row r="335" spans="2:7" ht="24" thickBot="1" x14ac:dyDescent="0.5">
      <c r="B335" s="7">
        <f t="shared" si="32"/>
        <v>0.38500000000002077</v>
      </c>
      <c r="C335" s="8">
        <f t="shared" si="33"/>
        <v>0.61500000000000121</v>
      </c>
      <c r="D335" s="9">
        <f t="shared" si="34"/>
        <v>8.9806514240339197E-2</v>
      </c>
      <c r="E335" s="9">
        <f t="shared" si="35"/>
        <v>7.8450000000001352E-2</v>
      </c>
      <c r="F335" s="13">
        <f t="shared" si="36"/>
        <v>8.9806514240339197E-2</v>
      </c>
      <c r="G335" s="13">
        <f t="shared" si="37"/>
        <v>7.8450000000001352E-2</v>
      </c>
    </row>
    <row r="336" spans="2:7" ht="24" thickBot="1" x14ac:dyDescent="0.5">
      <c r="B336" s="7">
        <f t="shared" si="32"/>
        <v>0.38000000000002077</v>
      </c>
      <c r="C336" s="8">
        <f t="shared" si="33"/>
        <v>0.62000000000000122</v>
      </c>
      <c r="D336" s="9">
        <f t="shared" si="34"/>
        <v>9.0056870920547996E-2</v>
      </c>
      <c r="E336" s="9">
        <f t="shared" si="35"/>
        <v>7.8600000000001349E-2</v>
      </c>
      <c r="F336" s="13">
        <f t="shared" si="36"/>
        <v>9.0056870920547996E-2</v>
      </c>
      <c r="G336" s="13">
        <f t="shared" si="37"/>
        <v>7.8600000000001349E-2</v>
      </c>
    </row>
    <row r="337" spans="2:7" ht="24" thickBot="1" x14ac:dyDescent="0.5">
      <c r="B337" s="7">
        <f t="shared" si="32"/>
        <v>0.37500000000002076</v>
      </c>
      <c r="C337" s="8">
        <f t="shared" si="33"/>
        <v>0.62500000000000122</v>
      </c>
      <c r="D337" s="9">
        <f t="shared" si="34"/>
        <v>9.0311959340943562E-2</v>
      </c>
      <c r="E337" s="9">
        <f t="shared" si="35"/>
        <v>7.8750000000001347E-2</v>
      </c>
      <c r="F337" s="13">
        <f t="shared" si="36"/>
        <v>9.0311959340943562E-2</v>
      </c>
      <c r="G337" s="13">
        <f t="shared" si="37"/>
        <v>7.8750000000001347E-2</v>
      </c>
    </row>
    <row r="338" spans="2:7" ht="24" thickBot="1" x14ac:dyDescent="0.5">
      <c r="B338" s="7">
        <f t="shared" si="32"/>
        <v>0.37000000000002076</v>
      </c>
      <c r="C338" s="8">
        <f t="shared" si="33"/>
        <v>0.63000000000000123</v>
      </c>
      <c r="D338" s="9">
        <f t="shared" si="34"/>
        <v>9.0571739521774886E-2</v>
      </c>
      <c r="E338" s="9">
        <f t="shared" si="35"/>
        <v>7.8900000000001358E-2</v>
      </c>
      <c r="F338" s="13">
        <f t="shared" si="36"/>
        <v>9.0571739521774886E-2</v>
      </c>
      <c r="G338" s="13">
        <f t="shared" si="37"/>
        <v>7.8900000000001358E-2</v>
      </c>
    </row>
    <row r="339" spans="2:7" ht="24" thickBot="1" x14ac:dyDescent="0.5">
      <c r="B339" s="7">
        <f t="shared" si="32"/>
        <v>0.36500000000002075</v>
      </c>
      <c r="C339" s="8">
        <f t="shared" si="33"/>
        <v>0.63500000000000123</v>
      </c>
      <c r="D339" s="9">
        <f t="shared" si="34"/>
        <v>9.0836171209492528E-2</v>
      </c>
      <c r="E339" s="9">
        <f t="shared" si="35"/>
        <v>7.9050000000001355E-2</v>
      </c>
      <c r="F339" s="13">
        <f t="shared" si="36"/>
        <v>9.0836171209492528E-2</v>
      </c>
      <c r="G339" s="13">
        <f t="shared" si="37"/>
        <v>7.9050000000001355E-2</v>
      </c>
    </row>
    <row r="340" spans="2:7" ht="24" thickBot="1" x14ac:dyDescent="0.5">
      <c r="B340" s="7">
        <f t="shared" si="32"/>
        <v>0.36000000000002075</v>
      </c>
      <c r="C340" s="8">
        <f t="shared" si="33"/>
        <v>0.64000000000000123</v>
      </c>
      <c r="D340" s="9">
        <f t="shared" si="34"/>
        <v>9.1105213901292378E-2</v>
      </c>
      <c r="E340" s="9">
        <f t="shared" si="35"/>
        <v>7.9200000000001353E-2</v>
      </c>
      <c r="F340" s="13">
        <f t="shared" si="36"/>
        <v>9.1105213901292378E-2</v>
      </c>
      <c r="G340" s="13">
        <f t="shared" si="37"/>
        <v>7.9200000000001353E-2</v>
      </c>
    </row>
    <row r="341" spans="2:7" ht="24" thickBot="1" x14ac:dyDescent="0.5">
      <c r="B341" s="7">
        <f t="shared" si="32"/>
        <v>0.35500000000002074</v>
      </c>
      <c r="C341" s="8">
        <f t="shared" si="33"/>
        <v>0.64500000000000124</v>
      </c>
      <c r="D341" s="9">
        <f t="shared" si="34"/>
        <v>9.1378826869249294E-2</v>
      </c>
      <c r="E341" s="9">
        <f t="shared" si="35"/>
        <v>7.935000000000135E-2</v>
      </c>
      <c r="F341" s="13">
        <f t="shared" si="36"/>
        <v>9.1378826869249294E-2</v>
      </c>
      <c r="G341" s="13">
        <f t="shared" si="37"/>
        <v>7.935000000000135E-2</v>
      </c>
    </row>
    <row r="342" spans="2:7" ht="24" thickBot="1" x14ac:dyDescent="0.5">
      <c r="B342" s="7">
        <f t="shared" si="32"/>
        <v>0.35000000000002074</v>
      </c>
      <c r="C342" s="8">
        <f t="shared" si="33"/>
        <v>0.65000000000000124</v>
      </c>
      <c r="D342" s="9">
        <f t="shared" si="34"/>
        <v>9.1656969184019138E-2</v>
      </c>
      <c r="E342" s="9">
        <f t="shared" si="35"/>
        <v>7.9500000000001347E-2</v>
      </c>
      <c r="F342" s="13">
        <f t="shared" si="36"/>
        <v>9.1656969184019138E-2</v>
      </c>
      <c r="G342" s="13">
        <f t="shared" si="37"/>
        <v>7.9500000000001347E-2</v>
      </c>
    </row>
    <row r="343" spans="2:7" ht="24" thickBot="1" x14ac:dyDescent="0.5">
      <c r="B343" s="7">
        <f t="shared" si="32"/>
        <v>0.34500000000002073</v>
      </c>
      <c r="C343" s="8">
        <f t="shared" si="33"/>
        <v>0.65500000000000125</v>
      </c>
      <c r="D343" s="9">
        <f t="shared" si="34"/>
        <v>9.1939599738090197E-2</v>
      </c>
      <c r="E343" s="9">
        <f t="shared" si="35"/>
        <v>7.9650000000001359E-2</v>
      </c>
      <c r="F343" s="13">
        <f t="shared" si="36"/>
        <v>9.1939599738090197E-2</v>
      </c>
      <c r="G343" s="13">
        <f t="shared" si="37"/>
        <v>7.9650000000001359E-2</v>
      </c>
    </row>
    <row r="344" spans="2:7" ht="24" thickBot="1" x14ac:dyDescent="0.5">
      <c r="B344" s="7">
        <f t="shared" si="32"/>
        <v>0.34000000000002073</v>
      </c>
      <c r="C344" s="8">
        <f t="shared" si="33"/>
        <v>0.66000000000000125</v>
      </c>
      <c r="D344" s="9">
        <f t="shared" si="34"/>
        <v>9.2226677268566024E-2</v>
      </c>
      <c r="E344" s="9">
        <f t="shared" si="35"/>
        <v>7.9800000000001356E-2</v>
      </c>
      <c r="F344" s="13">
        <f t="shared" si="36"/>
        <v>9.2226677268566024E-2</v>
      </c>
      <c r="G344" s="13">
        <f t="shared" si="37"/>
        <v>7.9800000000001356E-2</v>
      </c>
    </row>
    <row r="345" spans="2:7" ht="24" thickBot="1" x14ac:dyDescent="0.5">
      <c r="B345" s="7">
        <f t="shared" si="32"/>
        <v>0.33500000000002073</v>
      </c>
      <c r="C345" s="8">
        <f t="shared" si="33"/>
        <v>0.66500000000000126</v>
      </c>
      <c r="D345" s="9">
        <f t="shared" si="34"/>
        <v>9.2518160379464046E-2</v>
      </c>
      <c r="E345" s="9">
        <f t="shared" si="35"/>
        <v>7.9950000000001353E-2</v>
      </c>
      <c r="F345" s="13">
        <f t="shared" si="36"/>
        <v>9.2518160379464046E-2</v>
      </c>
      <c r="G345" s="13">
        <f t="shared" si="37"/>
        <v>7.9950000000001353E-2</v>
      </c>
    </row>
    <row r="346" spans="2:7" ht="24" thickBot="1" x14ac:dyDescent="0.5">
      <c r="B346" s="7">
        <f t="shared" si="32"/>
        <v>0.33000000000002072</v>
      </c>
      <c r="C346" s="8">
        <f t="shared" si="33"/>
        <v>0.67000000000000126</v>
      </c>
      <c r="D346" s="9">
        <f t="shared" si="34"/>
        <v>9.2814007563515058E-2</v>
      </c>
      <c r="E346" s="9">
        <f t="shared" si="35"/>
        <v>8.0100000000001351E-2</v>
      </c>
      <c r="F346" s="13">
        <f t="shared" si="36"/>
        <v>9.2814007563515058E-2</v>
      </c>
      <c r="G346" s="13">
        <f t="shared" si="37"/>
        <v>8.0100000000001351E-2</v>
      </c>
    </row>
    <row r="347" spans="2:7" ht="24" thickBot="1" x14ac:dyDescent="0.5">
      <c r="B347" s="7">
        <f t="shared" si="32"/>
        <v>0.32500000000002072</v>
      </c>
      <c r="C347" s="8">
        <f t="shared" si="33"/>
        <v>0.67500000000000127</v>
      </c>
      <c r="D347" s="9">
        <f t="shared" si="34"/>
        <v>9.3114177223450931E-2</v>
      </c>
      <c r="E347" s="9">
        <f t="shared" si="35"/>
        <v>8.0250000000001348E-2</v>
      </c>
      <c r="F347" s="13">
        <f t="shared" si="36"/>
        <v>9.3114177223450931E-2</v>
      </c>
      <c r="G347" s="13">
        <f t="shared" si="37"/>
        <v>8.0250000000001348E-2</v>
      </c>
    </row>
    <row r="348" spans="2:7" ht="24" thickBot="1" x14ac:dyDescent="0.5">
      <c r="B348" s="7">
        <f t="shared" si="32"/>
        <v>0.32000000000002071</v>
      </c>
      <c r="C348" s="8">
        <f t="shared" si="33"/>
        <v>0.68000000000000127</v>
      </c>
      <c r="D348" s="9">
        <f t="shared" si="34"/>
        <v>9.3418627692769221E-2</v>
      </c>
      <c r="E348" s="9">
        <f t="shared" si="35"/>
        <v>8.0400000000001359E-2</v>
      </c>
      <c r="F348" s="13">
        <f t="shared" si="36"/>
        <v>9.3418627692769221E-2</v>
      </c>
      <c r="G348" s="13">
        <f t="shared" si="37"/>
        <v>8.0400000000001359E-2</v>
      </c>
    </row>
    <row r="349" spans="2:7" ht="24" thickBot="1" x14ac:dyDescent="0.5">
      <c r="B349" s="7">
        <f t="shared" si="32"/>
        <v>0.31500000000002071</v>
      </c>
      <c r="C349" s="8">
        <f t="shared" si="33"/>
        <v>0.68500000000000127</v>
      </c>
      <c r="D349" s="9">
        <f t="shared" si="34"/>
        <v>9.3727317255964518E-2</v>
      </c>
      <c r="E349" s="9">
        <f t="shared" si="35"/>
        <v>8.0550000000001357E-2</v>
      </c>
      <c r="F349" s="13">
        <f t="shared" si="36"/>
        <v>9.3727317255964518E-2</v>
      </c>
      <c r="G349" s="13">
        <f t="shared" si="37"/>
        <v>8.0550000000001357E-2</v>
      </c>
    </row>
    <row r="350" spans="2:7" ht="24" thickBot="1" x14ac:dyDescent="0.5">
      <c r="B350" s="7">
        <f t="shared" si="32"/>
        <v>0.3100000000000207</v>
      </c>
      <c r="C350" s="8">
        <f t="shared" si="33"/>
        <v>0.69000000000000128</v>
      </c>
      <c r="D350" s="9">
        <f t="shared" si="34"/>
        <v>9.4040204168218525E-2</v>
      </c>
      <c r="E350" s="9">
        <f t="shared" si="35"/>
        <v>8.0700000000001354E-2</v>
      </c>
      <c r="F350" s="13">
        <f t="shared" si="36"/>
        <v>9.4040204168218525E-2</v>
      </c>
      <c r="G350" s="13">
        <f t="shared" si="37"/>
        <v>8.0700000000001354E-2</v>
      </c>
    </row>
    <row r="351" spans="2:7" ht="24" thickBot="1" x14ac:dyDescent="0.5">
      <c r="B351" s="7">
        <f t="shared" si="32"/>
        <v>0.3050000000000207</v>
      </c>
      <c r="C351" s="8">
        <f t="shared" si="33"/>
        <v>0.69500000000000128</v>
      </c>
      <c r="D351" s="9">
        <f t="shared" si="34"/>
        <v>9.4357246674541234E-2</v>
      </c>
      <c r="E351" s="9">
        <f t="shared" si="35"/>
        <v>8.0850000000001365E-2</v>
      </c>
      <c r="F351" s="13">
        <f t="shared" si="36"/>
        <v>9.4357246674541234E-2</v>
      </c>
      <c r="G351" s="13">
        <f t="shared" si="37"/>
        <v>8.0850000000001365E-2</v>
      </c>
    </row>
    <row r="352" spans="2:7" ht="24" thickBot="1" x14ac:dyDescent="0.5">
      <c r="B352" s="7">
        <f t="shared" si="32"/>
        <v>0.30000000000002069</v>
      </c>
      <c r="C352" s="8">
        <f t="shared" si="33"/>
        <v>0.70000000000000129</v>
      </c>
      <c r="D352" s="9">
        <f t="shared" si="34"/>
        <v>9.4678403028358171E-2</v>
      </c>
      <c r="E352" s="9">
        <f t="shared" si="35"/>
        <v>8.1000000000001349E-2</v>
      </c>
      <c r="F352" s="13">
        <f t="shared" si="36"/>
        <v>9.4678403028358171E-2</v>
      </c>
      <c r="G352" s="13">
        <f t="shared" si="37"/>
        <v>8.1000000000001349E-2</v>
      </c>
    </row>
    <row r="353" spans="2:7" ht="24" thickBot="1" x14ac:dyDescent="0.5">
      <c r="B353" s="7">
        <f t="shared" si="32"/>
        <v>0.29500000000002069</v>
      </c>
      <c r="C353" s="8">
        <f t="shared" si="33"/>
        <v>0.70500000000000129</v>
      </c>
      <c r="D353" s="9">
        <f t="shared" si="34"/>
        <v>9.5003631509538722E-2</v>
      </c>
      <c r="E353" s="9">
        <f t="shared" si="35"/>
        <v>8.115000000000136E-2</v>
      </c>
      <c r="F353" s="13">
        <f t="shared" si="36"/>
        <v>9.5003631509538722E-2</v>
      </c>
      <c r="G353" s="13">
        <f t="shared" si="37"/>
        <v>8.115000000000136E-2</v>
      </c>
    </row>
    <row r="354" spans="2:7" ht="24" thickBot="1" x14ac:dyDescent="0.5">
      <c r="B354" s="7">
        <f t="shared" si="32"/>
        <v>0.29000000000002069</v>
      </c>
      <c r="C354" s="8">
        <f t="shared" si="33"/>
        <v>0.7100000000000013</v>
      </c>
      <c r="D354" s="9">
        <f t="shared" si="34"/>
        <v>9.5332890441862814E-2</v>
      </c>
      <c r="E354" s="9">
        <f t="shared" si="35"/>
        <v>8.1300000000001343E-2</v>
      </c>
      <c r="F354" s="13">
        <f t="shared" si="36"/>
        <v>9.5332890441862814E-2</v>
      </c>
      <c r="G354" s="13">
        <f t="shared" si="37"/>
        <v>8.1300000000001343E-2</v>
      </c>
    </row>
    <row r="355" spans="2:7" ht="24" thickBot="1" x14ac:dyDescent="0.5">
      <c r="B355" s="7">
        <f t="shared" si="32"/>
        <v>0.28500000000002068</v>
      </c>
      <c r="C355" s="8">
        <f t="shared" si="33"/>
        <v>0.7150000000000013</v>
      </c>
      <c r="D355" s="9">
        <f t="shared" si="34"/>
        <v>9.5666138209923673E-2</v>
      </c>
      <c r="E355" s="9">
        <f t="shared" si="35"/>
        <v>8.1450000000001355E-2</v>
      </c>
      <c r="F355" s="13">
        <f t="shared" si="36"/>
        <v>9.5666138209923673E-2</v>
      </c>
      <c r="G355" s="13">
        <f t="shared" si="37"/>
        <v>8.1450000000001355E-2</v>
      </c>
    </row>
    <row r="356" spans="2:7" ht="24" thickBot="1" x14ac:dyDescent="0.5">
      <c r="B356" s="7">
        <f t="shared" si="32"/>
        <v>0.28000000000002068</v>
      </c>
      <c r="C356" s="8">
        <f t="shared" si="33"/>
        <v>0.72000000000000131</v>
      </c>
      <c r="D356" s="9">
        <f t="shared" si="34"/>
        <v>9.6003333275466091E-2</v>
      </c>
      <c r="E356" s="9">
        <f t="shared" si="35"/>
        <v>8.1600000000001366E-2</v>
      </c>
      <c r="F356" s="13">
        <f t="shared" si="36"/>
        <v>9.6003333275466091E-2</v>
      </c>
      <c r="G356" s="13">
        <f t="shared" si="37"/>
        <v>8.1600000000001366E-2</v>
      </c>
    </row>
    <row r="357" spans="2:7" ht="24" thickBot="1" x14ac:dyDescent="0.5">
      <c r="B357" s="7">
        <f t="shared" si="32"/>
        <v>0.27500000000002067</v>
      </c>
      <c r="C357" s="8">
        <f t="shared" si="33"/>
        <v>0.72500000000000131</v>
      </c>
      <c r="D357" s="9">
        <f t="shared" si="34"/>
        <v>9.6344434193160411E-2</v>
      </c>
      <c r="E357" s="9">
        <f t="shared" si="35"/>
        <v>8.1750000000001349E-2</v>
      </c>
      <c r="F357" s="13">
        <f t="shared" si="36"/>
        <v>9.6344434193160411E-2</v>
      </c>
      <c r="G357" s="13">
        <f t="shared" si="37"/>
        <v>8.1750000000001349E-2</v>
      </c>
    </row>
    <row r="358" spans="2:7" ht="24" thickBot="1" x14ac:dyDescent="0.5">
      <c r="B358" s="7">
        <f t="shared" si="32"/>
        <v>0.27000000000002067</v>
      </c>
      <c r="C358" s="8">
        <f t="shared" si="33"/>
        <v>0.73000000000000131</v>
      </c>
      <c r="D358" s="9">
        <f t="shared" si="34"/>
        <v>9.6689399625813244E-2</v>
      </c>
      <c r="E358" s="9">
        <f t="shared" si="35"/>
        <v>8.1900000000001361E-2</v>
      </c>
      <c r="F358" s="13">
        <f t="shared" si="36"/>
        <v>9.6689399625813244E-2</v>
      </c>
      <c r="G358" s="13">
        <f t="shared" si="37"/>
        <v>8.1900000000001361E-2</v>
      </c>
    </row>
    <row r="359" spans="2:7" ht="24" thickBot="1" x14ac:dyDescent="0.5">
      <c r="B359" s="7">
        <f t="shared" si="32"/>
        <v>0.26500000000002066</v>
      </c>
      <c r="C359" s="8">
        <f t="shared" si="33"/>
        <v>0.73500000000000132</v>
      </c>
      <c r="D359" s="9">
        <f t="shared" si="34"/>
        <v>9.7038188359017771E-2</v>
      </c>
      <c r="E359" s="9">
        <f t="shared" si="35"/>
        <v>8.2050000000001344E-2</v>
      </c>
      <c r="F359" s="13">
        <f t="shared" si="36"/>
        <v>9.7038188359017771E-2</v>
      </c>
      <c r="G359" s="13">
        <f t="shared" si="37"/>
        <v>8.2050000000001344E-2</v>
      </c>
    </row>
    <row r="360" spans="2:7" ht="24" thickBot="1" x14ac:dyDescent="0.5">
      <c r="B360" s="7">
        <f t="shared" si="32"/>
        <v>0.26000000000002066</v>
      </c>
      <c r="C360" s="8">
        <f t="shared" si="33"/>
        <v>0.74000000000000132</v>
      </c>
      <c r="D360" s="9">
        <f t="shared" si="34"/>
        <v>9.7390759315246184E-2</v>
      </c>
      <c r="E360" s="9">
        <f t="shared" si="35"/>
        <v>8.2200000000001355E-2</v>
      </c>
      <c r="F360" s="13">
        <f t="shared" si="36"/>
        <v>9.7390759315246184E-2</v>
      </c>
      <c r="G360" s="13">
        <f t="shared" si="37"/>
        <v>8.2200000000001355E-2</v>
      </c>
    </row>
    <row r="361" spans="2:7" ht="24" thickBot="1" x14ac:dyDescent="0.5">
      <c r="B361" s="7">
        <f t="shared" si="32"/>
        <v>0.25500000000002065</v>
      </c>
      <c r="C361" s="8">
        <f t="shared" si="33"/>
        <v>0.74500000000000133</v>
      </c>
      <c r="D361" s="9">
        <f t="shared" si="34"/>
        <v>9.7747071567388696E-2</v>
      </c>
      <c r="E361" s="9">
        <f t="shared" si="35"/>
        <v>8.2350000000001367E-2</v>
      </c>
      <c r="F361" s="13">
        <f t="shared" si="36"/>
        <v>9.7747071567388696E-2</v>
      </c>
      <c r="G361" s="13">
        <f t="shared" si="37"/>
        <v>8.2350000000001367E-2</v>
      </c>
    </row>
    <row r="362" spans="2:7" ht="24" thickBot="1" x14ac:dyDescent="0.5">
      <c r="B362" s="7">
        <f t="shared" si="32"/>
        <v>0.25000000000002065</v>
      </c>
      <c r="C362" s="8">
        <f t="shared" si="33"/>
        <v>0.75000000000000133</v>
      </c>
      <c r="D362" s="9">
        <f t="shared" si="34"/>
        <v>9.8107084351743978E-2</v>
      </c>
      <c r="E362" s="9">
        <f t="shared" si="35"/>
        <v>8.250000000000135E-2</v>
      </c>
      <c r="F362" s="13">
        <f t="shared" si="36"/>
        <v>9.8107084351743978E-2</v>
      </c>
      <c r="G362" s="13">
        <f t="shared" si="37"/>
        <v>8.250000000000135E-2</v>
      </c>
    </row>
    <row r="363" spans="2:7" ht="24" thickBot="1" x14ac:dyDescent="0.5">
      <c r="B363" s="7">
        <f t="shared" si="32"/>
        <v>0.24500000000002065</v>
      </c>
      <c r="C363" s="8">
        <f t="shared" si="33"/>
        <v>0.75500000000000134</v>
      </c>
      <c r="D363" s="9">
        <f t="shared" si="34"/>
        <v>9.847075708046632E-2</v>
      </c>
      <c r="E363" s="9">
        <f t="shared" si="35"/>
        <v>8.2650000000001361E-2</v>
      </c>
      <c r="F363" s="13">
        <f t="shared" si="36"/>
        <v>9.847075708046632E-2</v>
      </c>
      <c r="G363" s="13">
        <f t="shared" si="37"/>
        <v>8.2650000000001361E-2</v>
      </c>
    </row>
    <row r="364" spans="2:7" ht="24" thickBot="1" x14ac:dyDescent="0.5">
      <c r="B364" s="7">
        <f t="shared" si="32"/>
        <v>0.24000000000002064</v>
      </c>
      <c r="C364" s="8">
        <f t="shared" si="33"/>
        <v>0.76000000000000134</v>
      </c>
      <c r="D364" s="9">
        <f t="shared" si="34"/>
        <v>9.8838049353476246E-2</v>
      </c>
      <c r="E364" s="9">
        <f t="shared" si="35"/>
        <v>8.2800000000001345E-2</v>
      </c>
      <c r="F364" s="13">
        <f t="shared" si="36"/>
        <v>9.8838049353476246E-2</v>
      </c>
      <c r="G364" s="13">
        <f t="shared" si="37"/>
        <v>8.2800000000001345E-2</v>
      </c>
    </row>
    <row r="365" spans="2:7" ht="24" thickBot="1" x14ac:dyDescent="0.5">
      <c r="B365" s="7">
        <f t="shared" si="32"/>
        <v>0.23500000000002064</v>
      </c>
      <c r="C365" s="8">
        <f t="shared" si="33"/>
        <v>0.76500000000000135</v>
      </c>
      <c r="D365" s="9">
        <f t="shared" si="34"/>
        <v>9.9208920969841241E-2</v>
      </c>
      <c r="E365" s="9">
        <f t="shared" si="35"/>
        <v>8.2950000000001356E-2</v>
      </c>
      <c r="F365" s="13">
        <f t="shared" si="36"/>
        <v>9.9208920969841241E-2</v>
      </c>
      <c r="G365" s="13">
        <f t="shared" si="37"/>
        <v>8.2950000000001356E-2</v>
      </c>
    </row>
    <row r="366" spans="2:7" ht="24" thickBot="1" x14ac:dyDescent="0.5">
      <c r="B366" s="7">
        <f t="shared" si="32"/>
        <v>0.23000000000002063</v>
      </c>
      <c r="C366" s="8">
        <f t="shared" si="33"/>
        <v>0.77000000000000135</v>
      </c>
      <c r="D366" s="9">
        <f t="shared" si="34"/>
        <v>9.9583331938634195E-2</v>
      </c>
      <c r="E366" s="9">
        <f t="shared" si="35"/>
        <v>8.3100000000001367E-2</v>
      </c>
      <c r="F366" s="13">
        <f t="shared" si="36"/>
        <v>9.9583331938634195E-2</v>
      </c>
      <c r="G366" s="13">
        <f t="shared" si="37"/>
        <v>8.3100000000001367E-2</v>
      </c>
    </row>
    <row r="367" spans="2:7" ht="24" thickBot="1" x14ac:dyDescent="0.5">
      <c r="B367" s="7">
        <f t="shared" si="32"/>
        <v>0.22500000000002063</v>
      </c>
      <c r="C367" s="8">
        <f t="shared" si="33"/>
        <v>0.77500000000000135</v>
      </c>
      <c r="D367" s="9">
        <f t="shared" si="34"/>
        <v>9.9961242489277818E-2</v>
      </c>
      <c r="E367" s="9">
        <f t="shared" si="35"/>
        <v>8.3250000000001351E-2</v>
      </c>
      <c r="F367" s="13">
        <f t="shared" si="36"/>
        <v>9.9961242489277818E-2</v>
      </c>
      <c r="G367" s="13">
        <f t="shared" si="37"/>
        <v>8.3250000000001351E-2</v>
      </c>
    </row>
    <row r="368" spans="2:7" ht="24" thickBot="1" x14ac:dyDescent="0.5">
      <c r="B368" s="7">
        <f t="shared" si="32"/>
        <v>0.22000000000002062</v>
      </c>
      <c r="C368" s="8">
        <f t="shared" si="33"/>
        <v>0.78000000000000136</v>
      </c>
      <c r="D368" s="9">
        <f t="shared" si="34"/>
        <v>0.10034261308138333</v>
      </c>
      <c r="E368" s="9">
        <f t="shared" si="35"/>
        <v>8.3400000000001362E-2</v>
      </c>
      <c r="F368" s="13">
        <f t="shared" si="36"/>
        <v>0.10034261308138333</v>
      </c>
      <c r="G368" s="13">
        <f t="shared" si="37"/>
        <v>8.3400000000001362E-2</v>
      </c>
    </row>
    <row r="369" spans="2:7" ht="24" thickBot="1" x14ac:dyDescent="0.5">
      <c r="B369" s="7">
        <f t="shared" si="32"/>
        <v>0.21500000000002062</v>
      </c>
      <c r="C369" s="8">
        <f t="shared" si="33"/>
        <v>0.78500000000000136</v>
      </c>
      <c r="D369" s="9">
        <f t="shared" si="34"/>
        <v>0.10072740441409278</v>
      </c>
      <c r="E369" s="9">
        <f t="shared" si="35"/>
        <v>8.3550000000001345E-2</v>
      </c>
      <c r="F369" s="13">
        <f t="shared" si="36"/>
        <v>0.10072740441409278</v>
      </c>
      <c r="G369" s="13">
        <f t="shared" si="37"/>
        <v>8.3550000000001345E-2</v>
      </c>
    </row>
    <row r="370" spans="2:7" ht="24" thickBot="1" x14ac:dyDescent="0.5">
      <c r="B370" s="7">
        <f t="shared" si="32"/>
        <v>0.21000000000002061</v>
      </c>
      <c r="C370" s="8">
        <f t="shared" si="33"/>
        <v>0.79000000000000137</v>
      </c>
      <c r="D370" s="9">
        <f t="shared" si="34"/>
        <v>0.10111557743493432</v>
      </c>
      <c r="E370" s="9">
        <f t="shared" si="35"/>
        <v>8.3700000000001357E-2</v>
      </c>
      <c r="F370" s="13">
        <f t="shared" si="36"/>
        <v>0.10111557743493432</v>
      </c>
      <c r="G370" s="13">
        <f t="shared" si="37"/>
        <v>8.3700000000001357E-2</v>
      </c>
    </row>
    <row r="371" spans="2:7" ht="24" thickBot="1" x14ac:dyDescent="0.5">
      <c r="B371" s="7">
        <f t="shared" si="32"/>
        <v>0.20500000000002061</v>
      </c>
      <c r="C371" s="8">
        <f t="shared" si="33"/>
        <v>0.79500000000000137</v>
      </c>
      <c r="D371" s="9">
        <f t="shared" si="34"/>
        <v>0.10150709334820003</v>
      </c>
      <c r="E371" s="9">
        <f t="shared" si="35"/>
        <v>8.3850000000001368E-2</v>
      </c>
      <c r="F371" s="13">
        <f t="shared" si="36"/>
        <v>0.10150709334820003</v>
      </c>
      <c r="G371" s="13">
        <f t="shared" si="37"/>
        <v>8.3850000000001368E-2</v>
      </c>
    </row>
    <row r="372" spans="2:7" ht="24" thickBot="1" x14ac:dyDescent="0.5">
      <c r="B372" s="7">
        <f t="shared" si="32"/>
        <v>0.20000000000002061</v>
      </c>
      <c r="C372" s="8">
        <f t="shared" si="33"/>
        <v>0.80000000000000138</v>
      </c>
      <c r="D372" s="9">
        <f t="shared" si="34"/>
        <v>0.10190191362285693</v>
      </c>
      <c r="E372" s="9">
        <f t="shared" si="35"/>
        <v>8.4000000000001351E-2</v>
      </c>
      <c r="F372" s="13">
        <f t="shared" si="36"/>
        <v>0.10190191362285693</v>
      </c>
      <c r="G372" s="13">
        <f t="shared" si="37"/>
        <v>8.4000000000001351E-2</v>
      </c>
    </row>
    <row r="373" spans="2:7" ht="24" thickBot="1" x14ac:dyDescent="0.5">
      <c r="B373" s="7">
        <f t="shared" si="32"/>
        <v>0.1950000000000206</v>
      </c>
      <c r="C373" s="8">
        <f t="shared" si="33"/>
        <v>0.80500000000000138</v>
      </c>
      <c r="D373" s="9">
        <f t="shared" si="34"/>
        <v>0.10230000000000093</v>
      </c>
      <c r="E373" s="9">
        <f t="shared" si="35"/>
        <v>8.4150000000001363E-2</v>
      </c>
      <c r="F373" s="13">
        <f t="shared" si="36"/>
        <v>0.10230000000000093</v>
      </c>
      <c r="G373" s="13">
        <f t="shared" si="37"/>
        <v>8.4150000000001363E-2</v>
      </c>
    </row>
    <row r="374" spans="2:7" ht="24" thickBot="1" x14ac:dyDescent="0.5">
      <c r="B374" s="7">
        <f t="shared" si="32"/>
        <v>0.1900000000000206</v>
      </c>
      <c r="C374" s="8">
        <f t="shared" si="33"/>
        <v>0.81000000000000139</v>
      </c>
      <c r="D374" s="9">
        <f t="shared" si="34"/>
        <v>0.10270131449986505</v>
      </c>
      <c r="E374" s="9">
        <f t="shared" si="35"/>
        <v>8.4300000000001346E-2</v>
      </c>
      <c r="F374" s="13">
        <f t="shared" si="36"/>
        <v>0.10270131449986505</v>
      </c>
      <c r="G374" s="13">
        <f t="shared" si="37"/>
        <v>8.4300000000001346E-2</v>
      </c>
    </row>
    <row r="375" spans="2:7" ht="24" thickBot="1" x14ac:dyDescent="0.5">
      <c r="B375" s="7">
        <f t="shared" si="32"/>
        <v>0.18500000000002059</v>
      </c>
      <c r="C375" s="8">
        <f t="shared" si="33"/>
        <v>0.81500000000000139</v>
      </c>
      <c r="D375" s="9">
        <f t="shared" si="34"/>
        <v>0.10310581942839207</v>
      </c>
      <c r="E375" s="9">
        <f t="shared" si="35"/>
        <v>8.4450000000001357E-2</v>
      </c>
      <c r="F375" s="13">
        <f t="shared" si="36"/>
        <v>0.10310581942839207</v>
      </c>
      <c r="G375" s="13">
        <f t="shared" si="37"/>
        <v>8.4450000000001357E-2</v>
      </c>
    </row>
    <row r="376" spans="2:7" ht="24" thickBot="1" x14ac:dyDescent="0.5">
      <c r="B376" s="7">
        <f t="shared" si="32"/>
        <v>0.18000000000002059</v>
      </c>
      <c r="C376" s="8">
        <f t="shared" si="33"/>
        <v>0.82000000000000139</v>
      </c>
      <c r="D376" s="9">
        <f t="shared" si="34"/>
        <v>0.10351347738338322</v>
      </c>
      <c r="E376" s="9">
        <f t="shared" si="35"/>
        <v>8.4600000000001369E-2</v>
      </c>
      <c r="F376" s="13">
        <f t="shared" si="36"/>
        <v>0.10351347738338322</v>
      </c>
      <c r="G376" s="13">
        <f t="shared" si="37"/>
        <v>8.4600000000001369E-2</v>
      </c>
    </row>
    <row r="377" spans="2:7" ht="24" thickBot="1" x14ac:dyDescent="0.5">
      <c r="B377" s="7">
        <f t="shared" si="32"/>
        <v>0.17500000000002058</v>
      </c>
      <c r="C377" s="8">
        <f t="shared" si="33"/>
        <v>0.8250000000000014</v>
      </c>
      <c r="D377" s="9">
        <f t="shared" si="34"/>
        <v>0.1039242512602337</v>
      </c>
      <c r="E377" s="9">
        <f t="shared" si="35"/>
        <v>8.4750000000001352E-2</v>
      </c>
      <c r="F377" s="13">
        <f t="shared" si="36"/>
        <v>0.1039242512602337</v>
      </c>
      <c r="G377" s="13">
        <f t="shared" si="37"/>
        <v>8.4750000000001352E-2</v>
      </c>
    </row>
    <row r="378" spans="2:7" ht="24" thickBot="1" x14ac:dyDescent="0.5">
      <c r="B378" s="7">
        <f t="shared" si="32"/>
        <v>0.17000000000002058</v>
      </c>
      <c r="C378" s="8">
        <f t="shared" si="33"/>
        <v>0.8300000000000014</v>
      </c>
      <c r="D378" s="9">
        <f t="shared" si="34"/>
        <v>0.10433810425726636</v>
      </c>
      <c r="E378" s="9">
        <f t="shared" si="35"/>
        <v>8.4900000000001363E-2</v>
      </c>
      <c r="F378" s="13">
        <f t="shared" si="36"/>
        <v>0.10433810425726636</v>
      </c>
      <c r="G378" s="13">
        <f t="shared" si="37"/>
        <v>8.4900000000001363E-2</v>
      </c>
    </row>
    <row r="379" spans="2:7" ht="24" thickBot="1" x14ac:dyDescent="0.5">
      <c r="B379" s="7">
        <f t="shared" si="32"/>
        <v>0.16500000000002057</v>
      </c>
      <c r="C379" s="8">
        <f t="shared" si="33"/>
        <v>0.83500000000000141</v>
      </c>
      <c r="D379" s="9">
        <f t="shared" si="34"/>
        <v>0.10475499988067483</v>
      </c>
      <c r="E379" s="9">
        <f t="shared" si="35"/>
        <v>8.5050000000001347E-2</v>
      </c>
      <c r="F379" s="13">
        <f t="shared" si="36"/>
        <v>0.10475499988067483</v>
      </c>
      <c r="G379" s="13">
        <f t="shared" si="37"/>
        <v>8.5050000000001347E-2</v>
      </c>
    </row>
    <row r="380" spans="2:7" ht="24" thickBot="1" x14ac:dyDescent="0.5">
      <c r="B380" s="7">
        <f t="shared" si="32"/>
        <v>0.16000000000002057</v>
      </c>
      <c r="C380" s="8">
        <f t="shared" si="33"/>
        <v>0.84000000000000141</v>
      </c>
      <c r="D380" s="9">
        <f t="shared" si="34"/>
        <v>0.10517490194908756</v>
      </c>
      <c r="E380" s="9">
        <f t="shared" si="35"/>
        <v>8.5200000000001358E-2</v>
      </c>
      <c r="F380" s="13">
        <f t="shared" si="36"/>
        <v>0.10517490194908756</v>
      </c>
      <c r="G380" s="13">
        <f t="shared" si="37"/>
        <v>8.5200000000001358E-2</v>
      </c>
    </row>
    <row r="381" spans="2:7" ht="24" thickBot="1" x14ac:dyDescent="0.5">
      <c r="B381" s="7">
        <f t="shared" si="32"/>
        <v>0.15500000000002057</v>
      </c>
      <c r="C381" s="8">
        <f t="shared" si="33"/>
        <v>0.84500000000000142</v>
      </c>
      <c r="D381" s="9">
        <f t="shared" si="34"/>
        <v>0.10559777459776405</v>
      </c>
      <c r="E381" s="9">
        <f t="shared" si="35"/>
        <v>8.5350000000001369E-2</v>
      </c>
      <c r="F381" s="13">
        <f t="shared" si="36"/>
        <v>0.10559777459776405</v>
      </c>
      <c r="G381" s="13">
        <f t="shared" si="37"/>
        <v>8.5350000000001369E-2</v>
      </c>
    </row>
    <row r="382" spans="2:7" ht="24" thickBot="1" x14ac:dyDescent="0.5">
      <c r="B382" s="7">
        <f t="shared" si="32"/>
        <v>0.15000000000002056</v>
      </c>
      <c r="C382" s="8">
        <f t="shared" si="33"/>
        <v>0.85000000000000142</v>
      </c>
      <c r="D382" s="9">
        <f t="shared" si="34"/>
        <v>0.10602358228243459</v>
      </c>
      <c r="E382" s="9">
        <f t="shared" si="35"/>
        <v>8.5500000000001353E-2</v>
      </c>
      <c r="F382" s="13">
        <f t="shared" si="36"/>
        <v>0.10602358228243459</v>
      </c>
      <c r="G382" s="13">
        <f t="shared" si="37"/>
        <v>8.5500000000001353E-2</v>
      </c>
    </row>
    <row r="383" spans="2:7" ht="24" thickBot="1" x14ac:dyDescent="0.5">
      <c r="B383" s="7">
        <f t="shared" si="32"/>
        <v>0.14500000000002056</v>
      </c>
      <c r="C383" s="8">
        <f t="shared" si="33"/>
        <v>0.85500000000000143</v>
      </c>
      <c r="D383" s="9">
        <f t="shared" si="34"/>
        <v>0.10645228978279508</v>
      </c>
      <c r="E383" s="9">
        <f t="shared" si="35"/>
        <v>8.5650000000001364E-2</v>
      </c>
      <c r="F383" s="13">
        <f t="shared" si="36"/>
        <v>0.10645228978279508</v>
      </c>
      <c r="G383" s="13">
        <f t="shared" si="37"/>
        <v>8.5650000000001364E-2</v>
      </c>
    </row>
    <row r="384" spans="2:7" ht="24" thickBot="1" x14ac:dyDescent="0.5">
      <c r="B384" s="7">
        <f t="shared" si="32"/>
        <v>0.14000000000002055</v>
      </c>
      <c r="C384" s="8">
        <f t="shared" si="33"/>
        <v>0.86000000000000143</v>
      </c>
      <c r="D384" s="9">
        <f t="shared" si="34"/>
        <v>0.10688386220566778</v>
      </c>
      <c r="E384" s="9">
        <f t="shared" si="35"/>
        <v>8.5800000000001347E-2</v>
      </c>
      <c r="F384" s="13">
        <f t="shared" si="36"/>
        <v>0.10688386220566778</v>
      </c>
      <c r="G384" s="13">
        <f t="shared" si="37"/>
        <v>8.5800000000001347E-2</v>
      </c>
    </row>
    <row r="385" spans="2:7" ht="24" thickBot="1" x14ac:dyDescent="0.5">
      <c r="B385" s="7">
        <f t="shared" si="32"/>
        <v>0.13500000000002055</v>
      </c>
      <c r="C385" s="8">
        <f t="shared" si="33"/>
        <v>0.86500000000000143</v>
      </c>
      <c r="D385" s="9">
        <f t="shared" si="34"/>
        <v>0.1073182649878397</v>
      </c>
      <c r="E385" s="9">
        <f t="shared" si="35"/>
        <v>8.5950000000001359E-2</v>
      </c>
      <c r="F385" s="13">
        <f t="shared" si="36"/>
        <v>0.1073182649878397</v>
      </c>
      <c r="G385" s="13">
        <f t="shared" si="37"/>
        <v>8.5950000000001359E-2</v>
      </c>
    </row>
    <row r="386" spans="2:7" ht="24" thickBot="1" x14ac:dyDescent="0.5">
      <c r="B386" s="7">
        <f t="shared" si="32"/>
        <v>0.13000000000002054</v>
      </c>
      <c r="C386" s="8">
        <f t="shared" si="33"/>
        <v>0.87000000000000144</v>
      </c>
      <c r="D386" s="9">
        <f t="shared" si="34"/>
        <v>0.10775546389858927</v>
      </c>
      <c r="E386" s="9">
        <f t="shared" si="35"/>
        <v>8.610000000000137E-2</v>
      </c>
      <c r="F386" s="13">
        <f t="shared" si="36"/>
        <v>0.10775546389858927</v>
      </c>
      <c r="G386" s="13">
        <f t="shared" si="37"/>
        <v>8.610000000000137E-2</v>
      </c>
    </row>
    <row r="387" spans="2:7" ht="24" thickBot="1" x14ac:dyDescent="0.5">
      <c r="B387" s="7">
        <f t="shared" si="32"/>
        <v>0.12500000000002054</v>
      </c>
      <c r="C387" s="8">
        <f t="shared" si="33"/>
        <v>0.87500000000000144</v>
      </c>
      <c r="D387" s="9">
        <f t="shared" si="34"/>
        <v>0.10819542504191282</v>
      </c>
      <c r="E387" s="9">
        <f t="shared" si="35"/>
        <v>8.6250000000001353E-2</v>
      </c>
      <c r="F387" s="13">
        <f t="shared" si="36"/>
        <v>0.10819542504191282</v>
      </c>
      <c r="G387" s="13">
        <f t="shared" si="37"/>
        <v>8.6250000000001353E-2</v>
      </c>
    </row>
    <row r="388" spans="2:7" ht="24" thickBot="1" x14ac:dyDescent="0.5">
      <c r="B388" s="7">
        <f t="shared" si="32"/>
        <v>0.12000000000002053</v>
      </c>
      <c r="C388" s="8">
        <f t="shared" si="33"/>
        <v>0.88000000000000145</v>
      </c>
      <c r="D388" s="9">
        <f t="shared" si="34"/>
        <v>0.10863811485846103</v>
      </c>
      <c r="E388" s="9">
        <f t="shared" si="35"/>
        <v>8.6400000000001365E-2</v>
      </c>
      <c r="F388" s="13">
        <f t="shared" si="36"/>
        <v>0.10863811485846103</v>
      </c>
      <c r="G388" s="13">
        <f t="shared" si="37"/>
        <v>8.6400000000001365E-2</v>
      </c>
    </row>
    <row r="389" spans="2:7" ht="24" thickBot="1" x14ac:dyDescent="0.5">
      <c r="B389" s="7">
        <f t="shared" si="32"/>
        <v>0.11500000000002053</v>
      </c>
      <c r="C389" s="8">
        <f t="shared" si="33"/>
        <v>0.88500000000000145</v>
      </c>
      <c r="D389" s="9">
        <f t="shared" si="34"/>
        <v>0.10908350012719693</v>
      </c>
      <c r="E389" s="9">
        <f t="shared" si="35"/>
        <v>8.6550000000001348E-2</v>
      </c>
      <c r="F389" s="13">
        <f t="shared" si="36"/>
        <v>0.10908350012719693</v>
      </c>
      <c r="G389" s="13">
        <f t="shared" si="37"/>
        <v>8.6550000000001348E-2</v>
      </c>
    </row>
    <row r="390" spans="2:7" ht="24" thickBot="1" x14ac:dyDescent="0.5">
      <c r="B390" s="7">
        <f t="shared" si="32"/>
        <v>0.11000000000002053</v>
      </c>
      <c r="C390" s="8">
        <f t="shared" si="33"/>
        <v>0.89000000000000146</v>
      </c>
      <c r="D390" s="9">
        <f t="shared" si="34"/>
        <v>0.10953154796678521</v>
      </c>
      <c r="E390" s="9">
        <f t="shared" si="35"/>
        <v>8.6700000000001359E-2</v>
      </c>
      <c r="F390" s="13">
        <f t="shared" si="36"/>
        <v>0.10953154796678521</v>
      </c>
      <c r="G390" s="13">
        <f t="shared" si="37"/>
        <v>8.6700000000001359E-2</v>
      </c>
    </row>
    <row r="391" spans="2:7" ht="24" thickBot="1" x14ac:dyDescent="0.5">
      <c r="B391" s="7">
        <f t="shared" si="32"/>
        <v>0.10500000000002052</v>
      </c>
      <c r="C391" s="8">
        <f t="shared" si="33"/>
        <v>0.89500000000000146</v>
      </c>
      <c r="D391" s="9">
        <f t="shared" si="34"/>
        <v>0.10998222583672404</v>
      </c>
      <c r="E391" s="9">
        <f t="shared" si="35"/>
        <v>8.6850000000001371E-2</v>
      </c>
      <c r="F391" s="13">
        <f t="shared" si="36"/>
        <v>0.10998222583672404</v>
      </c>
      <c r="G391" s="13">
        <f t="shared" si="37"/>
        <v>8.6850000000001371E-2</v>
      </c>
    </row>
    <row r="392" spans="2:7" ht="24" thickBot="1" x14ac:dyDescent="0.5">
      <c r="B392" s="7">
        <f t="shared" si="32"/>
        <v>0.10000000000002052</v>
      </c>
      <c r="C392" s="8">
        <f t="shared" si="33"/>
        <v>0.90000000000000147</v>
      </c>
      <c r="D392" s="9">
        <f t="shared" si="34"/>
        <v>0.11043550153822894</v>
      </c>
      <c r="E392" s="9">
        <f t="shared" si="35"/>
        <v>8.7000000000001354E-2</v>
      </c>
      <c r="F392" s="13">
        <f t="shared" si="36"/>
        <v>0.11043550153822894</v>
      </c>
      <c r="G392" s="13">
        <f t="shared" si="37"/>
        <v>8.7000000000001354E-2</v>
      </c>
    </row>
    <row r="393" spans="2:7" ht="24" thickBot="1" x14ac:dyDescent="0.5">
      <c r="B393" s="7">
        <f t="shared" si="32"/>
        <v>9.5000000000020512E-2</v>
      </c>
      <c r="C393" s="8">
        <f t="shared" si="33"/>
        <v>0.90500000000000147</v>
      </c>
      <c r="D393" s="9">
        <f t="shared" si="34"/>
        <v>0.11089134321487934</v>
      </c>
      <c r="E393" s="9">
        <f t="shared" si="35"/>
        <v>8.7150000000001365E-2</v>
      </c>
      <c r="F393" s="13">
        <f t="shared" si="36"/>
        <v>0.11089134321487934</v>
      </c>
      <c r="G393" s="13">
        <f t="shared" si="37"/>
        <v>8.7150000000001365E-2</v>
      </c>
    </row>
    <row r="394" spans="2:7" ht="24" thickBot="1" x14ac:dyDescent="0.5">
      <c r="B394" s="7">
        <f t="shared" si="32"/>
        <v>9.0000000000020508E-2</v>
      </c>
      <c r="C394" s="8">
        <f t="shared" si="33"/>
        <v>0.91000000000000147</v>
      </c>
      <c r="D394" s="9">
        <f t="shared" si="34"/>
        <v>0.11134971935303729</v>
      </c>
      <c r="E394" s="9">
        <f t="shared" si="35"/>
        <v>8.7300000000001349E-2</v>
      </c>
      <c r="F394" s="13">
        <f t="shared" si="36"/>
        <v>0.11134971935303729</v>
      </c>
      <c r="G394" s="13">
        <f t="shared" si="37"/>
        <v>8.7300000000001349E-2</v>
      </c>
    </row>
    <row r="395" spans="2:7" ht="24" thickBot="1" x14ac:dyDescent="0.5">
      <c r="B395" s="7">
        <f t="shared" si="32"/>
        <v>8.5000000000020504E-2</v>
      </c>
      <c r="C395" s="8">
        <f t="shared" si="33"/>
        <v>0.91500000000000148</v>
      </c>
      <c r="D395" s="9">
        <f t="shared" si="34"/>
        <v>0.11181059878204822</v>
      </c>
      <c r="E395" s="9">
        <f t="shared" si="35"/>
        <v>8.745000000000136E-2</v>
      </c>
      <c r="F395" s="13">
        <f t="shared" si="36"/>
        <v>0.11181059878204822</v>
      </c>
      <c r="G395" s="13">
        <f t="shared" si="37"/>
        <v>8.745000000000136E-2</v>
      </c>
    </row>
    <row r="396" spans="2:7" ht="24" thickBot="1" x14ac:dyDescent="0.5">
      <c r="B396" s="7">
        <f t="shared" si="32"/>
        <v>8.0000000000020499E-2</v>
      </c>
      <c r="C396" s="8">
        <f t="shared" si="33"/>
        <v>0.92000000000000148</v>
      </c>
      <c r="D396" s="9">
        <f t="shared" si="34"/>
        <v>0.11227395067423325</v>
      </c>
      <c r="E396" s="9">
        <f t="shared" si="35"/>
        <v>8.7600000000001357E-2</v>
      </c>
      <c r="F396" s="13">
        <f t="shared" si="36"/>
        <v>0.11227395067423325</v>
      </c>
      <c r="G396" s="13">
        <f t="shared" si="37"/>
        <v>8.7600000000001357E-2</v>
      </c>
    </row>
    <row r="397" spans="2:7" ht="24" thickBot="1" x14ac:dyDescent="0.5">
      <c r="B397" s="7">
        <f t="shared" si="32"/>
        <v>7.5000000000020495E-2</v>
      </c>
      <c r="C397" s="8">
        <f t="shared" si="33"/>
        <v>0.92500000000000149</v>
      </c>
      <c r="D397" s="9">
        <f t="shared" si="34"/>
        <v>0.11273974454468202</v>
      </c>
      <c r="E397" s="9">
        <f t="shared" si="35"/>
        <v>8.7750000000001355E-2</v>
      </c>
      <c r="F397" s="13">
        <f t="shared" si="36"/>
        <v>0.11273974454468202</v>
      </c>
      <c r="G397" s="13">
        <f t="shared" si="37"/>
        <v>8.7750000000001355E-2</v>
      </c>
    </row>
    <row r="398" spans="2:7" ht="24" thickBot="1" x14ac:dyDescent="0.5">
      <c r="B398" s="7">
        <f t="shared" ref="B398:B461" si="38">B397-0.5%</f>
        <v>7.000000000002049E-2</v>
      </c>
      <c r="C398" s="8">
        <f t="shared" ref="C398:C461" si="39">C397+0.5%</f>
        <v>0.93000000000000149</v>
      </c>
      <c r="D398" s="9">
        <f t="shared" ref="D398:D461" si="40">SQRT(B398^2*$D$4^2+C398^2*$D$5^2+2*C398*B398*$D$4*$D$5*$D$6)</f>
        <v>0.11320795025085544</v>
      </c>
      <c r="E398" s="9">
        <f t="shared" ref="E398:E461" si="41">$F$4*B398+$F$5*C398</f>
        <v>8.7900000000001366E-2</v>
      </c>
      <c r="F398" s="13">
        <f t="shared" ref="F398:F461" si="42">IF(E398&gt;=$I$9,D398,NA())</f>
        <v>0.11320795025085544</v>
      </c>
      <c r="G398" s="13">
        <f t="shared" ref="G398:G461" si="43">IF(E398&gt;=$I$9,E398,NA())</f>
        <v>8.7900000000001366E-2</v>
      </c>
    </row>
    <row r="399" spans="2:7" ht="24" thickBot="1" x14ac:dyDescent="0.5">
      <c r="B399" s="7">
        <f t="shared" si="38"/>
        <v>6.5000000000020486E-2</v>
      </c>
      <c r="C399" s="8">
        <f t="shared" si="39"/>
        <v>0.9350000000000015</v>
      </c>
      <c r="D399" s="9">
        <f t="shared" si="40"/>
        <v>0.11367853799200692</v>
      </c>
      <c r="E399" s="9">
        <f t="shared" si="41"/>
        <v>8.8050000000001349E-2</v>
      </c>
      <c r="F399" s="13">
        <f t="shared" si="42"/>
        <v>0.11367853799200692</v>
      </c>
      <c r="G399" s="13">
        <f t="shared" si="43"/>
        <v>8.8050000000001349E-2</v>
      </c>
    </row>
    <row r="400" spans="2:7" ht="24" thickBot="1" x14ac:dyDescent="0.5">
      <c r="B400" s="7">
        <f t="shared" si="38"/>
        <v>6.0000000000020488E-2</v>
      </c>
      <c r="C400" s="8">
        <f t="shared" si="39"/>
        <v>0.9400000000000015</v>
      </c>
      <c r="D400" s="9">
        <f t="shared" si="40"/>
        <v>0.11415147830843084</v>
      </c>
      <c r="E400" s="9">
        <f t="shared" si="41"/>
        <v>8.8200000000001361E-2</v>
      </c>
      <c r="F400" s="13">
        <f t="shared" si="42"/>
        <v>0.11415147830843084</v>
      </c>
      <c r="G400" s="13">
        <f t="shared" si="43"/>
        <v>8.8200000000001361E-2</v>
      </c>
    </row>
    <row r="401" spans="2:7" ht="24" thickBot="1" x14ac:dyDescent="0.5">
      <c r="B401" s="7">
        <f t="shared" si="38"/>
        <v>5.5000000000020491E-2</v>
      </c>
      <c r="C401" s="8">
        <f t="shared" si="39"/>
        <v>0.94500000000000151</v>
      </c>
      <c r="D401" s="9">
        <f t="shared" si="40"/>
        <v>0.11462674208054661</v>
      </c>
      <c r="E401" s="9">
        <f t="shared" si="41"/>
        <v>8.8350000000001358E-2</v>
      </c>
      <c r="F401" s="13">
        <f t="shared" si="42"/>
        <v>0.11462674208054661</v>
      </c>
      <c r="G401" s="13">
        <f t="shared" si="43"/>
        <v>8.8350000000001358E-2</v>
      </c>
    </row>
    <row r="402" spans="2:7" ht="24" thickBot="1" x14ac:dyDescent="0.5">
      <c r="B402" s="7">
        <f t="shared" si="38"/>
        <v>5.0000000000020493E-2</v>
      </c>
      <c r="C402" s="8">
        <f t="shared" si="39"/>
        <v>0.95000000000000151</v>
      </c>
      <c r="D402" s="9">
        <f t="shared" si="40"/>
        <v>0.1151043005278263</v>
      </c>
      <c r="E402" s="9">
        <f t="shared" si="41"/>
        <v>8.8500000000001355E-2</v>
      </c>
      <c r="F402" s="13">
        <f t="shared" si="42"/>
        <v>0.1151043005278263</v>
      </c>
      <c r="G402" s="13">
        <f t="shared" si="43"/>
        <v>8.8500000000001355E-2</v>
      </c>
    </row>
    <row r="403" spans="2:7" ht="24" thickBot="1" x14ac:dyDescent="0.5">
      <c r="B403" s="7">
        <f t="shared" si="38"/>
        <v>4.5000000000020496E-2</v>
      </c>
      <c r="C403" s="8">
        <f t="shared" si="39"/>
        <v>0.95500000000000151</v>
      </c>
      <c r="D403" s="9">
        <f t="shared" si="40"/>
        <v>0.11558412520757405</v>
      </c>
      <c r="E403" s="9">
        <f t="shared" si="41"/>
        <v>8.8650000000001367E-2</v>
      </c>
      <c r="F403" s="13">
        <f t="shared" si="42"/>
        <v>0.11558412520757405</v>
      </c>
      <c r="G403" s="13">
        <f t="shared" si="43"/>
        <v>8.8650000000001367E-2</v>
      </c>
    </row>
    <row r="404" spans="2:7" ht="24" thickBot="1" x14ac:dyDescent="0.5">
      <c r="B404" s="7">
        <f t="shared" si="38"/>
        <v>4.0000000000020498E-2</v>
      </c>
      <c r="C404" s="8">
        <f t="shared" si="39"/>
        <v>0.96000000000000152</v>
      </c>
      <c r="D404" s="9">
        <f t="shared" si="40"/>
        <v>0.11606618801356471</v>
      </c>
      <c r="E404" s="9">
        <f t="shared" si="41"/>
        <v>8.8800000000001364E-2</v>
      </c>
      <c r="F404" s="13">
        <f t="shared" si="42"/>
        <v>0.11606618801356471</v>
      </c>
      <c r="G404" s="13">
        <f t="shared" si="43"/>
        <v>8.8800000000001364E-2</v>
      </c>
    </row>
    <row r="405" spans="2:7" ht="24" thickBot="1" x14ac:dyDescent="0.5">
      <c r="B405" s="7">
        <f t="shared" si="38"/>
        <v>3.5000000000020501E-2</v>
      </c>
      <c r="C405" s="8">
        <f t="shared" si="39"/>
        <v>0.96500000000000152</v>
      </c>
      <c r="D405" s="9">
        <f t="shared" si="40"/>
        <v>0.11655046117454942</v>
      </c>
      <c r="E405" s="9">
        <f t="shared" si="41"/>
        <v>8.8950000000001361E-2</v>
      </c>
      <c r="F405" s="13">
        <f t="shared" si="42"/>
        <v>0.11655046117454942</v>
      </c>
      <c r="G405" s="13">
        <f t="shared" si="43"/>
        <v>8.8950000000001361E-2</v>
      </c>
    </row>
    <row r="406" spans="2:7" ht="24" thickBot="1" x14ac:dyDescent="0.5">
      <c r="B406" s="7">
        <f t="shared" si="38"/>
        <v>3.00000000000205E-2</v>
      </c>
      <c r="C406" s="8">
        <f t="shared" si="39"/>
        <v>0.97000000000000153</v>
      </c>
      <c r="D406" s="9">
        <f t="shared" si="40"/>
        <v>0.11703691725263507</v>
      </c>
      <c r="E406" s="9">
        <f t="shared" si="41"/>
        <v>8.9100000000001359E-2</v>
      </c>
      <c r="F406" s="13">
        <f t="shared" si="42"/>
        <v>0.11703691725263507</v>
      </c>
      <c r="G406" s="13">
        <f t="shared" si="43"/>
        <v>8.9100000000001359E-2</v>
      </c>
    </row>
    <row r="407" spans="2:7" ht="24" thickBot="1" x14ac:dyDescent="0.5">
      <c r="B407" s="7">
        <f t="shared" si="38"/>
        <v>2.5000000000020499E-2</v>
      </c>
      <c r="C407" s="8">
        <f t="shared" si="39"/>
        <v>0.97500000000000153</v>
      </c>
      <c r="D407" s="9">
        <f t="shared" si="40"/>
        <v>0.11752552914154502</v>
      </c>
      <c r="E407" s="9">
        <f t="shared" si="41"/>
        <v>8.925000000000137E-2</v>
      </c>
      <c r="F407" s="13">
        <f t="shared" si="42"/>
        <v>0.11752552914154502</v>
      </c>
      <c r="G407" s="13">
        <f t="shared" si="43"/>
        <v>8.925000000000137E-2</v>
      </c>
    </row>
    <row r="408" spans="2:7" ht="24" thickBot="1" x14ac:dyDescent="0.5">
      <c r="B408" s="7">
        <f t="shared" si="38"/>
        <v>2.0000000000020498E-2</v>
      </c>
      <c r="C408" s="8">
        <f t="shared" si="39"/>
        <v>0.98000000000000154</v>
      </c>
      <c r="D408" s="9">
        <f t="shared" si="40"/>
        <v>0.11801627006476755</v>
      </c>
      <c r="E408" s="9">
        <f t="shared" si="41"/>
        <v>8.9400000000001367E-2</v>
      </c>
      <c r="F408" s="13">
        <f t="shared" si="42"/>
        <v>0.11801627006476755</v>
      </c>
      <c r="G408" s="13">
        <f t="shared" si="43"/>
        <v>8.9400000000001367E-2</v>
      </c>
    </row>
    <row r="409" spans="2:7" ht="24" thickBot="1" x14ac:dyDescent="0.5">
      <c r="B409" s="7">
        <f t="shared" si="38"/>
        <v>1.5000000000020497E-2</v>
      </c>
      <c r="C409" s="8">
        <f t="shared" si="39"/>
        <v>0.98500000000000154</v>
      </c>
      <c r="D409" s="9">
        <f t="shared" si="40"/>
        <v>0.11850911357359883</v>
      </c>
      <c r="E409" s="9">
        <f t="shared" si="41"/>
        <v>8.9550000000001365E-2</v>
      </c>
      <c r="F409" s="13">
        <f t="shared" si="42"/>
        <v>0.11850911357359883</v>
      </c>
      <c r="G409" s="13">
        <f t="shared" si="43"/>
        <v>8.9550000000001365E-2</v>
      </c>
    </row>
    <row r="410" spans="2:7" ht="24" thickBot="1" x14ac:dyDescent="0.5">
      <c r="B410" s="7">
        <f t="shared" si="38"/>
        <v>1.0000000000020496E-2</v>
      </c>
      <c r="C410" s="8">
        <f t="shared" si="39"/>
        <v>0.99000000000000155</v>
      </c>
      <c r="D410" s="9">
        <f t="shared" si="40"/>
        <v>0.1190040335450868</v>
      </c>
      <c r="E410" s="9">
        <f t="shared" si="41"/>
        <v>8.9700000000001362E-2</v>
      </c>
      <c r="F410" s="13">
        <f t="shared" si="42"/>
        <v>0.1190040335450868</v>
      </c>
      <c r="G410" s="13">
        <f t="shared" si="43"/>
        <v>8.9700000000001362E-2</v>
      </c>
    </row>
    <row r="411" spans="2:7" ht="24" thickBot="1" x14ac:dyDescent="0.5">
      <c r="B411" s="7">
        <f t="shared" si="38"/>
        <v>5.0000000000204959E-3</v>
      </c>
      <c r="C411" s="8">
        <f t="shared" si="39"/>
        <v>0.99500000000000155</v>
      </c>
      <c r="D411" s="9">
        <f t="shared" si="40"/>
        <v>0.11950100417988187</v>
      </c>
      <c r="E411" s="9">
        <f t="shared" si="41"/>
        <v>8.9850000000001359E-2</v>
      </c>
      <c r="F411" s="13">
        <f t="shared" si="42"/>
        <v>0.11950100417988187</v>
      </c>
      <c r="G411" s="13">
        <f t="shared" si="43"/>
        <v>8.9850000000001359E-2</v>
      </c>
    </row>
    <row r="412" spans="2:7" ht="24" thickBot="1" x14ac:dyDescent="0.5">
      <c r="B412" s="7">
        <f t="shared" si="38"/>
        <v>2.0495757868665976E-14</v>
      </c>
      <c r="C412" s="8">
        <f t="shared" si="39"/>
        <v>1.0000000000000016</v>
      </c>
      <c r="D412" s="9">
        <f t="shared" si="40"/>
        <v>0.12000000000000059</v>
      </c>
      <c r="E412" s="9">
        <f t="shared" si="41"/>
        <v>9.0000000000001371E-2</v>
      </c>
      <c r="F412" s="13">
        <f t="shared" si="42"/>
        <v>0.12000000000000059</v>
      </c>
      <c r="G412" s="13">
        <f t="shared" si="43"/>
        <v>9.0000000000001371E-2</v>
      </c>
    </row>
    <row r="413" spans="2:7" ht="24" thickBot="1" x14ac:dyDescent="0.5">
      <c r="B413" s="7">
        <f t="shared" si="38"/>
        <v>-4.9999999999795043E-3</v>
      </c>
      <c r="C413" s="8">
        <f t="shared" si="39"/>
        <v>1.0050000000000014</v>
      </c>
      <c r="D413" s="9">
        <f t="shared" si="40"/>
        <v>0.120500995846508</v>
      </c>
      <c r="E413" s="9">
        <f t="shared" si="41"/>
        <v>9.0150000000001354E-2</v>
      </c>
      <c r="F413" s="13">
        <f t="shared" si="42"/>
        <v>0.120500995846508</v>
      </c>
      <c r="G413" s="13">
        <f t="shared" si="43"/>
        <v>9.0150000000001354E-2</v>
      </c>
    </row>
    <row r="414" spans="2:7" ht="24" thickBot="1" x14ac:dyDescent="0.5">
      <c r="B414" s="7">
        <f t="shared" si="38"/>
        <v>-9.9999999999795045E-3</v>
      </c>
      <c r="C414" s="8">
        <f t="shared" si="39"/>
        <v>1.0100000000000013</v>
      </c>
      <c r="D414" s="9">
        <f t="shared" si="40"/>
        <v>0.12100396687712404</v>
      </c>
      <c r="E414" s="9">
        <f t="shared" si="41"/>
        <v>9.0300000000001351E-2</v>
      </c>
      <c r="F414" s="13">
        <f t="shared" si="42"/>
        <v>0.12100396687712404</v>
      </c>
      <c r="G414" s="13">
        <f t="shared" si="43"/>
        <v>9.0300000000001351E-2</v>
      </c>
    </row>
    <row r="415" spans="2:7" ht="24" thickBot="1" x14ac:dyDescent="0.5">
      <c r="B415" s="7">
        <f t="shared" si="38"/>
        <v>-1.4999999999979505E-2</v>
      </c>
      <c r="C415" s="8">
        <f t="shared" si="39"/>
        <v>1.0150000000000012</v>
      </c>
      <c r="D415" s="9">
        <f t="shared" si="40"/>
        <v>0.12150888856375952</v>
      </c>
      <c r="E415" s="9">
        <f t="shared" si="41"/>
        <v>9.0450000000001335E-2</v>
      </c>
      <c r="F415" s="13">
        <f t="shared" si="42"/>
        <v>0.12150888856375952</v>
      </c>
      <c r="G415" s="13">
        <f t="shared" si="43"/>
        <v>9.0450000000001335E-2</v>
      </c>
    </row>
    <row r="416" spans="2:7" ht="24" thickBot="1" x14ac:dyDescent="0.5">
      <c r="B416" s="7">
        <f t="shared" si="38"/>
        <v>-1.9999999999979506E-2</v>
      </c>
      <c r="C416" s="8">
        <f t="shared" si="39"/>
        <v>1.0200000000000011</v>
      </c>
      <c r="D416" s="9">
        <f t="shared" si="40"/>
        <v>0.12201573668998653</v>
      </c>
      <c r="E416" s="9">
        <f t="shared" si="41"/>
        <v>9.0600000000001332E-2</v>
      </c>
      <c r="F416" s="13">
        <f t="shared" si="42"/>
        <v>0.12201573668998653</v>
      </c>
      <c r="G416" s="13">
        <f t="shared" si="43"/>
        <v>9.0600000000001332E-2</v>
      </c>
    </row>
    <row r="417" spans="2:7" ht="24" thickBot="1" x14ac:dyDescent="0.5">
      <c r="B417" s="7">
        <f t="shared" si="38"/>
        <v>-2.4999999999979507E-2</v>
      </c>
      <c r="C417" s="8">
        <f t="shared" si="39"/>
        <v>1.025000000000001</v>
      </c>
      <c r="D417" s="9">
        <f t="shared" si="40"/>
        <v>0.12252448734844851</v>
      </c>
      <c r="E417" s="9">
        <f t="shared" si="41"/>
        <v>9.0750000000001316E-2</v>
      </c>
      <c r="F417" s="13">
        <f t="shared" si="42"/>
        <v>0.12252448734844851</v>
      </c>
      <c r="G417" s="13">
        <f t="shared" si="43"/>
        <v>9.0750000000001316E-2</v>
      </c>
    </row>
    <row r="418" spans="2:7" ht="24" thickBot="1" x14ac:dyDescent="0.5">
      <c r="B418" s="7">
        <f t="shared" si="38"/>
        <v>-2.9999999999979508E-2</v>
      </c>
      <c r="C418" s="8">
        <f t="shared" si="39"/>
        <v>1.0300000000000009</v>
      </c>
      <c r="D418" s="9">
        <f t="shared" si="40"/>
        <v>0.12303511693821451</v>
      </c>
      <c r="E418" s="9">
        <f t="shared" si="41"/>
        <v>9.0900000000001299E-2</v>
      </c>
      <c r="F418" s="13">
        <f t="shared" si="42"/>
        <v>0.12303511693821451</v>
      </c>
      <c r="G418" s="13">
        <f t="shared" si="43"/>
        <v>9.0900000000001299E-2</v>
      </c>
    </row>
    <row r="419" spans="2:7" ht="24" thickBot="1" x14ac:dyDescent="0.5">
      <c r="B419" s="7">
        <f t="shared" si="38"/>
        <v>-3.4999999999979506E-2</v>
      </c>
      <c r="C419" s="8">
        <f t="shared" si="39"/>
        <v>1.0350000000000008</v>
      </c>
      <c r="D419" s="9">
        <f t="shared" si="40"/>
        <v>0.12354760216208209</v>
      </c>
      <c r="E419" s="9">
        <f t="shared" si="41"/>
        <v>9.1050000000001297E-2</v>
      </c>
      <c r="F419" s="13">
        <f t="shared" si="42"/>
        <v>0.12354760216208209</v>
      </c>
      <c r="G419" s="13">
        <f t="shared" si="43"/>
        <v>9.1050000000001297E-2</v>
      </c>
    </row>
    <row r="420" spans="2:7" ht="24" thickBot="1" x14ac:dyDescent="0.5">
      <c r="B420" s="7">
        <f t="shared" si="38"/>
        <v>-3.9999999999979503E-2</v>
      </c>
      <c r="C420" s="8">
        <f t="shared" si="39"/>
        <v>1.0400000000000007</v>
      </c>
      <c r="D420" s="9">
        <f t="shared" si="40"/>
        <v>0.12406192002383369</v>
      </c>
      <c r="E420" s="9">
        <f t="shared" si="41"/>
        <v>9.1200000000001294E-2</v>
      </c>
      <c r="F420" s="13">
        <f t="shared" si="42"/>
        <v>0.12406192002383369</v>
      </c>
      <c r="G420" s="13">
        <f t="shared" si="43"/>
        <v>9.1200000000001294E-2</v>
      </c>
    </row>
    <row r="421" spans="2:7" ht="24" thickBot="1" x14ac:dyDescent="0.5">
      <c r="B421" s="7">
        <f t="shared" si="38"/>
        <v>-4.4999999999979501E-2</v>
      </c>
      <c r="C421" s="8">
        <f t="shared" si="39"/>
        <v>1.0450000000000006</v>
      </c>
      <c r="D421" s="9">
        <f t="shared" si="40"/>
        <v>0.12457804782544997</v>
      </c>
      <c r="E421" s="9">
        <f t="shared" si="41"/>
        <v>9.1350000000001277E-2</v>
      </c>
      <c r="F421" s="13">
        <f t="shared" si="42"/>
        <v>0.12457804782544997</v>
      </c>
      <c r="G421" s="13">
        <f t="shared" si="43"/>
        <v>9.1350000000001277E-2</v>
      </c>
    </row>
    <row r="422" spans="2:7" ht="24" thickBot="1" x14ac:dyDescent="0.5">
      <c r="B422" s="7">
        <f t="shared" si="38"/>
        <v>-4.9999999999979498E-2</v>
      </c>
      <c r="C422" s="8">
        <f t="shared" si="39"/>
        <v>1.0500000000000005</v>
      </c>
      <c r="D422" s="9">
        <f t="shared" si="40"/>
        <v>0.12509596316428478</v>
      </c>
      <c r="E422" s="9">
        <f t="shared" si="41"/>
        <v>9.1500000000001275E-2</v>
      </c>
      <c r="F422" s="13">
        <f t="shared" si="42"/>
        <v>0.12509596316428478</v>
      </c>
      <c r="G422" s="13">
        <f t="shared" si="43"/>
        <v>9.1500000000001275E-2</v>
      </c>
    </row>
    <row r="423" spans="2:7" ht="24" thickBot="1" x14ac:dyDescent="0.5">
      <c r="B423" s="7">
        <f t="shared" si="38"/>
        <v>-5.4999999999979496E-2</v>
      </c>
      <c r="C423" s="8">
        <f t="shared" si="39"/>
        <v>1.0550000000000004</v>
      </c>
      <c r="D423" s="9">
        <f t="shared" si="40"/>
        <v>0.12561564393020516</v>
      </c>
      <c r="E423" s="9">
        <f t="shared" si="41"/>
        <v>9.1650000000001258E-2</v>
      </c>
      <c r="F423" s="13">
        <f t="shared" si="42"/>
        <v>0.12561564393020516</v>
      </c>
      <c r="G423" s="13">
        <f t="shared" si="43"/>
        <v>9.1650000000001258E-2</v>
      </c>
    </row>
    <row r="424" spans="2:7" ht="24" thickBot="1" x14ac:dyDescent="0.5">
      <c r="B424" s="7">
        <f t="shared" si="38"/>
        <v>-5.9999999999979493E-2</v>
      </c>
      <c r="C424" s="8">
        <f t="shared" si="39"/>
        <v>1.0600000000000003</v>
      </c>
      <c r="D424" s="9">
        <f t="shared" si="40"/>
        <v>0.12613706830270033</v>
      </c>
      <c r="E424" s="9">
        <f t="shared" si="41"/>
        <v>9.1800000000001256E-2</v>
      </c>
      <c r="F424" s="13">
        <f t="shared" si="42"/>
        <v>0.12613706830270033</v>
      </c>
      <c r="G424" s="13">
        <f t="shared" si="43"/>
        <v>9.1800000000001256E-2</v>
      </c>
    </row>
    <row r="425" spans="2:7" ht="24" thickBot="1" x14ac:dyDescent="0.5">
      <c r="B425" s="7">
        <f t="shared" si="38"/>
        <v>-6.4999999999979491E-2</v>
      </c>
      <c r="C425" s="8">
        <f t="shared" si="39"/>
        <v>1.0650000000000002</v>
      </c>
      <c r="D425" s="9">
        <f t="shared" si="40"/>
        <v>0.12666021474796291</v>
      </c>
      <c r="E425" s="9">
        <f t="shared" si="41"/>
        <v>9.1950000000001253E-2</v>
      </c>
      <c r="F425" s="13">
        <f t="shared" si="42"/>
        <v>0.12666021474796291</v>
      </c>
      <c r="G425" s="13">
        <f t="shared" si="43"/>
        <v>9.1950000000001253E-2</v>
      </c>
    </row>
    <row r="426" spans="2:7" ht="24" thickBot="1" x14ac:dyDescent="0.5">
      <c r="B426" s="7">
        <f t="shared" si="38"/>
        <v>-6.9999999999979495E-2</v>
      </c>
      <c r="C426" s="8">
        <f t="shared" si="39"/>
        <v>1.07</v>
      </c>
      <c r="D426" s="9">
        <f t="shared" si="40"/>
        <v>0.1271850620159462</v>
      </c>
      <c r="E426" s="9">
        <f t="shared" si="41"/>
        <v>9.2100000000001223E-2</v>
      </c>
      <c r="F426" s="13">
        <f t="shared" si="42"/>
        <v>0.1271850620159462</v>
      </c>
      <c r="G426" s="13">
        <f t="shared" si="43"/>
        <v>9.2100000000001223E-2</v>
      </c>
    </row>
    <row r="427" spans="2:7" ht="24" thickBot="1" x14ac:dyDescent="0.5">
      <c r="B427" s="7">
        <f t="shared" si="38"/>
        <v>-7.49999999999795E-2</v>
      </c>
      <c r="C427" s="8">
        <f t="shared" si="39"/>
        <v>1.075</v>
      </c>
      <c r="D427" s="9">
        <f t="shared" si="40"/>
        <v>0.12771158913740002</v>
      </c>
      <c r="E427" s="9">
        <f t="shared" si="41"/>
        <v>9.225000000000122E-2</v>
      </c>
      <c r="F427" s="13">
        <f t="shared" si="42"/>
        <v>0.12771158913740002</v>
      </c>
      <c r="G427" s="13">
        <f t="shared" si="43"/>
        <v>9.225000000000122E-2</v>
      </c>
    </row>
    <row r="428" spans="2:7" ht="24" thickBot="1" x14ac:dyDescent="0.5">
      <c r="B428" s="7">
        <f t="shared" si="38"/>
        <v>-7.9999999999979504E-2</v>
      </c>
      <c r="C428" s="8">
        <f t="shared" si="39"/>
        <v>1.0799999999999998</v>
      </c>
      <c r="D428" s="9">
        <f t="shared" si="40"/>
        <v>0.12823977542088907</v>
      </c>
      <c r="E428" s="9">
        <f t="shared" si="41"/>
        <v>9.2400000000001217E-2</v>
      </c>
      <c r="F428" s="13">
        <f t="shared" si="42"/>
        <v>0.12823977542088907</v>
      </c>
      <c r="G428" s="13">
        <f t="shared" si="43"/>
        <v>9.2400000000001217E-2</v>
      </c>
    </row>
    <row r="429" spans="2:7" ht="24" thickBot="1" x14ac:dyDescent="0.5">
      <c r="B429" s="7">
        <f t="shared" si="38"/>
        <v>-8.4999999999979509E-2</v>
      </c>
      <c r="C429" s="8">
        <f t="shared" si="39"/>
        <v>1.0849999999999997</v>
      </c>
      <c r="D429" s="9">
        <f t="shared" si="40"/>
        <v>0.12876960044979585</v>
      </c>
      <c r="E429" s="9">
        <f t="shared" si="41"/>
        <v>9.2550000000001201E-2</v>
      </c>
      <c r="F429" s="13">
        <f t="shared" si="42"/>
        <v>0.12876960044979585</v>
      </c>
      <c r="G429" s="13">
        <f t="shared" si="43"/>
        <v>9.2550000000001201E-2</v>
      </c>
    </row>
    <row r="430" spans="2:7" ht="24" thickBot="1" x14ac:dyDescent="0.5">
      <c r="B430" s="7">
        <f t="shared" si="38"/>
        <v>-8.9999999999979513E-2</v>
      </c>
      <c r="C430" s="8">
        <f t="shared" si="39"/>
        <v>1.0899999999999996</v>
      </c>
      <c r="D430" s="9">
        <f t="shared" si="40"/>
        <v>0.12930104407931151</v>
      </c>
      <c r="E430" s="9">
        <f t="shared" si="41"/>
        <v>9.2700000000001198E-2</v>
      </c>
      <c r="F430" s="13">
        <f t="shared" si="42"/>
        <v>0.12930104407931151</v>
      </c>
      <c r="G430" s="13">
        <f t="shared" si="43"/>
        <v>9.2700000000001198E-2</v>
      </c>
    </row>
    <row r="431" spans="2:7" ht="24" thickBot="1" x14ac:dyDescent="0.5">
      <c r="B431" s="7">
        <f t="shared" si="38"/>
        <v>-9.4999999999979517E-2</v>
      </c>
      <c r="C431" s="8">
        <f t="shared" si="39"/>
        <v>1.0949999999999995</v>
      </c>
      <c r="D431" s="9">
        <f t="shared" si="40"/>
        <v>0.12983408643341721</v>
      </c>
      <c r="E431" s="9">
        <f t="shared" si="41"/>
        <v>9.2850000000001182E-2</v>
      </c>
      <c r="F431" s="13">
        <f t="shared" si="42"/>
        <v>0.12983408643341721</v>
      </c>
      <c r="G431" s="13">
        <f t="shared" si="43"/>
        <v>9.2850000000001182E-2</v>
      </c>
    </row>
    <row r="432" spans="2:7" ht="24" thickBot="1" x14ac:dyDescent="0.5">
      <c r="B432" s="7">
        <f t="shared" si="38"/>
        <v>-9.9999999999979522E-2</v>
      </c>
      <c r="C432" s="8">
        <f t="shared" si="39"/>
        <v>1.0999999999999994</v>
      </c>
      <c r="D432" s="9">
        <f t="shared" si="40"/>
        <v>0.13036870790185828</v>
      </c>
      <c r="E432" s="9">
        <f t="shared" si="41"/>
        <v>9.3000000000001179E-2</v>
      </c>
      <c r="F432" s="13">
        <f t="shared" si="42"/>
        <v>0.13036870790185828</v>
      </c>
      <c r="G432" s="13">
        <f t="shared" si="43"/>
        <v>9.3000000000001179E-2</v>
      </c>
    </row>
    <row r="433" spans="2:7" ht="24" thickBot="1" x14ac:dyDescent="0.5">
      <c r="B433" s="7">
        <f t="shared" si="38"/>
        <v>-0.10499999999997953</v>
      </c>
      <c r="C433" s="8">
        <f t="shared" si="39"/>
        <v>1.1049999999999993</v>
      </c>
      <c r="D433" s="9">
        <f t="shared" si="40"/>
        <v>0.13090488913711376</v>
      </c>
      <c r="E433" s="9">
        <f t="shared" si="41"/>
        <v>9.3150000000001176E-2</v>
      </c>
      <c r="F433" s="13">
        <f t="shared" si="42"/>
        <v>0.13090488913711376</v>
      </c>
      <c r="G433" s="13">
        <f t="shared" si="43"/>
        <v>9.3150000000001176E-2</v>
      </c>
    </row>
    <row r="434" spans="2:7" ht="24" thickBot="1" x14ac:dyDescent="0.5">
      <c r="B434" s="7">
        <f t="shared" si="38"/>
        <v>-0.10999999999997953</v>
      </c>
      <c r="C434" s="8">
        <f t="shared" si="39"/>
        <v>1.1099999999999992</v>
      </c>
      <c r="D434" s="9">
        <f t="shared" si="40"/>
        <v>0.13144261105136354</v>
      </c>
      <c r="E434" s="9">
        <f t="shared" si="41"/>
        <v>9.3300000000001146E-2</v>
      </c>
      <c r="F434" s="13">
        <f t="shared" si="42"/>
        <v>0.13144261105136354</v>
      </c>
      <c r="G434" s="13">
        <f t="shared" si="43"/>
        <v>9.3300000000001146E-2</v>
      </c>
    </row>
    <row r="435" spans="2:7" ht="24" thickBot="1" x14ac:dyDescent="0.5">
      <c r="B435" s="7">
        <f t="shared" si="38"/>
        <v>-0.11499999999997954</v>
      </c>
      <c r="C435" s="8">
        <f t="shared" si="39"/>
        <v>1.1149999999999991</v>
      </c>
      <c r="D435" s="9">
        <f t="shared" si="40"/>
        <v>0.13198185481345545</v>
      </c>
      <c r="E435" s="9">
        <f t="shared" si="41"/>
        <v>9.3450000000001143E-2</v>
      </c>
      <c r="F435" s="13">
        <f t="shared" si="42"/>
        <v>0.13198185481345545</v>
      </c>
      <c r="G435" s="13">
        <f t="shared" si="43"/>
        <v>9.3450000000001143E-2</v>
      </c>
    </row>
    <row r="436" spans="2:7" ht="24" thickBot="1" x14ac:dyDescent="0.5">
      <c r="B436" s="7">
        <f t="shared" si="38"/>
        <v>-0.11999999999997954</v>
      </c>
      <c r="C436" s="8">
        <f t="shared" si="39"/>
        <v>1.119999999999999</v>
      </c>
      <c r="D436" s="9">
        <f t="shared" si="40"/>
        <v>0.13252260184587392</v>
      </c>
      <c r="E436" s="9">
        <f t="shared" si="41"/>
        <v>9.3600000000001127E-2</v>
      </c>
      <c r="F436" s="13">
        <f t="shared" si="42"/>
        <v>0.13252260184587392</v>
      </c>
      <c r="G436" s="13">
        <f t="shared" si="43"/>
        <v>9.3600000000001127E-2</v>
      </c>
    </row>
    <row r="437" spans="2:7" ht="24" thickBot="1" x14ac:dyDescent="0.5">
      <c r="B437" s="7">
        <f t="shared" si="38"/>
        <v>-0.12499999999997954</v>
      </c>
      <c r="C437" s="8">
        <f t="shared" si="39"/>
        <v>1.1249999999999989</v>
      </c>
      <c r="D437" s="9">
        <f t="shared" si="40"/>
        <v>0.13306483382171272</v>
      </c>
      <c r="E437" s="9">
        <f t="shared" si="41"/>
        <v>9.3750000000001124E-2</v>
      </c>
      <c r="F437" s="13">
        <f t="shared" si="42"/>
        <v>0.13306483382171272</v>
      </c>
      <c r="G437" s="13">
        <f t="shared" si="43"/>
        <v>9.3750000000001124E-2</v>
      </c>
    </row>
    <row r="438" spans="2:7" ht="24" thickBot="1" x14ac:dyDescent="0.5">
      <c r="B438" s="7">
        <f t="shared" si="38"/>
        <v>-0.12999999999997955</v>
      </c>
      <c r="C438" s="8">
        <f t="shared" si="39"/>
        <v>1.1299999999999988</v>
      </c>
      <c r="D438" s="9">
        <f t="shared" si="40"/>
        <v>0.13360853266165307</v>
      </c>
      <c r="E438" s="9">
        <f t="shared" si="41"/>
        <v>9.3900000000001121E-2</v>
      </c>
      <c r="F438" s="13">
        <f t="shared" si="42"/>
        <v>0.13360853266165307</v>
      </c>
      <c r="G438" s="13">
        <f t="shared" si="43"/>
        <v>9.3900000000001121E-2</v>
      </c>
    </row>
    <row r="439" spans="2:7" ht="24" thickBot="1" x14ac:dyDescent="0.5">
      <c r="B439" s="7">
        <f t="shared" si="38"/>
        <v>-0.13499999999997955</v>
      </c>
      <c r="C439" s="8">
        <f t="shared" si="39"/>
        <v>1.1349999999999987</v>
      </c>
      <c r="D439" s="9">
        <f t="shared" si="40"/>
        <v>0.13415368053094934</v>
      </c>
      <c r="E439" s="9">
        <f t="shared" si="41"/>
        <v>9.4050000000001105E-2</v>
      </c>
      <c r="F439" s="13">
        <f t="shared" si="42"/>
        <v>0.13415368053094934</v>
      </c>
      <c r="G439" s="13">
        <f t="shared" si="43"/>
        <v>9.4050000000001105E-2</v>
      </c>
    </row>
    <row r="440" spans="2:7" ht="24" thickBot="1" x14ac:dyDescent="0.5">
      <c r="B440" s="7">
        <f t="shared" si="38"/>
        <v>-0.13999999999997956</v>
      </c>
      <c r="C440" s="8">
        <f t="shared" si="39"/>
        <v>1.1399999999999986</v>
      </c>
      <c r="D440" s="9">
        <f t="shared" si="40"/>
        <v>0.1347002598364235</v>
      </c>
      <c r="E440" s="9">
        <f t="shared" si="41"/>
        <v>9.4200000000001102E-2</v>
      </c>
      <c r="F440" s="13">
        <f t="shared" si="42"/>
        <v>0.1347002598364235</v>
      </c>
      <c r="G440" s="13">
        <f t="shared" si="43"/>
        <v>9.4200000000001102E-2</v>
      </c>
    </row>
    <row r="441" spans="2:7" ht="24" thickBot="1" x14ac:dyDescent="0.5">
      <c r="B441" s="7">
        <f t="shared" si="38"/>
        <v>-0.14499999999997956</v>
      </c>
      <c r="C441" s="8">
        <f t="shared" si="39"/>
        <v>1.1449999999999985</v>
      </c>
      <c r="D441" s="9">
        <f t="shared" si="40"/>
        <v>0.13524825322347053</v>
      </c>
      <c r="E441" s="9">
        <f t="shared" si="41"/>
        <v>9.4350000000001086E-2</v>
      </c>
      <c r="F441" s="13">
        <f t="shared" si="42"/>
        <v>0.13524825322347053</v>
      </c>
      <c r="G441" s="13">
        <f t="shared" si="43"/>
        <v>9.4350000000001086E-2</v>
      </c>
    </row>
    <row r="442" spans="2:7" ht="24" thickBot="1" x14ac:dyDescent="0.5">
      <c r="B442" s="7">
        <f t="shared" si="38"/>
        <v>-0.14999999999997957</v>
      </c>
      <c r="C442" s="8">
        <f t="shared" si="39"/>
        <v>1.1499999999999984</v>
      </c>
      <c r="D442" s="9">
        <f t="shared" si="40"/>
        <v>0.13579764357307531</v>
      </c>
      <c r="E442" s="9">
        <f t="shared" si="41"/>
        <v>9.4500000000001069E-2</v>
      </c>
      <c r="F442" s="13">
        <f t="shared" si="42"/>
        <v>0.13579764357307531</v>
      </c>
      <c r="G442" s="13">
        <f t="shared" si="43"/>
        <v>9.4500000000001069E-2</v>
      </c>
    </row>
    <row r="443" spans="2:7" ht="24" thickBot="1" x14ac:dyDescent="0.5">
      <c r="B443" s="7">
        <f t="shared" si="38"/>
        <v>-0.15499999999997957</v>
      </c>
      <c r="C443" s="8">
        <f t="shared" si="39"/>
        <v>1.1549999999999983</v>
      </c>
      <c r="D443" s="9">
        <f t="shared" si="40"/>
        <v>0.1363484139988434</v>
      </c>
      <c r="E443" s="9">
        <f t="shared" si="41"/>
        <v>9.4650000000001067E-2</v>
      </c>
      <c r="F443" s="13">
        <f t="shared" si="42"/>
        <v>0.1363484139988434</v>
      </c>
      <c r="G443" s="13">
        <f t="shared" si="43"/>
        <v>9.4650000000001067E-2</v>
      </c>
    </row>
    <row r="444" spans="2:7" ht="24" thickBot="1" x14ac:dyDescent="0.5">
      <c r="B444" s="7">
        <f t="shared" si="38"/>
        <v>-0.15999999999997958</v>
      </c>
      <c r="C444" s="8">
        <f t="shared" si="39"/>
        <v>1.1599999999999981</v>
      </c>
      <c r="D444" s="9">
        <f t="shared" si="40"/>
        <v>0.13690054784404621</v>
      </c>
      <c r="E444" s="9">
        <f t="shared" si="41"/>
        <v>9.480000000000105E-2</v>
      </c>
      <c r="F444" s="13">
        <f t="shared" si="42"/>
        <v>0.13690054784404621</v>
      </c>
      <c r="G444" s="13">
        <f t="shared" si="43"/>
        <v>9.480000000000105E-2</v>
      </c>
    </row>
    <row r="445" spans="2:7" ht="24" thickBot="1" x14ac:dyDescent="0.5">
      <c r="B445" s="7">
        <f t="shared" si="38"/>
        <v>-0.16499999999997958</v>
      </c>
      <c r="C445" s="8">
        <f t="shared" si="39"/>
        <v>1.164999999999998</v>
      </c>
      <c r="D445" s="9">
        <f t="shared" si="40"/>
        <v>0.13745402867868217</v>
      </c>
      <c r="E445" s="9">
        <f t="shared" si="41"/>
        <v>9.4950000000001047E-2</v>
      </c>
      <c r="F445" s="13">
        <f t="shared" si="42"/>
        <v>0.13745402867868217</v>
      </c>
      <c r="G445" s="13">
        <f t="shared" si="43"/>
        <v>9.4950000000001047E-2</v>
      </c>
    </row>
    <row r="446" spans="2:7" ht="24" thickBot="1" x14ac:dyDescent="0.5">
      <c r="B446" s="7">
        <f t="shared" si="38"/>
        <v>-0.16999999999997958</v>
      </c>
      <c r="C446" s="8">
        <f t="shared" si="39"/>
        <v>1.1699999999999979</v>
      </c>
      <c r="D446" s="9">
        <f t="shared" si="40"/>
        <v>0.13800884029655483</v>
      </c>
      <c r="E446" s="9">
        <f t="shared" si="41"/>
        <v>9.5100000000001031E-2</v>
      </c>
      <c r="F446" s="13">
        <f t="shared" si="42"/>
        <v>0.13800884029655483</v>
      </c>
      <c r="G446" s="13">
        <f t="shared" si="43"/>
        <v>9.5100000000001031E-2</v>
      </c>
    </row>
    <row r="447" spans="2:7" ht="24" thickBot="1" x14ac:dyDescent="0.5">
      <c r="B447" s="7">
        <f t="shared" si="38"/>
        <v>-0.17499999999997959</v>
      </c>
      <c r="C447" s="8">
        <f t="shared" si="39"/>
        <v>1.1749999999999978</v>
      </c>
      <c r="D447" s="9">
        <f t="shared" si="40"/>
        <v>0.13856496671236915</v>
      </c>
      <c r="E447" s="9">
        <f t="shared" si="41"/>
        <v>9.5250000000001028E-2</v>
      </c>
      <c r="F447" s="13">
        <f t="shared" si="42"/>
        <v>0.13856496671236915</v>
      </c>
      <c r="G447" s="13">
        <f t="shared" si="43"/>
        <v>9.5250000000001028E-2</v>
      </c>
    </row>
    <row r="448" spans="2:7" ht="24" thickBot="1" x14ac:dyDescent="0.5">
      <c r="B448" s="7">
        <f t="shared" si="38"/>
        <v>-0.17999999999997959</v>
      </c>
      <c r="C448" s="8">
        <f t="shared" si="39"/>
        <v>1.1799999999999977</v>
      </c>
      <c r="D448" s="9">
        <f t="shared" si="40"/>
        <v>0.13912239215884684</v>
      </c>
      <c r="E448" s="9">
        <f t="shared" si="41"/>
        <v>9.5400000000001012E-2</v>
      </c>
      <c r="F448" s="13">
        <f t="shared" si="42"/>
        <v>0.13912239215884684</v>
      </c>
      <c r="G448" s="13">
        <f t="shared" si="43"/>
        <v>9.5400000000001012E-2</v>
      </c>
    </row>
    <row r="449" spans="2:7" ht="24" thickBot="1" x14ac:dyDescent="0.5">
      <c r="B449" s="7">
        <f t="shared" si="38"/>
        <v>-0.1849999999999796</v>
      </c>
      <c r="C449" s="8">
        <f t="shared" si="39"/>
        <v>1.1849999999999976</v>
      </c>
      <c r="D449" s="9">
        <f t="shared" si="40"/>
        <v>0.13968110108386159</v>
      </c>
      <c r="E449" s="9">
        <f t="shared" si="41"/>
        <v>9.5550000000001009E-2</v>
      </c>
      <c r="F449" s="13">
        <f t="shared" si="42"/>
        <v>0.13968110108386159</v>
      </c>
      <c r="G449" s="13">
        <f t="shared" si="43"/>
        <v>9.5550000000001009E-2</v>
      </c>
    </row>
    <row r="450" spans="2:7" ht="24" thickBot="1" x14ac:dyDescent="0.5">
      <c r="B450" s="7">
        <f t="shared" si="38"/>
        <v>-0.1899999999999796</v>
      </c>
      <c r="C450" s="8">
        <f t="shared" si="39"/>
        <v>1.1899999999999975</v>
      </c>
      <c r="D450" s="9">
        <f t="shared" si="40"/>
        <v>0.1402410781475954</v>
      </c>
      <c r="E450" s="9">
        <f t="shared" si="41"/>
        <v>9.5700000000000993E-2</v>
      </c>
      <c r="F450" s="13">
        <f t="shared" si="42"/>
        <v>0.1402410781475954</v>
      </c>
      <c r="G450" s="13">
        <f t="shared" si="43"/>
        <v>9.5700000000000993E-2</v>
      </c>
    </row>
    <row r="451" spans="2:7" ht="24" thickBot="1" x14ac:dyDescent="0.5">
      <c r="B451" s="7">
        <f t="shared" si="38"/>
        <v>-0.19499999999997961</v>
      </c>
      <c r="C451" s="8">
        <f t="shared" si="39"/>
        <v>1.1949999999999974</v>
      </c>
      <c r="D451" s="9">
        <f t="shared" si="40"/>
        <v>0.14080230821971618</v>
      </c>
      <c r="E451" s="9">
        <f t="shared" si="41"/>
        <v>9.5850000000000976E-2</v>
      </c>
      <c r="F451" s="13">
        <f t="shared" si="42"/>
        <v>0.14080230821971618</v>
      </c>
      <c r="G451" s="13">
        <f t="shared" si="43"/>
        <v>9.5850000000000976E-2</v>
      </c>
    </row>
    <row r="452" spans="2:7" ht="24" thickBot="1" x14ac:dyDescent="0.5">
      <c r="B452" s="7">
        <f t="shared" si="38"/>
        <v>-0.19999999999997961</v>
      </c>
      <c r="C452" s="8">
        <f t="shared" si="39"/>
        <v>1.1999999999999973</v>
      </c>
      <c r="D452" s="9">
        <f t="shared" si="40"/>
        <v>0.14136477637657816</v>
      </c>
      <c r="E452" s="9">
        <f t="shared" si="41"/>
        <v>9.6000000000000973E-2</v>
      </c>
      <c r="F452" s="13">
        <f t="shared" si="42"/>
        <v>0.14136477637657816</v>
      </c>
      <c r="G452" s="13">
        <f t="shared" si="43"/>
        <v>9.6000000000000973E-2</v>
      </c>
    </row>
    <row r="453" spans="2:7" ht="24" thickBot="1" x14ac:dyDescent="0.5">
      <c r="B453" s="7">
        <f t="shared" si="38"/>
        <v>-0.20499999999997962</v>
      </c>
      <c r="C453" s="8">
        <f t="shared" si="39"/>
        <v>1.2049999999999972</v>
      </c>
      <c r="D453" s="9">
        <f t="shared" si="40"/>
        <v>0.14192846789844502</v>
      </c>
      <c r="E453" s="9">
        <f t="shared" si="41"/>
        <v>9.6150000000000957E-2</v>
      </c>
      <c r="F453" s="13">
        <f t="shared" si="42"/>
        <v>0.14192846789844502</v>
      </c>
      <c r="G453" s="13">
        <f t="shared" si="43"/>
        <v>9.6150000000000957E-2</v>
      </c>
    </row>
    <row r="454" spans="2:7" ht="24" thickBot="1" x14ac:dyDescent="0.5">
      <c r="B454" s="7">
        <f t="shared" si="38"/>
        <v>-0.20999999999997962</v>
      </c>
      <c r="C454" s="8">
        <f t="shared" si="39"/>
        <v>1.2099999999999971</v>
      </c>
      <c r="D454" s="9">
        <f t="shared" si="40"/>
        <v>0.142493368266737</v>
      </c>
      <c r="E454" s="9">
        <f t="shared" si="41"/>
        <v>9.6300000000000954E-2</v>
      </c>
      <c r="F454" s="13">
        <f t="shared" si="42"/>
        <v>0.142493368266737</v>
      </c>
      <c r="G454" s="13">
        <f t="shared" si="43"/>
        <v>9.6300000000000954E-2</v>
      </c>
    </row>
    <row r="455" spans="2:7" ht="24" thickBot="1" x14ac:dyDescent="0.5">
      <c r="B455" s="7">
        <f t="shared" si="38"/>
        <v>-0.21499999999997962</v>
      </c>
      <c r="C455" s="8">
        <f t="shared" si="39"/>
        <v>1.214999999999997</v>
      </c>
      <c r="D455" s="9">
        <f t="shared" si="40"/>
        <v>0.14305946316130203</v>
      </c>
      <c r="E455" s="9">
        <f t="shared" si="41"/>
        <v>9.6450000000000952E-2</v>
      </c>
      <c r="F455" s="13">
        <f t="shared" si="42"/>
        <v>0.14305946316130203</v>
      </c>
      <c r="G455" s="13">
        <f t="shared" si="43"/>
        <v>9.6450000000000952E-2</v>
      </c>
    </row>
    <row r="456" spans="2:7" ht="24" thickBot="1" x14ac:dyDescent="0.5">
      <c r="B456" s="7">
        <f t="shared" si="38"/>
        <v>-0.21999999999997963</v>
      </c>
      <c r="C456" s="8">
        <f t="shared" si="39"/>
        <v>1.2199999999999969</v>
      </c>
      <c r="D456" s="9">
        <f t="shared" si="40"/>
        <v>0.14362673845771171</v>
      </c>
      <c r="E456" s="9">
        <f t="shared" si="41"/>
        <v>9.6600000000000935E-2</v>
      </c>
      <c r="F456" s="13">
        <f t="shared" si="42"/>
        <v>0.14362673845771171</v>
      </c>
      <c r="G456" s="13">
        <f t="shared" si="43"/>
        <v>9.6600000000000935E-2</v>
      </c>
    </row>
    <row r="457" spans="2:7" ht="24" thickBot="1" x14ac:dyDescent="0.5">
      <c r="B457" s="7">
        <f t="shared" si="38"/>
        <v>-0.22499999999997963</v>
      </c>
      <c r="C457" s="8">
        <f t="shared" si="39"/>
        <v>1.2249999999999968</v>
      </c>
      <c r="D457" s="9">
        <f t="shared" si="40"/>
        <v>0.1441951802245828</v>
      </c>
      <c r="E457" s="9">
        <f t="shared" si="41"/>
        <v>9.6750000000000932E-2</v>
      </c>
      <c r="F457" s="13">
        <f t="shared" si="42"/>
        <v>0.1441951802245828</v>
      </c>
      <c r="G457" s="13">
        <f t="shared" si="43"/>
        <v>9.6750000000000932E-2</v>
      </c>
    </row>
    <row r="458" spans="2:7" ht="24" thickBot="1" x14ac:dyDescent="0.5">
      <c r="B458" s="7">
        <f t="shared" si="38"/>
        <v>-0.22999999999997964</v>
      </c>
      <c r="C458" s="8">
        <f t="shared" si="39"/>
        <v>1.2299999999999967</v>
      </c>
      <c r="D458" s="9">
        <f t="shared" si="40"/>
        <v>0.14476477472092411</v>
      </c>
      <c r="E458" s="9">
        <f t="shared" si="41"/>
        <v>9.690000000000093E-2</v>
      </c>
      <c r="F458" s="13">
        <f t="shared" si="42"/>
        <v>0.14476477472092411</v>
      </c>
      <c r="G458" s="13">
        <f t="shared" si="43"/>
        <v>9.690000000000093E-2</v>
      </c>
    </row>
    <row r="459" spans="2:7" ht="24" thickBot="1" x14ac:dyDescent="0.5">
      <c r="B459" s="7">
        <f t="shared" si="38"/>
        <v>-0.23499999999997964</v>
      </c>
      <c r="C459" s="8">
        <f t="shared" si="39"/>
        <v>1.2349999999999965</v>
      </c>
      <c r="D459" s="9">
        <f t="shared" si="40"/>
        <v>0.14533550839350962</v>
      </c>
      <c r="E459" s="9">
        <f t="shared" si="41"/>
        <v>9.7050000000000899E-2</v>
      </c>
      <c r="F459" s="13">
        <f t="shared" si="42"/>
        <v>0.14533550839350962</v>
      </c>
      <c r="G459" s="13">
        <f t="shared" si="43"/>
        <v>9.7050000000000899E-2</v>
      </c>
    </row>
    <row r="460" spans="2:7" ht="24" thickBot="1" x14ac:dyDescent="0.5">
      <c r="B460" s="7">
        <f t="shared" si="38"/>
        <v>-0.23999999999997965</v>
      </c>
      <c r="C460" s="8">
        <f t="shared" si="39"/>
        <v>1.2399999999999964</v>
      </c>
      <c r="D460" s="9">
        <f t="shared" si="40"/>
        <v>0.14590736787427805</v>
      </c>
      <c r="E460" s="9">
        <f t="shared" si="41"/>
        <v>9.7200000000000897E-2</v>
      </c>
      <c r="F460" s="13">
        <f t="shared" si="42"/>
        <v>0.14590736787427805</v>
      </c>
      <c r="G460" s="13">
        <f t="shared" si="43"/>
        <v>9.7200000000000897E-2</v>
      </c>
    </row>
    <row r="461" spans="2:7" ht="24" thickBot="1" x14ac:dyDescent="0.5">
      <c r="B461" s="7">
        <f t="shared" si="38"/>
        <v>-0.24499999999997965</v>
      </c>
      <c r="C461" s="8">
        <f t="shared" si="39"/>
        <v>1.2449999999999963</v>
      </c>
      <c r="D461" s="9">
        <f t="shared" si="40"/>
        <v>0.14648033997775911</v>
      </c>
      <c r="E461" s="9">
        <f t="shared" si="41"/>
        <v>9.735000000000088E-2</v>
      </c>
      <c r="F461" s="13">
        <f t="shared" si="42"/>
        <v>0.14648033997775911</v>
      </c>
      <c r="G461" s="13">
        <f t="shared" si="43"/>
        <v>9.735000000000088E-2</v>
      </c>
    </row>
    <row r="462" spans="2:7" ht="24" thickBot="1" x14ac:dyDescent="0.5">
      <c r="B462" s="7">
        <f t="shared" ref="B462:B525" si="44">B461-0.5%</f>
        <v>-0.24999999999997966</v>
      </c>
      <c r="C462" s="8">
        <f t="shared" ref="C462:C525" si="45">C461+0.5%</f>
        <v>1.2499999999999962</v>
      </c>
      <c r="D462" s="9">
        <f t="shared" ref="D462:D525" si="46">SQRT(B462^2*$D$4^2+C462^2*$D$5^2+2*C462*B462*$D$4*$D$5*$D$6)</f>
        <v>0.14705441169852707</v>
      </c>
      <c r="E462" s="9">
        <f t="shared" ref="E462:E525" si="47">$F$4*B462+$F$5*C462</f>
        <v>9.7500000000000878E-2</v>
      </c>
      <c r="F462" s="13">
        <f t="shared" ref="F462:F525" si="48">IF(E462&gt;=$I$9,D462,NA())</f>
        <v>0.14705441169852707</v>
      </c>
      <c r="G462" s="13">
        <f t="shared" ref="G462:G525" si="49">IF(E462&gt;=$I$9,E462,NA())</f>
        <v>9.7500000000000878E-2</v>
      </c>
    </row>
    <row r="463" spans="2:7" ht="24" thickBot="1" x14ac:dyDescent="0.5">
      <c r="B463" s="7">
        <f t="shared" si="44"/>
        <v>-0.25499999999997963</v>
      </c>
      <c r="C463" s="8">
        <f t="shared" si="45"/>
        <v>1.2549999999999961</v>
      </c>
      <c r="D463" s="9">
        <f t="shared" si="46"/>
        <v>0.14762957020868103</v>
      </c>
      <c r="E463" s="9">
        <f t="shared" si="47"/>
        <v>9.7650000000000875E-2</v>
      </c>
      <c r="F463" s="13">
        <f t="shared" si="48"/>
        <v>0.14762957020868103</v>
      </c>
      <c r="G463" s="13">
        <f t="shared" si="49"/>
        <v>9.7650000000000875E-2</v>
      </c>
    </row>
    <row r="464" spans="2:7" ht="24" thickBot="1" x14ac:dyDescent="0.5">
      <c r="B464" s="7">
        <f t="shared" si="44"/>
        <v>-0.25999999999997964</v>
      </c>
      <c r="C464" s="8">
        <f t="shared" si="45"/>
        <v>1.259999999999996</v>
      </c>
      <c r="D464" s="9">
        <f t="shared" si="46"/>
        <v>0.1482058028553534</v>
      </c>
      <c r="E464" s="9">
        <f t="shared" si="47"/>
        <v>9.7800000000000858E-2</v>
      </c>
      <c r="F464" s="13">
        <f t="shared" si="48"/>
        <v>0.1482058028553534</v>
      </c>
      <c r="G464" s="13">
        <f t="shared" si="49"/>
        <v>9.7800000000000858E-2</v>
      </c>
    </row>
    <row r="465" spans="2:7" ht="24" thickBot="1" x14ac:dyDescent="0.5">
      <c r="B465" s="7">
        <f t="shared" si="44"/>
        <v>-0.26499999999997964</v>
      </c>
      <c r="C465" s="8">
        <f t="shared" si="45"/>
        <v>1.2649999999999959</v>
      </c>
      <c r="D465" s="9">
        <f t="shared" si="46"/>
        <v>0.14878309715824534</v>
      </c>
      <c r="E465" s="9">
        <f t="shared" si="47"/>
        <v>9.7950000000000856E-2</v>
      </c>
      <c r="F465" s="13">
        <f t="shared" si="48"/>
        <v>0.14878309715824534</v>
      </c>
      <c r="G465" s="13">
        <f t="shared" si="49"/>
        <v>9.7950000000000856E-2</v>
      </c>
    </row>
    <row r="466" spans="2:7" ht="24" thickBot="1" x14ac:dyDescent="0.5">
      <c r="B466" s="7">
        <f t="shared" si="44"/>
        <v>-0.26999999999997965</v>
      </c>
      <c r="C466" s="8">
        <f t="shared" si="45"/>
        <v>1.2699999999999958</v>
      </c>
      <c r="D466" s="9">
        <f t="shared" si="46"/>
        <v>0.14936144080719047</v>
      </c>
      <c r="E466" s="9">
        <f t="shared" si="47"/>
        <v>9.8100000000000853E-2</v>
      </c>
      <c r="F466" s="13">
        <f t="shared" si="48"/>
        <v>0.14936144080719047</v>
      </c>
      <c r="G466" s="13">
        <f t="shared" si="49"/>
        <v>9.8100000000000853E-2</v>
      </c>
    </row>
    <row r="467" spans="2:7" ht="24" thickBot="1" x14ac:dyDescent="0.5">
      <c r="B467" s="7">
        <f t="shared" si="44"/>
        <v>-0.27499999999997965</v>
      </c>
      <c r="C467" s="8">
        <f t="shared" si="45"/>
        <v>1.2749999999999957</v>
      </c>
      <c r="D467" s="9">
        <f t="shared" si="46"/>
        <v>0.14994082165974634</v>
      </c>
      <c r="E467" s="9">
        <f t="shared" si="47"/>
        <v>9.8250000000000823E-2</v>
      </c>
      <c r="F467" s="13">
        <f t="shared" si="48"/>
        <v>0.14994082165974634</v>
      </c>
      <c r="G467" s="13">
        <f t="shared" si="49"/>
        <v>9.8250000000000823E-2</v>
      </c>
    </row>
    <row r="468" spans="2:7" ht="24" thickBot="1" x14ac:dyDescent="0.5">
      <c r="B468" s="7">
        <f t="shared" si="44"/>
        <v>-0.27999999999997965</v>
      </c>
      <c r="C468" s="8">
        <f t="shared" si="45"/>
        <v>1.2799999999999956</v>
      </c>
      <c r="D468" s="9">
        <f t="shared" si="46"/>
        <v>0.15052122773881382</v>
      </c>
      <c r="E468" s="9">
        <f t="shared" si="47"/>
        <v>9.840000000000082E-2</v>
      </c>
      <c r="F468" s="13">
        <f t="shared" si="48"/>
        <v>0.15052122773881382</v>
      </c>
      <c r="G468" s="13">
        <f t="shared" si="49"/>
        <v>9.840000000000082E-2</v>
      </c>
    </row>
    <row r="469" spans="2:7" ht="24" thickBot="1" x14ac:dyDescent="0.5">
      <c r="B469" s="7">
        <f t="shared" si="44"/>
        <v>-0.28499999999997966</v>
      </c>
      <c r="C469" s="8">
        <f t="shared" si="45"/>
        <v>1.2849999999999955</v>
      </c>
      <c r="D469" s="9">
        <f t="shared" si="46"/>
        <v>0.15110264723028466</v>
      </c>
      <c r="E469" s="9">
        <f t="shared" si="47"/>
        <v>9.8550000000000804E-2</v>
      </c>
      <c r="F469" s="13">
        <f t="shared" si="48"/>
        <v>0.15110264723028466</v>
      </c>
      <c r="G469" s="13">
        <f t="shared" si="49"/>
        <v>9.8550000000000804E-2</v>
      </c>
    </row>
    <row r="470" spans="2:7" ht="24" thickBot="1" x14ac:dyDescent="0.5">
      <c r="B470" s="7">
        <f t="shared" si="44"/>
        <v>-0.28999999999997966</v>
      </c>
      <c r="C470" s="8">
        <f t="shared" si="45"/>
        <v>1.2899999999999954</v>
      </c>
      <c r="D470" s="9">
        <f t="shared" si="46"/>
        <v>0.15168506848071711</v>
      </c>
      <c r="E470" s="9">
        <f t="shared" si="47"/>
        <v>9.8700000000000801E-2</v>
      </c>
      <c r="F470" s="13">
        <f t="shared" si="48"/>
        <v>0.15168506848071711</v>
      </c>
      <c r="G470" s="13">
        <f t="shared" si="49"/>
        <v>9.8700000000000801E-2</v>
      </c>
    </row>
    <row r="471" spans="2:7" ht="24" thickBot="1" x14ac:dyDescent="0.5">
      <c r="B471" s="7">
        <f t="shared" si="44"/>
        <v>-0.29499999999997967</v>
      </c>
      <c r="C471" s="8">
        <f t="shared" si="45"/>
        <v>1.2949999999999953</v>
      </c>
      <c r="D471" s="9">
        <f t="shared" si="46"/>
        <v>0.15226847999503981</v>
      </c>
      <c r="E471" s="9">
        <f t="shared" si="47"/>
        <v>9.8850000000000798E-2</v>
      </c>
      <c r="F471" s="13">
        <f t="shared" si="48"/>
        <v>0.15226847999503981</v>
      </c>
      <c r="G471" s="13">
        <f t="shared" si="49"/>
        <v>9.8850000000000798E-2</v>
      </c>
    </row>
    <row r="472" spans="2:7" ht="24" thickBot="1" x14ac:dyDescent="0.5">
      <c r="B472" s="7">
        <f t="shared" si="44"/>
        <v>-0.29999999999997967</v>
      </c>
      <c r="C472" s="8">
        <f t="shared" si="45"/>
        <v>1.2999999999999952</v>
      </c>
      <c r="D472" s="9">
        <f t="shared" si="46"/>
        <v>0.15285287043428342</v>
      </c>
      <c r="E472" s="9">
        <f t="shared" si="47"/>
        <v>9.9000000000000782E-2</v>
      </c>
      <c r="F472" s="13">
        <f t="shared" si="48"/>
        <v>0.15285287043428342</v>
      </c>
      <c r="G472" s="13">
        <f t="shared" si="49"/>
        <v>9.9000000000000782E-2</v>
      </c>
    </row>
    <row r="473" spans="2:7" ht="24" thickBot="1" x14ac:dyDescent="0.5">
      <c r="B473" s="7">
        <f t="shared" si="44"/>
        <v>-0.30499999999997968</v>
      </c>
      <c r="C473" s="8">
        <f t="shared" si="45"/>
        <v>1.3049999999999951</v>
      </c>
      <c r="D473" s="9">
        <f t="shared" si="46"/>
        <v>0.15343822861334075</v>
      </c>
      <c r="E473" s="9">
        <f t="shared" si="47"/>
        <v>9.9150000000000779E-2</v>
      </c>
      <c r="F473" s="13">
        <f t="shared" si="48"/>
        <v>0.15343822861334075</v>
      </c>
      <c r="G473" s="13">
        <f t="shared" si="49"/>
        <v>9.9150000000000779E-2</v>
      </c>
    </row>
    <row r="474" spans="2:7" ht="24" thickBot="1" x14ac:dyDescent="0.5">
      <c r="B474" s="7">
        <f t="shared" si="44"/>
        <v>-0.30999999999997968</v>
      </c>
      <c r="C474" s="8">
        <f t="shared" si="45"/>
        <v>1.3099999999999949</v>
      </c>
      <c r="D474" s="9">
        <f t="shared" si="46"/>
        <v>0.15402454349875483</v>
      </c>
      <c r="E474" s="9">
        <f t="shared" si="47"/>
        <v>9.9300000000000763E-2</v>
      </c>
      <c r="F474" s="13">
        <f t="shared" si="48"/>
        <v>0.15402454349875483</v>
      </c>
      <c r="G474" s="13">
        <f t="shared" si="49"/>
        <v>9.9300000000000763E-2</v>
      </c>
    </row>
    <row r="475" spans="2:7" ht="24" thickBot="1" x14ac:dyDescent="0.5">
      <c r="B475" s="7">
        <f t="shared" si="44"/>
        <v>-0.31499999999997969</v>
      </c>
      <c r="C475" s="8">
        <f t="shared" si="45"/>
        <v>1.3149999999999948</v>
      </c>
      <c r="D475" s="9">
        <f t="shared" si="46"/>
        <v>0.15461180420653467</v>
      </c>
      <c r="E475" s="9">
        <f t="shared" si="47"/>
        <v>9.9450000000000746E-2</v>
      </c>
      <c r="F475" s="13">
        <f t="shared" si="48"/>
        <v>0.15461180420653467</v>
      </c>
      <c r="G475" s="13">
        <f t="shared" si="49"/>
        <v>9.9450000000000746E-2</v>
      </c>
    </row>
    <row r="476" spans="2:7" ht="24" thickBot="1" x14ac:dyDescent="0.5">
      <c r="B476" s="7">
        <f t="shared" si="44"/>
        <v>-0.31999999999997969</v>
      </c>
      <c r="C476" s="8">
        <f t="shared" si="45"/>
        <v>1.3199999999999947</v>
      </c>
      <c r="D476" s="9">
        <f t="shared" si="46"/>
        <v>0.15519999999999937</v>
      </c>
      <c r="E476" s="9">
        <f t="shared" si="47"/>
        <v>9.9600000000000743E-2</v>
      </c>
      <c r="F476" s="13">
        <f t="shared" si="48"/>
        <v>0.15519999999999937</v>
      </c>
      <c r="G476" s="13">
        <f t="shared" si="49"/>
        <v>9.9600000000000743E-2</v>
      </c>
    </row>
    <row r="477" spans="2:7" ht="24" thickBot="1" x14ac:dyDescent="0.5">
      <c r="B477" s="7">
        <f t="shared" si="44"/>
        <v>-0.32499999999997969</v>
      </c>
      <c r="C477" s="8">
        <f t="shared" si="45"/>
        <v>1.3249999999999946</v>
      </c>
      <c r="D477" s="9">
        <f t="shared" si="46"/>
        <v>0.15578912028764974</v>
      </c>
      <c r="E477" s="9">
        <f t="shared" si="47"/>
        <v>9.9750000000000727E-2</v>
      </c>
      <c r="F477" s="13">
        <f t="shared" si="48"/>
        <v>0.15578912028764974</v>
      </c>
      <c r="G477" s="13">
        <f t="shared" si="49"/>
        <v>9.9750000000000727E-2</v>
      </c>
    </row>
    <row r="478" spans="2:7" ht="24" thickBot="1" x14ac:dyDescent="0.5">
      <c r="B478" s="7">
        <f t="shared" si="44"/>
        <v>-0.3299999999999797</v>
      </c>
      <c r="C478" s="8">
        <f t="shared" si="45"/>
        <v>1.3299999999999945</v>
      </c>
      <c r="D478" s="9">
        <f t="shared" si="46"/>
        <v>0.15637915462106769</v>
      </c>
      <c r="E478" s="9">
        <f t="shared" si="47"/>
        <v>9.9900000000000724E-2</v>
      </c>
      <c r="F478" s="13">
        <f t="shared" si="48"/>
        <v>0.15637915462106769</v>
      </c>
      <c r="G478" s="13">
        <f t="shared" si="49"/>
        <v>9.9900000000000724E-2</v>
      </c>
    </row>
    <row r="479" spans="2:7" ht="24" thickBot="1" x14ac:dyDescent="0.5">
      <c r="B479" s="7">
        <f t="shared" si="44"/>
        <v>-0.3349999999999797</v>
      </c>
      <c r="C479" s="8">
        <f t="shared" si="45"/>
        <v>1.3349999999999944</v>
      </c>
      <c r="D479" s="9">
        <f t="shared" si="46"/>
        <v>0.1569700926928432</v>
      </c>
      <c r="E479" s="9">
        <f t="shared" si="47"/>
        <v>0.10005000000000071</v>
      </c>
      <c r="F479" s="13">
        <f t="shared" si="48"/>
        <v>0.1569700926928432</v>
      </c>
      <c r="G479" s="13">
        <f t="shared" si="49"/>
        <v>0.10005000000000071</v>
      </c>
    </row>
    <row r="480" spans="2:7" ht="24" thickBot="1" x14ac:dyDescent="0.5">
      <c r="B480" s="7">
        <f t="shared" si="44"/>
        <v>-0.33999999999997971</v>
      </c>
      <c r="C480" s="8">
        <f t="shared" si="45"/>
        <v>1.3399999999999943</v>
      </c>
      <c r="D480" s="9">
        <f t="shared" si="46"/>
        <v>0.15756192433452881</v>
      </c>
      <c r="E480" s="9">
        <f t="shared" si="47"/>
        <v>0.10020000000000071</v>
      </c>
      <c r="F480" s="13">
        <f t="shared" si="48"/>
        <v>0.15756192433452881</v>
      </c>
      <c r="G480" s="13">
        <f t="shared" si="49"/>
        <v>0.10020000000000071</v>
      </c>
    </row>
    <row r="481" spans="2:7" ht="24" thickBot="1" x14ac:dyDescent="0.5">
      <c r="B481" s="7">
        <f t="shared" si="44"/>
        <v>-0.34499999999997971</v>
      </c>
      <c r="C481" s="8">
        <f t="shared" si="45"/>
        <v>1.3449999999999942</v>
      </c>
      <c r="D481" s="9">
        <f t="shared" si="46"/>
        <v>0.15815463951462119</v>
      </c>
      <c r="E481" s="9">
        <f t="shared" si="47"/>
        <v>0.10035000000000069</v>
      </c>
      <c r="F481" s="13">
        <f t="shared" si="48"/>
        <v>0.15815463951462119</v>
      </c>
      <c r="G481" s="13">
        <f t="shared" si="49"/>
        <v>0.10035000000000069</v>
      </c>
    </row>
    <row r="482" spans="2:7" ht="24" thickBot="1" x14ac:dyDescent="0.5">
      <c r="B482" s="7">
        <f t="shared" si="44"/>
        <v>-0.34999999999997972</v>
      </c>
      <c r="C482" s="8">
        <f t="shared" si="45"/>
        <v>1.3499999999999941</v>
      </c>
      <c r="D482" s="9">
        <f t="shared" si="46"/>
        <v>0.15874822833656999</v>
      </c>
      <c r="E482" s="9">
        <f t="shared" si="47"/>
        <v>0.10050000000000069</v>
      </c>
      <c r="F482" s="13">
        <f t="shared" si="48"/>
        <v>0.15874822833656999</v>
      </c>
      <c r="G482" s="13">
        <f t="shared" si="49"/>
        <v>0.10050000000000069</v>
      </c>
    </row>
    <row r="483" spans="2:7" ht="24" thickBot="1" x14ac:dyDescent="0.5">
      <c r="B483" s="7">
        <f t="shared" si="44"/>
        <v>-0.35499999999997972</v>
      </c>
      <c r="C483" s="8">
        <f t="shared" si="45"/>
        <v>1.354999999999994</v>
      </c>
      <c r="D483" s="9">
        <f t="shared" si="46"/>
        <v>0.15934268103681376</v>
      </c>
      <c r="E483" s="9">
        <f t="shared" si="47"/>
        <v>0.10065000000000067</v>
      </c>
      <c r="F483" s="13">
        <f t="shared" si="48"/>
        <v>0.15934268103681376</v>
      </c>
      <c r="G483" s="13">
        <f t="shared" si="49"/>
        <v>0.10065000000000067</v>
      </c>
    </row>
    <row r="484" spans="2:7" ht="24" thickBot="1" x14ac:dyDescent="0.5">
      <c r="B484" s="7">
        <f t="shared" si="44"/>
        <v>-0.35999999999997973</v>
      </c>
      <c r="C484" s="8">
        <f t="shared" si="45"/>
        <v>1.3599999999999939</v>
      </c>
      <c r="D484" s="9">
        <f t="shared" si="46"/>
        <v>0.15993798798284212</v>
      </c>
      <c r="E484" s="9">
        <f t="shared" si="47"/>
        <v>0.10080000000000065</v>
      </c>
      <c r="F484" s="13">
        <f t="shared" si="48"/>
        <v>0.15993798798284212</v>
      </c>
      <c r="G484" s="13">
        <f t="shared" si="49"/>
        <v>0.10080000000000065</v>
      </c>
    </row>
    <row r="485" spans="2:7" ht="24" thickBot="1" x14ac:dyDescent="0.5">
      <c r="B485" s="7">
        <f t="shared" si="44"/>
        <v>-0.36499999999997973</v>
      </c>
      <c r="C485" s="8">
        <f t="shared" si="45"/>
        <v>1.3649999999999938</v>
      </c>
      <c r="D485" s="9">
        <f t="shared" si="46"/>
        <v>0.16053413967128535</v>
      </c>
      <c r="E485" s="9">
        <f t="shared" si="47"/>
        <v>0.10095000000000065</v>
      </c>
      <c r="F485" s="13">
        <f t="shared" si="48"/>
        <v>0.16053413967128535</v>
      </c>
      <c r="G485" s="13">
        <f t="shared" si="49"/>
        <v>0.10095000000000065</v>
      </c>
    </row>
    <row r="486" spans="2:7" ht="24" thickBot="1" x14ac:dyDescent="0.5">
      <c r="B486" s="7">
        <f t="shared" si="44"/>
        <v>-0.36999999999997973</v>
      </c>
      <c r="C486" s="8">
        <f t="shared" si="45"/>
        <v>1.3699999999999937</v>
      </c>
      <c r="D486" s="9">
        <f t="shared" si="46"/>
        <v>0.16113112672602939</v>
      </c>
      <c r="E486" s="9">
        <f t="shared" si="47"/>
        <v>0.10110000000000063</v>
      </c>
      <c r="F486" s="13">
        <f t="shared" si="48"/>
        <v>0.16113112672602939</v>
      </c>
      <c r="G486" s="13">
        <f t="shared" si="49"/>
        <v>0.10110000000000063</v>
      </c>
    </row>
    <row r="487" spans="2:7" ht="24" thickBot="1" x14ac:dyDescent="0.5">
      <c r="B487" s="7">
        <f t="shared" si="44"/>
        <v>-0.37499999999997974</v>
      </c>
      <c r="C487" s="8">
        <f t="shared" si="45"/>
        <v>1.3749999999999936</v>
      </c>
      <c r="D487" s="9">
        <f t="shared" si="46"/>
        <v>0.16172893989635787</v>
      </c>
      <c r="E487" s="9">
        <f t="shared" si="47"/>
        <v>0.10125000000000063</v>
      </c>
      <c r="F487" s="13">
        <f t="shared" si="48"/>
        <v>0.16172893989635787</v>
      </c>
      <c r="G487" s="13">
        <f t="shared" si="49"/>
        <v>0.10125000000000063</v>
      </c>
    </row>
    <row r="488" spans="2:7" ht="24" thickBot="1" x14ac:dyDescent="0.5">
      <c r="B488" s="7">
        <f t="shared" si="44"/>
        <v>-0.37999999999997974</v>
      </c>
      <c r="C488" s="8">
        <f t="shared" si="45"/>
        <v>1.3799999999999935</v>
      </c>
      <c r="D488" s="9">
        <f t="shared" si="46"/>
        <v>0.1623275700551195</v>
      </c>
      <c r="E488" s="9">
        <f t="shared" si="47"/>
        <v>0.10140000000000063</v>
      </c>
      <c r="F488" s="13">
        <f t="shared" si="48"/>
        <v>0.1623275700551195</v>
      </c>
      <c r="G488" s="13">
        <f t="shared" si="49"/>
        <v>0.10140000000000063</v>
      </c>
    </row>
    <row r="489" spans="2:7" ht="24" thickBot="1" x14ac:dyDescent="0.5">
      <c r="B489" s="7">
        <f t="shared" si="44"/>
        <v>-0.38499999999997975</v>
      </c>
      <c r="C489" s="8">
        <f t="shared" si="45"/>
        <v>1.3849999999999933</v>
      </c>
      <c r="D489" s="9">
        <f t="shared" si="46"/>
        <v>0.16292700819692149</v>
      </c>
      <c r="E489" s="9">
        <f t="shared" si="47"/>
        <v>0.10155000000000061</v>
      </c>
      <c r="F489" s="13">
        <f t="shared" si="48"/>
        <v>0.16292700819692149</v>
      </c>
      <c r="G489" s="13">
        <f t="shared" si="49"/>
        <v>0.10155000000000061</v>
      </c>
    </row>
    <row r="490" spans="2:7" ht="24" thickBot="1" x14ac:dyDescent="0.5">
      <c r="B490" s="7">
        <f t="shared" si="44"/>
        <v>-0.38999999999997975</v>
      </c>
      <c r="C490" s="8">
        <f t="shared" si="45"/>
        <v>1.3899999999999932</v>
      </c>
      <c r="D490" s="9">
        <f t="shared" si="46"/>
        <v>0.16352724543634836</v>
      </c>
      <c r="E490" s="9">
        <f t="shared" si="47"/>
        <v>0.1017000000000006</v>
      </c>
      <c r="F490" s="13">
        <f t="shared" si="48"/>
        <v>0.16352724543634836</v>
      </c>
      <c r="G490" s="13">
        <f t="shared" si="49"/>
        <v>0.1017000000000006</v>
      </c>
    </row>
    <row r="491" spans="2:7" ht="24" thickBot="1" x14ac:dyDescent="0.5">
      <c r="B491" s="7">
        <f t="shared" si="44"/>
        <v>-0.39499999999997976</v>
      </c>
      <c r="C491" s="8">
        <f t="shared" si="45"/>
        <v>1.3949999999999931</v>
      </c>
      <c r="D491" s="9">
        <f t="shared" si="46"/>
        <v>0.16412827300620605</v>
      </c>
      <c r="E491" s="9">
        <f t="shared" si="47"/>
        <v>0.10185000000000061</v>
      </c>
      <c r="F491" s="13">
        <f t="shared" si="48"/>
        <v>0.16412827300620605</v>
      </c>
      <c r="G491" s="13">
        <f t="shared" si="49"/>
        <v>0.10185000000000061</v>
      </c>
    </row>
    <row r="492" spans="2:7" ht="24" thickBot="1" x14ac:dyDescent="0.5">
      <c r="B492" s="7">
        <f t="shared" si="44"/>
        <v>-0.39999999999997976</v>
      </c>
      <c r="C492" s="8">
        <f t="shared" si="45"/>
        <v>1.399999999999993</v>
      </c>
      <c r="D492" s="9">
        <f t="shared" si="46"/>
        <v>0.16473008225579111</v>
      </c>
      <c r="E492" s="9">
        <f t="shared" si="47"/>
        <v>0.10200000000000058</v>
      </c>
      <c r="F492" s="13">
        <f t="shared" si="48"/>
        <v>0.16473008225579111</v>
      </c>
      <c r="G492" s="13">
        <f t="shared" si="49"/>
        <v>0.10200000000000058</v>
      </c>
    </row>
    <row r="493" spans="2:7" ht="24" thickBot="1" x14ac:dyDescent="0.5">
      <c r="B493" s="7">
        <f t="shared" si="44"/>
        <v>-0.40499999999997977</v>
      </c>
      <c r="C493" s="8">
        <f t="shared" si="45"/>
        <v>1.4049999999999929</v>
      </c>
      <c r="D493" s="9">
        <f t="shared" si="46"/>
        <v>0.1653326646491845</v>
      </c>
      <c r="E493" s="9">
        <f t="shared" si="47"/>
        <v>0.10215000000000059</v>
      </c>
      <c r="F493" s="13">
        <f t="shared" si="48"/>
        <v>0.1653326646491845</v>
      </c>
      <c r="G493" s="13">
        <f t="shared" si="49"/>
        <v>0.10215000000000059</v>
      </c>
    </row>
    <row r="494" spans="2:7" ht="24" thickBot="1" x14ac:dyDescent="0.5">
      <c r="B494" s="7">
        <f t="shared" si="44"/>
        <v>-0.40999999999997977</v>
      </c>
      <c r="C494" s="8">
        <f t="shared" si="45"/>
        <v>1.4099999999999928</v>
      </c>
      <c r="D494" s="9">
        <f t="shared" si="46"/>
        <v>0.16593601176357015</v>
      </c>
      <c r="E494" s="9">
        <f t="shared" si="47"/>
        <v>0.10230000000000056</v>
      </c>
      <c r="F494" s="13">
        <f t="shared" si="48"/>
        <v>0.16593601176357015</v>
      </c>
      <c r="G494" s="13">
        <f t="shared" si="49"/>
        <v>0.10230000000000056</v>
      </c>
    </row>
    <row r="495" spans="2:7" ht="24" thickBot="1" x14ac:dyDescent="0.5">
      <c r="B495" s="7">
        <f t="shared" si="44"/>
        <v>-0.41499999999997977</v>
      </c>
      <c r="C495" s="8">
        <f t="shared" si="45"/>
        <v>1.4149999999999927</v>
      </c>
      <c r="D495" s="9">
        <f t="shared" si="46"/>
        <v>0.16654011528757773</v>
      </c>
      <c r="E495" s="9">
        <f t="shared" si="47"/>
        <v>0.10245000000000057</v>
      </c>
      <c r="F495" s="13">
        <f t="shared" si="48"/>
        <v>0.16654011528757773</v>
      </c>
      <c r="G495" s="13">
        <f t="shared" si="49"/>
        <v>0.10245000000000057</v>
      </c>
    </row>
    <row r="496" spans="2:7" ht="24" thickBot="1" x14ac:dyDescent="0.5">
      <c r="B496" s="7">
        <f t="shared" si="44"/>
        <v>-0.41999999999997978</v>
      </c>
      <c r="C496" s="8">
        <f t="shared" si="45"/>
        <v>1.4199999999999926</v>
      </c>
      <c r="D496" s="9">
        <f t="shared" si="46"/>
        <v>0.1671449670196494</v>
      </c>
      <c r="E496" s="9">
        <f t="shared" si="47"/>
        <v>0.10260000000000055</v>
      </c>
      <c r="F496" s="13">
        <f t="shared" si="48"/>
        <v>0.1671449670196494</v>
      </c>
      <c r="G496" s="13">
        <f t="shared" si="49"/>
        <v>0.10260000000000055</v>
      </c>
    </row>
    <row r="497" spans="2:7" ht="24" thickBot="1" x14ac:dyDescent="0.5">
      <c r="B497" s="7">
        <f t="shared" si="44"/>
        <v>-0.42499999999997978</v>
      </c>
      <c r="C497" s="8">
        <f t="shared" si="45"/>
        <v>1.4249999999999925</v>
      </c>
      <c r="D497" s="9">
        <f t="shared" si="46"/>
        <v>0.16775055886643023</v>
      </c>
      <c r="E497" s="9">
        <f t="shared" si="47"/>
        <v>0.10275000000000052</v>
      </c>
      <c r="F497" s="13">
        <f t="shared" si="48"/>
        <v>0.16775055886643023</v>
      </c>
      <c r="G497" s="13">
        <f t="shared" si="49"/>
        <v>0.10275000000000052</v>
      </c>
    </row>
    <row r="498" spans="2:7" ht="24" thickBot="1" x14ac:dyDescent="0.5">
      <c r="B498" s="7">
        <f t="shared" si="44"/>
        <v>-0.42999999999997979</v>
      </c>
      <c r="C498" s="8">
        <f t="shared" si="45"/>
        <v>1.4299999999999924</v>
      </c>
      <c r="D498" s="9">
        <f t="shared" si="46"/>
        <v>0.16835688284118255</v>
      </c>
      <c r="E498" s="9">
        <f t="shared" si="47"/>
        <v>0.10290000000000053</v>
      </c>
      <c r="F498" s="13">
        <f t="shared" si="48"/>
        <v>0.16835688284118255</v>
      </c>
      <c r="G498" s="13">
        <f t="shared" si="49"/>
        <v>0.10290000000000053</v>
      </c>
    </row>
    <row r="499" spans="2:7" ht="24" thickBot="1" x14ac:dyDescent="0.5">
      <c r="B499" s="7">
        <f t="shared" si="44"/>
        <v>-0.43499999999997979</v>
      </c>
      <c r="C499" s="8">
        <f t="shared" si="45"/>
        <v>1.4349999999999923</v>
      </c>
      <c r="D499" s="9">
        <f t="shared" si="46"/>
        <v>0.16896393106222304</v>
      </c>
      <c r="E499" s="9">
        <f t="shared" si="47"/>
        <v>0.1030500000000005</v>
      </c>
      <c r="F499" s="13">
        <f t="shared" si="48"/>
        <v>0.16896393106222304</v>
      </c>
      <c r="G499" s="13">
        <f t="shared" si="49"/>
        <v>0.1030500000000005</v>
      </c>
    </row>
    <row r="500" spans="2:7" ht="24" thickBot="1" x14ac:dyDescent="0.5">
      <c r="B500" s="7">
        <f t="shared" si="44"/>
        <v>-0.4399999999999798</v>
      </c>
      <c r="C500" s="8">
        <f t="shared" si="45"/>
        <v>1.4399999999999922</v>
      </c>
      <c r="D500" s="9">
        <f t="shared" si="46"/>
        <v>0.16957169575138314</v>
      </c>
      <c r="E500" s="9">
        <f t="shared" si="47"/>
        <v>0.10320000000000051</v>
      </c>
      <c r="F500" s="13">
        <f t="shared" si="48"/>
        <v>0.16957169575138314</v>
      </c>
      <c r="G500" s="13">
        <f t="shared" si="49"/>
        <v>0.10320000000000051</v>
      </c>
    </row>
    <row r="501" spans="2:7" ht="24" thickBot="1" x14ac:dyDescent="0.5">
      <c r="B501" s="7">
        <f t="shared" si="44"/>
        <v>-0.4449999999999798</v>
      </c>
      <c r="C501" s="8">
        <f t="shared" si="45"/>
        <v>1.4449999999999921</v>
      </c>
      <c r="D501" s="9">
        <f t="shared" si="46"/>
        <v>0.1701801692324921</v>
      </c>
      <c r="E501" s="9">
        <f t="shared" si="47"/>
        <v>0.1033500000000005</v>
      </c>
      <c r="F501" s="13">
        <f t="shared" si="48"/>
        <v>0.1701801692324921</v>
      </c>
      <c r="G501" s="13">
        <f t="shared" si="49"/>
        <v>0.1033500000000005</v>
      </c>
    </row>
    <row r="502" spans="2:7" ht="24" thickBot="1" x14ac:dyDescent="0.5">
      <c r="B502" s="7">
        <f t="shared" si="44"/>
        <v>-0.44999999999997981</v>
      </c>
      <c r="C502" s="8">
        <f t="shared" si="45"/>
        <v>1.449999999999992</v>
      </c>
      <c r="D502" s="9">
        <f t="shared" si="46"/>
        <v>0.17078934392988235</v>
      </c>
      <c r="E502" s="9">
        <f t="shared" si="47"/>
        <v>0.10350000000000049</v>
      </c>
      <c r="F502" s="13">
        <f t="shared" si="48"/>
        <v>0.17078934392988235</v>
      </c>
      <c r="G502" s="13">
        <f t="shared" si="49"/>
        <v>0.10350000000000049</v>
      </c>
    </row>
    <row r="503" spans="2:7" ht="24" thickBot="1" x14ac:dyDescent="0.5">
      <c r="B503" s="7">
        <f t="shared" si="44"/>
        <v>-0.45499999999997981</v>
      </c>
      <c r="C503" s="8">
        <f t="shared" si="45"/>
        <v>1.4549999999999919</v>
      </c>
      <c r="D503" s="9">
        <f t="shared" si="46"/>
        <v>0.17139921236691735</v>
      </c>
      <c r="E503" s="9">
        <f t="shared" si="47"/>
        <v>0.10365000000000048</v>
      </c>
      <c r="F503" s="13">
        <f t="shared" si="48"/>
        <v>0.17139921236691735</v>
      </c>
      <c r="G503" s="13">
        <f t="shared" si="49"/>
        <v>0.10365000000000048</v>
      </c>
    </row>
    <row r="504" spans="2:7" ht="24" thickBot="1" x14ac:dyDescent="0.5">
      <c r="B504" s="7">
        <f t="shared" si="44"/>
        <v>-0.45999999999997981</v>
      </c>
      <c r="C504" s="8">
        <f t="shared" si="45"/>
        <v>1.4599999999999917</v>
      </c>
      <c r="D504" s="9">
        <f t="shared" si="46"/>
        <v>0.17200976716454106</v>
      </c>
      <c r="E504" s="9">
        <f t="shared" si="47"/>
        <v>0.10380000000000045</v>
      </c>
      <c r="F504" s="13">
        <f t="shared" si="48"/>
        <v>0.17200976716454106</v>
      </c>
      <c r="G504" s="13">
        <f t="shared" si="49"/>
        <v>0.10380000000000045</v>
      </c>
    </row>
    <row r="505" spans="2:7" ht="24" thickBot="1" x14ac:dyDescent="0.5">
      <c r="B505" s="7">
        <f t="shared" si="44"/>
        <v>-0.46499999999997982</v>
      </c>
      <c r="C505" s="8">
        <f t="shared" si="45"/>
        <v>1.4649999999999916</v>
      </c>
      <c r="D505" s="9">
        <f t="shared" si="46"/>
        <v>0.17262100103984918</v>
      </c>
      <c r="E505" s="9">
        <f t="shared" si="47"/>
        <v>0.10395000000000046</v>
      </c>
      <c r="F505" s="13">
        <f t="shared" si="48"/>
        <v>0.17262100103984918</v>
      </c>
      <c r="G505" s="13">
        <f t="shared" si="49"/>
        <v>0.10395000000000046</v>
      </c>
    </row>
    <row r="506" spans="2:7" ht="24" thickBot="1" x14ac:dyDescent="0.5">
      <c r="B506" s="7">
        <f t="shared" si="44"/>
        <v>-0.46999999999997982</v>
      </c>
      <c r="C506" s="8">
        <f t="shared" si="45"/>
        <v>1.4699999999999915</v>
      </c>
      <c r="D506" s="9">
        <f t="shared" si="46"/>
        <v>0.17323290680468192</v>
      </c>
      <c r="E506" s="9">
        <f t="shared" si="47"/>
        <v>0.10410000000000044</v>
      </c>
      <c r="F506" s="13">
        <f t="shared" si="48"/>
        <v>0.17323290680468192</v>
      </c>
      <c r="G506" s="13">
        <f t="shared" si="49"/>
        <v>0.10410000000000044</v>
      </c>
    </row>
    <row r="507" spans="2:7" ht="24" thickBot="1" x14ac:dyDescent="0.5">
      <c r="B507" s="7">
        <f t="shared" si="44"/>
        <v>-0.47499999999997983</v>
      </c>
      <c r="C507" s="8">
        <f t="shared" si="45"/>
        <v>1.4749999999999914</v>
      </c>
      <c r="D507" s="9">
        <f t="shared" si="46"/>
        <v>0.17384547736423747</v>
      </c>
      <c r="E507" s="9">
        <f t="shared" si="47"/>
        <v>0.10425000000000044</v>
      </c>
      <c r="F507" s="13">
        <f t="shared" si="48"/>
        <v>0.17384547736423747</v>
      </c>
      <c r="G507" s="13">
        <f t="shared" si="49"/>
        <v>0.10425000000000044</v>
      </c>
    </row>
    <row r="508" spans="2:7" ht="24" thickBot="1" x14ac:dyDescent="0.5">
      <c r="B508" s="7">
        <f t="shared" si="44"/>
        <v>-0.47999999999997983</v>
      </c>
      <c r="C508" s="8">
        <f t="shared" si="45"/>
        <v>1.4799999999999913</v>
      </c>
      <c r="D508" s="9">
        <f t="shared" si="46"/>
        <v>0.17445870571570682</v>
      </c>
      <c r="E508" s="9">
        <f t="shared" si="47"/>
        <v>0.10440000000000042</v>
      </c>
      <c r="F508" s="13">
        <f t="shared" si="48"/>
        <v>0.17445870571570682</v>
      </c>
      <c r="G508" s="13">
        <f t="shared" si="49"/>
        <v>0.10440000000000042</v>
      </c>
    </row>
    <row r="509" spans="2:7" ht="24" thickBot="1" x14ac:dyDescent="0.5">
      <c r="B509" s="7">
        <f t="shared" si="44"/>
        <v>-0.48499999999997984</v>
      </c>
      <c r="C509" s="8">
        <f t="shared" si="45"/>
        <v>1.4849999999999912</v>
      </c>
      <c r="D509" s="9">
        <f t="shared" si="46"/>
        <v>0.17507258494692879</v>
      </c>
      <c r="E509" s="9">
        <f t="shared" si="47"/>
        <v>0.10455000000000042</v>
      </c>
      <c r="F509" s="13">
        <f t="shared" si="48"/>
        <v>0.17507258494692879</v>
      </c>
      <c r="G509" s="13">
        <f t="shared" si="49"/>
        <v>0.10455000000000042</v>
      </c>
    </row>
    <row r="510" spans="2:7" ht="24" thickBot="1" x14ac:dyDescent="0.5">
      <c r="B510" s="7">
        <f t="shared" si="44"/>
        <v>-0.48999999999997984</v>
      </c>
      <c r="C510" s="8">
        <f t="shared" si="45"/>
        <v>1.4899999999999911</v>
      </c>
      <c r="D510" s="9">
        <f t="shared" si="46"/>
        <v>0.17568710823506539</v>
      </c>
      <c r="E510" s="9">
        <f t="shared" si="47"/>
        <v>0.1047000000000004</v>
      </c>
      <c r="F510" s="13">
        <f t="shared" si="48"/>
        <v>0.17568710823506539</v>
      </c>
      <c r="G510" s="13">
        <f t="shared" si="49"/>
        <v>0.1047000000000004</v>
      </c>
    </row>
    <row r="511" spans="2:7" ht="24" thickBot="1" x14ac:dyDescent="0.5">
      <c r="B511" s="7">
        <f t="shared" si="44"/>
        <v>-0.49499999999997985</v>
      </c>
      <c r="C511" s="8">
        <f t="shared" si="45"/>
        <v>1.494999999999991</v>
      </c>
      <c r="D511" s="9">
        <f t="shared" si="46"/>
        <v>0.17630226884529757</v>
      </c>
      <c r="E511" s="9">
        <f t="shared" si="47"/>
        <v>0.10485000000000042</v>
      </c>
      <c r="F511" s="13">
        <f t="shared" si="48"/>
        <v>0.17630226884529757</v>
      </c>
      <c r="G511" s="13">
        <f t="shared" si="49"/>
        <v>0.10485000000000042</v>
      </c>
    </row>
    <row r="512" spans="2:7" ht="24" thickBot="1" x14ac:dyDescent="0.5">
      <c r="B512" s="7">
        <f t="shared" si="44"/>
        <v>-0.49999999999997985</v>
      </c>
      <c r="C512" s="8">
        <f t="shared" si="45"/>
        <v>1.4999999999999909</v>
      </c>
      <c r="D512" s="9">
        <f t="shared" si="46"/>
        <v>0.17691806012954012</v>
      </c>
      <c r="E512" s="9">
        <f t="shared" si="47"/>
        <v>0.10500000000000038</v>
      </c>
      <c r="F512" s="13">
        <f t="shared" si="48"/>
        <v>0.17691806012954012</v>
      </c>
      <c r="G512" s="13">
        <f t="shared" si="49"/>
        <v>0.10500000000000038</v>
      </c>
    </row>
    <row r="513" spans="2:7" ht="24" thickBot="1" x14ac:dyDescent="0.5">
      <c r="B513" s="7">
        <f t="shared" si="44"/>
        <v>-0.5049999999999798</v>
      </c>
      <c r="C513" s="8">
        <f t="shared" si="45"/>
        <v>1.5049999999999908</v>
      </c>
      <c r="D513" s="9">
        <f t="shared" si="46"/>
        <v>0.17753447552517668</v>
      </c>
      <c r="E513" s="9">
        <f t="shared" si="47"/>
        <v>0.10515000000000037</v>
      </c>
      <c r="F513" s="13">
        <f t="shared" si="48"/>
        <v>0.17753447552517668</v>
      </c>
      <c r="G513" s="13">
        <f t="shared" si="49"/>
        <v>0.10515000000000037</v>
      </c>
    </row>
    <row r="514" spans="2:7" ht="24" thickBot="1" x14ac:dyDescent="0.5">
      <c r="B514" s="7">
        <f t="shared" si="44"/>
        <v>-0.5099999999999798</v>
      </c>
      <c r="C514" s="8">
        <f t="shared" si="45"/>
        <v>1.5099999999999907</v>
      </c>
      <c r="D514" s="9">
        <f t="shared" si="46"/>
        <v>0.1781515085538137</v>
      </c>
      <c r="E514" s="9">
        <f t="shared" si="47"/>
        <v>0.10530000000000037</v>
      </c>
      <c r="F514" s="13">
        <f t="shared" si="48"/>
        <v>0.1781515085538137</v>
      </c>
      <c r="G514" s="13">
        <f t="shared" si="49"/>
        <v>0.10530000000000037</v>
      </c>
    </row>
    <row r="515" spans="2:7" ht="24" thickBot="1" x14ac:dyDescent="0.5">
      <c r="B515" s="7">
        <f t="shared" si="44"/>
        <v>-0.51499999999997981</v>
      </c>
      <c r="C515" s="8">
        <f t="shared" si="45"/>
        <v>1.5149999999999906</v>
      </c>
      <c r="D515" s="9">
        <f t="shared" si="46"/>
        <v>0.17876915282005323</v>
      </c>
      <c r="E515" s="9">
        <f t="shared" si="47"/>
        <v>0.10545000000000035</v>
      </c>
      <c r="F515" s="13">
        <f t="shared" si="48"/>
        <v>0.17876915282005323</v>
      </c>
      <c r="G515" s="13">
        <f t="shared" si="49"/>
        <v>0.10545000000000035</v>
      </c>
    </row>
    <row r="516" spans="2:7" ht="24" thickBot="1" x14ac:dyDescent="0.5">
      <c r="B516" s="7">
        <f t="shared" si="44"/>
        <v>-0.51999999999997981</v>
      </c>
      <c r="C516" s="8">
        <f t="shared" si="45"/>
        <v>1.5199999999999905</v>
      </c>
      <c r="D516" s="9">
        <f t="shared" si="46"/>
        <v>0.17938740201028483</v>
      </c>
      <c r="E516" s="9">
        <f t="shared" si="47"/>
        <v>0.10560000000000036</v>
      </c>
      <c r="F516" s="13">
        <f t="shared" si="48"/>
        <v>0.17938740201028483</v>
      </c>
      <c r="G516" s="13">
        <f t="shared" si="49"/>
        <v>0.10560000000000036</v>
      </c>
    </row>
    <row r="517" spans="2:7" ht="24" thickBot="1" x14ac:dyDescent="0.5">
      <c r="B517" s="7">
        <f t="shared" si="44"/>
        <v>-0.52499999999997982</v>
      </c>
      <c r="C517" s="8">
        <f t="shared" si="45"/>
        <v>1.5249999999999904</v>
      </c>
      <c r="D517" s="9">
        <f t="shared" si="46"/>
        <v>0.18000624989149552</v>
      </c>
      <c r="E517" s="9">
        <f t="shared" si="47"/>
        <v>0.10575000000000034</v>
      </c>
      <c r="F517" s="13">
        <f t="shared" si="48"/>
        <v>0.18000624989149552</v>
      </c>
      <c r="G517" s="13">
        <f t="shared" si="49"/>
        <v>0.10575000000000034</v>
      </c>
    </row>
    <row r="518" spans="2:7" ht="24" thickBot="1" x14ac:dyDescent="0.5">
      <c r="B518" s="7">
        <f t="shared" si="44"/>
        <v>-0.52999999999997982</v>
      </c>
      <c r="C518" s="8">
        <f t="shared" si="45"/>
        <v>1.5299999999999903</v>
      </c>
      <c r="D518" s="9">
        <f t="shared" si="46"/>
        <v>0.18062569031009829</v>
      </c>
      <c r="E518" s="9">
        <f t="shared" si="47"/>
        <v>0.10590000000000034</v>
      </c>
      <c r="F518" s="13">
        <f t="shared" si="48"/>
        <v>0.18062569031009829</v>
      </c>
      <c r="G518" s="13">
        <f t="shared" si="49"/>
        <v>0.10590000000000034</v>
      </c>
    </row>
    <row r="519" spans="2:7" ht="24" thickBot="1" x14ac:dyDescent="0.5">
      <c r="B519" s="7">
        <f t="shared" si="44"/>
        <v>-0.53499999999997983</v>
      </c>
      <c r="C519" s="8">
        <f t="shared" si="45"/>
        <v>1.5349999999999902</v>
      </c>
      <c r="D519" s="9">
        <f t="shared" si="46"/>
        <v>0.18124571719077809</v>
      </c>
      <c r="E519" s="9">
        <f t="shared" si="47"/>
        <v>0.10605000000000031</v>
      </c>
      <c r="F519" s="13">
        <f t="shared" si="48"/>
        <v>0.18124571719077809</v>
      </c>
      <c r="G519" s="13">
        <f t="shared" si="49"/>
        <v>0.10605000000000031</v>
      </c>
    </row>
    <row r="520" spans="2:7" ht="24" thickBot="1" x14ac:dyDescent="0.5">
      <c r="B520" s="7">
        <f t="shared" si="44"/>
        <v>-0.53999999999997983</v>
      </c>
      <c r="C520" s="8">
        <f t="shared" si="45"/>
        <v>1.53999999999999</v>
      </c>
      <c r="D520" s="9">
        <f t="shared" si="46"/>
        <v>0.18186632453535623</v>
      </c>
      <c r="E520" s="9">
        <f t="shared" si="47"/>
        <v>0.10620000000000029</v>
      </c>
      <c r="F520" s="13">
        <f t="shared" si="48"/>
        <v>0.18186632453535623</v>
      </c>
      <c r="G520" s="13">
        <f t="shared" si="49"/>
        <v>0.10620000000000029</v>
      </c>
    </row>
    <row r="521" spans="2:7" ht="24" thickBot="1" x14ac:dyDescent="0.5">
      <c r="B521" s="7">
        <f t="shared" si="44"/>
        <v>-0.54499999999997983</v>
      </c>
      <c r="C521" s="8">
        <f t="shared" si="45"/>
        <v>1.5449999999999899</v>
      </c>
      <c r="D521" s="9">
        <f t="shared" si="46"/>
        <v>0.18248750642167125</v>
      </c>
      <c r="E521" s="9">
        <f t="shared" si="47"/>
        <v>0.10635000000000031</v>
      </c>
      <c r="F521" s="13">
        <f t="shared" si="48"/>
        <v>0.18248750642167125</v>
      </c>
      <c r="G521" s="13">
        <f t="shared" si="49"/>
        <v>0.10635000000000031</v>
      </c>
    </row>
    <row r="522" spans="2:7" ht="24" thickBot="1" x14ac:dyDescent="0.5">
      <c r="B522" s="7">
        <f t="shared" si="44"/>
        <v>-0.54999999999997984</v>
      </c>
      <c r="C522" s="8">
        <f t="shared" si="45"/>
        <v>1.5499999999999898</v>
      </c>
      <c r="D522" s="9">
        <f t="shared" si="46"/>
        <v>0.18310925700247788</v>
      </c>
      <c r="E522" s="9">
        <f t="shared" si="47"/>
        <v>0.10650000000000029</v>
      </c>
      <c r="F522" s="13">
        <f t="shared" si="48"/>
        <v>0.18310925700247788</v>
      </c>
      <c r="G522" s="13">
        <f t="shared" si="49"/>
        <v>0.10650000000000029</v>
      </c>
    </row>
    <row r="523" spans="2:7" ht="24" thickBot="1" x14ac:dyDescent="0.5">
      <c r="B523" s="7">
        <f t="shared" si="44"/>
        <v>-0.55499999999997984</v>
      </c>
      <c r="C523" s="8">
        <f t="shared" si="45"/>
        <v>1.5549999999999897</v>
      </c>
      <c r="D523" s="9">
        <f t="shared" si="46"/>
        <v>0.18373157050436242</v>
      </c>
      <c r="E523" s="9">
        <f t="shared" si="47"/>
        <v>0.10665000000000029</v>
      </c>
      <c r="F523" s="13">
        <f t="shared" si="48"/>
        <v>0.18373157050436242</v>
      </c>
      <c r="G523" s="13">
        <f t="shared" si="49"/>
        <v>0.10665000000000029</v>
      </c>
    </row>
    <row r="524" spans="2:7" ht="24" thickBot="1" x14ac:dyDescent="0.5">
      <c r="B524" s="7">
        <f t="shared" si="44"/>
        <v>-0.55999999999997985</v>
      </c>
      <c r="C524" s="8">
        <f t="shared" si="45"/>
        <v>1.5599999999999896</v>
      </c>
      <c r="D524" s="9">
        <f t="shared" si="46"/>
        <v>0.1843544412266748</v>
      </c>
      <c r="E524" s="9">
        <f t="shared" si="47"/>
        <v>0.10680000000000026</v>
      </c>
      <c r="F524" s="13">
        <f t="shared" si="48"/>
        <v>0.1843544412266748</v>
      </c>
      <c r="G524" s="13">
        <f t="shared" si="49"/>
        <v>0.10680000000000026</v>
      </c>
    </row>
    <row r="525" spans="2:7" ht="24" thickBot="1" x14ac:dyDescent="0.5">
      <c r="B525" s="7">
        <f t="shared" si="44"/>
        <v>-0.56499999999997985</v>
      </c>
      <c r="C525" s="8">
        <f t="shared" si="45"/>
        <v>1.5649999999999895</v>
      </c>
      <c r="D525" s="9">
        <f t="shared" si="46"/>
        <v>0.18497786354047741</v>
      </c>
      <c r="E525" s="9">
        <f t="shared" si="47"/>
        <v>0.10695000000000027</v>
      </c>
      <c r="F525" s="13">
        <f t="shared" si="48"/>
        <v>0.18497786354047741</v>
      </c>
      <c r="G525" s="13">
        <f t="shared" si="49"/>
        <v>0.10695000000000027</v>
      </c>
    </row>
    <row r="526" spans="2:7" ht="24" thickBot="1" x14ac:dyDescent="0.5">
      <c r="B526" s="7">
        <f t="shared" ref="B526:B589" si="50">B525-0.5%</f>
        <v>-0.56999999999997986</v>
      </c>
      <c r="C526" s="8">
        <f t="shared" ref="C526:C589" si="51">C525+0.5%</f>
        <v>1.5699999999999894</v>
      </c>
      <c r="D526" s="9">
        <f t="shared" ref="D526:D589" si="52">SQRT(B526^2*$D$4^2+C526^2*$D$5^2+2*C526*B526*$D$4*$D$5*$D$6)</f>
        <v>0.18560183188750987</v>
      </c>
      <c r="E526" s="9">
        <f t="shared" ref="E526:E589" si="53">$F$4*B526+$F$5*C526</f>
        <v>0.10710000000000025</v>
      </c>
      <c r="F526" s="13">
        <f t="shared" ref="F526:F589" si="54">IF(E526&gt;=$I$9,D526,NA())</f>
        <v>0.18560183188750987</v>
      </c>
      <c r="G526" s="13">
        <f t="shared" ref="G526:G589" si="55">IF(E526&gt;=$I$9,E526,NA())</f>
        <v>0.10710000000000025</v>
      </c>
    </row>
    <row r="527" spans="2:7" ht="24" thickBot="1" x14ac:dyDescent="0.5">
      <c r="B527" s="7">
        <f t="shared" si="50"/>
        <v>-0.57499999999997986</v>
      </c>
      <c r="C527" s="8">
        <f t="shared" si="51"/>
        <v>1.5749999999999893</v>
      </c>
      <c r="D527" s="9">
        <f t="shared" si="52"/>
        <v>0.18622634077916975</v>
      </c>
      <c r="E527" s="9">
        <f t="shared" si="53"/>
        <v>0.10725000000000026</v>
      </c>
      <c r="F527" s="13">
        <f t="shared" si="54"/>
        <v>0.18622634077916975</v>
      </c>
      <c r="G527" s="13">
        <f t="shared" si="55"/>
        <v>0.10725000000000026</v>
      </c>
    </row>
    <row r="528" spans="2:7" ht="24" thickBot="1" x14ac:dyDescent="0.5">
      <c r="B528" s="7">
        <f t="shared" si="50"/>
        <v>-0.57999999999997986</v>
      </c>
      <c r="C528" s="8">
        <f t="shared" si="51"/>
        <v>1.5799999999999892</v>
      </c>
      <c r="D528" s="9">
        <f t="shared" si="52"/>
        <v>0.18685138479550925</v>
      </c>
      <c r="E528" s="9">
        <f t="shared" si="53"/>
        <v>0.10740000000000023</v>
      </c>
      <c r="F528" s="13">
        <f t="shared" si="54"/>
        <v>0.18685138479550925</v>
      </c>
      <c r="G528" s="13">
        <f t="shared" si="55"/>
        <v>0.10740000000000023</v>
      </c>
    </row>
    <row r="529" spans="2:7" ht="24" thickBot="1" x14ac:dyDescent="0.5">
      <c r="B529" s="7">
        <f t="shared" si="50"/>
        <v>-0.58499999999997987</v>
      </c>
      <c r="C529" s="8">
        <f t="shared" si="51"/>
        <v>1.5849999999999891</v>
      </c>
      <c r="D529" s="9">
        <f t="shared" si="52"/>
        <v>0.18747695858424696</v>
      </c>
      <c r="E529" s="9">
        <f t="shared" si="53"/>
        <v>0.1075500000000002</v>
      </c>
      <c r="F529" s="13">
        <f t="shared" si="54"/>
        <v>0.18747695858424696</v>
      </c>
      <c r="G529" s="13">
        <f t="shared" si="55"/>
        <v>0.1075500000000002</v>
      </c>
    </row>
    <row r="530" spans="2:7" ht="24" thickBot="1" x14ac:dyDescent="0.5">
      <c r="B530" s="7">
        <f t="shared" si="50"/>
        <v>-0.58999999999997987</v>
      </c>
      <c r="C530" s="8">
        <f t="shared" si="51"/>
        <v>1.589999999999989</v>
      </c>
      <c r="D530" s="9">
        <f t="shared" si="52"/>
        <v>0.18810305685979545</v>
      </c>
      <c r="E530" s="9">
        <f t="shared" si="53"/>
        <v>0.10770000000000021</v>
      </c>
      <c r="F530" s="13">
        <f t="shared" si="54"/>
        <v>0.18810305685979545</v>
      </c>
      <c r="G530" s="13">
        <f t="shared" si="55"/>
        <v>0.10770000000000021</v>
      </c>
    </row>
    <row r="531" spans="2:7" ht="24" thickBot="1" x14ac:dyDescent="0.5">
      <c r="B531" s="7">
        <f t="shared" si="50"/>
        <v>-0.59499999999997988</v>
      </c>
      <c r="C531" s="8">
        <f t="shared" si="51"/>
        <v>1.5949999999999889</v>
      </c>
      <c r="D531" s="9">
        <f t="shared" si="52"/>
        <v>0.18872967440230334</v>
      </c>
      <c r="E531" s="9">
        <f t="shared" si="53"/>
        <v>0.1078500000000002</v>
      </c>
      <c r="F531" s="13">
        <f t="shared" si="54"/>
        <v>0.18872967440230334</v>
      </c>
      <c r="G531" s="13">
        <f t="shared" si="55"/>
        <v>0.1078500000000002</v>
      </c>
    </row>
    <row r="532" spans="2:7" ht="24" thickBot="1" x14ac:dyDescent="0.5">
      <c r="B532" s="7">
        <f t="shared" si="50"/>
        <v>-0.59999999999997988</v>
      </c>
      <c r="C532" s="8">
        <f t="shared" si="51"/>
        <v>1.5999999999999888</v>
      </c>
      <c r="D532" s="9">
        <f t="shared" si="52"/>
        <v>0.18935680605671248</v>
      </c>
      <c r="E532" s="9">
        <f t="shared" si="53"/>
        <v>0.10800000000000021</v>
      </c>
      <c r="F532" s="13">
        <f t="shared" si="54"/>
        <v>0.18935680605671248</v>
      </c>
      <c r="G532" s="13">
        <f t="shared" si="55"/>
        <v>0.10800000000000021</v>
      </c>
    </row>
    <row r="533" spans="2:7" ht="24" thickBot="1" x14ac:dyDescent="0.5">
      <c r="B533" s="7">
        <f t="shared" si="50"/>
        <v>-0.60499999999997989</v>
      </c>
      <c r="C533" s="8">
        <f t="shared" si="51"/>
        <v>1.6049999999999887</v>
      </c>
      <c r="D533" s="9">
        <f t="shared" si="52"/>
        <v>0.18998444673182965</v>
      </c>
      <c r="E533" s="9">
        <f t="shared" si="53"/>
        <v>0.10815000000000018</v>
      </c>
      <c r="F533" s="13">
        <f t="shared" si="54"/>
        <v>0.18998444673182965</v>
      </c>
      <c r="G533" s="13">
        <f t="shared" si="55"/>
        <v>0.10815000000000018</v>
      </c>
    </row>
    <row r="534" spans="2:7" ht="24" thickBot="1" x14ac:dyDescent="0.5">
      <c r="B534" s="7">
        <f t="shared" si="50"/>
        <v>-0.60999999999997989</v>
      </c>
      <c r="C534" s="8">
        <f t="shared" si="51"/>
        <v>1.6099999999999886</v>
      </c>
      <c r="D534" s="9">
        <f t="shared" si="52"/>
        <v>0.19061259139941256</v>
      </c>
      <c r="E534" s="9">
        <f t="shared" si="53"/>
        <v>0.10830000000000017</v>
      </c>
      <c r="F534" s="13">
        <f t="shared" si="54"/>
        <v>0.19061259139941256</v>
      </c>
      <c r="G534" s="13">
        <f t="shared" si="55"/>
        <v>0.10830000000000017</v>
      </c>
    </row>
    <row r="535" spans="2:7" ht="24" thickBot="1" x14ac:dyDescent="0.5">
      <c r="B535" s="7">
        <f t="shared" si="50"/>
        <v>-0.6149999999999799</v>
      </c>
      <c r="C535" s="8">
        <f t="shared" si="51"/>
        <v>1.6149999999999884</v>
      </c>
      <c r="D535" s="9">
        <f t="shared" si="52"/>
        <v>0.1912412350932701</v>
      </c>
      <c r="E535" s="9">
        <f t="shared" si="53"/>
        <v>0.10845000000000016</v>
      </c>
      <c r="F535" s="13">
        <f t="shared" si="54"/>
        <v>0.1912412350932701</v>
      </c>
      <c r="G535" s="13">
        <f t="shared" si="55"/>
        <v>0.10845000000000016</v>
      </c>
    </row>
    <row r="536" spans="2:7" ht="24" thickBot="1" x14ac:dyDescent="0.5">
      <c r="B536" s="7">
        <f t="shared" si="50"/>
        <v>-0.6199999999999799</v>
      </c>
      <c r="C536" s="8">
        <f t="shared" si="51"/>
        <v>1.6199999999999883</v>
      </c>
      <c r="D536" s="9">
        <f t="shared" si="52"/>
        <v>0.19187037290837633</v>
      </c>
      <c r="E536" s="9">
        <f t="shared" si="53"/>
        <v>0.10860000000000017</v>
      </c>
      <c r="F536" s="13">
        <f t="shared" si="54"/>
        <v>0.19187037290837633</v>
      </c>
      <c r="G536" s="13">
        <f t="shared" si="55"/>
        <v>0.10860000000000017</v>
      </c>
    </row>
    <row r="537" spans="2:7" ht="24" thickBot="1" x14ac:dyDescent="0.5">
      <c r="B537" s="7">
        <f t="shared" si="50"/>
        <v>-0.6249999999999799</v>
      </c>
      <c r="C537" s="8">
        <f t="shared" si="51"/>
        <v>1.6249999999999882</v>
      </c>
      <c r="D537" s="9">
        <f t="shared" si="52"/>
        <v>0.19249999999999842</v>
      </c>
      <c r="E537" s="9">
        <f t="shared" si="53"/>
        <v>0.10875000000000015</v>
      </c>
      <c r="F537" s="13">
        <f t="shared" si="54"/>
        <v>0.19249999999999842</v>
      </c>
      <c r="G537" s="13">
        <f t="shared" si="55"/>
        <v>0.10875000000000015</v>
      </c>
    </row>
    <row r="538" spans="2:7" ht="24" thickBot="1" x14ac:dyDescent="0.5">
      <c r="B538" s="7">
        <f t="shared" si="50"/>
        <v>-0.62999999999997991</v>
      </c>
      <c r="C538" s="8">
        <f t="shared" si="51"/>
        <v>1.6299999999999881</v>
      </c>
      <c r="D538" s="9">
        <f t="shared" si="52"/>
        <v>0.1931301115828378</v>
      </c>
      <c r="E538" s="9">
        <f t="shared" si="53"/>
        <v>0.10890000000000012</v>
      </c>
      <c r="F538" s="13">
        <f t="shared" si="54"/>
        <v>0.1931301115828378</v>
      </c>
      <c r="G538" s="13">
        <f t="shared" si="55"/>
        <v>0.10890000000000012</v>
      </c>
    </row>
    <row r="539" spans="2:7" ht="24" thickBot="1" x14ac:dyDescent="0.5">
      <c r="B539" s="7">
        <f t="shared" si="50"/>
        <v>-0.63499999999997991</v>
      </c>
      <c r="C539" s="8">
        <f t="shared" si="51"/>
        <v>1.634999999999988</v>
      </c>
      <c r="D539" s="9">
        <f t="shared" si="52"/>
        <v>0.19376070293018494</v>
      </c>
      <c r="E539" s="9">
        <f t="shared" si="53"/>
        <v>0.10905000000000012</v>
      </c>
      <c r="F539" s="13">
        <f t="shared" si="54"/>
        <v>0.19376070293018494</v>
      </c>
      <c r="G539" s="13">
        <f t="shared" si="55"/>
        <v>0.10905000000000012</v>
      </c>
    </row>
    <row r="540" spans="2:7" ht="24" thickBot="1" x14ac:dyDescent="0.5">
      <c r="B540" s="7">
        <f t="shared" si="50"/>
        <v>-0.63999999999997992</v>
      </c>
      <c r="C540" s="8">
        <f t="shared" si="51"/>
        <v>1.6399999999999879</v>
      </c>
      <c r="D540" s="9">
        <f t="shared" si="52"/>
        <v>0.1943917693730868</v>
      </c>
      <c r="E540" s="9">
        <f t="shared" si="53"/>
        <v>0.1092000000000001</v>
      </c>
      <c r="F540" s="13">
        <f t="shared" si="54"/>
        <v>0.1943917693730868</v>
      </c>
      <c r="G540" s="13">
        <f t="shared" si="55"/>
        <v>0.1092000000000001</v>
      </c>
    </row>
    <row r="541" spans="2:7" ht="24" thickBot="1" x14ac:dyDescent="0.5">
      <c r="B541" s="7">
        <f t="shared" si="50"/>
        <v>-0.64499999999997992</v>
      </c>
      <c r="C541" s="8">
        <f t="shared" si="51"/>
        <v>1.6449999999999878</v>
      </c>
      <c r="D541" s="9">
        <f t="shared" si="52"/>
        <v>0.19502330629952758</v>
      </c>
      <c r="E541" s="9">
        <f t="shared" si="53"/>
        <v>0.10935000000000011</v>
      </c>
      <c r="F541" s="13">
        <f t="shared" si="54"/>
        <v>0.19502330629952758</v>
      </c>
      <c r="G541" s="13">
        <f t="shared" si="55"/>
        <v>0.10935000000000011</v>
      </c>
    </row>
    <row r="542" spans="2:7" ht="24" thickBot="1" x14ac:dyDescent="0.5">
      <c r="B542" s="7">
        <f t="shared" si="50"/>
        <v>-0.64999999999997993</v>
      </c>
      <c r="C542" s="8">
        <f t="shared" si="51"/>
        <v>1.6499999999999877</v>
      </c>
      <c r="D542" s="9">
        <f t="shared" si="52"/>
        <v>0.19565530915362186</v>
      </c>
      <c r="E542" s="9">
        <f t="shared" si="53"/>
        <v>0.1095000000000001</v>
      </c>
      <c r="F542" s="13">
        <f t="shared" si="54"/>
        <v>0.19565530915362186</v>
      </c>
      <c r="G542" s="13">
        <f t="shared" si="55"/>
        <v>0.1095000000000001</v>
      </c>
    </row>
    <row r="543" spans="2:7" ht="24" thickBot="1" x14ac:dyDescent="0.5">
      <c r="B543" s="7">
        <f t="shared" si="50"/>
        <v>-0.65499999999997993</v>
      </c>
      <c r="C543" s="8">
        <f t="shared" si="51"/>
        <v>1.6549999999999876</v>
      </c>
      <c r="D543" s="9">
        <f t="shared" si="52"/>
        <v>0.19628777343482029</v>
      </c>
      <c r="E543" s="9">
        <f t="shared" si="53"/>
        <v>0.10965000000000009</v>
      </c>
      <c r="F543" s="13">
        <f t="shared" si="54"/>
        <v>0.19628777343482029</v>
      </c>
      <c r="G543" s="13">
        <f t="shared" si="55"/>
        <v>0.10965000000000009</v>
      </c>
    </row>
    <row r="544" spans="2:7" ht="24" thickBot="1" x14ac:dyDescent="0.5">
      <c r="B544" s="7">
        <f t="shared" si="50"/>
        <v>-0.65999999999997994</v>
      </c>
      <c r="C544" s="8">
        <f t="shared" si="51"/>
        <v>1.6599999999999875</v>
      </c>
      <c r="D544" s="9">
        <f t="shared" si="52"/>
        <v>0.19692069469712759</v>
      </c>
      <c r="E544" s="9">
        <f t="shared" si="53"/>
        <v>0.10980000000000006</v>
      </c>
      <c r="F544" s="13">
        <f t="shared" si="54"/>
        <v>0.19692069469712759</v>
      </c>
      <c r="G544" s="13">
        <f t="shared" si="55"/>
        <v>0.10980000000000006</v>
      </c>
    </row>
    <row r="545" spans="2:7" ht="24" thickBot="1" x14ac:dyDescent="0.5">
      <c r="B545" s="7">
        <f t="shared" si="50"/>
        <v>-0.66499999999997994</v>
      </c>
      <c r="C545" s="8">
        <f t="shared" si="51"/>
        <v>1.6649999999999874</v>
      </c>
      <c r="D545" s="9">
        <f t="shared" si="52"/>
        <v>0.19755406854833268</v>
      </c>
      <c r="E545" s="9">
        <f t="shared" si="53"/>
        <v>0.10995000000000005</v>
      </c>
      <c r="F545" s="13">
        <f t="shared" si="54"/>
        <v>0.19755406854833268</v>
      </c>
      <c r="G545" s="13">
        <f t="shared" si="55"/>
        <v>0.10995000000000005</v>
      </c>
    </row>
    <row r="546" spans="2:7" ht="24" thickBot="1" x14ac:dyDescent="0.5">
      <c r="B546" s="7">
        <f t="shared" si="50"/>
        <v>-0.66999999999997994</v>
      </c>
      <c r="C546" s="8">
        <f t="shared" si="51"/>
        <v>1.6699999999999873</v>
      </c>
      <c r="D546" s="9">
        <f t="shared" si="52"/>
        <v>0.1981878906492506</v>
      </c>
      <c r="E546" s="9">
        <f t="shared" si="53"/>
        <v>0.11010000000000006</v>
      </c>
      <c r="F546" s="13">
        <f t="shared" si="54"/>
        <v>0.1981878906492506</v>
      </c>
      <c r="G546" s="13">
        <f t="shared" si="55"/>
        <v>0.11010000000000006</v>
      </c>
    </row>
    <row r="547" spans="2:7" ht="24" thickBot="1" x14ac:dyDescent="0.5">
      <c r="B547" s="7">
        <f t="shared" si="50"/>
        <v>-0.67499999999997995</v>
      </c>
      <c r="C547" s="8">
        <f t="shared" si="51"/>
        <v>1.6749999999999872</v>
      </c>
      <c r="D547" s="9">
        <f t="shared" si="52"/>
        <v>0.19882215671297632</v>
      </c>
      <c r="E547" s="9">
        <f t="shared" si="53"/>
        <v>0.11025000000000004</v>
      </c>
      <c r="F547" s="13">
        <f t="shared" si="54"/>
        <v>0.19882215671297632</v>
      </c>
      <c r="G547" s="13">
        <f t="shared" si="55"/>
        <v>0.11025000000000004</v>
      </c>
    </row>
    <row r="548" spans="2:7" ht="24" thickBot="1" x14ac:dyDescent="0.5">
      <c r="B548" s="7">
        <f t="shared" si="50"/>
        <v>-0.67999999999997995</v>
      </c>
      <c r="C548" s="8">
        <f t="shared" si="51"/>
        <v>1.6799999999999871</v>
      </c>
      <c r="D548" s="9">
        <f t="shared" si="52"/>
        <v>0.19945686250414976</v>
      </c>
      <c r="E548" s="9">
        <f t="shared" si="53"/>
        <v>0.11040000000000004</v>
      </c>
      <c r="F548" s="13">
        <f t="shared" si="54"/>
        <v>0.19945686250414976</v>
      </c>
      <c r="G548" s="13">
        <f t="shared" si="55"/>
        <v>0.11040000000000004</v>
      </c>
    </row>
    <row r="549" spans="2:7" ht="24" thickBot="1" x14ac:dyDescent="0.5">
      <c r="B549" s="7">
        <f t="shared" si="50"/>
        <v>-0.68499999999997996</v>
      </c>
      <c r="C549" s="8">
        <f t="shared" si="51"/>
        <v>1.684999999999987</v>
      </c>
      <c r="D549" s="9">
        <f t="shared" si="52"/>
        <v>0.20009200383823261</v>
      </c>
      <c r="E549" s="9">
        <f t="shared" si="53"/>
        <v>0.11055000000000001</v>
      </c>
      <c r="F549" s="13">
        <f t="shared" si="54"/>
        <v>0.20009200383823261</v>
      </c>
      <c r="G549" s="13">
        <f t="shared" si="55"/>
        <v>0.11055000000000001</v>
      </c>
    </row>
    <row r="550" spans="2:7" ht="24" thickBot="1" x14ac:dyDescent="0.5">
      <c r="B550" s="7">
        <f t="shared" si="50"/>
        <v>-0.68999999999997996</v>
      </c>
      <c r="C550" s="8">
        <f t="shared" si="51"/>
        <v>1.6899999999999868</v>
      </c>
      <c r="D550" s="9">
        <f t="shared" si="52"/>
        <v>0.20072757658079593</v>
      </c>
      <c r="E550" s="9">
        <f t="shared" si="53"/>
        <v>0.11070000000000002</v>
      </c>
      <c r="F550" s="13">
        <f t="shared" si="54"/>
        <v>0.20072757658079593</v>
      </c>
      <c r="G550" s="13">
        <f t="shared" si="55"/>
        <v>0.11070000000000002</v>
      </c>
    </row>
    <row r="551" spans="2:7" ht="24" thickBot="1" x14ac:dyDescent="0.5">
      <c r="B551" s="7">
        <f t="shared" si="50"/>
        <v>-0.69499999999997997</v>
      </c>
      <c r="C551" s="8">
        <f t="shared" si="51"/>
        <v>1.6949999999999867</v>
      </c>
      <c r="D551" s="9">
        <f t="shared" si="52"/>
        <v>0.20136357664681881</v>
      </c>
      <c r="E551" s="9">
        <f t="shared" si="53"/>
        <v>0.11085</v>
      </c>
      <c r="F551" s="13">
        <f t="shared" si="54"/>
        <v>0.20136357664681881</v>
      </c>
      <c r="G551" s="13">
        <f t="shared" si="55"/>
        <v>0.11085</v>
      </c>
    </row>
    <row r="552" spans="2:7" ht="24" thickBot="1" x14ac:dyDescent="0.5">
      <c r="B552" s="7">
        <f t="shared" si="50"/>
        <v>-0.69999999999997997</v>
      </c>
      <c r="C552" s="8">
        <f t="shared" si="51"/>
        <v>1.6999999999999866</v>
      </c>
      <c r="D552" s="9">
        <f t="shared" si="52"/>
        <v>0.20199999999999818</v>
      </c>
      <c r="E552" s="9">
        <f t="shared" si="53"/>
        <v>0.11100000000000002</v>
      </c>
      <c r="F552" s="13">
        <f t="shared" si="54"/>
        <v>0.20199999999999818</v>
      </c>
      <c r="G552" s="13">
        <f t="shared" si="55"/>
        <v>0.11100000000000002</v>
      </c>
    </row>
    <row r="553" spans="2:7" ht="24" thickBot="1" x14ac:dyDescent="0.5">
      <c r="B553" s="7">
        <f t="shared" si="50"/>
        <v>-0.70499999999997998</v>
      </c>
      <c r="C553" s="8">
        <f t="shared" si="51"/>
        <v>1.7049999999999865</v>
      </c>
      <c r="D553" s="9">
        <f t="shared" si="52"/>
        <v>0.20263684265206874</v>
      </c>
      <c r="E553" s="9">
        <f t="shared" si="53"/>
        <v>0.11114999999999998</v>
      </c>
      <c r="F553" s="13">
        <f t="shared" si="54"/>
        <v>0.20263684265206874</v>
      </c>
      <c r="G553" s="13">
        <f t="shared" si="55"/>
        <v>0.11114999999999998</v>
      </c>
    </row>
    <row r="554" spans="2:7" ht="24" thickBot="1" x14ac:dyDescent="0.5">
      <c r="B554" s="7">
        <f t="shared" si="50"/>
        <v>-0.70999999999997998</v>
      </c>
      <c r="C554" s="8">
        <f t="shared" si="51"/>
        <v>1.7099999999999864</v>
      </c>
      <c r="D554" s="9">
        <f t="shared" si="52"/>
        <v>0.20327410066213369</v>
      </c>
      <c r="E554" s="9">
        <f t="shared" si="53"/>
        <v>0.11129999999999995</v>
      </c>
      <c r="F554" s="13">
        <f t="shared" si="54"/>
        <v>0.20327410066213369</v>
      </c>
      <c r="G554" s="13">
        <f t="shared" si="55"/>
        <v>0.11129999999999995</v>
      </c>
    </row>
    <row r="555" spans="2:7" ht="24" thickBot="1" x14ac:dyDescent="0.5">
      <c r="B555" s="7">
        <f t="shared" si="50"/>
        <v>-0.71499999999997998</v>
      </c>
      <c r="C555" s="8">
        <f t="shared" si="51"/>
        <v>1.7149999999999863</v>
      </c>
      <c r="D555" s="9">
        <f t="shared" si="52"/>
        <v>0.20391177013600575</v>
      </c>
      <c r="E555" s="9">
        <f t="shared" si="53"/>
        <v>0.11144999999999997</v>
      </c>
      <c r="F555" s="13">
        <f t="shared" si="54"/>
        <v>0.20391177013600575</v>
      </c>
      <c r="G555" s="13">
        <f t="shared" si="55"/>
        <v>0.11144999999999997</v>
      </c>
    </row>
    <row r="556" spans="2:7" ht="24" thickBot="1" x14ac:dyDescent="0.5">
      <c r="B556" s="7">
        <f t="shared" si="50"/>
        <v>-0.71999999999997999</v>
      </c>
      <c r="C556" s="8">
        <f t="shared" si="51"/>
        <v>1.7199999999999862</v>
      </c>
      <c r="D556" s="9">
        <f t="shared" si="52"/>
        <v>0.2045498472255583</v>
      </c>
      <c r="E556" s="9">
        <f t="shared" si="53"/>
        <v>0.11159999999999995</v>
      </c>
      <c r="F556" s="13">
        <f t="shared" si="54"/>
        <v>0.2045498472255583</v>
      </c>
      <c r="G556" s="13">
        <f t="shared" si="55"/>
        <v>0.11159999999999995</v>
      </c>
    </row>
    <row r="557" spans="2:7" ht="24" thickBot="1" x14ac:dyDescent="0.5">
      <c r="B557" s="7">
        <f t="shared" si="50"/>
        <v>-0.72499999999997999</v>
      </c>
      <c r="C557" s="8">
        <f t="shared" si="51"/>
        <v>1.7249999999999861</v>
      </c>
      <c r="D557" s="9">
        <f t="shared" si="52"/>
        <v>0.20518832812808635</v>
      </c>
      <c r="E557" s="9">
        <f t="shared" si="53"/>
        <v>0.11174999999999996</v>
      </c>
      <c r="F557" s="13">
        <f t="shared" si="54"/>
        <v>0.20518832812808635</v>
      </c>
      <c r="G557" s="13">
        <f t="shared" si="55"/>
        <v>0.11174999999999996</v>
      </c>
    </row>
    <row r="558" spans="2:7" ht="24" thickBot="1" x14ac:dyDescent="0.5">
      <c r="B558" s="7">
        <f t="shared" si="50"/>
        <v>-0.72999999999998</v>
      </c>
      <c r="C558" s="8">
        <f t="shared" si="51"/>
        <v>1.729999999999986</v>
      </c>
      <c r="D558" s="9">
        <f t="shared" si="52"/>
        <v>0.20582720908567756</v>
      </c>
      <c r="E558" s="9">
        <f t="shared" si="53"/>
        <v>0.11189999999999993</v>
      </c>
      <c r="F558" s="13">
        <f t="shared" si="54"/>
        <v>0.20582720908567756</v>
      </c>
      <c r="G558" s="13">
        <f t="shared" si="55"/>
        <v>0.11189999999999993</v>
      </c>
    </row>
    <row r="559" spans="2:7" ht="24" thickBot="1" x14ac:dyDescent="0.5">
      <c r="B559" s="7">
        <f t="shared" si="50"/>
        <v>-0.73499999999998</v>
      </c>
      <c r="C559" s="8">
        <f t="shared" si="51"/>
        <v>1.7349999999999859</v>
      </c>
      <c r="D559" s="9">
        <f t="shared" si="52"/>
        <v>0.20646648638459272</v>
      </c>
      <c r="E559" s="9">
        <f t="shared" si="53"/>
        <v>0.11204999999999993</v>
      </c>
      <c r="F559" s="13">
        <f t="shared" si="54"/>
        <v>0.20646648638459272</v>
      </c>
      <c r="G559" s="13">
        <f t="shared" si="55"/>
        <v>0.11204999999999993</v>
      </c>
    </row>
    <row r="560" spans="2:7" ht="24" thickBot="1" x14ac:dyDescent="0.5">
      <c r="B560" s="7">
        <f t="shared" si="50"/>
        <v>-0.73999999999998001</v>
      </c>
      <c r="C560" s="8">
        <f t="shared" si="51"/>
        <v>1.7399999999999858</v>
      </c>
      <c r="D560" s="9">
        <f t="shared" si="52"/>
        <v>0.20710615635465596</v>
      </c>
      <c r="E560" s="9">
        <f t="shared" si="53"/>
        <v>0.11219999999999991</v>
      </c>
      <c r="F560" s="13">
        <f t="shared" si="54"/>
        <v>0.20710615635465596</v>
      </c>
      <c r="G560" s="13">
        <f t="shared" si="55"/>
        <v>0.11219999999999991</v>
      </c>
    </row>
    <row r="561" spans="2:7" ht="24" thickBot="1" x14ac:dyDescent="0.5">
      <c r="B561" s="7">
        <f t="shared" si="50"/>
        <v>-0.74499999999998001</v>
      </c>
      <c r="C561" s="8">
        <f t="shared" si="51"/>
        <v>1.7449999999999857</v>
      </c>
      <c r="D561" s="9">
        <f t="shared" si="52"/>
        <v>0.20774621536865406</v>
      </c>
      <c r="E561" s="9">
        <f t="shared" si="53"/>
        <v>0.11234999999999992</v>
      </c>
      <c r="F561" s="13">
        <f t="shared" si="54"/>
        <v>0.20774621536865406</v>
      </c>
      <c r="G561" s="13">
        <f t="shared" si="55"/>
        <v>0.11234999999999992</v>
      </c>
    </row>
    <row r="562" spans="2:7" ht="24" thickBot="1" x14ac:dyDescent="0.5">
      <c r="B562" s="7">
        <f t="shared" si="50"/>
        <v>-0.74999999999998002</v>
      </c>
      <c r="C562" s="8">
        <f t="shared" si="51"/>
        <v>1.7499999999999856</v>
      </c>
      <c r="D562" s="9">
        <f t="shared" si="52"/>
        <v>0.20838665984174512</v>
      </c>
      <c r="E562" s="9">
        <f t="shared" si="53"/>
        <v>0.11249999999999991</v>
      </c>
      <c r="F562" s="13">
        <f t="shared" si="54"/>
        <v>0.20838665984174512</v>
      </c>
      <c r="G562" s="13">
        <f t="shared" si="55"/>
        <v>0.11249999999999991</v>
      </c>
    </row>
    <row r="563" spans="2:7" ht="24" thickBot="1" x14ac:dyDescent="0.5">
      <c r="B563" s="7">
        <f t="shared" si="50"/>
        <v>-0.75499999999998002</v>
      </c>
      <c r="C563" s="8">
        <f t="shared" si="51"/>
        <v>1.7549999999999855</v>
      </c>
      <c r="D563" s="9">
        <f t="shared" si="52"/>
        <v>0.2090274862308763</v>
      </c>
      <c r="E563" s="9">
        <f t="shared" si="53"/>
        <v>0.11264999999999988</v>
      </c>
      <c r="F563" s="13">
        <f t="shared" si="54"/>
        <v>0.2090274862308763</v>
      </c>
      <c r="G563" s="13">
        <f t="shared" si="55"/>
        <v>0.11264999999999988</v>
      </c>
    </row>
    <row r="564" spans="2:7" ht="24" thickBot="1" x14ac:dyDescent="0.5">
      <c r="B564" s="7">
        <f t="shared" si="50"/>
        <v>-0.75999999999998002</v>
      </c>
      <c r="C564" s="8">
        <f t="shared" si="51"/>
        <v>1.7599999999999854</v>
      </c>
      <c r="D564" s="9">
        <f t="shared" si="52"/>
        <v>0.20966869103421037</v>
      </c>
      <c r="E564" s="9">
        <f t="shared" si="53"/>
        <v>0.11279999999999987</v>
      </c>
      <c r="F564" s="13">
        <f t="shared" si="54"/>
        <v>0.20966869103421037</v>
      </c>
      <c r="G564" s="13">
        <f t="shared" si="55"/>
        <v>0.11279999999999987</v>
      </c>
    </row>
    <row r="565" spans="2:7" ht="24" thickBot="1" x14ac:dyDescent="0.5">
      <c r="B565" s="7">
        <f t="shared" si="50"/>
        <v>-0.76499999999998003</v>
      </c>
      <c r="C565" s="8">
        <f t="shared" si="51"/>
        <v>1.7649999999999852</v>
      </c>
      <c r="D565" s="9">
        <f t="shared" si="52"/>
        <v>0.21031027079056117</v>
      </c>
      <c r="E565" s="9">
        <f t="shared" si="53"/>
        <v>0.11294999999999986</v>
      </c>
      <c r="F565" s="13">
        <f t="shared" si="54"/>
        <v>0.21031027079056117</v>
      </c>
      <c r="G565" s="13">
        <f t="shared" si="55"/>
        <v>0.11294999999999986</v>
      </c>
    </row>
    <row r="566" spans="2:7" ht="24" thickBot="1" x14ac:dyDescent="0.5">
      <c r="B566" s="7">
        <f t="shared" si="50"/>
        <v>-0.76999999999998003</v>
      </c>
      <c r="C566" s="8">
        <f t="shared" si="51"/>
        <v>1.7699999999999851</v>
      </c>
      <c r="D566" s="9">
        <f t="shared" si="52"/>
        <v>0.21095222207883746</v>
      </c>
      <c r="E566" s="9">
        <f t="shared" si="53"/>
        <v>0.11309999999999987</v>
      </c>
      <c r="F566" s="13">
        <f t="shared" si="54"/>
        <v>0.21095222207883746</v>
      </c>
      <c r="G566" s="13">
        <f t="shared" si="55"/>
        <v>0.11309999999999987</v>
      </c>
    </row>
    <row r="567" spans="2:7" ht="24" thickBot="1" x14ac:dyDescent="0.5">
      <c r="B567" s="7">
        <f t="shared" si="50"/>
        <v>-0.77499999999998004</v>
      </c>
      <c r="C567" s="8">
        <f t="shared" si="51"/>
        <v>1.774999999999985</v>
      </c>
      <c r="D567" s="9">
        <f t="shared" si="52"/>
        <v>0.21159454151749557</v>
      </c>
      <c r="E567" s="9">
        <f t="shared" si="53"/>
        <v>0.11324999999999985</v>
      </c>
      <c r="F567" s="13">
        <f t="shared" si="54"/>
        <v>0.21159454151749557</v>
      </c>
      <c r="G567" s="13">
        <f t="shared" si="55"/>
        <v>0.11324999999999985</v>
      </c>
    </row>
    <row r="568" spans="2:7" ht="24" thickBot="1" x14ac:dyDescent="0.5">
      <c r="B568" s="7">
        <f t="shared" si="50"/>
        <v>-0.77999999999998004</v>
      </c>
      <c r="C568" s="8">
        <f t="shared" si="51"/>
        <v>1.7799999999999849</v>
      </c>
      <c r="D568" s="9">
        <f t="shared" si="52"/>
        <v>0.21223722576400009</v>
      </c>
      <c r="E568" s="9">
        <f t="shared" si="53"/>
        <v>0.11339999999999985</v>
      </c>
      <c r="F568" s="13">
        <f t="shared" si="54"/>
        <v>0.21223722576400009</v>
      </c>
      <c r="G568" s="13">
        <f t="shared" si="55"/>
        <v>0.11339999999999985</v>
      </c>
    </row>
    <row r="569" spans="2:7" ht="24" thickBot="1" x14ac:dyDescent="0.5">
      <c r="B569" s="7">
        <f t="shared" si="50"/>
        <v>-0.78499999999998005</v>
      </c>
      <c r="C569" s="8">
        <f t="shared" si="51"/>
        <v>1.7849999999999848</v>
      </c>
      <c r="D569" s="9">
        <f t="shared" si="52"/>
        <v>0.21288027151429306</v>
      </c>
      <c r="E569" s="9">
        <f t="shared" si="53"/>
        <v>0.11354999999999982</v>
      </c>
      <c r="F569" s="13">
        <f t="shared" si="54"/>
        <v>0.21288027151429306</v>
      </c>
      <c r="G569" s="13">
        <f t="shared" si="55"/>
        <v>0.11354999999999982</v>
      </c>
    </row>
    <row r="570" spans="2:7" ht="24" thickBot="1" x14ac:dyDescent="0.5">
      <c r="B570" s="7">
        <f t="shared" si="50"/>
        <v>-0.78999999999998005</v>
      </c>
      <c r="C570" s="8">
        <f t="shared" si="51"/>
        <v>1.7899999999999847</v>
      </c>
      <c r="D570" s="9">
        <f t="shared" si="52"/>
        <v>0.213523675502271</v>
      </c>
      <c r="E570" s="9">
        <f t="shared" si="53"/>
        <v>0.1136999999999998</v>
      </c>
      <c r="F570" s="13">
        <f t="shared" si="54"/>
        <v>0.213523675502271</v>
      </c>
      <c r="G570" s="13">
        <f t="shared" si="55"/>
        <v>0.1136999999999998</v>
      </c>
    </row>
    <row r="571" spans="2:7" ht="24" thickBot="1" x14ac:dyDescent="0.5">
      <c r="B571" s="7">
        <f t="shared" si="50"/>
        <v>-0.79499999999998006</v>
      </c>
      <c r="C571" s="8">
        <f t="shared" si="51"/>
        <v>1.7949999999999846</v>
      </c>
      <c r="D571" s="9">
        <f t="shared" si="52"/>
        <v>0.21416743449927003</v>
      </c>
      <c r="E571" s="9">
        <f t="shared" si="53"/>
        <v>0.11384999999999981</v>
      </c>
      <c r="F571" s="13">
        <f t="shared" si="54"/>
        <v>0.21416743449927003</v>
      </c>
      <c r="G571" s="13">
        <f t="shared" si="55"/>
        <v>0.11384999999999981</v>
      </c>
    </row>
    <row r="572" spans="2:7" ht="24" thickBot="1" x14ac:dyDescent="0.5">
      <c r="B572" s="7">
        <f t="shared" si="50"/>
        <v>-0.79999999999998006</v>
      </c>
      <c r="C572" s="8">
        <f t="shared" si="51"/>
        <v>1.7999999999999845</v>
      </c>
      <c r="D572" s="9">
        <f t="shared" si="52"/>
        <v>0.21481154531355878</v>
      </c>
      <c r="E572" s="9">
        <f t="shared" si="53"/>
        <v>0.1139999999999998</v>
      </c>
      <c r="F572" s="13">
        <f t="shared" si="54"/>
        <v>0.21481154531355878</v>
      </c>
      <c r="G572" s="13">
        <f t="shared" si="55"/>
        <v>0.1139999999999998</v>
      </c>
    </row>
    <row r="573" spans="2:7" ht="24" thickBot="1" x14ac:dyDescent="0.5">
      <c r="B573" s="7">
        <f t="shared" si="50"/>
        <v>-0.80499999999998006</v>
      </c>
      <c r="C573" s="8">
        <f t="shared" si="51"/>
        <v>1.8049999999999844</v>
      </c>
      <c r="D573" s="9">
        <f t="shared" si="52"/>
        <v>0.21545600478983892</v>
      </c>
      <c r="E573" s="9">
        <f t="shared" si="53"/>
        <v>0.11414999999999979</v>
      </c>
      <c r="F573" s="13">
        <f t="shared" si="54"/>
        <v>0.21545600478983892</v>
      </c>
      <c r="G573" s="13">
        <f t="shared" si="55"/>
        <v>0.11414999999999979</v>
      </c>
    </row>
    <row r="574" spans="2:7" ht="24" thickBot="1" x14ac:dyDescent="0.5">
      <c r="B574" s="7">
        <f t="shared" si="50"/>
        <v>-0.80999999999998007</v>
      </c>
      <c r="C574" s="8">
        <f t="shared" si="51"/>
        <v>1.8099999999999843</v>
      </c>
      <c r="D574" s="9">
        <f t="shared" si="52"/>
        <v>0.2161008098087536</v>
      </c>
      <c r="E574" s="9">
        <f t="shared" si="53"/>
        <v>0.11429999999999976</v>
      </c>
      <c r="F574" s="13">
        <f t="shared" si="54"/>
        <v>0.2161008098087536</v>
      </c>
      <c r="G574" s="13">
        <f t="shared" si="55"/>
        <v>0.11429999999999976</v>
      </c>
    </row>
    <row r="575" spans="2:7" ht="24" thickBot="1" x14ac:dyDescent="0.5">
      <c r="B575" s="7">
        <f t="shared" si="50"/>
        <v>-0.81499999999998007</v>
      </c>
      <c r="C575" s="8">
        <f t="shared" si="51"/>
        <v>1.8149999999999842</v>
      </c>
      <c r="D575" s="9">
        <f t="shared" si="52"/>
        <v>0.21674595728640267</v>
      </c>
      <c r="E575" s="9">
        <f t="shared" si="53"/>
        <v>0.11444999999999977</v>
      </c>
      <c r="F575" s="13">
        <f t="shared" si="54"/>
        <v>0.21674595728640267</v>
      </c>
      <c r="G575" s="13">
        <f t="shared" si="55"/>
        <v>0.11444999999999977</v>
      </c>
    </row>
    <row r="576" spans="2:7" ht="24" thickBot="1" x14ac:dyDescent="0.5">
      <c r="B576" s="7">
        <f t="shared" si="50"/>
        <v>-0.81999999999998008</v>
      </c>
      <c r="C576" s="8">
        <f t="shared" si="51"/>
        <v>1.8199999999999841</v>
      </c>
      <c r="D576" s="9">
        <f t="shared" si="52"/>
        <v>0.21739144417386594</v>
      </c>
      <c r="E576" s="9">
        <f t="shared" si="53"/>
        <v>0.11459999999999976</v>
      </c>
      <c r="F576" s="13">
        <f t="shared" si="54"/>
        <v>0.21739144417386594</v>
      </c>
      <c r="G576" s="13">
        <f t="shared" si="55"/>
        <v>0.11459999999999976</v>
      </c>
    </row>
    <row r="577" spans="2:7" ht="24" thickBot="1" x14ac:dyDescent="0.5">
      <c r="B577" s="7">
        <f t="shared" si="50"/>
        <v>-0.82499999999998008</v>
      </c>
      <c r="C577" s="8">
        <f t="shared" si="51"/>
        <v>1.824999999999984</v>
      </c>
      <c r="D577" s="9">
        <f t="shared" si="52"/>
        <v>0.21803726745673335</v>
      </c>
      <c r="E577" s="9">
        <f t="shared" si="53"/>
        <v>0.11474999999999977</v>
      </c>
      <c r="F577" s="13">
        <f t="shared" si="54"/>
        <v>0.21803726745673335</v>
      </c>
      <c r="G577" s="13">
        <f t="shared" si="55"/>
        <v>0.11474999999999977</v>
      </c>
    </row>
    <row r="578" spans="2:7" ht="24" thickBot="1" x14ac:dyDescent="0.5">
      <c r="B578" s="7">
        <f t="shared" si="50"/>
        <v>-0.82999999999998009</v>
      </c>
      <c r="C578" s="8">
        <f t="shared" si="51"/>
        <v>1.8299999999999839</v>
      </c>
      <c r="D578" s="9">
        <f t="shared" si="52"/>
        <v>0.21868342415464201</v>
      </c>
      <c r="E578" s="9">
        <f t="shared" si="53"/>
        <v>0.11489999999999974</v>
      </c>
      <c r="F578" s="13">
        <f t="shared" si="54"/>
        <v>0.21868342415464201</v>
      </c>
      <c r="G578" s="13">
        <f t="shared" si="55"/>
        <v>0.11489999999999974</v>
      </c>
    </row>
    <row r="579" spans="2:7" ht="24" thickBot="1" x14ac:dyDescent="0.5">
      <c r="B579" s="7">
        <f t="shared" si="50"/>
        <v>-0.83499999999998009</v>
      </c>
      <c r="C579" s="8">
        <f t="shared" si="51"/>
        <v>1.8349999999999838</v>
      </c>
      <c r="D579" s="9">
        <f t="shared" si="52"/>
        <v>0.21932991132082064</v>
      </c>
      <c r="E579" s="9">
        <f t="shared" si="53"/>
        <v>0.11504999999999971</v>
      </c>
      <c r="F579" s="13">
        <f t="shared" si="54"/>
        <v>0.21932991132082064</v>
      </c>
      <c r="G579" s="13">
        <f t="shared" si="55"/>
        <v>0.11504999999999971</v>
      </c>
    </row>
    <row r="580" spans="2:7" ht="24" thickBot="1" x14ac:dyDescent="0.5">
      <c r="B580" s="7">
        <f t="shared" si="50"/>
        <v>-0.8399999999999801</v>
      </c>
      <c r="C580" s="8">
        <f t="shared" si="51"/>
        <v>1.8399999999999836</v>
      </c>
      <c r="D580" s="9">
        <f t="shared" si="52"/>
        <v>0.21997672604164067</v>
      </c>
      <c r="E580" s="9">
        <f t="shared" si="53"/>
        <v>0.11519999999999972</v>
      </c>
      <c r="F580" s="13">
        <f t="shared" si="54"/>
        <v>0.21997672604164067</v>
      </c>
      <c r="G580" s="13">
        <f t="shared" si="55"/>
        <v>0.11519999999999972</v>
      </c>
    </row>
    <row r="581" spans="2:7" ht="24" thickBot="1" x14ac:dyDescent="0.5">
      <c r="B581" s="7">
        <f t="shared" si="50"/>
        <v>-0.8449999999999801</v>
      </c>
      <c r="C581" s="8">
        <f t="shared" si="51"/>
        <v>1.8449999999999835</v>
      </c>
      <c r="D581" s="9">
        <f t="shared" si="52"/>
        <v>0.22062386543617404</v>
      </c>
      <c r="E581" s="9">
        <f t="shared" si="53"/>
        <v>0.1153499999999997</v>
      </c>
      <c r="F581" s="13">
        <f t="shared" si="54"/>
        <v>0.22062386543617404</v>
      </c>
      <c r="G581" s="13">
        <f t="shared" si="55"/>
        <v>0.1153499999999997</v>
      </c>
    </row>
    <row r="582" spans="2:7" ht="24" thickBot="1" x14ac:dyDescent="0.5">
      <c r="B582" s="7">
        <f t="shared" si="50"/>
        <v>-0.8499999999999801</v>
      </c>
      <c r="C582" s="8">
        <f t="shared" si="51"/>
        <v>1.8499999999999834</v>
      </c>
      <c r="D582" s="9">
        <f t="shared" si="52"/>
        <v>0.22127132665575769</v>
      </c>
      <c r="E582" s="9">
        <f t="shared" si="53"/>
        <v>0.11549999999999971</v>
      </c>
      <c r="F582" s="13">
        <f t="shared" si="54"/>
        <v>0.22127132665575769</v>
      </c>
      <c r="G582" s="13">
        <f t="shared" si="55"/>
        <v>0.11549999999999971</v>
      </c>
    </row>
    <row r="583" spans="2:7" ht="24" thickBot="1" x14ac:dyDescent="0.5">
      <c r="B583" s="7">
        <f t="shared" si="50"/>
        <v>-0.85499999999998011</v>
      </c>
      <c r="C583" s="8">
        <f t="shared" si="51"/>
        <v>1.8549999999999833</v>
      </c>
      <c r="D583" s="9">
        <f t="shared" si="52"/>
        <v>0.2219191068835647</v>
      </c>
      <c r="E583" s="9">
        <f t="shared" si="53"/>
        <v>0.11564999999999968</v>
      </c>
      <c r="F583" s="13">
        <f t="shared" si="54"/>
        <v>0.2219191068835647</v>
      </c>
      <c r="G583" s="13">
        <f t="shared" si="55"/>
        <v>0.11564999999999968</v>
      </c>
    </row>
    <row r="584" spans="2:7" ht="24" thickBot="1" x14ac:dyDescent="0.5">
      <c r="B584" s="7">
        <f t="shared" si="50"/>
        <v>-0.85999999999998011</v>
      </c>
      <c r="C584" s="8">
        <f t="shared" si="51"/>
        <v>1.8599999999999832</v>
      </c>
      <c r="D584" s="9">
        <f t="shared" si="52"/>
        <v>0.22256720333418176</v>
      </c>
      <c r="E584" s="9">
        <f t="shared" si="53"/>
        <v>0.11579999999999968</v>
      </c>
      <c r="F584" s="13">
        <f t="shared" si="54"/>
        <v>0.22256720333418176</v>
      </c>
      <c r="G584" s="13">
        <f t="shared" si="55"/>
        <v>0.11579999999999968</v>
      </c>
    </row>
    <row r="585" spans="2:7" ht="24" thickBot="1" x14ac:dyDescent="0.5">
      <c r="B585" s="7">
        <f t="shared" si="50"/>
        <v>-0.86499999999998012</v>
      </c>
      <c r="C585" s="8">
        <f t="shared" si="51"/>
        <v>1.8649999999999831</v>
      </c>
      <c r="D585" s="9">
        <f t="shared" si="52"/>
        <v>0.22321561325319292</v>
      </c>
      <c r="E585" s="9">
        <f t="shared" si="53"/>
        <v>0.11594999999999966</v>
      </c>
      <c r="F585" s="13">
        <f t="shared" si="54"/>
        <v>0.22321561325319292</v>
      </c>
      <c r="G585" s="13">
        <f t="shared" si="55"/>
        <v>0.11594999999999966</v>
      </c>
    </row>
    <row r="586" spans="2:7" ht="24" thickBot="1" x14ac:dyDescent="0.5">
      <c r="B586" s="7">
        <f t="shared" si="50"/>
        <v>-0.86999999999998012</v>
      </c>
      <c r="C586" s="8">
        <f t="shared" si="51"/>
        <v>1.869999999999983</v>
      </c>
      <c r="D586" s="9">
        <f t="shared" si="52"/>
        <v>0.22386433391676974</v>
      </c>
      <c r="E586" s="9">
        <f t="shared" si="53"/>
        <v>0.11609999999999965</v>
      </c>
      <c r="F586" s="13">
        <f t="shared" si="54"/>
        <v>0.22386433391676974</v>
      </c>
      <c r="G586" s="13">
        <f t="shared" si="55"/>
        <v>0.11609999999999965</v>
      </c>
    </row>
    <row r="587" spans="2:7" ht="24" thickBot="1" x14ac:dyDescent="0.5">
      <c r="B587" s="7">
        <f t="shared" si="50"/>
        <v>-0.87499999999998013</v>
      </c>
      <c r="C587" s="8">
        <f t="shared" si="51"/>
        <v>1.8749999999999829</v>
      </c>
      <c r="D587" s="9">
        <f t="shared" si="52"/>
        <v>0.22451336263126742</v>
      </c>
      <c r="E587" s="9">
        <f t="shared" si="53"/>
        <v>0.11624999999999966</v>
      </c>
      <c r="F587" s="13">
        <f t="shared" si="54"/>
        <v>0.22451336263126742</v>
      </c>
      <c r="G587" s="13">
        <f t="shared" si="55"/>
        <v>0.11624999999999966</v>
      </c>
    </row>
    <row r="588" spans="2:7" ht="24" thickBot="1" x14ac:dyDescent="0.5">
      <c r="B588" s="7">
        <f t="shared" si="50"/>
        <v>-0.87999999999998013</v>
      </c>
      <c r="C588" s="8">
        <f t="shared" si="51"/>
        <v>1.8799999999999828</v>
      </c>
      <c r="D588" s="9">
        <f t="shared" si="52"/>
        <v>0.22516269673282691</v>
      </c>
      <c r="E588" s="9">
        <f t="shared" si="53"/>
        <v>0.11639999999999963</v>
      </c>
      <c r="F588" s="13">
        <f t="shared" si="54"/>
        <v>0.22516269673282691</v>
      </c>
      <c r="G588" s="13">
        <f t="shared" si="55"/>
        <v>0.11639999999999963</v>
      </c>
    </row>
    <row r="589" spans="2:7" ht="24" thickBot="1" x14ac:dyDescent="0.5">
      <c r="B589" s="7">
        <f t="shared" si="50"/>
        <v>-0.88499999999998014</v>
      </c>
      <c r="C589" s="8">
        <f t="shared" si="51"/>
        <v>1.8849999999999827</v>
      </c>
      <c r="D589" s="9">
        <f t="shared" si="52"/>
        <v>0.22581233358698316</v>
      </c>
      <c r="E589" s="9">
        <f t="shared" si="53"/>
        <v>0.11654999999999963</v>
      </c>
      <c r="F589" s="13">
        <f t="shared" si="54"/>
        <v>0.22581233358698316</v>
      </c>
      <c r="G589" s="13">
        <f t="shared" si="55"/>
        <v>0.11654999999999963</v>
      </c>
    </row>
    <row r="590" spans="2:7" ht="24" thickBot="1" x14ac:dyDescent="0.5">
      <c r="B590" s="7">
        <f t="shared" ref="B590:B612" si="56">B589-0.5%</f>
        <v>-0.88999999999998014</v>
      </c>
      <c r="C590" s="8">
        <f t="shared" ref="C590:C612" si="57">C589+0.5%</f>
        <v>1.8899999999999826</v>
      </c>
      <c r="D590" s="9">
        <f t="shared" ref="D590:D612" si="58">SQRT(B590^2*$D$4^2+C590^2*$D$5^2+2*C590*B590*$D$4*$D$5*$D$6)</f>
        <v>0.22646227058827914</v>
      </c>
      <c r="E590" s="9">
        <f t="shared" ref="E590:E612" si="59">$F$4*B590+$F$5*C590</f>
        <v>0.11669999999999961</v>
      </c>
      <c r="F590" s="13">
        <f t="shared" ref="F590:F612" si="60">IF(E590&gt;=$I$9,D590,NA())</f>
        <v>0.22646227058827914</v>
      </c>
      <c r="G590" s="13">
        <f t="shared" ref="G590:G612" si="61">IF(E590&gt;=$I$9,E590,NA())</f>
        <v>0.11669999999999961</v>
      </c>
    </row>
    <row r="591" spans="2:7" ht="24" thickBot="1" x14ac:dyDescent="0.5">
      <c r="B591" s="7">
        <f t="shared" si="56"/>
        <v>-0.89499999999998014</v>
      </c>
      <c r="C591" s="8">
        <f t="shared" si="57"/>
        <v>1.8949999999999825</v>
      </c>
      <c r="D591" s="9">
        <f t="shared" si="58"/>
        <v>0.22711250515988532</v>
      </c>
      <c r="E591" s="9">
        <f t="shared" si="59"/>
        <v>0.11684999999999962</v>
      </c>
      <c r="F591" s="13">
        <f t="shared" si="60"/>
        <v>0.22711250515988532</v>
      </c>
      <c r="G591" s="13">
        <f t="shared" si="61"/>
        <v>0.11684999999999962</v>
      </c>
    </row>
    <row r="592" spans="2:7" ht="24" thickBot="1" x14ac:dyDescent="0.5">
      <c r="B592" s="7">
        <f t="shared" si="56"/>
        <v>-0.89999999999998015</v>
      </c>
      <c r="C592" s="8">
        <f t="shared" si="57"/>
        <v>1.8999999999999824</v>
      </c>
      <c r="D592" s="9">
        <f t="shared" si="58"/>
        <v>0.22776303475322532</v>
      </c>
      <c r="E592" s="9">
        <f t="shared" si="59"/>
        <v>0.1169999999999996</v>
      </c>
      <c r="F592" s="13">
        <f t="shared" si="60"/>
        <v>0.22776303475322532</v>
      </c>
      <c r="G592" s="13">
        <f t="shared" si="61"/>
        <v>0.1169999999999996</v>
      </c>
    </row>
    <row r="593" spans="2:7" ht="24" thickBot="1" x14ac:dyDescent="0.5">
      <c r="B593" s="7">
        <f t="shared" si="56"/>
        <v>-0.90499999999998015</v>
      </c>
      <c r="C593" s="8">
        <f t="shared" si="57"/>
        <v>1.9049999999999823</v>
      </c>
      <c r="D593" s="9">
        <f t="shared" si="58"/>
        <v>0.22841385684760662</v>
      </c>
      <c r="E593" s="9">
        <f t="shared" si="59"/>
        <v>0.1171499999999996</v>
      </c>
      <c r="F593" s="13">
        <f t="shared" si="60"/>
        <v>0.22841385684760662</v>
      </c>
      <c r="G593" s="13">
        <f t="shared" si="61"/>
        <v>0.1171499999999996</v>
      </c>
    </row>
    <row r="594" spans="2:7" ht="24" thickBot="1" x14ac:dyDescent="0.5">
      <c r="B594" s="7">
        <f t="shared" si="56"/>
        <v>-0.90999999999998016</v>
      </c>
      <c r="C594" s="8">
        <f t="shared" si="57"/>
        <v>1.9099999999999822</v>
      </c>
      <c r="D594" s="9">
        <f t="shared" si="58"/>
        <v>0.22906496894985695</v>
      </c>
      <c r="E594" s="9">
        <f t="shared" si="59"/>
        <v>0.11729999999999957</v>
      </c>
      <c r="F594" s="13">
        <f t="shared" si="60"/>
        <v>0.22906496894985695</v>
      </c>
      <c r="G594" s="13">
        <f t="shared" si="61"/>
        <v>0.11729999999999957</v>
      </c>
    </row>
    <row r="595" spans="2:7" ht="24" thickBot="1" x14ac:dyDescent="0.5">
      <c r="B595" s="7">
        <f t="shared" si="56"/>
        <v>-0.91499999999998016</v>
      </c>
      <c r="C595" s="8">
        <f t="shared" si="57"/>
        <v>1.914999999999982</v>
      </c>
      <c r="D595" s="9">
        <f t="shared" si="58"/>
        <v>0.22971636859396613</v>
      </c>
      <c r="E595" s="9">
        <f t="shared" si="59"/>
        <v>0.11744999999999955</v>
      </c>
      <c r="F595" s="13">
        <f t="shared" si="60"/>
        <v>0.22971636859396613</v>
      </c>
      <c r="G595" s="13">
        <f t="shared" si="61"/>
        <v>0.11744999999999955</v>
      </c>
    </row>
    <row r="596" spans="2:7" ht="24" thickBot="1" x14ac:dyDescent="0.5">
      <c r="B596" s="7">
        <f t="shared" si="56"/>
        <v>-0.91999999999998017</v>
      </c>
      <c r="C596" s="8">
        <f t="shared" si="57"/>
        <v>1.9199999999999819</v>
      </c>
      <c r="D596" s="9">
        <f t="shared" si="58"/>
        <v>0.23036805334073321</v>
      </c>
      <c r="E596" s="9">
        <f t="shared" si="59"/>
        <v>0.11759999999999957</v>
      </c>
      <c r="F596" s="13">
        <f t="shared" si="60"/>
        <v>0.23036805334073321</v>
      </c>
      <c r="G596" s="13">
        <f t="shared" si="61"/>
        <v>0.11759999999999957</v>
      </c>
    </row>
    <row r="597" spans="2:7" ht="24" thickBot="1" x14ac:dyDescent="0.5">
      <c r="B597" s="7">
        <f t="shared" si="56"/>
        <v>-0.92499999999998017</v>
      </c>
      <c r="C597" s="8">
        <f t="shared" si="57"/>
        <v>1.9249999999999818</v>
      </c>
      <c r="D597" s="9">
        <f t="shared" si="58"/>
        <v>0.23102002077741854</v>
      </c>
      <c r="E597" s="9">
        <f t="shared" si="59"/>
        <v>0.11774999999999955</v>
      </c>
      <c r="F597" s="13">
        <f t="shared" si="60"/>
        <v>0.23102002077741854</v>
      </c>
      <c r="G597" s="13">
        <f t="shared" si="61"/>
        <v>0.11774999999999955</v>
      </c>
    </row>
    <row r="598" spans="2:7" ht="24" thickBot="1" x14ac:dyDescent="0.5">
      <c r="B598" s="7">
        <f t="shared" si="56"/>
        <v>-0.92999999999998018</v>
      </c>
      <c r="C598" s="8">
        <f t="shared" si="57"/>
        <v>1.9299999999999817</v>
      </c>
      <c r="D598" s="9">
        <f t="shared" si="58"/>
        <v>0.23167226851740128</v>
      </c>
      <c r="E598" s="9">
        <f t="shared" si="59"/>
        <v>0.11789999999999955</v>
      </c>
      <c r="F598" s="13">
        <f t="shared" si="60"/>
        <v>0.23167226851740128</v>
      </c>
      <c r="G598" s="13">
        <f t="shared" si="61"/>
        <v>0.11789999999999955</v>
      </c>
    </row>
    <row r="599" spans="2:7" ht="24" thickBot="1" x14ac:dyDescent="0.5">
      <c r="B599" s="7">
        <f t="shared" si="56"/>
        <v>-0.93499999999998018</v>
      </c>
      <c r="C599" s="8">
        <f t="shared" si="57"/>
        <v>1.9349999999999816</v>
      </c>
      <c r="D599" s="9">
        <f t="shared" si="58"/>
        <v>0.23232479419984187</v>
      </c>
      <c r="E599" s="9">
        <f t="shared" si="59"/>
        <v>0.11804999999999952</v>
      </c>
      <c r="F599" s="13">
        <f t="shared" si="60"/>
        <v>0.23232479419984187</v>
      </c>
      <c r="G599" s="13">
        <f t="shared" si="61"/>
        <v>0.11804999999999952</v>
      </c>
    </row>
    <row r="600" spans="2:7" ht="24" thickBot="1" x14ac:dyDescent="0.5">
      <c r="B600" s="7">
        <f t="shared" si="56"/>
        <v>-0.93999999999998018</v>
      </c>
      <c r="C600" s="8">
        <f t="shared" si="57"/>
        <v>1.9399999999999815</v>
      </c>
      <c r="D600" s="9">
        <f t="shared" si="58"/>
        <v>0.23297759548934927</v>
      </c>
      <c r="E600" s="9">
        <f t="shared" si="59"/>
        <v>0.11819999999999953</v>
      </c>
      <c r="F600" s="13">
        <f t="shared" si="60"/>
        <v>0.23297759548934927</v>
      </c>
      <c r="G600" s="13">
        <f t="shared" si="61"/>
        <v>0.11819999999999953</v>
      </c>
    </row>
    <row r="601" spans="2:7" ht="24" thickBot="1" x14ac:dyDescent="0.5">
      <c r="B601" s="7">
        <f t="shared" si="56"/>
        <v>-0.94499999999998019</v>
      </c>
      <c r="C601" s="8">
        <f t="shared" si="57"/>
        <v>1.9449999999999814</v>
      </c>
      <c r="D601" s="9">
        <f t="shared" si="58"/>
        <v>0.2336306700756535</v>
      </c>
      <c r="E601" s="9">
        <f t="shared" si="59"/>
        <v>0.11834999999999951</v>
      </c>
      <c r="F601" s="13">
        <f t="shared" si="60"/>
        <v>0.2336306700756535</v>
      </c>
      <c r="G601" s="13">
        <f t="shared" si="61"/>
        <v>0.11834999999999951</v>
      </c>
    </row>
    <row r="602" spans="2:7" ht="24" thickBot="1" x14ac:dyDescent="0.5">
      <c r="B602" s="7">
        <f t="shared" si="56"/>
        <v>-0.94999999999998019</v>
      </c>
      <c r="C602" s="8">
        <f t="shared" si="57"/>
        <v>1.9499999999999813</v>
      </c>
      <c r="D602" s="9">
        <f t="shared" si="58"/>
        <v>0.23428401567328241</v>
      </c>
      <c r="E602" s="9">
        <f t="shared" si="59"/>
        <v>0.11849999999999952</v>
      </c>
      <c r="F602" s="13">
        <f t="shared" si="60"/>
        <v>0.23428401567328241</v>
      </c>
      <c r="G602" s="13">
        <f t="shared" si="61"/>
        <v>0.11849999999999952</v>
      </c>
    </row>
    <row r="603" spans="2:7" ht="24" thickBot="1" x14ac:dyDescent="0.5">
      <c r="B603" s="7">
        <f t="shared" si="56"/>
        <v>-0.9549999999999802</v>
      </c>
      <c r="C603" s="8">
        <f t="shared" si="57"/>
        <v>1.9549999999999812</v>
      </c>
      <c r="D603" s="9">
        <f t="shared" si="58"/>
        <v>0.23493763002124382</v>
      </c>
      <c r="E603" s="9">
        <f t="shared" si="59"/>
        <v>0.11864999999999949</v>
      </c>
      <c r="F603" s="13">
        <f t="shared" si="60"/>
        <v>0.23493763002124382</v>
      </c>
      <c r="G603" s="13">
        <f t="shared" si="61"/>
        <v>0.11864999999999949</v>
      </c>
    </row>
    <row r="604" spans="2:7" ht="24" thickBot="1" x14ac:dyDescent="0.5">
      <c r="B604" s="7">
        <f t="shared" si="56"/>
        <v>-0.9599999999999802</v>
      </c>
      <c r="C604" s="8">
        <f t="shared" si="57"/>
        <v>1.9599999999999811</v>
      </c>
      <c r="D604" s="9">
        <f t="shared" si="58"/>
        <v>0.23559151088271163</v>
      </c>
      <c r="E604" s="9">
        <f t="shared" si="59"/>
        <v>0.11879999999999946</v>
      </c>
      <c r="F604" s="13">
        <f t="shared" si="60"/>
        <v>0.23559151088271163</v>
      </c>
      <c r="G604" s="13">
        <f t="shared" si="61"/>
        <v>0.11879999999999946</v>
      </c>
    </row>
    <row r="605" spans="2:7" ht="24" thickBot="1" x14ac:dyDescent="0.5">
      <c r="B605" s="7">
        <f t="shared" si="56"/>
        <v>-0.96499999999998021</v>
      </c>
      <c r="C605" s="8">
        <f t="shared" si="57"/>
        <v>1.964999999999981</v>
      </c>
      <c r="D605" s="9">
        <f t="shared" si="58"/>
        <v>0.23624565604471714</v>
      </c>
      <c r="E605" s="9">
        <f t="shared" si="59"/>
        <v>0.11894999999999947</v>
      </c>
      <c r="F605" s="13">
        <f t="shared" si="60"/>
        <v>0.23624565604471714</v>
      </c>
      <c r="G605" s="13">
        <f t="shared" si="61"/>
        <v>0.11894999999999947</v>
      </c>
    </row>
    <row r="606" spans="2:7" ht="24" thickBot="1" x14ac:dyDescent="0.5">
      <c r="B606" s="7">
        <f t="shared" si="56"/>
        <v>-0.96999999999998021</v>
      </c>
      <c r="C606" s="8">
        <f t="shared" si="57"/>
        <v>1.9699999999999809</v>
      </c>
      <c r="D606" s="9">
        <f t="shared" si="58"/>
        <v>0.23690006331784466</v>
      </c>
      <c r="E606" s="9">
        <f t="shared" si="59"/>
        <v>0.11909999999999946</v>
      </c>
      <c r="F606" s="13">
        <f t="shared" si="60"/>
        <v>0.23690006331784466</v>
      </c>
      <c r="G606" s="13">
        <f t="shared" si="61"/>
        <v>0.11909999999999946</v>
      </c>
    </row>
    <row r="607" spans="2:7" ht="24" thickBot="1" x14ac:dyDescent="0.5">
      <c r="B607" s="7">
        <f t="shared" si="56"/>
        <v>-0.97499999999998022</v>
      </c>
      <c r="C607" s="8">
        <f t="shared" si="57"/>
        <v>1.9749999999999808</v>
      </c>
      <c r="D607" s="9">
        <f t="shared" si="58"/>
        <v>0.23755473053593101</v>
      </c>
      <c r="E607" s="9">
        <f t="shared" si="59"/>
        <v>0.11924999999999947</v>
      </c>
      <c r="F607" s="13">
        <f t="shared" si="60"/>
        <v>0.23755473053593101</v>
      </c>
      <c r="G607" s="13">
        <f t="shared" si="61"/>
        <v>0.11924999999999947</v>
      </c>
    </row>
    <row r="608" spans="2:7" ht="24" thickBot="1" x14ac:dyDescent="0.5">
      <c r="B608" s="7">
        <f t="shared" si="56"/>
        <v>-0.97999999999998022</v>
      </c>
      <c r="C608" s="8">
        <f t="shared" si="57"/>
        <v>1.9799999999999807</v>
      </c>
      <c r="D608" s="9">
        <f t="shared" si="58"/>
        <v>0.23820965555577042</v>
      </c>
      <c r="E608" s="9">
        <f t="shared" si="59"/>
        <v>0.11939999999999944</v>
      </c>
      <c r="F608" s="13">
        <f t="shared" si="60"/>
        <v>0.23820965555577042</v>
      </c>
      <c r="G608" s="13">
        <f t="shared" si="61"/>
        <v>0.11939999999999944</v>
      </c>
    </row>
    <row r="609" spans="2:7" ht="24" thickBot="1" x14ac:dyDescent="0.5">
      <c r="B609" s="7">
        <f t="shared" si="56"/>
        <v>-0.98499999999998022</v>
      </c>
      <c r="C609" s="8">
        <f t="shared" si="57"/>
        <v>1.9849999999999806</v>
      </c>
      <c r="D609" s="9">
        <f t="shared" si="58"/>
        <v>0.23886483625682281</v>
      </c>
      <c r="E609" s="9">
        <f t="shared" si="59"/>
        <v>0.11954999999999943</v>
      </c>
      <c r="F609" s="13">
        <f t="shared" si="60"/>
        <v>0.23886483625682281</v>
      </c>
      <c r="G609" s="13">
        <f t="shared" si="61"/>
        <v>0.11954999999999943</v>
      </c>
    </row>
    <row r="610" spans="2:7" ht="24" thickBot="1" x14ac:dyDescent="0.5">
      <c r="B610" s="7">
        <f t="shared" si="56"/>
        <v>-0.98999999999998023</v>
      </c>
      <c r="C610" s="8">
        <f t="shared" si="57"/>
        <v>1.9899999999999805</v>
      </c>
      <c r="D610" s="9">
        <f t="shared" si="58"/>
        <v>0.23952027054092681</v>
      </c>
      <c r="E610" s="9">
        <f t="shared" si="59"/>
        <v>0.11969999999999942</v>
      </c>
      <c r="F610" s="13">
        <f t="shared" si="60"/>
        <v>0.23952027054092681</v>
      </c>
      <c r="G610" s="13">
        <f t="shared" si="61"/>
        <v>0.11969999999999942</v>
      </c>
    </row>
    <row r="611" spans="2:7" ht="24" thickBot="1" x14ac:dyDescent="0.5">
      <c r="B611" s="7">
        <f t="shared" si="56"/>
        <v>-0.99499999999998023</v>
      </c>
      <c r="C611" s="8">
        <f t="shared" si="57"/>
        <v>1.9949999999999803</v>
      </c>
      <c r="D611" s="9">
        <f t="shared" si="58"/>
        <v>0.24017595633201663</v>
      </c>
      <c r="E611" s="9">
        <f t="shared" si="59"/>
        <v>0.1198499999999994</v>
      </c>
      <c r="F611" s="13">
        <f t="shared" si="60"/>
        <v>0.24017595633201663</v>
      </c>
      <c r="G611" s="13">
        <f t="shared" si="61"/>
        <v>0.1198499999999994</v>
      </c>
    </row>
    <row r="612" spans="2:7" ht="24" thickBot="1" x14ac:dyDescent="0.5">
      <c r="B612" s="7">
        <f t="shared" si="56"/>
        <v>-0.99999999999998024</v>
      </c>
      <c r="C612" s="8">
        <f t="shared" si="57"/>
        <v>1.9999999999999802</v>
      </c>
      <c r="D612" s="9">
        <f t="shared" si="58"/>
        <v>0.24083189157584331</v>
      </c>
      <c r="E612" s="9">
        <f t="shared" si="59"/>
        <v>0.11999999999999941</v>
      </c>
      <c r="F612" s="13">
        <f t="shared" si="60"/>
        <v>0.24083189157584331</v>
      </c>
      <c r="G612" s="13">
        <f t="shared" si="61"/>
        <v>0.11999999999999941</v>
      </c>
    </row>
  </sheetData>
  <mergeCells count="3">
    <mergeCell ref="H4:I4"/>
    <mergeCell ref="B8:C10"/>
    <mergeCell ref="F10:G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Sem_Short_Sell</vt:lpstr>
      <vt:lpstr>Com_Short_Sell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Coelho Lavrado</dc:creator>
  <cp:lastModifiedBy>USER</cp:lastModifiedBy>
  <dcterms:created xsi:type="dcterms:W3CDTF">2018-03-22T19:40:25Z</dcterms:created>
  <dcterms:modified xsi:type="dcterms:W3CDTF">2019-02-19T22:21:56Z</dcterms:modified>
</cp:coreProperties>
</file>