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01" codeName="{0111311B-0956-48F4-D2DB-CD56BCBECE7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esktop\blog_new\Dados_Excel\"/>
    </mc:Choice>
  </mc:AlternateContent>
  <xr:revisionPtr revIDLastSave="0" documentId="8_{227AC73D-3098-486D-A3A8-208CE17C453E}" xr6:coauthVersionLast="43" xr6:coauthVersionMax="43" xr10:uidLastSave="{00000000-0000-0000-0000-000000000000}"/>
  <bookViews>
    <workbookView xWindow="-108" yWindow="-108" windowWidth="23256" windowHeight="13176" tabRatio="698" xr2:uid="{00000000-000D-0000-FFFF-FFFF00000000}"/>
  </bookViews>
  <sheets>
    <sheet name="Base" sheetId="4" r:id="rId1"/>
    <sheet name="Comp_Precos_Ajustados" sheetId="11" state="hidden" r:id="rId2"/>
    <sheet name="Precos" sheetId="8" state="hidden" r:id="rId3"/>
    <sheet name="Retornos" sheetId="13" state="hidden" r:id="rId4"/>
    <sheet name="Cadastro" sheetId="6" r:id="rId5"/>
    <sheet name="Dados" sheetId="3" state="hidden" r:id="rId6"/>
  </sheets>
  <functionGroups builtInGroupCount="19"/>
  <definedNames>
    <definedName name="_xlnm._FilterDatabase" localSheetId="5" hidden="1">Dados!#REF!</definedName>
    <definedName name="Range_Check">Base!$D$5:$D$191</definedName>
    <definedName name="Range_Data_Final">Base!$G$6</definedName>
    <definedName name="Range_Data_Inicial">Base!$G$5</definedName>
    <definedName name="Range_Inicio_Colunas">Base!$J$8</definedName>
    <definedName name="Range_Yahoo_Ticker">Base!$K$5</definedName>
    <definedName name="tipo_preco">Base!$G$4</definedName>
    <definedName name="tipo_retorno">Base!$G$9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5" i="4" l="1"/>
  <c r="C6" i="4" l="1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5" i="4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C7" i="4" s="1"/>
  <c r="B27" i="6"/>
  <c r="B28" i="6"/>
  <c r="B29" i="6"/>
  <c r="B30" i="6"/>
  <c r="B31" i="6"/>
  <c r="B32" i="6"/>
  <c r="C8" i="4" s="1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C10" i="4" s="1"/>
  <c r="B51" i="6"/>
  <c r="B52" i="6"/>
  <c r="B53" i="6"/>
  <c r="B54" i="6"/>
  <c r="B55" i="6"/>
  <c r="B56" i="6"/>
  <c r="B57" i="6"/>
  <c r="B58" i="6"/>
  <c r="B59" i="6"/>
  <c r="B60" i="6"/>
  <c r="B61" i="6"/>
  <c r="B62" i="6"/>
  <c r="C9" i="4" s="1"/>
  <c r="B63" i="6"/>
  <c r="B64" i="6"/>
  <c r="B65" i="6"/>
  <c r="B66" i="6"/>
  <c r="B4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Victor Dweck</author>
  </authors>
  <commentList>
    <comment ref="C4" authorId="0" shapeId="0" xr:uid="{51DC5C68-5442-4265-82D1-B10F1A966EF5}">
      <text>
        <r>
          <rPr>
            <sz val="9"/>
            <color indexed="81"/>
            <rFont val="Tahoma"/>
            <family val="2"/>
          </rPr>
          <t xml:space="preserve">Cadastrar na Sheet "Cadastro"
</t>
        </r>
      </text>
    </comment>
    <comment ref="K4" authorId="0" shapeId="0" xr:uid="{73E2D475-4D43-4B8E-98FC-C3132C46922F}">
      <text>
        <r>
          <rPr>
            <sz val="9"/>
            <color indexed="81"/>
            <rFont val="Tahoma"/>
            <family val="2"/>
          </rPr>
          <t xml:space="preserve">Cadastrar na Sheet "Cadastro"
</t>
        </r>
      </text>
    </comment>
  </commentList>
</comments>
</file>

<file path=xl/sharedStrings.xml><?xml version="1.0" encoding="utf-8"?>
<sst xmlns="http://schemas.openxmlformats.org/spreadsheetml/2006/main" count="371" uniqueCount="98">
  <si>
    <t>Open</t>
  </si>
  <si>
    <t>High</t>
  </si>
  <si>
    <t>Low</t>
  </si>
  <si>
    <t>Close</t>
  </si>
  <si>
    <t>Volume</t>
  </si>
  <si>
    <t>Adj Close</t>
  </si>
  <si>
    <t>Data Inicial:</t>
  </si>
  <si>
    <t>Data Final:</t>
  </si>
  <si>
    <t>EGIE3</t>
  </si>
  <si>
    <t>CYRE3</t>
  </si>
  <si>
    <t>VALE3</t>
  </si>
  <si>
    <t>ABEV3</t>
  </si>
  <si>
    <t>AZUL4</t>
  </si>
  <si>
    <t>B3SA3</t>
  </si>
  <si>
    <t>BBAS3</t>
  </si>
  <si>
    <t>BBDC3</t>
  </si>
  <si>
    <t>BBDC4</t>
  </si>
  <si>
    <t>BBSE3</t>
  </si>
  <si>
    <t>BRAP4</t>
  </si>
  <si>
    <t>BRDT3</t>
  </si>
  <si>
    <t>BRFS3</t>
  </si>
  <si>
    <t>BRKM5</t>
  </si>
  <si>
    <t>BRML3</t>
  </si>
  <si>
    <t>BTOW3</t>
  </si>
  <si>
    <t>CCRO3</t>
  </si>
  <si>
    <t>CIEL3</t>
  </si>
  <si>
    <t>CMIG4</t>
  </si>
  <si>
    <t>CSAN3</t>
  </si>
  <si>
    <t>CSNA3</t>
  </si>
  <si>
    <t>CVCB3</t>
  </si>
  <si>
    <t>ECOR3</t>
  </si>
  <si>
    <t>ELET3</t>
  </si>
  <si>
    <t>ELET6</t>
  </si>
  <si>
    <t>EMBR3</t>
  </si>
  <si>
    <t>ENBR3</t>
  </si>
  <si>
    <t>EQTL3</t>
  </si>
  <si>
    <t>FLRY3</t>
  </si>
  <si>
    <t>GGBR4</t>
  </si>
  <si>
    <t>GOAU4</t>
  </si>
  <si>
    <t>GOLL4</t>
  </si>
  <si>
    <t>HYPE3</t>
  </si>
  <si>
    <t>IGTA3</t>
  </si>
  <si>
    <t>IRBR3</t>
  </si>
  <si>
    <t>ITSA4</t>
  </si>
  <si>
    <t>ITUB4</t>
  </si>
  <si>
    <t>JBSS3</t>
  </si>
  <si>
    <t>KROT3</t>
  </si>
  <si>
    <t>LAME4</t>
  </si>
  <si>
    <t>LREN3</t>
  </si>
  <si>
    <t>MGLU3</t>
  </si>
  <si>
    <t>MRFG3</t>
  </si>
  <si>
    <t>MRVE3</t>
  </si>
  <si>
    <t>MULT3</t>
  </si>
  <si>
    <t>NATU3</t>
  </si>
  <si>
    <t>PCAR4</t>
  </si>
  <si>
    <t>PETR3</t>
  </si>
  <si>
    <t>PETR4</t>
  </si>
  <si>
    <t>QUAL3</t>
  </si>
  <si>
    <t>RADL3</t>
  </si>
  <si>
    <t>RAIL3</t>
  </si>
  <si>
    <t>RENT3</t>
  </si>
  <si>
    <t>SBSP3</t>
  </si>
  <si>
    <t>SMLS3</t>
  </si>
  <si>
    <t>SUZB3</t>
  </si>
  <si>
    <t>TIMP3</t>
  </si>
  <si>
    <t>UGPA3</t>
  </si>
  <si>
    <t>USIM5</t>
  </si>
  <si>
    <t>VIVT4</t>
  </si>
  <si>
    <t>VVAR3</t>
  </si>
  <si>
    <t>WEGE3</t>
  </si>
  <si>
    <t>YDUQ3</t>
  </si>
  <si>
    <t>Ticker</t>
  </si>
  <si>
    <t>Ticker Yahoo</t>
  </si>
  <si>
    <t>Ticker Referencia =&gt;</t>
  </si>
  <si>
    <t>Check</t>
  </si>
  <si>
    <t>Data</t>
  </si>
  <si>
    <t>IBOV</t>
  </si>
  <si>
    <t>^BVSP</t>
  </si>
  <si>
    <t>Tipo Preco</t>
  </si>
  <si>
    <t>Tipo Retorno</t>
  </si>
  <si>
    <t>BIDI4</t>
  </si>
  <si>
    <t>BIDI4.SA</t>
  </si>
  <si>
    <t>Correto</t>
  </si>
  <si>
    <t>Preço Ajustado Yahoo</t>
  </si>
  <si>
    <t>Diferença</t>
  </si>
  <si>
    <t>Comparacao da rentabilidade pelo preco ajustado do Yahoo Finance contra o preco ajustado da Bloomberg (correto), ate 22 de agosto de 2019</t>
  </si>
  <si>
    <t>Preço Nao Ajustado Yahoo</t>
  </si>
  <si>
    <t>Show?</t>
  </si>
  <si>
    <t>Escolher as Colunas Para Carregar</t>
  </si>
  <si>
    <t>Y</t>
  </si>
  <si>
    <t>Lista de Ativos</t>
  </si>
  <si>
    <t>Ativo Único</t>
  </si>
  <si>
    <t>USDBRL</t>
  </si>
  <si>
    <t>USDBRL=X</t>
  </si>
  <si>
    <t>Fields</t>
  </si>
  <si>
    <t>Date</t>
  </si>
  <si>
    <t>Linear</t>
  </si>
  <si>
    <t>Preço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</si>
</sst>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* #,##0.00_);_(* \(#,##0.00\);_(* &quot;-&quot;??_);_(@_)"/>
    <numFmt numFmtId="165" formatCode="[$-409]d\-mmm\-yy;@"/>
    <numFmt numFmtId="166" formatCode="[$-416]dd\-mmm\-yy;@"/>
    <numFmt numFmtId="167" formatCode="0.0%"/>
  </numFmts>
  <fonts count="20">
    <font>
      <sz val="11"/>
      <color theme="1"/>
      <name val="Calibri"/>
      <family val="2"/>
      <scheme val="minor"/>
    </font>
    <font>
      <sz val="12"/>
      <name val="宋体"/>
      <charset val="134"/>
    </font>
    <font>
      <sz val="12"/>
      <color rgb="FF505050"/>
      <name val="Verdana"/>
      <family val="2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b/>
      <i/>
      <sz val="9"/>
      <color rgb="FFFF0000"/>
      <name val="Calibri"/>
      <family val="2"/>
      <scheme val="minor"/>
    </font>
    <font>
      <b/>
      <i/>
      <sz val="20"/>
      <color rgb="FF00B050"/>
      <name val="Wingdings 2"/>
      <family val="1"/>
      <charset val="2"/>
    </font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name val="Calibri"/>
      <family val="2"/>
      <scheme val="minor"/>
    </font>
    <font>
      <i/>
      <sz val="14"/>
      <color theme="1"/>
      <name val="Calibri"/>
      <family val="2"/>
      <scheme val="minor"/>
    </font>
    <font>
      <sz val="14"/>
      <color indexed="8"/>
      <name val="Calibri"/>
      <family val="2"/>
    </font>
    <font>
      <sz val="12"/>
      <color theme="1"/>
      <name val="Verdana"/>
      <family val="2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4.9989318521683403E-2"/>
        <bgColor indexed="64"/>
      </patternFill>
    </fill>
  </fills>
  <borders count="31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theme="0" tint="-4.9989318521683403E-2"/>
      </right>
      <top style="medium">
        <color theme="1" tint="0.499984740745262"/>
      </top>
      <bottom style="medium">
        <color theme="0" tint="-4.9989318521683403E-2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theme="1" tint="0.499984740745262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0" tint="-0.34998626667073579"/>
      </bottom>
      <diagonal/>
    </border>
    <border>
      <left/>
      <right/>
      <top/>
      <bottom style="hair">
        <color theme="0" tint="-0.499984740745262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 style="medium">
        <color indexed="64"/>
      </left>
      <right/>
      <top/>
      <bottom style="hair">
        <color theme="0" tint="-0.499984740745262"/>
      </bottom>
      <diagonal/>
    </border>
    <border>
      <left style="medium">
        <color indexed="64"/>
      </left>
      <right/>
      <top style="hair">
        <color theme="0" tint="-0.499984740745262"/>
      </top>
      <bottom style="hair">
        <color theme="0" tint="-0.499984740745262"/>
      </bottom>
      <diagonal/>
    </border>
    <border>
      <left style="medium">
        <color indexed="64"/>
      </left>
      <right/>
      <top style="hair">
        <color theme="0" tint="-0.499984740745262"/>
      </top>
      <bottom style="medium">
        <color indexed="64"/>
      </bottom>
      <diagonal/>
    </border>
    <border>
      <left/>
      <right/>
      <top style="hair">
        <color theme="0" tint="-0.499984740745262"/>
      </top>
      <bottom style="medium">
        <color indexed="64"/>
      </bottom>
      <diagonal/>
    </border>
    <border>
      <left style="medium">
        <color indexed="64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</borders>
  <cellStyleXfs count="6">
    <xf numFmtId="0" fontId="0" fillId="0" borderId="0"/>
    <xf numFmtId="0" fontId="1" fillId="0" borderId="0">
      <alignment vertical="center"/>
    </xf>
    <xf numFmtId="0" fontId="4" fillId="0" borderId="0" applyNumberFormat="0" applyFill="0" applyBorder="0" applyAlignment="0" applyProtection="0"/>
    <xf numFmtId="0" fontId="7" fillId="0" borderId="0"/>
    <xf numFmtId="9" fontId="11" fillId="0" borderId="0" applyFont="0" applyFill="0" applyBorder="0" applyAlignment="0" applyProtection="0"/>
    <xf numFmtId="164" fontId="11" fillId="0" borderId="0" applyFont="0" applyFill="0" applyBorder="0" applyAlignment="0" applyProtection="0"/>
  </cellStyleXfs>
  <cellXfs count="61">
    <xf numFmtId="0" fontId="0" fillId="0" borderId="0" xfId="0"/>
    <xf numFmtId="0" fontId="0" fillId="0" borderId="0" xfId="0" applyBorder="1"/>
    <xf numFmtId="14" fontId="0" fillId="0" borderId="0" xfId="0" applyNumberFormat="1"/>
    <xf numFmtId="0" fontId="0" fillId="2" borderId="1" xfId="0" applyFill="1" applyBorder="1"/>
    <xf numFmtId="0" fontId="4" fillId="0" borderId="0" xfId="2"/>
    <xf numFmtId="165" fontId="2" fillId="3" borderId="2" xfId="0" applyNumberFormat="1" applyFont="1" applyFill="1" applyBorder="1" applyAlignment="1">
      <alignment horizontal="left" vertical="center"/>
    </xf>
    <xf numFmtId="0" fontId="6" fillId="2" borderId="3" xfId="0" applyFont="1" applyFill="1" applyBorder="1" applyAlignment="1">
      <alignment horizontal="center" vertical="center"/>
    </xf>
    <xf numFmtId="0" fontId="5" fillId="0" borderId="3" xfId="0" applyFont="1" applyBorder="1"/>
    <xf numFmtId="0" fontId="0" fillId="0" borderId="3" xfId="0" applyBorder="1"/>
    <xf numFmtId="166" fontId="0" fillId="0" borderId="0" xfId="0" applyNumberFormat="1"/>
    <xf numFmtId="0" fontId="8" fillId="5" borderId="3" xfId="3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8" fillId="5" borderId="3" xfId="3" applyFont="1" applyFill="1" applyBorder="1" applyAlignment="1">
      <alignment horizontal="left" vertical="center" wrapText="1"/>
    </xf>
    <xf numFmtId="167" fontId="0" fillId="0" borderId="0" xfId="4" applyNumberFormat="1" applyFont="1"/>
    <xf numFmtId="10" fontId="0" fillId="0" borderId="0" xfId="4" applyNumberFormat="1" applyFont="1"/>
    <xf numFmtId="10" fontId="0" fillId="0" borderId="0" xfId="0" applyNumberFormat="1"/>
    <xf numFmtId="164" fontId="0" fillId="0" borderId="0" xfId="5" applyFont="1"/>
    <xf numFmtId="167" fontId="0" fillId="0" borderId="0" xfId="4" applyNumberFormat="1" applyFont="1" applyAlignment="1">
      <alignment horizontal="center"/>
    </xf>
    <xf numFmtId="0" fontId="6" fillId="6" borderId="0" xfId="0" applyFont="1" applyFill="1"/>
    <xf numFmtId="167" fontId="6" fillId="6" borderId="0" xfId="4" applyNumberFormat="1" applyFont="1" applyFill="1" applyAlignment="1">
      <alignment horizontal="center"/>
    </xf>
    <xf numFmtId="0" fontId="0" fillId="7" borderId="0" xfId="0" applyFill="1"/>
    <xf numFmtId="167" fontId="0" fillId="7" borderId="0" xfId="4" applyNumberFormat="1" applyFont="1" applyFill="1" applyAlignment="1">
      <alignment horizontal="center"/>
    </xf>
    <xf numFmtId="0" fontId="0" fillId="0" borderId="8" xfId="0" applyBorder="1"/>
    <xf numFmtId="165" fontId="2" fillId="3" borderId="12" xfId="0" applyNumberFormat="1" applyFont="1" applyFill="1" applyBorder="1" applyAlignment="1">
      <alignment horizontal="left" vertical="center"/>
    </xf>
    <xf numFmtId="0" fontId="6" fillId="2" borderId="14" xfId="0" applyFont="1" applyFill="1" applyBorder="1" applyAlignment="1">
      <alignment horizontal="center" vertical="center"/>
    </xf>
    <xf numFmtId="0" fontId="16" fillId="5" borderId="13" xfId="3" applyFont="1" applyFill="1" applyBorder="1" applyAlignment="1">
      <alignment horizontal="center" vertical="top" wrapText="1"/>
    </xf>
    <xf numFmtId="0" fontId="14" fillId="2" borderId="18" xfId="0" applyFont="1" applyFill="1" applyBorder="1" applyAlignment="1">
      <alignment horizontal="center" vertical="center"/>
    </xf>
    <xf numFmtId="0" fontId="14" fillId="2" borderId="17" xfId="0" applyFont="1" applyFill="1" applyBorder="1" applyAlignment="1">
      <alignment vertical="center"/>
    </xf>
    <xf numFmtId="0" fontId="6" fillId="2" borderId="23" xfId="0" applyFont="1" applyFill="1" applyBorder="1" applyAlignment="1">
      <alignment horizontal="center" vertical="center"/>
    </xf>
    <xf numFmtId="0" fontId="6" fillId="2" borderId="24" xfId="0" applyFont="1" applyFill="1" applyBorder="1" applyAlignment="1">
      <alignment horizontal="center" vertical="center"/>
    </xf>
    <xf numFmtId="0" fontId="6" fillId="2" borderId="25" xfId="0" applyFont="1" applyFill="1" applyBorder="1" applyAlignment="1">
      <alignment horizontal="center" vertical="center"/>
    </xf>
    <xf numFmtId="0" fontId="5" fillId="4" borderId="26" xfId="0" applyFont="1" applyFill="1" applyBorder="1" applyAlignment="1">
      <alignment vertical="center"/>
    </xf>
    <xf numFmtId="0" fontId="10" fillId="4" borderId="27" xfId="0" applyFont="1" applyFill="1" applyBorder="1" applyAlignment="1">
      <alignment horizontal="center" vertical="center"/>
    </xf>
    <xf numFmtId="0" fontId="5" fillId="4" borderId="28" xfId="0" applyFont="1" applyFill="1" applyBorder="1" applyAlignment="1">
      <alignment vertical="center"/>
    </xf>
    <xf numFmtId="0" fontId="8" fillId="5" borderId="29" xfId="3" applyFont="1" applyFill="1" applyBorder="1" applyAlignment="1">
      <alignment vertical="center" wrapText="1"/>
    </xf>
    <xf numFmtId="0" fontId="10" fillId="4" borderId="30" xfId="0" applyFont="1" applyFill="1" applyBorder="1" applyAlignment="1">
      <alignment horizontal="center" vertical="center"/>
    </xf>
    <xf numFmtId="0" fontId="19" fillId="3" borderId="19" xfId="0" applyFont="1" applyFill="1" applyBorder="1" applyAlignment="1">
      <alignment horizontal="center" vertical="center"/>
    </xf>
    <xf numFmtId="0" fontId="19" fillId="3" borderId="15" xfId="0" applyFont="1" applyFill="1" applyBorder="1" applyAlignment="1">
      <alignment horizontal="center" vertical="center"/>
    </xf>
    <xf numFmtId="0" fontId="19" fillId="0" borderId="20" xfId="0" applyFont="1" applyBorder="1" applyAlignment="1">
      <alignment horizontal="center" vertical="center"/>
    </xf>
    <xf numFmtId="0" fontId="19" fillId="0" borderId="16" xfId="0" applyFont="1" applyBorder="1" applyAlignment="1">
      <alignment horizontal="center" vertical="center"/>
    </xf>
    <xf numFmtId="0" fontId="19" fillId="3" borderId="20" xfId="0" applyFont="1" applyFill="1" applyBorder="1" applyAlignment="1">
      <alignment horizontal="center" vertical="center"/>
    </xf>
    <xf numFmtId="0" fontId="19" fillId="0" borderId="21" xfId="0" applyFont="1" applyBorder="1" applyAlignment="1">
      <alignment horizontal="center" vertical="center"/>
    </xf>
    <xf numFmtId="0" fontId="19" fillId="0" borderId="22" xfId="0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 wrapText="1"/>
    </xf>
    <xf numFmtId="0" fontId="15" fillId="0" borderId="7" xfId="0" applyFont="1" applyBorder="1" applyAlignment="1">
      <alignment horizontal="center" vertical="center" wrapText="1"/>
    </xf>
    <xf numFmtId="0" fontId="15" fillId="0" borderId="8" xfId="0" applyFont="1" applyBorder="1" applyAlignment="1">
      <alignment horizontal="center" vertical="center" wrapText="1"/>
    </xf>
    <xf numFmtId="0" fontId="15" fillId="0" borderId="9" xfId="0" applyFont="1" applyBorder="1" applyAlignment="1">
      <alignment horizontal="center" vertical="center" wrapText="1"/>
    </xf>
    <xf numFmtId="0" fontId="15" fillId="0" borderId="11" xfId="0" applyFont="1" applyBorder="1" applyAlignment="1">
      <alignment horizontal="center" vertical="center" wrapText="1"/>
    </xf>
    <xf numFmtId="0" fontId="17" fillId="0" borderId="5" xfId="0" applyFont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2" fillId="0" borderId="4" xfId="0" applyFont="1" applyBorder="1" applyAlignment="1">
      <alignment horizontal="center" vertical="center" wrapText="1"/>
    </xf>
    <xf numFmtId="0" fontId="12" fillId="0" borderId="5" xfId="0" applyFont="1" applyBorder="1" applyAlignment="1">
      <alignment horizontal="center" vertical="center" wrapText="1"/>
    </xf>
    <xf numFmtId="0" fontId="12" fillId="0" borderId="6" xfId="0" applyFont="1" applyBorder="1" applyAlignment="1">
      <alignment horizontal="center" vertical="center" wrapText="1"/>
    </xf>
    <xf numFmtId="0" fontId="12" fillId="0" borderId="7" xfId="0" applyFont="1" applyBorder="1" applyAlignment="1">
      <alignment horizontal="center" vertical="center" wrapText="1"/>
    </xf>
    <xf numFmtId="0" fontId="12" fillId="0" borderId="0" xfId="0" applyFont="1" applyBorder="1" applyAlignment="1">
      <alignment horizontal="center" vertical="center" wrapText="1"/>
    </xf>
    <xf numFmtId="0" fontId="12" fillId="0" borderId="8" xfId="0" applyFont="1" applyBorder="1" applyAlignment="1">
      <alignment horizontal="center" vertical="center" wrapText="1"/>
    </xf>
    <xf numFmtId="0" fontId="12" fillId="0" borderId="9" xfId="0" applyFont="1" applyBorder="1" applyAlignment="1">
      <alignment horizontal="center" vertical="center" wrapText="1"/>
    </xf>
    <xf numFmtId="0" fontId="12" fillId="0" borderId="10" xfId="0" applyFont="1" applyBorder="1" applyAlignment="1">
      <alignment horizontal="center" vertical="center" wrapText="1"/>
    </xf>
    <xf numFmtId="0" fontId="12" fillId="0" borderId="11" xfId="0" applyFont="1" applyBorder="1" applyAlignment="1">
      <alignment horizontal="center" vertical="center" wrapText="1"/>
    </xf>
  </cellXfs>
  <cellStyles count="6">
    <cellStyle name="Comma" xfId="5" builtinId="3"/>
    <cellStyle name="Hyperlink" xfId="2" builtinId="8"/>
    <cellStyle name="Normal" xfId="0" builtinId="0"/>
    <cellStyle name="Normal 2" xfId="1" xr:uid="{00000000-0005-0000-0000-000002000000}"/>
    <cellStyle name="Normal_Base" xfId="3" xr:uid="{58087D2A-EC64-4C7C-B084-062458F1890F}"/>
    <cellStyle name="Percent" xfId="4" builtinId="5"/>
  </cellStyles>
  <dxfs count="0"/>
  <tableStyles count="0" defaultTableStyle="TableStyleMedium2" defaultPivotStyle="PivotStyleLight16"/>
  <colors>
    <mruColors>
      <color rgb="FFFFFFC1"/>
      <color rgb="FF00508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youtube.com/watch?v=lkPL1KV5roI&amp;feature=youtu.be" TargetMode="External"/><Relationship Id="rId2" Type="http://schemas.openxmlformats.org/officeDocument/2006/relationships/hyperlink" Target="http://ferramentasdoinvestidor.com.br/" TargetMode="External"/><Relationship Id="rId1" Type="http://schemas.openxmlformats.org/officeDocument/2006/relationships/image" Target="../media/image1.png"/><Relationship Id="rId4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68580</xdr:colOff>
          <xdr:row>2</xdr:row>
          <xdr:rowOff>182880</xdr:rowOff>
        </xdr:from>
        <xdr:to>
          <xdr:col>8</xdr:col>
          <xdr:colOff>647700</xdr:colOff>
          <xdr:row>5</xdr:row>
          <xdr:rowOff>198120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Download Cotações Lista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74295</xdr:colOff>
      <xdr:row>0</xdr:row>
      <xdr:rowOff>40005</xdr:rowOff>
    </xdr:from>
    <xdr:to>
      <xdr:col>1</xdr:col>
      <xdr:colOff>742950</xdr:colOff>
      <xdr:row>0</xdr:row>
      <xdr:rowOff>580423</xdr:rowOff>
    </xdr:to>
    <xdr:pic>
      <xdr:nvPicPr>
        <xdr:cNvPr id="4" name="Picture 3" descr="logo_fi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295" y="40005"/>
          <a:ext cx="1689735" cy="54041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</xdr:col>
      <xdr:colOff>805815</xdr:colOff>
      <xdr:row>0</xdr:row>
      <xdr:rowOff>424815</xdr:rowOff>
    </xdr:from>
    <xdr:ext cx="2707857" cy="142875"/>
    <xdr:sp macro="" textlink="">
      <xdr:nvSpPr>
        <xdr:cNvPr id="5" name="TextBox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1826895" y="424815"/>
          <a:ext cx="2707857" cy="1428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r>
            <a:rPr lang="en-US" sz="1200"/>
            <a:t>http://ferramentasdoinvestidor.com.br/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68580</xdr:colOff>
          <xdr:row>7</xdr:row>
          <xdr:rowOff>213360</xdr:rowOff>
        </xdr:from>
        <xdr:to>
          <xdr:col>8</xdr:col>
          <xdr:colOff>647700</xdr:colOff>
          <xdr:row>10</xdr:row>
          <xdr:rowOff>236220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 Retornos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2</xdr:row>
          <xdr:rowOff>182880</xdr:rowOff>
        </xdr:from>
        <xdr:to>
          <xdr:col>12</xdr:col>
          <xdr:colOff>541020</xdr:colOff>
          <xdr:row>5</xdr:row>
          <xdr:rowOff>198120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0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Download Dados Ação</a:t>
              </a:r>
            </a:p>
          </xdr:txBody>
        </xdr:sp>
        <xdr:clientData fPrintsWithSheet="0"/>
      </xdr:twoCellAnchor>
    </mc:Choice>
    <mc:Fallback/>
  </mc:AlternateContent>
  <xdr:oneCellAnchor>
    <xdr:from>
      <xdr:col>7</xdr:col>
      <xdr:colOff>281940</xdr:colOff>
      <xdr:row>0</xdr:row>
      <xdr:rowOff>129540</xdr:rowOff>
    </xdr:from>
    <xdr:ext cx="2227982" cy="342786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BDFDC76-044F-43B5-9D16-C74AFF2FE002}"/>
            </a:ext>
          </a:extLst>
        </xdr:cNvPr>
        <xdr:cNvSpPr txBox="1"/>
      </xdr:nvSpPr>
      <xdr:spPr>
        <a:xfrm>
          <a:off x="6758940" y="129540"/>
          <a:ext cx="2227982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600"/>
            <a:t>Como usar a planilha</a:t>
          </a:r>
          <a:r>
            <a:rPr lang="pt-BR" sz="1600" baseline="0"/>
            <a:t> =&gt; </a:t>
          </a:r>
          <a:endParaRPr lang="pt-BR" sz="1600"/>
        </a:p>
      </xdr:txBody>
    </xdr:sp>
    <xdr:clientData/>
  </xdr:oneCellAnchor>
  <xdr:oneCellAnchor>
    <xdr:from>
      <xdr:col>9</xdr:col>
      <xdr:colOff>746761</xdr:colOff>
      <xdr:row>0</xdr:row>
      <xdr:rowOff>68581</xdr:rowOff>
    </xdr:from>
    <xdr:ext cx="472440" cy="472440"/>
    <xdr:pic>
      <xdr:nvPicPr>
        <xdr:cNvPr id="8" name="Picture 7" descr="Resultado de imagem para Video Symbol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5933641-B3BB-4C87-A546-E6E858A63B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duotone>
            <a:schemeClr val="accent6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92541" y="68581"/>
          <a:ext cx="472440" cy="4724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rgb="FF00B0F0"/>
  </sheetPr>
  <dimension ref="A1:M191"/>
  <sheetViews>
    <sheetView showGridLines="0" showRowColHeaders="0" tabSelected="1" zoomScaleNormal="100" workbookViewId="0">
      <selection activeCell="I17" sqref="I17"/>
    </sheetView>
  </sheetViews>
  <sheetFormatPr defaultRowHeight="14.4"/>
  <cols>
    <col min="1" max="1" width="14.88671875" customWidth="1"/>
    <col min="2" max="2" width="16.88671875" customWidth="1"/>
    <col min="3" max="3" width="21.33203125" style="11" customWidth="1"/>
    <col min="4" max="4" width="7" customWidth="1"/>
    <col min="5" max="5" width="2.5546875" customWidth="1"/>
    <col min="6" max="6" width="12.6640625" bestFit="1" customWidth="1"/>
    <col min="7" max="7" width="19.109375" bestFit="1" customWidth="1"/>
    <col min="8" max="8" width="9.88671875" customWidth="1"/>
    <col min="9" max="9" width="14.44140625" customWidth="1"/>
    <col min="10" max="10" width="15.109375" customWidth="1"/>
    <col min="11" max="11" width="15.88671875" customWidth="1"/>
  </cols>
  <sheetData>
    <row r="1" spans="1:13" ht="49.8" customHeight="1" thickBot="1">
      <c r="C1" s="4"/>
    </row>
    <row r="2" spans="1:13" s="3" customFormat="1" ht="6.75" customHeight="1" thickBot="1"/>
    <row r="3" spans="1:13" ht="26.4" customHeight="1" thickBot="1">
      <c r="B3" s="50" t="s">
        <v>90</v>
      </c>
      <c r="C3" s="50"/>
      <c r="D3" s="50"/>
      <c r="J3" s="51" t="s">
        <v>91</v>
      </c>
      <c r="K3" s="51"/>
    </row>
    <row r="4" spans="1:13" ht="24.6" customHeight="1" thickBot="1">
      <c r="B4" s="28" t="s">
        <v>71</v>
      </c>
      <c r="C4" s="29" t="s">
        <v>72</v>
      </c>
      <c r="D4" s="30" t="s">
        <v>74</v>
      </c>
      <c r="F4" s="7" t="s">
        <v>78</v>
      </c>
      <c r="G4" s="5" t="s">
        <v>97</v>
      </c>
      <c r="I4" s="22"/>
      <c r="J4" s="24" t="s">
        <v>71</v>
      </c>
      <c r="K4" s="24" t="s">
        <v>72</v>
      </c>
    </row>
    <row r="5" spans="1:13" ht="19.95" customHeight="1" thickBot="1">
      <c r="A5" s="43" t="s">
        <v>73</v>
      </c>
      <c r="B5" s="31" t="s">
        <v>76</v>
      </c>
      <c r="C5" s="12" t="str">
        <f>IF(ISTEXT(B5),IFERROR(VLOOKUP(B5,Cadastro!A:B,2,FALSE),"Ticker Não Cadastrado"),"")</f>
        <v>^BVSP</v>
      </c>
      <c r="D5" s="32"/>
      <c r="F5" s="7" t="s">
        <v>6</v>
      </c>
      <c r="G5" s="5">
        <v>43464</v>
      </c>
      <c r="I5" s="22"/>
      <c r="J5" s="23" t="s">
        <v>76</v>
      </c>
      <c r="K5" s="25" t="str">
        <f>IF(ISTEXT(J5),IFERROR(VLOOKUP(J5,Cadastro!A:B,2,FALSE),"Ticker Não Cadastrado"),"")</f>
        <v>^BVSP</v>
      </c>
    </row>
    <row r="6" spans="1:13" ht="19.95" customHeight="1" thickBot="1">
      <c r="A6" s="1"/>
      <c r="B6" s="31" t="s">
        <v>92</v>
      </c>
      <c r="C6" s="12" t="str">
        <f>IF(ISTEXT(B6),IFERROR(VLOOKUP(B6,Cadastro!A:B,2,FALSE),"Ticker Não Cadastrado"),"")</f>
        <v>USDBRL=X</v>
      </c>
      <c r="D6" s="32"/>
      <c r="F6" s="7" t="s">
        <v>7</v>
      </c>
      <c r="G6" s="5">
        <v>43709</v>
      </c>
    </row>
    <row r="7" spans="1:13" ht="19.95" customHeight="1" thickBot="1">
      <c r="A7" s="1"/>
      <c r="B7" s="31" t="s">
        <v>11</v>
      </c>
      <c r="C7" s="12" t="str">
        <f>IF(ISTEXT(B7),IFERROR(VLOOKUP(B7,Cadastro!A:B,2,FALSE),"Ticker Não Cadastrado"),"")</f>
        <v>ABEV3.SA</v>
      </c>
      <c r="D7" s="32"/>
      <c r="J7" s="27" t="s">
        <v>94</v>
      </c>
      <c r="K7" s="26" t="s">
        <v>87</v>
      </c>
      <c r="L7" s="44" t="s">
        <v>88</v>
      </c>
      <c r="M7" s="45"/>
    </row>
    <row r="8" spans="1:13" ht="19.95" customHeight="1" thickTop="1" thickBot="1">
      <c r="B8" s="31" t="s">
        <v>37</v>
      </c>
      <c r="C8" s="12" t="str">
        <f>IF(ISTEXT(B8),IFERROR(VLOOKUP(B8,Cadastro!A:B,2,FALSE),"Ticker Não Cadastrado"),"")</f>
        <v>GGBR4.SA</v>
      </c>
      <c r="D8" s="32"/>
      <c r="J8" s="36" t="s">
        <v>0</v>
      </c>
      <c r="K8" s="37" t="s">
        <v>89</v>
      </c>
      <c r="L8" s="46"/>
      <c r="M8" s="47"/>
    </row>
    <row r="9" spans="1:13" ht="19.95" customHeight="1" thickBot="1">
      <c r="B9" s="31" t="s">
        <v>10</v>
      </c>
      <c r="C9" s="10" t="str">
        <f>IF(ISTEXT(B9),IFERROR(VLOOKUP(B9,Cadastro!A:B,2,FALSE),"Ticker Não Cadastrado"),"")</f>
        <v>VALE3.SA</v>
      </c>
      <c r="D9" s="32"/>
      <c r="F9" s="7" t="s">
        <v>79</v>
      </c>
      <c r="G9" s="5" t="s">
        <v>96</v>
      </c>
      <c r="J9" s="38" t="s">
        <v>1</v>
      </c>
      <c r="K9" s="39" t="s">
        <v>89</v>
      </c>
      <c r="L9" s="46"/>
      <c r="M9" s="47"/>
    </row>
    <row r="10" spans="1:13" ht="19.95" customHeight="1">
      <c r="B10" s="31" t="s">
        <v>55</v>
      </c>
      <c r="C10" s="10" t="str">
        <f>IF(ISTEXT(B10),IFERROR(VLOOKUP(B10,Cadastro!A:B,2,FALSE),"Ticker Não Cadastrado"),"")</f>
        <v>PETR3.SA</v>
      </c>
      <c r="D10" s="32"/>
      <c r="J10" s="40" t="s">
        <v>2</v>
      </c>
      <c r="K10" s="37" t="s">
        <v>89</v>
      </c>
      <c r="L10" s="46"/>
      <c r="M10" s="47"/>
    </row>
    <row r="11" spans="1:13" ht="19.95" customHeight="1">
      <c r="B11" s="31"/>
      <c r="C11" s="10" t="str">
        <f>IF(ISTEXT(B11),IFERROR(VLOOKUP(B11,Cadastro!A:B,2,FALSE),"Ticker Não Cadastrado"),"")</f>
        <v/>
      </c>
      <c r="D11" s="32"/>
      <c r="J11" s="38" t="s">
        <v>3</v>
      </c>
      <c r="K11" s="39" t="s">
        <v>89</v>
      </c>
      <c r="L11" s="46"/>
      <c r="M11" s="47"/>
    </row>
    <row r="12" spans="1:13" ht="19.95" customHeight="1">
      <c r="B12" s="31"/>
      <c r="C12" s="10" t="str">
        <f>IF(ISTEXT(B12),IFERROR(VLOOKUP(B12,Cadastro!A:B,2,FALSE),"Ticker Não Cadastrado"),"")</f>
        <v/>
      </c>
      <c r="D12" s="32"/>
      <c r="J12" s="40" t="s">
        <v>4</v>
      </c>
      <c r="K12" s="37" t="s">
        <v>89</v>
      </c>
      <c r="L12" s="46"/>
      <c r="M12" s="47"/>
    </row>
    <row r="13" spans="1:13" ht="19.95" customHeight="1" thickBot="1">
      <c r="B13" s="31"/>
      <c r="C13" s="10" t="str">
        <f>IF(ISTEXT(B13),IFERROR(VLOOKUP(B13,Cadastro!A:B,2,FALSE),"Ticker Não Cadastrado"),"")</f>
        <v/>
      </c>
      <c r="D13" s="32"/>
      <c r="J13" s="41" t="s">
        <v>5</v>
      </c>
      <c r="K13" s="42" t="s">
        <v>89</v>
      </c>
      <c r="L13" s="48"/>
      <c r="M13" s="49"/>
    </row>
    <row r="14" spans="1:13" ht="19.95" customHeight="1">
      <c r="B14" s="31"/>
      <c r="C14" s="10" t="str">
        <f>IF(ISTEXT(B14),IFERROR(VLOOKUP(B14,Cadastro!A:B,2,FALSE),"Ticker Não Cadastrado"),"")</f>
        <v/>
      </c>
      <c r="D14" s="32"/>
    </row>
    <row r="15" spans="1:13" ht="19.95" customHeight="1">
      <c r="B15" s="31"/>
      <c r="C15" s="10" t="str">
        <f>IF(ISTEXT(B15),IFERROR(VLOOKUP(B15,Cadastro!A:B,2,FALSE),"Ticker Não Cadastrado"),"")</f>
        <v/>
      </c>
      <c r="D15" s="32"/>
    </row>
    <row r="16" spans="1:13" ht="19.95" customHeight="1">
      <c r="B16" s="31"/>
      <c r="C16" s="10" t="str">
        <f>IF(ISTEXT(B16),IFERROR(VLOOKUP(B16,Cadastro!A:B,2,FALSE),"Ticker Não Cadastrado"),"")</f>
        <v/>
      </c>
      <c r="D16" s="32"/>
    </row>
    <row r="17" spans="2:4" ht="19.95" customHeight="1">
      <c r="B17" s="31"/>
      <c r="C17" s="10" t="str">
        <f>IF(ISTEXT(B17),IFERROR(VLOOKUP(B17,Cadastro!A:B,2,FALSE),"Ticker Não Cadastrado"),"")</f>
        <v/>
      </c>
      <c r="D17" s="32"/>
    </row>
    <row r="18" spans="2:4" ht="19.95" customHeight="1">
      <c r="B18" s="31"/>
      <c r="C18" s="10" t="str">
        <f>IF(ISTEXT(B18),IFERROR(VLOOKUP(B18,Cadastro!A:B,2,FALSE),"Ticker Não Cadastrado"),"")</f>
        <v/>
      </c>
      <c r="D18" s="32"/>
    </row>
    <row r="19" spans="2:4" ht="19.95" customHeight="1">
      <c r="B19" s="31"/>
      <c r="C19" s="10" t="str">
        <f>IF(ISTEXT(B19),IFERROR(VLOOKUP(B19,Cadastro!A:B,2,FALSE),"Ticker Não Cadastrado"),"")</f>
        <v/>
      </c>
      <c r="D19" s="32"/>
    </row>
    <row r="20" spans="2:4" ht="19.95" customHeight="1">
      <c r="B20" s="31"/>
      <c r="C20" s="10" t="str">
        <f>IF(ISTEXT(B20),IFERROR(VLOOKUP(B20,Cadastro!A:B,2,FALSE),"Ticker Não Cadastrado"),"")</f>
        <v/>
      </c>
      <c r="D20" s="32"/>
    </row>
    <row r="21" spans="2:4" ht="19.95" customHeight="1">
      <c r="B21" s="31"/>
      <c r="C21" s="10" t="str">
        <f>IF(ISTEXT(B21),IFERROR(VLOOKUP(B21,Cadastro!A:B,2,FALSE),"Ticker Não Cadastrado"),"")</f>
        <v/>
      </c>
      <c r="D21" s="32"/>
    </row>
    <row r="22" spans="2:4" ht="19.95" customHeight="1">
      <c r="B22" s="31"/>
      <c r="C22" s="10" t="str">
        <f>IF(ISTEXT(B22),IFERROR(VLOOKUP(B22,Cadastro!A:B,2,FALSE),"Ticker Não Cadastrado"),"")</f>
        <v/>
      </c>
      <c r="D22" s="32"/>
    </row>
    <row r="23" spans="2:4" ht="19.95" customHeight="1">
      <c r="B23" s="31"/>
      <c r="C23" s="10" t="str">
        <f>IF(ISTEXT(B23),IFERROR(VLOOKUP(B23,Cadastro!A:B,2,FALSE),"Ticker Não Cadastrado"),"")</f>
        <v/>
      </c>
      <c r="D23" s="32"/>
    </row>
    <row r="24" spans="2:4" ht="19.95" customHeight="1">
      <c r="B24" s="31"/>
      <c r="C24" s="10" t="str">
        <f>IF(ISTEXT(B24),IFERROR(VLOOKUP(B24,Cadastro!A:B,2,FALSE),"Ticker Não Cadastrado"),"")</f>
        <v/>
      </c>
      <c r="D24" s="32"/>
    </row>
    <row r="25" spans="2:4" ht="19.95" customHeight="1">
      <c r="B25" s="31"/>
      <c r="C25" s="10" t="str">
        <f>IF(ISTEXT(B25),IFERROR(VLOOKUP(B25,Cadastro!A:B,2,FALSE),"Ticker Não Cadastrado"),"")</f>
        <v/>
      </c>
      <c r="D25" s="32"/>
    </row>
    <row r="26" spans="2:4" ht="19.95" customHeight="1">
      <c r="B26" s="31"/>
      <c r="C26" s="10" t="str">
        <f>IF(ISTEXT(B26),IFERROR(VLOOKUP(B26,Cadastro!A:B,2,FALSE),"Ticker Não Cadastrado"),"")</f>
        <v/>
      </c>
      <c r="D26" s="32"/>
    </row>
    <row r="27" spans="2:4" ht="19.95" customHeight="1">
      <c r="B27" s="31"/>
      <c r="C27" s="10" t="str">
        <f>IF(ISTEXT(B27),IFERROR(VLOOKUP(B27,Cadastro!A:B,2,FALSE),"Ticker Não Cadastrado"),"")</f>
        <v/>
      </c>
      <c r="D27" s="32"/>
    </row>
    <row r="28" spans="2:4" ht="19.95" customHeight="1">
      <c r="B28" s="31"/>
      <c r="C28" s="10" t="str">
        <f>IF(ISTEXT(B28),IFERROR(VLOOKUP(B28,Cadastro!A:B,2,FALSE),"Ticker Não Cadastrado"),"")</f>
        <v/>
      </c>
      <c r="D28" s="32"/>
    </row>
    <row r="29" spans="2:4" ht="19.95" customHeight="1">
      <c r="B29" s="31"/>
      <c r="C29" s="10" t="str">
        <f>IF(ISTEXT(B29),IFERROR(VLOOKUP(B29,Cadastro!A:B,2,FALSE),"Ticker Não Cadastrado"),"")</f>
        <v/>
      </c>
      <c r="D29" s="32"/>
    </row>
    <row r="30" spans="2:4" ht="19.95" customHeight="1">
      <c r="B30" s="31"/>
      <c r="C30" s="10" t="str">
        <f>IF(ISTEXT(B30),IFERROR(VLOOKUP(B30,Cadastro!A:B,2,FALSE),"Ticker Não Cadastrado"),"")</f>
        <v/>
      </c>
      <c r="D30" s="32"/>
    </row>
    <row r="31" spans="2:4" ht="19.95" customHeight="1">
      <c r="B31" s="31"/>
      <c r="C31" s="10" t="str">
        <f>IF(ISTEXT(B31),IFERROR(VLOOKUP(B31,Cadastro!A:B,2,FALSE),"Ticker Não Cadastrado"),"")</f>
        <v/>
      </c>
      <c r="D31" s="32"/>
    </row>
    <row r="32" spans="2:4" ht="19.95" customHeight="1">
      <c r="B32" s="31"/>
      <c r="C32" s="10" t="str">
        <f>IF(ISTEXT(B32),IFERROR(VLOOKUP(B32,Cadastro!A:B,2,FALSE),"Ticker Não Cadastrado"),"")</f>
        <v/>
      </c>
      <c r="D32" s="32"/>
    </row>
    <row r="33" spans="2:4" ht="19.95" customHeight="1">
      <c r="B33" s="31"/>
      <c r="C33" s="10" t="str">
        <f>IF(ISTEXT(B33),IFERROR(VLOOKUP(B33,Cadastro!A:B,2,FALSE),"Ticker Não Cadastrado"),"")</f>
        <v/>
      </c>
      <c r="D33" s="32"/>
    </row>
    <row r="34" spans="2:4" ht="19.95" customHeight="1">
      <c r="B34" s="31"/>
      <c r="C34" s="10" t="str">
        <f>IF(ISTEXT(B34),IFERROR(VLOOKUP(B34,Cadastro!A:B,2,FALSE),"Ticker Não Cadastrado"),"")</f>
        <v/>
      </c>
      <c r="D34" s="32"/>
    </row>
    <row r="35" spans="2:4" ht="19.95" customHeight="1">
      <c r="B35" s="31"/>
      <c r="C35" s="10" t="str">
        <f>IF(ISTEXT(B35),IFERROR(VLOOKUP(B35,Cadastro!A:B,2,FALSE),"Ticker Não Cadastrado"),"")</f>
        <v/>
      </c>
      <c r="D35" s="32"/>
    </row>
    <row r="36" spans="2:4" ht="19.95" customHeight="1">
      <c r="B36" s="31"/>
      <c r="C36" s="10" t="str">
        <f>IF(ISTEXT(B36),IFERROR(VLOOKUP(B36,Cadastro!A:B,2,FALSE),"Ticker Não Cadastrado"),"")</f>
        <v/>
      </c>
      <c r="D36" s="32"/>
    </row>
    <row r="37" spans="2:4" ht="19.95" customHeight="1">
      <c r="B37" s="31"/>
      <c r="C37" s="10" t="str">
        <f>IF(ISTEXT(B37),IFERROR(VLOOKUP(B37,Cadastro!A:B,2,FALSE),"Ticker Não Cadastrado"),"")</f>
        <v/>
      </c>
      <c r="D37" s="32"/>
    </row>
    <row r="38" spans="2:4" ht="19.95" customHeight="1">
      <c r="B38" s="31"/>
      <c r="C38" s="10" t="str">
        <f>IF(ISTEXT(B38),IFERROR(VLOOKUP(B38,Cadastro!A:B,2,FALSE),"Ticker Não Cadastrado"),"")</f>
        <v/>
      </c>
      <c r="D38" s="32"/>
    </row>
    <row r="39" spans="2:4" ht="19.95" customHeight="1">
      <c r="B39" s="31"/>
      <c r="C39" s="10" t="str">
        <f>IF(ISTEXT(B39),IFERROR(VLOOKUP(B39,Cadastro!A:B,2,FALSE),"Ticker Não Cadastrado"),"")</f>
        <v/>
      </c>
      <c r="D39" s="32"/>
    </row>
    <row r="40" spans="2:4" ht="19.95" customHeight="1">
      <c r="B40" s="31"/>
      <c r="C40" s="10" t="str">
        <f>IF(ISTEXT(B40),IFERROR(VLOOKUP(B40,Cadastro!A:B,2,FALSE),"Ticker Não Cadastrado"),"")</f>
        <v/>
      </c>
      <c r="D40" s="32"/>
    </row>
    <row r="41" spans="2:4" ht="19.95" customHeight="1">
      <c r="B41" s="31"/>
      <c r="C41" s="10" t="str">
        <f>IF(ISTEXT(B41),IFERROR(VLOOKUP(B41,Cadastro!A:B,2,FALSE),"Ticker Não Cadastrado"),"")</f>
        <v/>
      </c>
      <c r="D41" s="32"/>
    </row>
    <row r="42" spans="2:4" ht="19.95" customHeight="1">
      <c r="B42" s="31"/>
      <c r="C42" s="10" t="str">
        <f>IF(ISTEXT(B42),IFERROR(VLOOKUP(B42,Cadastro!A:B,2,FALSE),"Ticker Não Cadastrado"),"")</f>
        <v/>
      </c>
      <c r="D42" s="32"/>
    </row>
    <row r="43" spans="2:4" ht="19.95" customHeight="1">
      <c r="B43" s="31"/>
      <c r="C43" s="10" t="str">
        <f>IF(ISTEXT(B43),IFERROR(VLOOKUP(B43,Cadastro!A:B,2,FALSE),"Ticker Não Cadastrado"),"")</f>
        <v/>
      </c>
      <c r="D43" s="32"/>
    </row>
    <row r="44" spans="2:4" ht="19.95" customHeight="1">
      <c r="B44" s="31"/>
      <c r="C44" s="10" t="str">
        <f>IF(ISTEXT(B44),IFERROR(VLOOKUP(B44,Cadastro!A:B,2,FALSE),"Ticker Não Cadastrado"),"")</f>
        <v/>
      </c>
      <c r="D44" s="32"/>
    </row>
    <row r="45" spans="2:4" ht="19.95" customHeight="1">
      <c r="B45" s="31"/>
      <c r="C45" s="10" t="str">
        <f>IF(ISTEXT(B45),IFERROR(VLOOKUP(B45,Cadastro!A:B,2,FALSE),"Ticker Não Cadastrado"),"")</f>
        <v/>
      </c>
      <c r="D45" s="32"/>
    </row>
    <row r="46" spans="2:4" ht="19.95" customHeight="1">
      <c r="B46" s="31"/>
      <c r="C46" s="10" t="str">
        <f>IF(ISTEXT(B46),IFERROR(VLOOKUP(B46,Cadastro!A:B,2,FALSE),"Ticker Não Cadastrado"),"")</f>
        <v/>
      </c>
      <c r="D46" s="32"/>
    </row>
    <row r="47" spans="2:4" ht="19.95" customHeight="1">
      <c r="B47" s="31"/>
      <c r="C47" s="10" t="str">
        <f>IF(ISTEXT(B47),IFERROR(VLOOKUP(B47,Cadastro!A:B,2,FALSE),"Ticker Não Cadastrado"),"")</f>
        <v/>
      </c>
      <c r="D47" s="32"/>
    </row>
    <row r="48" spans="2:4" ht="19.95" customHeight="1">
      <c r="B48" s="31"/>
      <c r="C48" s="10" t="str">
        <f>IF(ISTEXT(B48),IFERROR(VLOOKUP(B48,Cadastro!A:B,2,FALSE),"Ticker Não Cadastrado"),"")</f>
        <v/>
      </c>
      <c r="D48" s="32"/>
    </row>
    <row r="49" spans="2:4" ht="19.95" customHeight="1">
      <c r="B49" s="31"/>
      <c r="C49" s="10" t="str">
        <f>IF(ISTEXT(B49),IFERROR(VLOOKUP(B49,Cadastro!A:B,2,FALSE),"Ticker Não Cadastrado"),"")</f>
        <v/>
      </c>
      <c r="D49" s="32"/>
    </row>
    <row r="50" spans="2:4" ht="19.95" customHeight="1">
      <c r="B50" s="31"/>
      <c r="C50" s="10" t="str">
        <f>IF(ISTEXT(B50),IFERROR(VLOOKUP(B50,Cadastro!A:B,2,FALSE),"Ticker Não Cadastrado"),"")</f>
        <v/>
      </c>
      <c r="D50" s="32"/>
    </row>
    <row r="51" spans="2:4" ht="19.95" customHeight="1">
      <c r="B51" s="31"/>
      <c r="C51" s="10" t="str">
        <f>IF(ISTEXT(B51),IFERROR(VLOOKUP(B51,Cadastro!A:B,2,FALSE),"Ticker Não Cadastrado"),"")</f>
        <v/>
      </c>
      <c r="D51" s="32"/>
    </row>
    <row r="52" spans="2:4" ht="19.95" customHeight="1">
      <c r="B52" s="31"/>
      <c r="C52" s="10" t="str">
        <f>IF(ISTEXT(B52),IFERROR(VLOOKUP(B52,Cadastro!A:B,2,FALSE),"Ticker Não Cadastrado"),"")</f>
        <v/>
      </c>
      <c r="D52" s="32"/>
    </row>
    <row r="53" spans="2:4" ht="19.95" customHeight="1">
      <c r="B53" s="31"/>
      <c r="C53" s="10" t="str">
        <f>IF(ISTEXT(B53),IFERROR(VLOOKUP(B53,Cadastro!A:B,2,FALSE),"Ticker Não Cadastrado"),"")</f>
        <v/>
      </c>
      <c r="D53" s="32"/>
    </row>
    <row r="54" spans="2:4" ht="19.95" customHeight="1">
      <c r="B54" s="31"/>
      <c r="C54" s="10" t="str">
        <f>IF(ISTEXT(B54),IFERROR(VLOOKUP(B54,Cadastro!A:B,2,FALSE),"Ticker Não Cadastrado"),"")</f>
        <v/>
      </c>
      <c r="D54" s="32"/>
    </row>
    <row r="55" spans="2:4" ht="19.95" customHeight="1">
      <c r="B55" s="31"/>
      <c r="C55" s="10" t="str">
        <f>IF(ISTEXT(B55),IFERROR(VLOOKUP(B55,Cadastro!A:B,2,FALSE),"Ticker Não Cadastrado"),"")</f>
        <v/>
      </c>
      <c r="D55" s="32"/>
    </row>
    <row r="56" spans="2:4" ht="19.95" customHeight="1">
      <c r="B56" s="31"/>
      <c r="C56" s="10" t="str">
        <f>IF(ISTEXT(B56),IFERROR(VLOOKUP(B56,Cadastro!A:B,2,FALSE),"Ticker Não Cadastrado"),"")</f>
        <v/>
      </c>
      <c r="D56" s="32"/>
    </row>
    <row r="57" spans="2:4" ht="19.95" customHeight="1">
      <c r="B57" s="31"/>
      <c r="C57" s="10" t="str">
        <f>IF(ISTEXT(B57),IFERROR(VLOOKUP(B57,Cadastro!A:B,2,FALSE),"Ticker Não Cadastrado"),"")</f>
        <v/>
      </c>
      <c r="D57" s="32"/>
    </row>
    <row r="58" spans="2:4" ht="19.95" customHeight="1">
      <c r="B58" s="31"/>
      <c r="C58" s="10" t="str">
        <f>IF(ISTEXT(B58),IFERROR(VLOOKUP(B58,Cadastro!A:B,2,FALSE),"Ticker Não Cadastrado"),"")</f>
        <v/>
      </c>
      <c r="D58" s="32"/>
    </row>
    <row r="59" spans="2:4" ht="19.95" customHeight="1">
      <c r="B59" s="31"/>
      <c r="C59" s="10" t="str">
        <f>IF(ISTEXT(B59),IFERROR(VLOOKUP(B59,Cadastro!A:B,2,FALSE),"Ticker Não Cadastrado"),"")</f>
        <v/>
      </c>
      <c r="D59" s="32"/>
    </row>
    <row r="60" spans="2:4" ht="19.95" customHeight="1">
      <c r="B60" s="31"/>
      <c r="C60" s="10" t="str">
        <f>IF(ISTEXT(B60),IFERROR(VLOOKUP(B60,Cadastro!A:B,2,FALSE),"Ticker Não Cadastrado"),"")</f>
        <v/>
      </c>
      <c r="D60" s="32"/>
    </row>
    <row r="61" spans="2:4" ht="19.95" customHeight="1">
      <c r="B61" s="31"/>
      <c r="C61" s="10" t="str">
        <f>IF(ISTEXT(B61),IFERROR(VLOOKUP(B61,Cadastro!A:B,2,FALSE),"Ticker Não Cadastrado"),"")</f>
        <v/>
      </c>
      <c r="D61" s="32"/>
    </row>
    <row r="62" spans="2:4" ht="19.95" customHeight="1">
      <c r="B62" s="31"/>
      <c r="C62" s="10" t="str">
        <f>IF(ISTEXT(B62),IFERROR(VLOOKUP(B62,Cadastro!A:B,2,FALSE),"Ticker Não Cadastrado"),"")</f>
        <v/>
      </c>
      <c r="D62" s="32"/>
    </row>
    <row r="63" spans="2:4" ht="19.95" customHeight="1">
      <c r="B63" s="31"/>
      <c r="C63" s="10" t="str">
        <f>IF(ISTEXT(B63),IFERROR(VLOOKUP(B63,Cadastro!A:B,2,FALSE),"Ticker Não Cadastrado"),"")</f>
        <v/>
      </c>
      <c r="D63" s="32"/>
    </row>
    <row r="64" spans="2:4" ht="19.95" customHeight="1">
      <c r="B64" s="31"/>
      <c r="C64" s="10" t="str">
        <f>IF(ISTEXT(B64),IFERROR(VLOOKUP(B64,Cadastro!A:B,2,FALSE),"Ticker Não Cadastrado"),"")</f>
        <v/>
      </c>
      <c r="D64" s="32"/>
    </row>
    <row r="65" spans="2:4" ht="19.95" customHeight="1">
      <c r="B65" s="31"/>
      <c r="C65" s="10" t="str">
        <f>IF(ISTEXT(B65),IFERROR(VLOOKUP(B65,Cadastro!A:B,2,FALSE),"Ticker Não Cadastrado"),"")</f>
        <v/>
      </c>
      <c r="D65" s="32"/>
    </row>
    <row r="66" spans="2:4" ht="19.95" customHeight="1">
      <c r="B66" s="31"/>
      <c r="C66" s="10" t="str">
        <f>IF(ISTEXT(B66),IFERROR(VLOOKUP(B66,Cadastro!A:B,2,FALSE),"Ticker Não Cadastrado"),"")</f>
        <v/>
      </c>
      <c r="D66" s="32"/>
    </row>
    <row r="67" spans="2:4" ht="19.95" customHeight="1">
      <c r="B67" s="31"/>
      <c r="C67" s="10" t="str">
        <f>IF(ISTEXT(B67),IFERROR(VLOOKUP(B67,Cadastro!A:B,2,FALSE),"Ticker Não Cadastrado"),"")</f>
        <v/>
      </c>
      <c r="D67" s="32"/>
    </row>
    <row r="68" spans="2:4" ht="19.95" customHeight="1">
      <c r="B68" s="31"/>
      <c r="C68" s="10" t="str">
        <f>IF(ISTEXT(B68),IFERROR(VLOOKUP(B68,Cadastro!A:B,2,FALSE),"Ticker Não Cadastrado"),"")</f>
        <v/>
      </c>
      <c r="D68" s="32"/>
    </row>
    <row r="69" spans="2:4" ht="19.95" customHeight="1">
      <c r="B69" s="31"/>
      <c r="C69" s="10" t="str">
        <f>IF(ISTEXT(B69),IFERROR(VLOOKUP(B69,Cadastro!A:B,2,FALSE),"Ticker Não Cadastrado"),"")</f>
        <v/>
      </c>
      <c r="D69" s="32"/>
    </row>
    <row r="70" spans="2:4" ht="19.95" customHeight="1">
      <c r="B70" s="31"/>
      <c r="C70" s="10" t="str">
        <f>IF(ISTEXT(B70),IFERROR(VLOOKUP(B70,Cadastro!A:B,2,FALSE),"Ticker Não Cadastrado"),"")</f>
        <v/>
      </c>
      <c r="D70" s="32"/>
    </row>
    <row r="71" spans="2:4" ht="19.95" customHeight="1">
      <c r="B71" s="31"/>
      <c r="C71" s="10" t="str">
        <f>IF(ISTEXT(B71),IFERROR(VLOOKUP(B71,Cadastro!A:B,2,FALSE),"Ticker Não Cadastrado"),"")</f>
        <v/>
      </c>
      <c r="D71" s="32"/>
    </row>
    <row r="72" spans="2:4" ht="19.95" customHeight="1">
      <c r="B72" s="31"/>
      <c r="C72" s="10" t="str">
        <f>IF(ISTEXT(B72),IFERROR(VLOOKUP(B72,Cadastro!A:B,2,FALSE),"Ticker Não Cadastrado"),"")</f>
        <v/>
      </c>
      <c r="D72" s="32"/>
    </row>
    <row r="73" spans="2:4" ht="19.95" customHeight="1">
      <c r="B73" s="31"/>
      <c r="C73" s="10" t="str">
        <f>IF(ISTEXT(B73),IFERROR(VLOOKUP(B73,Cadastro!A:B,2,FALSE),"Ticker Não Cadastrado"),"")</f>
        <v/>
      </c>
      <c r="D73" s="32"/>
    </row>
    <row r="74" spans="2:4" ht="19.95" customHeight="1">
      <c r="B74" s="31"/>
      <c r="C74" s="10" t="str">
        <f>IF(ISTEXT(B74),IFERROR(VLOOKUP(B74,Cadastro!A:B,2,FALSE),"Ticker Não Cadastrado"),"")</f>
        <v/>
      </c>
      <c r="D74" s="32"/>
    </row>
    <row r="75" spans="2:4" ht="19.95" customHeight="1">
      <c r="B75" s="31"/>
      <c r="C75" s="10" t="str">
        <f>IF(ISTEXT(B75),IFERROR(VLOOKUP(B75,Cadastro!A:B,2,FALSE),"Ticker Não Cadastrado"),"")</f>
        <v/>
      </c>
      <c r="D75" s="32"/>
    </row>
    <row r="76" spans="2:4" ht="19.95" customHeight="1">
      <c r="B76" s="31"/>
      <c r="C76" s="10" t="str">
        <f>IF(ISTEXT(B76),IFERROR(VLOOKUP(B76,Cadastro!A:B,2,FALSE),"Ticker Não Cadastrado"),"")</f>
        <v/>
      </c>
      <c r="D76" s="32"/>
    </row>
    <row r="77" spans="2:4" ht="19.95" customHeight="1">
      <c r="B77" s="31"/>
      <c r="C77" s="10" t="str">
        <f>IF(ISTEXT(B77),IFERROR(VLOOKUP(B77,Cadastro!A:B,2,FALSE),"Ticker Não Cadastrado"),"")</f>
        <v/>
      </c>
      <c r="D77" s="32"/>
    </row>
    <row r="78" spans="2:4" ht="19.95" customHeight="1">
      <c r="B78" s="31"/>
      <c r="C78" s="10" t="str">
        <f>IF(ISTEXT(B78),IFERROR(VLOOKUP(B78,Cadastro!A:B,2,FALSE),"Ticker Não Cadastrado"),"")</f>
        <v/>
      </c>
      <c r="D78" s="32"/>
    </row>
    <row r="79" spans="2:4" ht="19.95" customHeight="1">
      <c r="B79" s="31"/>
      <c r="C79" s="10" t="str">
        <f>IF(ISTEXT(B79),IFERROR(VLOOKUP(B79,Cadastro!A:B,2,FALSE),"Ticker Não Cadastrado"),"")</f>
        <v/>
      </c>
      <c r="D79" s="32"/>
    </row>
    <row r="80" spans="2:4" ht="19.95" customHeight="1">
      <c r="B80" s="31"/>
      <c r="C80" s="10" t="str">
        <f>IF(ISTEXT(B80),IFERROR(VLOOKUP(B80,Cadastro!A:B,2,FALSE),"Ticker Não Cadastrado"),"")</f>
        <v/>
      </c>
      <c r="D80" s="32"/>
    </row>
    <row r="81" spans="2:4" ht="19.95" customHeight="1">
      <c r="B81" s="31"/>
      <c r="C81" s="10" t="str">
        <f>IF(ISTEXT(B81),IFERROR(VLOOKUP(B81,Cadastro!A:B,2,FALSE),"Ticker Não Cadastrado"),"")</f>
        <v/>
      </c>
      <c r="D81" s="32"/>
    </row>
    <row r="82" spans="2:4" ht="19.95" customHeight="1">
      <c r="B82" s="31"/>
      <c r="C82" s="10" t="str">
        <f>IF(ISTEXT(B82),IFERROR(VLOOKUP(B82,Cadastro!A:B,2,FALSE),"Ticker Não Cadastrado"),"")</f>
        <v/>
      </c>
      <c r="D82" s="32"/>
    </row>
    <row r="83" spans="2:4" ht="19.95" customHeight="1">
      <c r="B83" s="31"/>
      <c r="C83" s="10" t="str">
        <f>IF(ISTEXT(B83),IFERROR(VLOOKUP(B83,Cadastro!A:B,2,FALSE),"Ticker Não Cadastrado"),"")</f>
        <v/>
      </c>
      <c r="D83" s="32"/>
    </row>
    <row r="84" spans="2:4" ht="19.95" customHeight="1">
      <c r="B84" s="31"/>
      <c r="C84" s="10" t="str">
        <f>IF(ISTEXT(B84),IFERROR(VLOOKUP(B84,Cadastro!A:B,2,FALSE),"Ticker Não Cadastrado"),"")</f>
        <v/>
      </c>
      <c r="D84" s="32"/>
    </row>
    <row r="85" spans="2:4" ht="19.95" customHeight="1">
      <c r="B85" s="31"/>
      <c r="C85" s="10" t="str">
        <f>IF(ISTEXT(B85),IFERROR(VLOOKUP(B85,Cadastro!A:B,2,FALSE),"Ticker Não Cadastrado"),"")</f>
        <v/>
      </c>
      <c r="D85" s="32"/>
    </row>
    <row r="86" spans="2:4" ht="19.95" customHeight="1">
      <c r="B86" s="31"/>
      <c r="C86" s="10" t="str">
        <f>IF(ISTEXT(B86),IFERROR(VLOOKUP(B86,Cadastro!A:B,2,FALSE),"Ticker Não Cadastrado"),"")</f>
        <v/>
      </c>
      <c r="D86" s="32"/>
    </row>
    <row r="87" spans="2:4" ht="19.95" customHeight="1">
      <c r="B87" s="31"/>
      <c r="C87" s="10" t="str">
        <f>IF(ISTEXT(B87),IFERROR(VLOOKUP(B87,Cadastro!A:B,2,FALSE),"Ticker Não Cadastrado"),"")</f>
        <v/>
      </c>
      <c r="D87" s="32"/>
    </row>
    <row r="88" spans="2:4" ht="19.95" customHeight="1">
      <c r="B88" s="31"/>
      <c r="C88" s="10" t="str">
        <f>IF(ISTEXT(B88),IFERROR(VLOOKUP(B88,Cadastro!A:B,2,FALSE),"Ticker Não Cadastrado"),"")</f>
        <v/>
      </c>
      <c r="D88" s="32"/>
    </row>
    <row r="89" spans="2:4" ht="19.95" customHeight="1">
      <c r="B89" s="31"/>
      <c r="C89" s="10" t="str">
        <f>IF(ISTEXT(B89),IFERROR(VLOOKUP(B89,Cadastro!A:B,2,FALSE),"Ticker Não Cadastrado"),"")</f>
        <v/>
      </c>
      <c r="D89" s="32"/>
    </row>
    <row r="90" spans="2:4" ht="19.95" customHeight="1">
      <c r="B90" s="31"/>
      <c r="C90" s="10" t="str">
        <f>IF(ISTEXT(B90),IFERROR(VLOOKUP(B90,Cadastro!A:B,2,FALSE),"Ticker Não Cadastrado"),"")</f>
        <v/>
      </c>
      <c r="D90" s="32"/>
    </row>
    <row r="91" spans="2:4" ht="19.95" customHeight="1">
      <c r="B91" s="31"/>
      <c r="C91" s="10" t="str">
        <f>IF(ISTEXT(B91),IFERROR(VLOOKUP(B91,Cadastro!A:B,2,FALSE),"Ticker Não Cadastrado"),"")</f>
        <v/>
      </c>
      <c r="D91" s="32"/>
    </row>
    <row r="92" spans="2:4" ht="19.95" customHeight="1">
      <c r="B92" s="31"/>
      <c r="C92" s="10" t="str">
        <f>IF(ISTEXT(B92),IFERROR(VLOOKUP(B92,Cadastro!A:B,2,FALSE),"Ticker Não Cadastrado"),"")</f>
        <v/>
      </c>
      <c r="D92" s="32"/>
    </row>
    <row r="93" spans="2:4" ht="19.95" customHeight="1">
      <c r="B93" s="31"/>
      <c r="C93" s="10" t="str">
        <f>IF(ISTEXT(B93),IFERROR(VLOOKUP(B93,Cadastro!A:B,2,FALSE),"Ticker Não Cadastrado"),"")</f>
        <v/>
      </c>
      <c r="D93" s="32"/>
    </row>
    <row r="94" spans="2:4" ht="19.95" customHeight="1">
      <c r="B94" s="31"/>
      <c r="C94" s="10" t="str">
        <f>IF(ISTEXT(B94),IFERROR(VLOOKUP(B94,Cadastro!A:B,2,FALSE),"Ticker Não Cadastrado"),"")</f>
        <v/>
      </c>
      <c r="D94" s="32"/>
    </row>
    <row r="95" spans="2:4" ht="19.95" customHeight="1">
      <c r="B95" s="31"/>
      <c r="C95" s="10" t="str">
        <f>IF(ISTEXT(B95),IFERROR(VLOOKUP(B95,Cadastro!A:B,2,FALSE),"Ticker Não Cadastrado"),"")</f>
        <v/>
      </c>
      <c r="D95" s="32"/>
    </row>
    <row r="96" spans="2:4" ht="19.95" customHeight="1">
      <c r="B96" s="31"/>
      <c r="C96" s="10" t="str">
        <f>IF(ISTEXT(B96),IFERROR(VLOOKUP(B96,Cadastro!A:B,2,FALSE),"Ticker Não Cadastrado"),"")</f>
        <v/>
      </c>
      <c r="D96" s="32"/>
    </row>
    <row r="97" spans="2:4" ht="19.95" customHeight="1">
      <c r="B97" s="31"/>
      <c r="C97" s="10" t="str">
        <f>IF(ISTEXT(B97),IFERROR(VLOOKUP(B97,Cadastro!A:B,2,FALSE),"Ticker Não Cadastrado"),"")</f>
        <v/>
      </c>
      <c r="D97" s="32"/>
    </row>
    <row r="98" spans="2:4" ht="19.95" customHeight="1">
      <c r="B98" s="31"/>
      <c r="C98" s="10" t="str">
        <f>IF(ISTEXT(B98),IFERROR(VLOOKUP(B98,Cadastro!A:B,2,FALSE),"Ticker Não Cadastrado"),"")</f>
        <v/>
      </c>
      <c r="D98" s="32"/>
    </row>
    <row r="99" spans="2:4" ht="19.95" customHeight="1">
      <c r="B99" s="31"/>
      <c r="C99" s="10" t="str">
        <f>IF(ISTEXT(B99),IFERROR(VLOOKUP(B99,Cadastro!A:B,2,FALSE),"Ticker Não Cadastrado"),"")</f>
        <v/>
      </c>
      <c r="D99" s="32"/>
    </row>
    <row r="100" spans="2:4" ht="19.95" customHeight="1">
      <c r="B100" s="31"/>
      <c r="C100" s="10" t="str">
        <f>IF(ISTEXT(B100),IFERROR(VLOOKUP(B100,Cadastro!A:B,2,FALSE),"Ticker Não Cadastrado"),"")</f>
        <v/>
      </c>
      <c r="D100" s="32"/>
    </row>
    <row r="101" spans="2:4" ht="19.95" customHeight="1">
      <c r="B101" s="31"/>
      <c r="C101" s="10" t="str">
        <f>IF(ISTEXT(B101),IFERROR(VLOOKUP(B101,Cadastro!A:B,2,FALSE),"Ticker Não Cadastrado"),"")</f>
        <v/>
      </c>
      <c r="D101" s="32"/>
    </row>
    <row r="102" spans="2:4" ht="19.95" customHeight="1">
      <c r="B102" s="31"/>
      <c r="C102" s="10" t="str">
        <f>IF(ISTEXT(B102),IFERROR(VLOOKUP(B102,Cadastro!A:B,2,FALSE),"Ticker Não Cadastrado"),"")</f>
        <v/>
      </c>
      <c r="D102" s="32"/>
    </row>
    <row r="103" spans="2:4" ht="19.95" customHeight="1">
      <c r="B103" s="31"/>
      <c r="C103" s="10" t="str">
        <f>IF(ISTEXT(B103),IFERROR(VLOOKUP(B103,Cadastro!A:B,2,FALSE),"Ticker Não Cadastrado"),"")</f>
        <v/>
      </c>
      <c r="D103" s="32"/>
    </row>
    <row r="104" spans="2:4" ht="19.95" customHeight="1">
      <c r="B104" s="31"/>
      <c r="C104" s="10" t="str">
        <f>IF(ISTEXT(B104),IFERROR(VLOOKUP(B104,Cadastro!A:B,2,FALSE),"Ticker Não Cadastrado"),"")</f>
        <v/>
      </c>
      <c r="D104" s="32"/>
    </row>
    <row r="105" spans="2:4" ht="19.95" customHeight="1">
      <c r="B105" s="31"/>
      <c r="C105" s="10" t="str">
        <f>IF(ISTEXT(B105),IFERROR(VLOOKUP(B105,Cadastro!A:B,2,FALSE),"Ticker Não Cadastrado"),"")</f>
        <v/>
      </c>
      <c r="D105" s="32"/>
    </row>
    <row r="106" spans="2:4" ht="19.95" customHeight="1">
      <c r="B106" s="31"/>
      <c r="C106" s="10" t="str">
        <f>IF(ISTEXT(B106),IFERROR(VLOOKUP(B106,Cadastro!A:B,2,FALSE),"Ticker Não Cadastrado"),"")</f>
        <v/>
      </c>
      <c r="D106" s="32"/>
    </row>
    <row r="107" spans="2:4" ht="19.95" customHeight="1">
      <c r="B107" s="31"/>
      <c r="C107" s="10" t="str">
        <f>IF(ISTEXT(B107),IFERROR(VLOOKUP(B107,Cadastro!A:B,2,FALSE),"Ticker Não Cadastrado"),"")</f>
        <v/>
      </c>
      <c r="D107" s="32"/>
    </row>
    <row r="108" spans="2:4" ht="19.95" customHeight="1">
      <c r="B108" s="31"/>
      <c r="C108" s="10" t="str">
        <f>IF(ISTEXT(B108),IFERROR(VLOOKUP(B108,Cadastro!A:B,2,FALSE),"Ticker Não Cadastrado"),"")</f>
        <v/>
      </c>
      <c r="D108" s="32"/>
    </row>
    <row r="109" spans="2:4" ht="19.95" customHeight="1">
      <c r="B109" s="31"/>
      <c r="C109" s="10" t="str">
        <f>IF(ISTEXT(B109),IFERROR(VLOOKUP(B109,Cadastro!A:B,2,FALSE),"Ticker Não Cadastrado"),"")</f>
        <v/>
      </c>
      <c r="D109" s="32"/>
    </row>
    <row r="110" spans="2:4" ht="19.95" customHeight="1">
      <c r="B110" s="31"/>
      <c r="C110" s="10" t="str">
        <f>IF(ISTEXT(B110),IFERROR(VLOOKUP(B110,Cadastro!A:B,2,FALSE),"Ticker Não Cadastrado"),"")</f>
        <v/>
      </c>
      <c r="D110" s="32"/>
    </row>
    <row r="111" spans="2:4" ht="19.95" customHeight="1">
      <c r="B111" s="31"/>
      <c r="C111" s="10" t="str">
        <f>IF(ISTEXT(B111),IFERROR(VLOOKUP(B111,Cadastro!A:B,2,FALSE),"Ticker Não Cadastrado"),"")</f>
        <v/>
      </c>
      <c r="D111" s="32"/>
    </row>
    <row r="112" spans="2:4" ht="19.95" customHeight="1">
      <c r="B112" s="31"/>
      <c r="C112" s="10" t="str">
        <f>IF(ISTEXT(B112),IFERROR(VLOOKUP(B112,Cadastro!A:B,2,FALSE),"Ticker Não Cadastrado"),"")</f>
        <v/>
      </c>
      <c r="D112" s="32"/>
    </row>
    <row r="113" spans="2:4" ht="19.95" customHeight="1">
      <c r="B113" s="31"/>
      <c r="C113" s="10" t="str">
        <f>IF(ISTEXT(B113),IFERROR(VLOOKUP(B113,Cadastro!A:B,2,FALSE),"Ticker Não Cadastrado"),"")</f>
        <v/>
      </c>
      <c r="D113" s="32"/>
    </row>
    <row r="114" spans="2:4" ht="19.95" customHeight="1">
      <c r="B114" s="31"/>
      <c r="C114" s="10" t="str">
        <f>IF(ISTEXT(B114),IFERROR(VLOOKUP(B114,Cadastro!A:B,2,FALSE),"Ticker Não Cadastrado"),"")</f>
        <v/>
      </c>
      <c r="D114" s="32"/>
    </row>
    <row r="115" spans="2:4" ht="19.95" customHeight="1">
      <c r="B115" s="31"/>
      <c r="C115" s="10" t="str">
        <f>IF(ISTEXT(B115),IFERROR(VLOOKUP(B115,Cadastro!A:B,2,FALSE),"Ticker Não Cadastrado"),"")</f>
        <v/>
      </c>
      <c r="D115" s="32"/>
    </row>
    <row r="116" spans="2:4" ht="19.95" customHeight="1">
      <c r="B116" s="31"/>
      <c r="C116" s="10" t="str">
        <f>IF(ISTEXT(B116),IFERROR(VLOOKUP(B116,Cadastro!A:B,2,FALSE),"Ticker Não Cadastrado"),"")</f>
        <v/>
      </c>
      <c r="D116" s="32"/>
    </row>
    <row r="117" spans="2:4" ht="19.95" customHeight="1">
      <c r="B117" s="31"/>
      <c r="C117" s="10" t="str">
        <f>IF(ISTEXT(B117),IFERROR(VLOOKUP(B117,Cadastro!A:B,2,FALSE),"Ticker Não Cadastrado"),"")</f>
        <v/>
      </c>
      <c r="D117" s="32"/>
    </row>
    <row r="118" spans="2:4" ht="19.95" customHeight="1">
      <c r="B118" s="31"/>
      <c r="C118" s="10" t="str">
        <f>IF(ISTEXT(B118),IFERROR(VLOOKUP(B118,Cadastro!A:B,2,FALSE),"Ticker Não Cadastrado"),"")</f>
        <v/>
      </c>
      <c r="D118" s="32"/>
    </row>
    <row r="119" spans="2:4" ht="19.95" customHeight="1">
      <c r="B119" s="31"/>
      <c r="C119" s="10" t="str">
        <f>IF(ISTEXT(B119),IFERROR(VLOOKUP(B119,Cadastro!A:B,2,FALSE),"Ticker Não Cadastrado"),"")</f>
        <v/>
      </c>
      <c r="D119" s="32"/>
    </row>
    <row r="120" spans="2:4" ht="19.95" customHeight="1">
      <c r="B120" s="31"/>
      <c r="C120" s="10" t="str">
        <f>IF(ISTEXT(B120),IFERROR(VLOOKUP(B120,Cadastro!A:B,2,FALSE),"Ticker Não Cadastrado"),"")</f>
        <v/>
      </c>
      <c r="D120" s="32"/>
    </row>
    <row r="121" spans="2:4" ht="19.95" customHeight="1">
      <c r="B121" s="31"/>
      <c r="C121" s="10" t="str">
        <f>IF(ISTEXT(B121),IFERROR(VLOOKUP(B121,Cadastro!A:B,2,FALSE),"Ticker Não Cadastrado"),"")</f>
        <v/>
      </c>
      <c r="D121" s="32"/>
    </row>
    <row r="122" spans="2:4" ht="19.95" customHeight="1">
      <c r="B122" s="31"/>
      <c r="C122" s="10" t="str">
        <f>IF(ISTEXT(B122),IFERROR(VLOOKUP(B122,Cadastro!A:B,2,FALSE),"Ticker Não Cadastrado"),"")</f>
        <v/>
      </c>
      <c r="D122" s="32"/>
    </row>
    <row r="123" spans="2:4" ht="19.95" customHeight="1">
      <c r="B123" s="31"/>
      <c r="C123" s="10" t="str">
        <f>IF(ISTEXT(B123),IFERROR(VLOOKUP(B123,Cadastro!A:B,2,FALSE),"Ticker Não Cadastrado"),"")</f>
        <v/>
      </c>
      <c r="D123" s="32"/>
    </row>
    <row r="124" spans="2:4" ht="19.95" customHeight="1">
      <c r="B124" s="31"/>
      <c r="C124" s="10" t="str">
        <f>IF(ISTEXT(B124),IFERROR(VLOOKUP(B124,Cadastro!A:B,2,FALSE),"Ticker Não Cadastrado"),"")</f>
        <v/>
      </c>
      <c r="D124" s="32"/>
    </row>
    <row r="125" spans="2:4" ht="19.95" customHeight="1">
      <c r="B125" s="31"/>
      <c r="C125" s="10" t="str">
        <f>IF(ISTEXT(B125),IFERROR(VLOOKUP(B125,Cadastro!A:B,2,FALSE),"Ticker Não Cadastrado"),"")</f>
        <v/>
      </c>
      <c r="D125" s="32"/>
    </row>
    <row r="126" spans="2:4" ht="19.95" customHeight="1">
      <c r="B126" s="31"/>
      <c r="C126" s="10" t="str">
        <f>IF(ISTEXT(B126),IFERROR(VLOOKUP(B126,Cadastro!A:B,2,FALSE),"Ticker Não Cadastrado"),"")</f>
        <v/>
      </c>
      <c r="D126" s="32"/>
    </row>
    <row r="127" spans="2:4" ht="19.95" customHeight="1">
      <c r="B127" s="31"/>
      <c r="C127" s="10" t="str">
        <f>IF(ISTEXT(B127),IFERROR(VLOOKUP(B127,Cadastro!A:B,2,FALSE),"Ticker Não Cadastrado"),"")</f>
        <v/>
      </c>
      <c r="D127" s="32"/>
    </row>
    <row r="128" spans="2:4" ht="19.95" customHeight="1">
      <c r="B128" s="31"/>
      <c r="C128" s="10" t="str">
        <f>IF(ISTEXT(B128),IFERROR(VLOOKUP(B128,Cadastro!A:B,2,FALSE),"Ticker Não Cadastrado"),"")</f>
        <v/>
      </c>
      <c r="D128" s="32"/>
    </row>
    <row r="129" spans="2:4" ht="19.95" customHeight="1">
      <c r="B129" s="31"/>
      <c r="C129" s="10" t="str">
        <f>IF(ISTEXT(B129),IFERROR(VLOOKUP(B129,Cadastro!A:B,2,FALSE),"Ticker Não Cadastrado"),"")</f>
        <v/>
      </c>
      <c r="D129" s="32"/>
    </row>
    <row r="130" spans="2:4" ht="19.95" customHeight="1">
      <c r="B130" s="31"/>
      <c r="C130" s="10" t="str">
        <f>IF(ISTEXT(B130),IFERROR(VLOOKUP(B130,Cadastro!A:B,2,FALSE),"Ticker Não Cadastrado"),"")</f>
        <v/>
      </c>
      <c r="D130" s="32"/>
    </row>
    <row r="131" spans="2:4" ht="19.95" customHeight="1">
      <c r="B131" s="31"/>
      <c r="C131" s="10" t="str">
        <f>IF(ISTEXT(B131),IFERROR(VLOOKUP(B131,Cadastro!A:B,2,FALSE),"Ticker Não Cadastrado"),"")</f>
        <v/>
      </c>
      <c r="D131" s="32"/>
    </row>
    <row r="132" spans="2:4" ht="19.95" customHeight="1">
      <c r="B132" s="31"/>
      <c r="C132" s="10" t="str">
        <f>IF(ISTEXT(B132),IFERROR(VLOOKUP(B132,Cadastro!A:B,2,FALSE),"Ticker Não Cadastrado"),"")</f>
        <v/>
      </c>
      <c r="D132" s="32"/>
    </row>
    <row r="133" spans="2:4" ht="19.95" customHeight="1">
      <c r="B133" s="31"/>
      <c r="C133" s="10" t="str">
        <f>IF(ISTEXT(B133),IFERROR(VLOOKUP(B133,Cadastro!A:B,2,FALSE),"Ticker Não Cadastrado"),"")</f>
        <v/>
      </c>
      <c r="D133" s="32"/>
    </row>
    <row r="134" spans="2:4" ht="19.95" customHeight="1">
      <c r="B134" s="31"/>
      <c r="C134" s="10" t="str">
        <f>IF(ISTEXT(B134),IFERROR(VLOOKUP(B134,Cadastro!A:B,2,FALSE),"Ticker Não Cadastrado"),"")</f>
        <v/>
      </c>
      <c r="D134" s="32"/>
    </row>
    <row r="135" spans="2:4" ht="19.95" customHeight="1">
      <c r="B135" s="31"/>
      <c r="C135" s="10" t="str">
        <f>IF(ISTEXT(B135),IFERROR(VLOOKUP(B135,Cadastro!A:B,2,FALSE),"Ticker Não Cadastrado"),"")</f>
        <v/>
      </c>
      <c r="D135" s="32"/>
    </row>
    <row r="136" spans="2:4" ht="19.95" customHeight="1">
      <c r="B136" s="31"/>
      <c r="C136" s="10" t="str">
        <f>IF(ISTEXT(B136),IFERROR(VLOOKUP(B136,Cadastro!A:B,2,FALSE),"Ticker Não Cadastrado"),"")</f>
        <v/>
      </c>
      <c r="D136" s="32"/>
    </row>
    <row r="137" spans="2:4" ht="19.95" customHeight="1">
      <c r="B137" s="31"/>
      <c r="C137" s="10" t="str">
        <f>IF(ISTEXT(B137),IFERROR(VLOOKUP(B137,Cadastro!A:B,2,FALSE),"Ticker Não Cadastrado"),"")</f>
        <v/>
      </c>
      <c r="D137" s="32"/>
    </row>
    <row r="138" spans="2:4" ht="19.95" customHeight="1">
      <c r="B138" s="31"/>
      <c r="C138" s="10" t="str">
        <f>IF(ISTEXT(B138),IFERROR(VLOOKUP(B138,Cadastro!A:B,2,FALSE),"Ticker Não Cadastrado"),"")</f>
        <v/>
      </c>
      <c r="D138" s="32"/>
    </row>
    <row r="139" spans="2:4" ht="19.95" customHeight="1">
      <c r="B139" s="31"/>
      <c r="C139" s="10" t="str">
        <f>IF(ISTEXT(B139),IFERROR(VLOOKUP(B139,Cadastro!A:B,2,FALSE),"Ticker Não Cadastrado"),"")</f>
        <v/>
      </c>
      <c r="D139" s="32"/>
    </row>
    <row r="140" spans="2:4" ht="19.95" customHeight="1">
      <c r="B140" s="31"/>
      <c r="C140" s="10" t="str">
        <f>IF(ISTEXT(B140),IFERROR(VLOOKUP(B140,Cadastro!A:B,2,FALSE),"Ticker Não Cadastrado"),"")</f>
        <v/>
      </c>
      <c r="D140" s="32"/>
    </row>
    <row r="141" spans="2:4" ht="19.95" customHeight="1">
      <c r="B141" s="31"/>
      <c r="C141" s="10" t="str">
        <f>IF(ISTEXT(B141),IFERROR(VLOOKUP(B141,Cadastro!A:B,2,FALSE),"Ticker Não Cadastrado"),"")</f>
        <v/>
      </c>
      <c r="D141" s="32"/>
    </row>
    <row r="142" spans="2:4" ht="19.95" customHeight="1">
      <c r="B142" s="31"/>
      <c r="C142" s="10" t="str">
        <f>IF(ISTEXT(B142),IFERROR(VLOOKUP(B142,Cadastro!A:B,2,FALSE),"Ticker Não Cadastrado"),"")</f>
        <v/>
      </c>
      <c r="D142" s="32"/>
    </row>
    <row r="143" spans="2:4" ht="19.95" customHeight="1">
      <c r="B143" s="31"/>
      <c r="C143" s="10" t="str">
        <f>IF(ISTEXT(B143),IFERROR(VLOOKUP(B143,Cadastro!A:B,2,FALSE),"Ticker Não Cadastrado"),"")</f>
        <v/>
      </c>
      <c r="D143" s="32"/>
    </row>
    <row r="144" spans="2:4" ht="19.95" customHeight="1">
      <c r="B144" s="31"/>
      <c r="C144" s="10" t="str">
        <f>IF(ISTEXT(B144),IFERROR(VLOOKUP(B144,Cadastro!A:B,2,FALSE),"Ticker Não Cadastrado"),"")</f>
        <v/>
      </c>
      <c r="D144" s="32"/>
    </row>
    <row r="145" spans="2:4" ht="19.95" customHeight="1">
      <c r="B145" s="31"/>
      <c r="C145" s="10" t="str">
        <f>IF(ISTEXT(B145),IFERROR(VLOOKUP(B145,Cadastro!A:B,2,FALSE),"Ticker Não Cadastrado"),"")</f>
        <v/>
      </c>
      <c r="D145" s="32"/>
    </row>
    <row r="146" spans="2:4" ht="19.95" customHeight="1">
      <c r="B146" s="31"/>
      <c r="C146" s="10" t="str">
        <f>IF(ISTEXT(B146),IFERROR(VLOOKUP(B146,Cadastro!A:B,2,FALSE),"Ticker Não Cadastrado"),"")</f>
        <v/>
      </c>
      <c r="D146" s="32"/>
    </row>
    <row r="147" spans="2:4" ht="19.95" customHeight="1">
      <c r="B147" s="31"/>
      <c r="C147" s="10" t="str">
        <f>IF(ISTEXT(B147),IFERROR(VLOOKUP(B147,Cadastro!A:B,2,FALSE),"Ticker Não Cadastrado"),"")</f>
        <v/>
      </c>
      <c r="D147" s="32"/>
    </row>
    <row r="148" spans="2:4" ht="19.95" customHeight="1">
      <c r="B148" s="31"/>
      <c r="C148" s="10" t="str">
        <f>IF(ISTEXT(B148),IFERROR(VLOOKUP(B148,Cadastro!A:B,2,FALSE),"Ticker Não Cadastrado"),"")</f>
        <v/>
      </c>
      <c r="D148" s="32"/>
    </row>
    <row r="149" spans="2:4" ht="19.95" customHeight="1">
      <c r="B149" s="31"/>
      <c r="C149" s="10" t="str">
        <f>IF(ISTEXT(B149),IFERROR(VLOOKUP(B149,Cadastro!A:B,2,FALSE),"Ticker Não Cadastrado"),"")</f>
        <v/>
      </c>
      <c r="D149" s="32"/>
    </row>
    <row r="150" spans="2:4" ht="19.95" customHeight="1">
      <c r="B150" s="31"/>
      <c r="C150" s="10" t="str">
        <f>IF(ISTEXT(B150),IFERROR(VLOOKUP(B150,Cadastro!A:B,2,FALSE),"Ticker Não Cadastrado"),"")</f>
        <v/>
      </c>
      <c r="D150" s="32"/>
    </row>
    <row r="151" spans="2:4" ht="19.95" customHeight="1">
      <c r="B151" s="31"/>
      <c r="C151" s="10" t="str">
        <f>IF(ISTEXT(B151),IFERROR(VLOOKUP(B151,Cadastro!A:B,2,FALSE),"Ticker Não Cadastrado"),"")</f>
        <v/>
      </c>
      <c r="D151" s="32"/>
    </row>
    <row r="152" spans="2:4" ht="19.95" customHeight="1">
      <c r="B152" s="31"/>
      <c r="C152" s="10" t="str">
        <f>IF(ISTEXT(B152),IFERROR(VLOOKUP(B152,Cadastro!A:B,2,FALSE),"Ticker Não Cadastrado"),"")</f>
        <v/>
      </c>
      <c r="D152" s="32"/>
    </row>
    <row r="153" spans="2:4" ht="19.95" customHeight="1">
      <c r="B153" s="31"/>
      <c r="C153" s="10" t="str">
        <f>IF(ISTEXT(B153),IFERROR(VLOOKUP(B153,Cadastro!A:B,2,FALSE),"Ticker Não Cadastrado"),"")</f>
        <v/>
      </c>
      <c r="D153" s="32"/>
    </row>
    <row r="154" spans="2:4" ht="19.95" customHeight="1">
      <c r="B154" s="31"/>
      <c r="C154" s="10" t="str">
        <f>IF(ISTEXT(B154),IFERROR(VLOOKUP(B154,Cadastro!A:B,2,FALSE),"Ticker Não Cadastrado"),"")</f>
        <v/>
      </c>
      <c r="D154" s="32"/>
    </row>
    <row r="155" spans="2:4" ht="19.95" customHeight="1">
      <c r="B155" s="31"/>
      <c r="C155" s="10" t="str">
        <f>IF(ISTEXT(B155),IFERROR(VLOOKUP(B155,Cadastro!A:B,2,FALSE),"Ticker Não Cadastrado"),"")</f>
        <v/>
      </c>
      <c r="D155" s="32"/>
    </row>
    <row r="156" spans="2:4" ht="19.95" customHeight="1">
      <c r="B156" s="31"/>
      <c r="C156" s="10" t="str">
        <f>IF(ISTEXT(B156),IFERROR(VLOOKUP(B156,Cadastro!A:B,2,FALSE),"Ticker Não Cadastrado"),"")</f>
        <v/>
      </c>
      <c r="D156" s="32"/>
    </row>
    <row r="157" spans="2:4" ht="19.95" customHeight="1">
      <c r="B157" s="31"/>
      <c r="C157" s="10" t="str">
        <f>IF(ISTEXT(B157),IFERROR(VLOOKUP(B157,Cadastro!A:B,2,FALSE),"Ticker Não Cadastrado"),"")</f>
        <v/>
      </c>
      <c r="D157" s="32"/>
    </row>
    <row r="158" spans="2:4" ht="19.95" customHeight="1">
      <c r="B158" s="31"/>
      <c r="C158" s="10" t="str">
        <f>IF(ISTEXT(B158),IFERROR(VLOOKUP(B158,Cadastro!A:B,2,FALSE),"Ticker Não Cadastrado"),"")</f>
        <v/>
      </c>
      <c r="D158" s="32"/>
    </row>
    <row r="159" spans="2:4" ht="19.95" customHeight="1">
      <c r="B159" s="31"/>
      <c r="C159" s="10" t="str">
        <f>IF(ISTEXT(B159),IFERROR(VLOOKUP(B159,Cadastro!A:B,2,FALSE),"Ticker Não Cadastrado"),"")</f>
        <v/>
      </c>
      <c r="D159" s="32"/>
    </row>
    <row r="160" spans="2:4" ht="19.95" customHeight="1">
      <c r="B160" s="31"/>
      <c r="C160" s="10" t="str">
        <f>IF(ISTEXT(B160),IFERROR(VLOOKUP(B160,Cadastro!A:B,2,FALSE),"Ticker Não Cadastrado"),"")</f>
        <v/>
      </c>
      <c r="D160" s="32"/>
    </row>
    <row r="161" spans="2:4" ht="19.95" customHeight="1">
      <c r="B161" s="31"/>
      <c r="C161" s="10" t="str">
        <f>IF(ISTEXT(B161),IFERROR(VLOOKUP(B161,Cadastro!A:B,2,FALSE),"Ticker Não Cadastrado"),"")</f>
        <v/>
      </c>
      <c r="D161" s="32"/>
    </row>
    <row r="162" spans="2:4" ht="19.95" customHeight="1">
      <c r="B162" s="31"/>
      <c r="C162" s="10" t="str">
        <f>IF(ISTEXT(B162),IFERROR(VLOOKUP(B162,Cadastro!A:B,2,FALSE),"Ticker Não Cadastrado"),"")</f>
        <v/>
      </c>
      <c r="D162" s="32"/>
    </row>
    <row r="163" spans="2:4" ht="19.95" customHeight="1">
      <c r="B163" s="31"/>
      <c r="C163" s="10" t="str">
        <f>IF(ISTEXT(B163),IFERROR(VLOOKUP(B163,Cadastro!A:B,2,FALSE),"Ticker Não Cadastrado"),"")</f>
        <v/>
      </c>
      <c r="D163" s="32"/>
    </row>
    <row r="164" spans="2:4" ht="19.95" customHeight="1">
      <c r="B164" s="31"/>
      <c r="C164" s="10" t="str">
        <f>IF(ISTEXT(B164),IFERROR(VLOOKUP(B164,Cadastro!A:B,2,FALSE),"Ticker Não Cadastrado"),"")</f>
        <v/>
      </c>
      <c r="D164" s="32"/>
    </row>
    <row r="165" spans="2:4" ht="19.95" customHeight="1">
      <c r="B165" s="31"/>
      <c r="C165" s="10" t="str">
        <f>IF(ISTEXT(B165),IFERROR(VLOOKUP(B165,Cadastro!A:B,2,FALSE),"Ticker Não Cadastrado"),"")</f>
        <v/>
      </c>
      <c r="D165" s="32"/>
    </row>
    <row r="166" spans="2:4" ht="19.95" customHeight="1">
      <c r="B166" s="31"/>
      <c r="C166" s="10" t="str">
        <f>IF(ISTEXT(B166),IFERROR(VLOOKUP(B166,Cadastro!A:B,2,FALSE),"Ticker Não Cadastrado"),"")</f>
        <v/>
      </c>
      <c r="D166" s="32"/>
    </row>
    <row r="167" spans="2:4" ht="19.95" customHeight="1">
      <c r="B167" s="31"/>
      <c r="C167" s="10" t="str">
        <f>IF(ISTEXT(B167),IFERROR(VLOOKUP(B167,Cadastro!A:B,2,FALSE),"Ticker Não Cadastrado"),"")</f>
        <v/>
      </c>
      <c r="D167" s="32"/>
    </row>
    <row r="168" spans="2:4" ht="19.95" customHeight="1">
      <c r="B168" s="31"/>
      <c r="C168" s="10" t="str">
        <f>IF(ISTEXT(B168),IFERROR(VLOOKUP(B168,Cadastro!A:B,2,FALSE),"Ticker Não Cadastrado"),"")</f>
        <v/>
      </c>
      <c r="D168" s="32"/>
    </row>
    <row r="169" spans="2:4" ht="19.95" customHeight="1">
      <c r="B169" s="31"/>
      <c r="C169" s="10" t="str">
        <f>IF(ISTEXT(B169),IFERROR(VLOOKUP(B169,Cadastro!A:B,2,FALSE),"Ticker Não Cadastrado"),"")</f>
        <v/>
      </c>
      <c r="D169" s="32"/>
    </row>
    <row r="170" spans="2:4" ht="19.95" customHeight="1">
      <c r="B170" s="31"/>
      <c r="C170" s="10" t="str">
        <f>IF(ISTEXT(B170),IFERROR(VLOOKUP(B170,Cadastro!A:B,2,FALSE),"Ticker Não Cadastrado"),"")</f>
        <v/>
      </c>
      <c r="D170" s="32"/>
    </row>
    <row r="171" spans="2:4" ht="19.95" customHeight="1">
      <c r="B171" s="31"/>
      <c r="C171" s="10" t="str">
        <f>IF(ISTEXT(B171),IFERROR(VLOOKUP(B171,Cadastro!A:B,2,FALSE),"Ticker Não Cadastrado"),"")</f>
        <v/>
      </c>
      <c r="D171" s="32"/>
    </row>
    <row r="172" spans="2:4" ht="19.95" customHeight="1">
      <c r="B172" s="31"/>
      <c r="C172" s="10" t="str">
        <f>IF(ISTEXT(B172),IFERROR(VLOOKUP(B172,Cadastro!A:B,2,FALSE),"Ticker Não Cadastrado"),"")</f>
        <v/>
      </c>
      <c r="D172" s="32"/>
    </row>
    <row r="173" spans="2:4" ht="19.95" customHeight="1">
      <c r="B173" s="31"/>
      <c r="C173" s="10" t="str">
        <f>IF(ISTEXT(B173),IFERROR(VLOOKUP(B173,Cadastro!A:B,2,FALSE),"Ticker Não Cadastrado"),"")</f>
        <v/>
      </c>
      <c r="D173" s="32"/>
    </row>
    <row r="174" spans="2:4" ht="19.95" customHeight="1">
      <c r="B174" s="31"/>
      <c r="C174" s="10" t="str">
        <f>IF(ISTEXT(B174),IFERROR(VLOOKUP(B174,Cadastro!A:B,2,FALSE),"Ticker Não Cadastrado"),"")</f>
        <v/>
      </c>
      <c r="D174" s="32"/>
    </row>
    <row r="175" spans="2:4" ht="19.95" customHeight="1">
      <c r="B175" s="31"/>
      <c r="C175" s="10" t="str">
        <f>IF(ISTEXT(B175),IFERROR(VLOOKUP(B175,Cadastro!A:B,2,FALSE),"Ticker Não Cadastrado"),"")</f>
        <v/>
      </c>
      <c r="D175" s="32"/>
    </row>
    <row r="176" spans="2:4" ht="19.95" customHeight="1">
      <c r="B176" s="31"/>
      <c r="C176" s="10" t="str">
        <f>IF(ISTEXT(B176),IFERROR(VLOOKUP(B176,Cadastro!A:B,2,FALSE),"Ticker Não Cadastrado"),"")</f>
        <v/>
      </c>
      <c r="D176" s="32"/>
    </row>
    <row r="177" spans="2:4" ht="19.95" customHeight="1">
      <c r="B177" s="31"/>
      <c r="C177" s="10" t="str">
        <f>IF(ISTEXT(B177),IFERROR(VLOOKUP(B177,Cadastro!A:B,2,FALSE),"Ticker Não Cadastrado"),"")</f>
        <v/>
      </c>
      <c r="D177" s="32"/>
    </row>
    <row r="178" spans="2:4" ht="19.95" customHeight="1">
      <c r="B178" s="31"/>
      <c r="C178" s="10" t="str">
        <f>IF(ISTEXT(B178),IFERROR(VLOOKUP(B178,Cadastro!A:B,2,FALSE),"Ticker Não Cadastrado"),"")</f>
        <v/>
      </c>
      <c r="D178" s="32"/>
    </row>
    <row r="179" spans="2:4" ht="19.95" customHeight="1">
      <c r="B179" s="31"/>
      <c r="C179" s="10" t="str">
        <f>IF(ISTEXT(B179),IFERROR(VLOOKUP(B179,Cadastro!A:B,2,FALSE),"Ticker Não Cadastrado"),"")</f>
        <v/>
      </c>
      <c r="D179" s="32"/>
    </row>
    <row r="180" spans="2:4" ht="19.95" customHeight="1">
      <c r="B180" s="31"/>
      <c r="C180" s="10" t="str">
        <f>IF(ISTEXT(B180),IFERROR(VLOOKUP(B180,Cadastro!A:B,2,FALSE),"Ticker Não Cadastrado"),"")</f>
        <v/>
      </c>
      <c r="D180" s="32"/>
    </row>
    <row r="181" spans="2:4" ht="19.95" customHeight="1">
      <c r="B181" s="31"/>
      <c r="C181" s="10" t="str">
        <f>IF(ISTEXT(B181),IFERROR(VLOOKUP(B181,Cadastro!A:B,2,FALSE),"Ticker Não Cadastrado"),"")</f>
        <v/>
      </c>
      <c r="D181" s="32"/>
    </row>
    <row r="182" spans="2:4" ht="19.95" customHeight="1">
      <c r="B182" s="31"/>
      <c r="C182" s="10" t="str">
        <f>IF(ISTEXT(B182),IFERROR(VLOOKUP(B182,Cadastro!A:B,2,FALSE),"Ticker Não Cadastrado"),"")</f>
        <v/>
      </c>
      <c r="D182" s="32"/>
    </row>
    <row r="183" spans="2:4" ht="19.95" customHeight="1">
      <c r="B183" s="31"/>
      <c r="C183" s="10" t="str">
        <f>IF(ISTEXT(B183),IFERROR(VLOOKUP(B183,Cadastro!A:B,2,FALSE),"Ticker Não Cadastrado"),"")</f>
        <v/>
      </c>
      <c r="D183" s="32"/>
    </row>
    <row r="184" spans="2:4" ht="19.95" customHeight="1">
      <c r="B184" s="31"/>
      <c r="C184" s="10" t="str">
        <f>IF(ISTEXT(B184),IFERROR(VLOOKUP(B184,Cadastro!A:B,2,FALSE),"Ticker Não Cadastrado"),"")</f>
        <v/>
      </c>
      <c r="D184" s="32"/>
    </row>
    <row r="185" spans="2:4" ht="19.95" customHeight="1">
      <c r="B185" s="31"/>
      <c r="C185" s="10" t="str">
        <f>IF(ISTEXT(B185),IFERROR(VLOOKUP(B185,Cadastro!A:B,2,FALSE),"Ticker Não Cadastrado"),"")</f>
        <v/>
      </c>
      <c r="D185" s="32"/>
    </row>
    <row r="186" spans="2:4" ht="19.95" customHeight="1">
      <c r="B186" s="31"/>
      <c r="C186" s="10" t="str">
        <f>IF(ISTEXT(B186),IFERROR(VLOOKUP(B186,Cadastro!A:B,2,FALSE),"Ticker Não Cadastrado"),"")</f>
        <v/>
      </c>
      <c r="D186" s="32"/>
    </row>
    <row r="187" spans="2:4" ht="19.95" customHeight="1">
      <c r="B187" s="31"/>
      <c r="C187" s="10" t="str">
        <f>IF(ISTEXT(B187),IFERROR(VLOOKUP(B187,Cadastro!A:B,2,FALSE),"Ticker Não Cadastrado"),"")</f>
        <v/>
      </c>
      <c r="D187" s="32"/>
    </row>
    <row r="188" spans="2:4" ht="19.95" customHeight="1">
      <c r="B188" s="31"/>
      <c r="C188" s="10" t="str">
        <f>IF(ISTEXT(B188),IFERROR(VLOOKUP(B188,Cadastro!A:B,2,FALSE),"Ticker Não Cadastrado"),"")</f>
        <v/>
      </c>
      <c r="D188" s="32"/>
    </row>
    <row r="189" spans="2:4" ht="19.95" customHeight="1">
      <c r="B189" s="31"/>
      <c r="C189" s="10" t="str">
        <f>IF(ISTEXT(B189),IFERROR(VLOOKUP(B189,Cadastro!A:B,2,FALSE),"Ticker Não Cadastrado"),"")</f>
        <v/>
      </c>
      <c r="D189" s="32"/>
    </row>
    <row r="190" spans="2:4" ht="19.95" customHeight="1">
      <c r="B190" s="31"/>
      <c r="C190" s="10" t="str">
        <f>IF(ISTEXT(B190),IFERROR(VLOOKUP(B190,Cadastro!A:B,2,FALSE),"Ticker Não Cadastrado"),"")</f>
        <v/>
      </c>
      <c r="D190" s="32"/>
    </row>
    <row r="191" spans="2:4" ht="19.95" customHeight="1" thickBot="1">
      <c r="B191" s="33"/>
      <c r="C191" s="34" t="str">
        <f>IF(ISTEXT(B191),IFERROR(VLOOKUP(B191,Cadastro!A:B,2,FALSE),"Ticker Não Cadastrado"),"")</f>
        <v/>
      </c>
      <c r="D191" s="35"/>
    </row>
  </sheetData>
  <mergeCells count="3">
    <mergeCell ref="L7:M13"/>
    <mergeCell ref="B3:D3"/>
    <mergeCell ref="J3:K3"/>
  </mergeCells>
  <dataValidations count="4">
    <dataValidation type="custom" allowBlank="1" showInputMessage="1" showErrorMessage="1" errorTitle="Erro" error="Data Final deve ser maior que Data Inicial" sqref="G6" xr:uid="{00000000-0002-0000-0000-000000000000}">
      <formula1>G6&gt;=G5</formula1>
    </dataValidation>
    <dataValidation type="list" allowBlank="1" showInputMessage="1" showErrorMessage="1" errorTitle="Erro" error="Data Final deve ser maior que Data Inicial" sqref="G4" xr:uid="{BF010154-4793-4FA4-8B12-405E474E7B24}">
      <formula1>"Preço,Preço Ajustado"</formula1>
    </dataValidation>
    <dataValidation type="list" allowBlank="1" showInputMessage="1" showErrorMessage="1" errorTitle="Erro" error="Data Final deve ser maior que Data Inicial" sqref="G9" xr:uid="{00DA1124-27A4-44A2-91E3-E8876B3B0EEE}">
      <formula1>"Linear,Log Retorno"</formula1>
    </dataValidation>
    <dataValidation type="list" allowBlank="1" showInputMessage="1" showErrorMessage="1" sqref="K8:K13" xr:uid="{ECC2ABF8-1EF5-49A2-99CA-BB64A56D8467}">
      <formula1>"Y,N"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Download_Prices">
                <anchor moveWithCells="1" sizeWithCells="1">
                  <from>
                    <xdr:col>7</xdr:col>
                    <xdr:colOff>68580</xdr:colOff>
                    <xdr:row>2</xdr:row>
                    <xdr:rowOff>182880</xdr:rowOff>
                  </from>
                  <to>
                    <xdr:col>8</xdr:col>
                    <xdr:colOff>647700</xdr:colOff>
                    <xdr:row>5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5" name="Button 10">
              <controlPr defaultSize="0" print="0" autoFill="0" autoPict="0" macro="[0]!calcula_retorno_completo">
                <anchor moveWithCells="1" sizeWithCells="1">
                  <from>
                    <xdr:col>7</xdr:col>
                    <xdr:colOff>68580</xdr:colOff>
                    <xdr:row>7</xdr:row>
                    <xdr:rowOff>213360</xdr:rowOff>
                  </from>
                  <to>
                    <xdr:col>8</xdr:col>
                    <xdr:colOff>647700</xdr:colOff>
                    <xdr:row>10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6" name="Button 17">
              <controlPr defaultSize="0" print="0" autoFill="0" autoPict="0" macro="[0]!Carrega_Individual">
                <anchor moveWithCells="1" sizeWithCells="1">
                  <from>
                    <xdr:col>11</xdr:col>
                    <xdr:colOff>60960</xdr:colOff>
                    <xdr:row>2</xdr:row>
                    <xdr:rowOff>182880</xdr:rowOff>
                  </from>
                  <to>
                    <xdr:col>12</xdr:col>
                    <xdr:colOff>541020</xdr:colOff>
                    <xdr:row>5</xdr:row>
                    <xdr:rowOff>198120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606C1690-D0CE-4D28-B5B9-379B16924058}">
          <x14:formula1>
            <xm:f>OFFSET(Cadastro!$A$2,0,0,COUNTA(Cadastro!$A:$A))</xm:f>
          </x14:formula1>
          <xm:sqref>B5:B191 J5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295DB-EA78-4FF8-AE03-FADD8FE010E5}">
  <sheetPr codeName="Sheet8"/>
  <dimension ref="A1:I413"/>
  <sheetViews>
    <sheetView showGridLines="0" topLeftCell="A28" zoomScale="130" zoomScaleNormal="130" workbookViewId="0">
      <selection activeCell="C27" sqref="C27"/>
    </sheetView>
  </sheetViews>
  <sheetFormatPr defaultRowHeight="14.4"/>
  <cols>
    <col min="2" max="2" width="23.109375" style="17" customWidth="1"/>
    <col min="3" max="3" width="19.109375" style="17" bestFit="1" customWidth="1"/>
    <col min="4" max="4" width="21" style="17" customWidth="1"/>
    <col min="7" max="7" width="24.109375" bestFit="1" customWidth="1"/>
    <col min="8" max="8" width="13.109375" customWidth="1"/>
    <col min="9" max="9" width="12.5546875" customWidth="1"/>
  </cols>
  <sheetData>
    <row r="1" spans="1:9" ht="15" thickBot="1"/>
    <row r="2" spans="1:9">
      <c r="A2" s="18" t="s">
        <v>11</v>
      </c>
      <c r="B2" s="19" t="s">
        <v>83</v>
      </c>
      <c r="C2" s="19" t="s">
        <v>82</v>
      </c>
      <c r="D2" s="19" t="s">
        <v>84</v>
      </c>
      <c r="F2" s="52" t="s">
        <v>85</v>
      </c>
      <c r="G2" s="53"/>
      <c r="H2" s="53"/>
      <c r="I2" s="54"/>
    </row>
    <row r="3" spans="1:9">
      <c r="A3" s="20">
        <v>2015</v>
      </c>
      <c r="B3" s="21">
        <v>0.14070175522492789</v>
      </c>
      <c r="C3" s="21">
        <v>0.13649103139013485</v>
      </c>
      <c r="D3" s="21">
        <v>4.2107238347930398E-3</v>
      </c>
      <c r="F3" s="55"/>
      <c r="G3" s="56"/>
      <c r="H3" s="56"/>
      <c r="I3" s="57"/>
    </row>
    <row r="4" spans="1:9">
      <c r="A4">
        <v>2016</v>
      </c>
      <c r="B4" s="17">
        <v>-4.7741570751251849E-2</v>
      </c>
      <c r="C4" s="17">
        <v>-4.7718865598027738E-2</v>
      </c>
      <c r="D4" s="17">
        <v>-2.2705153224111818E-5</v>
      </c>
      <c r="F4" s="55"/>
      <c r="G4" s="56"/>
      <c r="H4" s="56"/>
      <c r="I4" s="57"/>
    </row>
    <row r="5" spans="1:9">
      <c r="A5" s="20">
        <v>2017</v>
      </c>
      <c r="B5" s="21">
        <v>0.33412891891883323</v>
      </c>
      <c r="C5" s="21">
        <v>0.33413181406189163</v>
      </c>
      <c r="D5" s="21">
        <v>-2.8951430584012172E-6</v>
      </c>
      <c r="F5" s="55"/>
      <c r="G5" s="56"/>
      <c r="H5" s="56"/>
      <c r="I5" s="57"/>
    </row>
    <row r="6" spans="1:9">
      <c r="A6">
        <v>2018</v>
      </c>
      <c r="B6" s="17">
        <v>-0.25365319292307875</v>
      </c>
      <c r="C6" s="17">
        <v>-0.25365167176202219</v>
      </c>
      <c r="D6" s="17">
        <v>-1.5211610565613043E-6</v>
      </c>
      <c r="F6" s="55"/>
      <c r="G6" s="56"/>
      <c r="H6" s="56"/>
      <c r="I6" s="57"/>
    </row>
    <row r="7" spans="1:9">
      <c r="A7" s="20">
        <v>2019</v>
      </c>
      <c r="B7" s="21">
        <v>0.20091020806241833</v>
      </c>
      <c r="C7" s="21">
        <v>0.19180754226267882</v>
      </c>
      <c r="D7" s="21">
        <v>9.1026657997395066E-3</v>
      </c>
      <c r="F7" s="55"/>
      <c r="G7" s="56"/>
      <c r="H7" s="56"/>
      <c r="I7" s="57"/>
    </row>
    <row r="8" spans="1:9">
      <c r="F8" s="55"/>
      <c r="G8" s="56"/>
      <c r="H8" s="56"/>
      <c r="I8" s="57"/>
    </row>
    <row r="9" spans="1:9">
      <c r="A9" s="18" t="s">
        <v>13</v>
      </c>
      <c r="B9" s="19" t="s">
        <v>83</v>
      </c>
      <c r="C9" s="19" t="s">
        <v>82</v>
      </c>
      <c r="D9" s="19" t="s">
        <v>84</v>
      </c>
      <c r="F9" s="55"/>
      <c r="G9" s="56"/>
      <c r="H9" s="56"/>
      <c r="I9" s="57"/>
    </row>
    <row r="10" spans="1:9">
      <c r="A10" s="20">
        <v>2015</v>
      </c>
      <c r="B10" s="21">
        <v>0.184215443641502</v>
      </c>
      <c r="C10" s="21">
        <v>0.18295889101338569</v>
      </c>
      <c r="D10" s="21">
        <v>1.2565526281163031E-3</v>
      </c>
      <c r="F10" s="55"/>
      <c r="G10" s="56"/>
      <c r="H10" s="56"/>
      <c r="I10" s="57"/>
    </row>
    <row r="11" spans="1:9">
      <c r="A11">
        <v>2016</v>
      </c>
      <c r="B11" s="17">
        <v>0.56271545347346552</v>
      </c>
      <c r="C11" s="17">
        <v>0.56278411960804275</v>
      </c>
      <c r="D11" s="17">
        <v>-6.8666134577233251E-5</v>
      </c>
      <c r="F11" s="55"/>
      <c r="G11" s="56"/>
      <c r="H11" s="56"/>
      <c r="I11" s="57"/>
    </row>
    <row r="12" spans="1:9" ht="15" thickBot="1">
      <c r="A12" s="20">
        <v>2017</v>
      </c>
      <c r="B12" s="21">
        <v>0.4095659874851314</v>
      </c>
      <c r="C12" s="21">
        <v>0.40950226244343746</v>
      </c>
      <c r="D12" s="21">
        <v>6.3725041693940554E-5</v>
      </c>
      <c r="F12" s="58"/>
      <c r="G12" s="59"/>
      <c r="H12" s="59"/>
      <c r="I12" s="60"/>
    </row>
    <row r="13" spans="1:9">
      <c r="A13">
        <v>2018</v>
      </c>
      <c r="B13" s="17">
        <v>0.21304577366124899</v>
      </c>
      <c r="C13" s="17">
        <v>0.21307039669800498</v>
      </c>
      <c r="D13" s="17">
        <v>-2.4623036755988537E-5</v>
      </c>
      <c r="G13" s="14"/>
      <c r="H13" s="14"/>
      <c r="I13" s="15"/>
    </row>
    <row r="14" spans="1:9">
      <c r="A14" s="20">
        <v>2019</v>
      </c>
      <c r="B14" s="21">
        <v>0.7190292985419271</v>
      </c>
      <c r="C14" s="21">
        <v>0.65702619938754436</v>
      </c>
      <c r="D14" s="21">
        <v>6.2003099154382735E-2</v>
      </c>
      <c r="G14" s="14"/>
      <c r="H14" s="14"/>
      <c r="I14" s="15"/>
    </row>
    <row r="16" spans="1:9">
      <c r="A16" s="18" t="s">
        <v>14</v>
      </c>
      <c r="B16" s="19" t="s">
        <v>83</v>
      </c>
      <c r="C16" s="19" t="s">
        <v>82</v>
      </c>
      <c r="D16" s="19" t="s">
        <v>84</v>
      </c>
    </row>
    <row r="17" spans="1:9">
      <c r="A17" s="20">
        <v>2015</v>
      </c>
      <c r="B17" s="21">
        <v>-0.31491748428253996</v>
      </c>
      <c r="C17" s="21">
        <v>-0.31490215211145456</v>
      </c>
      <c r="D17" s="21">
        <v>-1.5332171085402635E-5</v>
      </c>
    </row>
    <row r="18" spans="1:9">
      <c r="A18">
        <v>2016</v>
      </c>
      <c r="B18" s="17">
        <v>0.99411065715893643</v>
      </c>
      <c r="C18" s="17">
        <v>0.99406551669568022</v>
      </c>
      <c r="D18" s="17">
        <v>4.5140463256210239E-5</v>
      </c>
    </row>
    <row r="19" spans="1:9">
      <c r="A19" s="20">
        <v>2017</v>
      </c>
      <c r="B19" s="21">
        <v>0.16848483354470534</v>
      </c>
      <c r="C19" s="21">
        <v>0.16848537756438442</v>
      </c>
      <c r="D19" s="21">
        <v>-5.4401967908290771E-7</v>
      </c>
    </row>
    <row r="20" spans="1:9">
      <c r="A20">
        <v>2018</v>
      </c>
      <c r="B20" s="17">
        <v>0.49988809254658451</v>
      </c>
      <c r="C20" s="17">
        <v>0.52409413522600112</v>
      </c>
      <c r="D20" s="17">
        <v>-2.4206042679416617E-2</v>
      </c>
    </row>
    <row r="21" spans="1:9">
      <c r="A21" s="20">
        <v>2019</v>
      </c>
      <c r="B21" s="21">
        <v>1.3215599561695379E-2</v>
      </c>
      <c r="C21" s="21">
        <v>1.5597147950090484E-3</v>
      </c>
      <c r="D21" s="21">
        <v>1.1655884766686331E-2</v>
      </c>
    </row>
    <row r="23" spans="1:9">
      <c r="A23" s="18" t="s">
        <v>15</v>
      </c>
      <c r="B23" s="19" t="s">
        <v>83</v>
      </c>
      <c r="C23" s="19" t="s">
        <v>82</v>
      </c>
      <c r="D23" s="19" t="s">
        <v>84</v>
      </c>
      <c r="F23" s="18" t="s">
        <v>15</v>
      </c>
      <c r="G23" s="19" t="s">
        <v>86</v>
      </c>
      <c r="H23" s="19" t="s">
        <v>82</v>
      </c>
      <c r="I23" s="19" t="s">
        <v>84</v>
      </c>
    </row>
    <row r="24" spans="1:9">
      <c r="A24" s="20">
        <v>2015</v>
      </c>
      <c r="B24" s="21">
        <v>-0.21532177706974431</v>
      </c>
      <c r="C24" s="21">
        <v>-0.2451182939020331</v>
      </c>
      <c r="D24" s="21">
        <v>2.9796516832288789E-2</v>
      </c>
      <c r="F24" s="20">
        <v>2015</v>
      </c>
      <c r="G24" s="21">
        <v>-0.2795558494087047</v>
      </c>
      <c r="H24" s="21">
        <v>-0.2451182939020331</v>
      </c>
      <c r="I24" s="21">
        <v>-3.4437555506671602E-2</v>
      </c>
    </row>
    <row r="25" spans="1:9">
      <c r="A25">
        <v>2016</v>
      </c>
      <c r="B25" s="17">
        <v>0.62003432188713714</v>
      </c>
      <c r="C25" s="17">
        <v>0.63458991789529406</v>
      </c>
      <c r="D25" s="17">
        <v>-1.4555596008156924E-2</v>
      </c>
      <c r="F25">
        <v>2016</v>
      </c>
      <c r="G25" s="17">
        <v>0.56360724581223254</v>
      </c>
      <c r="H25" s="17">
        <v>0.63458991789529406</v>
      </c>
      <c r="I25" s="17">
        <v>-7.0982672083061527E-2</v>
      </c>
    </row>
    <row r="26" spans="1:9">
      <c r="A26" s="20">
        <v>2017</v>
      </c>
      <c r="B26" s="21">
        <v>0.23157354313734935</v>
      </c>
      <c r="C26" s="21">
        <v>0.25606265190386246</v>
      </c>
      <c r="D26" s="21">
        <v>-2.4489108766513112E-2</v>
      </c>
      <c r="F26" s="20">
        <v>2017</v>
      </c>
      <c r="G26" s="21">
        <v>0.21022588234661055</v>
      </c>
      <c r="H26" s="21">
        <v>0.25606265190386246</v>
      </c>
      <c r="I26" s="21">
        <v>-4.5836769557251911E-2</v>
      </c>
    </row>
    <row r="27" spans="1:9">
      <c r="A27">
        <v>2018</v>
      </c>
      <c r="B27" s="17">
        <v>0.18129983506708491</v>
      </c>
      <c r="C27" s="17">
        <v>0.20179738562091498</v>
      </c>
      <c r="D27" s="17">
        <v>-2.0497550553830068E-2</v>
      </c>
      <c r="F27">
        <v>2018</v>
      </c>
      <c r="G27" s="17">
        <v>0.16141366024178194</v>
      </c>
      <c r="H27" s="17">
        <v>0.20179738562091498</v>
      </c>
      <c r="I27" s="17">
        <v>-4.038372537913304E-2</v>
      </c>
    </row>
    <row r="28" spans="1:9">
      <c r="A28" s="20">
        <v>2019</v>
      </c>
      <c r="B28" s="21">
        <v>7.4848068427937342E-3</v>
      </c>
      <c r="C28" s="21">
        <v>7.1916705427736982E-3</v>
      </c>
      <c r="D28" s="21">
        <v>2.9313630002003599E-4</v>
      </c>
      <c r="F28" s="20">
        <v>2019</v>
      </c>
      <c r="G28" s="21">
        <v>-2.0667675825909448E-3</v>
      </c>
      <c r="H28" s="21">
        <v>7.1916705427736982E-3</v>
      </c>
      <c r="I28" s="21">
        <v>-9.2584381253646431E-3</v>
      </c>
    </row>
    <row r="30" spans="1:9">
      <c r="A30" s="18" t="s">
        <v>16</v>
      </c>
      <c r="B30" s="19" t="s">
        <v>83</v>
      </c>
      <c r="C30" s="19" t="s">
        <v>82</v>
      </c>
      <c r="D30" s="19" t="s">
        <v>84</v>
      </c>
    </row>
    <row r="31" spans="1:9">
      <c r="A31" s="20">
        <v>2015</v>
      </c>
      <c r="B31" s="21">
        <v>-0.27087346152505332</v>
      </c>
      <c r="C31" s="21">
        <v>-0.29878290779203553</v>
      </c>
      <c r="D31" s="21">
        <v>2.7909446266982219E-2</v>
      </c>
      <c r="G31" s="14"/>
      <c r="H31" s="14"/>
      <c r="I31" s="15"/>
    </row>
    <row r="32" spans="1:9">
      <c r="A32">
        <v>2016</v>
      </c>
      <c r="B32" s="17">
        <v>0.72228217109659898</v>
      </c>
      <c r="C32" s="17">
        <v>0.7370059428355813</v>
      </c>
      <c r="D32" s="17">
        <v>-1.4723771738982316E-2</v>
      </c>
      <c r="G32" s="14"/>
      <c r="H32" s="14"/>
      <c r="I32" s="15"/>
    </row>
    <row r="33" spans="1:9">
      <c r="A33" s="20">
        <v>2017</v>
      </c>
      <c r="B33" s="21">
        <v>0.35193108551888819</v>
      </c>
      <c r="C33" s="21">
        <v>0.3345823829694794</v>
      </c>
      <c r="D33" s="21">
        <v>1.734870254940879E-2</v>
      </c>
      <c r="G33" s="14"/>
      <c r="H33" s="14"/>
      <c r="I33" s="15"/>
    </row>
    <row r="34" spans="1:9">
      <c r="A34">
        <v>2018</v>
      </c>
      <c r="B34" s="17">
        <v>0.30792647650424221</v>
      </c>
      <c r="C34" s="17">
        <v>0.2988402848423195</v>
      </c>
      <c r="D34" s="17">
        <v>9.0861916619227046E-3</v>
      </c>
      <c r="G34" s="14"/>
      <c r="H34" s="14"/>
      <c r="I34" s="15"/>
    </row>
    <row r="35" spans="1:9">
      <c r="A35" s="20">
        <v>2019</v>
      </c>
      <c r="B35" s="21">
        <v>1.8589388210776825E-3</v>
      </c>
      <c r="C35" s="21">
        <v>1.597794417117937E-3</v>
      </c>
      <c r="D35" s="21">
        <v>2.6114440395974547E-4</v>
      </c>
      <c r="G35" s="14"/>
      <c r="H35" s="14"/>
      <c r="I35" s="15"/>
    </row>
    <row r="37" spans="1:9">
      <c r="A37" s="18" t="s">
        <v>17</v>
      </c>
      <c r="B37" s="19" t="s">
        <v>83</v>
      </c>
      <c r="C37" s="19" t="s">
        <v>82</v>
      </c>
      <c r="D37" s="19" t="s">
        <v>84</v>
      </c>
    </row>
    <row r="38" spans="1:9">
      <c r="A38" s="20">
        <v>2015</v>
      </c>
      <c r="B38" s="21">
        <v>-0.19329343785139497</v>
      </c>
      <c r="C38" s="21">
        <v>-0.20013111888111934</v>
      </c>
      <c r="D38" s="21">
        <v>6.837681029724374E-3</v>
      </c>
    </row>
    <row r="39" spans="1:9">
      <c r="A39">
        <v>2016</v>
      </c>
      <c r="B39" s="17">
        <v>0.23721450020302481</v>
      </c>
      <c r="C39" s="17">
        <v>0.23725479481995504</v>
      </c>
      <c r="D39" s="17">
        <v>-4.0294616930225402E-5</v>
      </c>
    </row>
    <row r="40" spans="1:9">
      <c r="A40" s="20">
        <v>2017</v>
      </c>
      <c r="B40" s="21">
        <v>6.8952871460955079E-2</v>
      </c>
      <c r="C40" s="21">
        <v>6.8939628141149178E-2</v>
      </c>
      <c r="D40" s="21">
        <v>1.32433198059001E-5</v>
      </c>
    </row>
    <row r="41" spans="1:9">
      <c r="A41">
        <v>2018</v>
      </c>
      <c r="B41" s="17">
        <v>3.2946191042692918E-2</v>
      </c>
      <c r="C41" s="17">
        <v>8.4490166914559017E-2</v>
      </c>
      <c r="D41" s="17">
        <v>-5.1543975871866099E-2</v>
      </c>
    </row>
    <row r="42" spans="1:9">
      <c r="A42" s="20">
        <v>2019</v>
      </c>
      <c r="B42" s="21">
        <v>0.22634164408722324</v>
      </c>
      <c r="C42" s="21">
        <v>0.22633243171168416</v>
      </c>
      <c r="D42" s="21">
        <v>9.2123755390804973E-6</v>
      </c>
    </row>
    <row r="44" spans="1:9">
      <c r="A44" s="18" t="s">
        <v>18</v>
      </c>
      <c r="B44" s="19" t="s">
        <v>83</v>
      </c>
      <c r="C44" s="19" t="s">
        <v>82</v>
      </c>
      <c r="D44" s="19" t="s">
        <v>84</v>
      </c>
    </row>
    <row r="45" spans="1:9">
      <c r="A45" s="20">
        <v>2015</v>
      </c>
      <c r="B45" s="21">
        <v>-0.61384900191112957</v>
      </c>
      <c r="C45" s="21">
        <v>-0.61380846325167027</v>
      </c>
      <c r="D45" s="21">
        <v>-4.0538659459299353E-5</v>
      </c>
    </row>
    <row r="46" spans="1:9">
      <c r="A46">
        <v>2016</v>
      </c>
      <c r="B46" s="17">
        <v>1.9992002296238112</v>
      </c>
      <c r="C46" s="17">
        <v>1.9993079584775062</v>
      </c>
      <c r="D46" s="17">
        <v>-1.0772885369503271E-4</v>
      </c>
    </row>
    <row r="47" spans="1:9">
      <c r="A47" s="20">
        <v>2017</v>
      </c>
      <c r="B47" s="21">
        <v>1.1191636734237003</v>
      </c>
      <c r="C47" s="21">
        <v>1.0489155514536201</v>
      </c>
      <c r="D47" s="21">
        <v>7.0248121970080124E-2</v>
      </c>
    </row>
    <row r="48" spans="1:9">
      <c r="A48">
        <v>2018</v>
      </c>
      <c r="B48" s="17">
        <v>0.14372163496710244</v>
      </c>
      <c r="C48" s="17">
        <v>0.14373123123123177</v>
      </c>
      <c r="D48" s="17">
        <v>-9.5962641293301232E-6</v>
      </c>
      <c r="G48" s="16"/>
    </row>
    <row r="49" spans="1:4">
      <c r="A49" s="20">
        <v>2019</v>
      </c>
      <c r="B49" s="21">
        <v>-0.10887046097917752</v>
      </c>
      <c r="C49" s="21">
        <v>-0.10893038826347989</v>
      </c>
      <c r="D49" s="21">
        <v>5.9927284302374595E-5</v>
      </c>
    </row>
    <row r="51" spans="1:4">
      <c r="A51" s="18" t="s">
        <v>19</v>
      </c>
      <c r="B51" s="19" t="s">
        <v>83</v>
      </c>
      <c r="C51" s="19" t="s">
        <v>82</v>
      </c>
      <c r="D51" s="19" t="s">
        <v>84</v>
      </c>
    </row>
    <row r="52" spans="1:4">
      <c r="A52" s="20">
        <v>2015</v>
      </c>
      <c r="B52" s="21">
        <v>0</v>
      </c>
      <c r="C52" s="21">
        <v>0</v>
      </c>
      <c r="D52" s="21">
        <v>0</v>
      </c>
    </row>
    <row r="53" spans="1:4">
      <c r="A53">
        <v>2016</v>
      </c>
      <c r="B53" s="17">
        <v>0</v>
      </c>
      <c r="C53" s="17">
        <v>0</v>
      </c>
      <c r="D53" s="17">
        <v>0</v>
      </c>
    </row>
    <row r="54" spans="1:4">
      <c r="A54" s="20">
        <v>2017</v>
      </c>
      <c r="B54" s="21">
        <v>6.8749958504762843E-2</v>
      </c>
      <c r="C54" s="21">
        <v>0.1400531748514231</v>
      </c>
      <c r="D54" s="21">
        <v>-7.1303216346660259E-2</v>
      </c>
    </row>
    <row r="55" spans="1:4">
      <c r="A55">
        <v>2018</v>
      </c>
      <c r="B55" s="17">
        <v>0.57747969048084147</v>
      </c>
      <c r="C55" s="17">
        <v>0.60594005075793889</v>
      </c>
      <c r="D55" s="17">
        <v>-2.8460360277097418E-2</v>
      </c>
    </row>
    <row r="56" spans="1:4">
      <c r="A56" s="20">
        <v>2019</v>
      </c>
      <c r="B56" s="21">
        <v>0.20494970223188846</v>
      </c>
      <c r="C56" s="21">
        <v>0.20232349549395634</v>
      </c>
      <c r="D56" s="21">
        <v>2.6262067379321241E-3</v>
      </c>
    </row>
    <row r="58" spans="1:4">
      <c r="A58" s="18" t="s">
        <v>20</v>
      </c>
      <c r="B58" s="19" t="s">
        <v>83</v>
      </c>
      <c r="C58" s="19" t="s">
        <v>82</v>
      </c>
      <c r="D58" s="19" t="s">
        <v>84</v>
      </c>
    </row>
    <row r="59" spans="1:4">
      <c r="A59" s="20">
        <v>2015</v>
      </c>
      <c r="B59" s="21">
        <v>-0.11252982784612875</v>
      </c>
      <c r="C59" s="21">
        <v>-0.1125473406882912</v>
      </c>
      <c r="D59" s="21">
        <v>1.7512842162448194E-5</v>
      </c>
    </row>
    <row r="60" spans="1:4">
      <c r="A60">
        <v>2016</v>
      </c>
      <c r="B60" s="17">
        <v>-0.10472372256507112</v>
      </c>
      <c r="C60" s="17">
        <v>-0.10474069950830356</v>
      </c>
      <c r="D60" s="17">
        <v>1.6976943232438479E-5</v>
      </c>
    </row>
    <row r="61" spans="1:4">
      <c r="A61" s="20">
        <v>2017</v>
      </c>
      <c r="B61" s="21">
        <v>-0.24145081865284912</v>
      </c>
      <c r="C61" s="21">
        <v>-0.24145077720207309</v>
      </c>
      <c r="D61" s="21">
        <v>-4.1450776033791215E-8</v>
      </c>
    </row>
    <row r="62" spans="1:4">
      <c r="A62">
        <v>2018</v>
      </c>
      <c r="B62" s="17">
        <v>-0.40081963938905119</v>
      </c>
      <c r="C62" s="17">
        <v>-0.40081967213114733</v>
      </c>
      <c r="D62" s="17">
        <v>3.274209614545498E-8</v>
      </c>
    </row>
    <row r="63" spans="1:4">
      <c r="A63" s="20">
        <v>2019</v>
      </c>
      <c r="B63" s="21">
        <v>0.75968992248061773</v>
      </c>
      <c r="C63" s="21">
        <v>0.7596899224806184</v>
      </c>
      <c r="D63" s="21">
        <v>0</v>
      </c>
    </row>
    <row r="65" spans="1:4">
      <c r="A65" s="18" t="s">
        <v>22</v>
      </c>
      <c r="B65" s="19" t="s">
        <v>83</v>
      </c>
      <c r="C65" s="19" t="s">
        <v>82</v>
      </c>
      <c r="D65" s="19" t="s">
        <v>84</v>
      </c>
    </row>
    <row r="66" spans="1:4">
      <c r="A66" s="20">
        <v>2015</v>
      </c>
      <c r="B66" s="21">
        <v>-0.28625155998232299</v>
      </c>
      <c r="C66" s="21">
        <v>-0.30507444545730755</v>
      </c>
      <c r="D66" s="21">
        <v>1.8822885474984563E-2</v>
      </c>
    </row>
    <row r="67" spans="1:4">
      <c r="A67">
        <v>2016</v>
      </c>
      <c r="B67" s="17">
        <v>0.39954887381288118</v>
      </c>
      <c r="C67" s="17">
        <v>0.39965019676432245</v>
      </c>
      <c r="D67" s="17">
        <v>-1.013229514412739E-4</v>
      </c>
    </row>
    <row r="68" spans="1:4">
      <c r="A68" s="20">
        <v>2017</v>
      </c>
      <c r="B68" s="21">
        <v>0.2317402018588457</v>
      </c>
      <c r="C68" s="21">
        <v>0.23086535457669655</v>
      </c>
      <c r="D68" s="21">
        <v>8.7484728214914931E-4</v>
      </c>
    </row>
    <row r="69" spans="1:4">
      <c r="A69">
        <v>2018</v>
      </c>
      <c r="B69" s="17">
        <v>3.468885922196252E-2</v>
      </c>
      <c r="C69" s="17">
        <v>3.4686971235193376E-2</v>
      </c>
      <c r="D69" s="17">
        <v>1.8879867691445895E-6</v>
      </c>
    </row>
    <row r="70" spans="1:4">
      <c r="A70" s="20">
        <v>2019</v>
      </c>
      <c r="B70" s="21">
        <v>0.1349763184723809</v>
      </c>
      <c r="C70" s="21">
        <v>0.12837285363859419</v>
      </c>
      <c r="D70" s="21">
        <v>6.6034648337867097E-3</v>
      </c>
    </row>
    <row r="72" spans="1:4">
      <c r="A72" s="18" t="s">
        <v>23</v>
      </c>
      <c r="B72" s="19" t="s">
        <v>83</v>
      </c>
      <c r="C72" s="19" t="s">
        <v>82</v>
      </c>
      <c r="D72" s="19" t="s">
        <v>84</v>
      </c>
    </row>
    <row r="73" spans="1:4">
      <c r="A73" s="20">
        <v>2015</v>
      </c>
      <c r="B73" s="21">
        <v>-0.32130128891679277</v>
      </c>
      <c r="C73" s="21">
        <v>-0.32129997230172702</v>
      </c>
      <c r="D73" s="21">
        <v>-1.3166150657495379E-6</v>
      </c>
    </row>
    <row r="74" spans="1:4">
      <c r="A74">
        <v>2016</v>
      </c>
      <c r="B74" s="17">
        <v>-0.33026928858567284</v>
      </c>
      <c r="C74" s="17">
        <v>-0.33029519793225448</v>
      </c>
      <c r="D74" s="17">
        <v>2.59093465816429E-5</v>
      </c>
    </row>
    <row r="75" spans="1:4">
      <c r="A75" s="20">
        <v>2017</v>
      </c>
      <c r="B75" s="21">
        <v>1.0579047915028985</v>
      </c>
      <c r="C75" s="21">
        <v>1.0578915295551483</v>
      </c>
      <c r="D75" s="21">
        <v>1.3261947750198289E-5</v>
      </c>
    </row>
    <row r="76" spans="1:4">
      <c r="A76">
        <v>2018</v>
      </c>
      <c r="B76" s="17">
        <v>1.0497519037753542</v>
      </c>
      <c r="C76" s="17">
        <v>1.049797650774849</v>
      </c>
      <c r="D76" s="17">
        <v>-4.5746999494777896E-5</v>
      </c>
    </row>
    <row r="77" spans="1:4">
      <c r="A77" s="20">
        <v>2019</v>
      </c>
      <c r="B77" s="21">
        <v>8.3523984484668023E-3</v>
      </c>
      <c r="C77" s="21">
        <v>8.3548022054742432E-3</v>
      </c>
      <c r="D77" s="21">
        <v>-2.4037570074408876E-6</v>
      </c>
    </row>
    <row r="79" spans="1:4">
      <c r="A79" s="18" t="s">
        <v>24</v>
      </c>
      <c r="B79" s="19" t="s">
        <v>83</v>
      </c>
      <c r="C79" s="19" t="s">
        <v>82</v>
      </c>
      <c r="D79" s="19" t="s">
        <v>84</v>
      </c>
    </row>
    <row r="80" spans="1:4">
      <c r="A80" s="20">
        <v>2015</v>
      </c>
      <c r="B80" s="21">
        <v>-0.14597519653315094</v>
      </c>
      <c r="C80" s="21">
        <v>-0.14594637727417714</v>
      </c>
      <c r="D80" s="21">
        <v>-2.881925897380011E-5</v>
      </c>
    </row>
    <row r="81" spans="1:9">
      <c r="A81">
        <v>2016</v>
      </c>
      <c r="B81" s="17">
        <v>0.33194333314183933</v>
      </c>
      <c r="C81" s="17">
        <v>0.33196300102774901</v>
      </c>
      <c r="D81" s="17">
        <v>-1.9667885909679939E-5</v>
      </c>
    </row>
    <row r="82" spans="1:9">
      <c r="A82" s="20">
        <v>2017</v>
      </c>
      <c r="B82" s="21">
        <v>4.7682063357692428E-2</v>
      </c>
      <c r="C82" s="21">
        <v>4.7629068462401447E-2</v>
      </c>
      <c r="D82" s="21">
        <v>5.2994895290980892E-5</v>
      </c>
    </row>
    <row r="83" spans="1:9">
      <c r="A83">
        <v>2018</v>
      </c>
      <c r="B83" s="17">
        <v>-0.28022894469102078</v>
      </c>
      <c r="C83" s="17">
        <v>-0.26836290592567846</v>
      </c>
      <c r="D83" s="17">
        <v>-1.1866038765342313E-2</v>
      </c>
    </row>
    <row r="84" spans="1:9">
      <c r="A84" s="20">
        <v>2019</v>
      </c>
      <c r="B84" s="21">
        <v>0.4340206810124867</v>
      </c>
      <c r="C84" s="21">
        <v>0.43406241420335023</v>
      </c>
      <c r="D84" s="21">
        <v>-4.1733190863535441E-5</v>
      </c>
    </row>
    <row r="86" spans="1:9">
      <c r="A86" s="18" t="s">
        <v>25</v>
      </c>
      <c r="B86" s="19" t="s">
        <v>83</v>
      </c>
      <c r="C86" s="19" t="s">
        <v>82</v>
      </c>
      <c r="D86" s="19" t="s">
        <v>84</v>
      </c>
      <c r="F86" s="18" t="s">
        <v>25</v>
      </c>
      <c r="G86" s="19"/>
      <c r="H86" s="19"/>
      <c r="I86" s="19"/>
    </row>
    <row r="87" spans="1:9">
      <c r="A87" s="20">
        <v>2015</v>
      </c>
      <c r="B87" s="21">
        <v>-2.8244026123881438E-3</v>
      </c>
      <c r="C87" s="21">
        <v>-1.4338216263782733E-2</v>
      </c>
      <c r="D87" s="21">
        <v>1.1513813651394589E-2</v>
      </c>
      <c r="F87" s="20">
        <v>2015</v>
      </c>
      <c r="G87" s="21">
        <v>-3.2685511378396814E-2</v>
      </c>
      <c r="H87" s="21">
        <v>-1.4338216263782733E-2</v>
      </c>
      <c r="I87" s="21">
        <v>-1.8347295114614082E-2</v>
      </c>
    </row>
    <row r="88" spans="1:9">
      <c r="A88">
        <v>2016</v>
      </c>
      <c r="B88" s="17">
        <v>1.8754863126314358E-2</v>
      </c>
      <c r="C88" s="17">
        <v>1.3233904001680452E-2</v>
      </c>
      <c r="D88" s="17">
        <v>5.5209591246339063E-3</v>
      </c>
      <c r="F88">
        <v>2016</v>
      </c>
      <c r="G88" s="17">
        <v>-3.631164533268727E-3</v>
      </c>
      <c r="H88" s="17">
        <v>1.3233904001680452E-2</v>
      </c>
      <c r="I88" s="17">
        <v>-1.6865068534949179E-2</v>
      </c>
    </row>
    <row r="89" spans="1:9">
      <c r="A89" s="20">
        <v>2017</v>
      </c>
      <c r="B89" s="21">
        <v>5.1037283019042201E-2</v>
      </c>
      <c r="C89" s="21">
        <v>4.8927127604434961E-2</v>
      </c>
      <c r="D89" s="21">
        <v>2.1101554146072399E-3</v>
      </c>
      <c r="F89" s="20">
        <v>2017</v>
      </c>
      <c r="G89" s="21">
        <v>1.1974210663342477E-2</v>
      </c>
      <c r="H89" s="21">
        <v>4.8927127604434961E-2</v>
      </c>
      <c r="I89" s="21">
        <v>-3.6952916941092484E-2</v>
      </c>
    </row>
    <row r="90" spans="1:9">
      <c r="A90">
        <v>2018</v>
      </c>
      <c r="B90" s="17">
        <v>-0.58147498835900968</v>
      </c>
      <c r="C90" s="17">
        <v>-0.58148038343709818</v>
      </c>
      <c r="D90" s="17">
        <v>5.3950780884992611E-6</v>
      </c>
      <c r="F90">
        <v>2018</v>
      </c>
      <c r="G90" s="17">
        <v>-0.62202380952380931</v>
      </c>
      <c r="H90" s="17">
        <v>-0.58148038343709818</v>
      </c>
      <c r="I90" s="17">
        <v>-4.0543426086711132E-2</v>
      </c>
    </row>
    <row r="91" spans="1:9">
      <c r="A91" s="20">
        <v>2019</v>
      </c>
      <c r="B91" s="21">
        <v>-0.135726614570718</v>
      </c>
      <c r="C91" s="21">
        <v>-0.14521841794569035</v>
      </c>
      <c r="D91" s="21">
        <v>9.4918033749723518E-3</v>
      </c>
      <c r="F91" s="20">
        <v>2019</v>
      </c>
      <c r="G91" s="21">
        <v>-0.185601799775029</v>
      </c>
      <c r="H91" s="21">
        <v>-0.14521841794569035</v>
      </c>
      <c r="I91" s="21">
        <v>-4.0383381829338649E-2</v>
      </c>
    </row>
    <row r="93" spans="1:9">
      <c r="A93" s="18" t="s">
        <v>26</v>
      </c>
      <c r="B93" s="19" t="s">
        <v>83</v>
      </c>
      <c r="C93" s="19" t="s">
        <v>82</v>
      </c>
      <c r="D93" s="19" t="s">
        <v>84</v>
      </c>
    </row>
    <row r="94" spans="1:9">
      <c r="A94" s="20">
        <v>2015</v>
      </c>
      <c r="B94" s="21">
        <v>-0.51808236661023976</v>
      </c>
      <c r="C94" s="21">
        <v>-0.51855316495166792</v>
      </c>
      <c r="D94" s="21">
        <v>4.7079834142815802E-4</v>
      </c>
    </row>
    <row r="95" spans="1:9">
      <c r="A95">
        <v>2016</v>
      </c>
      <c r="B95" s="17">
        <v>0.45414067275076153</v>
      </c>
      <c r="C95" s="17">
        <v>0.41666666666666696</v>
      </c>
      <c r="D95" s="17">
        <v>3.7474006084094569E-2</v>
      </c>
    </row>
    <row r="96" spans="1:9">
      <c r="A96" s="20">
        <v>2017</v>
      </c>
      <c r="B96" s="21">
        <v>-6.8042492107270647E-2</v>
      </c>
      <c r="C96" s="21">
        <v>-5.5928070710149713E-2</v>
      </c>
      <c r="D96" s="21">
        <v>-1.2114421397120934E-2</v>
      </c>
    </row>
    <row r="97" spans="1:4">
      <c r="A97">
        <v>2018</v>
      </c>
      <c r="B97" s="17">
        <v>1.1676008666396984</v>
      </c>
      <c r="C97" s="17">
        <v>1.167554479418885</v>
      </c>
      <c r="D97" s="17">
        <v>4.6387220813404184E-5</v>
      </c>
    </row>
    <row r="98" spans="1:4">
      <c r="A98" s="20">
        <v>2019</v>
      </c>
      <c r="B98" s="21">
        <v>8.5029607456842182E-2</v>
      </c>
      <c r="C98" s="21">
        <v>8.5046172177539958E-2</v>
      </c>
      <c r="D98" s="21">
        <v>-1.6564720697775925E-5</v>
      </c>
    </row>
    <row r="100" spans="1:4">
      <c r="A100" s="18" t="s">
        <v>28</v>
      </c>
      <c r="B100" s="19" t="s">
        <v>83</v>
      </c>
      <c r="C100" s="19" t="s">
        <v>82</v>
      </c>
      <c r="D100" s="19" t="s">
        <v>84</v>
      </c>
    </row>
    <row r="101" spans="1:4">
      <c r="A101" s="20">
        <v>2015</v>
      </c>
      <c r="B101" s="21">
        <v>-0.23608313413325266</v>
      </c>
      <c r="C101" s="21">
        <v>-0.2259439707673575</v>
      </c>
      <c r="D101" s="21">
        <v>-1.0139163365895154E-2</v>
      </c>
    </row>
    <row r="102" spans="1:4">
      <c r="A102">
        <v>2016</v>
      </c>
      <c r="B102" s="17">
        <v>1.7125000331226898</v>
      </c>
      <c r="C102" s="17">
        <v>1.7123000262260706</v>
      </c>
      <c r="D102" s="17">
        <v>2.0000689661925364E-4</v>
      </c>
    </row>
    <row r="103" spans="1:4">
      <c r="A103" s="20">
        <v>2017</v>
      </c>
      <c r="B103" s="21">
        <v>-0.22764977738837222</v>
      </c>
      <c r="C103" s="21">
        <v>-0.22771224134596779</v>
      </c>
      <c r="D103" s="21">
        <v>6.2463957595570996E-5</v>
      </c>
    </row>
    <row r="104" spans="1:4">
      <c r="A104">
        <v>2018</v>
      </c>
      <c r="B104" s="17">
        <v>0.13215123412113483</v>
      </c>
      <c r="C104" s="17">
        <v>5.4964317015148589E-2</v>
      </c>
      <c r="D104" s="17">
        <v>7.7186917105986241E-2</v>
      </c>
    </row>
    <row r="105" spans="1:4">
      <c r="A105" s="20">
        <v>2019</v>
      </c>
      <c r="B105" s="21">
        <v>0.69068129242529852</v>
      </c>
      <c r="C105" s="21">
        <v>0.61642535010681176</v>
      </c>
      <c r="D105" s="21">
        <v>7.4255942318486756E-2</v>
      </c>
    </row>
    <row r="107" spans="1:4">
      <c r="A107" s="18" t="s">
        <v>27</v>
      </c>
      <c r="B107" s="19" t="s">
        <v>83</v>
      </c>
      <c r="C107" s="19" t="s">
        <v>82</v>
      </c>
      <c r="D107" s="19" t="s">
        <v>84</v>
      </c>
    </row>
    <row r="108" spans="1:4">
      <c r="A108" s="20">
        <v>2015</v>
      </c>
      <c r="B108" s="21">
        <v>-0.10003080786038177</v>
      </c>
      <c r="C108" s="21">
        <v>-0.10004541888599783</v>
      </c>
      <c r="D108" s="21">
        <v>1.4611025616062534E-5</v>
      </c>
    </row>
    <row r="109" spans="1:4">
      <c r="A109">
        <v>2016</v>
      </c>
      <c r="B109" s="17">
        <v>0.65459123682782083</v>
      </c>
      <c r="C109" s="17">
        <v>0.62327950082584049</v>
      </c>
      <c r="D109" s="17">
        <v>3.1311736001980339E-2</v>
      </c>
    </row>
    <row r="110" spans="1:4">
      <c r="A110" s="20">
        <v>2017</v>
      </c>
      <c r="B110" s="21">
        <v>0.11582427666107664</v>
      </c>
      <c r="C110" s="21">
        <v>0.11582487775924988</v>
      </c>
      <c r="D110" s="21">
        <v>-6.0109817323628079E-7</v>
      </c>
    </row>
    <row r="111" spans="1:4">
      <c r="A111">
        <v>2018</v>
      </c>
      <c r="B111" s="17">
        <v>-0.17058506292709863</v>
      </c>
      <c r="C111" s="17">
        <v>-0.17059702626712969</v>
      </c>
      <c r="D111" s="17">
        <v>1.1963340031062586E-5</v>
      </c>
    </row>
    <row r="112" spans="1:4">
      <c r="A112" s="20">
        <v>2019</v>
      </c>
      <c r="B112" s="21">
        <v>0.46559914615950149</v>
      </c>
      <c r="C112" s="21">
        <v>0.46561202052284467</v>
      </c>
      <c r="D112" s="21">
        <v>-1.2874363343184925E-5</v>
      </c>
    </row>
    <row r="114" spans="1:4">
      <c r="A114" s="18" t="s">
        <v>29</v>
      </c>
      <c r="B114" s="19" t="s">
        <v>83</v>
      </c>
      <c r="C114" s="19" t="s">
        <v>82</v>
      </c>
      <c r="D114" s="19" t="s">
        <v>84</v>
      </c>
    </row>
    <row r="115" spans="1:4">
      <c r="A115" s="20">
        <v>2015</v>
      </c>
      <c r="B115" s="21">
        <v>-0.1129004191542935</v>
      </c>
      <c r="C115" s="21">
        <v>-8.603473227206837E-2</v>
      </c>
      <c r="D115" s="21">
        <v>-2.6865686882225126E-2</v>
      </c>
    </row>
    <row r="116" spans="1:4">
      <c r="A116">
        <v>2016</v>
      </c>
      <c r="B116" s="17">
        <v>0.83824829909211873</v>
      </c>
      <c r="C116" s="17">
        <v>0.83778006491964541</v>
      </c>
      <c r="D116" s="17">
        <v>4.6823417247332522E-4</v>
      </c>
    </row>
    <row r="117" spans="1:4">
      <c r="A117" s="20">
        <v>2017</v>
      </c>
      <c r="B117" s="21">
        <v>1.070306544498679</v>
      </c>
      <c r="C117" s="21">
        <v>1.0702623529918593</v>
      </c>
      <c r="D117" s="21">
        <v>4.4191506819668547E-5</v>
      </c>
    </row>
    <row r="118" spans="1:4">
      <c r="A118">
        <v>2018</v>
      </c>
      <c r="B118" s="17">
        <v>0.27248575286487609</v>
      </c>
      <c r="C118" s="17">
        <v>0.27248891940820341</v>
      </c>
      <c r="D118" s="17">
        <v>-3.1665433273264654E-6</v>
      </c>
    </row>
    <row r="119" spans="1:4">
      <c r="A119" s="20">
        <v>2019</v>
      </c>
      <c r="B119" s="21">
        <v>-0.14001017074109612</v>
      </c>
      <c r="C119" s="21">
        <v>-0.14001177394034547</v>
      </c>
      <c r="D119" s="21">
        <v>1.6031992493559244E-6</v>
      </c>
    </row>
    <row r="121" spans="1:4">
      <c r="A121" s="18" t="s">
        <v>9</v>
      </c>
      <c r="B121" s="19" t="s">
        <v>83</v>
      </c>
      <c r="C121" s="19" t="s">
        <v>82</v>
      </c>
      <c r="D121" s="19" t="s">
        <v>84</v>
      </c>
    </row>
    <row r="122" spans="1:4">
      <c r="A122" s="20">
        <v>2015</v>
      </c>
      <c r="B122" s="21">
        <v>-0.31961274628982805</v>
      </c>
      <c r="C122" s="21">
        <v>-0.29849615925565287</v>
      </c>
      <c r="D122" s="21">
        <v>-2.1116587034175183E-2</v>
      </c>
    </row>
    <row r="123" spans="1:4">
      <c r="A123">
        <v>2016</v>
      </c>
      <c r="B123" s="17">
        <v>0.40570394224560413</v>
      </c>
      <c r="C123" s="17">
        <v>0.40576804441702663</v>
      </c>
      <c r="D123" s="17">
        <v>-6.4102171422497634E-5</v>
      </c>
    </row>
    <row r="124" spans="1:4">
      <c r="A124" s="20">
        <v>2017</v>
      </c>
      <c r="B124" s="21">
        <v>0.29648304607313691</v>
      </c>
      <c r="C124" s="21">
        <v>0.29643444871091673</v>
      </c>
      <c r="D124" s="21">
        <v>4.859736222018185E-5</v>
      </c>
    </row>
    <row r="125" spans="1:4">
      <c r="A125">
        <v>2018</v>
      </c>
      <c r="B125" s="17">
        <v>0.26629510004593349</v>
      </c>
      <c r="C125" s="17">
        <v>0.26631124650926696</v>
      </c>
      <c r="D125" s="17">
        <v>-1.6146463333477357E-5</v>
      </c>
    </row>
    <row r="126" spans="1:4">
      <c r="A126" s="20">
        <v>2019</v>
      </c>
      <c r="B126" s="21">
        <v>0.59315403534088773</v>
      </c>
      <c r="C126" s="21">
        <v>0.59315690991713543</v>
      </c>
      <c r="D126" s="21">
        <v>-2.8745762477022652E-6</v>
      </c>
    </row>
    <row r="128" spans="1:4">
      <c r="A128" s="18" t="s">
        <v>30</v>
      </c>
      <c r="B128" s="19" t="s">
        <v>83</v>
      </c>
      <c r="C128" s="19" t="s">
        <v>82</v>
      </c>
      <c r="D128" s="19" t="s">
        <v>84</v>
      </c>
    </row>
    <row r="129" spans="1:4">
      <c r="A129" s="20">
        <v>2015</v>
      </c>
      <c r="B129" s="21">
        <v>-0.4918157067675949</v>
      </c>
      <c r="C129" s="21">
        <v>-0.49908946050534952</v>
      </c>
      <c r="D129" s="21">
        <v>7.2737537377546291E-3</v>
      </c>
    </row>
    <row r="130" spans="1:4">
      <c r="A130">
        <v>2016</v>
      </c>
      <c r="B130" s="17">
        <v>0.66651004890745402</v>
      </c>
      <c r="C130" s="17">
        <v>0.66666666666666563</v>
      </c>
      <c r="D130" s="17">
        <v>-1.5661775921160803E-4</v>
      </c>
    </row>
    <row r="131" spans="1:4">
      <c r="A131" s="20">
        <v>2017</v>
      </c>
      <c r="B131" s="21">
        <v>0.55528679603660991</v>
      </c>
      <c r="C131" s="21">
        <v>0.55528289025221778</v>
      </c>
      <c r="D131" s="21">
        <v>3.9057843921330715E-6</v>
      </c>
    </row>
    <row r="132" spans="1:4">
      <c r="A132">
        <v>2018</v>
      </c>
      <c r="B132" s="17">
        <v>-0.17776465240044603</v>
      </c>
      <c r="C132" s="17">
        <v>-0.17776998597475424</v>
      </c>
      <c r="D132" s="17">
        <v>5.3335743082083553E-6</v>
      </c>
    </row>
    <row r="133" spans="1:4">
      <c r="A133" s="20">
        <v>2019</v>
      </c>
      <c r="B133" s="21">
        <v>0.27505330490405155</v>
      </c>
      <c r="C133" s="21">
        <v>0.27505330490405155</v>
      </c>
      <c r="D133" s="21">
        <v>0</v>
      </c>
    </row>
    <row r="135" spans="1:4">
      <c r="A135" s="18" t="s">
        <v>8</v>
      </c>
      <c r="B135" s="19" t="s">
        <v>83</v>
      </c>
      <c r="C135" s="19" t="s">
        <v>82</v>
      </c>
      <c r="D135" s="19" t="s">
        <v>84</v>
      </c>
    </row>
    <row r="136" spans="1:4">
      <c r="A136" s="20">
        <v>2015</v>
      </c>
      <c r="B136" s="21">
        <v>3.3530452623158791E-2</v>
      </c>
      <c r="C136" s="21">
        <v>2.458896423866852E-2</v>
      </c>
      <c r="D136" s="21">
        <v>8.9414883844902704E-3</v>
      </c>
    </row>
    <row r="137" spans="1:4">
      <c r="A137">
        <v>2016</v>
      </c>
      <c r="B137" s="17">
        <v>0.11273423325056586</v>
      </c>
      <c r="C137" s="17">
        <v>9.8757202037998315E-2</v>
      </c>
      <c r="D137" s="17">
        <v>1.3977031212567548E-2</v>
      </c>
    </row>
    <row r="138" spans="1:4">
      <c r="A138" s="20">
        <v>2017</v>
      </c>
      <c r="B138" s="21">
        <v>0.17843763240822175</v>
      </c>
      <c r="C138" s="21">
        <v>9.6121343445286112E-2</v>
      </c>
      <c r="D138" s="21">
        <v>8.2316288962935635E-2</v>
      </c>
    </row>
    <row r="139" spans="1:4">
      <c r="A139">
        <v>2018</v>
      </c>
      <c r="B139" s="17">
        <v>0.33608022782853286</v>
      </c>
      <c r="C139" s="17">
        <v>0.3026133712884993</v>
      </c>
      <c r="D139" s="17">
        <v>3.3466856540033563E-2</v>
      </c>
    </row>
    <row r="140" spans="1:4">
      <c r="A140" s="20">
        <v>2019</v>
      </c>
      <c r="B140" s="21">
        <v>0.3458452314299818</v>
      </c>
      <c r="C140" s="21">
        <v>0.32728321243208813</v>
      </c>
      <c r="D140" s="21">
        <v>1.856201899789367E-2</v>
      </c>
    </row>
    <row r="142" spans="1:4">
      <c r="A142" s="18" t="s">
        <v>31</v>
      </c>
      <c r="B142" s="19" t="s">
        <v>83</v>
      </c>
      <c r="C142" s="19" t="s">
        <v>82</v>
      </c>
      <c r="D142" s="19" t="s">
        <v>84</v>
      </c>
    </row>
    <row r="143" spans="1:4">
      <c r="A143" s="20">
        <v>2015</v>
      </c>
      <c r="B143" s="21">
        <v>-6.8965126977783564E-3</v>
      </c>
      <c r="C143" s="21">
        <v>-6.8965517241376117E-3</v>
      </c>
      <c r="D143" s="21">
        <v>3.9026359255345255E-8</v>
      </c>
    </row>
    <row r="144" spans="1:4">
      <c r="A144">
        <v>2016</v>
      </c>
      <c r="B144" s="17">
        <v>2.9600690042251565</v>
      </c>
      <c r="C144" s="17">
        <v>2.9599358974358903</v>
      </c>
      <c r="D144" s="17">
        <v>1.3310678926625741E-4</v>
      </c>
    </row>
    <row r="145" spans="1:4">
      <c r="A145" s="20">
        <v>2017</v>
      </c>
      <c r="B145" s="21">
        <v>-0.15212620862595438</v>
      </c>
      <c r="C145" s="21">
        <v>-0.15212014928728879</v>
      </c>
      <c r="D145" s="21">
        <v>-6.0593386655982684E-6</v>
      </c>
    </row>
    <row r="146" spans="1:4">
      <c r="A146">
        <v>2018</v>
      </c>
      <c r="B146" s="17">
        <v>0.2528437049334038</v>
      </c>
      <c r="C146" s="17">
        <v>0.25286380992787483</v>
      </c>
      <c r="D146" s="17">
        <v>-2.0104994471026316E-5</v>
      </c>
    </row>
    <row r="147" spans="1:4">
      <c r="A147" s="20">
        <v>2019</v>
      </c>
      <c r="B147" s="21">
        <v>0.91332676509152488</v>
      </c>
      <c r="C147" s="21">
        <v>0.91330849983068152</v>
      </c>
      <c r="D147" s="21">
        <v>1.8265260843364217E-5</v>
      </c>
    </row>
    <row r="149" spans="1:4">
      <c r="A149" s="18" t="s">
        <v>32</v>
      </c>
      <c r="B149" s="19" t="s">
        <v>83</v>
      </c>
      <c r="C149" s="19" t="s">
        <v>82</v>
      </c>
      <c r="D149" s="19" t="s">
        <v>84</v>
      </c>
    </row>
    <row r="150" spans="1:4">
      <c r="A150" s="20">
        <v>2015</v>
      </c>
      <c r="B150" s="21">
        <v>0.29785349299418273</v>
      </c>
      <c r="C150" s="21">
        <v>0.29150363331470075</v>
      </c>
      <c r="D150" s="21">
        <v>6.3498596794819839E-3</v>
      </c>
    </row>
    <row r="151" spans="1:4">
      <c r="A151">
        <v>2016</v>
      </c>
      <c r="B151" s="17">
        <v>1.4798848824213788</v>
      </c>
      <c r="C151" s="17">
        <v>1.479874486041981</v>
      </c>
      <c r="D151" s="17">
        <v>1.039637939781457E-5</v>
      </c>
    </row>
    <row r="152" spans="1:4">
      <c r="A152" s="20">
        <v>2017</v>
      </c>
      <c r="B152" s="21">
        <v>-4.8764946441337109E-2</v>
      </c>
      <c r="C152" s="21">
        <v>-4.8736855883763308E-2</v>
      </c>
      <c r="D152" s="21">
        <v>-2.8090557573801078E-5</v>
      </c>
    </row>
    <row r="153" spans="1:4">
      <c r="A153">
        <v>2018</v>
      </c>
      <c r="B153" s="17">
        <v>0.24096902252118801</v>
      </c>
      <c r="C153" s="17">
        <v>0.24094119805522518</v>
      </c>
      <c r="D153" s="17">
        <v>2.78244659628335E-5</v>
      </c>
    </row>
    <row r="154" spans="1:4">
      <c r="A154" s="20">
        <v>2019</v>
      </c>
      <c r="B154" s="21">
        <v>0.70615375210044484</v>
      </c>
      <c r="C154" s="21">
        <v>0.70615413047495812</v>
      </c>
      <c r="D154" s="21">
        <v>-3.7837451327682459E-7</v>
      </c>
    </row>
    <row r="156" spans="1:4">
      <c r="A156" s="18" t="s">
        <v>33</v>
      </c>
      <c r="B156" s="19" t="s">
        <v>83</v>
      </c>
      <c r="C156" s="19" t="s">
        <v>82</v>
      </c>
      <c r="D156" s="19" t="s">
        <v>84</v>
      </c>
    </row>
    <row r="157" spans="1:4">
      <c r="A157" s="20">
        <v>2015</v>
      </c>
      <c r="B157" s="21">
        <v>0.24438681188339828</v>
      </c>
      <c r="C157" s="21">
        <v>0.24437749299838774</v>
      </c>
      <c r="D157" s="21">
        <v>9.3188850105452303E-6</v>
      </c>
    </row>
    <row r="158" spans="1:4">
      <c r="A158">
        <v>2016</v>
      </c>
      <c r="B158" s="17">
        <v>-0.46718451436995434</v>
      </c>
      <c r="C158" s="17">
        <v>-0.46717817561807418</v>
      </c>
      <c r="D158" s="17">
        <v>-6.338751880163862E-6</v>
      </c>
    </row>
    <row r="159" spans="1:4">
      <c r="A159" s="20">
        <v>2017</v>
      </c>
      <c r="B159" s="21">
        <v>0.27257753783998973</v>
      </c>
      <c r="C159" s="21">
        <v>0.27257599999999993</v>
      </c>
      <c r="D159" s="21">
        <v>1.5378399897958417E-6</v>
      </c>
    </row>
    <row r="160" spans="1:4">
      <c r="A160">
        <v>2018</v>
      </c>
      <c r="B160" s="17">
        <v>9.0945010483990618E-2</v>
      </c>
      <c r="C160" s="17">
        <v>9.0323878495272458E-2</v>
      </c>
      <c r="D160" s="17">
        <v>6.2113198871815989E-4</v>
      </c>
    </row>
    <row r="161" spans="1:4">
      <c r="A161" s="20">
        <v>2019</v>
      </c>
      <c r="B161" s="21">
        <v>-0.17666051660516435</v>
      </c>
      <c r="C161" s="21">
        <v>-0.1766605166051658</v>
      </c>
      <c r="D161" s="21">
        <v>1.4432899320127035E-15</v>
      </c>
    </row>
    <row r="163" spans="1:4">
      <c r="A163" s="18" t="s">
        <v>35</v>
      </c>
      <c r="B163" s="19" t="s">
        <v>83</v>
      </c>
      <c r="C163" s="19" t="s">
        <v>82</v>
      </c>
      <c r="D163" s="19" t="s">
        <v>84</v>
      </c>
    </row>
    <row r="164" spans="1:4">
      <c r="A164" s="20">
        <v>2015</v>
      </c>
      <c r="B164" s="21">
        <v>0.26730353457756162</v>
      </c>
      <c r="C164" s="21">
        <v>0.26746153543461948</v>
      </c>
      <c r="D164" s="21">
        <v>-1.580008570578606E-4</v>
      </c>
    </row>
    <row r="165" spans="1:4">
      <c r="A165">
        <v>2016</v>
      </c>
      <c r="B165" s="17">
        <v>0.62342025808874979</v>
      </c>
      <c r="C165" s="17">
        <v>0.62340887923005206</v>
      </c>
      <c r="D165" s="17">
        <v>1.1378858697730365E-5</v>
      </c>
    </row>
    <row r="166" spans="1:4">
      <c r="A166" s="20">
        <v>2017</v>
      </c>
      <c r="B166" s="21">
        <v>0.21970956159349542</v>
      </c>
      <c r="C166" s="21">
        <v>0.21971696309045718</v>
      </c>
      <c r="D166" s="21">
        <v>-7.4014969617675064E-6</v>
      </c>
    </row>
    <row r="167" spans="1:4">
      <c r="A167">
        <v>2018</v>
      </c>
      <c r="B167" s="17">
        <v>0.15551394435166377</v>
      </c>
      <c r="C167" s="17">
        <v>0.15550573072641383</v>
      </c>
      <c r="D167" s="17">
        <v>8.2136252499420692E-6</v>
      </c>
    </row>
    <row r="168" spans="1:4">
      <c r="A168" s="20">
        <v>2019</v>
      </c>
      <c r="B168" s="21">
        <v>0.28661517220791755</v>
      </c>
      <c r="C168" s="21">
        <v>0.28661953675183405</v>
      </c>
      <c r="D168" s="21">
        <v>-4.3645439165018729E-6</v>
      </c>
    </row>
    <row r="170" spans="1:4">
      <c r="A170" s="18" t="s">
        <v>36</v>
      </c>
      <c r="B170" s="19" t="s">
        <v>83</v>
      </c>
      <c r="C170" s="19" t="s">
        <v>82</v>
      </c>
      <c r="D170" s="19" t="s">
        <v>84</v>
      </c>
    </row>
    <row r="171" spans="1:4">
      <c r="A171" s="20">
        <v>2015</v>
      </c>
      <c r="B171" s="21">
        <v>-5.6648150526596996E-3</v>
      </c>
      <c r="C171" s="21">
        <v>-1.1406844106464531E-2</v>
      </c>
      <c r="D171" s="21">
        <v>5.7420290538048313E-3</v>
      </c>
    </row>
    <row r="172" spans="1:4">
      <c r="A172">
        <v>2016</v>
      </c>
      <c r="B172" s="17">
        <v>1.5610474827299208</v>
      </c>
      <c r="C172" s="17">
        <v>1.3829881656804726</v>
      </c>
      <c r="D172" s="17">
        <v>0.17805931704944822</v>
      </c>
    </row>
    <row r="173" spans="1:4">
      <c r="A173" s="20">
        <v>2017</v>
      </c>
      <c r="B173" s="21">
        <v>0.7089141858666741</v>
      </c>
      <c r="C173" s="21">
        <v>0.69023527220808334</v>
      </c>
      <c r="D173" s="21">
        <v>1.8678913658590757E-2</v>
      </c>
    </row>
    <row r="174" spans="1:4">
      <c r="A174">
        <v>2018</v>
      </c>
      <c r="B174" s="17">
        <v>-0.3057462901473228</v>
      </c>
      <c r="C174" s="17">
        <v>-0.30883649184662765</v>
      </c>
      <c r="D174" s="17">
        <v>3.0902016993048509E-3</v>
      </c>
    </row>
    <row r="175" spans="1:4">
      <c r="A175" s="20">
        <v>2019</v>
      </c>
      <c r="B175" s="21">
        <v>0.27691062460269267</v>
      </c>
      <c r="C175" s="21">
        <v>0.27690100430416109</v>
      </c>
      <c r="D175" s="21">
        <v>9.6202985315763101E-6</v>
      </c>
    </row>
    <row r="177" spans="1:4">
      <c r="A177" s="18" t="s">
        <v>37</v>
      </c>
      <c r="B177" s="19" t="s">
        <v>83</v>
      </c>
      <c r="C177" s="19" t="s">
        <v>82</v>
      </c>
      <c r="D177" s="19" t="s">
        <v>84</v>
      </c>
    </row>
    <row r="178" spans="1:4">
      <c r="A178" s="20">
        <v>2015</v>
      </c>
      <c r="B178" s="21">
        <v>-0.4995772605806531</v>
      </c>
      <c r="C178" s="21">
        <v>-0.49954720398460439</v>
      </c>
      <c r="D178" s="21">
        <v>-3.0056596048710915E-5</v>
      </c>
    </row>
    <row r="179" spans="1:4">
      <c r="A179">
        <v>2016</v>
      </c>
      <c r="B179" s="17">
        <v>1.3332547751252442</v>
      </c>
      <c r="C179" s="17">
        <v>1.3334087310563216</v>
      </c>
      <c r="D179" s="17">
        <v>-1.5395593107747629E-4</v>
      </c>
    </row>
    <row r="180" spans="1:4">
      <c r="A180" s="20">
        <v>2017</v>
      </c>
      <c r="B180" s="21">
        <v>0.15165600763696818</v>
      </c>
      <c r="C180" s="21">
        <v>0.15170608763086424</v>
      </c>
      <c r="D180" s="21">
        <v>-5.0079993896057218E-5</v>
      </c>
    </row>
    <row r="181" spans="1:4">
      <c r="A181">
        <v>2018</v>
      </c>
      <c r="B181" s="17">
        <v>0.22598959315323142</v>
      </c>
      <c r="C181" s="17">
        <v>0.22599107819207287</v>
      </c>
      <c r="D181" s="17">
        <v>-1.4850388414533455E-6</v>
      </c>
    </row>
    <row r="182" spans="1:4">
      <c r="A182" s="20">
        <v>2019</v>
      </c>
      <c r="B182" s="21">
        <v>-0.15622770208123371</v>
      </c>
      <c r="C182" s="21">
        <v>-0.1562542908142257</v>
      </c>
      <c r="D182" s="21">
        <v>2.658873299199449E-5</v>
      </c>
    </row>
    <row r="184" spans="1:4">
      <c r="A184" s="18" t="s">
        <v>38</v>
      </c>
      <c r="B184" s="19" t="s">
        <v>83</v>
      </c>
      <c r="C184" s="19" t="s">
        <v>82</v>
      </c>
      <c r="D184" s="19" t="s">
        <v>84</v>
      </c>
    </row>
    <row r="185" spans="1:4">
      <c r="A185" s="20">
        <v>2015</v>
      </c>
      <c r="B185" s="21">
        <v>-0.84870029372164024</v>
      </c>
      <c r="C185" s="21">
        <v>-0.85071633237822364</v>
      </c>
      <c r="D185" s="21">
        <v>2.0160386565833965E-3</v>
      </c>
    </row>
    <row r="186" spans="1:4">
      <c r="A186">
        <v>2016</v>
      </c>
      <c r="B186" s="17">
        <v>1.8915658529788106</v>
      </c>
      <c r="C186" s="17">
        <v>1.9206653870761357</v>
      </c>
      <c r="D186" s="17">
        <v>-2.9099534097325019E-2</v>
      </c>
    </row>
    <row r="187" spans="1:4">
      <c r="A187" s="20">
        <v>2017</v>
      </c>
      <c r="B187" s="21">
        <v>0.21125534525729339</v>
      </c>
      <c r="C187" s="21">
        <v>0.21139101861993437</v>
      </c>
      <c r="D187" s="21">
        <v>-1.3567336264097563E-4</v>
      </c>
    </row>
    <row r="188" spans="1:4">
      <c r="A188">
        <v>2018</v>
      </c>
      <c r="B188" s="17">
        <v>0.23053844893518716</v>
      </c>
      <c r="C188" s="17">
        <v>0.2305605786618441</v>
      </c>
      <c r="D188" s="17">
        <v>-2.2129726656938686E-5</v>
      </c>
    </row>
    <row r="189" spans="1:4">
      <c r="A189" s="20">
        <v>2019</v>
      </c>
      <c r="B189" s="21">
        <v>-0.1108832882210693</v>
      </c>
      <c r="C189" s="21">
        <v>-0.11094783247612094</v>
      </c>
      <c r="D189" s="21">
        <v>6.4544255051646182E-5</v>
      </c>
    </row>
    <row r="191" spans="1:4">
      <c r="A191" s="18" t="s">
        <v>39</v>
      </c>
      <c r="B191" s="19" t="s">
        <v>83</v>
      </c>
      <c r="C191" s="19" t="s">
        <v>82</v>
      </c>
      <c r="D191" s="19" t="s">
        <v>84</v>
      </c>
    </row>
    <row r="192" spans="1:4">
      <c r="A192" s="20">
        <v>2015</v>
      </c>
      <c r="B192" s="21">
        <v>-0.83399209486166015</v>
      </c>
      <c r="C192" s="21">
        <v>-0.83399209486166004</v>
      </c>
      <c r="D192" s="21">
        <v>0</v>
      </c>
    </row>
    <row r="193" spans="1:4">
      <c r="A193">
        <v>2016</v>
      </c>
      <c r="B193" s="17">
        <v>0.83333333333333259</v>
      </c>
      <c r="C193" s="17">
        <v>0.83333333333333215</v>
      </c>
      <c r="D193" s="17">
        <v>0</v>
      </c>
    </row>
    <row r="194" spans="1:4">
      <c r="A194" s="20">
        <v>2017</v>
      </c>
      <c r="B194" s="21">
        <v>2.1601731601731617</v>
      </c>
      <c r="C194" s="21">
        <v>2.1601731601731635</v>
      </c>
      <c r="D194" s="21">
        <v>0</v>
      </c>
    </row>
    <row r="195" spans="1:4">
      <c r="A195">
        <v>2018</v>
      </c>
      <c r="B195" s="17">
        <v>0.7191780821917817</v>
      </c>
      <c r="C195" s="17">
        <v>0.71917808219178214</v>
      </c>
      <c r="D195" s="17">
        <v>0</v>
      </c>
    </row>
    <row r="196" spans="1:4">
      <c r="A196" s="20">
        <v>2019</v>
      </c>
      <c r="B196" s="21">
        <v>0.33067737051792756</v>
      </c>
      <c r="C196" s="21">
        <v>0.33067729083665265</v>
      </c>
      <c r="D196" s="21">
        <v>7.9681274911536093E-8</v>
      </c>
    </row>
    <row r="198" spans="1:4">
      <c r="A198" s="18" t="s">
        <v>40</v>
      </c>
      <c r="B198" s="19" t="s">
        <v>83</v>
      </c>
      <c r="C198" s="19" t="s">
        <v>82</v>
      </c>
      <c r="D198" s="19" t="s">
        <v>84</v>
      </c>
    </row>
    <row r="199" spans="1:4">
      <c r="A199" s="20">
        <v>2015</v>
      </c>
      <c r="B199" s="21">
        <v>0.28537609370331718</v>
      </c>
      <c r="C199" s="21">
        <v>0.30391464104013521</v>
      </c>
      <c r="D199" s="21">
        <v>-1.8538547336818034E-2</v>
      </c>
    </row>
    <row r="200" spans="1:4">
      <c r="A200">
        <v>2016</v>
      </c>
      <c r="B200" s="17">
        <v>0.2248024923405656</v>
      </c>
      <c r="C200" s="17">
        <v>0.22484148918874869</v>
      </c>
      <c r="D200" s="17">
        <v>-3.8996848183092681E-5</v>
      </c>
    </row>
    <row r="201" spans="1:4">
      <c r="A201" s="20">
        <v>2017</v>
      </c>
      <c r="B201" s="21">
        <v>0.40921519253934968</v>
      </c>
      <c r="C201" s="21">
        <v>0.47548889478807266</v>
      </c>
      <c r="D201" s="21">
        <v>-6.6273702248722977E-2</v>
      </c>
    </row>
    <row r="202" spans="1:4">
      <c r="A202">
        <v>2018</v>
      </c>
      <c r="B202" s="17">
        <v>-0.11137782465480361</v>
      </c>
      <c r="C202" s="17">
        <v>-0.11139764310773848</v>
      </c>
      <c r="D202" s="17">
        <v>1.9818452934861064E-5</v>
      </c>
    </row>
    <row r="203" spans="1:4">
      <c r="A203" s="20">
        <v>2019</v>
      </c>
      <c r="B203" s="21">
        <v>5.4854705574900908E-2</v>
      </c>
      <c r="C203" s="21">
        <v>5.4869406762502404E-2</v>
      </c>
      <c r="D203" s="21">
        <v>-1.4701187601495747E-5</v>
      </c>
    </row>
    <row r="205" spans="1:4">
      <c r="A205" s="18" t="s">
        <v>41</v>
      </c>
      <c r="B205" s="19" t="s">
        <v>83</v>
      </c>
      <c r="C205" s="19" t="s">
        <v>82</v>
      </c>
      <c r="D205" s="19" t="s">
        <v>84</v>
      </c>
    </row>
    <row r="206" spans="1:4">
      <c r="A206" s="20">
        <v>2015</v>
      </c>
      <c r="B206" s="21">
        <v>-0.22460664071646408</v>
      </c>
      <c r="C206" s="21">
        <v>-0.22208926117980743</v>
      </c>
      <c r="D206" s="21">
        <v>-2.5173795366566498E-3</v>
      </c>
    </row>
    <row r="207" spans="1:4">
      <c r="A207">
        <v>2016</v>
      </c>
      <c r="B207" s="17">
        <v>0.42953985806333628</v>
      </c>
      <c r="C207" s="17">
        <v>0.429580674567001</v>
      </c>
      <c r="D207" s="17">
        <v>-4.0816503664720116E-5</v>
      </c>
    </row>
    <row r="208" spans="1:4">
      <c r="A208" s="20">
        <v>2017</v>
      </c>
      <c r="B208" s="21">
        <v>0.49187999638687385</v>
      </c>
      <c r="C208" s="21">
        <v>0.50697433444922746</v>
      </c>
      <c r="D208" s="21">
        <v>-1.5094338062353607E-2</v>
      </c>
    </row>
    <row r="209" spans="1:4">
      <c r="A209">
        <v>2018</v>
      </c>
      <c r="B209" s="17">
        <v>7.6032629737199375E-2</v>
      </c>
      <c r="C209" s="17">
        <v>7.5926268743553793E-2</v>
      </c>
      <c r="D209" s="17">
        <v>1.0636099364558227E-4</v>
      </c>
    </row>
    <row r="210" spans="1:4">
      <c r="A210" s="20">
        <v>2019</v>
      </c>
      <c r="B210" s="21">
        <v>0.11454989330286458</v>
      </c>
      <c r="C210" s="21">
        <v>0.11444302428473208</v>
      </c>
      <c r="D210" s="21">
        <v>1.0686901813250493E-4</v>
      </c>
    </row>
    <row r="212" spans="1:4">
      <c r="A212" s="18" t="s">
        <v>42</v>
      </c>
      <c r="B212" s="19" t="s">
        <v>83</v>
      </c>
      <c r="C212" s="19" t="s">
        <v>82</v>
      </c>
      <c r="D212" s="19" t="s">
        <v>84</v>
      </c>
    </row>
    <row r="213" spans="1:4">
      <c r="A213" s="20">
        <v>2015</v>
      </c>
      <c r="B213" s="21">
        <v>0</v>
      </c>
      <c r="C213" s="21">
        <v>0</v>
      </c>
      <c r="D213" s="21">
        <v>0</v>
      </c>
    </row>
    <row r="214" spans="1:4">
      <c r="A214">
        <v>2016</v>
      </c>
      <c r="B214" s="17">
        <v>0</v>
      </c>
      <c r="C214" s="17">
        <v>0</v>
      </c>
      <c r="D214" s="17">
        <v>0</v>
      </c>
    </row>
    <row r="215" spans="1:4">
      <c r="A215" s="20">
        <v>2017</v>
      </c>
      <c r="B215" s="21">
        <v>0.18101376361446153</v>
      </c>
      <c r="C215" s="21">
        <v>0.26993001367548919</v>
      </c>
      <c r="D215" s="21">
        <v>-8.8916250061027657E-2</v>
      </c>
    </row>
    <row r="216" spans="1:4">
      <c r="A216">
        <v>2018</v>
      </c>
      <c r="B216" s="17">
        <v>1.5752529388085414</v>
      </c>
      <c r="C216" s="17">
        <v>1.5751749912900306</v>
      </c>
      <c r="D216" s="17">
        <v>7.7947518510868008E-5</v>
      </c>
    </row>
    <row r="217" spans="1:4">
      <c r="A217" s="20">
        <v>2019</v>
      </c>
      <c r="B217" s="21">
        <v>0.2329940219665072</v>
      </c>
      <c r="C217" s="21">
        <v>0.2360711386613541</v>
      </c>
      <c r="D217" s="21">
        <v>-3.0771166948468931E-3</v>
      </c>
    </row>
    <row r="219" spans="1:4">
      <c r="A219" s="18" t="s">
        <v>43</v>
      </c>
      <c r="B219" s="19" t="s">
        <v>83</v>
      </c>
      <c r="C219" s="19" t="s">
        <v>82</v>
      </c>
      <c r="D219" s="19" t="s">
        <v>84</v>
      </c>
    </row>
    <row r="220" spans="1:4">
      <c r="A220" s="20">
        <v>2015</v>
      </c>
      <c r="B220" s="21">
        <v>-0.13423752760293484</v>
      </c>
      <c r="C220" s="21">
        <v>-0.14072101597705855</v>
      </c>
      <c r="D220" s="21">
        <v>6.4834883741237137E-3</v>
      </c>
    </row>
    <row r="221" spans="1:4">
      <c r="A221">
        <v>2016</v>
      </c>
      <c r="B221" s="17">
        <v>0.45081998605206186</v>
      </c>
      <c r="C221" s="17">
        <v>0.43289630512514843</v>
      </c>
      <c r="D221" s="17">
        <v>1.7923680926913432E-2</v>
      </c>
    </row>
    <row r="222" spans="1:4">
      <c r="A222" s="20">
        <v>2017</v>
      </c>
      <c r="B222" s="21">
        <v>0.36034558577823228</v>
      </c>
      <c r="C222" s="21">
        <v>0.37714190650474078</v>
      </c>
      <c r="D222" s="21">
        <v>-1.6796320726508496E-2</v>
      </c>
    </row>
    <row r="223" spans="1:4">
      <c r="A223">
        <v>2018</v>
      </c>
      <c r="B223" s="17">
        <v>0.33068175915822096</v>
      </c>
      <c r="C223" s="17">
        <v>0.33715873399371721</v>
      </c>
      <c r="D223" s="17">
        <v>-6.476974835496252E-3</v>
      </c>
    </row>
    <row r="224" spans="1:4">
      <c r="A224" s="20">
        <v>2019</v>
      </c>
      <c r="B224" s="21">
        <v>3.7392407649808446E-2</v>
      </c>
      <c r="C224" s="21">
        <v>7.3267684524347843E-2</v>
      </c>
      <c r="D224" s="21">
        <v>-3.5875276874539397E-2</v>
      </c>
    </row>
    <row r="226" spans="1:9">
      <c r="A226" s="18" t="s">
        <v>44</v>
      </c>
      <c r="B226" s="19" t="s">
        <v>83</v>
      </c>
      <c r="C226" s="19" t="s">
        <v>82</v>
      </c>
      <c r="D226" s="19" t="s">
        <v>84</v>
      </c>
      <c r="F226" t="s">
        <v>44</v>
      </c>
    </row>
    <row r="227" spans="1:9">
      <c r="A227" s="20">
        <v>2015</v>
      </c>
      <c r="B227" s="21">
        <v>-8.6294820897555025E-2</v>
      </c>
      <c r="C227" s="21">
        <v>-0.12014232889136922</v>
      </c>
      <c r="D227" s="21">
        <v>3.3847507993814197E-2</v>
      </c>
      <c r="F227">
        <v>2015</v>
      </c>
      <c r="G227">
        <v>-0.16291952117670538</v>
      </c>
      <c r="H227">
        <v>-0.12014232889136922</v>
      </c>
      <c r="I227">
        <v>-4.2777192285336163E-2</v>
      </c>
    </row>
    <row r="228" spans="1:9">
      <c r="A228">
        <v>2016</v>
      </c>
      <c r="B228" s="17">
        <v>0.48706340631721279</v>
      </c>
      <c r="C228" s="17">
        <v>0.49940528110379878</v>
      </c>
      <c r="D228" s="17">
        <v>-1.2341874786585993E-2</v>
      </c>
      <c r="F228">
        <v>2016</v>
      </c>
      <c r="G228">
        <v>0.41416629067027522</v>
      </c>
      <c r="H228">
        <v>0.49940528110379878</v>
      </c>
      <c r="I228">
        <v>-8.5238990433523565E-2</v>
      </c>
    </row>
    <row r="229" spans="1:9">
      <c r="A229" s="20">
        <v>2017</v>
      </c>
      <c r="B229" s="21">
        <v>0.33053337535467886</v>
      </c>
      <c r="C229" s="21">
        <v>0.30572743138187941</v>
      </c>
      <c r="D229" s="21">
        <v>2.4805943972799449E-2</v>
      </c>
      <c r="F229">
        <v>2017</v>
      </c>
      <c r="G229">
        <v>0.25790213012979057</v>
      </c>
      <c r="H229">
        <v>0.30572743138187941</v>
      </c>
      <c r="I229">
        <v>-4.7825301252088837E-2</v>
      </c>
    </row>
    <row r="230" spans="1:9">
      <c r="A230">
        <v>2018</v>
      </c>
      <c r="B230" s="17">
        <v>0.26884963192157074</v>
      </c>
      <c r="C230" s="17">
        <v>0.33507492912110348</v>
      </c>
      <c r="D230" s="17">
        <v>-6.622529719953274E-2</v>
      </c>
      <c r="F230">
        <v>2018</v>
      </c>
      <c r="G230">
        <v>0.25058566159504192</v>
      </c>
      <c r="H230">
        <v>0.33507492912110348</v>
      </c>
      <c r="I230">
        <v>-8.4489267526061562E-2</v>
      </c>
    </row>
    <row r="231" spans="1:9">
      <c r="A231" s="20">
        <v>2019</v>
      </c>
      <c r="B231" s="21">
        <v>-3.7572862842847221E-2</v>
      </c>
      <c r="C231" s="21">
        <v>5.6730273336771386E-3</v>
      </c>
      <c r="D231" s="21">
        <v>-4.324589017652436E-2</v>
      </c>
      <c r="F231">
        <v>2019</v>
      </c>
      <c r="G231">
        <v>-6.6197126760562663E-2</v>
      </c>
      <c r="H231">
        <v>5.6730273336771386E-3</v>
      </c>
      <c r="I231">
        <v>-7.1870154094239802E-2</v>
      </c>
    </row>
    <row r="233" spans="1:9">
      <c r="A233" s="18" t="s">
        <v>45</v>
      </c>
      <c r="B233" s="19" t="s">
        <v>83</v>
      </c>
      <c r="C233" s="19" t="s">
        <v>82</v>
      </c>
      <c r="D233" s="19" t="s">
        <v>84</v>
      </c>
    </row>
    <row r="234" spans="1:9">
      <c r="A234" s="20">
        <v>2015</v>
      </c>
      <c r="B234" s="21">
        <v>0.10762331838564876</v>
      </c>
      <c r="C234" s="21">
        <v>0.11466971690020045</v>
      </c>
      <c r="D234" s="21">
        <v>-7.0463985145516883E-3</v>
      </c>
    </row>
    <row r="235" spans="1:9">
      <c r="A235">
        <v>2016</v>
      </c>
      <c r="B235" s="17">
        <v>-7.6923076923077538E-2</v>
      </c>
      <c r="C235" s="17">
        <v>-3.3606977937403415E-2</v>
      </c>
      <c r="D235" s="17">
        <v>-4.3316098985674123E-2</v>
      </c>
    </row>
    <row r="236" spans="1:9">
      <c r="A236" s="20">
        <v>2017</v>
      </c>
      <c r="B236" s="21">
        <v>-0.13947368421052719</v>
      </c>
      <c r="C236" s="21">
        <v>-0.13671356517122335</v>
      </c>
      <c r="D236" s="21">
        <v>-2.7601190393038433E-3</v>
      </c>
    </row>
    <row r="237" spans="1:9">
      <c r="A237">
        <v>2018</v>
      </c>
      <c r="B237" s="17">
        <v>0.18144750254841968</v>
      </c>
      <c r="C237" s="17">
        <v>0.18788437884378695</v>
      </c>
      <c r="D237" s="17">
        <v>-6.4368762953672665E-3</v>
      </c>
    </row>
    <row r="238" spans="1:9">
      <c r="A238" s="20">
        <v>2019</v>
      </c>
      <c r="B238" s="21">
        <v>1.3856773080241602</v>
      </c>
      <c r="C238" s="21">
        <v>1.3858831650703243</v>
      </c>
      <c r="D238" s="21">
        <v>-2.0585704616404854E-4</v>
      </c>
    </row>
    <row r="240" spans="1:9">
      <c r="A240" s="18" t="s">
        <v>46</v>
      </c>
      <c r="B240" s="19" t="s">
        <v>83</v>
      </c>
      <c r="C240" s="19" t="s">
        <v>82</v>
      </c>
      <c r="D240" s="19" t="s">
        <v>84</v>
      </c>
    </row>
    <row r="241" spans="1:4">
      <c r="A241" s="20">
        <v>2015</v>
      </c>
      <c r="B241" s="21">
        <v>-0.37712418300653627</v>
      </c>
      <c r="C241" s="21">
        <v>-0.37538906985161113</v>
      </c>
      <c r="D241" s="21">
        <v>-1.7351131549251386E-3</v>
      </c>
    </row>
    <row r="242" spans="1:4">
      <c r="A242">
        <v>2016</v>
      </c>
      <c r="B242" s="17">
        <v>0.39874081846799636</v>
      </c>
      <c r="C242" s="17">
        <v>0.43643527639355684</v>
      </c>
      <c r="D242" s="17">
        <v>-3.7694457925560476E-2</v>
      </c>
    </row>
    <row r="243" spans="1:4">
      <c r="A243" s="20">
        <v>2017</v>
      </c>
      <c r="B243" s="21">
        <v>0.38034508627156804</v>
      </c>
      <c r="C243" s="21">
        <v>0.4175877369907246</v>
      </c>
      <c r="D243" s="21">
        <v>-3.7242650719156556E-2</v>
      </c>
    </row>
    <row r="244" spans="1:4">
      <c r="A244">
        <v>2018</v>
      </c>
      <c r="B244" s="17">
        <v>-0.5179347826086953</v>
      </c>
      <c r="C244" s="17">
        <v>-0.50088213533663417</v>
      </c>
      <c r="D244" s="17">
        <v>-1.7052647272061128E-2</v>
      </c>
    </row>
    <row r="245" spans="1:4">
      <c r="A245" s="20">
        <v>2019</v>
      </c>
      <c r="B245" s="21">
        <v>0.15783540022547982</v>
      </c>
      <c r="C245" s="21">
        <v>0.17103762827822178</v>
      </c>
      <c r="D245" s="21">
        <v>-1.320222805274196E-2</v>
      </c>
    </row>
    <row r="247" spans="1:4">
      <c r="A247" s="18" t="s">
        <v>47</v>
      </c>
      <c r="B247" s="19" t="s">
        <v>83</v>
      </c>
      <c r="C247" s="19" t="s">
        <v>82</v>
      </c>
      <c r="D247" s="19" t="s">
        <v>84</v>
      </c>
    </row>
    <row r="248" spans="1:4">
      <c r="A248" s="20">
        <v>2015</v>
      </c>
      <c r="B248" s="21">
        <v>0.12528973250642084</v>
      </c>
      <c r="C248" s="21">
        <v>0.13335232939165009</v>
      </c>
      <c r="D248" s="21">
        <v>-8.0625968852292562E-3</v>
      </c>
    </row>
    <row r="249" spans="1:4">
      <c r="A249">
        <v>2016</v>
      </c>
      <c r="B249" s="17">
        <v>5.1544223620157537E-2</v>
      </c>
      <c r="C249" s="17">
        <v>5.7888120678818877E-2</v>
      </c>
      <c r="D249" s="17">
        <v>-6.3438970586613408E-3</v>
      </c>
    </row>
    <row r="250" spans="1:4">
      <c r="A250" s="20">
        <v>2017</v>
      </c>
      <c r="B250" s="21">
        <v>2.9411176470577338E-3</v>
      </c>
      <c r="C250" s="21">
        <v>4.3966490404618863E-3</v>
      </c>
      <c r="D250" s="21">
        <v>-1.4555313934041525E-3</v>
      </c>
    </row>
    <row r="251" spans="1:4">
      <c r="A251">
        <v>2018</v>
      </c>
      <c r="B251" s="17">
        <v>0.1554253463592592</v>
      </c>
      <c r="C251" s="17">
        <v>0.16083998816918132</v>
      </c>
      <c r="D251" s="17">
        <v>-5.4146418099221272E-3</v>
      </c>
    </row>
    <row r="252" spans="1:4">
      <c r="A252" s="20">
        <v>2019</v>
      </c>
      <c r="B252" s="21">
        <v>-0.15482237792779818</v>
      </c>
      <c r="C252" s="21">
        <v>-0.15154912352221761</v>
      </c>
      <c r="D252" s="21">
        <v>-3.2732544055805723E-3</v>
      </c>
    </row>
    <row r="254" spans="1:4">
      <c r="A254" s="18" t="s">
        <v>48</v>
      </c>
      <c r="B254" s="19" t="s">
        <v>83</v>
      </c>
      <c r="C254" s="19" t="s">
        <v>82</v>
      </c>
      <c r="D254" s="19" t="s">
        <v>84</v>
      </c>
    </row>
    <row r="255" spans="1:4">
      <c r="A255" s="20">
        <v>2015</v>
      </c>
      <c r="B255" s="21">
        <v>0.11808033418514685</v>
      </c>
      <c r="C255" s="21">
        <v>0.13971970603315631</v>
      </c>
      <c r="D255" s="21">
        <v>-2.1639371848009459E-2</v>
      </c>
    </row>
    <row r="256" spans="1:4">
      <c r="A256">
        <v>2016</v>
      </c>
      <c r="B256" s="17">
        <v>0.35497657831052543</v>
      </c>
      <c r="C256" s="17">
        <v>0.38351953212866419</v>
      </c>
      <c r="D256" s="17">
        <v>-2.8542953818138761E-2</v>
      </c>
    </row>
    <row r="257" spans="1:4">
      <c r="A257" s="20">
        <v>2017</v>
      </c>
      <c r="B257" s="21">
        <v>0.68488881809826219</v>
      </c>
      <c r="C257" s="21">
        <v>0.70816171688705709</v>
      </c>
      <c r="D257" s="21">
        <v>-2.3272898788794905E-2</v>
      </c>
    </row>
    <row r="258" spans="1:4">
      <c r="A258">
        <v>2018</v>
      </c>
      <c r="B258" s="17">
        <v>0.19470239510477327</v>
      </c>
      <c r="C258" s="17">
        <v>0.21104730480027833</v>
      </c>
      <c r="D258" s="17">
        <v>-1.6344909695505061E-2</v>
      </c>
    </row>
    <row r="259" spans="1:4">
      <c r="A259" s="20">
        <v>2019</v>
      </c>
      <c r="B259" s="21">
        <v>0.24658195910749314</v>
      </c>
      <c r="C259" s="21">
        <v>0.25880904351471057</v>
      </c>
      <c r="D259" s="21">
        <v>-1.2227084407217426E-2</v>
      </c>
    </row>
    <row r="261" spans="1:4">
      <c r="A261" s="18" t="s">
        <v>50</v>
      </c>
      <c r="B261" s="19" t="s">
        <v>83</v>
      </c>
      <c r="C261" s="19" t="s">
        <v>82</v>
      </c>
      <c r="D261" s="19" t="s">
        <v>84</v>
      </c>
    </row>
    <row r="262" spans="1:4">
      <c r="A262" s="20">
        <v>2015</v>
      </c>
      <c r="B262" s="21">
        <v>3.9279869067104789E-2</v>
      </c>
      <c r="C262" s="21">
        <v>4.0983606557376984E-2</v>
      </c>
      <c r="D262" s="21">
        <v>-1.7037374902721947E-3</v>
      </c>
    </row>
    <row r="263" spans="1:4">
      <c r="A263">
        <v>2016</v>
      </c>
      <c r="B263" s="17">
        <v>4.0944881889765972E-2</v>
      </c>
      <c r="C263" s="17">
        <v>4.094488188976575E-2</v>
      </c>
      <c r="D263" s="17">
        <v>2.2204460492503131E-16</v>
      </c>
    </row>
    <row r="264" spans="1:4">
      <c r="A264" s="20">
        <v>2017</v>
      </c>
      <c r="B264" s="21">
        <v>0.10741301059001529</v>
      </c>
      <c r="C264" s="21">
        <v>0.10741301059001507</v>
      </c>
      <c r="D264" s="21">
        <v>2.2204460492503131E-16</v>
      </c>
    </row>
    <row r="265" spans="1:4">
      <c r="A265">
        <v>2018</v>
      </c>
      <c r="B265" s="17">
        <v>-0.25409836065573832</v>
      </c>
      <c r="C265" s="17">
        <v>-0.25409836065573776</v>
      </c>
      <c r="D265" s="17">
        <v>-5.5511151231257827E-16</v>
      </c>
    </row>
    <row r="266" spans="1:4">
      <c r="A266" s="20">
        <v>2019</v>
      </c>
      <c r="B266" s="21">
        <v>0.46153846153846168</v>
      </c>
      <c r="C266" s="21">
        <v>0.46153846153846168</v>
      </c>
      <c r="D266" s="21">
        <v>0</v>
      </c>
    </row>
    <row r="268" spans="1:4">
      <c r="A268" s="18" t="s">
        <v>51</v>
      </c>
      <c r="B268" s="19" t="s">
        <v>83</v>
      </c>
      <c r="C268" s="19" t="s">
        <v>82</v>
      </c>
      <c r="D268" s="19" t="s">
        <v>84</v>
      </c>
    </row>
    <row r="269" spans="1:4">
      <c r="A269" s="20">
        <v>2015</v>
      </c>
      <c r="B269" s="21">
        <v>0.23566911450730643</v>
      </c>
      <c r="C269" s="21">
        <v>0.2143510891451601</v>
      </c>
      <c r="D269" s="21">
        <v>2.1318025362146331E-2</v>
      </c>
    </row>
    <row r="270" spans="1:4">
      <c r="A270">
        <v>2016</v>
      </c>
      <c r="B270" s="17">
        <v>0.30249862446048659</v>
      </c>
      <c r="C270" s="17">
        <v>0.29861320470304609</v>
      </c>
      <c r="D270" s="17">
        <v>3.8854197574405003E-3</v>
      </c>
    </row>
    <row r="271" spans="1:4">
      <c r="A271" s="20">
        <v>2017</v>
      </c>
      <c r="B271" s="21">
        <v>0.44318189429597932</v>
      </c>
      <c r="C271" s="21">
        <v>0.43668020893789938</v>
      </c>
      <c r="D271" s="21">
        <v>6.5016853580799339E-3</v>
      </c>
    </row>
    <row r="272" spans="1:4">
      <c r="A272">
        <v>2018</v>
      </c>
      <c r="B272" s="17">
        <v>-6.9667277202815181E-2</v>
      </c>
      <c r="C272" s="17">
        <v>-2.2541811424414804E-2</v>
      </c>
      <c r="D272" s="17">
        <v>-4.7125465778400377E-2</v>
      </c>
    </row>
    <row r="273" spans="1:4">
      <c r="A273" s="20">
        <v>2019</v>
      </c>
      <c r="B273" s="21">
        <v>0.58370587343492697</v>
      </c>
      <c r="C273" s="21">
        <v>0.54818978343527958</v>
      </c>
      <c r="D273" s="21">
        <v>3.5516089999647393E-2</v>
      </c>
    </row>
    <row r="275" spans="1:4">
      <c r="A275" s="18" t="s">
        <v>52</v>
      </c>
      <c r="B275" s="19" t="s">
        <v>83</v>
      </c>
      <c r="C275" s="19" t="s">
        <v>82</v>
      </c>
      <c r="D275" s="19" t="s">
        <v>84</v>
      </c>
    </row>
    <row r="276" spans="1:4">
      <c r="A276" s="20">
        <v>2015</v>
      </c>
      <c r="B276" s="21">
        <v>-0.12222171866094178</v>
      </c>
      <c r="C276" s="21">
        <v>-0.17455375674553786</v>
      </c>
      <c r="D276" s="21">
        <v>5.2332038084596078E-2</v>
      </c>
    </row>
    <row r="277" spans="1:4">
      <c r="A277">
        <v>2016</v>
      </c>
      <c r="B277" s="17">
        <v>0.60291013832609264</v>
      </c>
      <c r="C277" s="17">
        <v>0.57589472801944397</v>
      </c>
      <c r="D277" s="17">
        <v>2.7015410306648668E-2</v>
      </c>
    </row>
    <row r="278" spans="1:4">
      <c r="A278" s="20">
        <v>2017</v>
      </c>
      <c r="B278" s="21">
        <v>0.25888612655614707</v>
      </c>
      <c r="C278" s="21">
        <v>0.22125305818529961</v>
      </c>
      <c r="D278" s="21">
        <v>3.7633068370847456E-2</v>
      </c>
    </row>
    <row r="279" spans="1:4">
      <c r="A279">
        <v>2018</v>
      </c>
      <c r="B279" s="17">
        <v>6.7361890644372258E-2</v>
      </c>
      <c r="C279" s="17">
        <v>4.6424527480184441E-2</v>
      </c>
      <c r="D279" s="17">
        <v>2.0937363164187817E-2</v>
      </c>
    </row>
    <row r="280" spans="1:4">
      <c r="A280" s="20">
        <v>2019</v>
      </c>
      <c r="B280" s="21">
        <v>7.3741890751335193E-2</v>
      </c>
      <c r="C280" s="21">
        <v>7.3747294822706699E-2</v>
      </c>
      <c r="D280" s="21">
        <v>-5.404071371506447E-6</v>
      </c>
    </row>
    <row r="282" spans="1:4">
      <c r="A282" s="18" t="s">
        <v>49</v>
      </c>
      <c r="B282" s="19" t="s">
        <v>83</v>
      </c>
      <c r="C282" s="19" t="s">
        <v>82</v>
      </c>
      <c r="D282" s="19" t="s">
        <v>84</v>
      </c>
    </row>
    <row r="283" spans="1:4">
      <c r="A283" s="20">
        <v>2015</v>
      </c>
      <c r="B283" s="21">
        <v>-0.62465666710746204</v>
      </c>
      <c r="C283" s="21">
        <v>-0.70414847161572047</v>
      </c>
      <c r="D283" s="21">
        <v>7.9491804508258435E-2</v>
      </c>
    </row>
    <row r="284" spans="1:4">
      <c r="A284">
        <v>2016</v>
      </c>
      <c r="B284" s="17">
        <v>5.0153400985324144</v>
      </c>
      <c r="C284" s="17">
        <v>5.007380073800733</v>
      </c>
      <c r="D284" s="17">
        <v>7.9600247316813366E-3</v>
      </c>
    </row>
    <row r="285" spans="1:4">
      <c r="A285" s="20">
        <v>2017</v>
      </c>
      <c r="B285" s="21">
        <v>8.2059410351588014</v>
      </c>
      <c r="C285" s="21">
        <v>5.1087223587223569</v>
      </c>
      <c r="D285" s="21">
        <v>3.0972186764364444</v>
      </c>
    </row>
    <row r="286" spans="1:4">
      <c r="A286">
        <v>2018</v>
      </c>
      <c r="B286" s="17">
        <v>1.2571726592578267</v>
      </c>
      <c r="C286" s="17">
        <v>1.2633484162895927</v>
      </c>
      <c r="D286" s="17">
        <v>-6.1757570317659827E-3</v>
      </c>
    </row>
    <row r="287" spans="1:4">
      <c r="A287" s="20">
        <v>2019</v>
      </c>
      <c r="B287" s="21">
        <v>0.56086935527730231</v>
      </c>
      <c r="C287" s="21">
        <v>0.50073304011728781</v>
      </c>
      <c r="D287" s="21">
        <v>6.0136315160014497E-2</v>
      </c>
    </row>
    <row r="289" spans="1:4">
      <c r="A289" s="18" t="s">
        <v>53</v>
      </c>
      <c r="B289" s="19" t="s">
        <v>83</v>
      </c>
      <c r="C289" s="19" t="s">
        <v>82</v>
      </c>
      <c r="D289" s="19" t="s">
        <v>84</v>
      </c>
    </row>
    <row r="290" spans="1:4">
      <c r="A290" s="20">
        <v>2015</v>
      </c>
      <c r="B290" s="21">
        <v>-0.22033290596418165</v>
      </c>
      <c r="C290" s="21">
        <v>-0.2181533101045291</v>
      </c>
      <c r="D290" s="21">
        <v>-2.17959585965255E-3</v>
      </c>
    </row>
    <row r="291" spans="1:4">
      <c r="A291">
        <v>2016</v>
      </c>
      <c r="B291" s="17">
        <v>-3.1853771774735806E-3</v>
      </c>
      <c r="C291" s="17">
        <v>-3.20869913988997E-3</v>
      </c>
      <c r="D291" s="17">
        <v>2.3321962416389397E-5</v>
      </c>
    </row>
    <row r="292" spans="1:4">
      <c r="A292" s="20">
        <v>2017</v>
      </c>
      <c r="B292" s="21">
        <v>0.45186343588641531</v>
      </c>
      <c r="C292" s="21">
        <v>0.45187106004381516</v>
      </c>
      <c r="D292" s="21">
        <v>-7.6241573998547807E-6</v>
      </c>
    </row>
    <row r="293" spans="1:4">
      <c r="A293">
        <v>2018</v>
      </c>
      <c r="B293" s="17">
        <v>0.37443936018167756</v>
      </c>
      <c r="C293" s="17">
        <v>0.37445340888095036</v>
      </c>
      <c r="D293" s="17">
        <v>-1.4048699272795062E-5</v>
      </c>
    </row>
    <row r="294" spans="1:4">
      <c r="A294" s="20">
        <v>2019</v>
      </c>
      <c r="B294" s="21">
        <v>0.3691378061488213</v>
      </c>
      <c r="C294" s="21">
        <v>0.3691356365102838</v>
      </c>
      <c r="D294" s="21">
        <v>2.1696385374969651E-6</v>
      </c>
    </row>
    <row r="296" spans="1:4">
      <c r="A296" s="18" t="s">
        <v>54</v>
      </c>
      <c r="B296" s="19" t="s">
        <v>83</v>
      </c>
      <c r="C296" s="19" t="s">
        <v>82</v>
      </c>
      <c r="D296" s="19" t="s">
        <v>84</v>
      </c>
    </row>
    <row r="297" spans="1:4">
      <c r="A297" s="20">
        <v>2015</v>
      </c>
      <c r="B297" s="21">
        <v>-0.56451343525871001</v>
      </c>
      <c r="C297" s="21">
        <v>-0.56942925404831446</v>
      </c>
      <c r="D297" s="21">
        <v>4.9158187896044536E-3</v>
      </c>
    </row>
    <row r="298" spans="1:4">
      <c r="A298">
        <v>2016</v>
      </c>
      <c r="B298" s="17">
        <v>0.30832514673907485</v>
      </c>
      <c r="C298" s="17">
        <v>0.30831833090828376</v>
      </c>
      <c r="D298" s="17">
        <v>6.8158307910959337E-6</v>
      </c>
    </row>
    <row r="299" spans="1:4">
      <c r="A299" s="20">
        <v>2017</v>
      </c>
      <c r="B299" s="21">
        <v>0.44772559373479126</v>
      </c>
      <c r="C299" s="21">
        <v>0.44773896816271108</v>
      </c>
      <c r="D299" s="21">
        <v>-1.337442791982113E-5</v>
      </c>
    </row>
    <row r="300" spans="1:4">
      <c r="A300">
        <v>2018</v>
      </c>
      <c r="B300" s="17">
        <v>4.4158942355381425E-2</v>
      </c>
      <c r="C300" s="17">
        <v>4.4151346284047044E-2</v>
      </c>
      <c r="D300" s="17">
        <v>7.596071334381449E-6</v>
      </c>
    </row>
    <row r="301" spans="1:4">
      <c r="A301" s="20">
        <v>2019</v>
      </c>
      <c r="B301" s="21">
        <v>8.7595057016441213E-2</v>
      </c>
      <c r="C301" s="21">
        <v>8.7598977492361785E-2</v>
      </c>
      <c r="D301" s="21">
        <v>-3.9204759205713202E-6</v>
      </c>
    </row>
    <row r="303" spans="1:4">
      <c r="A303" s="18" t="s">
        <v>55</v>
      </c>
      <c r="B303" s="19" t="s">
        <v>83</v>
      </c>
      <c r="C303" s="19" t="s">
        <v>82</v>
      </c>
      <c r="D303" s="19" t="s">
        <v>84</v>
      </c>
    </row>
    <row r="304" spans="1:4">
      <c r="A304" s="20">
        <v>2015</v>
      </c>
      <c r="B304" s="21">
        <v>-0.10636075154203239</v>
      </c>
      <c r="C304" s="21">
        <v>-0.10632183908046011</v>
      </c>
      <c r="D304" s="21">
        <v>-3.8912461572282453E-5</v>
      </c>
    </row>
    <row r="305" spans="1:4">
      <c r="A305">
        <v>2016</v>
      </c>
      <c r="B305" s="17">
        <v>0.97666281520586473</v>
      </c>
      <c r="C305" s="17">
        <v>0.97665833035607919</v>
      </c>
      <c r="D305" s="17">
        <v>4.4848497855465297E-6</v>
      </c>
    </row>
    <row r="306" spans="1:4">
      <c r="A306" s="20">
        <v>2017</v>
      </c>
      <c r="B306" s="21">
        <v>-1.7709112182621167E-3</v>
      </c>
      <c r="C306" s="21">
        <v>-1.8074466803227329E-3</v>
      </c>
      <c r="D306" s="21">
        <v>3.6535462060616197E-5</v>
      </c>
    </row>
    <row r="307" spans="1:4">
      <c r="A307">
        <v>2018</v>
      </c>
      <c r="B307" s="17">
        <v>0.51675596683951897</v>
      </c>
      <c r="C307" s="17">
        <v>0.51677933365523732</v>
      </c>
      <c r="D307" s="17">
        <v>-2.3366815718350864E-5</v>
      </c>
    </row>
    <row r="308" spans="1:4">
      <c r="A308" s="20">
        <v>2019</v>
      </c>
      <c r="B308" s="21">
        <v>6.4861315542243947E-2</v>
      </c>
      <c r="C308" s="21">
        <v>6.486271388778464E-2</v>
      </c>
      <c r="D308" s="21">
        <v>-1.3983455406929579E-6</v>
      </c>
    </row>
    <row r="310" spans="1:4">
      <c r="A310" s="18" t="s">
        <v>56</v>
      </c>
      <c r="B310" s="19" t="s">
        <v>83</v>
      </c>
      <c r="C310" s="19" t="s">
        <v>82</v>
      </c>
      <c r="D310" s="19" t="s">
        <v>84</v>
      </c>
    </row>
    <row r="311" spans="1:4">
      <c r="A311" s="20">
        <v>2015</v>
      </c>
      <c r="B311" s="21">
        <v>-0.33200386016839978</v>
      </c>
      <c r="C311" s="21">
        <v>-0.3313659359190555</v>
      </c>
      <c r="D311" s="21">
        <v>-6.3792424934427938E-4</v>
      </c>
    </row>
    <row r="312" spans="1:4">
      <c r="A312">
        <v>2016</v>
      </c>
      <c r="B312" s="17">
        <v>1.2194028457952713</v>
      </c>
      <c r="C312" s="17">
        <v>1.2194199243379567</v>
      </c>
      <c r="D312" s="17">
        <v>-1.7078542685400322E-5</v>
      </c>
    </row>
    <row r="313" spans="1:4">
      <c r="A313" s="20">
        <v>2017</v>
      </c>
      <c r="B313" s="21">
        <v>8.2716977251229284E-2</v>
      </c>
      <c r="C313" s="21">
        <v>8.2670454545453964E-2</v>
      </c>
      <c r="D313" s="21">
        <v>4.6522705775320361E-5</v>
      </c>
    </row>
    <row r="314" spans="1:4">
      <c r="A314">
        <v>2018</v>
      </c>
      <c r="B314" s="17">
        <v>0.46955222733126467</v>
      </c>
      <c r="C314" s="17">
        <v>0.46956179480451232</v>
      </c>
      <c r="D314" s="17">
        <v>-9.5674732476513924E-6</v>
      </c>
    </row>
    <row r="315" spans="1:4">
      <c r="A315" s="20">
        <v>2019</v>
      </c>
      <c r="B315" s="21">
        <v>8.3808187563445324E-2</v>
      </c>
      <c r="C315" s="21">
        <v>8.3831800732077966E-2</v>
      </c>
      <c r="D315" s="21">
        <v>-2.361316863264129E-5</v>
      </c>
    </row>
    <row r="317" spans="1:4">
      <c r="A317" s="18" t="s">
        <v>57</v>
      </c>
      <c r="B317" s="19" t="s">
        <v>83</v>
      </c>
      <c r="C317" s="19" t="s">
        <v>82</v>
      </c>
      <c r="D317" s="19" t="s">
        <v>84</v>
      </c>
    </row>
    <row r="318" spans="1:4">
      <c r="A318" s="20">
        <v>2015</v>
      </c>
      <c r="B318" s="21">
        <v>-0.42733479118970363</v>
      </c>
      <c r="C318" s="21">
        <v>-0.43414912371668624</v>
      </c>
      <c r="D318" s="21">
        <v>6.8143325269826027E-3</v>
      </c>
    </row>
    <row r="319" spans="1:4">
      <c r="A319">
        <v>2016</v>
      </c>
      <c r="B319" s="17">
        <v>0.5144213359019818</v>
      </c>
      <c r="C319" s="17">
        <v>0.51443232841564979</v>
      </c>
      <c r="D319" s="17">
        <v>-1.0992513667984483E-5</v>
      </c>
    </row>
    <row r="320" spans="1:4">
      <c r="A320" s="20">
        <v>2017</v>
      </c>
      <c r="B320" s="21">
        <v>0.69270015294892273</v>
      </c>
      <c r="C320" s="21">
        <v>0.69268469776729069</v>
      </c>
      <c r="D320" s="21">
        <v>1.5455181632040293E-5</v>
      </c>
    </row>
    <row r="321" spans="1:4">
      <c r="A321">
        <v>2018</v>
      </c>
      <c r="B321" s="17">
        <v>-0.56904017211406566</v>
      </c>
      <c r="C321" s="17">
        <v>-0.56904378909740816</v>
      </c>
      <c r="D321" s="17">
        <v>3.6169833425025999E-6</v>
      </c>
    </row>
    <row r="322" spans="1:4">
      <c r="A322" s="20">
        <v>2019</v>
      </c>
      <c r="B322" s="21">
        <v>1.4634477451325347</v>
      </c>
      <c r="C322" s="21">
        <v>1.4635036496350327</v>
      </c>
      <c r="D322" s="21">
        <v>-5.5904502497927666E-5</v>
      </c>
    </row>
    <row r="324" spans="1:4">
      <c r="A324" s="18" t="s">
        <v>58</v>
      </c>
      <c r="B324" s="19" t="s">
        <v>83</v>
      </c>
      <c r="C324" s="19" t="s">
        <v>82</v>
      </c>
      <c r="D324" s="19" t="s">
        <v>84</v>
      </c>
    </row>
    <row r="325" spans="1:4">
      <c r="A325" s="20">
        <v>2015</v>
      </c>
      <c r="B325" s="21">
        <v>0.42216254487794713</v>
      </c>
      <c r="C325" s="21">
        <v>0.42215779664526809</v>
      </c>
      <c r="D325" s="21">
        <v>4.7482326790415641E-6</v>
      </c>
    </row>
    <row r="326" spans="1:4">
      <c r="A326">
        <v>2016</v>
      </c>
      <c r="B326" s="17">
        <v>0.74211349043835972</v>
      </c>
      <c r="C326" s="17">
        <v>0.74209330770574922</v>
      </c>
      <c r="D326" s="17">
        <v>2.0182732610507514E-5</v>
      </c>
    </row>
    <row r="327" spans="1:4">
      <c r="A327" s="20">
        <v>2017</v>
      </c>
      <c r="B327" s="21">
        <v>0.51325385316539074</v>
      </c>
      <c r="C327" s="21">
        <v>0.51325643597458948</v>
      </c>
      <c r="D327" s="21">
        <v>-2.5828091987367685E-6</v>
      </c>
    </row>
    <row r="328" spans="1:4">
      <c r="A328">
        <v>2018</v>
      </c>
      <c r="B328" s="17">
        <v>-0.3717105603650378</v>
      </c>
      <c r="C328" s="17">
        <v>-0.37170663809197757</v>
      </c>
      <c r="D328" s="17">
        <v>-3.9222730602306299E-6</v>
      </c>
    </row>
    <row r="329" spans="1:4">
      <c r="A329" s="20">
        <v>2019</v>
      </c>
      <c r="B329" s="21">
        <v>0.56484661057037444</v>
      </c>
      <c r="C329" s="21">
        <v>0.56483516483516505</v>
      </c>
      <c r="D329" s="21">
        <v>1.1445735209392183E-5</v>
      </c>
    </row>
    <row r="331" spans="1:4">
      <c r="A331" s="18" t="s">
        <v>59</v>
      </c>
      <c r="B331" s="19" t="s">
        <v>83</v>
      </c>
      <c r="C331" s="19" t="s">
        <v>82</v>
      </c>
      <c r="D331" s="19" t="s">
        <v>84</v>
      </c>
    </row>
    <row r="332" spans="1:4">
      <c r="A332" s="20">
        <v>2015</v>
      </c>
      <c r="B332" s="21">
        <v>-0.50872717825173031</v>
      </c>
      <c r="C332" s="21">
        <v>-0.54743255004351588</v>
      </c>
      <c r="D332" s="21">
        <v>3.870537179178557E-2</v>
      </c>
    </row>
    <row r="333" spans="1:4">
      <c r="A333">
        <v>2016</v>
      </c>
      <c r="B333" s="17">
        <v>-1.6025641025638637E-2</v>
      </c>
      <c r="C333" s="17">
        <v>-1.6025641025638859E-2</v>
      </c>
      <c r="D333" s="17">
        <v>2.2204460492503131E-16</v>
      </c>
    </row>
    <row r="334" spans="1:4">
      <c r="A334" s="20">
        <v>2017</v>
      </c>
      <c r="B334" s="21">
        <v>1.1123778501628685</v>
      </c>
      <c r="C334" s="21">
        <v>1.1123778501628681</v>
      </c>
      <c r="D334" s="21">
        <v>0</v>
      </c>
    </row>
    <row r="335" spans="1:4">
      <c r="A335">
        <v>2018</v>
      </c>
      <c r="B335" s="17">
        <v>0.31071703932151062</v>
      </c>
      <c r="C335" s="17">
        <v>0.31071703932151062</v>
      </c>
      <c r="D335" s="17">
        <v>0</v>
      </c>
    </row>
    <row r="336" spans="1:4">
      <c r="A336" s="20">
        <v>2019</v>
      </c>
      <c r="B336" s="21">
        <v>0.29117652941176475</v>
      </c>
      <c r="C336" s="21">
        <v>0.29117647058823515</v>
      </c>
      <c r="D336" s="21">
        <v>5.8823529602847202E-8</v>
      </c>
    </row>
    <row r="338" spans="1:4">
      <c r="A338" s="18" t="s">
        <v>60</v>
      </c>
      <c r="B338" s="19" t="s">
        <v>83</v>
      </c>
      <c r="C338" s="19" t="s">
        <v>82</v>
      </c>
      <c r="D338" s="19" t="s">
        <v>84</v>
      </c>
    </row>
    <row r="339" spans="1:4">
      <c r="A339" s="20">
        <v>2015</v>
      </c>
      <c r="B339" s="21">
        <v>-0.25254430584073506</v>
      </c>
      <c r="C339" s="21">
        <v>-0.29012522703374377</v>
      </c>
      <c r="D339" s="21">
        <v>3.7580921193008709E-2</v>
      </c>
    </row>
    <row r="340" spans="1:4">
      <c r="A340">
        <v>2016</v>
      </c>
      <c r="B340" s="17">
        <v>0.50734890185410597</v>
      </c>
      <c r="C340" s="17">
        <v>0.41812550498249523</v>
      </c>
      <c r="D340" s="17">
        <v>8.9223396871610738E-2</v>
      </c>
    </row>
    <row r="341" spans="1:4">
      <c r="A341" s="20">
        <v>2017</v>
      </c>
      <c r="B341" s="21">
        <v>1.1107597953108832</v>
      </c>
      <c r="C341" s="21">
        <v>1.0606779982907613</v>
      </c>
      <c r="D341" s="21">
        <v>5.0081797020121943E-2</v>
      </c>
    </row>
    <row r="342" spans="1:4">
      <c r="A342">
        <v>2018</v>
      </c>
      <c r="B342" s="17">
        <v>0.36298919298318211</v>
      </c>
      <c r="C342" s="17">
        <v>0.3630247454034381</v>
      </c>
      <c r="D342" s="17">
        <v>-3.5552420255990924E-5</v>
      </c>
    </row>
    <row r="343" spans="1:4">
      <c r="A343" s="20">
        <v>2019</v>
      </c>
      <c r="B343" s="21">
        <v>0.47943540739413448</v>
      </c>
      <c r="C343" s="21">
        <v>0.47942797254809166</v>
      </c>
      <c r="D343" s="21">
        <v>7.4348460428197427E-6</v>
      </c>
    </row>
    <row r="345" spans="1:4">
      <c r="A345" s="18" t="s">
        <v>61</v>
      </c>
      <c r="B345" s="19" t="s">
        <v>83</v>
      </c>
      <c r="C345" s="19" t="s">
        <v>82</v>
      </c>
      <c r="D345" s="19" t="s">
        <v>84</v>
      </c>
    </row>
    <row r="346" spans="1:4">
      <c r="A346" s="20">
        <v>2015</v>
      </c>
      <c r="B346" s="21">
        <v>0.13516332852310642</v>
      </c>
      <c r="C346" s="21">
        <v>0.13516381482955309</v>
      </c>
      <c r="D346" s="21">
        <v>-4.8630644666758371E-7</v>
      </c>
    </row>
    <row r="347" spans="1:4">
      <c r="A347">
        <v>2016</v>
      </c>
      <c r="B347" s="17">
        <v>0.5351803071255421</v>
      </c>
      <c r="C347" s="17">
        <v>0.53523019397055127</v>
      </c>
      <c r="D347" s="17">
        <v>-4.9886845009172731E-5</v>
      </c>
    </row>
    <row r="348" spans="1:4">
      <c r="A348" s="20">
        <v>2017</v>
      </c>
      <c r="B348" s="21">
        <v>0.23788359258386316</v>
      </c>
      <c r="C348" s="21">
        <v>0.23785059177227152</v>
      </c>
      <c r="D348" s="21">
        <v>3.3000811591632484E-5</v>
      </c>
    </row>
    <row r="349" spans="1:4">
      <c r="A349">
        <v>2018</v>
      </c>
      <c r="B349" s="17">
        <v>-5.5180914418552884E-2</v>
      </c>
      <c r="C349" s="17">
        <v>-5.5154179604636644E-2</v>
      </c>
      <c r="D349" s="17">
        <v>-2.6734813916240441E-5</v>
      </c>
    </row>
    <row r="350" spans="1:4">
      <c r="A350" s="20">
        <v>2019</v>
      </c>
      <c r="B350" s="21">
        <v>0.70600983043017096</v>
      </c>
      <c r="C350" s="21">
        <v>0.7059837959196924</v>
      </c>
      <c r="D350" s="21">
        <v>2.6034510478556427E-5</v>
      </c>
    </row>
    <row r="352" spans="1:4">
      <c r="A352" s="18" t="s">
        <v>62</v>
      </c>
      <c r="B352" s="19" t="s">
        <v>83</v>
      </c>
      <c r="C352" s="19" t="s">
        <v>82</v>
      </c>
      <c r="D352" s="19" t="s">
        <v>84</v>
      </c>
    </row>
    <row r="353" spans="1:4">
      <c r="A353" s="20">
        <v>2015</v>
      </c>
      <c r="B353" s="21">
        <v>-0.211905845318898</v>
      </c>
      <c r="C353" s="21">
        <v>-0.21144943019942952</v>
      </c>
      <c r="D353" s="21">
        <v>-4.5641511946847846E-4</v>
      </c>
    </row>
    <row r="354" spans="1:4">
      <c r="A354">
        <v>2016</v>
      </c>
      <c r="B354" s="17">
        <v>0.38332733782140349</v>
      </c>
      <c r="C354" s="17">
        <v>0.38331263407474392</v>
      </c>
      <c r="D354" s="17">
        <v>1.4703746659572303E-5</v>
      </c>
    </row>
    <row r="355" spans="1:4">
      <c r="A355" s="20">
        <v>2017</v>
      </c>
      <c r="B355" s="21">
        <v>0.82712613423905124</v>
      </c>
      <c r="C355" s="21">
        <v>0.82710305800413786</v>
      </c>
      <c r="D355" s="21">
        <v>2.3076234913377291E-5</v>
      </c>
    </row>
    <row r="356" spans="1:4">
      <c r="A356">
        <v>2018</v>
      </c>
      <c r="B356" s="17">
        <v>-0.36055529076880199</v>
      </c>
      <c r="C356" s="17">
        <v>-0.39307890465625273</v>
      </c>
      <c r="D356" s="17">
        <v>3.2523613887450731E-2</v>
      </c>
    </row>
    <row r="357" spans="1:4">
      <c r="A357" s="20">
        <v>2019</v>
      </c>
      <c r="B357" s="21">
        <v>-7.1367554017336743E-2</v>
      </c>
      <c r="C357" s="21">
        <v>-7.1370740204618199E-2</v>
      </c>
      <c r="D357" s="21">
        <v>3.1861872814564762E-6</v>
      </c>
    </row>
    <row r="359" spans="1:4">
      <c r="A359" s="18" t="s">
        <v>63</v>
      </c>
      <c r="B359" s="19" t="s">
        <v>83</v>
      </c>
      <c r="C359" s="19" t="s">
        <v>82</v>
      </c>
      <c r="D359" s="19" t="s">
        <v>84</v>
      </c>
    </row>
    <row r="360" spans="1:4">
      <c r="A360" s="20">
        <v>2015</v>
      </c>
      <c r="B360" s="21">
        <v>6.4996530892018622E-3</v>
      </c>
      <c r="C360" s="21">
        <v>0</v>
      </c>
      <c r="D360" s="21">
        <v>6.4996530892018622E-3</v>
      </c>
    </row>
    <row r="361" spans="1:4">
      <c r="A361">
        <v>2016</v>
      </c>
      <c r="B361" s="17">
        <v>0</v>
      </c>
      <c r="C361" s="17">
        <v>0</v>
      </c>
      <c r="D361" s="17">
        <v>0</v>
      </c>
    </row>
    <row r="362" spans="1:4">
      <c r="A362" s="20">
        <v>2017</v>
      </c>
      <c r="B362" s="21">
        <v>-5.6453496769268141E-2</v>
      </c>
      <c r="C362" s="21">
        <v>-8.1657100074868927E-2</v>
      </c>
      <c r="D362" s="21">
        <v>2.5203603305600786E-2</v>
      </c>
    </row>
    <row r="363" spans="1:4">
      <c r="A363">
        <v>2018</v>
      </c>
      <c r="B363" s="17">
        <v>1.0472917249755724</v>
      </c>
      <c r="C363" s="17">
        <v>1.0472308277623799</v>
      </c>
      <c r="D363" s="17">
        <v>6.0897213192578903E-5</v>
      </c>
    </row>
    <row r="364" spans="1:4">
      <c r="A364" s="20">
        <v>2019</v>
      </c>
      <c r="B364" s="21">
        <v>-0.24855792899130047</v>
      </c>
      <c r="C364" s="21">
        <v>-0.25664374651551747</v>
      </c>
      <c r="D364" s="21">
        <v>8.0858175242169983E-3</v>
      </c>
    </row>
    <row r="366" spans="1:4">
      <c r="A366" s="18" t="s">
        <v>64</v>
      </c>
      <c r="B366" s="19" t="s">
        <v>83</v>
      </c>
      <c r="C366" s="19" t="s">
        <v>82</v>
      </c>
      <c r="D366" s="19" t="s">
        <v>84</v>
      </c>
    </row>
    <row r="367" spans="1:4">
      <c r="A367" s="20">
        <v>2015</v>
      </c>
      <c r="B367" s="21">
        <v>-0.39196166149994338</v>
      </c>
      <c r="C367" s="21">
        <v>-0.40771969271126063</v>
      </c>
      <c r="D367" s="21">
        <v>1.5758031211317247E-2</v>
      </c>
    </row>
    <row r="368" spans="1:4">
      <c r="A368">
        <v>2016</v>
      </c>
      <c r="B368" s="17">
        <v>0.17168880391963115</v>
      </c>
      <c r="C368" s="17">
        <v>0.17193925972793433</v>
      </c>
      <c r="D368" s="17">
        <v>-2.5045580830318492E-4</v>
      </c>
    </row>
    <row r="369" spans="1:4">
      <c r="A369" s="20">
        <v>2017</v>
      </c>
      <c r="B369" s="21">
        <v>0.69462390514837336</v>
      </c>
      <c r="C369" s="21">
        <v>0.69456066945606487</v>
      </c>
      <c r="D369" s="21">
        <v>6.3235692308483138E-5</v>
      </c>
    </row>
    <row r="370" spans="1:4">
      <c r="A370">
        <v>2018</v>
      </c>
      <c r="B370" s="17">
        <v>-8.2384376758628641E-2</v>
      </c>
      <c r="C370" s="17">
        <v>-7.9808841099162975E-2</v>
      </c>
      <c r="D370" s="17">
        <v>-2.5755356594656664E-3</v>
      </c>
    </row>
    <row r="371" spans="1:4">
      <c r="A371" s="20">
        <v>2019</v>
      </c>
      <c r="B371" s="21">
        <v>1.7960599038649994E-2</v>
      </c>
      <c r="C371" s="21">
        <v>1.7917424045702735E-2</v>
      </c>
      <c r="D371" s="21">
        <v>4.3174992947259128E-5</v>
      </c>
    </row>
    <row r="373" spans="1:4">
      <c r="A373" s="18" t="s">
        <v>65</v>
      </c>
      <c r="B373" s="19" t="s">
        <v>83</v>
      </c>
      <c r="C373" s="19" t="s">
        <v>82</v>
      </c>
      <c r="D373" s="19" t="s">
        <v>84</v>
      </c>
    </row>
    <row r="374" spans="1:4">
      <c r="A374" s="20">
        <v>2015</v>
      </c>
      <c r="B374" s="21">
        <v>0.23884428727226981</v>
      </c>
      <c r="C374" s="21">
        <v>0.20361255163927239</v>
      </c>
      <c r="D374" s="21">
        <v>3.5231735632997419E-2</v>
      </c>
    </row>
    <row r="375" spans="1:4">
      <c r="A375">
        <v>2016</v>
      </c>
      <c r="B375" s="17">
        <v>0.18618707701351789</v>
      </c>
      <c r="C375" s="17">
        <v>0.15879796983970684</v>
      </c>
      <c r="D375" s="17">
        <v>2.7389107173811045E-2</v>
      </c>
    </row>
    <row r="376" spans="1:4">
      <c r="A376" s="20">
        <v>2017</v>
      </c>
      <c r="B376" s="21">
        <v>0.15335611533341376</v>
      </c>
      <c r="C376" s="21">
        <v>0.12396017141416693</v>
      </c>
      <c r="D376" s="21">
        <v>2.9395943919246825E-2</v>
      </c>
    </row>
    <row r="377" spans="1:4">
      <c r="A377">
        <v>2018</v>
      </c>
      <c r="B377" s="17">
        <v>-0.25390052253330675</v>
      </c>
      <c r="C377" s="17">
        <v>-0.27263807120829808</v>
      </c>
      <c r="D377" s="17">
        <v>1.8737548674991333E-2</v>
      </c>
    </row>
    <row r="378" spans="1:4">
      <c r="A378" s="20">
        <v>2019</v>
      </c>
      <c r="B378" s="21">
        <v>-0.37423106982581311</v>
      </c>
      <c r="C378" s="21">
        <v>-0.38253998843707848</v>
      </c>
      <c r="D378" s="21">
        <v>8.3089186112653701E-3</v>
      </c>
    </row>
    <row r="380" spans="1:4">
      <c r="A380" s="18" t="s">
        <v>66</v>
      </c>
      <c r="B380" s="19" t="s">
        <v>83</v>
      </c>
      <c r="C380" s="19" t="s">
        <v>82</v>
      </c>
      <c r="D380" s="19" t="s">
        <v>84</v>
      </c>
    </row>
    <row r="381" spans="1:4">
      <c r="A381" s="20">
        <v>2015</v>
      </c>
      <c r="B381" s="21">
        <v>-0.69136915704648394</v>
      </c>
      <c r="C381" s="21">
        <v>-0.69135291683905664</v>
      </c>
      <c r="D381" s="21">
        <v>-1.6240207427298259E-5</v>
      </c>
    </row>
    <row r="382" spans="1:4">
      <c r="A382">
        <v>2016</v>
      </c>
      <c r="B382" s="17">
        <v>1.6451622457515862</v>
      </c>
      <c r="C382" s="17">
        <v>1.6903485254691724</v>
      </c>
      <c r="D382" s="17">
        <v>-4.5186279717586153E-2</v>
      </c>
    </row>
    <row r="383" spans="1:4">
      <c r="A383" s="20">
        <v>2017</v>
      </c>
      <c r="B383" s="21">
        <v>1.2195120676746281</v>
      </c>
      <c r="C383" s="21">
        <v>1.2194818136522181</v>
      </c>
      <c r="D383" s="21">
        <v>3.0254022409970105E-5</v>
      </c>
    </row>
    <row r="384" spans="1:4">
      <c r="A384">
        <v>2018</v>
      </c>
      <c r="B384" s="17">
        <v>1.7628245731532655E-2</v>
      </c>
      <c r="C384" s="17">
        <v>1.7622628802336449E-2</v>
      </c>
      <c r="D384" s="17">
        <v>5.6169291962060441E-6</v>
      </c>
    </row>
    <row r="385" spans="1:4">
      <c r="A385">
        <v>2019</v>
      </c>
      <c r="B385" s="17">
        <v>-0.20349791108238435</v>
      </c>
      <c r="C385" s="17">
        <v>-0.20251489080079421</v>
      </c>
      <c r="D385" s="17">
        <v>-9.8302028159014121E-4</v>
      </c>
    </row>
    <row r="387" spans="1:4">
      <c r="A387" s="18" t="s">
        <v>10</v>
      </c>
      <c r="B387" s="19" t="s">
        <v>83</v>
      </c>
      <c r="C387" s="19" t="s">
        <v>82</v>
      </c>
      <c r="D387" s="19" t="s">
        <v>84</v>
      </c>
    </row>
    <row r="388" spans="1:4">
      <c r="A388" s="20">
        <v>2015</v>
      </c>
      <c r="B388" s="21">
        <v>-0.37323089903062967</v>
      </c>
      <c r="C388" s="21">
        <v>-0.37323869610935867</v>
      </c>
      <c r="D388" s="21">
        <v>7.7970787289993737E-6</v>
      </c>
    </row>
    <row r="389" spans="1:4">
      <c r="A389">
        <v>2016</v>
      </c>
      <c r="B389" s="17">
        <v>0.9824158625684325</v>
      </c>
      <c r="C389" s="17">
        <v>0.98246791376562514</v>
      </c>
      <c r="D389" s="17">
        <v>-5.2051197192648502E-5</v>
      </c>
    </row>
    <row r="390" spans="1:4">
      <c r="A390" s="20">
        <v>2017</v>
      </c>
      <c r="B390" s="21">
        <v>0.63736469556687614</v>
      </c>
      <c r="C390" s="21">
        <v>0.63737147209410572</v>
      </c>
      <c r="D390" s="21">
        <v>-6.7765272295794432E-6</v>
      </c>
    </row>
    <row r="391" spans="1:4">
      <c r="A391">
        <v>2018</v>
      </c>
      <c r="B391" s="17">
        <v>0.31808435512438504</v>
      </c>
      <c r="C391" s="17">
        <v>0.3179656812073608</v>
      </c>
      <c r="D391" s="17">
        <v>1.186739170242479E-4</v>
      </c>
    </row>
    <row r="392" spans="1:4">
      <c r="A392">
        <v>2019</v>
      </c>
      <c r="B392" s="17">
        <v>-0.15137256862745108</v>
      </c>
      <c r="C392" s="17">
        <v>-0.15137254901960717</v>
      </c>
      <c r="D392" s="17">
        <v>-1.9607843904090316E-8</v>
      </c>
    </row>
    <row r="394" spans="1:4">
      <c r="A394" s="18" t="s">
        <v>67</v>
      </c>
      <c r="B394" s="19" t="s">
        <v>83</v>
      </c>
      <c r="C394" s="19" t="s">
        <v>82</v>
      </c>
      <c r="D394" s="19" t="s">
        <v>84</v>
      </c>
    </row>
    <row r="395" spans="1:4">
      <c r="A395" s="20">
        <v>2015</v>
      </c>
      <c r="B395" s="21">
        <v>-0.13831185814157332</v>
      </c>
      <c r="C395" s="21">
        <v>-0.16960212682396292</v>
      </c>
      <c r="D395" s="21">
        <v>3.1290268682389599E-2</v>
      </c>
    </row>
    <row r="396" spans="1:4">
      <c r="A396">
        <v>2016</v>
      </c>
      <c r="B396" s="17">
        <v>0.29032685269978575</v>
      </c>
      <c r="C396" s="17">
        <v>0.29050096409211634</v>
      </c>
      <c r="D396" s="17">
        <v>-1.7411139233058925E-4</v>
      </c>
    </row>
    <row r="397" spans="1:4">
      <c r="A397" s="20">
        <v>2017</v>
      </c>
      <c r="B397" s="21">
        <v>0.17792973699696302</v>
      </c>
      <c r="C397" s="21">
        <v>0.17512404149751992</v>
      </c>
      <c r="D397" s="21">
        <v>2.8056954994430949E-3</v>
      </c>
    </row>
    <row r="398" spans="1:4">
      <c r="A398">
        <v>2018</v>
      </c>
      <c r="B398" s="17">
        <v>4.4310584563947986E-2</v>
      </c>
      <c r="C398" s="17">
        <v>4.4309567220035984E-2</v>
      </c>
      <c r="D398" s="17">
        <v>1.0173439120020333E-6</v>
      </c>
    </row>
    <row r="399" spans="1:4">
      <c r="A399">
        <v>2019</v>
      </c>
      <c r="B399" s="17">
        <v>0.19915234632989387</v>
      </c>
      <c r="C399" s="17">
        <v>0.19914543658542327</v>
      </c>
      <c r="D399" s="17">
        <v>6.909744470595669E-6</v>
      </c>
    </row>
    <row r="401" spans="1:4">
      <c r="A401" s="18" t="s">
        <v>68</v>
      </c>
      <c r="B401" s="19" t="s">
        <v>83</v>
      </c>
      <c r="C401" s="19" t="s">
        <v>82</v>
      </c>
      <c r="D401" s="19" t="s">
        <v>84</v>
      </c>
    </row>
    <row r="402" spans="1:4">
      <c r="A402" s="20">
        <v>2015</v>
      </c>
      <c r="B402" s="21">
        <v>-0.77210342511013885</v>
      </c>
      <c r="C402" s="21">
        <v>-0.79655756207674933</v>
      </c>
      <c r="D402" s="21">
        <v>2.4454136966610474E-2</v>
      </c>
    </row>
    <row r="403" spans="1:4">
      <c r="A403">
        <v>2016</v>
      </c>
      <c r="B403" s="17">
        <v>1.4021870184421972</v>
      </c>
      <c r="C403" s="17">
        <v>1.484049930651874</v>
      </c>
      <c r="D403" s="17">
        <v>-8.1862912209676786E-2</v>
      </c>
    </row>
    <row r="404" spans="1:4">
      <c r="A404" s="20">
        <v>2017</v>
      </c>
      <c r="B404" s="21">
        <v>1.2104095418799967</v>
      </c>
      <c r="C404" s="21">
        <v>1.2104969290898904</v>
      </c>
      <c r="D404" s="21">
        <v>-8.738720989365234E-5</v>
      </c>
    </row>
    <row r="405" spans="1:4">
      <c r="A405">
        <v>2018</v>
      </c>
      <c r="B405" s="17">
        <v>-0.4455870879127124</v>
      </c>
      <c r="C405" s="17">
        <v>-0.4455670623894924</v>
      </c>
      <c r="D405" s="17">
        <v>-2.0025523220001951E-5</v>
      </c>
    </row>
    <row r="406" spans="1:4">
      <c r="A406">
        <v>2019</v>
      </c>
      <c r="B406" s="17">
        <v>0.54669703872437303</v>
      </c>
      <c r="C406" s="17">
        <v>0.5466970387243737</v>
      </c>
      <c r="D406" s="17">
        <v>0</v>
      </c>
    </row>
    <row r="408" spans="1:4">
      <c r="A408" s="18" t="s">
        <v>69</v>
      </c>
      <c r="B408" s="19" t="s">
        <v>83</v>
      </c>
      <c r="C408" s="19" t="s">
        <v>82</v>
      </c>
      <c r="D408" s="19" t="s">
        <v>84</v>
      </c>
    </row>
    <row r="409" spans="1:4">
      <c r="A409" s="20">
        <v>2015</v>
      </c>
      <c r="B409" s="21">
        <v>2.2538411107952294E-2</v>
      </c>
      <c r="C409" s="21">
        <v>0</v>
      </c>
      <c r="D409" s="21">
        <v>2.2538411107952294E-2</v>
      </c>
    </row>
    <row r="410" spans="1:4">
      <c r="A410">
        <v>2016</v>
      </c>
      <c r="B410" s="17">
        <v>7.1502837833187227E-2</v>
      </c>
      <c r="C410" s="17">
        <v>6.3437031484256945E-2</v>
      </c>
      <c r="D410" s="17">
        <v>8.0658063489302823E-3</v>
      </c>
    </row>
    <row r="411" spans="1:4">
      <c r="A411" s="20">
        <v>2017</v>
      </c>
      <c r="B411" s="21">
        <v>0.59432699315750726</v>
      </c>
      <c r="C411" s="21">
        <v>0.5852498017446468</v>
      </c>
      <c r="D411" s="21">
        <v>9.0771914128604525E-3</v>
      </c>
    </row>
    <row r="412" spans="1:4">
      <c r="A412">
        <v>2018</v>
      </c>
      <c r="B412" s="17">
        <v>-4.015075620359787E-2</v>
      </c>
      <c r="C412" s="17">
        <v>-3.7407592685232416E-2</v>
      </c>
      <c r="D412" s="17">
        <v>-2.7431635183654546E-3</v>
      </c>
    </row>
    <row r="413" spans="1:4">
      <c r="A413">
        <v>2019</v>
      </c>
      <c r="B413" s="17">
        <v>0.27748138841190939</v>
      </c>
      <c r="C413" s="17">
        <v>0.2830580898487125</v>
      </c>
      <c r="D413" s="17">
        <v>-5.5767014368031109E-3</v>
      </c>
    </row>
  </sheetData>
  <mergeCells count="1">
    <mergeCell ref="F2:I1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B77FC8-99BE-4F56-B5E0-2AB6B7983E02}">
  <sheetPr codeName="Sheet6">
    <tabColor rgb="FF00B050"/>
  </sheetPr>
  <dimension ref="A1:G167"/>
  <sheetViews>
    <sheetView workbookViewId="0">
      <selection activeCell="B1" sqref="B1:G1"/>
    </sheetView>
  </sheetViews>
  <sheetFormatPr defaultRowHeight="14.4"/>
  <cols>
    <col min="1" max="1" width="9.5546875" style="9" bestFit="1" customWidth="1"/>
  </cols>
  <sheetData>
    <row r="1" spans="1:7">
      <c r="A1" s="9" t="s">
        <v>75</v>
      </c>
      <c r="B1" t="s">
        <v>76</v>
      </c>
      <c r="C1" t="s">
        <v>92</v>
      </c>
      <c r="D1" t="s">
        <v>11</v>
      </c>
      <c r="E1" t="s">
        <v>37</v>
      </c>
      <c r="F1" t="s">
        <v>10</v>
      </c>
      <c r="G1" t="s">
        <v>55</v>
      </c>
    </row>
    <row r="2" spans="1:7">
      <c r="A2" s="9">
        <v>43467</v>
      </c>
      <c r="B2">
        <v>91012</v>
      </c>
      <c r="C2">
        <v>3.8799000000000001</v>
      </c>
      <c r="D2">
        <v>16.149999999999999</v>
      </c>
      <c r="E2">
        <v>14.939016000000001</v>
      </c>
      <c r="F2">
        <v>51.09</v>
      </c>
      <c r="G2">
        <v>26.366747</v>
      </c>
    </row>
    <row r="3" spans="1:7">
      <c r="A3" s="9">
        <v>43468</v>
      </c>
      <c r="B3">
        <v>91564</v>
      </c>
      <c r="C3">
        <v>3.7863000000000002</v>
      </c>
      <c r="D3">
        <v>16.329999999999998</v>
      </c>
      <c r="E3">
        <v>14.840733999999999</v>
      </c>
      <c r="F3">
        <v>49</v>
      </c>
      <c r="G3">
        <v>26.910902</v>
      </c>
    </row>
    <row r="4" spans="1:7">
      <c r="A4" s="9">
        <v>43469</v>
      </c>
      <c r="B4">
        <v>91841</v>
      </c>
      <c r="C4">
        <v>3.7551000000000001</v>
      </c>
      <c r="D4">
        <v>16.549999</v>
      </c>
      <c r="E4">
        <v>15.233866000000001</v>
      </c>
      <c r="F4">
        <v>52.189999</v>
      </c>
      <c r="G4">
        <v>27.217607000000001</v>
      </c>
    </row>
    <row r="5" spans="1:7">
      <c r="A5" s="9">
        <v>43472</v>
      </c>
      <c r="B5">
        <v>91699</v>
      </c>
      <c r="C5">
        <v>3.6612</v>
      </c>
      <c r="D5">
        <v>16.48</v>
      </c>
      <c r="E5">
        <v>15.273179000000001</v>
      </c>
      <c r="F5">
        <v>51.91</v>
      </c>
      <c r="G5">
        <v>28.098147999999998</v>
      </c>
    </row>
    <row r="6" spans="1:7">
      <c r="A6" s="9">
        <v>43473</v>
      </c>
      <c r="B6">
        <v>92032</v>
      </c>
      <c r="C6">
        <v>3.7341000000000002</v>
      </c>
      <c r="D6">
        <v>16.149999999999999</v>
      </c>
      <c r="E6">
        <v>15.292835999999999</v>
      </c>
      <c r="F6">
        <v>52.41</v>
      </c>
      <c r="G6">
        <v>27.949741</v>
      </c>
    </row>
    <row r="7" spans="1:7">
      <c r="A7" s="9">
        <v>43474</v>
      </c>
      <c r="B7">
        <v>93613</v>
      </c>
      <c r="C7">
        <v>3.7124000000000001</v>
      </c>
      <c r="D7">
        <v>16.379999000000002</v>
      </c>
      <c r="E7">
        <v>15.725281000000001</v>
      </c>
      <c r="F7">
        <v>53.689999</v>
      </c>
      <c r="G7">
        <v>28.513683</v>
      </c>
    </row>
    <row r="8" spans="1:7">
      <c r="A8" s="9">
        <v>43475</v>
      </c>
      <c r="B8">
        <v>93806</v>
      </c>
      <c r="C8">
        <v>3.68</v>
      </c>
      <c r="D8">
        <v>16.850000000000001</v>
      </c>
      <c r="E8">
        <v>15.322321000000001</v>
      </c>
      <c r="F8">
        <v>53.099997999999999</v>
      </c>
      <c r="G8">
        <v>28.375171999999999</v>
      </c>
    </row>
    <row r="9" spans="1:7">
      <c r="A9" s="9">
        <v>43476</v>
      </c>
      <c r="B9">
        <v>93658</v>
      </c>
      <c r="C9">
        <v>3.7079</v>
      </c>
      <c r="D9">
        <v>17.290001</v>
      </c>
      <c r="E9">
        <v>14.958674</v>
      </c>
      <c r="F9">
        <v>52.380001</v>
      </c>
      <c r="G9">
        <v>28.197084</v>
      </c>
    </row>
    <row r="10" spans="1:7">
      <c r="A10" s="9">
        <v>43479</v>
      </c>
      <c r="B10">
        <v>94474</v>
      </c>
      <c r="C10">
        <v>3.6596000000000002</v>
      </c>
      <c r="D10">
        <v>17.540001</v>
      </c>
      <c r="E10">
        <v>14.939016000000001</v>
      </c>
      <c r="F10">
        <v>52.599997999999999</v>
      </c>
      <c r="G10">
        <v>28.098147999999998</v>
      </c>
    </row>
    <row r="11" spans="1:7">
      <c r="A11" s="9">
        <v>43480</v>
      </c>
      <c r="B11">
        <v>94056</v>
      </c>
      <c r="C11">
        <v>3.6974999999999998</v>
      </c>
      <c r="D11">
        <v>17.700001</v>
      </c>
      <c r="E11">
        <v>14.644166999999999</v>
      </c>
      <c r="F11">
        <v>52.349997999999999</v>
      </c>
      <c r="G11">
        <v>28.009101999999999</v>
      </c>
    </row>
    <row r="12" spans="1:7">
      <c r="A12" s="9">
        <v>43481</v>
      </c>
      <c r="B12">
        <v>94393</v>
      </c>
      <c r="C12">
        <v>3.7164000000000001</v>
      </c>
      <c r="D12">
        <v>17.799999</v>
      </c>
      <c r="E12">
        <v>14.673654000000001</v>
      </c>
      <c r="F12">
        <v>52.650002000000001</v>
      </c>
      <c r="G12">
        <v>28.236660000000001</v>
      </c>
    </row>
    <row r="13" spans="1:7">
      <c r="A13" s="9">
        <v>43482</v>
      </c>
      <c r="B13">
        <v>95351</v>
      </c>
      <c r="C13">
        <v>3.7343000000000002</v>
      </c>
      <c r="D13">
        <v>17.850000000000001</v>
      </c>
      <c r="E13">
        <v>14.791594</v>
      </c>
      <c r="F13">
        <v>54.23</v>
      </c>
      <c r="G13">
        <v>28.47411</v>
      </c>
    </row>
    <row r="14" spans="1:7">
      <c r="A14" s="9">
        <v>43483</v>
      </c>
      <c r="B14">
        <v>96097</v>
      </c>
      <c r="C14">
        <v>3.7488999999999999</v>
      </c>
      <c r="D14">
        <v>18</v>
      </c>
      <c r="E14">
        <v>15.224038</v>
      </c>
      <c r="F14">
        <v>54.759998000000003</v>
      </c>
      <c r="G14">
        <v>28.840176</v>
      </c>
    </row>
    <row r="15" spans="1:7">
      <c r="A15" s="9">
        <v>43486</v>
      </c>
      <c r="B15">
        <v>96010</v>
      </c>
      <c r="C15">
        <v>3.7502</v>
      </c>
      <c r="D15">
        <v>18</v>
      </c>
      <c r="E15">
        <v>15.233866000000001</v>
      </c>
      <c r="F15">
        <v>55.279998999999997</v>
      </c>
      <c r="G15">
        <v>28.978687000000001</v>
      </c>
    </row>
    <row r="16" spans="1:7">
      <c r="A16" s="9">
        <v>43487</v>
      </c>
      <c r="B16">
        <v>95103</v>
      </c>
      <c r="C16">
        <v>3.7513999999999998</v>
      </c>
      <c r="D16">
        <v>17.540001</v>
      </c>
      <c r="E16">
        <v>15.204382000000001</v>
      </c>
      <c r="F16">
        <v>55.080002</v>
      </c>
      <c r="G16">
        <v>28.543364</v>
      </c>
    </row>
    <row r="17" spans="1:7">
      <c r="A17" s="9">
        <v>43488</v>
      </c>
      <c r="B17">
        <v>96558</v>
      </c>
      <c r="C17">
        <v>3.8119999999999998</v>
      </c>
      <c r="D17">
        <v>17.18</v>
      </c>
      <c r="E17">
        <v>15.38129</v>
      </c>
      <c r="F17">
        <v>55.650002000000001</v>
      </c>
      <c r="G17">
        <v>28.840176</v>
      </c>
    </row>
    <row r="18" spans="1:7">
      <c r="A18" s="9">
        <v>43489</v>
      </c>
      <c r="B18">
        <v>97677</v>
      </c>
      <c r="C18">
        <v>3.7623000000000002</v>
      </c>
      <c r="D18">
        <v>17.16</v>
      </c>
      <c r="E18">
        <v>15.715453</v>
      </c>
      <c r="F18">
        <v>56.150002000000001</v>
      </c>
      <c r="G18">
        <v>29.146878999999998</v>
      </c>
    </row>
    <row r="19" spans="1:7">
      <c r="A19" s="9">
        <v>43493</v>
      </c>
      <c r="B19">
        <v>95444</v>
      </c>
      <c r="C19">
        <v>3.7696000000000001</v>
      </c>
      <c r="D19">
        <v>17.950001</v>
      </c>
      <c r="E19">
        <v>15.371463</v>
      </c>
      <c r="F19">
        <v>42.360000999999997</v>
      </c>
      <c r="G19">
        <v>28.117934999999999</v>
      </c>
    </row>
    <row r="20" spans="1:7">
      <c r="A20" s="9">
        <v>43494</v>
      </c>
      <c r="B20">
        <v>95639</v>
      </c>
      <c r="C20">
        <v>3.7595999999999998</v>
      </c>
      <c r="D20">
        <v>17.870000999999998</v>
      </c>
      <c r="E20">
        <v>15.371463</v>
      </c>
      <c r="F20">
        <v>42.740001999999997</v>
      </c>
      <c r="G20">
        <v>28.731344</v>
      </c>
    </row>
    <row r="21" spans="1:7">
      <c r="A21" s="9">
        <v>43495</v>
      </c>
      <c r="B21">
        <v>96996</v>
      </c>
      <c r="C21">
        <v>3.7185000000000001</v>
      </c>
      <c r="D21">
        <v>17.969999000000001</v>
      </c>
      <c r="E21">
        <v>15.872705</v>
      </c>
      <c r="F21">
        <v>46.599997999999999</v>
      </c>
      <c r="G21">
        <v>29.127094</v>
      </c>
    </row>
    <row r="22" spans="1:7">
      <c r="A22" s="9">
        <v>43496</v>
      </c>
      <c r="B22">
        <v>97394</v>
      </c>
      <c r="C22">
        <v>3.6814</v>
      </c>
      <c r="D22">
        <v>17.510000000000002</v>
      </c>
      <c r="E22">
        <v>15.38129</v>
      </c>
      <c r="F22">
        <v>45.5</v>
      </c>
      <c r="G22">
        <v>29.235924000000001</v>
      </c>
    </row>
    <row r="23" spans="1:7">
      <c r="A23" s="9">
        <v>43497</v>
      </c>
      <c r="B23">
        <v>97861</v>
      </c>
      <c r="C23">
        <v>3.6427999999999998</v>
      </c>
      <c r="D23">
        <v>18.110001</v>
      </c>
      <c r="E23">
        <v>15.528715</v>
      </c>
      <c r="F23">
        <v>46.25</v>
      </c>
      <c r="G23">
        <v>29.700928000000001</v>
      </c>
    </row>
    <row r="24" spans="1:7">
      <c r="A24" s="9">
        <v>43500</v>
      </c>
      <c r="B24">
        <v>98589</v>
      </c>
      <c r="C24">
        <v>3.6573000000000002</v>
      </c>
      <c r="D24">
        <v>18.450001</v>
      </c>
      <c r="E24">
        <v>15.715453</v>
      </c>
      <c r="F24">
        <v>44.68</v>
      </c>
      <c r="G24">
        <v>30.037317000000002</v>
      </c>
    </row>
    <row r="25" spans="1:7">
      <c r="A25" s="9">
        <v>43501</v>
      </c>
      <c r="B25">
        <v>98311</v>
      </c>
      <c r="C25">
        <v>3.6669999999999998</v>
      </c>
      <c r="D25">
        <v>18.639999</v>
      </c>
      <c r="E25">
        <v>15.646655000000001</v>
      </c>
      <c r="F25">
        <v>44.52</v>
      </c>
      <c r="G25">
        <v>30.225296</v>
      </c>
    </row>
    <row r="26" spans="1:7">
      <c r="A26" s="9">
        <v>43502</v>
      </c>
      <c r="B26">
        <v>94636</v>
      </c>
      <c r="C26">
        <v>3.6682999999999999</v>
      </c>
      <c r="D26">
        <v>18.09</v>
      </c>
      <c r="E26">
        <v>15.066784999999999</v>
      </c>
      <c r="F26">
        <v>42.459999000000003</v>
      </c>
      <c r="G26">
        <v>29.691036</v>
      </c>
    </row>
    <row r="27" spans="1:7">
      <c r="A27" s="9">
        <v>43503</v>
      </c>
      <c r="B27">
        <v>94406</v>
      </c>
      <c r="C27">
        <v>3.6947000000000001</v>
      </c>
      <c r="D27">
        <v>18.75</v>
      </c>
      <c r="E27">
        <v>14.968502000000001</v>
      </c>
      <c r="F27">
        <v>41.59</v>
      </c>
      <c r="G27">
        <v>29.166668000000001</v>
      </c>
    </row>
    <row r="28" spans="1:7">
      <c r="A28" s="9">
        <v>43504</v>
      </c>
      <c r="B28">
        <v>95343</v>
      </c>
      <c r="C28">
        <v>3.7149000000000001</v>
      </c>
      <c r="D28">
        <v>18.219999000000001</v>
      </c>
      <c r="E28">
        <v>15.086442999999999</v>
      </c>
      <c r="F28">
        <v>43.16</v>
      </c>
      <c r="G28">
        <v>28.9589</v>
      </c>
    </row>
    <row r="29" spans="1:7">
      <c r="A29" s="9">
        <v>43507</v>
      </c>
      <c r="B29">
        <v>94413</v>
      </c>
      <c r="C29">
        <v>3.7286000000000001</v>
      </c>
      <c r="D29">
        <v>18.709999</v>
      </c>
      <c r="E29">
        <v>15.184725</v>
      </c>
      <c r="F29">
        <v>42.02</v>
      </c>
      <c r="G29">
        <v>28.592832999999999</v>
      </c>
    </row>
    <row r="30" spans="1:7">
      <c r="A30" s="9">
        <v>43508</v>
      </c>
      <c r="B30">
        <v>96168</v>
      </c>
      <c r="C30">
        <v>3.7551999999999999</v>
      </c>
      <c r="D30">
        <v>18.670000000000002</v>
      </c>
      <c r="E30">
        <v>15.233866000000001</v>
      </c>
      <c r="F30">
        <v>44.299999</v>
      </c>
      <c r="G30">
        <v>29.621780000000001</v>
      </c>
    </row>
    <row r="31" spans="1:7">
      <c r="A31" s="9">
        <v>43509</v>
      </c>
      <c r="B31">
        <v>95842</v>
      </c>
      <c r="C31">
        <v>3.7080000000000002</v>
      </c>
      <c r="D31">
        <v>18.389999</v>
      </c>
      <c r="E31">
        <v>15.361634</v>
      </c>
      <c r="F31">
        <v>45.490001999999997</v>
      </c>
      <c r="G31">
        <v>30.324234000000001</v>
      </c>
    </row>
    <row r="32" spans="1:7">
      <c r="A32" s="9">
        <v>43510</v>
      </c>
      <c r="B32">
        <v>98015</v>
      </c>
      <c r="C32">
        <v>3.7532000000000001</v>
      </c>
      <c r="D32">
        <v>18.59</v>
      </c>
      <c r="E32">
        <v>15.459917000000001</v>
      </c>
      <c r="F32">
        <v>45.66</v>
      </c>
      <c r="G32">
        <v>30.957432000000001</v>
      </c>
    </row>
    <row r="33" spans="1:7">
      <c r="A33" s="9">
        <v>43511</v>
      </c>
      <c r="B33">
        <v>97526</v>
      </c>
      <c r="C33">
        <v>3.722</v>
      </c>
      <c r="D33">
        <v>18.489999999999998</v>
      </c>
      <c r="E33">
        <v>15.21421</v>
      </c>
      <c r="F33">
        <v>45.880001</v>
      </c>
      <c r="G33">
        <v>30.71998</v>
      </c>
    </row>
    <row r="34" spans="1:7">
      <c r="A34" s="9">
        <v>43514</v>
      </c>
      <c r="B34">
        <v>96510</v>
      </c>
      <c r="C34">
        <v>3.6467999999999998</v>
      </c>
      <c r="D34">
        <v>18.190000999999999</v>
      </c>
      <c r="E34">
        <v>15.283008000000001</v>
      </c>
      <c r="F34">
        <v>45.25</v>
      </c>
      <c r="G34">
        <v>30.363807999999999</v>
      </c>
    </row>
    <row r="35" spans="1:7">
      <c r="A35" s="9">
        <v>43515</v>
      </c>
      <c r="B35">
        <v>97659</v>
      </c>
      <c r="C35">
        <v>3.7317</v>
      </c>
      <c r="D35">
        <v>18.32</v>
      </c>
      <c r="E35">
        <v>15.273179000000001</v>
      </c>
      <c r="F35">
        <v>45.490001999999997</v>
      </c>
      <c r="G35">
        <v>30.92775</v>
      </c>
    </row>
    <row r="36" spans="1:7">
      <c r="A36" s="9">
        <v>43516</v>
      </c>
      <c r="B36">
        <v>96545</v>
      </c>
      <c r="C36">
        <v>3.722</v>
      </c>
      <c r="D36">
        <v>18.149999999999999</v>
      </c>
      <c r="E36">
        <v>15.528715</v>
      </c>
      <c r="F36">
        <v>45.799999</v>
      </c>
      <c r="G36">
        <v>30.92775</v>
      </c>
    </row>
    <row r="37" spans="1:7">
      <c r="A37" s="9">
        <v>43517</v>
      </c>
      <c r="B37">
        <v>96932</v>
      </c>
      <c r="C37">
        <v>3.7240000000000002</v>
      </c>
      <c r="D37">
        <v>18.32</v>
      </c>
      <c r="E37">
        <v>14.840733999999999</v>
      </c>
      <c r="F37">
        <v>45.380001</v>
      </c>
      <c r="G37">
        <v>31.095942999999998</v>
      </c>
    </row>
    <row r="38" spans="1:7">
      <c r="A38" s="9">
        <v>43518</v>
      </c>
      <c r="B38">
        <v>97886</v>
      </c>
      <c r="C38">
        <v>3.7665000000000002</v>
      </c>
      <c r="D38">
        <v>18.32</v>
      </c>
      <c r="E38">
        <v>14.919361</v>
      </c>
      <c r="F38">
        <v>46.990001999999997</v>
      </c>
      <c r="G38">
        <v>30.917853999999998</v>
      </c>
    </row>
    <row r="39" spans="1:7">
      <c r="A39" s="9">
        <v>43521</v>
      </c>
      <c r="B39">
        <v>97240</v>
      </c>
      <c r="C39">
        <v>3.7463000000000002</v>
      </c>
      <c r="D39">
        <v>18.389999</v>
      </c>
      <c r="E39">
        <v>15.007816</v>
      </c>
      <c r="F39">
        <v>47.119999</v>
      </c>
      <c r="G39">
        <v>30.175827000000002</v>
      </c>
    </row>
    <row r="40" spans="1:7">
      <c r="A40" s="9">
        <v>43522</v>
      </c>
      <c r="B40">
        <v>97603</v>
      </c>
      <c r="C40">
        <v>3.7504</v>
      </c>
      <c r="D40">
        <v>18.489999999999998</v>
      </c>
      <c r="E40">
        <v>15.21421</v>
      </c>
      <c r="F40">
        <v>47.200001</v>
      </c>
      <c r="G40">
        <v>30.18572</v>
      </c>
    </row>
    <row r="41" spans="1:7">
      <c r="A41" s="9">
        <v>43523</v>
      </c>
      <c r="B41">
        <v>97307</v>
      </c>
      <c r="C41">
        <v>3.7471000000000001</v>
      </c>
      <c r="D41">
        <v>18.360001</v>
      </c>
      <c r="E41">
        <v>15.165069000000001</v>
      </c>
      <c r="F41">
        <v>46.830002</v>
      </c>
      <c r="G41">
        <v>30.344021000000001</v>
      </c>
    </row>
    <row r="42" spans="1:7">
      <c r="A42" s="9">
        <v>43524</v>
      </c>
      <c r="B42">
        <v>95584</v>
      </c>
      <c r="C42">
        <v>3.7273000000000001</v>
      </c>
      <c r="D42">
        <v>17.23</v>
      </c>
      <c r="E42">
        <v>14.880048</v>
      </c>
      <c r="F42">
        <v>47.099997999999999</v>
      </c>
      <c r="G42">
        <v>29.542631</v>
      </c>
    </row>
    <row r="43" spans="1:7">
      <c r="A43" s="9">
        <v>43525</v>
      </c>
      <c r="B43">
        <v>94604</v>
      </c>
      <c r="C43">
        <v>3.7475000000000001</v>
      </c>
      <c r="D43">
        <v>16.760000000000002</v>
      </c>
      <c r="E43">
        <v>14.771934999999999</v>
      </c>
      <c r="F43">
        <v>46.740001999999997</v>
      </c>
      <c r="G43">
        <v>28.889645000000002</v>
      </c>
    </row>
    <row r="44" spans="1:7">
      <c r="A44" s="9">
        <v>43530</v>
      </c>
      <c r="B44">
        <v>94217</v>
      </c>
      <c r="C44">
        <v>3.7744</v>
      </c>
      <c r="D44">
        <v>16.370000999999998</v>
      </c>
      <c r="E44">
        <v>14.771934999999999</v>
      </c>
      <c r="F44">
        <v>48.049999</v>
      </c>
      <c r="G44">
        <v>29.166668000000001</v>
      </c>
    </row>
    <row r="45" spans="1:7">
      <c r="A45" s="9">
        <v>43531</v>
      </c>
      <c r="B45">
        <v>94340</v>
      </c>
      <c r="C45">
        <v>3.8368000000000002</v>
      </c>
      <c r="D45">
        <v>16.690000999999999</v>
      </c>
      <c r="E45">
        <v>14.574054</v>
      </c>
      <c r="F45">
        <v>48.860000999999997</v>
      </c>
      <c r="G45">
        <v>28.909431000000001</v>
      </c>
    </row>
    <row r="46" spans="1:7">
      <c r="A46" s="9">
        <v>43532</v>
      </c>
      <c r="B46">
        <v>95365</v>
      </c>
      <c r="C46">
        <v>3.8693</v>
      </c>
      <c r="D46">
        <v>16.59</v>
      </c>
      <c r="E46">
        <v>14.554264999999999</v>
      </c>
      <c r="F46">
        <v>48.849997999999999</v>
      </c>
      <c r="G46">
        <v>28.691769000000001</v>
      </c>
    </row>
    <row r="47" spans="1:7">
      <c r="A47" s="9">
        <v>43535</v>
      </c>
      <c r="B47">
        <v>98027</v>
      </c>
      <c r="C47">
        <v>3.8134000000000001</v>
      </c>
      <c r="D47">
        <v>17.110001</v>
      </c>
      <c r="E47">
        <v>14.742254000000001</v>
      </c>
      <c r="F47">
        <v>49.880001</v>
      </c>
      <c r="G47">
        <v>30.314339</v>
      </c>
    </row>
    <row r="48" spans="1:7">
      <c r="A48" s="9">
        <v>43536</v>
      </c>
      <c r="B48">
        <v>97828</v>
      </c>
      <c r="C48">
        <v>3.8372999999999999</v>
      </c>
      <c r="D48">
        <v>17</v>
      </c>
      <c r="E48">
        <v>14.514689000000001</v>
      </c>
      <c r="F48">
        <v>49.970001000000003</v>
      </c>
      <c r="G48">
        <v>29.809759</v>
      </c>
    </row>
    <row r="49" spans="1:7">
      <c r="A49" s="9">
        <v>43537</v>
      </c>
      <c r="B49">
        <v>98904</v>
      </c>
      <c r="C49">
        <v>3.8115999999999999</v>
      </c>
      <c r="D49">
        <v>16.899999999999999</v>
      </c>
      <c r="E49">
        <v>14.821406</v>
      </c>
      <c r="F49">
        <v>50.700001</v>
      </c>
      <c r="G49">
        <v>30.611151</v>
      </c>
    </row>
    <row r="50" spans="1:7">
      <c r="A50" s="9">
        <v>43538</v>
      </c>
      <c r="B50">
        <v>98605</v>
      </c>
      <c r="C50">
        <v>3.8132999999999999</v>
      </c>
      <c r="D50">
        <v>16.66</v>
      </c>
      <c r="E50">
        <v>14.603736</v>
      </c>
      <c r="F50">
        <v>50.709999000000003</v>
      </c>
      <c r="G50">
        <v>30.957432000000001</v>
      </c>
    </row>
    <row r="51" spans="1:7">
      <c r="A51" s="9">
        <v>43539</v>
      </c>
      <c r="B51">
        <v>99137</v>
      </c>
      <c r="C51">
        <v>3.8405</v>
      </c>
      <c r="D51">
        <v>16.760000000000002</v>
      </c>
      <c r="E51">
        <v>14.95003</v>
      </c>
      <c r="F51">
        <v>50.549999</v>
      </c>
      <c r="G51">
        <v>31.283923999999999</v>
      </c>
    </row>
    <row r="52" spans="1:7">
      <c r="A52" s="9">
        <v>43542</v>
      </c>
      <c r="B52">
        <v>99994</v>
      </c>
      <c r="C52">
        <v>3.8130000000000002</v>
      </c>
      <c r="D52">
        <v>17.309999000000001</v>
      </c>
      <c r="E52">
        <v>15.355691</v>
      </c>
      <c r="F52">
        <v>50.459999000000003</v>
      </c>
      <c r="G52">
        <v>31.917117999999999</v>
      </c>
    </row>
    <row r="53" spans="1:7">
      <c r="A53" s="9">
        <v>43543</v>
      </c>
      <c r="B53">
        <v>99588</v>
      </c>
      <c r="C53">
        <v>3.79</v>
      </c>
      <c r="D53">
        <v>17.190000999999999</v>
      </c>
      <c r="E53">
        <v>15.682197</v>
      </c>
      <c r="F53">
        <v>51.900002000000001</v>
      </c>
      <c r="G53">
        <v>32.421700000000001</v>
      </c>
    </row>
    <row r="54" spans="1:7">
      <c r="A54" s="9">
        <v>43544</v>
      </c>
      <c r="B54">
        <v>98041</v>
      </c>
      <c r="C54">
        <v>3.7877000000000001</v>
      </c>
      <c r="D54">
        <v>17</v>
      </c>
      <c r="E54">
        <v>15.454632</v>
      </c>
      <c r="F54">
        <v>50.560001</v>
      </c>
      <c r="G54">
        <v>32.619576000000002</v>
      </c>
    </row>
    <row r="55" spans="1:7">
      <c r="A55" s="9">
        <v>43545</v>
      </c>
      <c r="B55">
        <v>96729</v>
      </c>
      <c r="C55">
        <v>3.7742</v>
      </c>
      <c r="D55">
        <v>16.98</v>
      </c>
      <c r="E55">
        <v>15.494206999999999</v>
      </c>
      <c r="F55">
        <v>50.889999000000003</v>
      </c>
      <c r="G55">
        <v>31.966591000000001</v>
      </c>
    </row>
    <row r="56" spans="1:7">
      <c r="A56" s="9">
        <v>43546</v>
      </c>
      <c r="B56">
        <v>93735</v>
      </c>
      <c r="C56">
        <v>3.7909999999999999</v>
      </c>
      <c r="D56">
        <v>16.719999000000001</v>
      </c>
      <c r="E56">
        <v>14.781829999999999</v>
      </c>
      <c r="F56">
        <v>50.049999</v>
      </c>
      <c r="G56">
        <v>30.442957</v>
      </c>
    </row>
    <row r="57" spans="1:7">
      <c r="A57" s="9">
        <v>43549</v>
      </c>
      <c r="B57">
        <v>93662</v>
      </c>
      <c r="C57">
        <v>3.9060000000000001</v>
      </c>
      <c r="D57">
        <v>16.52</v>
      </c>
      <c r="E57">
        <v>14.712571000000001</v>
      </c>
      <c r="F57">
        <v>49.549999</v>
      </c>
      <c r="G57">
        <v>30.324234000000001</v>
      </c>
    </row>
    <row r="58" spans="1:7">
      <c r="A58" s="9">
        <v>43550</v>
      </c>
      <c r="B58">
        <v>95307</v>
      </c>
      <c r="C58">
        <v>3.8536000000000001</v>
      </c>
      <c r="D58">
        <v>16.989999999999998</v>
      </c>
      <c r="E58">
        <v>15.078652999999999</v>
      </c>
      <c r="F58">
        <v>50.279998999999997</v>
      </c>
      <c r="G58">
        <v>31.590627999999999</v>
      </c>
    </row>
    <row r="59" spans="1:7">
      <c r="A59" s="9">
        <v>43551</v>
      </c>
      <c r="B59">
        <v>91903</v>
      </c>
      <c r="C59">
        <v>3.875</v>
      </c>
      <c r="D59">
        <v>16.540001</v>
      </c>
      <c r="E59">
        <v>14.494901</v>
      </c>
      <c r="F59">
        <v>49.599997999999999</v>
      </c>
      <c r="G59">
        <v>30.126359999999998</v>
      </c>
    </row>
    <row r="60" spans="1:7">
      <c r="A60" s="9">
        <v>43552</v>
      </c>
      <c r="B60">
        <v>94389</v>
      </c>
      <c r="C60">
        <v>3.9882</v>
      </c>
      <c r="D60">
        <v>16.75</v>
      </c>
      <c r="E60">
        <v>14.722466000000001</v>
      </c>
      <c r="F60">
        <v>49.299999</v>
      </c>
      <c r="G60">
        <v>30.630935999999998</v>
      </c>
    </row>
    <row r="61" spans="1:7">
      <c r="A61" s="9">
        <v>43553</v>
      </c>
      <c r="B61">
        <v>95415</v>
      </c>
      <c r="C61">
        <v>3.8976999999999999</v>
      </c>
      <c r="D61">
        <v>16.829999999999998</v>
      </c>
      <c r="E61">
        <v>14.979713</v>
      </c>
      <c r="F61">
        <v>50.93</v>
      </c>
      <c r="G61">
        <v>30.818918</v>
      </c>
    </row>
    <row r="62" spans="1:7">
      <c r="A62" s="9">
        <v>43556</v>
      </c>
      <c r="B62">
        <v>96054</v>
      </c>
      <c r="C62">
        <v>3.9224999999999999</v>
      </c>
      <c r="D62">
        <v>16.82</v>
      </c>
      <c r="E62">
        <v>15.909761</v>
      </c>
      <c r="F62">
        <v>52.599997999999999</v>
      </c>
      <c r="G62">
        <v>30.541895</v>
      </c>
    </row>
    <row r="63" spans="1:7">
      <c r="A63" s="9">
        <v>43557</v>
      </c>
      <c r="B63">
        <v>95387</v>
      </c>
      <c r="C63">
        <v>3.8485</v>
      </c>
      <c r="D63">
        <v>16.77</v>
      </c>
      <c r="E63">
        <v>15.909761</v>
      </c>
      <c r="F63">
        <v>51.630001</v>
      </c>
      <c r="G63">
        <v>30.670511000000001</v>
      </c>
    </row>
    <row r="64" spans="1:7">
      <c r="A64" s="9">
        <v>43558</v>
      </c>
      <c r="B64">
        <v>94491</v>
      </c>
      <c r="C64">
        <v>3.8523000000000001</v>
      </c>
      <c r="D64">
        <v>16.84</v>
      </c>
      <c r="E64">
        <v>15.830608</v>
      </c>
      <c r="F64">
        <v>51.779998999999997</v>
      </c>
      <c r="G64">
        <v>30.027422000000001</v>
      </c>
    </row>
    <row r="65" spans="1:7">
      <c r="A65" s="9">
        <v>43559</v>
      </c>
      <c r="B65">
        <v>96313</v>
      </c>
      <c r="C65">
        <v>3.8683000000000001</v>
      </c>
      <c r="D65">
        <v>17.32</v>
      </c>
      <c r="E65">
        <v>16.028492</v>
      </c>
      <c r="F65">
        <v>52.16</v>
      </c>
      <c r="G65">
        <v>31.016791999999999</v>
      </c>
    </row>
    <row r="66" spans="1:7">
      <c r="A66" s="9">
        <v>43560</v>
      </c>
      <c r="B66">
        <v>97108</v>
      </c>
      <c r="C66">
        <v>3.8559000000000001</v>
      </c>
      <c r="D66">
        <v>17.440000999999999</v>
      </c>
      <c r="E66">
        <v>15.603044000000001</v>
      </c>
      <c r="F66">
        <v>51.98</v>
      </c>
      <c r="G66">
        <v>31.709351999999999</v>
      </c>
    </row>
    <row r="67" spans="1:7">
      <c r="A67" s="9">
        <v>43563</v>
      </c>
      <c r="B67">
        <v>97369</v>
      </c>
      <c r="C67">
        <v>3.8740000000000001</v>
      </c>
      <c r="D67">
        <v>17.350000000000001</v>
      </c>
      <c r="E67">
        <v>15.682197</v>
      </c>
      <c r="F67">
        <v>53.389999000000003</v>
      </c>
      <c r="G67">
        <v>32.392017000000003</v>
      </c>
    </row>
    <row r="68" spans="1:7">
      <c r="A68" s="9">
        <v>43564</v>
      </c>
      <c r="B68">
        <v>96292</v>
      </c>
      <c r="C68">
        <v>3.8481999999999998</v>
      </c>
      <c r="D68">
        <v>17.690000999999999</v>
      </c>
      <c r="E68">
        <v>15.434843000000001</v>
      </c>
      <c r="F68">
        <v>52.349997999999999</v>
      </c>
      <c r="G68">
        <v>32.105099000000003</v>
      </c>
    </row>
    <row r="69" spans="1:7">
      <c r="A69" s="9">
        <v>43565</v>
      </c>
      <c r="B69">
        <v>95953</v>
      </c>
      <c r="C69">
        <v>3.8479999999999999</v>
      </c>
      <c r="D69">
        <v>17.549999</v>
      </c>
      <c r="E69">
        <v>15.365584</v>
      </c>
      <c r="F69">
        <v>51.759998000000003</v>
      </c>
      <c r="G69">
        <v>31.927012999999999</v>
      </c>
    </row>
    <row r="70" spans="1:7">
      <c r="A70" s="9">
        <v>43566</v>
      </c>
      <c r="B70">
        <v>94755</v>
      </c>
      <c r="C70">
        <v>3.8239999999999998</v>
      </c>
      <c r="D70">
        <v>17.25</v>
      </c>
      <c r="E70">
        <v>15.029183</v>
      </c>
      <c r="F70">
        <v>51.790000999999997</v>
      </c>
      <c r="G70">
        <v>31.511478</v>
      </c>
    </row>
    <row r="71" spans="1:7">
      <c r="A71" s="9">
        <v>43567</v>
      </c>
      <c r="B71">
        <v>92875</v>
      </c>
      <c r="C71">
        <v>3.8557999999999999</v>
      </c>
      <c r="D71">
        <v>17.059999000000001</v>
      </c>
      <c r="E71">
        <v>14.851089</v>
      </c>
      <c r="F71">
        <v>51.48</v>
      </c>
      <c r="G71">
        <v>28.820388999999999</v>
      </c>
    </row>
    <row r="72" spans="1:7">
      <c r="A72" s="9">
        <v>43570</v>
      </c>
      <c r="B72">
        <v>93083</v>
      </c>
      <c r="C72">
        <v>3.8803000000000001</v>
      </c>
      <c r="D72">
        <v>17.420000000000002</v>
      </c>
      <c r="E72">
        <v>14.623524</v>
      </c>
      <c r="F72">
        <v>51.330002</v>
      </c>
      <c r="G72">
        <v>28.800602000000001</v>
      </c>
    </row>
    <row r="73" spans="1:7">
      <c r="A73" s="9">
        <v>43571</v>
      </c>
      <c r="B73">
        <v>94333</v>
      </c>
      <c r="C73">
        <v>3.8704000000000001</v>
      </c>
      <c r="D73">
        <v>17.530000999999999</v>
      </c>
      <c r="E73">
        <v>14.920348000000001</v>
      </c>
      <c r="F73">
        <v>53.099997999999999</v>
      </c>
      <c r="G73">
        <v>29.829547999999999</v>
      </c>
    </row>
    <row r="74" spans="1:7">
      <c r="A74" s="9">
        <v>43572</v>
      </c>
      <c r="B74">
        <v>93285</v>
      </c>
      <c r="C74">
        <v>3.9037999999999999</v>
      </c>
      <c r="D74">
        <v>17.049999</v>
      </c>
      <c r="E74">
        <v>14.821406</v>
      </c>
      <c r="F74">
        <v>52.25</v>
      </c>
      <c r="G74">
        <v>29.859228000000002</v>
      </c>
    </row>
    <row r="75" spans="1:7">
      <c r="A75" s="9">
        <v>43573</v>
      </c>
      <c r="B75">
        <v>94578</v>
      </c>
      <c r="C75">
        <v>3.9367000000000001</v>
      </c>
      <c r="D75">
        <v>17.079999999999998</v>
      </c>
      <c r="E75">
        <v>14.771936</v>
      </c>
      <c r="F75">
        <v>52.580002</v>
      </c>
      <c r="G75">
        <v>30.433064000000002</v>
      </c>
    </row>
    <row r="76" spans="1:7">
      <c r="A76" s="9">
        <v>43577</v>
      </c>
      <c r="B76">
        <v>94588</v>
      </c>
      <c r="C76">
        <v>3.9344999999999999</v>
      </c>
      <c r="D76">
        <v>17.5</v>
      </c>
      <c r="E76">
        <v>14.791724</v>
      </c>
      <c r="F76">
        <v>51.299999</v>
      </c>
      <c r="G76">
        <v>30.541895</v>
      </c>
    </row>
    <row r="77" spans="1:7">
      <c r="A77" s="9">
        <v>43578</v>
      </c>
      <c r="B77">
        <v>95923</v>
      </c>
      <c r="C77">
        <v>3.9340999999999999</v>
      </c>
      <c r="D77">
        <v>17.670000000000002</v>
      </c>
      <c r="E77">
        <v>14.574054</v>
      </c>
      <c r="F77">
        <v>51.919998</v>
      </c>
      <c r="G77">
        <v>30.789238000000001</v>
      </c>
    </row>
    <row r="78" spans="1:7">
      <c r="A78" s="9">
        <v>43579</v>
      </c>
      <c r="B78">
        <v>95045</v>
      </c>
      <c r="C78">
        <v>3.9182999999999999</v>
      </c>
      <c r="D78">
        <v>17.719999000000001</v>
      </c>
      <c r="E78">
        <v>14.44543</v>
      </c>
      <c r="F78">
        <v>50.360000999999997</v>
      </c>
      <c r="G78">
        <v>30.254975999999999</v>
      </c>
    </row>
    <row r="79" spans="1:7">
      <c r="A79" s="9">
        <v>43580</v>
      </c>
      <c r="B79">
        <v>96552</v>
      </c>
      <c r="C79">
        <v>3.9895999999999998</v>
      </c>
      <c r="D79">
        <v>18.309999000000001</v>
      </c>
      <c r="E79">
        <v>14.425642</v>
      </c>
      <c r="F79">
        <v>50.330002</v>
      </c>
      <c r="G79">
        <v>30.334126000000001</v>
      </c>
    </row>
    <row r="80" spans="1:7">
      <c r="A80" s="9">
        <v>43581</v>
      </c>
      <c r="B80">
        <v>96236</v>
      </c>
      <c r="C80">
        <v>3.9527000000000001</v>
      </c>
      <c r="D80">
        <v>18.290001</v>
      </c>
      <c r="E80">
        <v>14.217865</v>
      </c>
      <c r="F80">
        <v>50.419998</v>
      </c>
      <c r="G80">
        <v>30.066996</v>
      </c>
    </row>
    <row r="81" spans="1:7">
      <c r="A81" s="9">
        <v>43584</v>
      </c>
      <c r="B81">
        <v>96188</v>
      </c>
      <c r="C81">
        <v>3.9291999999999998</v>
      </c>
      <c r="D81">
        <v>18.350000000000001</v>
      </c>
      <c r="E81">
        <v>14.237653999999999</v>
      </c>
      <c r="F81">
        <v>50.25</v>
      </c>
      <c r="G81">
        <v>29.928484000000001</v>
      </c>
    </row>
    <row r="82" spans="1:7">
      <c r="A82" s="9">
        <v>43585</v>
      </c>
      <c r="B82">
        <v>96353</v>
      </c>
      <c r="C82">
        <v>3.9443000000000001</v>
      </c>
      <c r="D82">
        <v>18.469999000000001</v>
      </c>
      <c r="E82">
        <v>14.000194</v>
      </c>
      <c r="F82">
        <v>50.099997999999999</v>
      </c>
      <c r="G82">
        <v>29.641565</v>
      </c>
    </row>
    <row r="83" spans="1:7">
      <c r="A83" s="9">
        <v>43587</v>
      </c>
      <c r="B83">
        <v>95528</v>
      </c>
      <c r="C83">
        <v>3.9192999999999998</v>
      </c>
      <c r="D83">
        <v>17.950001</v>
      </c>
      <c r="E83">
        <v>13.851782</v>
      </c>
      <c r="F83">
        <v>48.939999</v>
      </c>
      <c r="G83">
        <v>29.196349999999999</v>
      </c>
    </row>
    <row r="84" spans="1:7">
      <c r="A84" s="9">
        <v>43588</v>
      </c>
      <c r="B84">
        <v>96008</v>
      </c>
      <c r="C84">
        <v>3.9662000000000002</v>
      </c>
      <c r="D84">
        <v>17.920000000000002</v>
      </c>
      <c r="E84">
        <v>14.079347</v>
      </c>
      <c r="F84">
        <v>50.400002000000001</v>
      </c>
      <c r="G84">
        <v>29.245816999999999</v>
      </c>
    </row>
    <row r="85" spans="1:7">
      <c r="A85" s="9">
        <v>43591</v>
      </c>
      <c r="B85">
        <v>95009</v>
      </c>
      <c r="C85">
        <v>3.9365999999999999</v>
      </c>
      <c r="D85">
        <v>18.059999000000001</v>
      </c>
      <c r="E85">
        <v>13.930935</v>
      </c>
      <c r="F85">
        <v>49.66</v>
      </c>
      <c r="G85">
        <v>29.226030000000002</v>
      </c>
    </row>
    <row r="86" spans="1:7">
      <c r="A86" s="9">
        <v>43592</v>
      </c>
      <c r="B86">
        <v>94389</v>
      </c>
      <c r="C86">
        <v>3.9681999999999999</v>
      </c>
      <c r="D86">
        <v>17.649999999999999</v>
      </c>
      <c r="E86">
        <v>14.069452999999999</v>
      </c>
      <c r="F86">
        <v>49.700001</v>
      </c>
      <c r="G86">
        <v>28.909431000000001</v>
      </c>
    </row>
    <row r="87" spans="1:7">
      <c r="A87" s="9">
        <v>43593</v>
      </c>
      <c r="B87">
        <v>95597</v>
      </c>
      <c r="C87">
        <v>3.9687000000000001</v>
      </c>
      <c r="D87">
        <v>17.920000000000002</v>
      </c>
      <c r="E87">
        <v>14.346489</v>
      </c>
      <c r="F87">
        <v>49</v>
      </c>
      <c r="G87">
        <v>29.898802</v>
      </c>
    </row>
    <row r="88" spans="1:7">
      <c r="A88" s="9">
        <v>43594</v>
      </c>
      <c r="B88">
        <v>94808</v>
      </c>
      <c r="C88">
        <v>3.9262999999999999</v>
      </c>
      <c r="D88">
        <v>17.489999999999998</v>
      </c>
      <c r="E88">
        <v>14.089240999999999</v>
      </c>
      <c r="F88">
        <v>48.540000999999997</v>
      </c>
      <c r="G88">
        <v>29.047944999999999</v>
      </c>
    </row>
    <row r="89" spans="1:7">
      <c r="A89" s="9">
        <v>43595</v>
      </c>
      <c r="B89">
        <v>94258</v>
      </c>
      <c r="C89">
        <v>3.9453999999999998</v>
      </c>
      <c r="D89">
        <v>17.299999</v>
      </c>
      <c r="E89">
        <v>14.000194</v>
      </c>
      <c r="F89">
        <v>49.459999000000003</v>
      </c>
      <c r="G89">
        <v>29.038049999999998</v>
      </c>
    </row>
    <row r="90" spans="1:7">
      <c r="A90" s="9">
        <v>43598</v>
      </c>
      <c r="B90">
        <v>91727</v>
      </c>
      <c r="C90">
        <v>3.9597000000000002</v>
      </c>
      <c r="D90">
        <v>17.010000000000002</v>
      </c>
      <c r="E90">
        <v>13.663793999999999</v>
      </c>
      <c r="F90">
        <v>47.43</v>
      </c>
      <c r="G90">
        <v>28.206977999999999</v>
      </c>
    </row>
    <row r="91" spans="1:7">
      <c r="A91" s="9">
        <v>43599</v>
      </c>
      <c r="B91">
        <v>92092</v>
      </c>
      <c r="C91">
        <v>3.9904999999999999</v>
      </c>
      <c r="D91">
        <v>16.940000999999999</v>
      </c>
      <c r="E91">
        <v>13.802312000000001</v>
      </c>
      <c r="F91">
        <v>47.59</v>
      </c>
      <c r="G91">
        <v>28.216871000000001</v>
      </c>
    </row>
    <row r="92" spans="1:7">
      <c r="A92" s="9">
        <v>43600</v>
      </c>
      <c r="B92">
        <v>91623</v>
      </c>
      <c r="C92">
        <v>3.9750999999999999</v>
      </c>
      <c r="D92">
        <v>16.610001</v>
      </c>
      <c r="E92">
        <v>13.772629</v>
      </c>
      <c r="F92">
        <v>47.950001</v>
      </c>
      <c r="G92">
        <v>28.018996999999999</v>
      </c>
    </row>
    <row r="93" spans="1:7">
      <c r="A93" s="9">
        <v>43601</v>
      </c>
      <c r="B93">
        <v>90024</v>
      </c>
      <c r="C93">
        <v>3.9998999999999998</v>
      </c>
      <c r="D93">
        <v>16.639999</v>
      </c>
      <c r="E93">
        <v>13.594533999999999</v>
      </c>
      <c r="F93">
        <v>46.400002000000001</v>
      </c>
      <c r="G93">
        <v>27.484736999999999</v>
      </c>
    </row>
    <row r="94" spans="1:7">
      <c r="A94" s="9">
        <v>43602</v>
      </c>
      <c r="B94">
        <v>89993</v>
      </c>
      <c r="C94">
        <v>4.0461999999999998</v>
      </c>
      <c r="D94">
        <v>16.489999999999998</v>
      </c>
      <c r="E94">
        <v>13.594533999999999</v>
      </c>
      <c r="F94">
        <v>47.720001000000003</v>
      </c>
      <c r="G94">
        <v>27.267074999999998</v>
      </c>
    </row>
    <row r="95" spans="1:7">
      <c r="A95" s="9">
        <v>43605</v>
      </c>
      <c r="B95">
        <v>91946</v>
      </c>
      <c r="C95">
        <v>4.0974000000000004</v>
      </c>
      <c r="D95">
        <v>16.489999999999998</v>
      </c>
      <c r="E95">
        <v>13.703927</v>
      </c>
      <c r="F95">
        <v>46.75</v>
      </c>
      <c r="G95">
        <v>27.771654000000002</v>
      </c>
    </row>
    <row r="96" spans="1:7">
      <c r="A96" s="9">
        <v>43606</v>
      </c>
      <c r="B96">
        <v>94485</v>
      </c>
      <c r="C96">
        <v>4.0949</v>
      </c>
      <c r="D96">
        <v>17.09</v>
      </c>
      <c r="E96">
        <v>14.211112</v>
      </c>
      <c r="F96">
        <v>47.41</v>
      </c>
      <c r="G96">
        <v>28.493894999999998</v>
      </c>
    </row>
    <row r="97" spans="1:7">
      <c r="A97" s="9">
        <v>43607</v>
      </c>
      <c r="B97">
        <v>94361</v>
      </c>
      <c r="C97">
        <v>4.0949</v>
      </c>
      <c r="D97">
        <v>17.209999</v>
      </c>
      <c r="E97">
        <v>14.211112</v>
      </c>
      <c r="F97">
        <v>47.459999000000003</v>
      </c>
      <c r="G97">
        <v>28.563393000000001</v>
      </c>
    </row>
    <row r="98" spans="1:7">
      <c r="A98" s="9">
        <v>43608</v>
      </c>
      <c r="B98">
        <v>93910</v>
      </c>
      <c r="C98">
        <v>4.0368000000000004</v>
      </c>
      <c r="D98">
        <v>17.209999</v>
      </c>
      <c r="E98">
        <v>13.872989</v>
      </c>
      <c r="F98">
        <v>47.82</v>
      </c>
      <c r="G98">
        <v>28.066984000000001</v>
      </c>
    </row>
    <row r="99" spans="1:7">
      <c r="A99" s="9">
        <v>43609</v>
      </c>
      <c r="B99">
        <v>93628</v>
      </c>
      <c r="C99">
        <v>4.0387000000000004</v>
      </c>
      <c r="D99">
        <v>17.059999000000001</v>
      </c>
      <c r="E99">
        <v>13.773541</v>
      </c>
      <c r="F99">
        <v>48.310001</v>
      </c>
      <c r="G99">
        <v>28.126553000000001</v>
      </c>
    </row>
    <row r="100" spans="1:7">
      <c r="A100" s="9">
        <v>43612</v>
      </c>
      <c r="B100">
        <v>94864</v>
      </c>
      <c r="C100">
        <v>4.0212000000000003</v>
      </c>
      <c r="D100">
        <v>17.219999000000001</v>
      </c>
      <c r="E100">
        <v>13.743706</v>
      </c>
      <c r="F100">
        <v>50.189999</v>
      </c>
      <c r="G100">
        <v>28.533607</v>
      </c>
    </row>
    <row r="101" spans="1:7">
      <c r="A101" s="9">
        <v>43613</v>
      </c>
      <c r="B101">
        <v>96393</v>
      </c>
      <c r="C101">
        <v>4.0420999999999996</v>
      </c>
      <c r="D101">
        <v>17.309999000000001</v>
      </c>
      <c r="E101">
        <v>14.06194</v>
      </c>
      <c r="F101">
        <v>50.25</v>
      </c>
      <c r="G101">
        <v>28.920807</v>
      </c>
    </row>
    <row r="102" spans="1:7">
      <c r="A102" s="9">
        <v>43614</v>
      </c>
      <c r="B102">
        <v>96567</v>
      </c>
      <c r="C102">
        <v>4.0236000000000001</v>
      </c>
      <c r="D102">
        <v>17.260000000000002</v>
      </c>
      <c r="E102">
        <v>13.972436999999999</v>
      </c>
      <c r="F102">
        <v>49.700001</v>
      </c>
      <c r="G102">
        <v>28.692458999999999</v>
      </c>
    </row>
    <row r="103" spans="1:7">
      <c r="A103" s="9">
        <v>43615</v>
      </c>
      <c r="B103">
        <v>97457</v>
      </c>
      <c r="C103">
        <v>3.9733999999999998</v>
      </c>
      <c r="D103">
        <v>17.43</v>
      </c>
      <c r="E103">
        <v>13.872989</v>
      </c>
      <c r="F103">
        <v>50.009998000000003</v>
      </c>
      <c r="G103">
        <v>28.642817999999998</v>
      </c>
    </row>
    <row r="104" spans="1:7">
      <c r="A104" s="9">
        <v>43616</v>
      </c>
      <c r="B104">
        <v>97030</v>
      </c>
      <c r="C104">
        <v>3.98</v>
      </c>
      <c r="D104">
        <v>17.549999</v>
      </c>
      <c r="E104">
        <v>13.793430000000001</v>
      </c>
      <c r="F104">
        <v>49</v>
      </c>
      <c r="G104">
        <v>28.027269</v>
      </c>
    </row>
    <row r="105" spans="1:7">
      <c r="A105" s="9">
        <v>43619</v>
      </c>
      <c r="B105">
        <v>97020</v>
      </c>
      <c r="C105">
        <v>3.9241999999999999</v>
      </c>
      <c r="D105">
        <v>17.420000000000002</v>
      </c>
      <c r="E105">
        <v>13.863044</v>
      </c>
      <c r="F105">
        <v>48.830002</v>
      </c>
      <c r="G105">
        <v>28.642817999999998</v>
      </c>
    </row>
    <row r="106" spans="1:7">
      <c r="A106" s="9">
        <v>43620</v>
      </c>
      <c r="B106">
        <v>97380</v>
      </c>
      <c r="C106">
        <v>3.8841000000000001</v>
      </c>
      <c r="D106">
        <v>17.350000000000001</v>
      </c>
      <c r="E106">
        <v>13.783485000000001</v>
      </c>
      <c r="F106">
        <v>49.110000999999997</v>
      </c>
      <c r="G106">
        <v>28.811598</v>
      </c>
    </row>
    <row r="107" spans="1:7">
      <c r="A107" s="9">
        <v>43621</v>
      </c>
      <c r="B107">
        <v>95999</v>
      </c>
      <c r="C107">
        <v>3.8536000000000001</v>
      </c>
      <c r="D107">
        <v>17.41</v>
      </c>
      <c r="E107">
        <v>13.634314</v>
      </c>
      <c r="F107">
        <v>48.389999000000003</v>
      </c>
      <c r="G107">
        <v>28.404543</v>
      </c>
    </row>
    <row r="108" spans="1:7">
      <c r="A108" s="9">
        <v>43622</v>
      </c>
      <c r="B108">
        <v>97205</v>
      </c>
      <c r="C108">
        <v>3.8794</v>
      </c>
      <c r="D108">
        <v>17.639999</v>
      </c>
      <c r="E108">
        <v>13.574643999999999</v>
      </c>
      <c r="F108">
        <v>48.799999</v>
      </c>
      <c r="G108">
        <v>28.851309000000001</v>
      </c>
    </row>
    <row r="109" spans="1:7">
      <c r="A109" s="9">
        <v>43623</v>
      </c>
      <c r="B109">
        <v>97821</v>
      </c>
      <c r="C109">
        <v>3.8784000000000001</v>
      </c>
      <c r="D109">
        <v>17.610001</v>
      </c>
      <c r="E109">
        <v>13.823264</v>
      </c>
      <c r="F109">
        <v>48.66</v>
      </c>
      <c r="G109">
        <v>29.635636999999999</v>
      </c>
    </row>
    <row r="110" spans="1:7">
      <c r="A110" s="9">
        <v>43626</v>
      </c>
      <c r="B110">
        <v>97467</v>
      </c>
      <c r="C110">
        <v>3.8765000000000001</v>
      </c>
      <c r="D110">
        <v>17.649999999999999</v>
      </c>
      <c r="E110">
        <v>14.071884000000001</v>
      </c>
      <c r="F110">
        <v>48.34</v>
      </c>
      <c r="G110">
        <v>29.139227000000002</v>
      </c>
    </row>
    <row r="111" spans="1:7">
      <c r="A111" s="9">
        <v>43627</v>
      </c>
      <c r="B111">
        <v>98960</v>
      </c>
      <c r="C111">
        <v>3.8845000000000001</v>
      </c>
      <c r="D111">
        <v>17.719999000000001</v>
      </c>
      <c r="E111">
        <v>14.489566</v>
      </c>
      <c r="F111">
        <v>51.43</v>
      </c>
      <c r="G111">
        <v>29.734919000000001</v>
      </c>
    </row>
    <row r="112" spans="1:7">
      <c r="A112" s="9">
        <v>43628</v>
      </c>
      <c r="B112">
        <v>98321</v>
      </c>
      <c r="C112">
        <v>3.8551000000000002</v>
      </c>
      <c r="D112">
        <v>17.68</v>
      </c>
      <c r="E112">
        <v>14.380174</v>
      </c>
      <c r="F112">
        <v>51.490001999999997</v>
      </c>
      <c r="G112">
        <v>29.298079000000001</v>
      </c>
    </row>
    <row r="113" spans="1:7">
      <c r="A113" s="9">
        <v>43629</v>
      </c>
      <c r="B113">
        <v>98774</v>
      </c>
      <c r="C113">
        <v>3.8658999999999999</v>
      </c>
      <c r="D113">
        <v>17.850000000000001</v>
      </c>
      <c r="E113">
        <v>14.569124</v>
      </c>
      <c r="F113">
        <v>51.849997999999999</v>
      </c>
      <c r="G113">
        <v>29.695205999999999</v>
      </c>
    </row>
    <row r="114" spans="1:7">
      <c r="A114" s="9">
        <v>43630</v>
      </c>
      <c r="B114">
        <v>98040</v>
      </c>
      <c r="C114">
        <v>3.8481999999999998</v>
      </c>
      <c r="D114">
        <v>17.639999</v>
      </c>
      <c r="E114">
        <v>14.270780999999999</v>
      </c>
      <c r="F114">
        <v>51.400002000000001</v>
      </c>
      <c r="G114">
        <v>29.973196000000002</v>
      </c>
    </row>
    <row r="115" spans="1:7">
      <c r="A115" s="9">
        <v>43633</v>
      </c>
      <c r="B115">
        <v>97623</v>
      </c>
      <c r="C115">
        <v>3.8944999999999999</v>
      </c>
      <c r="D115">
        <v>17.799999</v>
      </c>
      <c r="E115">
        <v>14.131554</v>
      </c>
      <c r="F115">
        <v>50.200001</v>
      </c>
      <c r="G115">
        <v>29.933481</v>
      </c>
    </row>
    <row r="116" spans="1:7">
      <c r="A116" s="9">
        <v>43634</v>
      </c>
      <c r="B116">
        <v>99404</v>
      </c>
      <c r="C116">
        <v>3.887</v>
      </c>
      <c r="D116">
        <v>18.049999</v>
      </c>
      <c r="E116">
        <v>14.658628</v>
      </c>
      <c r="F116">
        <v>52</v>
      </c>
      <c r="G116">
        <v>30.390179</v>
      </c>
    </row>
    <row r="117" spans="1:7">
      <c r="A117" s="9">
        <v>43635</v>
      </c>
      <c r="B117">
        <v>100303</v>
      </c>
      <c r="C117">
        <v>3.8595000000000002</v>
      </c>
      <c r="D117">
        <v>18.200001</v>
      </c>
      <c r="E117">
        <v>14.877413000000001</v>
      </c>
      <c r="F117">
        <v>52.299999</v>
      </c>
      <c r="G117">
        <v>30.618528000000001</v>
      </c>
    </row>
    <row r="118" spans="1:7">
      <c r="A118" s="9">
        <v>43637</v>
      </c>
      <c r="B118">
        <v>102013</v>
      </c>
      <c r="C118">
        <v>3.8376999999999999</v>
      </c>
      <c r="D118">
        <v>18.450001</v>
      </c>
      <c r="E118">
        <v>15.135978</v>
      </c>
      <c r="F118">
        <v>52.439999</v>
      </c>
      <c r="G118">
        <v>31.561706999999998</v>
      </c>
    </row>
    <row r="119" spans="1:7">
      <c r="A119" s="9">
        <v>43640</v>
      </c>
      <c r="B119">
        <v>102062</v>
      </c>
      <c r="C119">
        <v>3.8205</v>
      </c>
      <c r="D119">
        <v>18.299999</v>
      </c>
      <c r="E119">
        <v>15.046474</v>
      </c>
      <c r="F119">
        <v>52.400002000000001</v>
      </c>
      <c r="G119">
        <v>31.432638000000001</v>
      </c>
    </row>
    <row r="120" spans="1:7">
      <c r="A120" s="9">
        <v>43641</v>
      </c>
      <c r="B120">
        <v>100093</v>
      </c>
      <c r="C120">
        <v>3.8256000000000001</v>
      </c>
      <c r="D120">
        <v>18.170000000000002</v>
      </c>
      <c r="E120">
        <v>14.668571999999999</v>
      </c>
      <c r="F120">
        <v>51.380001</v>
      </c>
      <c r="G120">
        <v>30.479534000000001</v>
      </c>
    </row>
    <row r="121" spans="1:7">
      <c r="A121" s="9">
        <v>43642</v>
      </c>
      <c r="B121">
        <v>100689</v>
      </c>
      <c r="C121">
        <v>3.8454999999999999</v>
      </c>
      <c r="D121">
        <v>18.100000000000001</v>
      </c>
      <c r="E121">
        <v>15.006696</v>
      </c>
      <c r="F121">
        <v>51.580002</v>
      </c>
      <c r="G121">
        <v>30.330608000000002</v>
      </c>
    </row>
    <row r="122" spans="1:7">
      <c r="A122" s="9">
        <v>43643</v>
      </c>
      <c r="B122">
        <v>100724</v>
      </c>
      <c r="C122">
        <v>3.8429000000000002</v>
      </c>
      <c r="D122">
        <v>18.049999</v>
      </c>
      <c r="E122">
        <v>14.907247999999999</v>
      </c>
      <c r="F122">
        <v>51.700001</v>
      </c>
      <c r="G122">
        <v>29.675348</v>
      </c>
    </row>
    <row r="123" spans="1:7">
      <c r="A123" s="9">
        <v>43644</v>
      </c>
      <c r="B123">
        <v>100967</v>
      </c>
      <c r="C123">
        <v>3.8159999999999998</v>
      </c>
      <c r="D123">
        <v>17.889999</v>
      </c>
      <c r="E123">
        <v>15.116088</v>
      </c>
      <c r="F123">
        <v>51.82</v>
      </c>
      <c r="G123">
        <v>29.804417000000001</v>
      </c>
    </row>
    <row r="124" spans="1:7">
      <c r="A124" s="9">
        <v>43647</v>
      </c>
      <c r="B124">
        <v>101340</v>
      </c>
      <c r="C124">
        <v>3.8494999999999999</v>
      </c>
      <c r="D124">
        <v>17.809999000000001</v>
      </c>
      <c r="E124">
        <v>14.947025999999999</v>
      </c>
      <c r="F124">
        <v>53.650002000000001</v>
      </c>
      <c r="G124">
        <v>29.705133</v>
      </c>
    </row>
    <row r="125" spans="1:7">
      <c r="A125" s="9">
        <v>43648</v>
      </c>
      <c r="B125">
        <v>100605</v>
      </c>
      <c r="C125">
        <v>3.8395999999999999</v>
      </c>
      <c r="D125">
        <v>18.129999000000002</v>
      </c>
      <c r="E125">
        <v>14.55918</v>
      </c>
      <c r="F125">
        <v>51.389999000000003</v>
      </c>
      <c r="G125">
        <v>29.258365999999999</v>
      </c>
    </row>
    <row r="126" spans="1:7">
      <c r="A126" s="9">
        <v>43649</v>
      </c>
      <c r="B126">
        <v>102043</v>
      </c>
      <c r="C126">
        <v>3.8439000000000001</v>
      </c>
      <c r="D126">
        <v>18.84</v>
      </c>
      <c r="E126">
        <v>14.807798999999999</v>
      </c>
      <c r="F126">
        <v>51.290000999999997</v>
      </c>
      <c r="G126">
        <v>29.556211000000001</v>
      </c>
    </row>
    <row r="127" spans="1:7">
      <c r="A127" s="9">
        <v>43650</v>
      </c>
      <c r="B127">
        <v>103636</v>
      </c>
      <c r="C127">
        <v>3.8250000000000002</v>
      </c>
      <c r="D127">
        <v>19</v>
      </c>
      <c r="E127">
        <v>15.215536</v>
      </c>
      <c r="F127">
        <v>51.669998</v>
      </c>
      <c r="G127">
        <v>29.943411000000001</v>
      </c>
    </row>
    <row r="128" spans="1:7">
      <c r="A128" s="9">
        <v>43651</v>
      </c>
      <c r="B128">
        <v>104089</v>
      </c>
      <c r="C128">
        <v>3.8008000000000002</v>
      </c>
      <c r="D128">
        <v>19</v>
      </c>
      <c r="E128">
        <v>15.28515</v>
      </c>
      <c r="F128">
        <v>50.360000999999997</v>
      </c>
      <c r="G128">
        <v>29.814343999999998</v>
      </c>
    </row>
    <row r="129" spans="1:7">
      <c r="A129" s="9">
        <v>43654</v>
      </c>
      <c r="B129">
        <v>104530</v>
      </c>
      <c r="C129">
        <v>3.8191000000000002</v>
      </c>
      <c r="D129">
        <v>18.940000999999999</v>
      </c>
      <c r="E129">
        <v>15.265261000000001</v>
      </c>
      <c r="F129">
        <v>50.950001</v>
      </c>
      <c r="G129">
        <v>30.390179</v>
      </c>
    </row>
    <row r="130" spans="1:7">
      <c r="A130" s="9">
        <v>43656</v>
      </c>
      <c r="B130">
        <v>105817</v>
      </c>
      <c r="C130">
        <v>3.7989999999999999</v>
      </c>
      <c r="D130">
        <v>19.02</v>
      </c>
      <c r="E130">
        <v>15.225481</v>
      </c>
      <c r="F130">
        <v>52.130001</v>
      </c>
      <c r="G130">
        <v>30.499388</v>
      </c>
    </row>
    <row r="131" spans="1:7">
      <c r="A131" s="9">
        <v>43657</v>
      </c>
      <c r="B131">
        <v>105146</v>
      </c>
      <c r="C131">
        <v>3.7503000000000002</v>
      </c>
      <c r="D131">
        <v>18.690000999999999</v>
      </c>
      <c r="E131">
        <v>14.857523</v>
      </c>
      <c r="F131">
        <v>52.049999</v>
      </c>
      <c r="G131">
        <v>31.075223999999999</v>
      </c>
    </row>
    <row r="132" spans="1:7">
      <c r="A132" s="9">
        <v>43658</v>
      </c>
      <c r="B132">
        <v>103906</v>
      </c>
      <c r="C132">
        <v>3.7547999999999999</v>
      </c>
      <c r="D132">
        <v>18.200001</v>
      </c>
      <c r="E132">
        <v>14.638738999999999</v>
      </c>
      <c r="F132">
        <v>51.810001</v>
      </c>
      <c r="G132">
        <v>31.273788</v>
      </c>
    </row>
    <row r="133" spans="1:7">
      <c r="A133" s="9">
        <v>43661</v>
      </c>
      <c r="B133">
        <v>103803</v>
      </c>
      <c r="C133">
        <v>3.7343999999999999</v>
      </c>
      <c r="D133">
        <v>18.25</v>
      </c>
      <c r="E133">
        <v>14.847579</v>
      </c>
      <c r="F133">
        <v>52.689999</v>
      </c>
      <c r="G133">
        <v>30.747592999999998</v>
      </c>
    </row>
    <row r="134" spans="1:7">
      <c r="A134" s="9">
        <v>43662</v>
      </c>
      <c r="B134">
        <v>103775</v>
      </c>
      <c r="C134">
        <v>3.7536999999999998</v>
      </c>
      <c r="D134">
        <v>18.100000000000001</v>
      </c>
      <c r="E134">
        <v>14.708351</v>
      </c>
      <c r="F134">
        <v>53.049999</v>
      </c>
      <c r="G134">
        <v>30.380251000000001</v>
      </c>
    </row>
    <row r="135" spans="1:7">
      <c r="A135" s="9">
        <v>43663</v>
      </c>
      <c r="B135">
        <v>103856</v>
      </c>
      <c r="C135">
        <v>3.7671999999999999</v>
      </c>
      <c r="D135">
        <v>17.989999999999998</v>
      </c>
      <c r="E135">
        <v>14.529344999999999</v>
      </c>
      <c r="F135">
        <v>52.689999</v>
      </c>
      <c r="G135">
        <v>30.181685999999999</v>
      </c>
    </row>
    <row r="136" spans="1:7">
      <c r="A136" s="9">
        <v>43664</v>
      </c>
      <c r="B136">
        <v>104717</v>
      </c>
      <c r="C136">
        <v>3.7618</v>
      </c>
      <c r="D136">
        <v>18.25</v>
      </c>
      <c r="E136">
        <v>14.410007</v>
      </c>
      <c r="F136">
        <v>52.59</v>
      </c>
      <c r="G136">
        <v>29.854057000000001</v>
      </c>
    </row>
    <row r="137" spans="1:7">
      <c r="A137" s="9">
        <v>43665</v>
      </c>
      <c r="B137">
        <v>103452</v>
      </c>
      <c r="C137">
        <v>3.7174</v>
      </c>
      <c r="D137">
        <v>18.09</v>
      </c>
      <c r="E137">
        <v>14.260835999999999</v>
      </c>
      <c r="F137">
        <v>52.720001000000003</v>
      </c>
      <c r="G137">
        <v>29.844128000000001</v>
      </c>
    </row>
    <row r="138" spans="1:7">
      <c r="A138" s="9">
        <v>43668</v>
      </c>
      <c r="B138">
        <v>103949</v>
      </c>
      <c r="C138">
        <v>3.7458999999999998</v>
      </c>
      <c r="D138">
        <v>17.989999999999998</v>
      </c>
      <c r="E138">
        <v>13.932657000000001</v>
      </c>
      <c r="F138">
        <v>52.450001</v>
      </c>
      <c r="G138">
        <v>29.883842000000001</v>
      </c>
    </row>
    <row r="139" spans="1:7">
      <c r="A139" s="9">
        <v>43669</v>
      </c>
      <c r="B139">
        <v>103704</v>
      </c>
      <c r="C139">
        <v>3.7397999999999998</v>
      </c>
      <c r="D139">
        <v>18.030000999999999</v>
      </c>
      <c r="E139">
        <v>13.982381999999999</v>
      </c>
      <c r="F139">
        <v>51.759998000000003</v>
      </c>
      <c r="G139">
        <v>30.032764</v>
      </c>
    </row>
    <row r="140" spans="1:7">
      <c r="A140" s="9">
        <v>43670</v>
      </c>
      <c r="B140">
        <v>104120</v>
      </c>
      <c r="C140">
        <v>3.7724000000000002</v>
      </c>
      <c r="D140">
        <v>17.959999</v>
      </c>
      <c r="E140">
        <v>13.773541</v>
      </c>
      <c r="F140">
        <v>50.650002000000001</v>
      </c>
      <c r="G140">
        <v>29.784559000000002</v>
      </c>
    </row>
    <row r="141" spans="1:7">
      <c r="A141" s="9">
        <v>43671</v>
      </c>
      <c r="B141">
        <v>102655</v>
      </c>
      <c r="C141">
        <v>3.7713000000000001</v>
      </c>
      <c r="D141">
        <v>19.489999999999998</v>
      </c>
      <c r="E141">
        <v>13.644258000000001</v>
      </c>
      <c r="F141">
        <v>50.490001999999997</v>
      </c>
      <c r="G141">
        <v>29.248436000000002</v>
      </c>
    </row>
    <row r="142" spans="1:7">
      <c r="A142" s="9">
        <v>43672</v>
      </c>
      <c r="B142">
        <v>102819</v>
      </c>
      <c r="C142">
        <v>3.7751999999999999</v>
      </c>
      <c r="D142">
        <v>19.799999</v>
      </c>
      <c r="E142">
        <v>13.684037999999999</v>
      </c>
      <c r="F142">
        <v>50.23</v>
      </c>
      <c r="G142">
        <v>28.335045000000001</v>
      </c>
    </row>
    <row r="143" spans="1:7">
      <c r="A143" s="9">
        <v>43675</v>
      </c>
      <c r="B143">
        <v>103483</v>
      </c>
      <c r="C143">
        <v>3.7734999999999999</v>
      </c>
      <c r="D143">
        <v>20.5</v>
      </c>
      <c r="E143">
        <v>13.823264</v>
      </c>
      <c r="F143">
        <v>50.259998000000003</v>
      </c>
      <c r="G143">
        <v>28.682528999999999</v>
      </c>
    </row>
    <row r="144" spans="1:7">
      <c r="A144" s="9">
        <v>43676</v>
      </c>
      <c r="B144">
        <v>102933</v>
      </c>
      <c r="C144">
        <v>3.7801</v>
      </c>
      <c r="D144">
        <v>20.34</v>
      </c>
      <c r="E144">
        <v>14.012216</v>
      </c>
      <c r="F144">
        <v>50.009998000000003</v>
      </c>
      <c r="G144">
        <v>28.493895999999999</v>
      </c>
    </row>
    <row r="145" spans="1:7">
      <c r="A145" s="9">
        <v>43677</v>
      </c>
      <c r="B145">
        <v>101812</v>
      </c>
      <c r="C145">
        <v>3.7892999999999999</v>
      </c>
      <c r="D145">
        <v>20.129999000000002</v>
      </c>
      <c r="E145">
        <v>13.674092999999999</v>
      </c>
      <c r="F145">
        <v>49.810001</v>
      </c>
      <c r="G145">
        <v>28.58325</v>
      </c>
    </row>
    <row r="146" spans="1:7">
      <c r="A146" s="9">
        <v>43678</v>
      </c>
      <c r="B146">
        <v>102126</v>
      </c>
      <c r="C146">
        <v>3.8117000000000001</v>
      </c>
      <c r="D146">
        <v>20.420000000000002</v>
      </c>
      <c r="E146">
        <v>13.425473</v>
      </c>
      <c r="F146">
        <v>48.400002000000001</v>
      </c>
      <c r="G146">
        <v>28.146409999999999</v>
      </c>
    </row>
    <row r="147" spans="1:7">
      <c r="A147" s="9">
        <v>43679</v>
      </c>
      <c r="B147">
        <v>102674</v>
      </c>
      <c r="C147">
        <v>3.8372999999999999</v>
      </c>
      <c r="D147">
        <v>20.49</v>
      </c>
      <c r="E147">
        <v>13.495087</v>
      </c>
      <c r="F147">
        <v>47.84</v>
      </c>
      <c r="G147">
        <v>29.000233000000001</v>
      </c>
    </row>
    <row r="148" spans="1:7">
      <c r="A148" s="9">
        <v>43682</v>
      </c>
      <c r="B148">
        <v>100098</v>
      </c>
      <c r="C148">
        <v>3.8839000000000001</v>
      </c>
      <c r="D148">
        <v>20.16</v>
      </c>
      <c r="E148">
        <v>13.027680999999999</v>
      </c>
      <c r="F148">
        <v>46</v>
      </c>
      <c r="G148">
        <v>27.798922000000001</v>
      </c>
    </row>
    <row r="149" spans="1:7">
      <c r="A149" s="9">
        <v>43683</v>
      </c>
      <c r="B149">
        <v>102164</v>
      </c>
      <c r="C149">
        <v>3.9731000000000001</v>
      </c>
      <c r="D149">
        <v>20.48</v>
      </c>
      <c r="E149">
        <v>13.017735999999999</v>
      </c>
      <c r="F149">
        <v>46.619999</v>
      </c>
      <c r="G149">
        <v>28.265547000000002</v>
      </c>
    </row>
    <row r="150" spans="1:7">
      <c r="A150" s="9">
        <v>43684</v>
      </c>
      <c r="B150">
        <v>102782</v>
      </c>
      <c r="C150">
        <v>3.9586999999999999</v>
      </c>
      <c r="D150">
        <v>20.629999000000002</v>
      </c>
      <c r="E150">
        <v>12.898399</v>
      </c>
      <c r="F150">
        <v>46.48</v>
      </c>
      <c r="G150">
        <v>27.997485999999999</v>
      </c>
    </row>
    <row r="151" spans="1:7">
      <c r="A151" s="9">
        <v>43685</v>
      </c>
      <c r="B151">
        <v>104115</v>
      </c>
      <c r="C151">
        <v>3.9674</v>
      </c>
      <c r="D151">
        <v>20.170000000000002</v>
      </c>
      <c r="E151">
        <v>13.316079999999999</v>
      </c>
      <c r="F151">
        <v>47.18</v>
      </c>
      <c r="G151">
        <v>28.662676000000001</v>
      </c>
    </row>
    <row r="152" spans="1:7">
      <c r="A152" s="9">
        <v>43686</v>
      </c>
      <c r="B152">
        <v>103996</v>
      </c>
      <c r="C152">
        <v>3.9176000000000002</v>
      </c>
      <c r="D152">
        <v>20.07</v>
      </c>
      <c r="E152">
        <v>13.216632000000001</v>
      </c>
      <c r="F152">
        <v>45.490001999999997</v>
      </c>
      <c r="G152">
        <v>28.414470999999999</v>
      </c>
    </row>
    <row r="153" spans="1:7">
      <c r="A153" s="9">
        <v>43689</v>
      </c>
      <c r="B153">
        <v>101915</v>
      </c>
      <c r="C153">
        <v>3.9401999999999999</v>
      </c>
      <c r="D153">
        <v>19.48</v>
      </c>
      <c r="E153">
        <v>12.85862</v>
      </c>
      <c r="F153">
        <v>45.16</v>
      </c>
      <c r="G153">
        <v>27.65</v>
      </c>
    </row>
    <row r="154" spans="1:7">
      <c r="A154" s="9">
        <v>43690</v>
      </c>
      <c r="B154">
        <v>103299</v>
      </c>
      <c r="C154">
        <v>3.9839000000000002</v>
      </c>
      <c r="D154">
        <v>19.379999000000002</v>
      </c>
      <c r="E154">
        <v>13.196743</v>
      </c>
      <c r="F154">
        <v>46.5</v>
      </c>
      <c r="G154">
        <v>27.959999</v>
      </c>
    </row>
    <row r="155" spans="1:7">
      <c r="A155" s="9">
        <v>43691</v>
      </c>
      <c r="B155">
        <v>100258</v>
      </c>
      <c r="C155">
        <v>3.9624000000000001</v>
      </c>
      <c r="D155">
        <v>19.010000000000002</v>
      </c>
      <c r="E155">
        <v>12.639834</v>
      </c>
      <c r="F155">
        <v>44.880001</v>
      </c>
      <c r="G155">
        <v>27.1</v>
      </c>
    </row>
    <row r="156" spans="1:7">
      <c r="A156" s="9">
        <v>43692</v>
      </c>
      <c r="B156">
        <v>99057</v>
      </c>
      <c r="C156">
        <v>4.0503</v>
      </c>
      <c r="D156">
        <v>18.780000999999999</v>
      </c>
      <c r="E156">
        <v>12.212208</v>
      </c>
      <c r="F156">
        <v>43.889999000000003</v>
      </c>
      <c r="G156">
        <v>26.5</v>
      </c>
    </row>
    <row r="157" spans="1:7">
      <c r="A157" s="9">
        <v>43693</v>
      </c>
      <c r="B157">
        <v>99806</v>
      </c>
      <c r="C157">
        <v>3.9901</v>
      </c>
      <c r="D157">
        <v>18.899999999999999</v>
      </c>
      <c r="E157">
        <v>12.61</v>
      </c>
      <c r="F157">
        <v>43.689999</v>
      </c>
      <c r="G157">
        <v>26.379999000000002</v>
      </c>
    </row>
    <row r="158" spans="1:7">
      <c r="A158" s="9">
        <v>43696</v>
      </c>
      <c r="B158">
        <v>99469</v>
      </c>
      <c r="C158">
        <v>4.0045999999999999</v>
      </c>
      <c r="D158">
        <v>19.110001</v>
      </c>
      <c r="E158">
        <v>12.26</v>
      </c>
      <c r="F158">
        <v>43.650002000000001</v>
      </c>
      <c r="G158">
        <v>26.74</v>
      </c>
    </row>
    <row r="159" spans="1:7">
      <c r="A159" s="9">
        <v>43697</v>
      </c>
      <c r="B159">
        <v>99222</v>
      </c>
      <c r="C159">
        <v>4.0731999999999999</v>
      </c>
      <c r="D159">
        <v>18.940000999999999</v>
      </c>
      <c r="E159">
        <v>12.31</v>
      </c>
      <c r="F159">
        <v>43.84</v>
      </c>
      <c r="G159">
        <v>26.49</v>
      </c>
    </row>
    <row r="160" spans="1:7">
      <c r="A160" s="9">
        <v>43698</v>
      </c>
      <c r="B160">
        <v>101202</v>
      </c>
      <c r="C160">
        <v>4.0517000000000003</v>
      </c>
      <c r="D160">
        <v>18.799999</v>
      </c>
      <c r="E160">
        <v>12.55</v>
      </c>
      <c r="F160">
        <v>44.150002000000001</v>
      </c>
      <c r="G160">
        <v>27.9</v>
      </c>
    </row>
    <row r="161" spans="1:7">
      <c r="A161" s="9">
        <v>43699</v>
      </c>
      <c r="B161">
        <v>100011</v>
      </c>
      <c r="C161">
        <v>4.024</v>
      </c>
      <c r="D161">
        <v>18.469999000000001</v>
      </c>
      <c r="E161">
        <v>12.61</v>
      </c>
      <c r="F161">
        <v>43.889999000000003</v>
      </c>
      <c r="G161">
        <v>27.629999000000002</v>
      </c>
    </row>
    <row r="162" spans="1:7">
      <c r="A162" s="9">
        <v>43700</v>
      </c>
      <c r="B162">
        <v>97667</v>
      </c>
      <c r="C162">
        <v>4.0679999999999996</v>
      </c>
      <c r="D162">
        <v>18.329999999999998</v>
      </c>
      <c r="E162">
        <v>12.29</v>
      </c>
      <c r="F162">
        <v>43.279998999999997</v>
      </c>
      <c r="G162">
        <v>26.76</v>
      </c>
    </row>
    <row r="163" spans="1:7">
      <c r="A163" s="9">
        <v>43703</v>
      </c>
      <c r="B163">
        <v>96430</v>
      </c>
      <c r="C163">
        <v>4.1261999999999999</v>
      </c>
      <c r="D163">
        <v>18.09</v>
      </c>
      <c r="E163">
        <v>12.01</v>
      </c>
      <c r="F163">
        <v>42.799999</v>
      </c>
      <c r="G163">
        <v>26.41</v>
      </c>
    </row>
    <row r="164" spans="1:7">
      <c r="A164" s="9">
        <v>43704</v>
      </c>
      <c r="B164">
        <v>97276</v>
      </c>
      <c r="C164">
        <v>4.1515000000000004</v>
      </c>
      <c r="D164">
        <v>18.170000000000002</v>
      </c>
      <c r="E164">
        <v>11.77</v>
      </c>
      <c r="F164">
        <v>43.32</v>
      </c>
      <c r="G164">
        <v>26.91</v>
      </c>
    </row>
    <row r="165" spans="1:7">
      <c r="A165" s="9">
        <v>43705</v>
      </c>
      <c r="B165">
        <v>98194</v>
      </c>
      <c r="C165">
        <v>4.1227999999999998</v>
      </c>
      <c r="D165">
        <v>18.149999999999999</v>
      </c>
      <c r="E165">
        <v>11.91</v>
      </c>
      <c r="F165">
        <v>43.48</v>
      </c>
      <c r="G165">
        <v>27.1</v>
      </c>
    </row>
    <row r="166" spans="1:7">
      <c r="A166" s="9">
        <v>43706</v>
      </c>
      <c r="B166">
        <v>100524</v>
      </c>
      <c r="C166">
        <v>4.1677</v>
      </c>
      <c r="D166">
        <v>18.549999</v>
      </c>
      <c r="E166">
        <v>12.53</v>
      </c>
      <c r="F166">
        <v>45.099997999999999</v>
      </c>
      <c r="G166">
        <v>28.120000999999998</v>
      </c>
    </row>
    <row r="167" spans="1:7">
      <c r="A167" s="9">
        <v>43707</v>
      </c>
      <c r="B167">
        <v>101135</v>
      </c>
      <c r="C167">
        <v>4.1680999999999999</v>
      </c>
      <c r="D167">
        <v>18.719999000000001</v>
      </c>
      <c r="E167">
        <v>12.87</v>
      </c>
      <c r="F167">
        <v>45.57</v>
      </c>
      <c r="G167">
        <v>28.27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F7A2AA-65CC-4B7D-891B-000CF7EFF88F}">
  <sheetPr codeName="Sheet7">
    <tabColor theme="5"/>
  </sheetPr>
  <dimension ref="A1:G166"/>
  <sheetViews>
    <sheetView workbookViewId="0">
      <selection activeCell="C1" sqref="C1"/>
    </sheetView>
  </sheetViews>
  <sheetFormatPr defaultColWidth="9.109375" defaultRowHeight="14.4"/>
  <cols>
    <col min="1" max="1" width="9.5546875" style="9" bestFit="1" customWidth="1"/>
    <col min="2" max="2" width="9.109375" style="17"/>
    <col min="3" max="16384" width="9.109375" style="13"/>
  </cols>
  <sheetData>
    <row r="1" spans="1:7">
      <c r="A1" s="9" t="s">
        <v>75</v>
      </c>
      <c r="B1" s="17" t="s">
        <v>76</v>
      </c>
      <c r="C1" s="13" t="s">
        <v>92</v>
      </c>
      <c r="D1" s="13" t="s">
        <v>11</v>
      </c>
      <c r="E1" s="13" t="s">
        <v>37</v>
      </c>
      <c r="F1" s="13" t="s">
        <v>10</v>
      </c>
      <c r="G1" s="13" t="s">
        <v>55</v>
      </c>
    </row>
    <row r="2" spans="1:7">
      <c r="A2" s="9">
        <v>43468</v>
      </c>
      <c r="B2" s="17">
        <v>6.0651342680086984E-3</v>
      </c>
      <c r="C2" s="13">
        <v>-2.4124333101368522E-2</v>
      </c>
      <c r="D2" s="13">
        <v>1.1145510835913308E-2</v>
      </c>
      <c r="E2" s="13">
        <v>-6.5788804296079695E-3</v>
      </c>
      <c r="F2" s="13">
        <v>-4.090820121354477E-2</v>
      </c>
      <c r="G2" s="13">
        <v>2.0637927007074452E-2</v>
      </c>
    </row>
    <row r="3" spans="1:7">
      <c r="A3" s="9">
        <v>43469</v>
      </c>
      <c r="B3" s="17">
        <v>3.0252064130007472E-3</v>
      </c>
      <c r="C3" s="13">
        <v>-8.2402345297519775E-3</v>
      </c>
      <c r="D3" s="13">
        <v>1.3472075933864236E-2</v>
      </c>
      <c r="E3" s="13">
        <v>2.6490064440209071E-2</v>
      </c>
      <c r="F3" s="13">
        <v>6.5102020408163375E-2</v>
      </c>
      <c r="G3" s="13">
        <v>1.1397053878015706E-2</v>
      </c>
    </row>
    <row r="4" spans="1:7">
      <c r="A4" s="9">
        <v>43472</v>
      </c>
      <c r="B4" s="17">
        <v>-1.5461504121253578E-3</v>
      </c>
      <c r="C4" s="13">
        <v>-2.5005991851082543E-2</v>
      </c>
      <c r="D4" s="13">
        <v>-4.229547083356322E-3</v>
      </c>
      <c r="E4" s="13">
        <v>2.5806318632446423E-3</v>
      </c>
      <c r="F4" s="13">
        <v>-5.3649933965318475E-3</v>
      </c>
      <c r="G4" s="13">
        <v>3.2351888981275945E-2</v>
      </c>
    </row>
    <row r="5" spans="1:7">
      <c r="A5" s="9">
        <v>43473</v>
      </c>
      <c r="B5" s="17">
        <v>3.6314463625557458E-3</v>
      </c>
      <c r="C5" s="13">
        <v>1.9911504424778848E-2</v>
      </c>
      <c r="D5" s="13">
        <v>-2.0024271844660269E-2</v>
      </c>
      <c r="E5" s="13">
        <v>1.287027409290431E-3</v>
      </c>
      <c r="F5" s="13">
        <v>9.6320554806395009E-3</v>
      </c>
      <c r="G5" s="13">
        <v>-5.2817360062307195E-3</v>
      </c>
    </row>
    <row r="6" spans="1:7">
      <c r="A6" s="9">
        <v>43474</v>
      </c>
      <c r="B6" s="17">
        <v>1.7178807371349025E-2</v>
      </c>
      <c r="C6" s="13">
        <v>-5.8113066066789454E-3</v>
      </c>
      <c r="D6" s="13">
        <v>1.4241424148607074E-2</v>
      </c>
      <c r="E6" s="13">
        <v>2.827761966452802E-2</v>
      </c>
      <c r="F6" s="13">
        <v>2.4422800992177196E-2</v>
      </c>
      <c r="G6" s="13">
        <v>2.0177002713549275E-2</v>
      </c>
    </row>
    <row r="7" spans="1:7">
      <c r="A7" s="9">
        <v>43475</v>
      </c>
      <c r="B7" s="17">
        <v>2.0616794675953898E-3</v>
      </c>
      <c r="C7" s="13">
        <v>-8.7275078116582083E-3</v>
      </c>
      <c r="D7" s="13">
        <v>2.8693591495335236E-2</v>
      </c>
      <c r="E7" s="13">
        <v>-2.5624979292897865E-2</v>
      </c>
      <c r="F7" s="13">
        <v>-1.0989029819128859E-2</v>
      </c>
      <c r="G7" s="13">
        <v>-4.8577028790002252E-3</v>
      </c>
    </row>
    <row r="8" spans="1:7">
      <c r="A8" s="9">
        <v>43476</v>
      </c>
      <c r="B8" s="17">
        <v>-1.5777242393876234E-3</v>
      </c>
      <c r="C8" s="13">
        <v>7.5815217391304035E-3</v>
      </c>
      <c r="D8" s="13">
        <v>2.6112818991097742E-2</v>
      </c>
      <c r="E8" s="13">
        <v>-2.3733153743483171E-2</v>
      </c>
      <c r="F8" s="13">
        <v>-1.3559266047429963E-2</v>
      </c>
      <c r="G8" s="13">
        <v>-6.2761910306657898E-3</v>
      </c>
    </row>
    <row r="9" spans="1:7">
      <c r="A9" s="9">
        <v>43479</v>
      </c>
      <c r="B9" s="17">
        <v>8.7125499156506248E-3</v>
      </c>
      <c r="C9" s="13">
        <v>-1.3026241268642602E-2</v>
      </c>
      <c r="D9" s="13">
        <v>1.4459224149264038E-2</v>
      </c>
      <c r="E9" s="13">
        <v>-1.3141539149793546E-3</v>
      </c>
      <c r="F9" s="13">
        <v>4.2000190110724755E-3</v>
      </c>
      <c r="G9" s="13">
        <v>-3.5087316121057421E-3</v>
      </c>
    </row>
    <row r="10" spans="1:7">
      <c r="A10" s="9">
        <v>43480</v>
      </c>
      <c r="B10" s="17">
        <v>-4.4244977454114265E-3</v>
      </c>
      <c r="C10" s="13">
        <v>1.0356323095420228E-2</v>
      </c>
      <c r="D10" s="13">
        <v>9.1220063214363378E-3</v>
      </c>
      <c r="E10" s="13">
        <v>-1.9736842105263275E-2</v>
      </c>
      <c r="F10" s="13">
        <v>-4.7528518917434592E-3</v>
      </c>
      <c r="G10" s="13">
        <v>-3.1691056649000293E-3</v>
      </c>
    </row>
    <row r="11" spans="1:7">
      <c r="A11" s="9">
        <v>43481</v>
      </c>
      <c r="B11" s="17">
        <v>3.582971846559424E-3</v>
      </c>
      <c r="C11" s="13">
        <v>5.1115618661259354E-3</v>
      </c>
      <c r="D11" s="13">
        <v>5.6496042005873548E-3</v>
      </c>
      <c r="E11" s="13">
        <v>2.0135662205984506E-3</v>
      </c>
      <c r="F11" s="13">
        <v>5.7307356535143406E-3</v>
      </c>
      <c r="G11" s="13">
        <v>8.1244304083722962E-3</v>
      </c>
    </row>
    <row r="12" spans="1:7">
      <c r="A12" s="9">
        <v>43482</v>
      </c>
      <c r="B12" s="17">
        <v>1.0149057663174199E-2</v>
      </c>
      <c r="C12" s="13">
        <v>4.8164890754494039E-3</v>
      </c>
      <c r="D12" s="13">
        <v>2.8090451016318241E-3</v>
      </c>
      <c r="E12" s="13">
        <v>8.0375344818679473E-3</v>
      </c>
      <c r="F12" s="13">
        <v>3.0009457549498242E-2</v>
      </c>
      <c r="G12" s="13">
        <v>8.4092807010460735E-3</v>
      </c>
    </row>
    <row r="13" spans="1:7">
      <c r="A13" s="9">
        <v>43483</v>
      </c>
      <c r="B13" s="17">
        <v>7.8237249740433779E-3</v>
      </c>
      <c r="C13" s="13">
        <v>3.9097019521729948E-3</v>
      </c>
      <c r="D13" s="13">
        <v>8.4033613445377853E-3</v>
      </c>
      <c r="E13" s="13">
        <v>2.9235794330212173E-2</v>
      </c>
      <c r="F13" s="13">
        <v>9.7731513922183488E-3</v>
      </c>
      <c r="G13" s="13">
        <v>1.2856099804348542E-2</v>
      </c>
    </row>
    <row r="14" spans="1:7">
      <c r="A14" s="9">
        <v>43486</v>
      </c>
      <c r="B14" s="17">
        <v>-9.0533523419045192E-4</v>
      </c>
      <c r="C14" s="13">
        <v>3.4676838539304811E-4</v>
      </c>
      <c r="D14" s="13">
        <v>0</v>
      </c>
      <c r="E14" s="13">
        <v>6.4555803131871592E-4</v>
      </c>
      <c r="F14" s="13">
        <v>9.4960010772826564E-3</v>
      </c>
      <c r="G14" s="13">
        <v>4.8027099418532782E-3</v>
      </c>
    </row>
    <row r="15" spans="1:7">
      <c r="A15" s="9">
        <v>43487</v>
      </c>
      <c r="B15" s="17">
        <v>-9.4469326111863428E-3</v>
      </c>
      <c r="C15" s="13">
        <v>3.1998293424351232E-4</v>
      </c>
      <c r="D15" s="13">
        <v>-2.5555499999999953E-2</v>
      </c>
      <c r="E15" s="13">
        <v>-1.9354246650193918E-3</v>
      </c>
      <c r="F15" s="13">
        <v>-3.6178908035073842E-3</v>
      </c>
      <c r="G15" s="13">
        <v>-1.5022178195996272E-2</v>
      </c>
    </row>
    <row r="16" spans="1:7">
      <c r="A16" s="9">
        <v>43488</v>
      </c>
      <c r="B16" s="17">
        <v>1.5299201917920557E-2</v>
      </c>
      <c r="C16" s="13">
        <v>1.615396918483758E-2</v>
      </c>
      <c r="D16" s="13">
        <v>-2.0524571235771338E-2</v>
      </c>
      <c r="E16" s="13">
        <v>1.1635329867402566E-2</v>
      </c>
      <c r="F16" s="13">
        <v>1.0348583502230113E-2</v>
      </c>
      <c r="G16" s="13">
        <v>1.0398634162392284E-2</v>
      </c>
    </row>
    <row r="17" spans="1:7">
      <c r="A17" s="9">
        <v>43489</v>
      </c>
      <c r="B17" s="17">
        <v>1.1588889579320139E-2</v>
      </c>
      <c r="C17" s="13">
        <v>-1.3037775445960076E-2</v>
      </c>
      <c r="D17" s="13">
        <v>-1.1641443538998875E-3</v>
      </c>
      <c r="E17" s="13">
        <v>2.1725290921632778E-2</v>
      </c>
      <c r="F17" s="13">
        <v>8.9847256429569367E-3</v>
      </c>
      <c r="G17" s="13">
        <v>1.0634574490807402E-2</v>
      </c>
    </row>
    <row r="18" spans="1:7">
      <c r="A18" s="9">
        <v>43493</v>
      </c>
      <c r="B18" s="17">
        <v>-2.2861062481443928E-2</v>
      </c>
      <c r="C18" s="13">
        <v>1.9403024745501263E-3</v>
      </c>
      <c r="D18" s="13">
        <v>4.6037354312354228E-2</v>
      </c>
      <c r="E18" s="13">
        <v>-2.1888646798790989E-2</v>
      </c>
      <c r="F18" s="13">
        <v>-0.24559217290856028</v>
      </c>
      <c r="G18" s="13">
        <v>-3.5302030107580262E-2</v>
      </c>
    </row>
    <row r="19" spans="1:7">
      <c r="A19" s="9">
        <v>43494</v>
      </c>
      <c r="B19" s="17">
        <v>2.0430828548678726E-3</v>
      </c>
      <c r="C19" s="13">
        <v>-2.6528013582343135E-3</v>
      </c>
      <c r="D19" s="13">
        <v>-4.4568242642438749E-3</v>
      </c>
      <c r="E19" s="13">
        <v>0</v>
      </c>
      <c r="F19" s="13">
        <v>8.9707504964411378E-3</v>
      </c>
      <c r="G19" s="13">
        <v>2.1815577850933909E-2</v>
      </c>
    </row>
    <row r="20" spans="1:7">
      <c r="A20" s="9">
        <v>43495</v>
      </c>
      <c r="B20" s="17">
        <v>1.4188772362738966E-2</v>
      </c>
      <c r="C20" s="13">
        <v>-1.09320140440472E-2</v>
      </c>
      <c r="D20" s="13">
        <v>5.5958586683908518E-3</v>
      </c>
      <c r="E20" s="13">
        <v>3.2608607261390699E-2</v>
      </c>
      <c r="F20" s="13">
        <v>9.0313425815937043E-2</v>
      </c>
      <c r="G20" s="13">
        <v>1.3774155500696272E-2</v>
      </c>
    </row>
    <row r="21" spans="1:7">
      <c r="A21" s="9">
        <v>43496</v>
      </c>
      <c r="B21" s="17">
        <v>4.1032619901850698E-3</v>
      </c>
      <c r="C21" s="13">
        <v>-9.9771413204249315E-3</v>
      </c>
      <c r="D21" s="13">
        <v>-2.5598165030504494E-2</v>
      </c>
      <c r="E21" s="13">
        <v>-3.0959751346730124E-2</v>
      </c>
      <c r="F21" s="13">
        <v>-2.3605108309232126E-2</v>
      </c>
      <c r="G21" s="13">
        <v>3.7363837257504695E-3</v>
      </c>
    </row>
    <row r="22" spans="1:7">
      <c r="A22" s="9">
        <v>43497</v>
      </c>
      <c r="B22" s="17">
        <v>4.7949565681664197E-3</v>
      </c>
      <c r="C22" s="13">
        <v>-1.0485141522246999E-2</v>
      </c>
      <c r="D22" s="13">
        <v>3.4266190748143854E-2</v>
      </c>
      <c r="E22" s="13">
        <v>9.5846967321986387E-3</v>
      </c>
      <c r="F22" s="13">
        <v>1.6483516483516425E-2</v>
      </c>
      <c r="G22" s="13">
        <v>1.5905226734068689E-2</v>
      </c>
    </row>
    <row r="23" spans="1:7">
      <c r="A23" s="9">
        <v>43500</v>
      </c>
      <c r="B23" s="17">
        <v>7.4391228374939278E-3</v>
      </c>
      <c r="C23" s="13">
        <v>3.9804545953663339E-3</v>
      </c>
      <c r="D23" s="13">
        <v>1.8774156887125582E-2</v>
      </c>
      <c r="E23" s="13">
        <v>1.2025335000352522E-2</v>
      </c>
      <c r="F23" s="13">
        <v>-3.394594594594591E-2</v>
      </c>
      <c r="G23" s="13">
        <v>1.1325875070300917E-2</v>
      </c>
    </row>
    <row r="24" spans="1:7">
      <c r="A24" s="9">
        <v>43501</v>
      </c>
      <c r="B24" s="17">
        <v>-2.8197871973546507E-3</v>
      </c>
      <c r="C24" s="13">
        <v>2.6522297870013034E-3</v>
      </c>
      <c r="D24" s="13">
        <v>1.0297994021788881E-2</v>
      </c>
      <c r="E24" s="13">
        <v>-4.3777293597581091E-3</v>
      </c>
      <c r="F24" s="13">
        <v>-3.5810205908682891E-3</v>
      </c>
      <c r="G24" s="13">
        <v>6.2581821139351401E-3</v>
      </c>
    </row>
    <row r="25" spans="1:7">
      <c r="A25" s="9">
        <v>43502</v>
      </c>
      <c r="B25" s="17">
        <v>-3.7381371362309457E-2</v>
      </c>
      <c r="C25" s="13">
        <v>3.5451322607027436E-4</v>
      </c>
      <c r="D25" s="13">
        <v>-2.9506385703132243E-2</v>
      </c>
      <c r="E25" s="13">
        <v>-3.7060317364957629E-2</v>
      </c>
      <c r="F25" s="13">
        <v>-4.627136118598385E-2</v>
      </c>
      <c r="G25" s="13">
        <v>-1.76759228429062E-2</v>
      </c>
    </row>
    <row r="26" spans="1:7">
      <c r="A26" s="9">
        <v>43503</v>
      </c>
      <c r="B26" s="17">
        <v>-2.4303647660509631E-3</v>
      </c>
      <c r="C26" s="13">
        <v>7.1967941553308101E-3</v>
      </c>
      <c r="D26" s="13">
        <v>3.6484245439469376E-2</v>
      </c>
      <c r="E26" s="13">
        <v>-6.5231567318441153E-3</v>
      </c>
      <c r="F26" s="13">
        <v>-2.0489849752469369E-2</v>
      </c>
      <c r="G26" s="13">
        <v>-1.7660818571638925E-2</v>
      </c>
    </row>
    <row r="27" spans="1:7">
      <c r="A27" s="9">
        <v>43504</v>
      </c>
      <c r="B27" s="17">
        <v>9.9252166175878287E-3</v>
      </c>
      <c r="C27" s="13">
        <v>5.4672909843831441E-3</v>
      </c>
      <c r="D27" s="13">
        <v>-2.8266719999999967E-2</v>
      </c>
      <c r="E27" s="13">
        <v>7.8792787681758458E-3</v>
      </c>
      <c r="F27" s="13">
        <v>3.7749459004568164E-2</v>
      </c>
      <c r="G27" s="13">
        <v>-7.1234739600698482E-3</v>
      </c>
    </row>
    <row r="28" spans="1:7">
      <c r="A28" s="9">
        <v>43507</v>
      </c>
      <c r="B28" s="17">
        <v>-9.7542556873603248E-3</v>
      </c>
      <c r="C28" s="13">
        <v>3.6878516245391069E-3</v>
      </c>
      <c r="D28" s="13">
        <v>2.6893525076483238E-2</v>
      </c>
      <c r="E28" s="13">
        <v>6.5145906162242806E-3</v>
      </c>
      <c r="F28" s="13">
        <v>-2.6413345690453949E-2</v>
      </c>
      <c r="G28" s="13">
        <v>-1.2640915228133709E-2</v>
      </c>
    </row>
    <row r="29" spans="1:7">
      <c r="A29" s="9">
        <v>43508</v>
      </c>
      <c r="B29" s="17">
        <v>1.8588541832162964E-2</v>
      </c>
      <c r="C29" s="13">
        <v>7.1340449498471514E-3</v>
      </c>
      <c r="D29" s="13">
        <v>-2.1378408411458771E-3</v>
      </c>
      <c r="E29" s="13">
        <v>3.2362127071778879E-3</v>
      </c>
      <c r="F29" s="13">
        <v>5.4259852451213675E-2</v>
      </c>
      <c r="G29" s="13">
        <v>3.5986185769000256E-2</v>
      </c>
    </row>
    <row r="30" spans="1:7">
      <c r="A30" s="9">
        <v>43509</v>
      </c>
      <c r="B30" s="17">
        <v>-3.3899010065718826E-3</v>
      </c>
      <c r="C30" s="13">
        <v>-1.2569237324243643E-2</v>
      </c>
      <c r="D30" s="13">
        <v>-1.4997375468666418E-2</v>
      </c>
      <c r="E30" s="13">
        <v>8.3871027879593996E-3</v>
      </c>
      <c r="F30" s="13">
        <v>2.6862370809534353E-2</v>
      </c>
      <c r="G30" s="13">
        <v>2.371410495925641E-2</v>
      </c>
    </row>
    <row r="31" spans="1:7">
      <c r="A31" s="9">
        <v>43510</v>
      </c>
      <c r="B31" s="17">
        <v>2.2672732205087476E-2</v>
      </c>
      <c r="C31" s="13">
        <v>1.2189859762675281E-2</v>
      </c>
      <c r="D31" s="13">
        <v>1.0875530770828146E-2</v>
      </c>
      <c r="E31" s="13">
        <v>6.3979521970123354E-3</v>
      </c>
      <c r="F31" s="13">
        <v>3.7370409436341401E-3</v>
      </c>
      <c r="G31" s="13">
        <v>2.0880923158685505E-2</v>
      </c>
    </row>
    <row r="32" spans="1:7">
      <c r="A32" s="9">
        <v>43511</v>
      </c>
      <c r="B32" s="17">
        <v>-4.9890322909759144E-3</v>
      </c>
      <c r="C32" s="13">
        <v>-8.3129063199403053E-3</v>
      </c>
      <c r="D32" s="13">
        <v>-5.3792361484670259E-3</v>
      </c>
      <c r="E32" s="13">
        <v>-1.5893164238850788E-2</v>
      </c>
      <c r="F32" s="13">
        <v>4.8182435392027934E-3</v>
      </c>
      <c r="G32" s="13">
        <v>-7.6702744594577821E-3</v>
      </c>
    </row>
    <row r="33" spans="1:7">
      <c r="A33" s="9">
        <v>43514</v>
      </c>
      <c r="B33" s="17">
        <v>-1.0417734757910746E-2</v>
      </c>
      <c r="C33" s="13">
        <v>-2.0204191295002727E-2</v>
      </c>
      <c r="D33" s="13">
        <v>-1.6224932395889624E-2</v>
      </c>
      <c r="E33" s="13">
        <v>4.5219567759351431E-3</v>
      </c>
      <c r="F33" s="13">
        <v>-1.373149490559078E-2</v>
      </c>
      <c r="G33" s="13">
        <v>-1.1594148173273533E-2</v>
      </c>
    </row>
    <row r="34" spans="1:7">
      <c r="A34" s="9">
        <v>43515</v>
      </c>
      <c r="B34" s="17">
        <v>1.1905502020516101E-2</v>
      </c>
      <c r="C34" s="13">
        <v>2.3280684435669663E-2</v>
      </c>
      <c r="D34" s="13">
        <v>7.1467285790693946E-3</v>
      </c>
      <c r="E34" s="13">
        <v>-6.4313255610415343E-4</v>
      </c>
      <c r="F34" s="13">
        <v>5.3039116022097765E-3</v>
      </c>
      <c r="G34" s="13">
        <v>1.857283513319552E-2</v>
      </c>
    </row>
    <row r="35" spans="1:7">
      <c r="A35" s="9">
        <v>43516</v>
      </c>
      <c r="B35" s="17">
        <v>-1.1407038777788037E-2</v>
      </c>
      <c r="C35" s="13">
        <v>-2.5993515019964164E-3</v>
      </c>
      <c r="D35" s="13">
        <v>-9.2794759825328699E-3</v>
      </c>
      <c r="E35" s="13">
        <v>1.6731028949506843E-2</v>
      </c>
      <c r="F35" s="13">
        <v>6.8146182978845449E-3</v>
      </c>
      <c r="G35" s="13">
        <v>0</v>
      </c>
    </row>
    <row r="36" spans="1:7">
      <c r="A36" s="9">
        <v>43517</v>
      </c>
      <c r="B36" s="17">
        <v>4.0084934486508406E-3</v>
      </c>
      <c r="C36" s="13">
        <v>5.3734551316497736E-4</v>
      </c>
      <c r="D36" s="13">
        <v>9.366391184573164E-3</v>
      </c>
      <c r="E36" s="13">
        <v>-4.4303794615330405E-2</v>
      </c>
      <c r="F36" s="13">
        <v>-9.1702622089576691E-3</v>
      </c>
      <c r="G36" s="13">
        <v>5.4382552885352542E-3</v>
      </c>
    </row>
    <row r="37" spans="1:7">
      <c r="A37" s="9">
        <v>43518</v>
      </c>
      <c r="B37" s="17">
        <v>9.8419510584739633E-3</v>
      </c>
      <c r="C37" s="13">
        <v>1.141245972073035E-2</v>
      </c>
      <c r="D37" s="13">
        <v>0</v>
      </c>
      <c r="E37" s="13">
        <v>5.2980533173090372E-3</v>
      </c>
      <c r="F37" s="13">
        <v>3.5478205476460856E-2</v>
      </c>
      <c r="G37" s="13">
        <v>-5.7270815038475975E-3</v>
      </c>
    </row>
    <row r="38" spans="1:7">
      <c r="A38" s="9">
        <v>43521</v>
      </c>
      <c r="B38" s="17">
        <v>-6.5995137200416387E-3</v>
      </c>
      <c r="C38" s="13">
        <v>-5.3630691623522964E-3</v>
      </c>
      <c r="D38" s="13">
        <v>3.8209061135370259E-3</v>
      </c>
      <c r="E38" s="13">
        <v>5.928873227211362E-3</v>
      </c>
      <c r="F38" s="13">
        <v>2.7664821125141792E-3</v>
      </c>
      <c r="G38" s="13">
        <v>-2.3999951613717929E-2</v>
      </c>
    </row>
    <row r="39" spans="1:7">
      <c r="A39" s="9">
        <v>43522</v>
      </c>
      <c r="B39" s="17">
        <v>3.7330316742081315E-3</v>
      </c>
      <c r="C39" s="13">
        <v>1.094413154312246E-3</v>
      </c>
      <c r="D39" s="13">
        <v>5.4377925741049271E-3</v>
      </c>
      <c r="E39" s="13">
        <v>1.3752434065023245E-2</v>
      </c>
      <c r="F39" s="13">
        <v>1.6978353501237997E-3</v>
      </c>
      <c r="G39" s="13">
        <v>3.278451987414055E-4</v>
      </c>
    </row>
    <row r="40" spans="1:7">
      <c r="A40" s="9">
        <v>43523</v>
      </c>
      <c r="B40" s="17">
        <v>-3.0326936672028237E-3</v>
      </c>
      <c r="C40" s="13">
        <v>-8.7990614334465533E-4</v>
      </c>
      <c r="D40" s="13">
        <v>-7.0307733910220938E-3</v>
      </c>
      <c r="E40" s="13">
        <v>-3.2299409565136328E-3</v>
      </c>
      <c r="F40" s="13">
        <v>-7.838961698327096E-3</v>
      </c>
      <c r="G40" s="13">
        <v>5.244234691105687E-3</v>
      </c>
    </row>
    <row r="41" spans="1:7">
      <c r="A41" s="9">
        <v>43524</v>
      </c>
      <c r="B41" s="17">
        <v>-1.7706845345144773E-2</v>
      </c>
      <c r="C41" s="13">
        <v>-5.2840863601184562E-3</v>
      </c>
      <c r="D41" s="13">
        <v>-6.1546892072609327E-2</v>
      </c>
      <c r="E41" s="13">
        <v>-1.8794573239330536E-2</v>
      </c>
      <c r="F41" s="13">
        <v>5.7654492519561007E-3</v>
      </c>
      <c r="G41" s="13">
        <v>-2.6410145181484102E-2</v>
      </c>
    </row>
    <row r="42" spans="1:7">
      <c r="A42" s="9">
        <v>43525</v>
      </c>
      <c r="B42" s="17">
        <v>-1.0252761968530311E-2</v>
      </c>
      <c r="C42" s="13">
        <v>5.4194725404448363E-3</v>
      </c>
      <c r="D42" s="13">
        <v>-2.7278003482298252E-2</v>
      </c>
      <c r="E42" s="13">
        <v>-7.2656351646178674E-3</v>
      </c>
      <c r="F42" s="13">
        <v>-7.6432275007740635E-3</v>
      </c>
      <c r="G42" s="13">
        <v>-2.2103176930991619E-2</v>
      </c>
    </row>
    <row r="43" spans="1:7">
      <c r="A43" s="9">
        <v>43530</v>
      </c>
      <c r="B43" s="17">
        <v>-4.0907361210942295E-3</v>
      </c>
      <c r="C43" s="13">
        <v>7.1781187458306306E-3</v>
      </c>
      <c r="D43" s="13">
        <v>-2.3269630071599212E-2</v>
      </c>
      <c r="E43" s="13">
        <v>0</v>
      </c>
      <c r="F43" s="13">
        <v>2.802732015287468E-2</v>
      </c>
      <c r="G43" s="13">
        <v>9.5890067184971617E-3</v>
      </c>
    </row>
    <row r="44" spans="1:7">
      <c r="A44" s="9">
        <v>43531</v>
      </c>
      <c r="B44" s="17">
        <v>1.3054968848509318E-3</v>
      </c>
      <c r="C44" s="13">
        <v>1.6532428995337023E-2</v>
      </c>
      <c r="D44" s="13">
        <v>1.9547952379477485E-2</v>
      </c>
      <c r="E44" s="13">
        <v>-1.3395739962300035E-2</v>
      </c>
      <c r="F44" s="13">
        <v>1.6857482140634428E-2</v>
      </c>
      <c r="G44" s="13">
        <v>-8.8195538825346365E-3</v>
      </c>
    </row>
    <row r="45" spans="1:7">
      <c r="A45" s="9">
        <v>43532</v>
      </c>
      <c r="B45" s="17">
        <v>1.0864956540173942E-2</v>
      </c>
      <c r="C45" s="13">
        <v>8.4706005004169249E-3</v>
      </c>
      <c r="D45" s="13">
        <v>-5.9916713006786804E-3</v>
      </c>
      <c r="E45" s="13">
        <v>-1.3578239795187796E-3</v>
      </c>
      <c r="F45" s="13">
        <v>-2.0472778950608728E-4</v>
      </c>
      <c r="G45" s="13">
        <v>-7.5291001057752327E-3</v>
      </c>
    </row>
    <row r="46" spans="1:7">
      <c r="A46" s="9">
        <v>43535</v>
      </c>
      <c r="B46" s="17">
        <v>2.7913804855030699E-2</v>
      </c>
      <c r="C46" s="13">
        <v>-1.4447057607319125E-2</v>
      </c>
      <c r="D46" s="13">
        <v>3.1344243520192938E-2</v>
      </c>
      <c r="E46" s="13">
        <v>1.2916420032203835E-2</v>
      </c>
      <c r="F46" s="13">
        <v>2.1085016216377372E-2</v>
      </c>
      <c r="G46" s="13">
        <v>5.6551758798838669E-2</v>
      </c>
    </row>
    <row r="47" spans="1:7">
      <c r="A47" s="9">
        <v>43536</v>
      </c>
      <c r="B47" s="17">
        <v>-2.0300529445969051E-3</v>
      </c>
      <c r="C47" s="13">
        <v>6.2673729480253737E-3</v>
      </c>
      <c r="D47" s="13">
        <v>-6.4290469649884718E-3</v>
      </c>
      <c r="E47" s="13">
        <v>-1.5436241974938203E-2</v>
      </c>
      <c r="F47" s="13">
        <v>1.8043303567696345E-3</v>
      </c>
      <c r="G47" s="13">
        <v>-1.664492832913167E-2</v>
      </c>
    </row>
    <row r="48" spans="1:7">
      <c r="A48" s="9">
        <v>43537</v>
      </c>
      <c r="B48" s="17">
        <v>1.0998896021588989E-2</v>
      </c>
      <c r="C48" s="13">
        <v>-6.6974174549814247E-3</v>
      </c>
      <c r="D48" s="13">
        <v>-5.8823529411765607E-3</v>
      </c>
      <c r="E48" s="13">
        <v>2.113148962406286E-2</v>
      </c>
      <c r="F48" s="13">
        <v>1.4608764966804744E-2</v>
      </c>
      <c r="G48" s="13">
        <v>2.688354508334001E-2</v>
      </c>
    </row>
    <row r="49" spans="1:7">
      <c r="A49" s="9">
        <v>43538</v>
      </c>
      <c r="B49" s="17">
        <v>-3.0231335436382567E-3</v>
      </c>
      <c r="C49" s="13">
        <v>4.4600692622531746E-4</v>
      </c>
      <c r="D49" s="13">
        <v>-1.4201183431952535E-2</v>
      </c>
      <c r="E49" s="13">
        <v>-1.4686191040175323E-2</v>
      </c>
      <c r="F49" s="13">
        <v>1.9719920715588479E-4</v>
      </c>
      <c r="G49" s="13">
        <v>1.1312250231949816E-2</v>
      </c>
    </row>
    <row r="50" spans="1:7">
      <c r="A50" s="9">
        <v>43539</v>
      </c>
      <c r="B50" s="17">
        <v>5.3952639318493034E-3</v>
      </c>
      <c r="C50" s="13">
        <v>7.1329294836492974E-3</v>
      </c>
      <c r="D50" s="13">
        <v>6.0024009603842909E-3</v>
      </c>
      <c r="E50" s="13">
        <v>2.371269927092623E-2</v>
      </c>
      <c r="F50" s="13">
        <v>-3.1551962759850394E-3</v>
      </c>
      <c r="G50" s="13">
        <v>1.054648202086006E-2</v>
      </c>
    </row>
    <row r="51" spans="1:7">
      <c r="A51" s="9">
        <v>43542</v>
      </c>
      <c r="B51" s="17">
        <v>8.6446029232274402E-3</v>
      </c>
      <c r="C51" s="13">
        <v>-7.1605259731805093E-3</v>
      </c>
      <c r="D51" s="13">
        <v>3.2816169451074018E-2</v>
      </c>
      <c r="E51" s="13">
        <v>2.7134460599744559E-2</v>
      </c>
      <c r="F51" s="13">
        <v>-1.7804154654879056E-3</v>
      </c>
      <c r="G51" s="13">
        <v>2.0240235847651222E-2</v>
      </c>
    </row>
    <row r="52" spans="1:7">
      <c r="A52" s="9">
        <v>43543</v>
      </c>
      <c r="B52" s="17">
        <v>-4.0602436146168763E-3</v>
      </c>
      <c r="C52" s="13">
        <v>-6.0319958038290711E-3</v>
      </c>
      <c r="D52" s="13">
        <v>-6.9322938724607486E-3</v>
      </c>
      <c r="E52" s="13">
        <v>2.1262865995415048E-2</v>
      </c>
      <c r="F52" s="13">
        <v>2.8537515428805227E-2</v>
      </c>
      <c r="G52" s="13">
        <v>1.5809134145507775E-2</v>
      </c>
    </row>
    <row r="53" spans="1:7">
      <c r="A53" s="9">
        <v>43544</v>
      </c>
      <c r="B53" s="17">
        <v>-1.5534000080331012E-2</v>
      </c>
      <c r="C53" s="13">
        <v>-6.0686015831135087E-4</v>
      </c>
      <c r="D53" s="13">
        <v>-1.1052995284875133E-2</v>
      </c>
      <c r="E53" s="13">
        <v>-1.4511040768076078E-2</v>
      </c>
      <c r="F53" s="13">
        <v>-2.5818900739156048E-2</v>
      </c>
      <c r="G53" s="13">
        <v>6.1031963160476099E-3</v>
      </c>
    </row>
    <row r="54" spans="1:7">
      <c r="A54" s="9">
        <v>43545</v>
      </c>
      <c r="B54" s="17">
        <v>-1.3382156444752713E-2</v>
      </c>
      <c r="C54" s="13">
        <v>-3.5641682287403942E-3</v>
      </c>
      <c r="D54" s="13">
        <v>-1.1764705882352233E-3</v>
      </c>
      <c r="E54" s="13">
        <v>2.5607209540803311E-3</v>
      </c>
      <c r="F54" s="13">
        <v>6.5268590481240008E-3</v>
      </c>
      <c r="G54" s="13">
        <v>-2.0018193982656363E-2</v>
      </c>
    </row>
    <row r="55" spans="1:7">
      <c r="A55" s="9">
        <v>43546</v>
      </c>
      <c r="B55" s="17">
        <v>-3.0952454796389861E-2</v>
      </c>
      <c r="C55" s="13">
        <v>4.4512744422657846E-3</v>
      </c>
      <c r="D55" s="13">
        <v>-1.5312190812720838E-2</v>
      </c>
      <c r="E55" s="13">
        <v>-4.5976989980836103E-2</v>
      </c>
      <c r="F55" s="13">
        <v>-1.6506190145533339E-2</v>
      </c>
      <c r="G55" s="13">
        <v>-4.7663324500257231E-2</v>
      </c>
    </row>
    <row r="56" spans="1:7">
      <c r="A56" s="9">
        <v>43549</v>
      </c>
      <c r="B56" s="17">
        <v>-7.787912732704072E-4</v>
      </c>
      <c r="C56" s="13">
        <v>3.0335003956739603E-2</v>
      </c>
      <c r="D56" s="13">
        <v>-1.1961663394836397E-2</v>
      </c>
      <c r="E56" s="13">
        <v>-4.6854144581556234E-3</v>
      </c>
      <c r="F56" s="13">
        <v>-9.9900101896105431E-3</v>
      </c>
      <c r="G56" s="13">
        <v>-3.8998511215582177E-3</v>
      </c>
    </row>
    <row r="57" spans="1:7">
      <c r="A57" s="9">
        <v>43550</v>
      </c>
      <c r="B57" s="17">
        <v>1.7563152612585675E-2</v>
      </c>
      <c r="C57" s="13">
        <v>-1.3415258576548905E-2</v>
      </c>
      <c r="D57" s="13">
        <v>2.8450363196125927E-2</v>
      </c>
      <c r="E57" s="13">
        <v>2.4882258851970818E-2</v>
      </c>
      <c r="F57" s="13">
        <v>1.4732593637388325E-2</v>
      </c>
      <c r="G57" s="13">
        <v>4.1761780363520407E-2</v>
      </c>
    </row>
    <row r="58" spans="1:7">
      <c r="A58" s="9">
        <v>43551</v>
      </c>
      <c r="B58" s="17">
        <v>-3.5716159358703981E-2</v>
      </c>
      <c r="C58" s="13">
        <v>5.553248910109998E-3</v>
      </c>
      <c r="D58" s="13">
        <v>-2.6486109476162367E-2</v>
      </c>
      <c r="E58" s="13">
        <v>-3.8713802884116966E-2</v>
      </c>
      <c r="F58" s="13">
        <v>-1.3524284278525922E-2</v>
      </c>
      <c r="G58" s="13">
        <v>-4.6351341923307143E-2</v>
      </c>
    </row>
    <row r="59" spans="1:7">
      <c r="A59" s="9">
        <v>43552</v>
      </c>
      <c r="B59" s="17">
        <v>2.7050259512747088E-2</v>
      </c>
      <c r="C59" s="13">
        <v>2.9212903225806386E-2</v>
      </c>
      <c r="D59" s="13">
        <v>1.2696432122343948E-2</v>
      </c>
      <c r="E59" s="13">
        <v>1.5699658797255767E-2</v>
      </c>
      <c r="F59" s="13">
        <v>-6.0483671793696292E-3</v>
      </c>
      <c r="G59" s="13">
        <v>1.6748654666544516E-2</v>
      </c>
    </row>
    <row r="60" spans="1:7">
      <c r="A60" s="9">
        <v>43553</v>
      </c>
      <c r="B60" s="17">
        <v>1.0869910688745543E-2</v>
      </c>
      <c r="C60" s="13">
        <v>-2.2691941226618551E-2</v>
      </c>
      <c r="D60" s="13">
        <v>4.7761194029849463E-3</v>
      </c>
      <c r="E60" s="13">
        <v>1.7473091804049545E-2</v>
      </c>
      <c r="F60" s="13">
        <v>3.3062901279166335E-2</v>
      </c>
      <c r="G60" s="13">
        <v>6.1369982295023107E-3</v>
      </c>
    </row>
    <row r="61" spans="1:7">
      <c r="A61" s="9">
        <v>43556</v>
      </c>
      <c r="B61" s="17">
        <v>6.6970602106586341E-3</v>
      </c>
      <c r="C61" s="13">
        <v>6.3627267362802442E-3</v>
      </c>
      <c r="D61" s="13">
        <v>-5.9417706476516674E-4</v>
      </c>
      <c r="E61" s="13">
        <v>6.2087170828973859E-2</v>
      </c>
      <c r="F61" s="13">
        <v>3.2790064794816498E-2</v>
      </c>
      <c r="G61" s="13">
        <v>-8.9887321806689791E-3</v>
      </c>
    </row>
    <row r="62" spans="1:7">
      <c r="A62" s="9">
        <v>43557</v>
      </c>
      <c r="B62" s="17">
        <v>-6.9440106606700747E-3</v>
      </c>
      <c r="C62" s="13">
        <v>-1.8865519439133172E-2</v>
      </c>
      <c r="D62" s="13">
        <v>-2.9726516052318575E-3</v>
      </c>
      <c r="E62" s="13">
        <v>0</v>
      </c>
      <c r="F62" s="13">
        <v>-1.8441008305741802E-2</v>
      </c>
      <c r="G62" s="13">
        <v>4.2111335920709259E-3</v>
      </c>
    </row>
    <row r="63" spans="1:7">
      <c r="A63" s="9">
        <v>43558</v>
      </c>
      <c r="B63" s="17">
        <v>-9.3933135542578761E-3</v>
      </c>
      <c r="C63" s="13">
        <v>9.8739768741062939E-4</v>
      </c>
      <c r="D63" s="13">
        <v>4.174120453190211E-3</v>
      </c>
      <c r="E63" s="13">
        <v>-4.9751218764380045E-3</v>
      </c>
      <c r="F63" s="13">
        <v>2.9052488300358448E-3</v>
      </c>
      <c r="G63" s="13">
        <v>-2.0967664999125724E-2</v>
      </c>
    </row>
    <row r="64" spans="1:7">
      <c r="A64" s="9">
        <v>43559</v>
      </c>
      <c r="B64" s="17">
        <v>1.928225968610775E-2</v>
      </c>
      <c r="C64" s="13">
        <v>4.1533629260441796E-3</v>
      </c>
      <c r="D64" s="13">
        <v>2.8503562945368266E-2</v>
      </c>
      <c r="E64" s="13">
        <v>1.2500088436274925E-2</v>
      </c>
      <c r="F64" s="13">
        <v>7.3387602807795105E-3</v>
      </c>
      <c r="G64" s="13">
        <v>3.2948882524780121E-2</v>
      </c>
    </row>
    <row r="65" spans="1:7">
      <c r="A65" s="9">
        <v>43560</v>
      </c>
      <c r="B65" s="17">
        <v>8.2543374207013631E-3</v>
      </c>
      <c r="C65" s="13">
        <v>-3.2055424863635107E-3</v>
      </c>
      <c r="D65" s="13">
        <v>6.9284642032332311E-3</v>
      </c>
      <c r="E65" s="13">
        <v>-2.6543233137590216E-2</v>
      </c>
      <c r="F65" s="13">
        <v>-3.4509202453987253E-3</v>
      </c>
      <c r="G65" s="13">
        <v>2.2328550289791416E-2</v>
      </c>
    </row>
    <row r="66" spans="1:7">
      <c r="A66" s="9">
        <v>43563</v>
      </c>
      <c r="B66" s="17">
        <v>2.6877291263336378E-3</v>
      </c>
      <c r="C66" s="13">
        <v>4.6941051375812837E-3</v>
      </c>
      <c r="D66" s="13">
        <v>-5.1606075022585518E-3</v>
      </c>
      <c r="E66" s="13">
        <v>5.0729203865604866E-3</v>
      </c>
      <c r="F66" s="13">
        <v>2.7125798383993871E-2</v>
      </c>
      <c r="G66" s="13">
        <v>2.1528822159468941E-2</v>
      </c>
    </row>
    <row r="67" spans="1:7">
      <c r="A67" s="9">
        <v>43564</v>
      </c>
      <c r="B67" s="17">
        <v>-1.106101531288195E-2</v>
      </c>
      <c r="C67" s="13">
        <v>-6.6597831698503862E-3</v>
      </c>
      <c r="D67" s="13">
        <v>1.95965994236309E-2</v>
      </c>
      <c r="E67" s="13">
        <v>-1.5772917531899355E-2</v>
      </c>
      <c r="F67" s="13">
        <v>-1.9479322335256177E-2</v>
      </c>
      <c r="G67" s="13">
        <v>-8.8576762601724202E-3</v>
      </c>
    </row>
    <row r="68" spans="1:7">
      <c r="A68" s="9">
        <v>43565</v>
      </c>
      <c r="B68" s="17">
        <v>-3.5205416857059246E-3</v>
      </c>
      <c r="C68" s="13">
        <v>-5.1972350709417192E-5</v>
      </c>
      <c r="D68" s="13">
        <v>-7.91418835985358E-3</v>
      </c>
      <c r="E68" s="13">
        <v>-4.487185259999138E-3</v>
      </c>
      <c r="F68" s="13">
        <v>-1.1270296514624412E-2</v>
      </c>
      <c r="G68" s="13">
        <v>-5.54696934589749E-3</v>
      </c>
    </row>
    <row r="69" spans="1:7">
      <c r="A69" s="9">
        <v>43566</v>
      </c>
      <c r="B69" s="17">
        <v>-1.2485279251300163E-2</v>
      </c>
      <c r="C69" s="13">
        <v>-6.2370062370062929E-3</v>
      </c>
      <c r="D69" s="13">
        <v>-1.7093961087975007E-2</v>
      </c>
      <c r="E69" s="13">
        <v>-2.1893147699430182E-2</v>
      </c>
      <c r="F69" s="13">
        <v>5.7965612749821815E-4</v>
      </c>
      <c r="G69" s="13">
        <v>-1.3015154283302355E-2</v>
      </c>
    </row>
    <row r="70" spans="1:7">
      <c r="A70" s="9">
        <v>43567</v>
      </c>
      <c r="B70" s="17">
        <v>-1.9840641654793933E-2</v>
      </c>
      <c r="C70" s="13">
        <v>8.3158995815899583E-3</v>
      </c>
      <c r="D70" s="13">
        <v>-1.101455072463764E-2</v>
      </c>
      <c r="E70" s="13">
        <v>-1.1849878998745345E-2</v>
      </c>
      <c r="F70" s="13">
        <v>-5.9857307204917998E-3</v>
      </c>
      <c r="G70" s="13">
        <v>-8.5400278590550438E-2</v>
      </c>
    </row>
    <row r="71" spans="1:7">
      <c r="A71" s="9">
        <v>43570</v>
      </c>
      <c r="B71" s="17">
        <v>2.2395693135934813E-3</v>
      </c>
      <c r="C71" s="13">
        <v>6.3540640074692956E-3</v>
      </c>
      <c r="D71" s="13">
        <v>2.1102052819581107E-2</v>
      </c>
      <c r="E71" s="13">
        <v>-1.5323118728869045E-2</v>
      </c>
      <c r="F71" s="13">
        <v>-2.9137140637139902E-3</v>
      </c>
      <c r="G71" s="13">
        <v>-6.8656255819443679E-4</v>
      </c>
    </row>
    <row r="72" spans="1:7">
      <c r="A72" s="9">
        <v>43571</v>
      </c>
      <c r="B72" s="17">
        <v>1.3428875304835497E-2</v>
      </c>
      <c r="C72" s="13">
        <v>-2.5513491224905538E-3</v>
      </c>
      <c r="D72" s="13">
        <v>6.3146383467276301E-3</v>
      </c>
      <c r="E72" s="13">
        <v>2.0297706626665413E-2</v>
      </c>
      <c r="F72" s="13">
        <v>3.4482679349983281E-2</v>
      </c>
      <c r="G72" s="13">
        <v>3.5726544882638045E-2</v>
      </c>
    </row>
    <row r="73" spans="1:7">
      <c r="A73" s="9">
        <v>43572</v>
      </c>
      <c r="B73" s="17">
        <v>-1.1109579892508492E-2</v>
      </c>
      <c r="C73" s="13">
        <v>8.6295990078544271E-3</v>
      </c>
      <c r="D73" s="13">
        <v>-2.7381744017013987E-2</v>
      </c>
      <c r="E73" s="13">
        <v>-6.6313466683217692E-3</v>
      </c>
      <c r="F73" s="13">
        <v>-1.6007495894820978E-2</v>
      </c>
      <c r="G73" s="13">
        <v>9.9498658176133681E-4</v>
      </c>
    </row>
    <row r="74" spans="1:7">
      <c r="A74" s="9">
        <v>43573</v>
      </c>
      <c r="B74" s="17">
        <v>1.3860749316610299E-2</v>
      </c>
      <c r="C74" s="13">
        <v>8.4276858445617719E-3</v>
      </c>
      <c r="D74" s="13">
        <v>1.7595895460169597E-3</v>
      </c>
      <c r="E74" s="13">
        <v>-3.3377400227750931E-3</v>
      </c>
      <c r="F74" s="13">
        <v>6.3158277511961014E-3</v>
      </c>
      <c r="G74" s="13">
        <v>1.9218045423009533E-2</v>
      </c>
    </row>
    <row r="75" spans="1:7">
      <c r="A75" s="9">
        <v>43577</v>
      </c>
      <c r="B75" s="17">
        <v>1.0573283427439684E-4</v>
      </c>
      <c r="C75" s="13">
        <v>-5.5884370157754937E-4</v>
      </c>
      <c r="D75" s="13">
        <v>2.4590163934426368E-2</v>
      </c>
      <c r="E75" s="13">
        <v>1.339567135952846E-3</v>
      </c>
      <c r="F75" s="13">
        <v>-2.4343913109778903E-2</v>
      </c>
      <c r="G75" s="13">
        <v>3.5760776502820057E-3</v>
      </c>
    </row>
    <row r="76" spans="1:7">
      <c r="A76" s="9">
        <v>43578</v>
      </c>
      <c r="B76" s="17">
        <v>1.4113841079206768E-2</v>
      </c>
      <c r="C76" s="13">
        <v>-1.0166476045236905E-4</v>
      </c>
      <c r="D76" s="13">
        <v>9.7142857142857864E-3</v>
      </c>
      <c r="E76" s="13">
        <v>-1.4715661271127001E-2</v>
      </c>
      <c r="F76" s="13">
        <v>1.2085750722919064E-2</v>
      </c>
      <c r="G76" s="13">
        <v>8.0984824288079515E-3</v>
      </c>
    </row>
    <row r="77" spans="1:7">
      <c r="A77" s="9">
        <v>43579</v>
      </c>
      <c r="B77" s="17">
        <v>-9.1531749424017539E-3</v>
      </c>
      <c r="C77" s="13">
        <v>-4.016166340459093E-3</v>
      </c>
      <c r="D77" s="13">
        <v>2.8295981890209543E-3</v>
      </c>
      <c r="E77" s="13">
        <v>-8.825547098974651E-3</v>
      </c>
      <c r="F77" s="13">
        <v>-3.0046168337679924E-2</v>
      </c>
      <c r="G77" s="13">
        <v>-1.7352231971444088E-2</v>
      </c>
    </row>
    <row r="78" spans="1:7">
      <c r="A78" s="9">
        <v>43580</v>
      </c>
      <c r="B78" s="17">
        <v>1.5855647324951372E-2</v>
      </c>
      <c r="C78" s="13">
        <v>1.8196666921879379E-2</v>
      </c>
      <c r="D78" s="13">
        <v>3.3295712939938715E-2</v>
      </c>
      <c r="E78" s="13">
        <v>-1.3698449959607117E-3</v>
      </c>
      <c r="F78" s="13">
        <v>-5.9569101279399739E-4</v>
      </c>
      <c r="G78" s="13">
        <v>2.6160985882124344E-3</v>
      </c>
    </row>
    <row r="79" spans="1:7">
      <c r="A79" s="9">
        <v>43581</v>
      </c>
      <c r="B79" s="17">
        <v>-3.2728477918634313E-3</v>
      </c>
      <c r="C79" s="13">
        <v>-9.2490475235611491E-3</v>
      </c>
      <c r="D79" s="13">
        <v>-1.0921901197264994E-3</v>
      </c>
      <c r="E79" s="13">
        <v>-1.4403310438453998E-2</v>
      </c>
      <c r="F79" s="13">
        <v>1.7881183473824613E-3</v>
      </c>
      <c r="G79" s="13">
        <v>-8.8062533926311914E-3</v>
      </c>
    </row>
    <row r="80" spans="1:7">
      <c r="A80" s="9">
        <v>43584</v>
      </c>
      <c r="B80" s="17">
        <v>-4.9877384762453403E-4</v>
      </c>
      <c r="C80" s="13">
        <v>-5.9453032104638259E-3</v>
      </c>
      <c r="D80" s="13">
        <v>3.2804262831915842E-3</v>
      </c>
      <c r="E80" s="13">
        <v>1.3918404767523374E-3</v>
      </c>
      <c r="F80" s="13">
        <v>-3.3716383725361787E-3</v>
      </c>
      <c r="G80" s="13">
        <v>-4.6067788082321259E-3</v>
      </c>
    </row>
    <row r="81" spans="1:7">
      <c r="A81" s="9">
        <v>43585</v>
      </c>
      <c r="B81" s="17">
        <v>1.7153906932256824E-3</v>
      </c>
      <c r="C81" s="13">
        <v>3.8430214801996598E-3</v>
      </c>
      <c r="D81" s="13">
        <v>6.5394550408719443E-3</v>
      </c>
      <c r="E81" s="13">
        <v>-1.6678309502394018E-2</v>
      </c>
      <c r="F81" s="13">
        <v>-2.9851144278607578E-3</v>
      </c>
      <c r="G81" s="13">
        <v>-9.5868203681817032E-3</v>
      </c>
    </row>
    <row r="82" spans="1:7">
      <c r="A82" s="9">
        <v>43587</v>
      </c>
      <c r="B82" s="17">
        <v>-8.5622658350025249E-3</v>
      </c>
      <c r="C82" s="13">
        <v>-6.3382602743199401E-3</v>
      </c>
      <c r="D82" s="13">
        <v>-2.8153656099277558E-2</v>
      </c>
      <c r="E82" s="13">
        <v>-1.0600710247300915E-2</v>
      </c>
      <c r="F82" s="13">
        <v>-2.3153673578988898E-2</v>
      </c>
      <c r="G82" s="13">
        <v>-1.5019955930127171E-2</v>
      </c>
    </row>
    <row r="83" spans="1:7">
      <c r="A83" s="9">
        <v>43588</v>
      </c>
      <c r="B83" s="17">
        <v>5.0247047985931825E-3</v>
      </c>
      <c r="C83" s="13">
        <v>1.1966422575460101E-2</v>
      </c>
      <c r="D83" s="13">
        <v>-1.6713648093946709E-3</v>
      </c>
      <c r="E83" s="13">
        <v>1.6428572150500198E-2</v>
      </c>
      <c r="F83" s="13">
        <v>2.9832509804505802E-2</v>
      </c>
      <c r="G83" s="13">
        <v>1.6942871283567307E-3</v>
      </c>
    </row>
    <row r="84" spans="1:7">
      <c r="A84" s="9">
        <v>43591</v>
      </c>
      <c r="B84" s="17">
        <v>-1.0405382884759562E-2</v>
      </c>
      <c r="C84" s="13">
        <v>-7.4630628813474598E-3</v>
      </c>
      <c r="D84" s="13">
        <v>7.8124441964284586E-3</v>
      </c>
      <c r="E84" s="13">
        <v>-1.0541113874102281E-2</v>
      </c>
      <c r="F84" s="13">
        <v>-1.4682578782437394E-2</v>
      </c>
      <c r="G84" s="13">
        <v>-6.7657538854182242E-4</v>
      </c>
    </row>
    <row r="85" spans="1:7">
      <c r="A85" s="9">
        <v>43592</v>
      </c>
      <c r="B85" s="17">
        <v>-6.5256975654938154E-3</v>
      </c>
      <c r="C85" s="13">
        <v>8.0272316211960071E-3</v>
      </c>
      <c r="D85" s="13">
        <v>-2.2702049983502337E-2</v>
      </c>
      <c r="E85" s="13">
        <v>9.9431947676160704E-3</v>
      </c>
      <c r="F85" s="13">
        <v>8.0549738219892753E-4</v>
      </c>
      <c r="G85" s="13">
        <v>-1.0832774755928143E-2</v>
      </c>
    </row>
    <row r="86" spans="1:7">
      <c r="A86" s="9">
        <v>43593</v>
      </c>
      <c r="B86" s="17">
        <v>1.279810147368865E-2</v>
      </c>
      <c r="C86" s="13">
        <v>1.260017136233138E-4</v>
      </c>
      <c r="D86" s="13">
        <v>1.5297450424929249E-2</v>
      </c>
      <c r="E86" s="13">
        <v>1.9690602044017069E-2</v>
      </c>
      <c r="F86" s="13">
        <v>-1.4084526879586945E-2</v>
      </c>
      <c r="G86" s="13">
        <v>3.422312255125326E-2</v>
      </c>
    </row>
    <row r="87" spans="1:7">
      <c r="A87" s="9">
        <v>43594</v>
      </c>
      <c r="B87" s="17">
        <v>-8.2533970731298867E-3</v>
      </c>
      <c r="C87" s="13">
        <v>-1.0683599163454072E-2</v>
      </c>
      <c r="D87" s="13">
        <v>-2.399553571428592E-2</v>
      </c>
      <c r="E87" s="13">
        <v>-1.7931077073979562E-2</v>
      </c>
      <c r="F87" s="13">
        <v>-9.3877346938776585E-3</v>
      </c>
      <c r="G87" s="13">
        <v>-2.8457896072223932E-2</v>
      </c>
    </row>
    <row r="88" spans="1:7">
      <c r="A88" s="9">
        <v>43595</v>
      </c>
      <c r="B88" s="17">
        <v>-5.8011982111214611E-3</v>
      </c>
      <c r="C88" s="13">
        <v>4.8646308229121082E-3</v>
      </c>
      <c r="D88" s="13">
        <v>-1.086340766152083E-2</v>
      </c>
      <c r="E88" s="13">
        <v>-6.3202127069867942E-3</v>
      </c>
      <c r="F88" s="13">
        <v>1.8953398867874061E-2</v>
      </c>
      <c r="G88" s="13">
        <v>-3.4064371851438846E-4</v>
      </c>
    </row>
    <row r="89" spans="1:7">
      <c r="A89" s="9">
        <v>43598</v>
      </c>
      <c r="B89" s="17">
        <v>-2.6851832205223913E-2</v>
      </c>
      <c r="C89" s="13">
        <v>3.6244740710702494E-3</v>
      </c>
      <c r="D89" s="13">
        <v>-1.6762948945835077E-2</v>
      </c>
      <c r="E89" s="13">
        <v>-2.4028238465838458E-2</v>
      </c>
      <c r="F89" s="13">
        <v>-4.1043247898165158E-2</v>
      </c>
      <c r="G89" s="13">
        <v>-2.8620103622660542E-2</v>
      </c>
    </row>
    <row r="90" spans="1:7">
      <c r="A90" s="9">
        <v>43599</v>
      </c>
      <c r="B90" s="17">
        <v>3.979199145289769E-3</v>
      </c>
      <c r="C90" s="13">
        <v>7.7783670480087164E-3</v>
      </c>
      <c r="D90" s="13">
        <v>-4.115167548501053E-3</v>
      </c>
      <c r="E90" s="13">
        <v>1.0137594287501717E-2</v>
      </c>
      <c r="F90" s="13">
        <v>3.3733923676999567E-3</v>
      </c>
      <c r="G90" s="13">
        <v>3.5072881611064588E-4</v>
      </c>
    </row>
    <row r="91" spans="1:7">
      <c r="A91" s="9">
        <v>43600</v>
      </c>
      <c r="B91" s="17">
        <v>-5.0927333536029407E-3</v>
      </c>
      <c r="C91" s="13">
        <v>-3.8591655181055007E-3</v>
      </c>
      <c r="D91" s="13">
        <v>-1.9480518330547869E-2</v>
      </c>
      <c r="E91" s="13">
        <v>-2.1505817286263662E-3</v>
      </c>
      <c r="F91" s="13">
        <v>7.5646354276108774E-3</v>
      </c>
      <c r="G91" s="13">
        <v>-7.0126131277986614E-3</v>
      </c>
    </row>
    <row r="92" spans="1:7">
      <c r="A92" s="9">
        <v>43601</v>
      </c>
      <c r="B92" s="17">
        <v>-1.7451949837922753E-2</v>
      </c>
      <c r="C92" s="13">
        <v>6.2388367588237514E-3</v>
      </c>
      <c r="D92" s="13">
        <v>1.8060203608656344E-3</v>
      </c>
      <c r="E92" s="13">
        <v>-1.2931082366336888E-2</v>
      </c>
      <c r="F92" s="13">
        <v>-3.2325317365478279E-2</v>
      </c>
      <c r="G92" s="13">
        <v>-1.9067777479686354E-2</v>
      </c>
    </row>
    <row r="93" spans="1:7">
      <c r="A93" s="9">
        <v>43602</v>
      </c>
      <c r="B93" s="17">
        <v>-3.4435261707987941E-4</v>
      </c>
      <c r="C93" s="13">
        <v>1.157528938223451E-2</v>
      </c>
      <c r="D93" s="13">
        <v>-9.014363522497848E-3</v>
      </c>
      <c r="E93" s="13">
        <v>0</v>
      </c>
      <c r="F93" s="13">
        <v>2.8448253084127018E-2</v>
      </c>
      <c r="G93" s="13">
        <v>-7.9193772165256915E-3</v>
      </c>
    </row>
    <row r="94" spans="1:7">
      <c r="A94" s="9">
        <v>43605</v>
      </c>
      <c r="B94" s="17">
        <v>2.1701687909059686E-2</v>
      </c>
      <c r="C94" s="13">
        <v>1.2653848054965389E-2</v>
      </c>
      <c r="D94" s="13">
        <v>0</v>
      </c>
      <c r="E94" s="13">
        <v>8.046837059659584E-3</v>
      </c>
      <c r="F94" s="13">
        <v>-2.0326927486862489E-2</v>
      </c>
      <c r="G94" s="13">
        <v>1.8505065174757585E-2</v>
      </c>
    </row>
    <row r="95" spans="1:7">
      <c r="A95" s="9">
        <v>43606</v>
      </c>
      <c r="B95" s="17">
        <v>2.7614034324494829E-2</v>
      </c>
      <c r="C95" s="13">
        <v>-6.1014301752337907E-4</v>
      </c>
      <c r="D95" s="13">
        <v>3.6385688295937024E-2</v>
      </c>
      <c r="E95" s="13">
        <v>3.7010194231186455E-2</v>
      </c>
      <c r="F95" s="13">
        <v>1.4117647058823346E-2</v>
      </c>
      <c r="G95" s="13">
        <v>2.6006409268961583E-2</v>
      </c>
    </row>
    <row r="96" spans="1:7">
      <c r="A96" s="9">
        <v>43607</v>
      </c>
      <c r="B96" s="17">
        <v>-1.312377626078165E-3</v>
      </c>
      <c r="C96" s="13">
        <v>0</v>
      </c>
      <c r="D96" s="13">
        <v>7.0215915740199364E-3</v>
      </c>
      <c r="E96" s="13">
        <v>0</v>
      </c>
      <c r="F96" s="13">
        <v>1.0546087323350939E-3</v>
      </c>
      <c r="G96" s="13">
        <v>2.439048785713771E-3</v>
      </c>
    </row>
    <row r="97" spans="1:7">
      <c r="A97" s="9">
        <v>43608</v>
      </c>
      <c r="B97" s="17">
        <v>-4.7795169614565092E-3</v>
      </c>
      <c r="C97" s="13">
        <v>-1.418838066863648E-2</v>
      </c>
      <c r="D97" s="13">
        <v>0</v>
      </c>
      <c r="E97" s="13">
        <v>-2.3792860122416881E-2</v>
      </c>
      <c r="F97" s="13">
        <v>7.5853562491645654E-3</v>
      </c>
      <c r="G97" s="13">
        <v>-1.7379202813895378E-2</v>
      </c>
    </row>
    <row r="98" spans="1:7">
      <c r="A98" s="9">
        <v>43609</v>
      </c>
      <c r="B98" s="17">
        <v>-3.0028750931743176E-3</v>
      </c>
      <c r="C98" s="13">
        <v>4.7066983749499691E-4</v>
      </c>
      <c r="D98" s="13">
        <v>-8.7158633768659177E-3</v>
      </c>
      <c r="E98" s="13">
        <v>-7.1684623984060725E-3</v>
      </c>
      <c r="F98" s="13">
        <v>1.024677959012954E-2</v>
      </c>
      <c r="G98" s="13">
        <v>2.1223869297819498E-3</v>
      </c>
    </row>
    <row r="99" spans="1:7">
      <c r="A99" s="9">
        <v>43612</v>
      </c>
      <c r="B99" s="17">
        <v>1.320117913444685E-2</v>
      </c>
      <c r="C99" s="13">
        <v>-4.3330774754253287E-3</v>
      </c>
      <c r="D99" s="13">
        <v>9.3786640901913909E-3</v>
      </c>
      <c r="E99" s="13">
        <v>-2.1661096445714234E-3</v>
      </c>
      <c r="F99" s="13">
        <v>3.8915296234417474E-2</v>
      </c>
      <c r="G99" s="13">
        <v>1.4472231986621287E-2</v>
      </c>
    </row>
    <row r="100" spans="1:7">
      <c r="A100" s="9">
        <v>43613</v>
      </c>
      <c r="B100" s="17">
        <v>1.6117810760667872E-2</v>
      </c>
      <c r="C100" s="13">
        <v>5.197453496468496E-3</v>
      </c>
      <c r="D100" s="13">
        <v>5.2264811397491062E-3</v>
      </c>
      <c r="E100" s="13">
        <v>2.3154889954718261E-2</v>
      </c>
      <c r="F100" s="13">
        <v>1.1954772105096101E-3</v>
      </c>
      <c r="G100" s="13">
        <v>1.3569963306777177E-2</v>
      </c>
    </row>
    <row r="101" spans="1:7">
      <c r="A101" s="9">
        <v>43614</v>
      </c>
      <c r="B101" s="17">
        <v>1.8051103295881887E-3</v>
      </c>
      <c r="C101" s="13">
        <v>-4.5768288760791309E-3</v>
      </c>
      <c r="D101" s="13">
        <v>-2.8884461518454696E-3</v>
      </c>
      <c r="E101" s="13">
        <v>-6.3649112426877874E-3</v>
      </c>
      <c r="F101" s="13">
        <v>-1.0945253731343252E-2</v>
      </c>
      <c r="G101" s="13">
        <v>-7.8956302982832183E-3</v>
      </c>
    </row>
    <row r="102" spans="1:7">
      <c r="A102" s="9">
        <v>43615</v>
      </c>
      <c r="B102" s="17">
        <v>9.2163989768760946E-3</v>
      </c>
      <c r="C102" s="13">
        <v>-1.2476389303111679E-2</v>
      </c>
      <c r="D102" s="13">
        <v>9.8493626882965035E-3</v>
      </c>
      <c r="E102" s="13">
        <v>-7.1174412881588323E-3</v>
      </c>
      <c r="F102" s="13">
        <v>6.2373640596105062E-3</v>
      </c>
      <c r="G102" s="13">
        <v>-1.730106157858402E-3</v>
      </c>
    </row>
    <row r="103" spans="1:7">
      <c r="A103" s="9">
        <v>43616</v>
      </c>
      <c r="B103" s="17">
        <v>-4.3814194978297749E-3</v>
      </c>
      <c r="C103" s="13">
        <v>1.6610459556047896E-3</v>
      </c>
      <c r="D103" s="13">
        <v>6.8846242111302303E-3</v>
      </c>
      <c r="E103" s="13">
        <v>-5.7348131682364301E-3</v>
      </c>
      <c r="F103" s="13">
        <v>-2.0195921623512247E-2</v>
      </c>
      <c r="G103" s="13">
        <v>-2.1490518146643156E-2</v>
      </c>
    </row>
    <row r="104" spans="1:7">
      <c r="A104" s="9">
        <v>43619</v>
      </c>
      <c r="B104" s="17">
        <v>-1.0306090899725451E-4</v>
      </c>
      <c r="C104" s="13">
        <v>-1.4020100502512567E-2</v>
      </c>
      <c r="D104" s="13">
        <v>-7.4073508494215679E-3</v>
      </c>
      <c r="E104" s="13">
        <v>5.0468955147486838E-3</v>
      </c>
      <c r="F104" s="13">
        <v>-3.4693469387755416E-3</v>
      </c>
      <c r="G104" s="13">
        <v>2.1962503731633554E-2</v>
      </c>
    </row>
    <row r="105" spans="1:7">
      <c r="A105" s="9">
        <v>43620</v>
      </c>
      <c r="B105" s="17">
        <v>3.7105751391466324E-3</v>
      </c>
      <c r="C105" s="13">
        <v>-1.0218643290352158E-2</v>
      </c>
      <c r="D105" s="13">
        <v>-4.0183696900114585E-3</v>
      </c>
      <c r="E105" s="13">
        <v>-5.7389271793409913E-3</v>
      </c>
      <c r="F105" s="13">
        <v>5.7341590934196773E-3</v>
      </c>
      <c r="G105" s="13">
        <v>5.8925766312518668E-3</v>
      </c>
    </row>
    <row r="106" spans="1:7">
      <c r="A106" s="9">
        <v>43621</v>
      </c>
      <c r="B106" s="17">
        <v>-1.4181556787841498E-2</v>
      </c>
      <c r="C106" s="13">
        <v>-7.852526968924578E-3</v>
      </c>
      <c r="D106" s="13">
        <v>3.4582132564839885E-3</v>
      </c>
      <c r="E106" s="13">
        <v>-1.0822444396319297E-2</v>
      </c>
      <c r="F106" s="13">
        <v>-1.4661005606576794E-2</v>
      </c>
      <c r="G106" s="13">
        <v>-1.4128164637032592E-2</v>
      </c>
    </row>
    <row r="107" spans="1:7">
      <c r="A107" s="9">
        <v>43622</v>
      </c>
      <c r="B107" s="17">
        <v>1.2562630860738055E-2</v>
      </c>
      <c r="C107" s="13">
        <v>6.6950384056465584E-3</v>
      </c>
      <c r="D107" s="13">
        <v>1.3210740953474964E-2</v>
      </c>
      <c r="E107" s="13">
        <v>-4.3764578107854391E-3</v>
      </c>
      <c r="F107" s="13">
        <v>8.4728251389298848E-3</v>
      </c>
      <c r="G107" s="13">
        <v>1.5728681147941792E-2</v>
      </c>
    </row>
    <row r="108" spans="1:7">
      <c r="A108" s="9">
        <v>43623</v>
      </c>
      <c r="B108" s="17">
        <v>6.3371225759991656E-3</v>
      </c>
      <c r="C108" s="13">
        <v>-2.5777182038455582E-4</v>
      </c>
      <c r="D108" s="13">
        <v>-1.7005669898280118E-3</v>
      </c>
      <c r="E108" s="13">
        <v>1.8315029108682435E-2</v>
      </c>
      <c r="F108" s="13">
        <v>-2.8688320260007449E-3</v>
      </c>
      <c r="G108" s="13">
        <v>2.7185179015621008E-2</v>
      </c>
    </row>
    <row r="109" spans="1:7">
      <c r="A109" s="9">
        <v>43626</v>
      </c>
      <c r="B109" s="17">
        <v>-3.6188548471187687E-3</v>
      </c>
      <c r="C109" s="13">
        <v>-4.8989273927391164E-4</v>
      </c>
      <c r="D109" s="13">
        <v>2.2713797688027615E-3</v>
      </c>
      <c r="E109" s="13">
        <v>1.7985621919685668E-2</v>
      </c>
      <c r="F109" s="13">
        <v>-6.576243321002706E-3</v>
      </c>
      <c r="G109" s="13">
        <v>-1.6750441368950431E-2</v>
      </c>
    </row>
    <row r="110" spans="1:7">
      <c r="A110" s="9">
        <v>43627</v>
      </c>
      <c r="B110" s="17">
        <v>1.5318005068382101E-2</v>
      </c>
      <c r="C110" s="13">
        <v>2.0637172707338447E-3</v>
      </c>
      <c r="D110" s="13">
        <v>3.9659490084986704E-3</v>
      </c>
      <c r="E110" s="13">
        <v>2.9682024098550031E-2</v>
      </c>
      <c r="F110" s="13">
        <v>6.3922217625155042E-2</v>
      </c>
      <c r="G110" s="13">
        <v>2.0442958215741269E-2</v>
      </c>
    </row>
    <row r="111" spans="1:7">
      <c r="A111" s="9">
        <v>43628</v>
      </c>
      <c r="B111" s="17">
        <v>-6.4571544058205088E-3</v>
      </c>
      <c r="C111" s="13">
        <v>-7.5685416398506566E-3</v>
      </c>
      <c r="D111" s="13">
        <v>-2.2572800370926904E-3</v>
      </c>
      <c r="E111" s="13">
        <v>-7.549708528191923E-3</v>
      </c>
      <c r="F111" s="13">
        <v>1.1666731479680337E-3</v>
      </c>
      <c r="G111" s="13">
        <v>-1.4691144778299248E-2</v>
      </c>
    </row>
    <row r="112" spans="1:7">
      <c r="A112" s="9">
        <v>43629</v>
      </c>
      <c r="B112" s="17">
        <v>4.6073575329788063E-3</v>
      </c>
      <c r="C112" s="13">
        <v>2.801483748800182E-3</v>
      </c>
      <c r="D112" s="13">
        <v>9.6153846153848033E-3</v>
      </c>
      <c r="E112" s="13">
        <v>1.3139618477495452E-2</v>
      </c>
      <c r="F112" s="13">
        <v>6.9915709072996268E-3</v>
      </c>
      <c r="G112" s="13">
        <v>1.3554711215025383E-2</v>
      </c>
    </row>
    <row r="113" spans="1:7">
      <c r="A113" s="9">
        <v>43630</v>
      </c>
      <c r="B113" s="17">
        <v>-7.4311053516107339E-3</v>
      </c>
      <c r="C113" s="13">
        <v>-4.5784940117437056E-3</v>
      </c>
      <c r="D113" s="13">
        <v>-1.1764761904762056E-2</v>
      </c>
      <c r="E113" s="13">
        <v>-2.0477758305852856E-2</v>
      </c>
      <c r="F113" s="13">
        <v>-8.6788045777744793E-3</v>
      </c>
      <c r="G113" s="13">
        <v>9.3614437293347841E-3</v>
      </c>
    </row>
    <row r="114" spans="1:7">
      <c r="A114" s="9">
        <v>43633</v>
      </c>
      <c r="B114" s="17">
        <v>-4.2533659730722428E-3</v>
      </c>
      <c r="C114" s="13">
        <v>1.2031599189231246E-2</v>
      </c>
      <c r="D114" s="13">
        <v>9.0702952987695706E-3</v>
      </c>
      <c r="E114" s="13">
        <v>-9.7560883318158487E-3</v>
      </c>
      <c r="F114" s="13">
        <v>-2.3346322048781287E-2</v>
      </c>
      <c r="G114" s="13">
        <v>-1.3250171920271558E-3</v>
      </c>
    </row>
    <row r="115" spans="1:7">
      <c r="A115" s="9">
        <v>43634</v>
      </c>
      <c r="B115" s="17">
        <v>1.824365159849628E-2</v>
      </c>
      <c r="C115" s="13">
        <v>-1.9257927846962897E-3</v>
      </c>
      <c r="D115" s="13">
        <v>1.404494460926653E-2</v>
      </c>
      <c r="E115" s="13">
        <v>3.729766733368467E-2</v>
      </c>
      <c r="F115" s="13">
        <v>3.585655307058655E-2</v>
      </c>
      <c r="G115" s="13">
        <v>1.5257096226128919E-2</v>
      </c>
    </row>
    <row r="116" spans="1:7">
      <c r="A116" s="9">
        <v>43635</v>
      </c>
      <c r="B116" s="17">
        <v>9.0439016538570449E-3</v>
      </c>
      <c r="C116" s="13">
        <v>-7.0748649343966852E-3</v>
      </c>
      <c r="D116" s="13">
        <v>8.3103605712111506E-3</v>
      </c>
      <c r="E116" s="13">
        <v>1.492533953382269E-2</v>
      </c>
      <c r="F116" s="13">
        <v>5.7692115384615494E-3</v>
      </c>
      <c r="G116" s="13">
        <v>7.513907700247513E-3</v>
      </c>
    </row>
    <row r="117" spans="1:7">
      <c r="A117" s="9">
        <v>43637</v>
      </c>
      <c r="B117" s="17">
        <v>1.7048343519137088E-2</v>
      </c>
      <c r="C117" s="13">
        <v>-5.6484000518202127E-3</v>
      </c>
      <c r="D117" s="13">
        <v>1.3736262981524083E-2</v>
      </c>
      <c r="E117" s="13">
        <v>1.7379701699482331E-2</v>
      </c>
      <c r="F117" s="13">
        <v>2.6768642959247302E-3</v>
      </c>
      <c r="G117" s="13">
        <v>3.0804191501302647E-2</v>
      </c>
    </row>
    <row r="118" spans="1:7">
      <c r="A118" s="9">
        <v>43640</v>
      </c>
      <c r="B118" s="17">
        <v>4.8033093821375772E-4</v>
      </c>
      <c r="C118" s="13">
        <v>-4.4818511087370005E-3</v>
      </c>
      <c r="D118" s="13">
        <v>-8.1301892612364313E-3</v>
      </c>
      <c r="E118" s="13">
        <v>-5.9133278338538986E-3</v>
      </c>
      <c r="F118" s="13">
        <v>-7.6271931279026095E-4</v>
      </c>
      <c r="G118" s="13">
        <v>-4.0894175970899171E-3</v>
      </c>
    </row>
    <row r="119" spans="1:7">
      <c r="A119" s="9">
        <v>43641</v>
      </c>
      <c r="B119" s="17">
        <v>-1.9292194940330409E-2</v>
      </c>
      <c r="C119" s="13">
        <v>1.3349038084020659E-3</v>
      </c>
      <c r="D119" s="13">
        <v>-7.10377087998737E-3</v>
      </c>
      <c r="E119" s="13">
        <v>-2.5115651680254203E-2</v>
      </c>
      <c r="F119" s="13">
        <v>-1.9465667195966874E-2</v>
      </c>
      <c r="G119" s="13">
        <v>-3.0322112957875125E-2</v>
      </c>
    </row>
    <row r="120" spans="1:7">
      <c r="A120" s="9">
        <v>43642</v>
      </c>
      <c r="B120" s="17">
        <v>5.9544623500145111E-3</v>
      </c>
      <c r="C120" s="13">
        <v>5.2017984107066706E-3</v>
      </c>
      <c r="D120" s="13">
        <v>-3.8525041276830096E-3</v>
      </c>
      <c r="E120" s="13">
        <v>2.3050914567553038E-2</v>
      </c>
      <c r="F120" s="13">
        <v>3.8925845875323883E-3</v>
      </c>
      <c r="G120" s="13">
        <v>-4.8860983242066114E-3</v>
      </c>
    </row>
    <row r="121" spans="1:7">
      <c r="A121" s="9">
        <v>43643</v>
      </c>
      <c r="B121" s="17">
        <v>3.4760500153940832E-4</v>
      </c>
      <c r="C121" s="13">
        <v>-6.7611493953967372E-4</v>
      </c>
      <c r="D121" s="13">
        <v>-2.7624861878453588E-3</v>
      </c>
      <c r="E121" s="13">
        <v>-6.6269084147503321E-3</v>
      </c>
      <c r="F121" s="13">
        <v>2.3264636554298779E-3</v>
      </c>
      <c r="G121" s="13">
        <v>-2.1603919051012777E-2</v>
      </c>
    </row>
    <row r="122" spans="1:7">
      <c r="A122" s="9">
        <v>43644</v>
      </c>
      <c r="B122" s="17">
        <v>2.41253325920332E-3</v>
      </c>
      <c r="C122" s="13">
        <v>-6.9999219339562657E-3</v>
      </c>
      <c r="D122" s="13">
        <v>-8.864266419072897E-3</v>
      </c>
      <c r="E122" s="13">
        <v>1.4009292660858597E-2</v>
      </c>
      <c r="F122" s="13">
        <v>2.3210637848922744E-3</v>
      </c>
      <c r="G122" s="13">
        <v>4.3493676973898054E-3</v>
      </c>
    </row>
    <row r="123" spans="1:7">
      <c r="A123" s="9">
        <v>43647</v>
      </c>
      <c r="B123" s="17">
        <v>3.6942763477174623E-3</v>
      </c>
      <c r="C123" s="13">
        <v>8.7788259958072601E-3</v>
      </c>
      <c r="D123" s="13">
        <v>-4.4717721895902729E-3</v>
      </c>
      <c r="E123" s="13">
        <v>-1.1184242907291919E-2</v>
      </c>
      <c r="F123" s="13">
        <v>3.5314588961790738E-2</v>
      </c>
      <c r="G123" s="13">
        <v>-3.3311840993233144E-3</v>
      </c>
    </row>
    <row r="124" spans="1:7">
      <c r="A124" s="9">
        <v>43648</v>
      </c>
      <c r="B124" s="17">
        <v>-7.2528123149793178E-3</v>
      </c>
      <c r="C124" s="13">
        <v>-2.571762566567104E-3</v>
      </c>
      <c r="D124" s="13">
        <v>1.7967435034667911E-2</v>
      </c>
      <c r="E124" s="13">
        <v>-2.5948038091323289E-2</v>
      </c>
      <c r="F124" s="13">
        <v>-4.2124937851819588E-2</v>
      </c>
      <c r="G124" s="13">
        <v>-1.504006058481544E-2</v>
      </c>
    </row>
    <row r="125" spans="1:7">
      <c r="A125" s="9">
        <v>43649</v>
      </c>
      <c r="B125" s="17">
        <v>1.4293524178718764E-2</v>
      </c>
      <c r="C125" s="13">
        <v>1.1199083237838359E-3</v>
      </c>
      <c r="D125" s="13">
        <v>3.9161667907427811E-2</v>
      </c>
      <c r="E125" s="13">
        <v>1.7076442491953614E-2</v>
      </c>
      <c r="F125" s="13">
        <v>-1.9458649921360038E-3</v>
      </c>
      <c r="G125" s="13">
        <v>1.0179823439217417E-2</v>
      </c>
    </row>
    <row r="126" spans="1:7">
      <c r="A126" s="9">
        <v>43650</v>
      </c>
      <c r="B126" s="17">
        <v>1.5611065923189171E-2</v>
      </c>
      <c r="C126" s="13">
        <v>-4.9168812924373917E-3</v>
      </c>
      <c r="D126" s="13">
        <v>8.4925690021231404E-3</v>
      </c>
      <c r="E126" s="13">
        <v>2.7535287317176582E-2</v>
      </c>
      <c r="F126" s="13">
        <v>7.4087929926147655E-3</v>
      </c>
      <c r="G126" s="13">
        <v>1.3100461354806248E-2</v>
      </c>
    </row>
    <row r="127" spans="1:7">
      <c r="A127" s="9">
        <v>43651</v>
      </c>
      <c r="B127" s="17">
        <v>4.3710679686594922E-3</v>
      </c>
      <c r="C127" s="13">
        <v>-6.3267973856209192E-3</v>
      </c>
      <c r="D127" s="13">
        <v>0</v>
      </c>
      <c r="E127" s="13">
        <v>4.5751920931342838E-3</v>
      </c>
      <c r="F127" s="13">
        <v>-2.5353145939738586E-2</v>
      </c>
      <c r="G127" s="13">
        <v>-4.3103639728955256E-3</v>
      </c>
    </row>
    <row r="128" spans="1:7">
      <c r="A128" s="9">
        <v>43654</v>
      </c>
      <c r="B128" s="17">
        <v>4.2367589274563411E-3</v>
      </c>
      <c r="C128" s="13">
        <v>4.8147758366658966E-3</v>
      </c>
      <c r="D128" s="13">
        <v>-3.1578421052632644E-3</v>
      </c>
      <c r="E128" s="13">
        <v>-1.3011975675737419E-3</v>
      </c>
      <c r="F128" s="13">
        <v>1.1715647106520288E-2</v>
      </c>
      <c r="G128" s="13">
        <v>1.9314025490549058E-2</v>
      </c>
    </row>
    <row r="129" spans="1:7">
      <c r="A129" s="9">
        <v>43656</v>
      </c>
      <c r="B129" s="17">
        <v>1.2312254855065596E-2</v>
      </c>
      <c r="C129" s="13">
        <v>-5.2630200832657348E-3</v>
      </c>
      <c r="D129" s="13">
        <v>4.2238118150046411E-3</v>
      </c>
      <c r="E129" s="13">
        <v>-2.6059167936925975E-3</v>
      </c>
      <c r="F129" s="13">
        <v>2.3159960291266657E-2</v>
      </c>
      <c r="G129" s="13">
        <v>3.5935622491727326E-3</v>
      </c>
    </row>
    <row r="130" spans="1:7">
      <c r="A130" s="9">
        <v>43657</v>
      </c>
      <c r="B130" s="17">
        <v>-6.3411361123448806E-3</v>
      </c>
      <c r="C130" s="13">
        <v>-1.2819162937615092E-2</v>
      </c>
      <c r="D130" s="13">
        <v>-1.7350105152471151E-2</v>
      </c>
      <c r="E130" s="13">
        <v>-2.4167249625808185E-2</v>
      </c>
      <c r="F130" s="13">
        <v>-1.5346633122067521E-3</v>
      </c>
      <c r="G130" s="13">
        <v>1.8880247695461927E-2</v>
      </c>
    </row>
    <row r="131" spans="1:7">
      <c r="A131" s="9">
        <v>43658</v>
      </c>
      <c r="B131" s="17">
        <v>-1.1793125748958633E-2</v>
      </c>
      <c r="C131" s="13">
        <v>1.199904007679331E-3</v>
      </c>
      <c r="D131" s="13">
        <v>-2.6217227061678505E-2</v>
      </c>
      <c r="E131" s="13">
        <v>-1.4725469380057588E-2</v>
      </c>
      <c r="F131" s="13">
        <v>-4.6109126726400218E-3</v>
      </c>
      <c r="G131" s="13">
        <v>6.3897849939875684E-3</v>
      </c>
    </row>
    <row r="132" spans="1:7">
      <c r="A132" s="9">
        <v>43661</v>
      </c>
      <c r="B132" s="17">
        <v>-9.9128058052466717E-4</v>
      </c>
      <c r="C132" s="13">
        <v>-5.4330457015020484E-3</v>
      </c>
      <c r="D132" s="13">
        <v>2.7471976512527529E-3</v>
      </c>
      <c r="E132" s="13">
        <v>1.4266256130394783E-2</v>
      </c>
      <c r="F132" s="13">
        <v>1.6985099073825616E-2</v>
      </c>
      <c r="G132" s="13">
        <v>-1.6825432211793556E-2</v>
      </c>
    </row>
    <row r="133" spans="1:7">
      <c r="A133" s="9">
        <v>43662</v>
      </c>
      <c r="B133" s="17">
        <v>-2.6974172230087579E-4</v>
      </c>
      <c r="C133" s="13">
        <v>5.1681662382176974E-3</v>
      </c>
      <c r="D133" s="13">
        <v>-8.2191780821917471E-3</v>
      </c>
      <c r="E133" s="13">
        <v>-9.3771516554987944E-3</v>
      </c>
      <c r="F133" s="13">
        <v>6.8324161478916512E-3</v>
      </c>
      <c r="G133" s="13">
        <v>-1.1947016470524985E-2</v>
      </c>
    </row>
    <row r="134" spans="1:7">
      <c r="A134" s="9">
        <v>43663</v>
      </c>
      <c r="B134" s="17">
        <v>7.8053481088891097E-4</v>
      </c>
      <c r="C134" s="13">
        <v>3.5964515011854825E-3</v>
      </c>
      <c r="D134" s="13">
        <v>-6.0773480662985602E-3</v>
      </c>
      <c r="E134" s="13">
        <v>-1.2170364985170767E-2</v>
      </c>
      <c r="F134" s="13">
        <v>-6.7860510232997662E-3</v>
      </c>
      <c r="G134" s="13">
        <v>-6.5359894491985315E-3</v>
      </c>
    </row>
    <row r="135" spans="1:7">
      <c r="A135" s="9">
        <v>43664</v>
      </c>
      <c r="B135" s="17">
        <v>8.2903250654753347E-3</v>
      </c>
      <c r="C135" s="13">
        <v>-1.4334253557017895E-3</v>
      </c>
      <c r="D135" s="13">
        <v>1.4452473596442639E-2</v>
      </c>
      <c r="E135" s="13">
        <v>-8.2135843012881571E-3</v>
      </c>
      <c r="F135" s="13">
        <v>-1.8978743954806143E-3</v>
      </c>
      <c r="G135" s="13">
        <v>-1.0855225251498513E-2</v>
      </c>
    </row>
    <row r="136" spans="1:7">
      <c r="A136" s="9">
        <v>43665</v>
      </c>
      <c r="B136" s="17">
        <v>-1.2080178003571529E-2</v>
      </c>
      <c r="C136" s="13">
        <v>-1.1802860332819409E-2</v>
      </c>
      <c r="D136" s="13">
        <v>-8.7671232876712635E-3</v>
      </c>
      <c r="E136" s="13">
        <v>-1.0351903368263526E-2</v>
      </c>
      <c r="F136" s="13">
        <v>2.4719718577677074E-3</v>
      </c>
      <c r="G136" s="13">
        <v>-3.3258461320684329E-4</v>
      </c>
    </row>
    <row r="137" spans="1:7">
      <c r="A137" s="9">
        <v>43668</v>
      </c>
      <c r="B137" s="17">
        <v>4.8041603835595748E-3</v>
      </c>
      <c r="C137" s="13">
        <v>7.6666487329852817E-3</v>
      </c>
      <c r="D137" s="13">
        <v>-5.5279159756772556E-3</v>
      </c>
      <c r="E137" s="13">
        <v>-2.3012605993084745E-2</v>
      </c>
      <c r="F137" s="13">
        <v>-5.1213959574849532E-3</v>
      </c>
      <c r="G137" s="13">
        <v>1.3307140352702973E-3</v>
      </c>
    </row>
    <row r="138" spans="1:7">
      <c r="A138" s="9">
        <v>43669</v>
      </c>
      <c r="B138" s="17">
        <v>-2.3569250305438549E-3</v>
      </c>
      <c r="C138" s="13">
        <v>-1.6284471021650315E-3</v>
      </c>
      <c r="D138" s="13">
        <v>2.2235130628127653E-3</v>
      </c>
      <c r="E138" s="13">
        <v>3.5689531436824407E-3</v>
      </c>
      <c r="F138" s="13">
        <v>-1.3155443028494807E-2</v>
      </c>
      <c r="G138" s="13">
        <v>4.9833619117649608E-3</v>
      </c>
    </row>
    <row r="139" spans="1:7">
      <c r="A139" s="9">
        <v>43670</v>
      </c>
      <c r="B139" s="17">
        <v>4.0114171102367813E-3</v>
      </c>
      <c r="C139" s="13">
        <v>8.7170436921761851E-3</v>
      </c>
      <c r="D139" s="13">
        <v>-3.882528902799165E-3</v>
      </c>
      <c r="E139" s="13">
        <v>-1.493601018767754E-2</v>
      </c>
      <c r="F139" s="13">
        <v>-2.1445054924461249E-2</v>
      </c>
      <c r="G139" s="13">
        <v>-8.2644740923611959E-3</v>
      </c>
    </row>
    <row r="140" spans="1:7">
      <c r="A140" s="9">
        <v>43671</v>
      </c>
      <c r="B140" s="17">
        <v>-1.4070303495966163E-2</v>
      </c>
      <c r="C140" s="13">
        <v>-2.9159155974978201E-4</v>
      </c>
      <c r="D140" s="13">
        <v>8.518936999940796E-2</v>
      </c>
      <c r="E140" s="13">
        <v>-9.3863299205337869E-3</v>
      </c>
      <c r="F140" s="13">
        <v>-3.1589337350865776E-3</v>
      </c>
      <c r="G140" s="13">
        <v>-1.800003149282825E-2</v>
      </c>
    </row>
    <row r="141" spans="1:7">
      <c r="A141" s="9">
        <v>43672</v>
      </c>
      <c r="B141" s="17">
        <v>1.5975841410549307E-3</v>
      </c>
      <c r="C141" s="13">
        <v>1.0341261633919352E-3</v>
      </c>
      <c r="D141" s="13">
        <v>1.5905541303232518E-2</v>
      </c>
      <c r="E141" s="13">
        <v>2.9155121517050464E-3</v>
      </c>
      <c r="F141" s="13">
        <v>-5.1495739691196363E-3</v>
      </c>
      <c r="G141" s="13">
        <v>-3.1228712536971237E-2</v>
      </c>
    </row>
    <row r="142" spans="1:7">
      <c r="A142" s="9">
        <v>43675</v>
      </c>
      <c r="B142" s="17">
        <v>6.4579503788211312E-3</v>
      </c>
      <c r="C142" s="13">
        <v>-4.5030726848904745E-4</v>
      </c>
      <c r="D142" s="13">
        <v>3.5353587644120665E-2</v>
      </c>
      <c r="E142" s="13">
        <v>1.0174335967205073E-2</v>
      </c>
      <c r="F142" s="13">
        <v>5.9721282102342954E-4</v>
      </c>
      <c r="G142" s="13">
        <v>1.2263400322815698E-2</v>
      </c>
    </row>
    <row r="143" spans="1:7">
      <c r="A143" s="9">
        <v>43676</v>
      </c>
      <c r="B143" s="17">
        <v>-5.3148826377279468E-3</v>
      </c>
      <c r="C143" s="13">
        <v>1.7490393533854398E-3</v>
      </c>
      <c r="D143" s="13">
        <v>-7.8048780487804947E-3</v>
      </c>
      <c r="E143" s="13">
        <v>1.3669130532412588E-2</v>
      </c>
      <c r="F143" s="13">
        <v>-4.9741346985330281E-3</v>
      </c>
      <c r="G143" s="13">
        <v>-6.5765818627778749E-3</v>
      </c>
    </row>
    <row r="144" spans="1:7">
      <c r="A144" s="9">
        <v>43677</v>
      </c>
      <c r="B144" s="17">
        <v>-1.0890579308870829E-2</v>
      </c>
      <c r="C144" s="13">
        <v>2.4337980476707433E-3</v>
      </c>
      <c r="D144" s="13">
        <v>-1.032453294001956E-2</v>
      </c>
      <c r="E144" s="13">
        <v>-2.413058719620087E-2</v>
      </c>
      <c r="F144" s="13">
        <v>-3.999140331899298E-3</v>
      </c>
      <c r="G144" s="13">
        <v>3.1358997028696489E-3</v>
      </c>
    </row>
    <row r="145" spans="1:7">
      <c r="A145" s="9">
        <v>43678</v>
      </c>
      <c r="B145" s="17">
        <v>3.0841158213177344E-3</v>
      </c>
      <c r="C145" s="13">
        <v>5.9113820494551828E-3</v>
      </c>
      <c r="D145" s="13">
        <v>1.4406409061421321E-2</v>
      </c>
      <c r="E145" s="13">
        <v>-1.8181827489399005E-2</v>
      </c>
      <c r="F145" s="13">
        <v>-2.8307548116692449E-2</v>
      </c>
      <c r="G145" s="13">
        <v>-1.5283076627045533E-2</v>
      </c>
    </row>
    <row r="146" spans="1:7">
      <c r="A146" s="9">
        <v>43679</v>
      </c>
      <c r="B146" s="17">
        <v>5.3659205295419898E-3</v>
      </c>
      <c r="C146" s="13">
        <v>6.7161633916623664E-3</v>
      </c>
      <c r="D146" s="13">
        <v>3.42801175318308E-3</v>
      </c>
      <c r="E146" s="13">
        <v>5.1852176828330876E-3</v>
      </c>
      <c r="F146" s="13">
        <v>-1.157028877808719E-2</v>
      </c>
      <c r="G146" s="13">
        <v>3.0335058716191687E-2</v>
      </c>
    </row>
    <row r="147" spans="1:7">
      <c r="A147" s="9">
        <v>43682</v>
      </c>
      <c r="B147" s="17">
        <v>-2.5089117011122597E-2</v>
      </c>
      <c r="C147" s="13">
        <v>1.2143955385297112E-2</v>
      </c>
      <c r="D147" s="13">
        <v>-1.6105417276720324E-2</v>
      </c>
      <c r="E147" s="13">
        <v>-3.4635271339858775E-2</v>
      </c>
      <c r="F147" s="13">
        <v>-3.8461538461538547E-2</v>
      </c>
      <c r="G147" s="13">
        <v>-4.1424184419483812E-2</v>
      </c>
    </row>
    <row r="148" spans="1:7">
      <c r="A148" s="9">
        <v>43683</v>
      </c>
      <c r="B148" s="17">
        <v>2.0639773022437913E-2</v>
      </c>
      <c r="C148" s="13">
        <v>2.2966605731352452E-2</v>
      </c>
      <c r="D148" s="13">
        <v>1.5873015873015817E-2</v>
      </c>
      <c r="E148" s="13">
        <v>-7.6337454071839783E-4</v>
      </c>
      <c r="F148" s="13">
        <v>1.3478239130434888E-2</v>
      </c>
      <c r="G148" s="13">
        <v>1.6785722842058481E-2</v>
      </c>
    </row>
    <row r="149" spans="1:7">
      <c r="A149" s="9">
        <v>43684</v>
      </c>
      <c r="B149" s="17">
        <v>6.0490975294624771E-3</v>
      </c>
      <c r="C149" s="13">
        <v>-3.624373914575596E-3</v>
      </c>
      <c r="D149" s="13">
        <v>7.3241699218751233E-3</v>
      </c>
      <c r="E149" s="13">
        <v>-9.1672622643446111E-3</v>
      </c>
      <c r="F149" s="13">
        <v>-3.0029816173956503E-3</v>
      </c>
      <c r="G149" s="13">
        <v>-9.4836657503922783E-3</v>
      </c>
    </row>
    <row r="150" spans="1:7">
      <c r="A150" s="9">
        <v>43685</v>
      </c>
      <c r="B150" s="17">
        <v>1.2969196941098549E-2</v>
      </c>
      <c r="C150" s="13">
        <v>2.1976911612398009E-3</v>
      </c>
      <c r="D150" s="13">
        <v>-2.2297577425961057E-2</v>
      </c>
      <c r="E150" s="13">
        <v>3.2382391023878299E-2</v>
      </c>
      <c r="F150" s="13">
        <v>1.5060240963855387E-2</v>
      </c>
      <c r="G150" s="13">
        <v>2.3758918925792294E-2</v>
      </c>
    </row>
    <row r="151" spans="1:7">
      <c r="A151" s="9">
        <v>43686</v>
      </c>
      <c r="B151" s="17">
        <v>-1.1429669115881058E-3</v>
      </c>
      <c r="C151" s="13">
        <v>-1.2552301255230103E-2</v>
      </c>
      <c r="D151" s="13">
        <v>-4.9578582052554054E-3</v>
      </c>
      <c r="E151" s="13">
        <v>-7.4682639335299505E-3</v>
      </c>
      <c r="F151" s="13">
        <v>-3.582022043238664E-2</v>
      </c>
      <c r="G151" s="13">
        <v>-8.6595194391480002E-3</v>
      </c>
    </row>
    <row r="152" spans="1:7">
      <c r="A152" s="9">
        <v>43689</v>
      </c>
      <c r="B152" s="17">
        <v>-2.001038501480823E-2</v>
      </c>
      <c r="C152" s="13">
        <v>5.7688380641207626E-3</v>
      </c>
      <c r="D152" s="13">
        <v>-2.939711011459889E-2</v>
      </c>
      <c r="E152" s="13">
        <v>-2.7087990344287438E-2</v>
      </c>
      <c r="F152" s="13">
        <v>-7.2543852603039749E-3</v>
      </c>
      <c r="G152" s="13">
        <v>-2.6904284088202779E-2</v>
      </c>
    </row>
    <row r="153" spans="1:7">
      <c r="A153" s="9">
        <v>43690</v>
      </c>
      <c r="B153" s="17">
        <v>1.3579944071039574E-2</v>
      </c>
      <c r="C153" s="13">
        <v>1.1090807573219674E-2</v>
      </c>
      <c r="D153" s="13">
        <v>-5.1335215605748941E-3</v>
      </c>
      <c r="E153" s="13">
        <v>2.6295434502302761E-2</v>
      </c>
      <c r="F153" s="13">
        <v>2.9672276350752869E-2</v>
      </c>
      <c r="G153" s="13">
        <v>1.1211537070524358E-2</v>
      </c>
    </row>
    <row r="154" spans="1:7">
      <c r="A154" s="9">
        <v>43691</v>
      </c>
      <c r="B154" s="17">
        <v>-2.9438813541273423E-2</v>
      </c>
      <c r="C154" s="13">
        <v>-5.3967218052661803E-3</v>
      </c>
      <c r="D154" s="13">
        <v>-1.9091796650763548E-2</v>
      </c>
      <c r="E154" s="13">
        <v>-4.2200488408389747E-2</v>
      </c>
      <c r="F154" s="13">
        <v>-3.4838688172043053E-2</v>
      </c>
      <c r="G154" s="13">
        <v>-3.0758191371895172E-2</v>
      </c>
    </row>
    <row r="155" spans="1:7">
      <c r="A155" s="9">
        <v>43692</v>
      </c>
      <c r="B155" s="17">
        <v>-1.197909393764085E-2</v>
      </c>
      <c r="C155" s="13">
        <v>2.2183525136280968E-2</v>
      </c>
      <c r="D155" s="13">
        <v>-1.2098842714361013E-2</v>
      </c>
      <c r="E155" s="13">
        <v>-3.3831615193680609E-2</v>
      </c>
      <c r="F155" s="13">
        <v>-2.2058867601183807E-2</v>
      </c>
      <c r="G155" s="13">
        <v>-2.2140221402214055E-2</v>
      </c>
    </row>
    <row r="156" spans="1:7">
      <c r="A156" s="9">
        <v>43693</v>
      </c>
      <c r="B156" s="17">
        <v>7.5613030881209742E-3</v>
      </c>
      <c r="C156" s="13">
        <v>-1.4863096560748579E-2</v>
      </c>
      <c r="D156" s="13">
        <v>6.3897227694502678E-3</v>
      </c>
      <c r="E156" s="13">
        <v>3.2573306972825788E-2</v>
      </c>
      <c r="F156" s="13">
        <v>-4.5568467659341527E-3</v>
      </c>
      <c r="G156" s="13">
        <v>-4.5283396226414308E-3</v>
      </c>
    </row>
    <row r="157" spans="1:7">
      <c r="A157" s="9">
        <v>43696</v>
      </c>
      <c r="B157" s="17">
        <v>-3.3765505079854652E-3</v>
      </c>
      <c r="C157" s="13">
        <v>3.6339941354852634E-3</v>
      </c>
      <c r="D157" s="13">
        <v>1.1111164021164077E-2</v>
      </c>
      <c r="E157" s="13">
        <v>-2.7755749405233954E-2</v>
      </c>
      <c r="F157" s="13">
        <v>-9.1547266915703585E-4</v>
      </c>
      <c r="G157" s="13">
        <v>1.3646740471824792E-2</v>
      </c>
    </row>
    <row r="158" spans="1:7">
      <c r="A158" s="9">
        <v>43697</v>
      </c>
      <c r="B158" s="17">
        <v>-2.4831857161528026E-3</v>
      </c>
      <c r="C158" s="13">
        <v>1.7130300154821976E-2</v>
      </c>
      <c r="D158" s="13">
        <v>-8.8958655732148673E-3</v>
      </c>
      <c r="E158" s="13">
        <v>4.0783034257749762E-3</v>
      </c>
      <c r="F158" s="13">
        <v>4.3527603962081329E-3</v>
      </c>
      <c r="G158" s="13">
        <v>-9.3492894540014859E-3</v>
      </c>
    </row>
    <row r="159" spans="1:7">
      <c r="A159" s="9">
        <v>43698</v>
      </c>
      <c r="B159" s="17">
        <v>1.9955251859466561E-2</v>
      </c>
      <c r="C159" s="13">
        <v>-5.2784051851123559E-3</v>
      </c>
      <c r="D159" s="13">
        <v>-7.3918686699118163E-3</v>
      </c>
      <c r="E159" s="13">
        <v>1.9496344435418367E-2</v>
      </c>
      <c r="F159" s="13">
        <v>7.0712135036494761E-3</v>
      </c>
      <c r="G159" s="13">
        <v>5.3227633069082625E-2</v>
      </c>
    </row>
    <row r="160" spans="1:7">
      <c r="A160" s="9">
        <v>43699</v>
      </c>
      <c r="B160" s="17">
        <v>-1.1768542123673398E-2</v>
      </c>
      <c r="C160" s="13">
        <v>-6.8366364735790164E-3</v>
      </c>
      <c r="D160" s="13">
        <v>-1.7553192423042097E-2</v>
      </c>
      <c r="E160" s="13">
        <v>4.7808764940238113E-3</v>
      </c>
      <c r="F160" s="13">
        <v>-5.8890824059305569E-3</v>
      </c>
      <c r="G160" s="13">
        <v>-9.6774551971324785E-3</v>
      </c>
    </row>
    <row r="161" spans="1:7">
      <c r="A161" s="9">
        <v>43700</v>
      </c>
      <c r="B161" s="17">
        <v>-2.3437421883592768E-2</v>
      </c>
      <c r="C161" s="13">
        <v>1.0934393638170947E-2</v>
      </c>
      <c r="D161" s="13">
        <v>-7.5798054997189279E-3</v>
      </c>
      <c r="E161" s="13">
        <v>-2.5376685170499624E-2</v>
      </c>
      <c r="F161" s="13">
        <v>-1.3898382636099105E-2</v>
      </c>
      <c r="G161" s="13">
        <v>-3.1487478519271694E-2</v>
      </c>
    </row>
    <row r="162" spans="1:7">
      <c r="A162" s="9">
        <v>43703</v>
      </c>
      <c r="B162" s="17">
        <v>-1.2665485783324937E-2</v>
      </c>
      <c r="C162" s="13">
        <v>1.4306784660766958E-2</v>
      </c>
      <c r="D162" s="13">
        <v>-1.3093289689034338E-2</v>
      </c>
      <c r="E162" s="13">
        <v>-2.2782750203417357E-2</v>
      </c>
      <c r="F162" s="13">
        <v>-1.1090573269190607E-2</v>
      </c>
      <c r="G162" s="13">
        <v>-1.3079222720478345E-2</v>
      </c>
    </row>
    <row r="163" spans="1:7">
      <c r="A163" s="9">
        <v>43704</v>
      </c>
      <c r="B163" s="17">
        <v>8.7732033599501325E-3</v>
      </c>
      <c r="C163" s="13">
        <v>6.1315496098106603E-3</v>
      </c>
      <c r="D163" s="13">
        <v>4.4223327805419377E-3</v>
      </c>
      <c r="E163" s="13">
        <v>-1.9983347210657754E-2</v>
      </c>
      <c r="F163" s="13">
        <v>1.2149556358634461E-2</v>
      </c>
      <c r="G163" s="13">
        <v>1.8932222642938257E-2</v>
      </c>
    </row>
    <row r="164" spans="1:7">
      <c r="A164" s="9">
        <v>43705</v>
      </c>
      <c r="B164" s="17">
        <v>9.4370656688185228E-3</v>
      </c>
      <c r="C164" s="13">
        <v>-6.9131639166567505E-3</v>
      </c>
      <c r="D164" s="13">
        <v>-1.1007154650524154E-3</v>
      </c>
      <c r="E164" s="13">
        <v>1.1894647408666081E-2</v>
      </c>
      <c r="F164" s="13">
        <v>3.6934441366573978E-3</v>
      </c>
      <c r="G164" s="13">
        <v>7.0605722779635283E-3</v>
      </c>
    </row>
    <row r="165" spans="1:7">
      <c r="A165" s="9">
        <v>43706</v>
      </c>
      <c r="B165" s="17">
        <v>2.3728537385176329E-2</v>
      </c>
      <c r="C165" s="13">
        <v>1.089065683516055E-2</v>
      </c>
      <c r="D165" s="13">
        <v>2.2038512396694188E-2</v>
      </c>
      <c r="E165" s="13">
        <v>5.2057094878253496E-2</v>
      </c>
      <c r="F165" s="13">
        <v>3.7258463661453689E-2</v>
      </c>
      <c r="G165" s="13">
        <v>3.7638413284132755E-2</v>
      </c>
    </row>
    <row r="166" spans="1:7">
      <c r="A166" s="9">
        <v>43707</v>
      </c>
      <c r="B166" s="17">
        <v>6.0781504914249052E-3</v>
      </c>
      <c r="C166" s="13">
        <v>9.5976197902913896E-5</v>
      </c>
      <c r="D166" s="13">
        <v>9.1644209792141051E-3</v>
      </c>
      <c r="E166" s="13">
        <v>2.7134876296887489E-2</v>
      </c>
      <c r="F166" s="13">
        <v>1.0421330839083476E-2</v>
      </c>
      <c r="G166" s="13">
        <v>5.3342458984977359E-3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70CCA0-B7CD-4F9A-B32D-D2B63E454549}">
  <sheetPr codeName="Sheet2">
    <tabColor theme="3"/>
  </sheetPr>
  <dimension ref="A1:B67"/>
  <sheetViews>
    <sheetView showGridLines="0" workbookViewId="0">
      <pane ySplit="1" topLeftCell="A2" activePane="bottomLeft" state="frozen"/>
      <selection pane="bottomLeft" activeCell="A7" sqref="A7"/>
    </sheetView>
  </sheetViews>
  <sheetFormatPr defaultRowHeight="14.4"/>
  <cols>
    <col min="1" max="1" width="17.33203125" style="8" customWidth="1"/>
    <col min="2" max="2" width="18.33203125" style="8" customWidth="1"/>
  </cols>
  <sheetData>
    <row r="1" spans="1:2" ht="20.399999999999999" customHeight="1">
      <c r="A1" s="6" t="s">
        <v>71</v>
      </c>
      <c r="B1" s="6" t="s">
        <v>72</v>
      </c>
    </row>
    <row r="2" spans="1:2" ht="18" customHeight="1">
      <c r="A2" s="8" t="s">
        <v>76</v>
      </c>
      <c r="B2" s="8" t="s">
        <v>77</v>
      </c>
    </row>
    <row r="3" spans="1:2">
      <c r="A3" s="8" t="s">
        <v>92</v>
      </c>
      <c r="B3" s="8" t="s">
        <v>93</v>
      </c>
    </row>
    <row r="4" spans="1:2">
      <c r="A4" s="8" t="s">
        <v>11</v>
      </c>
      <c r="B4" s="8" t="str">
        <f>A4 &amp; ".SA"</f>
        <v>ABEV3.SA</v>
      </c>
    </row>
    <row r="5" spans="1:2">
      <c r="A5" s="8" t="s">
        <v>12</v>
      </c>
      <c r="B5" s="8" t="str">
        <f t="shared" ref="B5:B65" si="0">A5 &amp; ".SA"</f>
        <v>AZUL4.SA</v>
      </c>
    </row>
    <row r="6" spans="1:2">
      <c r="A6" s="8" t="s">
        <v>13</v>
      </c>
      <c r="B6" s="8" t="str">
        <f t="shared" si="0"/>
        <v>B3SA3.SA</v>
      </c>
    </row>
    <row r="7" spans="1:2">
      <c r="A7" s="8" t="s">
        <v>14</v>
      </c>
      <c r="B7" s="8" t="str">
        <f t="shared" si="0"/>
        <v>BBAS3.SA</v>
      </c>
    </row>
    <row r="8" spans="1:2">
      <c r="A8" s="8" t="s">
        <v>15</v>
      </c>
      <c r="B8" s="8" t="str">
        <f t="shared" si="0"/>
        <v>BBDC3.SA</v>
      </c>
    </row>
    <row r="9" spans="1:2">
      <c r="A9" s="8" t="s">
        <v>16</v>
      </c>
      <c r="B9" s="8" t="str">
        <f t="shared" si="0"/>
        <v>BBDC4.SA</v>
      </c>
    </row>
    <row r="10" spans="1:2">
      <c r="A10" s="8" t="s">
        <v>17</v>
      </c>
      <c r="B10" s="8" t="str">
        <f t="shared" si="0"/>
        <v>BBSE3.SA</v>
      </c>
    </row>
    <row r="11" spans="1:2">
      <c r="A11" s="8" t="s">
        <v>18</v>
      </c>
      <c r="B11" s="8" t="str">
        <f t="shared" si="0"/>
        <v>BRAP4.SA</v>
      </c>
    </row>
    <row r="12" spans="1:2">
      <c r="A12" s="8" t="s">
        <v>19</v>
      </c>
      <c r="B12" s="8" t="str">
        <f t="shared" si="0"/>
        <v>BRDT3.SA</v>
      </c>
    </row>
    <row r="13" spans="1:2">
      <c r="A13" s="8" t="s">
        <v>20</v>
      </c>
      <c r="B13" s="8" t="str">
        <f t="shared" si="0"/>
        <v>BRFS3.SA</v>
      </c>
    </row>
    <row r="14" spans="1:2">
      <c r="A14" s="8" t="s">
        <v>21</v>
      </c>
      <c r="B14" s="8" t="str">
        <f t="shared" si="0"/>
        <v>BRKM5.SA</v>
      </c>
    </row>
    <row r="15" spans="1:2">
      <c r="A15" s="8" t="s">
        <v>22</v>
      </c>
      <c r="B15" s="8" t="str">
        <f t="shared" si="0"/>
        <v>BRML3.SA</v>
      </c>
    </row>
    <row r="16" spans="1:2">
      <c r="A16" s="8" t="s">
        <v>23</v>
      </c>
      <c r="B16" s="8" t="str">
        <f t="shared" si="0"/>
        <v>BTOW3.SA</v>
      </c>
    </row>
    <row r="17" spans="1:2">
      <c r="A17" s="8" t="s">
        <v>24</v>
      </c>
      <c r="B17" s="8" t="str">
        <f t="shared" si="0"/>
        <v>CCRO3.SA</v>
      </c>
    </row>
    <row r="18" spans="1:2">
      <c r="A18" s="8" t="s">
        <v>25</v>
      </c>
      <c r="B18" s="8" t="str">
        <f t="shared" si="0"/>
        <v>CIEL3.SA</v>
      </c>
    </row>
    <row r="19" spans="1:2">
      <c r="A19" s="8" t="s">
        <v>26</v>
      </c>
      <c r="B19" s="8" t="str">
        <f t="shared" si="0"/>
        <v>CMIG4.SA</v>
      </c>
    </row>
    <row r="20" spans="1:2">
      <c r="A20" s="8" t="s">
        <v>27</v>
      </c>
      <c r="B20" s="8" t="str">
        <f t="shared" si="0"/>
        <v>CSAN3.SA</v>
      </c>
    </row>
    <row r="21" spans="1:2">
      <c r="A21" s="8" t="s">
        <v>28</v>
      </c>
      <c r="B21" s="8" t="str">
        <f t="shared" si="0"/>
        <v>CSNA3.SA</v>
      </c>
    </row>
    <row r="22" spans="1:2">
      <c r="A22" s="8" t="s">
        <v>29</v>
      </c>
      <c r="B22" s="8" t="str">
        <f t="shared" si="0"/>
        <v>CVCB3.SA</v>
      </c>
    </row>
    <row r="23" spans="1:2">
      <c r="A23" s="8" t="s">
        <v>9</v>
      </c>
      <c r="B23" s="8" t="str">
        <f t="shared" si="0"/>
        <v>CYRE3.SA</v>
      </c>
    </row>
    <row r="24" spans="1:2">
      <c r="A24" s="8" t="s">
        <v>30</v>
      </c>
      <c r="B24" s="8" t="str">
        <f t="shared" si="0"/>
        <v>ECOR3.SA</v>
      </c>
    </row>
    <row r="25" spans="1:2">
      <c r="A25" s="8" t="s">
        <v>8</v>
      </c>
      <c r="B25" s="8" t="str">
        <f t="shared" si="0"/>
        <v>EGIE3.SA</v>
      </c>
    </row>
    <row r="26" spans="1:2">
      <c r="A26" s="8" t="s">
        <v>31</v>
      </c>
      <c r="B26" s="8" t="str">
        <f t="shared" si="0"/>
        <v>ELET3.SA</v>
      </c>
    </row>
    <row r="27" spans="1:2">
      <c r="A27" s="8" t="s">
        <v>32</v>
      </c>
      <c r="B27" s="8" t="str">
        <f t="shared" si="0"/>
        <v>ELET6.SA</v>
      </c>
    </row>
    <row r="28" spans="1:2">
      <c r="A28" s="8" t="s">
        <v>33</v>
      </c>
      <c r="B28" s="8" t="str">
        <f t="shared" si="0"/>
        <v>EMBR3.SA</v>
      </c>
    </row>
    <row r="29" spans="1:2">
      <c r="A29" s="8" t="s">
        <v>34</v>
      </c>
      <c r="B29" s="8" t="str">
        <f t="shared" si="0"/>
        <v>ENBR3.SA</v>
      </c>
    </row>
    <row r="30" spans="1:2">
      <c r="A30" s="8" t="s">
        <v>35</v>
      </c>
      <c r="B30" s="8" t="str">
        <f t="shared" si="0"/>
        <v>EQTL3.SA</v>
      </c>
    </row>
    <row r="31" spans="1:2">
      <c r="A31" s="8" t="s">
        <v>36</v>
      </c>
      <c r="B31" s="8" t="str">
        <f t="shared" si="0"/>
        <v>FLRY3.SA</v>
      </c>
    </row>
    <row r="32" spans="1:2">
      <c r="A32" s="8" t="s">
        <v>37</v>
      </c>
      <c r="B32" s="8" t="str">
        <f t="shared" si="0"/>
        <v>GGBR4.SA</v>
      </c>
    </row>
    <row r="33" spans="1:2">
      <c r="A33" s="8" t="s">
        <v>38</v>
      </c>
      <c r="B33" s="8" t="str">
        <f t="shared" si="0"/>
        <v>GOAU4.SA</v>
      </c>
    </row>
    <row r="34" spans="1:2">
      <c r="A34" s="8" t="s">
        <v>39</v>
      </c>
      <c r="B34" s="8" t="str">
        <f t="shared" si="0"/>
        <v>GOLL4.SA</v>
      </c>
    </row>
    <row r="35" spans="1:2">
      <c r="A35" s="8" t="s">
        <v>40</v>
      </c>
      <c r="B35" s="8" t="str">
        <f t="shared" si="0"/>
        <v>HYPE3.SA</v>
      </c>
    </row>
    <row r="36" spans="1:2">
      <c r="A36" s="8" t="s">
        <v>41</v>
      </c>
      <c r="B36" s="8" t="str">
        <f t="shared" si="0"/>
        <v>IGTA3.SA</v>
      </c>
    </row>
    <row r="37" spans="1:2">
      <c r="A37" s="8" t="s">
        <v>42</v>
      </c>
      <c r="B37" s="8" t="str">
        <f t="shared" si="0"/>
        <v>IRBR3.SA</v>
      </c>
    </row>
    <row r="38" spans="1:2">
      <c r="A38" s="8" t="s">
        <v>43</v>
      </c>
      <c r="B38" s="8" t="str">
        <f t="shared" si="0"/>
        <v>ITSA4.SA</v>
      </c>
    </row>
    <row r="39" spans="1:2">
      <c r="A39" s="8" t="s">
        <v>44</v>
      </c>
      <c r="B39" s="8" t="str">
        <f t="shared" si="0"/>
        <v>ITUB4.SA</v>
      </c>
    </row>
    <row r="40" spans="1:2">
      <c r="A40" s="8" t="s">
        <v>45</v>
      </c>
      <c r="B40" s="8" t="str">
        <f t="shared" si="0"/>
        <v>JBSS3.SA</v>
      </c>
    </row>
    <row r="41" spans="1:2">
      <c r="A41" s="8" t="s">
        <v>46</v>
      </c>
      <c r="B41" s="8" t="str">
        <f t="shared" si="0"/>
        <v>KROT3.SA</v>
      </c>
    </row>
    <row r="42" spans="1:2">
      <c r="A42" s="8" t="s">
        <v>47</v>
      </c>
      <c r="B42" s="8" t="str">
        <f t="shared" si="0"/>
        <v>LAME4.SA</v>
      </c>
    </row>
    <row r="43" spans="1:2">
      <c r="A43" s="8" t="s">
        <v>48</v>
      </c>
      <c r="B43" s="8" t="str">
        <f t="shared" si="0"/>
        <v>LREN3.SA</v>
      </c>
    </row>
    <row r="44" spans="1:2">
      <c r="A44" s="8" t="s">
        <v>49</v>
      </c>
      <c r="B44" s="8" t="str">
        <f t="shared" si="0"/>
        <v>MGLU3.SA</v>
      </c>
    </row>
    <row r="45" spans="1:2">
      <c r="A45" s="8" t="s">
        <v>50</v>
      </c>
      <c r="B45" s="8" t="str">
        <f t="shared" si="0"/>
        <v>MRFG3.SA</v>
      </c>
    </row>
    <row r="46" spans="1:2">
      <c r="A46" s="8" t="s">
        <v>51</v>
      </c>
      <c r="B46" s="8" t="str">
        <f t="shared" si="0"/>
        <v>MRVE3.SA</v>
      </c>
    </row>
    <row r="47" spans="1:2">
      <c r="A47" s="8" t="s">
        <v>52</v>
      </c>
      <c r="B47" s="8" t="str">
        <f t="shared" si="0"/>
        <v>MULT3.SA</v>
      </c>
    </row>
    <row r="48" spans="1:2">
      <c r="A48" s="8" t="s">
        <v>53</v>
      </c>
      <c r="B48" s="8" t="str">
        <f t="shared" si="0"/>
        <v>NATU3.SA</v>
      </c>
    </row>
    <row r="49" spans="1:2">
      <c r="A49" s="8" t="s">
        <v>54</v>
      </c>
      <c r="B49" s="8" t="str">
        <f t="shared" si="0"/>
        <v>PCAR4.SA</v>
      </c>
    </row>
    <row r="50" spans="1:2">
      <c r="A50" s="8" t="s">
        <v>55</v>
      </c>
      <c r="B50" s="8" t="str">
        <f t="shared" si="0"/>
        <v>PETR3.SA</v>
      </c>
    </row>
    <row r="51" spans="1:2">
      <c r="A51" s="8" t="s">
        <v>56</v>
      </c>
      <c r="B51" s="8" t="str">
        <f t="shared" si="0"/>
        <v>PETR4.SA</v>
      </c>
    </row>
    <row r="52" spans="1:2">
      <c r="A52" s="8" t="s">
        <v>57</v>
      </c>
      <c r="B52" s="8" t="str">
        <f t="shared" si="0"/>
        <v>QUAL3.SA</v>
      </c>
    </row>
    <row r="53" spans="1:2">
      <c r="A53" s="8" t="s">
        <v>58</v>
      </c>
      <c r="B53" s="8" t="str">
        <f t="shared" si="0"/>
        <v>RADL3.SA</v>
      </c>
    </row>
    <row r="54" spans="1:2">
      <c r="A54" s="8" t="s">
        <v>59</v>
      </c>
      <c r="B54" s="8" t="str">
        <f t="shared" si="0"/>
        <v>RAIL3.SA</v>
      </c>
    </row>
    <row r="55" spans="1:2">
      <c r="A55" s="8" t="s">
        <v>60</v>
      </c>
      <c r="B55" s="8" t="str">
        <f t="shared" si="0"/>
        <v>RENT3.SA</v>
      </c>
    </row>
    <row r="56" spans="1:2">
      <c r="A56" s="8" t="s">
        <v>61</v>
      </c>
      <c r="B56" s="8" t="str">
        <f t="shared" si="0"/>
        <v>SBSP3.SA</v>
      </c>
    </row>
    <row r="57" spans="1:2">
      <c r="A57" s="8" t="s">
        <v>62</v>
      </c>
      <c r="B57" s="8" t="str">
        <f t="shared" si="0"/>
        <v>SMLS3.SA</v>
      </c>
    </row>
    <row r="58" spans="1:2">
      <c r="A58" s="8" t="s">
        <v>63</v>
      </c>
      <c r="B58" s="8" t="str">
        <f t="shared" si="0"/>
        <v>SUZB3.SA</v>
      </c>
    </row>
    <row r="59" spans="1:2">
      <c r="A59" s="8" t="s">
        <v>64</v>
      </c>
      <c r="B59" s="8" t="str">
        <f t="shared" si="0"/>
        <v>TIMP3.SA</v>
      </c>
    </row>
    <row r="60" spans="1:2">
      <c r="A60" s="8" t="s">
        <v>65</v>
      </c>
      <c r="B60" s="8" t="str">
        <f t="shared" si="0"/>
        <v>UGPA3.SA</v>
      </c>
    </row>
    <row r="61" spans="1:2">
      <c r="A61" s="8" t="s">
        <v>66</v>
      </c>
      <c r="B61" s="8" t="str">
        <f t="shared" si="0"/>
        <v>USIM5.SA</v>
      </c>
    </row>
    <row r="62" spans="1:2">
      <c r="A62" s="8" t="s">
        <v>10</v>
      </c>
      <c r="B62" s="8" t="str">
        <f t="shared" si="0"/>
        <v>VALE3.SA</v>
      </c>
    </row>
    <row r="63" spans="1:2">
      <c r="A63" s="8" t="s">
        <v>67</v>
      </c>
      <c r="B63" s="8" t="str">
        <f t="shared" si="0"/>
        <v>VIVT4.SA</v>
      </c>
    </row>
    <row r="64" spans="1:2">
      <c r="A64" s="8" t="s">
        <v>68</v>
      </c>
      <c r="B64" s="8" t="str">
        <f t="shared" si="0"/>
        <v>VVAR3.SA</v>
      </c>
    </row>
    <row r="65" spans="1:2">
      <c r="A65" s="8" t="s">
        <v>69</v>
      </c>
      <c r="B65" s="8" t="str">
        <f t="shared" si="0"/>
        <v>WEGE3.SA</v>
      </c>
    </row>
    <row r="66" spans="1:2">
      <c r="A66" s="8" t="s">
        <v>70</v>
      </c>
      <c r="B66" s="8" t="str">
        <f t="shared" ref="B66" si="1">A66 &amp; ".SA"</f>
        <v>YDUQ3.SA</v>
      </c>
    </row>
    <row r="67" spans="1:2">
      <c r="A67" s="8" t="s">
        <v>80</v>
      </c>
      <c r="B67" s="8" t="s">
        <v>81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FFC000"/>
  </sheetPr>
  <dimension ref="A1:G167"/>
  <sheetViews>
    <sheetView showGridLines="0" workbookViewId="0">
      <selection activeCell="A26" sqref="A26"/>
    </sheetView>
  </sheetViews>
  <sheetFormatPr defaultRowHeight="14.4"/>
  <cols>
    <col min="1" max="27" width="13.77734375" customWidth="1"/>
  </cols>
  <sheetData>
    <row r="1" spans="1:7">
      <c r="A1" t="s">
        <v>95</v>
      </c>
      <c r="B1" t="s">
        <v>0</v>
      </c>
      <c r="C1" t="s">
        <v>1</v>
      </c>
      <c r="D1" t="s">
        <v>2</v>
      </c>
      <c r="E1" t="s">
        <v>3</v>
      </c>
      <c r="F1" t="s">
        <v>5</v>
      </c>
      <c r="G1" t="s">
        <v>4</v>
      </c>
    </row>
    <row r="2" spans="1:7">
      <c r="A2" s="2">
        <v>43467</v>
      </c>
      <c r="B2">
        <v>25.41</v>
      </c>
      <c r="C2">
        <v>26.950001</v>
      </c>
      <c r="D2">
        <v>25.1</v>
      </c>
      <c r="E2">
        <v>26.65</v>
      </c>
      <c r="F2">
        <v>26.366747</v>
      </c>
      <c r="G2">
        <v>14725300</v>
      </c>
    </row>
    <row r="3" spans="1:7">
      <c r="A3" s="2">
        <v>43468</v>
      </c>
      <c r="B3">
        <v>26.65</v>
      </c>
      <c r="C3">
        <v>27.43</v>
      </c>
      <c r="D3">
        <v>26.280000999999999</v>
      </c>
      <c r="E3">
        <v>27.200001</v>
      </c>
      <c r="F3">
        <v>26.910902</v>
      </c>
      <c r="G3">
        <v>12766200</v>
      </c>
    </row>
    <row r="4" spans="1:7">
      <c r="A4" s="2">
        <v>43469</v>
      </c>
      <c r="B4">
        <v>27.24</v>
      </c>
      <c r="C4">
        <v>27.559999000000001</v>
      </c>
      <c r="D4">
        <v>27.07</v>
      </c>
      <c r="E4">
        <v>27.51</v>
      </c>
      <c r="F4">
        <v>27.217607000000001</v>
      </c>
      <c r="G4">
        <v>10848500</v>
      </c>
    </row>
    <row r="5" spans="1:7">
      <c r="A5" s="2">
        <v>43472</v>
      </c>
      <c r="B5">
        <v>27.559999000000001</v>
      </c>
      <c r="C5">
        <v>29.1</v>
      </c>
      <c r="D5">
        <v>27.549999</v>
      </c>
      <c r="E5">
        <v>28.4</v>
      </c>
      <c r="F5">
        <v>28.098147999999998</v>
      </c>
      <c r="G5">
        <v>16164400</v>
      </c>
    </row>
    <row r="6" spans="1:7">
      <c r="A6" s="2">
        <v>43473</v>
      </c>
      <c r="B6">
        <v>28.65</v>
      </c>
      <c r="C6">
        <v>28.77</v>
      </c>
      <c r="D6">
        <v>28.110001</v>
      </c>
      <c r="E6">
        <v>28.25</v>
      </c>
      <c r="F6">
        <v>27.949741</v>
      </c>
      <c r="G6">
        <v>12562900</v>
      </c>
    </row>
    <row r="7" spans="1:7">
      <c r="A7" s="2">
        <v>43474</v>
      </c>
      <c r="B7">
        <v>28.51</v>
      </c>
      <c r="C7">
        <v>28.98</v>
      </c>
      <c r="D7">
        <v>28.51</v>
      </c>
      <c r="E7">
        <v>28.82</v>
      </c>
      <c r="F7">
        <v>28.513683</v>
      </c>
      <c r="G7">
        <v>9306000</v>
      </c>
    </row>
    <row r="8" spans="1:7">
      <c r="A8" s="2">
        <v>43475</v>
      </c>
      <c r="B8">
        <v>28.73</v>
      </c>
      <c r="C8">
        <v>28.780000999999999</v>
      </c>
      <c r="D8">
        <v>28.35</v>
      </c>
      <c r="E8">
        <v>28.68</v>
      </c>
      <c r="F8">
        <v>28.375171999999999</v>
      </c>
      <c r="G8">
        <v>7677100</v>
      </c>
    </row>
    <row r="9" spans="1:7">
      <c r="A9" s="2">
        <v>43476</v>
      </c>
      <c r="B9">
        <v>28.59</v>
      </c>
      <c r="C9">
        <v>28.59</v>
      </c>
      <c r="D9">
        <v>28.25</v>
      </c>
      <c r="E9">
        <v>28.5</v>
      </c>
      <c r="F9">
        <v>28.197084</v>
      </c>
      <c r="G9">
        <v>6481900</v>
      </c>
    </row>
    <row r="10" spans="1:7">
      <c r="A10" s="2">
        <v>43479</v>
      </c>
      <c r="B10">
        <v>28.280000999999999</v>
      </c>
      <c r="C10">
        <v>28.700001</v>
      </c>
      <c r="D10">
        <v>28.110001</v>
      </c>
      <c r="E10">
        <v>28.4</v>
      </c>
      <c r="F10">
        <v>28.098147999999998</v>
      </c>
      <c r="G10">
        <v>6240300</v>
      </c>
    </row>
    <row r="11" spans="1:7">
      <c r="A11" s="2">
        <v>43480</v>
      </c>
      <c r="B11">
        <v>28.35</v>
      </c>
      <c r="C11">
        <v>28.700001</v>
      </c>
      <c r="D11">
        <v>28.16</v>
      </c>
      <c r="E11">
        <v>28.309999000000001</v>
      </c>
      <c r="F11">
        <v>28.009101999999999</v>
      </c>
      <c r="G11">
        <v>6349600</v>
      </c>
    </row>
    <row r="12" spans="1:7">
      <c r="A12" s="2">
        <v>43481</v>
      </c>
      <c r="B12">
        <v>28.299999</v>
      </c>
      <c r="C12">
        <v>28.540001</v>
      </c>
      <c r="D12">
        <v>28.09</v>
      </c>
      <c r="E12">
        <v>28.540001</v>
      </c>
      <c r="F12">
        <v>28.236660000000001</v>
      </c>
      <c r="G12">
        <v>6432700</v>
      </c>
    </row>
    <row r="13" spans="1:7">
      <c r="A13" s="2">
        <v>43482</v>
      </c>
      <c r="B13">
        <v>28.4</v>
      </c>
      <c r="C13">
        <v>29</v>
      </c>
      <c r="D13">
        <v>28.25</v>
      </c>
      <c r="E13">
        <v>28.780000999999999</v>
      </c>
      <c r="F13">
        <v>28.47411</v>
      </c>
      <c r="G13">
        <v>6419300</v>
      </c>
    </row>
    <row r="14" spans="1:7">
      <c r="A14" s="2">
        <v>43483</v>
      </c>
      <c r="B14">
        <v>28.99</v>
      </c>
      <c r="C14">
        <v>29.299999</v>
      </c>
      <c r="D14">
        <v>28.85</v>
      </c>
      <c r="E14">
        <v>29.15</v>
      </c>
      <c r="F14">
        <v>28.840176</v>
      </c>
      <c r="G14">
        <v>8168500</v>
      </c>
    </row>
    <row r="15" spans="1:7">
      <c r="A15" s="2">
        <v>43486</v>
      </c>
      <c r="B15">
        <v>28.93</v>
      </c>
      <c r="C15">
        <v>29.299999</v>
      </c>
      <c r="D15">
        <v>28.73</v>
      </c>
      <c r="E15">
        <v>29.290001</v>
      </c>
      <c r="F15">
        <v>28.978687000000001</v>
      </c>
      <c r="G15">
        <v>3904200</v>
      </c>
    </row>
    <row r="16" spans="1:7">
      <c r="A16" s="2">
        <v>43487</v>
      </c>
      <c r="B16">
        <v>29.17</v>
      </c>
      <c r="C16">
        <v>29.200001</v>
      </c>
      <c r="D16">
        <v>28.67</v>
      </c>
      <c r="E16">
        <v>28.85</v>
      </c>
      <c r="F16">
        <v>28.543364</v>
      </c>
      <c r="G16">
        <v>6692600</v>
      </c>
    </row>
    <row r="17" spans="1:7">
      <c r="A17" s="2">
        <v>43488</v>
      </c>
      <c r="B17">
        <v>29</v>
      </c>
      <c r="C17">
        <v>29.370000999999998</v>
      </c>
      <c r="D17">
        <v>28.889999</v>
      </c>
      <c r="E17">
        <v>29.15</v>
      </c>
      <c r="F17">
        <v>28.840176</v>
      </c>
      <c r="G17">
        <v>6083000</v>
      </c>
    </row>
    <row r="18" spans="1:7">
      <c r="A18" s="2">
        <v>43489</v>
      </c>
      <c r="B18">
        <v>29.15</v>
      </c>
      <c r="C18">
        <v>29.459999</v>
      </c>
      <c r="D18">
        <v>28.969999000000001</v>
      </c>
      <c r="E18">
        <v>29.459999</v>
      </c>
      <c r="F18">
        <v>29.146878999999998</v>
      </c>
      <c r="G18">
        <v>7013000</v>
      </c>
    </row>
    <row r="19" spans="1:7">
      <c r="A19" s="2">
        <v>43493</v>
      </c>
      <c r="B19">
        <v>29.42</v>
      </c>
      <c r="C19">
        <v>29.719999000000001</v>
      </c>
      <c r="D19">
        <v>28.32</v>
      </c>
      <c r="E19">
        <v>28.42</v>
      </c>
      <c r="F19">
        <v>28.117934999999999</v>
      </c>
      <c r="G19">
        <v>17030300</v>
      </c>
    </row>
    <row r="20" spans="1:7">
      <c r="A20" s="2">
        <v>43494</v>
      </c>
      <c r="B20">
        <v>28.709999</v>
      </c>
      <c r="C20">
        <v>29.4</v>
      </c>
      <c r="D20">
        <v>28.709999</v>
      </c>
      <c r="E20">
        <v>29.040001</v>
      </c>
      <c r="F20">
        <v>28.731344</v>
      </c>
      <c r="G20">
        <v>7315000</v>
      </c>
    </row>
    <row r="21" spans="1:7">
      <c r="A21" s="2">
        <v>43495</v>
      </c>
      <c r="B21">
        <v>29.4</v>
      </c>
      <c r="C21">
        <v>29.700001</v>
      </c>
      <c r="D21">
        <v>29.25</v>
      </c>
      <c r="E21">
        <v>29.440000999999999</v>
      </c>
      <c r="F21">
        <v>29.127094</v>
      </c>
      <c r="G21">
        <v>8684300</v>
      </c>
    </row>
    <row r="22" spans="1:7">
      <c r="A22" s="2">
        <v>43496</v>
      </c>
      <c r="B22">
        <v>29.700001</v>
      </c>
      <c r="C22">
        <v>29.969999000000001</v>
      </c>
      <c r="D22">
        <v>29.530000999999999</v>
      </c>
      <c r="E22">
        <v>29.549999</v>
      </c>
      <c r="F22">
        <v>29.235924000000001</v>
      </c>
      <c r="G22">
        <v>12127100</v>
      </c>
    </row>
    <row r="23" spans="1:7">
      <c r="A23" s="2">
        <v>43497</v>
      </c>
      <c r="B23">
        <v>29.469999000000001</v>
      </c>
      <c r="C23">
        <v>30.049999</v>
      </c>
      <c r="D23">
        <v>29.299999</v>
      </c>
      <c r="E23">
        <v>30.02</v>
      </c>
      <c r="F23">
        <v>29.700928000000001</v>
      </c>
      <c r="G23">
        <v>7368400</v>
      </c>
    </row>
    <row r="24" spans="1:7">
      <c r="A24" s="2">
        <v>43500</v>
      </c>
      <c r="B24">
        <v>29.809999000000001</v>
      </c>
      <c r="C24">
        <v>30.52</v>
      </c>
      <c r="D24">
        <v>29.77</v>
      </c>
      <c r="E24">
        <v>30.360001</v>
      </c>
      <c r="F24">
        <v>30.037317000000002</v>
      </c>
      <c r="G24">
        <v>10513600</v>
      </c>
    </row>
    <row r="25" spans="1:7">
      <c r="A25" s="2">
        <v>43501</v>
      </c>
      <c r="B25">
        <v>30.360001</v>
      </c>
      <c r="C25">
        <v>30.719999000000001</v>
      </c>
      <c r="D25">
        <v>30.1</v>
      </c>
      <c r="E25">
        <v>30.549999</v>
      </c>
      <c r="F25">
        <v>30.225296</v>
      </c>
      <c r="G25">
        <v>5306500</v>
      </c>
    </row>
    <row r="26" spans="1:7">
      <c r="A26" s="2">
        <v>43502</v>
      </c>
      <c r="B26">
        <v>30.26</v>
      </c>
      <c r="C26">
        <v>30.48</v>
      </c>
      <c r="D26">
        <v>29.93</v>
      </c>
      <c r="E26">
        <v>30.01</v>
      </c>
      <c r="F26">
        <v>29.691036</v>
      </c>
      <c r="G26">
        <v>8922400</v>
      </c>
    </row>
    <row r="27" spans="1:7">
      <c r="A27" s="2">
        <v>43503</v>
      </c>
      <c r="B27">
        <v>30.120000999999998</v>
      </c>
      <c r="C27">
        <v>30.59</v>
      </c>
      <c r="D27">
        <v>29.17</v>
      </c>
      <c r="E27">
        <v>29.48</v>
      </c>
      <c r="F27">
        <v>29.166668000000001</v>
      </c>
      <c r="G27">
        <v>9480800</v>
      </c>
    </row>
    <row r="28" spans="1:7">
      <c r="A28" s="2">
        <v>43504</v>
      </c>
      <c r="B28">
        <v>29.16</v>
      </c>
      <c r="C28">
        <v>29.6</v>
      </c>
      <c r="D28">
        <v>28.879999000000002</v>
      </c>
      <c r="E28">
        <v>29.27</v>
      </c>
      <c r="F28">
        <v>28.9589</v>
      </c>
      <c r="G28">
        <v>8255700</v>
      </c>
    </row>
    <row r="29" spans="1:7">
      <c r="A29" s="2">
        <v>43507</v>
      </c>
      <c r="B29">
        <v>29.25</v>
      </c>
      <c r="C29">
        <v>29.280000999999999</v>
      </c>
      <c r="D29">
        <v>28.76</v>
      </c>
      <c r="E29">
        <v>28.9</v>
      </c>
      <c r="F29">
        <v>28.592832999999999</v>
      </c>
      <c r="G29">
        <v>4533600</v>
      </c>
    </row>
    <row r="30" spans="1:7">
      <c r="A30" s="2">
        <v>43508</v>
      </c>
      <c r="B30">
        <v>29.5</v>
      </c>
      <c r="C30">
        <v>30.040001</v>
      </c>
      <c r="D30">
        <v>29.5</v>
      </c>
      <c r="E30">
        <v>29.940000999999999</v>
      </c>
      <c r="F30">
        <v>29.621780000000001</v>
      </c>
      <c r="G30">
        <v>9929300</v>
      </c>
    </row>
    <row r="31" spans="1:7">
      <c r="A31" s="2">
        <v>43509</v>
      </c>
      <c r="B31">
        <v>30.23</v>
      </c>
      <c r="C31">
        <v>30.82</v>
      </c>
      <c r="D31">
        <v>30.049999</v>
      </c>
      <c r="E31">
        <v>30.65</v>
      </c>
      <c r="F31">
        <v>30.324234000000001</v>
      </c>
      <c r="G31">
        <v>11301000</v>
      </c>
    </row>
    <row r="32" spans="1:7">
      <c r="A32" s="2">
        <v>43510</v>
      </c>
      <c r="B32">
        <v>30.67</v>
      </c>
      <c r="C32">
        <v>31.34</v>
      </c>
      <c r="D32">
        <v>30.559999000000001</v>
      </c>
      <c r="E32">
        <v>31.290001</v>
      </c>
      <c r="F32">
        <v>30.957432000000001</v>
      </c>
      <c r="G32">
        <v>8430200</v>
      </c>
    </row>
    <row r="33" spans="1:7">
      <c r="A33" s="2">
        <v>43511</v>
      </c>
      <c r="B33">
        <v>31.1</v>
      </c>
      <c r="C33">
        <v>31.440000999999999</v>
      </c>
      <c r="D33">
        <v>30.889999</v>
      </c>
      <c r="E33">
        <v>31.049999</v>
      </c>
      <c r="F33">
        <v>30.71998</v>
      </c>
      <c r="G33">
        <v>6468200</v>
      </c>
    </row>
    <row r="34" spans="1:7">
      <c r="A34" s="2">
        <v>43514</v>
      </c>
      <c r="B34">
        <v>30.809999000000001</v>
      </c>
      <c r="C34">
        <v>30.98</v>
      </c>
      <c r="D34">
        <v>30.59</v>
      </c>
      <c r="E34">
        <v>30.690000999999999</v>
      </c>
      <c r="F34">
        <v>30.363807999999999</v>
      </c>
      <c r="G34">
        <v>4272700</v>
      </c>
    </row>
    <row r="35" spans="1:7">
      <c r="A35" s="2">
        <v>43515</v>
      </c>
      <c r="B35">
        <v>30.860001</v>
      </c>
      <c r="C35">
        <v>31.5</v>
      </c>
      <c r="D35">
        <v>30.780000999999999</v>
      </c>
      <c r="E35">
        <v>31.26</v>
      </c>
      <c r="F35">
        <v>30.92775</v>
      </c>
      <c r="G35">
        <v>7505000</v>
      </c>
    </row>
    <row r="36" spans="1:7">
      <c r="A36" s="2">
        <v>43516</v>
      </c>
      <c r="B36">
        <v>31.35</v>
      </c>
      <c r="C36">
        <v>31.74</v>
      </c>
      <c r="D36">
        <v>30.870000999999998</v>
      </c>
      <c r="E36">
        <v>31.26</v>
      </c>
      <c r="F36">
        <v>30.92775</v>
      </c>
      <c r="G36">
        <v>11134900</v>
      </c>
    </row>
    <row r="37" spans="1:7">
      <c r="A37" s="2">
        <v>43517</v>
      </c>
      <c r="B37">
        <v>31.450001</v>
      </c>
      <c r="C37">
        <v>31.610001</v>
      </c>
      <c r="D37">
        <v>31</v>
      </c>
      <c r="E37">
        <v>31.43</v>
      </c>
      <c r="F37">
        <v>31.095942999999998</v>
      </c>
      <c r="G37">
        <v>6083800</v>
      </c>
    </row>
    <row r="38" spans="1:7">
      <c r="A38" s="2">
        <v>43518</v>
      </c>
      <c r="B38">
        <v>31.700001</v>
      </c>
      <c r="C38">
        <v>31.790001</v>
      </c>
      <c r="D38">
        <v>30.98</v>
      </c>
      <c r="E38">
        <v>31.25</v>
      </c>
      <c r="F38">
        <v>30.917853999999998</v>
      </c>
      <c r="G38">
        <v>7140300</v>
      </c>
    </row>
    <row r="39" spans="1:7">
      <c r="A39" s="2">
        <v>43521</v>
      </c>
      <c r="B39">
        <v>31.110001</v>
      </c>
      <c r="C39">
        <v>31.200001</v>
      </c>
      <c r="D39">
        <v>30.450001</v>
      </c>
      <c r="E39">
        <v>30.5</v>
      </c>
      <c r="F39">
        <v>30.175827000000002</v>
      </c>
      <c r="G39">
        <v>8856200</v>
      </c>
    </row>
    <row r="40" spans="1:7">
      <c r="A40" s="2">
        <v>43522</v>
      </c>
      <c r="B40">
        <v>30.549999</v>
      </c>
      <c r="C40">
        <v>31.09</v>
      </c>
      <c r="D40">
        <v>30.35</v>
      </c>
      <c r="E40">
        <v>30.51</v>
      </c>
      <c r="F40">
        <v>30.18572</v>
      </c>
      <c r="G40">
        <v>7813200</v>
      </c>
    </row>
    <row r="41" spans="1:7">
      <c r="A41" s="2">
        <v>43523</v>
      </c>
      <c r="B41">
        <v>30.73</v>
      </c>
      <c r="C41">
        <v>31.09</v>
      </c>
      <c r="D41">
        <v>30.42</v>
      </c>
      <c r="E41">
        <v>30.67</v>
      </c>
      <c r="F41">
        <v>30.344021000000001</v>
      </c>
      <c r="G41">
        <v>9759400</v>
      </c>
    </row>
    <row r="42" spans="1:7">
      <c r="A42" s="2">
        <v>43524</v>
      </c>
      <c r="B42">
        <v>31.200001</v>
      </c>
      <c r="C42">
        <v>31.25</v>
      </c>
      <c r="D42">
        <v>29.27</v>
      </c>
      <c r="E42">
        <v>29.860001</v>
      </c>
      <c r="F42">
        <v>29.542631</v>
      </c>
      <c r="G42">
        <v>31044900</v>
      </c>
    </row>
    <row r="43" spans="1:7">
      <c r="A43" s="2">
        <v>43525</v>
      </c>
      <c r="B43">
        <v>29.92</v>
      </c>
      <c r="C43">
        <v>30.07</v>
      </c>
      <c r="D43">
        <v>29.200001</v>
      </c>
      <c r="E43">
        <v>29.200001</v>
      </c>
      <c r="F43">
        <v>28.889645000000002</v>
      </c>
      <c r="G43">
        <v>7335200</v>
      </c>
    </row>
    <row r="44" spans="1:7">
      <c r="A44" s="2">
        <v>43530</v>
      </c>
      <c r="B44">
        <v>28.85</v>
      </c>
      <c r="C44">
        <v>29.48</v>
      </c>
      <c r="D44">
        <v>28.85</v>
      </c>
      <c r="E44">
        <v>29.48</v>
      </c>
      <c r="F44">
        <v>29.166668000000001</v>
      </c>
      <c r="G44">
        <v>5745700</v>
      </c>
    </row>
    <row r="45" spans="1:7">
      <c r="A45" s="2">
        <v>43531</v>
      </c>
      <c r="B45">
        <v>29.65</v>
      </c>
      <c r="C45">
        <v>29.65</v>
      </c>
      <c r="D45">
        <v>29.16</v>
      </c>
      <c r="E45">
        <v>29.219999000000001</v>
      </c>
      <c r="F45">
        <v>28.909431000000001</v>
      </c>
      <c r="G45">
        <v>6467900</v>
      </c>
    </row>
    <row r="46" spans="1:7">
      <c r="A46" s="2">
        <v>43532</v>
      </c>
      <c r="B46">
        <v>28.85</v>
      </c>
      <c r="C46">
        <v>29.120000999999998</v>
      </c>
      <c r="D46">
        <v>28.540001</v>
      </c>
      <c r="E46">
        <v>29</v>
      </c>
      <c r="F46">
        <v>28.691769000000001</v>
      </c>
      <c r="G46">
        <v>9769300</v>
      </c>
    </row>
    <row r="47" spans="1:7">
      <c r="A47" s="2">
        <v>43535</v>
      </c>
      <c r="B47">
        <v>29.379999000000002</v>
      </c>
      <c r="C47">
        <v>30.73</v>
      </c>
      <c r="D47">
        <v>29.02</v>
      </c>
      <c r="E47">
        <v>30.639999</v>
      </c>
      <c r="F47">
        <v>30.314339</v>
      </c>
      <c r="G47">
        <v>13660500</v>
      </c>
    </row>
    <row r="48" spans="1:7">
      <c r="A48" s="2">
        <v>43536</v>
      </c>
      <c r="B48">
        <v>30.629999000000002</v>
      </c>
      <c r="C48">
        <v>30.860001</v>
      </c>
      <c r="D48">
        <v>30.129999000000002</v>
      </c>
      <c r="E48">
        <v>30.129999000000002</v>
      </c>
      <c r="F48">
        <v>29.809759</v>
      </c>
      <c r="G48">
        <v>8376100</v>
      </c>
    </row>
    <row r="49" spans="1:7">
      <c r="A49" s="2">
        <v>43537</v>
      </c>
      <c r="B49">
        <v>30.27</v>
      </c>
      <c r="C49">
        <v>31.25</v>
      </c>
      <c r="D49">
        <v>30.110001</v>
      </c>
      <c r="E49">
        <v>30.940000999999999</v>
      </c>
      <c r="F49">
        <v>30.611151</v>
      </c>
      <c r="G49">
        <v>13096900</v>
      </c>
    </row>
    <row r="50" spans="1:7">
      <c r="A50" s="2">
        <v>43538</v>
      </c>
      <c r="B50">
        <v>31</v>
      </c>
      <c r="C50">
        <v>31.49</v>
      </c>
      <c r="D50">
        <v>31</v>
      </c>
      <c r="E50">
        <v>31.290001</v>
      </c>
      <c r="F50">
        <v>30.957432000000001</v>
      </c>
      <c r="G50">
        <v>10495200</v>
      </c>
    </row>
    <row r="51" spans="1:7">
      <c r="A51" s="2">
        <v>43539</v>
      </c>
      <c r="B51">
        <v>31.280000999999999</v>
      </c>
      <c r="C51">
        <v>31.77</v>
      </c>
      <c r="D51">
        <v>31.200001</v>
      </c>
      <c r="E51">
        <v>31.620000999999998</v>
      </c>
      <c r="F51">
        <v>31.283923999999999</v>
      </c>
      <c r="G51">
        <v>16994400</v>
      </c>
    </row>
    <row r="52" spans="1:7">
      <c r="A52" s="2">
        <v>43542</v>
      </c>
      <c r="B52">
        <v>31.66</v>
      </c>
      <c r="C52">
        <v>32.479999999999997</v>
      </c>
      <c r="D52">
        <v>31.639999</v>
      </c>
      <c r="E52">
        <v>32.259998000000003</v>
      </c>
      <c r="F52">
        <v>31.917117999999999</v>
      </c>
      <c r="G52">
        <v>12435700</v>
      </c>
    </row>
    <row r="53" spans="1:7">
      <c r="A53" s="2">
        <v>43543</v>
      </c>
      <c r="B53">
        <v>32.490001999999997</v>
      </c>
      <c r="C53">
        <v>33.25</v>
      </c>
      <c r="D53">
        <v>32.380001</v>
      </c>
      <c r="E53">
        <v>32.770000000000003</v>
      </c>
      <c r="F53">
        <v>32.421700000000001</v>
      </c>
      <c r="G53">
        <v>12154000</v>
      </c>
    </row>
    <row r="54" spans="1:7">
      <c r="A54" s="2">
        <v>43544</v>
      </c>
      <c r="B54">
        <v>32.689999</v>
      </c>
      <c r="C54">
        <v>33.700001</v>
      </c>
      <c r="D54">
        <v>32.650002000000001</v>
      </c>
      <c r="E54">
        <v>32.970001000000003</v>
      </c>
      <c r="F54">
        <v>32.619576000000002</v>
      </c>
      <c r="G54">
        <v>13165500</v>
      </c>
    </row>
    <row r="55" spans="1:7">
      <c r="A55" s="2">
        <v>43545</v>
      </c>
      <c r="B55">
        <v>32.700001</v>
      </c>
      <c r="C55">
        <v>32.93</v>
      </c>
      <c r="D55">
        <v>31.77</v>
      </c>
      <c r="E55">
        <v>32.310001</v>
      </c>
      <c r="F55">
        <v>31.966591000000001</v>
      </c>
      <c r="G55">
        <v>18752500</v>
      </c>
    </row>
    <row r="56" spans="1:7">
      <c r="A56" s="2">
        <v>43546</v>
      </c>
      <c r="B56">
        <v>31.66</v>
      </c>
      <c r="C56">
        <v>31.9</v>
      </c>
      <c r="D56">
        <v>30.77</v>
      </c>
      <c r="E56">
        <v>30.77</v>
      </c>
      <c r="F56">
        <v>30.442957</v>
      </c>
      <c r="G56">
        <v>19675400</v>
      </c>
    </row>
    <row r="57" spans="1:7">
      <c r="A57" s="2">
        <v>43549</v>
      </c>
      <c r="B57">
        <v>30.610001</v>
      </c>
      <c r="C57">
        <v>31.16</v>
      </c>
      <c r="D57">
        <v>30.379999000000002</v>
      </c>
      <c r="E57">
        <v>30.65</v>
      </c>
      <c r="F57">
        <v>30.324234000000001</v>
      </c>
      <c r="G57">
        <v>12697200</v>
      </c>
    </row>
    <row r="58" spans="1:7">
      <c r="A58" s="2">
        <v>43550</v>
      </c>
      <c r="B58">
        <v>31</v>
      </c>
      <c r="C58">
        <v>31.93</v>
      </c>
      <c r="D58">
        <v>30.98</v>
      </c>
      <c r="E58">
        <v>31.93</v>
      </c>
      <c r="F58">
        <v>31.590627999999999</v>
      </c>
      <c r="G58">
        <v>13688800</v>
      </c>
    </row>
    <row r="59" spans="1:7">
      <c r="A59" s="2">
        <v>43551</v>
      </c>
      <c r="B59">
        <v>31.35</v>
      </c>
      <c r="C59">
        <v>31.450001</v>
      </c>
      <c r="D59">
        <v>30.450001</v>
      </c>
      <c r="E59">
        <v>30.450001</v>
      </c>
      <c r="F59">
        <v>30.126359999999998</v>
      </c>
      <c r="G59">
        <v>12303600</v>
      </c>
    </row>
    <row r="60" spans="1:7">
      <c r="A60" s="2">
        <v>43552</v>
      </c>
      <c r="B60">
        <v>30.309999000000001</v>
      </c>
      <c r="C60">
        <v>31.17</v>
      </c>
      <c r="D60">
        <v>30.059999000000001</v>
      </c>
      <c r="E60">
        <v>30.959999</v>
      </c>
      <c r="F60">
        <v>30.630935999999998</v>
      </c>
      <c r="G60">
        <v>12778500</v>
      </c>
    </row>
    <row r="61" spans="1:7">
      <c r="A61" s="2">
        <v>43553</v>
      </c>
      <c r="B61">
        <v>31.33</v>
      </c>
      <c r="C61">
        <v>31.57</v>
      </c>
      <c r="D61">
        <v>30.950001</v>
      </c>
      <c r="E61">
        <v>31.15</v>
      </c>
      <c r="F61">
        <v>30.818918</v>
      </c>
      <c r="G61">
        <v>8924800</v>
      </c>
    </row>
    <row r="62" spans="1:7">
      <c r="A62" s="2">
        <v>43556</v>
      </c>
      <c r="B62">
        <v>31.42</v>
      </c>
      <c r="C62">
        <v>31.59</v>
      </c>
      <c r="D62">
        <v>30.73</v>
      </c>
      <c r="E62">
        <v>30.870000999999998</v>
      </c>
      <c r="F62">
        <v>30.541895</v>
      </c>
      <c r="G62">
        <v>12610500</v>
      </c>
    </row>
    <row r="63" spans="1:7">
      <c r="A63" s="2">
        <v>43557</v>
      </c>
      <c r="B63">
        <v>31.01</v>
      </c>
      <c r="C63">
        <v>31.26</v>
      </c>
      <c r="D63">
        <v>30.51</v>
      </c>
      <c r="E63">
        <v>31</v>
      </c>
      <c r="F63">
        <v>30.670511000000001</v>
      </c>
      <c r="G63">
        <v>7775800</v>
      </c>
    </row>
    <row r="64" spans="1:7">
      <c r="A64" s="2">
        <v>43558</v>
      </c>
      <c r="B64">
        <v>31.129999000000002</v>
      </c>
      <c r="C64">
        <v>31.26</v>
      </c>
      <c r="D64">
        <v>30.35</v>
      </c>
      <c r="E64">
        <v>30.35</v>
      </c>
      <c r="F64">
        <v>30.027422000000001</v>
      </c>
      <c r="G64">
        <v>12462600</v>
      </c>
    </row>
    <row r="65" spans="1:7">
      <c r="A65" s="2">
        <v>43559</v>
      </c>
      <c r="B65">
        <v>30.68</v>
      </c>
      <c r="C65">
        <v>31.41</v>
      </c>
      <c r="D65">
        <v>30.25</v>
      </c>
      <c r="E65">
        <v>31.35</v>
      </c>
      <c r="F65">
        <v>31.016791999999999</v>
      </c>
      <c r="G65">
        <v>9882000</v>
      </c>
    </row>
    <row r="66" spans="1:7">
      <c r="A66" s="2">
        <v>43560</v>
      </c>
      <c r="B66">
        <v>31.450001</v>
      </c>
      <c r="C66">
        <v>32.159999999999997</v>
      </c>
      <c r="D66">
        <v>31.07</v>
      </c>
      <c r="E66">
        <v>32.049999</v>
      </c>
      <c r="F66">
        <v>31.709351999999999</v>
      </c>
      <c r="G66">
        <v>9874800</v>
      </c>
    </row>
    <row r="67" spans="1:7">
      <c r="A67" s="2">
        <v>43563</v>
      </c>
      <c r="B67">
        <v>32.18</v>
      </c>
      <c r="C67">
        <v>33.049999</v>
      </c>
      <c r="D67">
        <v>32.18</v>
      </c>
      <c r="E67">
        <v>32.740001999999997</v>
      </c>
      <c r="F67">
        <v>32.392017000000003</v>
      </c>
      <c r="G67">
        <v>7057300</v>
      </c>
    </row>
    <row r="68" spans="1:7">
      <c r="A68" s="2">
        <v>43564</v>
      </c>
      <c r="B68">
        <v>32.669998</v>
      </c>
      <c r="C68">
        <v>32.759998000000003</v>
      </c>
      <c r="D68">
        <v>32.139999000000003</v>
      </c>
      <c r="E68">
        <v>32.450001</v>
      </c>
      <c r="F68">
        <v>32.105099000000003</v>
      </c>
      <c r="G68">
        <v>7178800</v>
      </c>
    </row>
    <row r="69" spans="1:7">
      <c r="A69" s="2">
        <v>43565</v>
      </c>
      <c r="B69">
        <v>32.93</v>
      </c>
      <c r="C69">
        <v>33</v>
      </c>
      <c r="D69">
        <v>32.229999999999997</v>
      </c>
      <c r="E69">
        <v>32.270000000000003</v>
      </c>
      <c r="F69">
        <v>31.927012999999999</v>
      </c>
      <c r="G69">
        <v>5678100</v>
      </c>
    </row>
    <row r="70" spans="1:7">
      <c r="A70" s="2">
        <v>43566</v>
      </c>
      <c r="B70">
        <v>32.189999</v>
      </c>
      <c r="C70">
        <v>32.279998999999997</v>
      </c>
      <c r="D70">
        <v>31.58</v>
      </c>
      <c r="E70">
        <v>31.85</v>
      </c>
      <c r="F70">
        <v>31.511478</v>
      </c>
      <c r="G70">
        <v>9038500</v>
      </c>
    </row>
    <row r="71" spans="1:7">
      <c r="A71" s="2">
        <v>43567</v>
      </c>
      <c r="B71">
        <v>30.290001</v>
      </c>
      <c r="C71">
        <v>30.52</v>
      </c>
      <c r="D71">
        <v>29.01</v>
      </c>
      <c r="E71">
        <v>29.129999000000002</v>
      </c>
      <c r="F71">
        <v>28.820388999999999</v>
      </c>
      <c r="G71">
        <v>23981400</v>
      </c>
    </row>
    <row r="72" spans="1:7">
      <c r="A72" s="2">
        <v>43570</v>
      </c>
      <c r="B72">
        <v>29.799999</v>
      </c>
      <c r="C72">
        <v>29.799999</v>
      </c>
      <c r="D72">
        <v>28.889999</v>
      </c>
      <c r="E72">
        <v>29.110001</v>
      </c>
      <c r="F72">
        <v>28.800602000000001</v>
      </c>
      <c r="G72">
        <v>12480500</v>
      </c>
    </row>
    <row r="73" spans="1:7">
      <c r="A73" s="2">
        <v>43571</v>
      </c>
      <c r="B73">
        <v>29.200001</v>
      </c>
      <c r="C73">
        <v>30.370000999999998</v>
      </c>
      <c r="D73">
        <v>28.92</v>
      </c>
      <c r="E73">
        <v>30.15</v>
      </c>
      <c r="F73">
        <v>29.829547999999999</v>
      </c>
      <c r="G73">
        <v>11329300</v>
      </c>
    </row>
    <row r="74" spans="1:7">
      <c r="A74" s="2">
        <v>43572</v>
      </c>
      <c r="B74">
        <v>30.35</v>
      </c>
      <c r="C74">
        <v>30.620000999999998</v>
      </c>
      <c r="D74">
        <v>29.610001</v>
      </c>
      <c r="E74">
        <v>30.18</v>
      </c>
      <c r="F74">
        <v>29.859228000000002</v>
      </c>
      <c r="G74">
        <v>17100300</v>
      </c>
    </row>
    <row r="75" spans="1:7">
      <c r="A75" s="2">
        <v>43573</v>
      </c>
      <c r="B75">
        <v>30.65</v>
      </c>
      <c r="C75">
        <v>31.190000999999999</v>
      </c>
      <c r="D75">
        <v>30.48</v>
      </c>
      <c r="E75">
        <v>30.76</v>
      </c>
      <c r="F75">
        <v>30.433064000000002</v>
      </c>
      <c r="G75">
        <v>15988400</v>
      </c>
    </row>
    <row r="76" spans="1:7">
      <c r="A76" s="2">
        <v>43577</v>
      </c>
      <c r="B76">
        <v>30.809999000000001</v>
      </c>
      <c r="C76">
        <v>31.219999000000001</v>
      </c>
      <c r="D76">
        <v>30.65</v>
      </c>
      <c r="E76">
        <v>30.870000999999998</v>
      </c>
      <c r="F76">
        <v>30.541895</v>
      </c>
      <c r="G76">
        <v>8916500</v>
      </c>
    </row>
    <row r="77" spans="1:7">
      <c r="A77" s="2">
        <v>43578</v>
      </c>
      <c r="B77">
        <v>31.200001</v>
      </c>
      <c r="C77">
        <v>31.49</v>
      </c>
      <c r="D77">
        <v>30.950001</v>
      </c>
      <c r="E77">
        <v>31.120000999999998</v>
      </c>
      <c r="F77">
        <v>30.789238000000001</v>
      </c>
      <c r="G77">
        <v>6239100</v>
      </c>
    </row>
    <row r="78" spans="1:7">
      <c r="A78" s="2">
        <v>43579</v>
      </c>
      <c r="B78">
        <v>31.120000999999998</v>
      </c>
      <c r="C78">
        <v>31.290001</v>
      </c>
      <c r="D78">
        <v>30.200001</v>
      </c>
      <c r="E78">
        <v>30.58</v>
      </c>
      <c r="F78">
        <v>30.254975999999999</v>
      </c>
      <c r="G78">
        <v>7463400</v>
      </c>
    </row>
    <row r="79" spans="1:7">
      <c r="A79" s="2">
        <v>43580</v>
      </c>
      <c r="B79">
        <v>30.34</v>
      </c>
      <c r="C79">
        <v>31.040001</v>
      </c>
      <c r="D79">
        <v>30.309999000000001</v>
      </c>
      <c r="E79">
        <v>30.66</v>
      </c>
      <c r="F79">
        <v>30.334126000000001</v>
      </c>
      <c r="G79">
        <v>7715700</v>
      </c>
    </row>
    <row r="80" spans="1:7">
      <c r="A80" s="2">
        <v>43581</v>
      </c>
      <c r="B80">
        <v>30.559999000000001</v>
      </c>
      <c r="C80">
        <v>30.68</v>
      </c>
      <c r="D80">
        <v>30.040001</v>
      </c>
      <c r="E80">
        <v>30.389999</v>
      </c>
      <c r="F80">
        <v>30.066996</v>
      </c>
      <c r="G80">
        <v>5777900</v>
      </c>
    </row>
    <row r="81" spans="1:7">
      <c r="A81" s="2">
        <v>43584</v>
      </c>
      <c r="B81">
        <v>30.780000999999999</v>
      </c>
      <c r="C81">
        <v>30.780000999999999</v>
      </c>
      <c r="D81">
        <v>30.25</v>
      </c>
      <c r="E81">
        <v>30.25</v>
      </c>
      <c r="F81">
        <v>29.928484000000001</v>
      </c>
      <c r="G81">
        <v>5420200</v>
      </c>
    </row>
    <row r="82" spans="1:7">
      <c r="A82" s="2">
        <v>43585</v>
      </c>
      <c r="B82">
        <v>30.370000999999998</v>
      </c>
      <c r="C82">
        <v>30.68</v>
      </c>
      <c r="D82">
        <v>29.84</v>
      </c>
      <c r="E82">
        <v>29.959999</v>
      </c>
      <c r="F82">
        <v>29.641565</v>
      </c>
      <c r="G82">
        <v>16535600</v>
      </c>
    </row>
    <row r="83" spans="1:7">
      <c r="A83" s="2">
        <v>43587</v>
      </c>
      <c r="B83">
        <v>29.700001</v>
      </c>
      <c r="C83">
        <v>29.809999000000001</v>
      </c>
      <c r="D83">
        <v>29.309999000000001</v>
      </c>
      <c r="E83">
        <v>29.51</v>
      </c>
      <c r="F83">
        <v>29.196349999999999</v>
      </c>
      <c r="G83">
        <v>7027500</v>
      </c>
    </row>
    <row r="84" spans="1:7">
      <c r="A84" s="2">
        <v>43588</v>
      </c>
      <c r="B84">
        <v>29.85</v>
      </c>
      <c r="C84">
        <v>30.02</v>
      </c>
      <c r="D84">
        <v>29.559999000000001</v>
      </c>
      <c r="E84">
        <v>29.559999000000001</v>
      </c>
      <c r="F84">
        <v>29.245816999999999</v>
      </c>
      <c r="G84">
        <v>5504000</v>
      </c>
    </row>
    <row r="85" spans="1:7">
      <c r="A85" s="2">
        <v>43591</v>
      </c>
      <c r="B85">
        <v>29.24</v>
      </c>
      <c r="C85">
        <v>29.540001</v>
      </c>
      <c r="D85">
        <v>29.07</v>
      </c>
      <c r="E85">
        <v>29.540001</v>
      </c>
      <c r="F85">
        <v>29.226030000000002</v>
      </c>
      <c r="G85">
        <v>5508800</v>
      </c>
    </row>
    <row r="86" spans="1:7">
      <c r="A86" s="2">
        <v>43592</v>
      </c>
      <c r="B86">
        <v>29.25</v>
      </c>
      <c r="C86">
        <v>29.360001</v>
      </c>
      <c r="D86">
        <v>28.75</v>
      </c>
      <c r="E86">
        <v>29.219999000000001</v>
      </c>
      <c r="F86">
        <v>28.909431000000001</v>
      </c>
      <c r="G86">
        <v>13512800</v>
      </c>
    </row>
    <row r="87" spans="1:7">
      <c r="A87" s="2">
        <v>43593</v>
      </c>
      <c r="B87">
        <v>29.280000999999999</v>
      </c>
      <c r="C87">
        <v>30.469999000000001</v>
      </c>
      <c r="D87">
        <v>29.120000999999998</v>
      </c>
      <c r="E87">
        <v>30.219999000000001</v>
      </c>
      <c r="F87">
        <v>29.898802</v>
      </c>
      <c r="G87">
        <v>11682600</v>
      </c>
    </row>
    <row r="88" spans="1:7">
      <c r="A88" s="2">
        <v>43594</v>
      </c>
      <c r="B88">
        <v>29.75</v>
      </c>
      <c r="C88">
        <v>29.809999000000001</v>
      </c>
      <c r="D88">
        <v>29.219999000000001</v>
      </c>
      <c r="E88">
        <v>29.360001</v>
      </c>
      <c r="F88">
        <v>29.047944999999999</v>
      </c>
      <c r="G88">
        <v>11778000</v>
      </c>
    </row>
    <row r="89" spans="1:7">
      <c r="A89" s="2">
        <v>43595</v>
      </c>
      <c r="B89">
        <v>29.370000999999998</v>
      </c>
      <c r="C89">
        <v>29.42</v>
      </c>
      <c r="D89">
        <v>28.799999</v>
      </c>
      <c r="E89">
        <v>29.35</v>
      </c>
      <c r="F89">
        <v>29.038049999999998</v>
      </c>
      <c r="G89">
        <v>6826500</v>
      </c>
    </row>
    <row r="90" spans="1:7">
      <c r="A90" s="2">
        <v>43598</v>
      </c>
      <c r="B90">
        <v>28.709999</v>
      </c>
      <c r="C90">
        <v>29.049999</v>
      </c>
      <c r="D90">
        <v>28.4</v>
      </c>
      <c r="E90">
        <v>28.51</v>
      </c>
      <c r="F90">
        <v>28.206977999999999</v>
      </c>
      <c r="G90">
        <v>10034900</v>
      </c>
    </row>
    <row r="91" spans="1:7">
      <c r="A91" s="2">
        <v>43599</v>
      </c>
      <c r="B91">
        <v>28.690000999999999</v>
      </c>
      <c r="C91">
        <v>28.83</v>
      </c>
      <c r="D91">
        <v>28.4</v>
      </c>
      <c r="E91">
        <v>28.52</v>
      </c>
      <c r="F91">
        <v>28.216871000000001</v>
      </c>
      <c r="G91">
        <v>5663500</v>
      </c>
    </row>
    <row r="92" spans="1:7">
      <c r="A92" s="2">
        <v>43600</v>
      </c>
      <c r="B92">
        <v>28.110001</v>
      </c>
      <c r="C92">
        <v>28.389999</v>
      </c>
      <c r="D92">
        <v>28.040001</v>
      </c>
      <c r="E92">
        <v>28.32</v>
      </c>
      <c r="F92">
        <v>28.018996999999999</v>
      </c>
      <c r="G92">
        <v>10486800</v>
      </c>
    </row>
    <row r="93" spans="1:7">
      <c r="A93" s="2">
        <v>43601</v>
      </c>
      <c r="B93">
        <v>28.17</v>
      </c>
      <c r="C93">
        <v>28.709999</v>
      </c>
      <c r="D93">
        <v>27.780000999999999</v>
      </c>
      <c r="E93">
        <v>27.780000999999999</v>
      </c>
      <c r="F93">
        <v>27.484736999999999</v>
      </c>
      <c r="G93">
        <v>10619100</v>
      </c>
    </row>
    <row r="94" spans="1:7">
      <c r="A94" s="2">
        <v>43602</v>
      </c>
      <c r="B94">
        <v>27.530000999999999</v>
      </c>
      <c r="C94">
        <v>28.18</v>
      </c>
      <c r="D94">
        <v>27.43</v>
      </c>
      <c r="E94">
        <v>27.559999000000001</v>
      </c>
      <c r="F94">
        <v>27.267074999999998</v>
      </c>
      <c r="G94">
        <v>13530200</v>
      </c>
    </row>
    <row r="95" spans="1:7">
      <c r="A95" s="2">
        <v>43605</v>
      </c>
      <c r="B95">
        <v>27.639999</v>
      </c>
      <c r="C95">
        <v>28.110001</v>
      </c>
      <c r="D95">
        <v>27.41</v>
      </c>
      <c r="E95">
        <v>28.07</v>
      </c>
      <c r="F95">
        <v>27.771654000000002</v>
      </c>
      <c r="G95">
        <v>5375900</v>
      </c>
    </row>
    <row r="96" spans="1:7">
      <c r="A96" s="2">
        <v>43606</v>
      </c>
      <c r="B96">
        <v>28.25</v>
      </c>
      <c r="C96">
        <v>28.799999</v>
      </c>
      <c r="D96">
        <v>28.01</v>
      </c>
      <c r="E96">
        <v>28.799999</v>
      </c>
      <c r="F96">
        <v>28.493894999999998</v>
      </c>
      <c r="G96">
        <v>8207800</v>
      </c>
    </row>
    <row r="97" spans="1:7">
      <c r="A97" s="2">
        <v>43607</v>
      </c>
      <c r="B97">
        <v>28.77</v>
      </c>
      <c r="C97">
        <v>28.9</v>
      </c>
      <c r="D97">
        <v>28.24</v>
      </c>
      <c r="E97">
        <v>28.77</v>
      </c>
      <c r="F97">
        <v>28.563393000000001</v>
      </c>
      <c r="G97">
        <v>6361400</v>
      </c>
    </row>
    <row r="98" spans="1:7">
      <c r="A98" s="2">
        <v>43608</v>
      </c>
      <c r="B98">
        <v>28.469999000000001</v>
      </c>
      <c r="C98">
        <v>28.540001</v>
      </c>
      <c r="D98">
        <v>27.77</v>
      </c>
      <c r="E98">
        <v>28.27</v>
      </c>
      <c r="F98">
        <v>28.066984000000001</v>
      </c>
      <c r="G98">
        <v>6864700</v>
      </c>
    </row>
    <row r="99" spans="1:7">
      <c r="A99" s="2">
        <v>43609</v>
      </c>
      <c r="B99">
        <v>28.57</v>
      </c>
      <c r="C99">
        <v>28.73</v>
      </c>
      <c r="D99">
        <v>28.27</v>
      </c>
      <c r="E99">
        <v>28.33</v>
      </c>
      <c r="F99">
        <v>28.126553000000001</v>
      </c>
      <c r="G99">
        <v>4567400</v>
      </c>
    </row>
    <row r="100" spans="1:7">
      <c r="A100" s="2">
        <v>43612</v>
      </c>
      <c r="B100">
        <v>28.549999</v>
      </c>
      <c r="C100">
        <v>28.92</v>
      </c>
      <c r="D100">
        <v>28.52</v>
      </c>
      <c r="E100">
        <v>28.74</v>
      </c>
      <c r="F100">
        <v>28.533607</v>
      </c>
      <c r="G100">
        <v>3226900</v>
      </c>
    </row>
    <row r="101" spans="1:7">
      <c r="A101" s="2">
        <v>43613</v>
      </c>
      <c r="B101">
        <v>28.610001</v>
      </c>
      <c r="C101">
        <v>29.129999000000002</v>
      </c>
      <c r="D101">
        <v>28.48</v>
      </c>
      <c r="E101">
        <v>29.129999000000002</v>
      </c>
      <c r="F101">
        <v>28.920807</v>
      </c>
      <c r="G101">
        <v>15362400</v>
      </c>
    </row>
    <row r="102" spans="1:7">
      <c r="A102" s="2">
        <v>43614</v>
      </c>
      <c r="B102">
        <v>28.860001</v>
      </c>
      <c r="C102">
        <v>29.129999000000002</v>
      </c>
      <c r="D102">
        <v>28.5</v>
      </c>
      <c r="E102">
        <v>28.9</v>
      </c>
      <c r="F102">
        <v>28.692458999999999</v>
      </c>
      <c r="G102">
        <v>6393100</v>
      </c>
    </row>
    <row r="103" spans="1:7">
      <c r="A103" s="2">
        <v>43615</v>
      </c>
      <c r="B103">
        <v>28.950001</v>
      </c>
      <c r="C103">
        <v>29.34</v>
      </c>
      <c r="D103">
        <v>28.690000999999999</v>
      </c>
      <c r="E103">
        <v>28.85</v>
      </c>
      <c r="F103">
        <v>28.642817999999998</v>
      </c>
      <c r="G103">
        <v>10128600</v>
      </c>
    </row>
    <row r="104" spans="1:7">
      <c r="A104" s="2">
        <v>43616</v>
      </c>
      <c r="B104">
        <v>28.620000999999998</v>
      </c>
      <c r="C104">
        <v>28.98</v>
      </c>
      <c r="D104">
        <v>28.219999000000001</v>
      </c>
      <c r="E104">
        <v>28.23</v>
      </c>
      <c r="F104">
        <v>28.027269</v>
      </c>
      <c r="G104">
        <v>10748300</v>
      </c>
    </row>
    <row r="105" spans="1:7">
      <c r="A105" s="2">
        <v>43619</v>
      </c>
      <c r="B105">
        <v>28.5</v>
      </c>
      <c r="C105">
        <v>29.219999000000001</v>
      </c>
      <c r="D105">
        <v>28.469999000000001</v>
      </c>
      <c r="E105">
        <v>28.85</v>
      </c>
      <c r="F105">
        <v>28.642817999999998</v>
      </c>
      <c r="G105">
        <v>11261400</v>
      </c>
    </row>
    <row r="106" spans="1:7">
      <c r="A106" s="2">
        <v>43620</v>
      </c>
      <c r="B106">
        <v>29.299999</v>
      </c>
      <c r="C106">
        <v>29.299999</v>
      </c>
      <c r="D106">
        <v>28.780000999999999</v>
      </c>
      <c r="E106">
        <v>29.02</v>
      </c>
      <c r="F106">
        <v>28.811598</v>
      </c>
      <c r="G106">
        <v>6336100</v>
      </c>
    </row>
    <row r="107" spans="1:7">
      <c r="A107" s="2">
        <v>43621</v>
      </c>
      <c r="B107">
        <v>29.08</v>
      </c>
      <c r="C107">
        <v>29.17</v>
      </c>
      <c r="D107">
        <v>28.24</v>
      </c>
      <c r="E107">
        <v>28.610001</v>
      </c>
      <c r="F107">
        <v>28.404543</v>
      </c>
      <c r="G107">
        <v>6527000</v>
      </c>
    </row>
    <row r="108" spans="1:7">
      <c r="A108" s="2">
        <v>43622</v>
      </c>
      <c r="B108">
        <v>29</v>
      </c>
      <c r="C108">
        <v>29.379999000000002</v>
      </c>
      <c r="D108">
        <v>28.52</v>
      </c>
      <c r="E108">
        <v>29.059999000000001</v>
      </c>
      <c r="F108">
        <v>28.851309000000001</v>
      </c>
      <c r="G108">
        <v>5877100</v>
      </c>
    </row>
    <row r="109" spans="1:7">
      <c r="A109" s="2">
        <v>43623</v>
      </c>
      <c r="B109">
        <v>29.49</v>
      </c>
      <c r="C109">
        <v>29.91</v>
      </c>
      <c r="D109">
        <v>29.17</v>
      </c>
      <c r="E109">
        <v>29.85</v>
      </c>
      <c r="F109">
        <v>29.635636999999999</v>
      </c>
      <c r="G109">
        <v>11928500</v>
      </c>
    </row>
    <row r="110" spans="1:7">
      <c r="A110" s="2">
        <v>43626</v>
      </c>
      <c r="B110">
        <v>29.700001</v>
      </c>
      <c r="C110">
        <v>29.85</v>
      </c>
      <c r="D110">
        <v>29.200001</v>
      </c>
      <c r="E110">
        <v>29.35</v>
      </c>
      <c r="F110">
        <v>29.139227000000002</v>
      </c>
      <c r="G110">
        <v>11783800</v>
      </c>
    </row>
    <row r="111" spans="1:7">
      <c r="A111" s="2">
        <v>43627</v>
      </c>
      <c r="B111">
        <v>29.48</v>
      </c>
      <c r="C111">
        <v>30.1</v>
      </c>
      <c r="D111">
        <v>29.41</v>
      </c>
      <c r="E111">
        <v>29.950001</v>
      </c>
      <c r="F111">
        <v>29.734919000000001</v>
      </c>
      <c r="G111">
        <v>13726700</v>
      </c>
    </row>
    <row r="112" spans="1:7">
      <c r="A112" s="2">
        <v>43628</v>
      </c>
      <c r="B112">
        <v>29.75</v>
      </c>
      <c r="C112">
        <v>29.889999</v>
      </c>
      <c r="D112">
        <v>29.27</v>
      </c>
      <c r="E112">
        <v>29.51</v>
      </c>
      <c r="F112">
        <v>29.298079000000001</v>
      </c>
      <c r="G112">
        <v>8331300</v>
      </c>
    </row>
    <row r="113" spans="1:7">
      <c r="A113" s="2">
        <v>43629</v>
      </c>
      <c r="B113">
        <v>30</v>
      </c>
      <c r="C113">
        <v>30.190000999999999</v>
      </c>
      <c r="D113">
        <v>29.799999</v>
      </c>
      <c r="E113">
        <v>29.91</v>
      </c>
      <c r="F113">
        <v>29.695205999999999</v>
      </c>
      <c r="G113">
        <v>7409900</v>
      </c>
    </row>
    <row r="114" spans="1:7">
      <c r="A114" s="2">
        <v>43630</v>
      </c>
      <c r="B114">
        <v>29.65</v>
      </c>
      <c r="C114">
        <v>30.190000999999999</v>
      </c>
      <c r="D114">
        <v>29.65</v>
      </c>
      <c r="E114">
        <v>30.190000999999999</v>
      </c>
      <c r="F114">
        <v>29.973196000000002</v>
      </c>
      <c r="G114">
        <v>15266400</v>
      </c>
    </row>
    <row r="115" spans="1:7">
      <c r="A115" s="2">
        <v>43633</v>
      </c>
      <c r="B115">
        <v>30.200001</v>
      </c>
      <c r="C115">
        <v>30.549999</v>
      </c>
      <c r="D115">
        <v>29.92</v>
      </c>
      <c r="E115">
        <v>30.15</v>
      </c>
      <c r="F115">
        <v>29.933481</v>
      </c>
      <c r="G115">
        <v>5831200</v>
      </c>
    </row>
    <row r="116" spans="1:7">
      <c r="A116" s="2">
        <v>43634</v>
      </c>
      <c r="B116">
        <v>30.440000999999999</v>
      </c>
      <c r="C116">
        <v>30.719999000000001</v>
      </c>
      <c r="D116">
        <v>30.27</v>
      </c>
      <c r="E116">
        <v>30.610001</v>
      </c>
      <c r="F116">
        <v>30.390179</v>
      </c>
      <c r="G116">
        <v>7063300</v>
      </c>
    </row>
    <row r="117" spans="1:7">
      <c r="A117" s="2">
        <v>43635</v>
      </c>
      <c r="B117">
        <v>30.5</v>
      </c>
      <c r="C117">
        <v>30.84</v>
      </c>
      <c r="D117">
        <v>30.389999</v>
      </c>
      <c r="E117">
        <v>30.84</v>
      </c>
      <c r="F117">
        <v>30.618528000000001</v>
      </c>
      <c r="G117">
        <v>8281000</v>
      </c>
    </row>
    <row r="118" spans="1:7">
      <c r="A118" s="2">
        <v>43637</v>
      </c>
      <c r="B118">
        <v>31.110001</v>
      </c>
      <c r="C118">
        <v>32.029998999999997</v>
      </c>
      <c r="D118">
        <v>31.110001</v>
      </c>
      <c r="E118">
        <v>31.790001</v>
      </c>
      <c r="F118">
        <v>31.561706999999998</v>
      </c>
      <c r="G118">
        <v>15423400</v>
      </c>
    </row>
    <row r="119" spans="1:7">
      <c r="A119" s="2">
        <v>43640</v>
      </c>
      <c r="B119">
        <v>31.879999000000002</v>
      </c>
      <c r="C119">
        <v>32</v>
      </c>
      <c r="D119">
        <v>31.59</v>
      </c>
      <c r="E119">
        <v>31.66</v>
      </c>
      <c r="F119">
        <v>31.432638000000001</v>
      </c>
      <c r="G119">
        <v>8733700</v>
      </c>
    </row>
    <row r="120" spans="1:7">
      <c r="A120" s="2">
        <v>43641</v>
      </c>
      <c r="B120">
        <v>31.5</v>
      </c>
      <c r="C120">
        <v>31.540001</v>
      </c>
      <c r="D120">
        <v>30.58</v>
      </c>
      <c r="E120">
        <v>30.700001</v>
      </c>
      <c r="F120">
        <v>30.479534000000001</v>
      </c>
      <c r="G120">
        <v>15188900</v>
      </c>
    </row>
    <row r="121" spans="1:7">
      <c r="A121" s="2">
        <v>43642</v>
      </c>
      <c r="B121">
        <v>30.309999000000001</v>
      </c>
      <c r="C121">
        <v>30.92</v>
      </c>
      <c r="D121">
        <v>30.25</v>
      </c>
      <c r="E121">
        <v>30.549999</v>
      </c>
      <c r="F121">
        <v>30.330608000000002</v>
      </c>
      <c r="G121">
        <v>67560800</v>
      </c>
    </row>
    <row r="122" spans="1:7">
      <c r="A122" s="2">
        <v>43643</v>
      </c>
      <c r="B122">
        <v>30.26</v>
      </c>
      <c r="C122">
        <v>30.389999</v>
      </c>
      <c r="D122">
        <v>29.58</v>
      </c>
      <c r="E122">
        <v>29.889999</v>
      </c>
      <c r="F122">
        <v>29.675348</v>
      </c>
      <c r="G122">
        <v>40733300</v>
      </c>
    </row>
    <row r="123" spans="1:7">
      <c r="A123" s="2">
        <v>43644</v>
      </c>
      <c r="B123">
        <v>30.110001</v>
      </c>
      <c r="C123">
        <v>30.450001</v>
      </c>
      <c r="D123">
        <v>29.709999</v>
      </c>
      <c r="E123">
        <v>30.02</v>
      </c>
      <c r="F123">
        <v>29.804417000000001</v>
      </c>
      <c r="G123">
        <v>15244600</v>
      </c>
    </row>
    <row r="124" spans="1:7">
      <c r="A124" s="2">
        <v>43647</v>
      </c>
      <c r="B124">
        <v>30.440000999999999</v>
      </c>
      <c r="C124">
        <v>30.65</v>
      </c>
      <c r="D124">
        <v>29.799999</v>
      </c>
      <c r="E124">
        <v>29.92</v>
      </c>
      <c r="F124">
        <v>29.705133</v>
      </c>
      <c r="G124">
        <v>19745200</v>
      </c>
    </row>
    <row r="125" spans="1:7">
      <c r="A125" s="2">
        <v>43648</v>
      </c>
      <c r="B125">
        <v>29.860001</v>
      </c>
      <c r="C125">
        <v>30</v>
      </c>
      <c r="D125">
        <v>29.200001</v>
      </c>
      <c r="E125">
        <v>29.469999000000001</v>
      </c>
      <c r="F125">
        <v>29.258365999999999</v>
      </c>
      <c r="G125">
        <v>19670800</v>
      </c>
    </row>
    <row r="126" spans="1:7">
      <c r="A126" s="2">
        <v>43649</v>
      </c>
      <c r="B126">
        <v>29.610001</v>
      </c>
      <c r="C126">
        <v>29.879999000000002</v>
      </c>
      <c r="D126">
        <v>29.42</v>
      </c>
      <c r="E126">
        <v>29.77</v>
      </c>
      <c r="F126">
        <v>29.556211000000001</v>
      </c>
      <c r="G126">
        <v>7998500</v>
      </c>
    </row>
    <row r="127" spans="1:7">
      <c r="A127" s="2">
        <v>43650</v>
      </c>
      <c r="B127">
        <v>30</v>
      </c>
      <c r="C127">
        <v>30.360001</v>
      </c>
      <c r="D127">
        <v>30</v>
      </c>
      <c r="E127">
        <v>30.16</v>
      </c>
      <c r="F127">
        <v>29.943411000000001</v>
      </c>
      <c r="G127">
        <v>6386500</v>
      </c>
    </row>
    <row r="128" spans="1:7">
      <c r="A128" s="2">
        <v>43651</v>
      </c>
      <c r="B128">
        <v>30.02</v>
      </c>
      <c r="C128">
        <v>30.299999</v>
      </c>
      <c r="D128">
        <v>29.82</v>
      </c>
      <c r="E128">
        <v>30.030000999999999</v>
      </c>
      <c r="F128">
        <v>29.814343999999998</v>
      </c>
      <c r="G128">
        <v>9364700</v>
      </c>
    </row>
    <row r="129" spans="1:7">
      <c r="A129" s="2">
        <v>43654</v>
      </c>
      <c r="B129">
        <v>30.08</v>
      </c>
      <c r="C129">
        <v>30.610001</v>
      </c>
      <c r="D129">
        <v>30.01</v>
      </c>
      <c r="E129">
        <v>30.610001</v>
      </c>
      <c r="F129">
        <v>30.390179</v>
      </c>
      <c r="G129">
        <v>8645300</v>
      </c>
    </row>
    <row r="130" spans="1:7">
      <c r="A130" s="2">
        <v>43656</v>
      </c>
      <c r="B130">
        <v>30.809999000000001</v>
      </c>
      <c r="C130">
        <v>30.98</v>
      </c>
      <c r="D130">
        <v>30.6</v>
      </c>
      <c r="E130">
        <v>30.719999000000001</v>
      </c>
      <c r="F130">
        <v>30.499388</v>
      </c>
      <c r="G130">
        <v>22198500</v>
      </c>
    </row>
    <row r="131" spans="1:7">
      <c r="A131" s="2">
        <v>43657</v>
      </c>
      <c r="B131">
        <v>30.83</v>
      </c>
      <c r="C131">
        <v>31.4</v>
      </c>
      <c r="D131">
        <v>30.73</v>
      </c>
      <c r="E131">
        <v>31.299999</v>
      </c>
      <c r="F131">
        <v>31.075223999999999</v>
      </c>
      <c r="G131">
        <v>13559200</v>
      </c>
    </row>
    <row r="132" spans="1:7">
      <c r="A132" s="2">
        <v>43658</v>
      </c>
      <c r="B132">
        <v>31.379999000000002</v>
      </c>
      <c r="C132">
        <v>31.67</v>
      </c>
      <c r="D132">
        <v>31.24</v>
      </c>
      <c r="E132">
        <v>31.5</v>
      </c>
      <c r="F132">
        <v>31.273788</v>
      </c>
      <c r="G132">
        <v>10042900</v>
      </c>
    </row>
    <row r="133" spans="1:7">
      <c r="A133" s="2">
        <v>43661</v>
      </c>
      <c r="B133">
        <v>31.610001</v>
      </c>
      <c r="C133">
        <v>31.610001</v>
      </c>
      <c r="D133">
        <v>30.959999</v>
      </c>
      <c r="E133">
        <v>30.969999000000001</v>
      </c>
      <c r="F133">
        <v>30.747592999999998</v>
      </c>
      <c r="G133">
        <v>6454700</v>
      </c>
    </row>
    <row r="134" spans="1:7">
      <c r="A134" s="2">
        <v>43662</v>
      </c>
      <c r="B134">
        <v>30.889999</v>
      </c>
      <c r="C134">
        <v>31.15</v>
      </c>
      <c r="D134">
        <v>30.4</v>
      </c>
      <c r="E134">
        <v>30.6</v>
      </c>
      <c r="F134">
        <v>30.380251000000001</v>
      </c>
      <c r="G134">
        <v>7615500</v>
      </c>
    </row>
    <row r="135" spans="1:7">
      <c r="A135" s="2">
        <v>43663</v>
      </c>
      <c r="B135">
        <v>30.709999</v>
      </c>
      <c r="C135">
        <v>30.719999000000001</v>
      </c>
      <c r="D135">
        <v>30.25</v>
      </c>
      <c r="E135">
        <v>30.4</v>
      </c>
      <c r="F135">
        <v>30.181685999999999</v>
      </c>
      <c r="G135">
        <v>6462900</v>
      </c>
    </row>
    <row r="136" spans="1:7">
      <c r="A136" s="2">
        <v>43664</v>
      </c>
      <c r="B136">
        <v>30.5</v>
      </c>
      <c r="C136">
        <v>30.5</v>
      </c>
      <c r="D136">
        <v>29.91</v>
      </c>
      <c r="E136">
        <v>30.07</v>
      </c>
      <c r="F136">
        <v>29.854057000000001</v>
      </c>
      <c r="G136">
        <v>8938700</v>
      </c>
    </row>
    <row r="137" spans="1:7">
      <c r="A137" s="2">
        <v>43665</v>
      </c>
      <c r="B137">
        <v>30.09</v>
      </c>
      <c r="C137">
        <v>30.190000999999999</v>
      </c>
      <c r="D137">
        <v>29.84</v>
      </c>
      <c r="E137">
        <v>30.059999000000001</v>
      </c>
      <c r="F137">
        <v>29.844128000000001</v>
      </c>
      <c r="G137">
        <v>7528900</v>
      </c>
    </row>
    <row r="138" spans="1:7">
      <c r="A138" s="2">
        <v>43668</v>
      </c>
      <c r="B138">
        <v>30.200001</v>
      </c>
      <c r="C138">
        <v>30.32</v>
      </c>
      <c r="D138">
        <v>29.91</v>
      </c>
      <c r="E138">
        <v>30.1</v>
      </c>
      <c r="F138">
        <v>29.883842000000001</v>
      </c>
      <c r="G138">
        <v>4522800</v>
      </c>
    </row>
    <row r="139" spans="1:7">
      <c r="A139" s="2">
        <v>43669</v>
      </c>
      <c r="B139">
        <v>30.139999</v>
      </c>
      <c r="C139">
        <v>30.379999000000002</v>
      </c>
      <c r="D139">
        <v>29.959999</v>
      </c>
      <c r="E139">
        <v>30.25</v>
      </c>
      <c r="F139">
        <v>30.032764</v>
      </c>
      <c r="G139">
        <v>8954300</v>
      </c>
    </row>
    <row r="140" spans="1:7">
      <c r="A140" s="2">
        <v>43670</v>
      </c>
      <c r="B140">
        <v>30.290001</v>
      </c>
      <c r="C140">
        <v>30.49</v>
      </c>
      <c r="D140">
        <v>29.950001</v>
      </c>
      <c r="E140">
        <v>30</v>
      </c>
      <c r="F140">
        <v>29.784559000000002</v>
      </c>
      <c r="G140">
        <v>7511900</v>
      </c>
    </row>
    <row r="141" spans="1:7">
      <c r="A141" s="2">
        <v>43671</v>
      </c>
      <c r="B141">
        <v>30.110001</v>
      </c>
      <c r="C141">
        <v>30.200001</v>
      </c>
      <c r="D141">
        <v>29.32</v>
      </c>
      <c r="E141">
        <v>29.459999</v>
      </c>
      <c r="F141">
        <v>29.248436000000002</v>
      </c>
      <c r="G141">
        <v>5954300</v>
      </c>
    </row>
    <row r="142" spans="1:7">
      <c r="A142" s="2">
        <v>43672</v>
      </c>
      <c r="B142">
        <v>29.389999</v>
      </c>
      <c r="C142">
        <v>29.389999</v>
      </c>
      <c r="D142">
        <v>28.41</v>
      </c>
      <c r="E142">
        <v>28.540001</v>
      </c>
      <c r="F142">
        <v>28.335045000000001</v>
      </c>
      <c r="G142">
        <v>12630300</v>
      </c>
    </row>
    <row r="143" spans="1:7">
      <c r="A143" s="2">
        <v>43675</v>
      </c>
      <c r="B143">
        <v>28.540001</v>
      </c>
      <c r="C143">
        <v>28.92</v>
      </c>
      <c r="D143">
        <v>28.35</v>
      </c>
      <c r="E143">
        <v>28.889999</v>
      </c>
      <c r="F143">
        <v>28.682528999999999</v>
      </c>
      <c r="G143">
        <v>6187400</v>
      </c>
    </row>
    <row r="144" spans="1:7">
      <c r="A144" s="2">
        <v>43676</v>
      </c>
      <c r="B144">
        <v>28.690000999999999</v>
      </c>
      <c r="C144">
        <v>29.049999</v>
      </c>
      <c r="D144">
        <v>28.559999000000001</v>
      </c>
      <c r="E144">
        <v>28.700001</v>
      </c>
      <c r="F144">
        <v>28.493895999999999</v>
      </c>
      <c r="G144">
        <v>6561600</v>
      </c>
    </row>
    <row r="145" spans="1:7">
      <c r="A145" s="2">
        <v>43677</v>
      </c>
      <c r="B145">
        <v>29</v>
      </c>
      <c r="C145">
        <v>29.01</v>
      </c>
      <c r="D145">
        <v>28.459999</v>
      </c>
      <c r="E145">
        <v>28.790001</v>
      </c>
      <c r="F145">
        <v>28.58325</v>
      </c>
      <c r="G145">
        <v>8380000</v>
      </c>
    </row>
    <row r="146" spans="1:7">
      <c r="A146" s="2">
        <v>43678</v>
      </c>
      <c r="B146">
        <v>29.040001</v>
      </c>
      <c r="C146">
        <v>29.200001</v>
      </c>
      <c r="D146">
        <v>27.860001</v>
      </c>
      <c r="E146">
        <v>28.35</v>
      </c>
      <c r="F146">
        <v>28.146409999999999</v>
      </c>
      <c r="G146">
        <v>11699000</v>
      </c>
    </row>
    <row r="147" spans="1:7">
      <c r="A147" s="2">
        <v>43679</v>
      </c>
      <c r="B147">
        <v>29.190000999999999</v>
      </c>
      <c r="C147">
        <v>29.74</v>
      </c>
      <c r="D147">
        <v>28.889999</v>
      </c>
      <c r="E147">
        <v>29.209999</v>
      </c>
      <c r="F147">
        <v>29.000233000000001</v>
      </c>
      <c r="G147">
        <v>13359900</v>
      </c>
    </row>
    <row r="148" spans="1:7">
      <c r="A148" s="2">
        <v>43682</v>
      </c>
      <c r="B148">
        <v>28.59</v>
      </c>
      <c r="C148">
        <v>28.68</v>
      </c>
      <c r="D148">
        <v>27.93</v>
      </c>
      <c r="E148">
        <v>28</v>
      </c>
      <c r="F148">
        <v>27.798922000000001</v>
      </c>
      <c r="G148">
        <v>12218900</v>
      </c>
    </row>
    <row r="149" spans="1:7">
      <c r="A149" s="2">
        <v>43683</v>
      </c>
      <c r="B149">
        <v>28.41</v>
      </c>
      <c r="C149">
        <v>28.719999000000001</v>
      </c>
      <c r="D149">
        <v>28.23</v>
      </c>
      <c r="E149">
        <v>28.469999000000001</v>
      </c>
      <c r="F149">
        <v>28.265547000000002</v>
      </c>
      <c r="G149">
        <v>11442100</v>
      </c>
    </row>
    <row r="150" spans="1:7">
      <c r="A150" s="2">
        <v>43684</v>
      </c>
      <c r="B150">
        <v>28.02</v>
      </c>
      <c r="C150">
        <v>28.32</v>
      </c>
      <c r="D150">
        <v>27.459999</v>
      </c>
      <c r="E150">
        <v>28.200001</v>
      </c>
      <c r="F150">
        <v>27.997485999999999</v>
      </c>
      <c r="G150">
        <v>19222700</v>
      </c>
    </row>
    <row r="151" spans="1:7">
      <c r="A151" s="2">
        <v>43685</v>
      </c>
      <c r="B151">
        <v>28.77</v>
      </c>
      <c r="C151">
        <v>28.870000999999998</v>
      </c>
      <c r="D151">
        <v>28.34</v>
      </c>
      <c r="E151">
        <v>28.870000999999998</v>
      </c>
      <c r="F151">
        <v>28.662676000000001</v>
      </c>
      <c r="G151">
        <v>8060900</v>
      </c>
    </row>
    <row r="152" spans="1:7">
      <c r="A152" s="2">
        <v>43686</v>
      </c>
      <c r="B152">
        <v>28.84</v>
      </c>
      <c r="C152">
        <v>29.15</v>
      </c>
      <c r="D152">
        <v>28.58</v>
      </c>
      <c r="E152">
        <v>28.620000999999998</v>
      </c>
      <c r="F152">
        <v>28.414470999999999</v>
      </c>
      <c r="G152">
        <v>5596000</v>
      </c>
    </row>
    <row r="153" spans="1:7">
      <c r="A153" s="2">
        <v>43689</v>
      </c>
      <c r="B153">
        <v>28.309999000000001</v>
      </c>
      <c r="C153">
        <v>28.360001</v>
      </c>
      <c r="D153">
        <v>27.780000999999999</v>
      </c>
      <c r="E153">
        <v>27.85</v>
      </c>
      <c r="F153">
        <v>27.65</v>
      </c>
      <c r="G153">
        <v>6704100</v>
      </c>
    </row>
    <row r="154" spans="1:7">
      <c r="A154" s="2">
        <v>43690</v>
      </c>
      <c r="B154">
        <v>27.51</v>
      </c>
      <c r="C154">
        <v>28.280000999999999</v>
      </c>
      <c r="D154">
        <v>27.290001</v>
      </c>
      <c r="E154">
        <v>27.959999</v>
      </c>
      <c r="F154">
        <v>27.959999</v>
      </c>
      <c r="G154">
        <v>10398800</v>
      </c>
    </row>
    <row r="155" spans="1:7">
      <c r="A155" s="2">
        <v>43691</v>
      </c>
      <c r="B155">
        <v>27.5</v>
      </c>
      <c r="C155">
        <v>27.620000999999998</v>
      </c>
      <c r="D155">
        <v>26.950001</v>
      </c>
      <c r="E155">
        <v>27.1</v>
      </c>
      <c r="F155">
        <v>27.1</v>
      </c>
      <c r="G155">
        <v>14788200</v>
      </c>
    </row>
    <row r="156" spans="1:7">
      <c r="A156" s="2">
        <v>43692</v>
      </c>
      <c r="B156">
        <v>27.129999000000002</v>
      </c>
      <c r="C156">
        <v>27.200001</v>
      </c>
      <c r="D156">
        <v>26.309999000000001</v>
      </c>
      <c r="E156">
        <v>26.5</v>
      </c>
      <c r="F156">
        <v>26.5</v>
      </c>
      <c r="G156">
        <v>12140300</v>
      </c>
    </row>
    <row r="157" spans="1:7">
      <c r="A157" s="2">
        <v>43693</v>
      </c>
      <c r="B157">
        <v>27.01</v>
      </c>
      <c r="C157">
        <v>27.059999000000001</v>
      </c>
      <c r="D157">
        <v>26.219999000000001</v>
      </c>
      <c r="E157">
        <v>26.379999000000002</v>
      </c>
      <c r="F157">
        <v>26.379999000000002</v>
      </c>
      <c r="G157">
        <v>10977200</v>
      </c>
    </row>
    <row r="158" spans="1:7">
      <c r="A158" s="2">
        <v>43696</v>
      </c>
      <c r="B158">
        <v>26.780000999999999</v>
      </c>
      <c r="C158">
        <v>27.02</v>
      </c>
      <c r="D158">
        <v>26.5</v>
      </c>
      <c r="E158">
        <v>26.74</v>
      </c>
      <c r="F158">
        <v>26.74</v>
      </c>
      <c r="G158">
        <v>9940300</v>
      </c>
    </row>
    <row r="159" spans="1:7">
      <c r="A159" s="2">
        <v>43697</v>
      </c>
      <c r="B159">
        <v>26.76</v>
      </c>
      <c r="C159">
        <v>26.860001</v>
      </c>
      <c r="D159">
        <v>26.32</v>
      </c>
      <c r="E159">
        <v>26.49</v>
      </c>
      <c r="F159">
        <v>26.49</v>
      </c>
      <c r="G159">
        <v>6659300</v>
      </c>
    </row>
    <row r="160" spans="1:7">
      <c r="A160" s="2">
        <v>43698</v>
      </c>
      <c r="B160">
        <v>26.889999</v>
      </c>
      <c r="C160">
        <v>28.459999</v>
      </c>
      <c r="D160">
        <v>26.700001</v>
      </c>
      <c r="E160">
        <v>27.9</v>
      </c>
      <c r="F160">
        <v>27.9</v>
      </c>
      <c r="G160">
        <v>18364100</v>
      </c>
    </row>
    <row r="161" spans="1:7">
      <c r="A161" s="2">
        <v>43699</v>
      </c>
      <c r="B161">
        <v>28.01</v>
      </c>
      <c r="C161">
        <v>28.26</v>
      </c>
      <c r="D161">
        <v>27.530000999999999</v>
      </c>
      <c r="E161">
        <v>27.629999000000002</v>
      </c>
      <c r="F161">
        <v>27.629999000000002</v>
      </c>
      <c r="G161">
        <v>10511800</v>
      </c>
    </row>
    <row r="162" spans="1:7">
      <c r="A162" s="2">
        <v>43700</v>
      </c>
      <c r="B162">
        <v>27.24</v>
      </c>
      <c r="C162">
        <v>27.67</v>
      </c>
      <c r="D162">
        <v>26.639999</v>
      </c>
      <c r="E162">
        <v>26.76</v>
      </c>
      <c r="F162">
        <v>26.76</v>
      </c>
      <c r="G162">
        <v>9293400</v>
      </c>
    </row>
    <row r="163" spans="1:7">
      <c r="A163" s="2">
        <v>43703</v>
      </c>
      <c r="B163">
        <v>26.889999</v>
      </c>
      <c r="C163">
        <v>27.09</v>
      </c>
      <c r="D163">
        <v>26.33</v>
      </c>
      <c r="E163">
        <v>26.41</v>
      </c>
      <c r="F163">
        <v>26.41</v>
      </c>
      <c r="G163">
        <v>11515000</v>
      </c>
    </row>
    <row r="164" spans="1:7">
      <c r="A164" s="2">
        <v>43704</v>
      </c>
      <c r="B164">
        <v>26.76</v>
      </c>
      <c r="C164">
        <v>27.280000999999999</v>
      </c>
      <c r="D164">
        <v>26.440000999999999</v>
      </c>
      <c r="E164">
        <v>26.91</v>
      </c>
      <c r="F164">
        <v>26.91</v>
      </c>
      <c r="G164">
        <v>14794100</v>
      </c>
    </row>
    <row r="165" spans="1:7">
      <c r="A165" s="2">
        <v>43705</v>
      </c>
      <c r="B165">
        <v>26.799999</v>
      </c>
      <c r="C165">
        <v>27.35</v>
      </c>
      <c r="D165">
        <v>26.799999</v>
      </c>
      <c r="E165">
        <v>27.1</v>
      </c>
      <c r="F165">
        <v>27.1</v>
      </c>
      <c r="G165">
        <v>6301800</v>
      </c>
    </row>
    <row r="166" spans="1:7">
      <c r="A166" s="2">
        <v>43706</v>
      </c>
      <c r="B166">
        <v>27.4</v>
      </c>
      <c r="C166">
        <v>28.120000999999998</v>
      </c>
      <c r="D166">
        <v>27.299999</v>
      </c>
      <c r="E166">
        <v>28.120000999999998</v>
      </c>
      <c r="F166">
        <v>28.120000999999998</v>
      </c>
      <c r="G166">
        <v>7953000</v>
      </c>
    </row>
    <row r="167" spans="1:7">
      <c r="A167" s="2">
        <v>43707</v>
      </c>
      <c r="B167">
        <v>28.17</v>
      </c>
      <c r="C167">
        <v>28.34</v>
      </c>
      <c r="D167">
        <v>27.76</v>
      </c>
      <c r="E167">
        <v>28.27</v>
      </c>
      <c r="F167">
        <v>28.27</v>
      </c>
      <c r="G167">
        <v>12237200</v>
      </c>
    </row>
  </sheetData>
  <sortState xmlns:xlrd2="http://schemas.microsoft.com/office/spreadsheetml/2017/richdata2" ref="A2:A69">
    <sortCondition ref="A1"/>
  </sortState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Base</vt:lpstr>
      <vt:lpstr>Comp_Precos_Ajustados</vt:lpstr>
      <vt:lpstr>Precos</vt:lpstr>
      <vt:lpstr>Retornos</vt:lpstr>
      <vt:lpstr>Cadastro</vt:lpstr>
      <vt:lpstr>Dados</vt:lpstr>
      <vt:lpstr>Range_Check</vt:lpstr>
      <vt:lpstr>Range_Data_Final</vt:lpstr>
      <vt:lpstr>Range_Data_Inicial</vt:lpstr>
      <vt:lpstr>Range_Inicio_Colunas</vt:lpstr>
      <vt:lpstr>Range_Yahoo_Ticker</vt:lpstr>
      <vt:lpstr>tipo_preco</vt:lpstr>
      <vt:lpstr>tipo_retorno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2017-05-09T18:46:11Z</dcterms:created>
  <dcterms:modified xsi:type="dcterms:W3CDTF">2019-09-04T16:40:09Z</dcterms:modified>
</cp:coreProperties>
</file>