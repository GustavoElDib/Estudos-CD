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afael\Desktop\Rafael\blog_new\Sharpe\"/>
    </mc:Choice>
  </mc:AlternateContent>
  <bookViews>
    <workbookView xWindow="0" yWindow="0" windowWidth="25200" windowHeight="12570"/>
  </bookViews>
  <sheets>
    <sheet name="Sharpe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5" i="1" l="1"/>
  <c r="I10" i="1"/>
  <c r="J7" i="1"/>
  <c r="K7" i="1"/>
  <c r="L7" i="1"/>
  <c r="M7" i="1"/>
  <c r="I7" i="1"/>
  <c r="I9" i="1"/>
  <c r="J8" i="1"/>
  <c r="J9" i="1" s="1"/>
  <c r="J10" i="1" s="1"/>
  <c r="K8" i="1"/>
  <c r="K9" i="1" s="1"/>
  <c r="K10" i="1" s="1"/>
  <c r="L8" i="1"/>
  <c r="L9" i="1" s="1"/>
  <c r="L10" i="1" s="1"/>
  <c r="I8" i="1"/>
  <c r="J6" i="1" a="1"/>
  <c r="J6" i="1" s="1"/>
  <c r="K6" i="1" a="1"/>
  <c r="K6" i="1"/>
  <c r="L6" i="1" a="1"/>
  <c r="L6" i="1" s="1"/>
  <c r="M6" i="1" a="1"/>
  <c r="M6" i="1" s="1"/>
  <c r="I6" i="1" a="1"/>
  <c r="I6" i="1" s="1"/>
  <c r="M15" i="1" l="1"/>
  <c r="L15" i="1"/>
  <c r="M16" i="1" l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I16" i="1"/>
  <c r="J16" i="1"/>
  <c r="K16" i="1"/>
  <c r="L16" i="1"/>
  <c r="I17" i="1"/>
  <c r="J17" i="1"/>
  <c r="K17" i="1"/>
  <c r="L17" i="1"/>
  <c r="I18" i="1"/>
  <c r="J18" i="1"/>
  <c r="K18" i="1"/>
  <c r="L18" i="1"/>
  <c r="I19" i="1"/>
  <c r="J19" i="1"/>
  <c r="K19" i="1"/>
  <c r="L19" i="1"/>
  <c r="I20" i="1"/>
  <c r="J20" i="1"/>
  <c r="K20" i="1"/>
  <c r="L20" i="1"/>
  <c r="I21" i="1"/>
  <c r="J21" i="1"/>
  <c r="K21" i="1"/>
  <c r="L21" i="1"/>
  <c r="I22" i="1"/>
  <c r="J22" i="1"/>
  <c r="K22" i="1"/>
  <c r="L22" i="1"/>
  <c r="I23" i="1"/>
  <c r="J23" i="1"/>
  <c r="K23" i="1"/>
  <c r="L23" i="1"/>
  <c r="I24" i="1"/>
  <c r="J24" i="1"/>
  <c r="K24" i="1"/>
  <c r="L24" i="1"/>
  <c r="I25" i="1"/>
  <c r="J25" i="1"/>
  <c r="K25" i="1"/>
  <c r="L25" i="1"/>
  <c r="I26" i="1"/>
  <c r="J26" i="1"/>
  <c r="K26" i="1"/>
  <c r="L26" i="1"/>
  <c r="I27" i="1"/>
  <c r="J27" i="1"/>
  <c r="K27" i="1"/>
  <c r="L27" i="1"/>
  <c r="I28" i="1"/>
  <c r="J28" i="1"/>
  <c r="K28" i="1"/>
  <c r="L28" i="1"/>
  <c r="I29" i="1"/>
  <c r="J29" i="1"/>
  <c r="K29" i="1"/>
  <c r="L29" i="1"/>
  <c r="I30" i="1"/>
  <c r="J30" i="1"/>
  <c r="K30" i="1"/>
  <c r="L30" i="1"/>
  <c r="I31" i="1"/>
  <c r="J31" i="1"/>
  <c r="K31" i="1"/>
  <c r="L31" i="1"/>
  <c r="I32" i="1"/>
  <c r="J32" i="1"/>
  <c r="K32" i="1"/>
  <c r="L32" i="1"/>
  <c r="I33" i="1"/>
  <c r="J33" i="1"/>
  <c r="K33" i="1"/>
  <c r="L33" i="1"/>
  <c r="I34" i="1"/>
  <c r="J34" i="1"/>
  <c r="K34" i="1"/>
  <c r="L34" i="1"/>
  <c r="I35" i="1"/>
  <c r="J35" i="1"/>
  <c r="K35" i="1"/>
  <c r="L35" i="1"/>
  <c r="I36" i="1"/>
  <c r="J36" i="1"/>
  <c r="K36" i="1"/>
  <c r="L36" i="1"/>
  <c r="I37" i="1"/>
  <c r="J37" i="1"/>
  <c r="K37" i="1"/>
  <c r="L37" i="1"/>
  <c r="I38" i="1"/>
  <c r="J38" i="1"/>
  <c r="K38" i="1"/>
  <c r="L38" i="1"/>
  <c r="I39" i="1"/>
  <c r="J39" i="1"/>
  <c r="K39" i="1"/>
  <c r="L39" i="1"/>
  <c r="I40" i="1"/>
  <c r="J40" i="1"/>
  <c r="K40" i="1"/>
  <c r="L40" i="1"/>
  <c r="I41" i="1"/>
  <c r="J41" i="1"/>
  <c r="K41" i="1"/>
  <c r="L41" i="1"/>
  <c r="I42" i="1"/>
  <c r="J42" i="1"/>
  <c r="K42" i="1"/>
  <c r="L42" i="1"/>
  <c r="I43" i="1"/>
  <c r="J43" i="1"/>
  <c r="K43" i="1"/>
  <c r="L43" i="1"/>
  <c r="I44" i="1"/>
  <c r="J44" i="1"/>
  <c r="K44" i="1"/>
  <c r="L44" i="1"/>
  <c r="I45" i="1"/>
  <c r="J45" i="1"/>
  <c r="K45" i="1"/>
  <c r="L45" i="1"/>
  <c r="I46" i="1"/>
  <c r="J46" i="1"/>
  <c r="K46" i="1"/>
  <c r="L46" i="1"/>
  <c r="I47" i="1"/>
  <c r="J47" i="1"/>
  <c r="K47" i="1"/>
  <c r="L47" i="1"/>
  <c r="I48" i="1"/>
  <c r="J48" i="1"/>
  <c r="K48" i="1"/>
  <c r="L48" i="1"/>
  <c r="I49" i="1"/>
  <c r="J49" i="1"/>
  <c r="K49" i="1"/>
  <c r="L49" i="1"/>
  <c r="I50" i="1"/>
  <c r="J50" i="1"/>
  <c r="K50" i="1"/>
  <c r="L50" i="1"/>
  <c r="I51" i="1"/>
  <c r="J51" i="1"/>
  <c r="K51" i="1"/>
  <c r="L51" i="1"/>
  <c r="I52" i="1"/>
  <c r="J52" i="1"/>
  <c r="K52" i="1"/>
  <c r="L52" i="1"/>
  <c r="I53" i="1"/>
  <c r="J53" i="1"/>
  <c r="K53" i="1"/>
  <c r="L53" i="1"/>
  <c r="I54" i="1"/>
  <c r="J54" i="1"/>
  <c r="K54" i="1"/>
  <c r="L54" i="1"/>
  <c r="I55" i="1"/>
  <c r="J55" i="1"/>
  <c r="K55" i="1"/>
  <c r="L55" i="1"/>
  <c r="I56" i="1"/>
  <c r="J56" i="1"/>
  <c r="K56" i="1"/>
  <c r="L56" i="1"/>
  <c r="I57" i="1"/>
  <c r="J57" i="1"/>
  <c r="K57" i="1"/>
  <c r="L57" i="1"/>
  <c r="I58" i="1"/>
  <c r="J58" i="1"/>
  <c r="K58" i="1"/>
  <c r="L58" i="1"/>
  <c r="I59" i="1"/>
  <c r="J59" i="1"/>
  <c r="K59" i="1"/>
  <c r="L59" i="1"/>
  <c r="I60" i="1"/>
  <c r="J60" i="1"/>
  <c r="K60" i="1"/>
  <c r="L60" i="1"/>
  <c r="I61" i="1"/>
  <c r="J61" i="1"/>
  <c r="K61" i="1"/>
  <c r="L61" i="1"/>
  <c r="I62" i="1"/>
  <c r="J62" i="1"/>
  <c r="K62" i="1"/>
  <c r="L62" i="1"/>
  <c r="I63" i="1"/>
  <c r="J63" i="1"/>
  <c r="K63" i="1"/>
  <c r="L63" i="1"/>
  <c r="I64" i="1"/>
  <c r="J64" i="1"/>
  <c r="K64" i="1"/>
  <c r="L64" i="1"/>
  <c r="I65" i="1"/>
  <c r="J65" i="1"/>
  <c r="K65" i="1"/>
  <c r="L65" i="1"/>
  <c r="I66" i="1"/>
  <c r="J66" i="1"/>
  <c r="K66" i="1"/>
  <c r="L66" i="1"/>
  <c r="I67" i="1"/>
  <c r="J67" i="1"/>
  <c r="K67" i="1"/>
  <c r="L67" i="1"/>
  <c r="I68" i="1"/>
  <c r="J68" i="1"/>
  <c r="K68" i="1"/>
  <c r="L68" i="1"/>
  <c r="I69" i="1"/>
  <c r="J69" i="1"/>
  <c r="K69" i="1"/>
  <c r="L69" i="1"/>
  <c r="I70" i="1"/>
  <c r="J70" i="1"/>
  <c r="K70" i="1"/>
  <c r="L70" i="1"/>
  <c r="I71" i="1"/>
  <c r="J71" i="1"/>
  <c r="K71" i="1"/>
  <c r="L71" i="1"/>
  <c r="I72" i="1"/>
  <c r="J72" i="1"/>
  <c r="K72" i="1"/>
  <c r="L72" i="1"/>
  <c r="I73" i="1"/>
  <c r="J73" i="1"/>
  <c r="K73" i="1"/>
  <c r="L73" i="1"/>
  <c r="I74" i="1"/>
  <c r="J74" i="1"/>
  <c r="K74" i="1"/>
  <c r="L74" i="1"/>
  <c r="I75" i="1"/>
  <c r="J75" i="1"/>
  <c r="K75" i="1"/>
  <c r="L75" i="1"/>
  <c r="I76" i="1"/>
  <c r="J76" i="1"/>
  <c r="K76" i="1"/>
  <c r="L76" i="1"/>
  <c r="I77" i="1"/>
  <c r="J77" i="1"/>
  <c r="K77" i="1"/>
  <c r="L77" i="1"/>
  <c r="I78" i="1"/>
  <c r="J78" i="1"/>
  <c r="K78" i="1"/>
  <c r="L78" i="1"/>
  <c r="I79" i="1"/>
  <c r="J79" i="1"/>
  <c r="K79" i="1"/>
  <c r="L79" i="1"/>
  <c r="I80" i="1"/>
  <c r="J80" i="1"/>
  <c r="K80" i="1"/>
  <c r="L80" i="1"/>
  <c r="I81" i="1"/>
  <c r="J81" i="1"/>
  <c r="K81" i="1"/>
  <c r="L81" i="1"/>
  <c r="I82" i="1"/>
  <c r="J82" i="1"/>
  <c r="K82" i="1"/>
  <c r="L82" i="1"/>
  <c r="I83" i="1"/>
  <c r="J83" i="1"/>
  <c r="K83" i="1"/>
  <c r="L83" i="1"/>
  <c r="I84" i="1"/>
  <c r="J84" i="1"/>
  <c r="K84" i="1"/>
  <c r="L84" i="1"/>
  <c r="I85" i="1"/>
  <c r="J85" i="1"/>
  <c r="K85" i="1"/>
  <c r="L85" i="1"/>
  <c r="I86" i="1"/>
  <c r="J86" i="1"/>
  <c r="K86" i="1"/>
  <c r="L86" i="1"/>
  <c r="I87" i="1"/>
  <c r="J87" i="1"/>
  <c r="K87" i="1"/>
  <c r="L87" i="1"/>
  <c r="J15" i="1"/>
  <c r="K15" i="1"/>
</calcChain>
</file>

<file path=xl/sharedStrings.xml><?xml version="1.0" encoding="utf-8"?>
<sst xmlns="http://schemas.openxmlformats.org/spreadsheetml/2006/main" count="22" uniqueCount="12">
  <si>
    <t>CDI</t>
  </si>
  <si>
    <t>Sharpe</t>
  </si>
  <si>
    <t>Fundo A</t>
  </si>
  <si>
    <t>Fundo B</t>
  </si>
  <si>
    <t>Fundo C</t>
  </si>
  <si>
    <t>Fundo D</t>
  </si>
  <si>
    <t>Retorno Acumulado</t>
  </si>
  <si>
    <t>Retorno Anualizado</t>
  </si>
  <si>
    <t>Volatilidade Mensal</t>
  </si>
  <si>
    <t>Volatilidade Anual</t>
  </si>
  <si>
    <t>Cota dos Fundos</t>
  </si>
  <si>
    <t>Retornos Mensais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</si>
</sst>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_-;\-* #,##0.00_-;_-* &quot;-&quot;??_-;_-@_-"/>
    <numFmt numFmtId="164" formatCode="0.0%"/>
    <numFmt numFmtId="166" formatCode="#,##0.0_ ;\-#,##0.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Verdan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Verdana"/>
      <family val="2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FFC9"/>
        <bgColor indexed="64"/>
      </patternFill>
    </fill>
    <fill>
      <patternFill patternType="solid">
        <fgColor rgb="FFE26B0B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EF5F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57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164" fontId="0" fillId="0" borderId="0" xfId="2" applyNumberFormat="1" applyFont="1" applyAlignment="1">
      <alignment horizontal="center"/>
    </xf>
    <xf numFmtId="10" fontId="0" fillId="0" borderId="0" xfId="2" applyNumberFormat="1" applyFont="1" applyAlignment="1">
      <alignment horizontal="center"/>
    </xf>
    <xf numFmtId="10" fontId="0" fillId="0" borderId="0" xfId="2" applyNumberFormat="1" applyFont="1"/>
    <xf numFmtId="0" fontId="0" fillId="0" borderId="5" xfId="0" applyBorder="1"/>
    <xf numFmtId="2" fontId="0" fillId="0" borderId="0" xfId="0" applyNumberFormat="1" applyAlignment="1">
      <alignment horizontal="center"/>
    </xf>
    <xf numFmtId="0" fontId="0" fillId="0" borderId="8" xfId="0" applyBorder="1"/>
    <xf numFmtId="2" fontId="0" fillId="0" borderId="2" xfId="0" applyNumberFormat="1" applyBorder="1" applyAlignment="1">
      <alignment horizontal="center"/>
    </xf>
    <xf numFmtId="14" fontId="0" fillId="0" borderId="8" xfId="0" applyNumberFormat="1" applyBorder="1"/>
    <xf numFmtId="14" fontId="0" fillId="0" borderId="9" xfId="0" applyNumberFormat="1" applyBorder="1"/>
    <xf numFmtId="2" fontId="0" fillId="0" borderId="5" xfId="0" applyNumberFormat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14" fontId="0" fillId="0" borderId="10" xfId="0" applyNumberFormat="1" applyBorder="1"/>
    <xf numFmtId="2" fontId="0" fillId="0" borderId="7" xfId="0" applyNumberForma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164" fontId="0" fillId="3" borderId="2" xfId="2" applyNumberFormat="1" applyFont="1" applyFill="1" applyBorder="1" applyAlignment="1">
      <alignment horizontal="center"/>
    </xf>
    <xf numFmtId="164" fontId="0" fillId="3" borderId="4" xfId="2" applyNumberFormat="1" applyFont="1" applyFill="1" applyBorder="1" applyAlignment="1">
      <alignment horizontal="center"/>
    </xf>
    <xf numFmtId="164" fontId="0" fillId="3" borderId="7" xfId="2" applyNumberFormat="1" applyFont="1" applyFill="1" applyBorder="1" applyAlignment="1">
      <alignment horizontal="center"/>
    </xf>
    <xf numFmtId="164" fontId="0" fillId="3" borderId="6" xfId="2" applyNumberFormat="1" applyFont="1" applyFill="1" applyBorder="1" applyAlignment="1">
      <alignment horizontal="center"/>
    </xf>
    <xf numFmtId="0" fontId="4" fillId="0" borderId="0" xfId="3"/>
    <xf numFmtId="0" fontId="0" fillId="4" borderId="11" xfId="0" applyFill="1" applyBorder="1"/>
    <xf numFmtId="0" fontId="0" fillId="4" borderId="11" xfId="0" applyFill="1" applyBorder="1" applyAlignment="1">
      <alignment horizontal="center"/>
    </xf>
    <xf numFmtId="164" fontId="0" fillId="0" borderId="12" xfId="2" applyNumberFormat="1" applyFont="1" applyBorder="1" applyAlignment="1">
      <alignment horizontal="center"/>
    </xf>
    <xf numFmtId="0" fontId="0" fillId="0" borderId="13" xfId="0" applyBorder="1"/>
    <xf numFmtId="0" fontId="0" fillId="0" borderId="14" xfId="0" applyBorder="1"/>
    <xf numFmtId="10" fontId="0" fillId="0" borderId="15" xfId="2" applyNumberFormat="1" applyFont="1" applyBorder="1" applyAlignment="1">
      <alignment horizontal="center"/>
    </xf>
    <xf numFmtId="0" fontId="0" fillId="0" borderId="16" xfId="0" applyBorder="1"/>
    <xf numFmtId="0" fontId="0" fillId="0" borderId="15" xfId="0" applyBorder="1" applyAlignment="1">
      <alignment horizontal="center"/>
    </xf>
    <xf numFmtId="0" fontId="3" fillId="0" borderId="0" xfId="0" applyFont="1" applyBorder="1"/>
    <xf numFmtId="164" fontId="3" fillId="0" borderId="0" xfId="2" applyNumberFormat="1" applyFont="1" applyBorder="1" applyAlignment="1">
      <alignment horizontal="center"/>
    </xf>
    <xf numFmtId="10" fontId="3" fillId="0" borderId="0" xfId="2" applyNumberFormat="1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9" xfId="0" applyBorder="1"/>
    <xf numFmtId="0" fontId="3" fillId="5" borderId="18" xfId="0" applyFont="1" applyFill="1" applyBorder="1"/>
    <xf numFmtId="166" fontId="3" fillId="5" borderId="18" xfId="1" applyNumberFormat="1" applyFont="1" applyFill="1" applyBorder="1" applyAlignment="1">
      <alignment horizontal="center"/>
    </xf>
    <xf numFmtId="10" fontId="3" fillId="5" borderId="18" xfId="2" applyNumberFormat="1" applyFont="1" applyFill="1" applyBorder="1"/>
    <xf numFmtId="0" fontId="0" fillId="2" borderId="20" xfId="0" applyFill="1" applyBorder="1"/>
    <xf numFmtId="0" fontId="0" fillId="2" borderId="21" xfId="0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164" fontId="3" fillId="0" borderId="22" xfId="2" applyNumberFormat="1" applyFont="1" applyBorder="1" applyAlignment="1">
      <alignment horizontal="center"/>
    </xf>
    <xf numFmtId="164" fontId="3" fillId="0" borderId="1" xfId="2" applyNumberFormat="1" applyFont="1" applyBorder="1" applyAlignment="1">
      <alignment horizontal="center"/>
    </xf>
    <xf numFmtId="164" fontId="3" fillId="0" borderId="3" xfId="2" applyNumberFormat="1" applyFont="1" applyBorder="1" applyAlignment="1">
      <alignment horizontal="center"/>
    </xf>
    <xf numFmtId="164" fontId="0" fillId="0" borderId="15" xfId="2" applyNumberFormat="1" applyFont="1" applyBorder="1" applyAlignment="1">
      <alignment horizontal="center"/>
    </xf>
    <xf numFmtId="0" fontId="0" fillId="0" borderId="0" xfId="0" applyBorder="1"/>
    <xf numFmtId="0" fontId="1" fillId="2" borderId="23" xfId="0" applyFont="1" applyFill="1" applyBorder="1" applyAlignment="1">
      <alignment horizontal="center"/>
    </xf>
    <xf numFmtId="0" fontId="5" fillId="2" borderId="23" xfId="0" applyFont="1" applyFill="1" applyBorder="1" applyAlignment="1">
      <alignment horizontal="center"/>
    </xf>
    <xf numFmtId="0" fontId="6" fillId="2" borderId="21" xfId="0" applyFont="1" applyFill="1" applyBorder="1" applyAlignment="1">
      <alignment horizontal="center"/>
    </xf>
    <xf numFmtId="0" fontId="3" fillId="0" borderId="8" xfId="0" applyFont="1" applyBorder="1"/>
    <xf numFmtId="0" fontId="5" fillId="2" borderId="2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0" fillId="6" borderId="0" xfId="0" applyFill="1" applyBorder="1" applyAlignment="1">
      <alignment vertical="center"/>
    </xf>
    <xf numFmtId="9" fontId="0" fillId="6" borderId="0" xfId="2" applyFont="1" applyFill="1" applyBorder="1" applyAlignment="1">
      <alignment horizontal="center" vertical="center"/>
    </xf>
    <xf numFmtId="0" fontId="3" fillId="6" borderId="0" xfId="0" applyFont="1" applyFill="1" applyBorder="1"/>
    <xf numFmtId="166" fontId="3" fillId="6" borderId="0" xfId="1" applyNumberFormat="1" applyFont="1" applyFill="1" applyBorder="1" applyAlignment="1">
      <alignment horizontal="center"/>
    </xf>
    <xf numFmtId="10" fontId="3" fillId="6" borderId="0" xfId="2" applyNumberFormat="1" applyFont="1" applyFill="1" applyBorder="1"/>
  </cellXfs>
  <cellStyles count="4">
    <cellStyle name="Comma" xfId="1" builtinId="3"/>
    <cellStyle name="Hyperlink" xfId="3" builtinId="8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FEF5F0"/>
      <color rgb="FFFFFFC9"/>
      <color rgb="FFFFFF75"/>
      <color rgb="FFD1FFE6"/>
      <color rgb="FF00508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://ferramentasdoinvestidor.com.br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504825</xdr:colOff>
      <xdr:row>0</xdr:row>
      <xdr:rowOff>442130</xdr:rowOff>
    </xdr:from>
    <xdr:ext cx="2707857" cy="142875"/>
    <xdr:sp macro="" textlink="">
      <xdr:nvSpPr>
        <xdr:cNvPr id="2" name="TextBox 1">
          <a:hlinkClick xmlns:r="http://schemas.openxmlformats.org/officeDocument/2006/relationships" r:id="rId1"/>
        </xdr:cNvPr>
        <xdr:cNvSpPr txBox="1"/>
      </xdr:nvSpPr>
      <xdr:spPr>
        <a:xfrm>
          <a:off x="1933575" y="442130"/>
          <a:ext cx="2707857" cy="1428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r>
            <a:rPr lang="en-US" sz="1200"/>
            <a:t>http://ferramentasdoinvestidor.com.br/</a:t>
          </a:r>
        </a:p>
      </xdr:txBody>
    </xdr:sp>
    <xdr:clientData/>
  </xdr:oneCellAnchor>
  <xdr:twoCellAnchor editAs="oneCell">
    <xdr:from>
      <xdr:col>0</xdr:col>
      <xdr:colOff>57150</xdr:colOff>
      <xdr:row>0</xdr:row>
      <xdr:rowOff>9525</xdr:rowOff>
    </xdr:from>
    <xdr:to>
      <xdr:col>2</xdr:col>
      <xdr:colOff>438150</xdr:colOff>
      <xdr:row>0</xdr:row>
      <xdr:rowOff>581025</xdr:rowOff>
    </xdr:to>
    <xdr:pic>
      <xdr:nvPicPr>
        <xdr:cNvPr id="4" name="Picture 3" descr="logo_fi3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9525"/>
          <a:ext cx="180975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8"/>
  <sheetViews>
    <sheetView showGridLines="0" tabSelected="1" workbookViewId="0">
      <selection activeCell="K17" sqref="K17"/>
    </sheetView>
  </sheetViews>
  <sheetFormatPr defaultRowHeight="15" x14ac:dyDescent="0.25"/>
  <cols>
    <col min="1" max="2" width="10.7109375" bestFit="1" customWidth="1"/>
    <col min="3" max="7" width="13.7109375" style="2" customWidth="1"/>
    <col min="8" max="8" width="18.85546875" bestFit="1" customWidth="1"/>
    <col min="9" max="13" width="13.7109375" customWidth="1"/>
  </cols>
  <sheetData>
    <row r="1" spans="1:16" ht="48" customHeight="1" thickBot="1" x14ac:dyDescent="0.3">
      <c r="C1" s="21"/>
      <c r="E1"/>
      <c r="F1"/>
      <c r="G1"/>
      <c r="J1" s="2"/>
      <c r="O1" s="2"/>
      <c r="P1" s="2"/>
    </row>
    <row r="2" spans="1:16" s="22" customFormat="1" ht="6.75" customHeight="1" thickBot="1" x14ac:dyDescent="0.3">
      <c r="D2" s="23"/>
      <c r="J2" s="23"/>
      <c r="O2" s="23"/>
      <c r="P2" s="23"/>
    </row>
    <row r="3" spans="1:16" ht="7.5" customHeight="1" thickBot="1" x14ac:dyDescent="0.3">
      <c r="C3" s="3"/>
      <c r="D3" s="3"/>
      <c r="E3" s="3"/>
      <c r="F3" s="3"/>
      <c r="G3" s="3"/>
    </row>
    <row r="4" spans="1:16" ht="5.25" customHeight="1" x14ac:dyDescent="0.25">
      <c r="C4" s="3"/>
      <c r="D4" s="3"/>
      <c r="E4" s="3"/>
      <c r="F4" s="3"/>
      <c r="G4" s="24"/>
      <c r="H4" s="25"/>
      <c r="I4" s="25"/>
      <c r="J4" s="25"/>
      <c r="K4" s="25"/>
      <c r="L4" s="25"/>
      <c r="M4" s="25"/>
      <c r="N4" s="26"/>
    </row>
    <row r="5" spans="1:16" ht="18" customHeight="1" thickBot="1" x14ac:dyDescent="0.3">
      <c r="C5" s="3"/>
      <c r="D5" s="3"/>
      <c r="E5" s="3"/>
      <c r="F5" s="3"/>
      <c r="G5" s="44"/>
      <c r="H5" s="45"/>
      <c r="I5" s="46" t="s">
        <v>2</v>
      </c>
      <c r="J5" s="46" t="s">
        <v>3</v>
      </c>
      <c r="K5" s="46" t="s">
        <v>4</v>
      </c>
      <c r="L5" s="46" t="s">
        <v>5</v>
      </c>
      <c r="M5" s="39" t="s">
        <v>0</v>
      </c>
      <c r="N5" s="28"/>
    </row>
    <row r="6" spans="1:16" ht="15.75" thickTop="1" x14ac:dyDescent="0.25">
      <c r="C6" s="4"/>
      <c r="D6" s="4"/>
      <c r="E6" s="4"/>
      <c r="F6" s="4"/>
      <c r="G6" s="27"/>
      <c r="H6" s="52" t="s">
        <v>6</v>
      </c>
      <c r="I6" s="53">
        <f t="array" ref="I6">PRODUCT(I15:I87+1)-1</f>
        <v>1.5562270935556795</v>
      </c>
      <c r="J6" s="53">
        <f t="array" ref="J6">PRODUCT(J15:J87+1)-1</f>
        <v>1.767353445797986</v>
      </c>
      <c r="K6" s="53">
        <f t="array" ref="K6">PRODUCT(K15:K87+1)-1</f>
        <v>1.0272032487111424</v>
      </c>
      <c r="L6" s="53">
        <f t="array" ref="L6">PRODUCT(L15:L87+1)-1</f>
        <v>1.4840454295336185</v>
      </c>
      <c r="M6" s="53">
        <f t="array" ref="M6">PRODUCT(M15:M87+1)-1</f>
        <v>0.89747488528902664</v>
      </c>
      <c r="N6" s="28"/>
    </row>
    <row r="7" spans="1:16" x14ac:dyDescent="0.25">
      <c r="G7" s="29"/>
      <c r="H7" s="30" t="s">
        <v>7</v>
      </c>
      <c r="I7" s="31">
        <f>(1+I6)^(12/COUNT($B$15:$B$87))-1</f>
        <v>0.16681672771501832</v>
      </c>
      <c r="J7" s="31">
        <f t="shared" ref="J7:M7" si="0">(1+J6)^(12/COUNT($B$15:$B$87))-1</f>
        <v>0.18213794678808104</v>
      </c>
      <c r="K7" s="31">
        <f t="shared" si="0"/>
        <v>0.12317872917218864</v>
      </c>
      <c r="L7" s="31">
        <f t="shared" si="0"/>
        <v>0.16133557963539324</v>
      </c>
      <c r="M7" s="31">
        <f t="shared" si="0"/>
        <v>0.11103455805840867</v>
      </c>
      <c r="N7" s="28"/>
    </row>
    <row r="8" spans="1:16" x14ac:dyDescent="0.25">
      <c r="G8" s="29"/>
      <c r="H8" s="52" t="s">
        <v>8</v>
      </c>
      <c r="I8" s="53">
        <f>_xlfn.STDEV.P(I15:I87)</f>
        <v>1.6853247861366005E-2</v>
      </c>
      <c r="J8" s="53">
        <f>_xlfn.STDEV.P(J15:J87)</f>
        <v>1.8000108646579974E-2</v>
      </c>
      <c r="K8" s="53">
        <f>_xlfn.STDEV.P(K15:K87)</f>
        <v>1.894075662278465E-2</v>
      </c>
      <c r="L8" s="53">
        <f>_xlfn.STDEV.P(L15:L87)</f>
        <v>2.3511253540567462E-2</v>
      </c>
      <c r="M8" s="53"/>
      <c r="N8" s="28"/>
    </row>
    <row r="9" spans="1:16" x14ac:dyDescent="0.25">
      <c r="G9" s="29"/>
      <c r="H9" s="30" t="s">
        <v>9</v>
      </c>
      <c r="I9" s="31">
        <f>I8*SQRT(12)</f>
        <v>5.8381363136874878E-2</v>
      </c>
      <c r="J9" s="31">
        <f t="shared" ref="J9:L9" si="1">J8*SQRT(12)</f>
        <v>6.2354205435272744E-2</v>
      </c>
      <c r="K9" s="31">
        <f t="shared" si="1"/>
        <v>6.5612705608919422E-2</v>
      </c>
      <c r="L9" s="31">
        <f t="shared" si="1"/>
        <v>8.1445371363792984E-2</v>
      </c>
      <c r="M9" s="32"/>
      <c r="N9" s="28"/>
    </row>
    <row r="10" spans="1:16" x14ac:dyDescent="0.25">
      <c r="G10" s="29"/>
      <c r="H10" s="54" t="s">
        <v>1</v>
      </c>
      <c r="I10" s="55">
        <f>(I7-$M$7)/I9</f>
        <v>0.95547905460563787</v>
      </c>
      <c r="J10" s="55">
        <f t="shared" ref="J10:L10" si="2">(J7-$M$7)/J9</f>
        <v>1.1403142455801443</v>
      </c>
      <c r="K10" s="55">
        <f t="shared" si="2"/>
        <v>0.18508871111282268</v>
      </c>
      <c r="L10" s="55">
        <f t="shared" si="2"/>
        <v>0.61760442287511241</v>
      </c>
      <c r="M10" s="56"/>
      <c r="N10" s="28"/>
    </row>
    <row r="11" spans="1:16" ht="3.75" customHeight="1" thickBot="1" x14ac:dyDescent="0.3">
      <c r="G11" s="33"/>
      <c r="H11" s="35"/>
      <c r="I11" s="36"/>
      <c r="J11" s="36"/>
      <c r="K11" s="36"/>
      <c r="L11" s="36"/>
      <c r="M11" s="37"/>
      <c r="N11" s="34"/>
    </row>
    <row r="12" spans="1:16" x14ac:dyDescent="0.25">
      <c r="C12" s="40" t="s">
        <v>10</v>
      </c>
      <c r="D12" s="40"/>
      <c r="E12" s="40"/>
      <c r="F12" s="40"/>
      <c r="I12" s="5"/>
      <c r="J12" s="5"/>
      <c r="K12" s="5"/>
      <c r="L12" s="5"/>
      <c r="M12" s="5"/>
    </row>
    <row r="13" spans="1:16" ht="16.5" thickBot="1" x14ac:dyDescent="0.3">
      <c r="A13" s="6"/>
      <c r="B13" s="38"/>
      <c r="C13" s="47" t="s">
        <v>2</v>
      </c>
      <c r="D13" s="47" t="s">
        <v>3</v>
      </c>
      <c r="E13" s="47" t="s">
        <v>4</v>
      </c>
      <c r="F13" s="47" t="s">
        <v>5</v>
      </c>
      <c r="G13" s="48" t="s">
        <v>0</v>
      </c>
      <c r="H13" s="49"/>
      <c r="I13" s="50" t="s">
        <v>2</v>
      </c>
      <c r="J13" s="50" t="s">
        <v>3</v>
      </c>
      <c r="K13" s="50" t="s">
        <v>4</v>
      </c>
      <c r="L13" s="50" t="s">
        <v>5</v>
      </c>
      <c r="M13" s="51" t="s">
        <v>0</v>
      </c>
    </row>
    <row r="14" spans="1:16" ht="15.75" thickTop="1" x14ac:dyDescent="0.25">
      <c r="A14" s="6"/>
      <c r="B14" s="10">
        <v>40543</v>
      </c>
      <c r="C14" s="7">
        <v>8.7589980000000001</v>
      </c>
      <c r="D14" s="7">
        <v>1.0124070000000001</v>
      </c>
      <c r="E14" s="7">
        <v>3.441611</v>
      </c>
      <c r="F14" s="7">
        <v>2.9028076999999999</v>
      </c>
      <c r="G14" s="12">
        <v>241.7156525</v>
      </c>
      <c r="H14" s="8"/>
      <c r="I14" s="41" t="s">
        <v>11</v>
      </c>
      <c r="J14" s="42"/>
      <c r="K14" s="42"/>
      <c r="L14" s="42"/>
      <c r="M14" s="43"/>
    </row>
    <row r="15" spans="1:16" x14ac:dyDescent="0.25">
      <c r="A15" s="6"/>
      <c r="B15" s="11">
        <v>40574</v>
      </c>
      <c r="C15" s="9">
        <v>8.8009660000000007</v>
      </c>
      <c r="D15" s="9">
        <v>1.0340990000000001</v>
      </c>
      <c r="E15" s="9">
        <v>3.4075609999999998</v>
      </c>
      <c r="F15" s="9">
        <v>2.8343313000000001</v>
      </c>
      <c r="G15" s="13">
        <v>243.79155</v>
      </c>
      <c r="H15" s="8"/>
      <c r="I15" s="17">
        <f>C15/C14-1</f>
        <v>4.7914156390949092E-3</v>
      </c>
      <c r="J15" s="17">
        <f>D15/D14-1</f>
        <v>2.1426165563849464E-2</v>
      </c>
      <c r="K15" s="17">
        <f>E15/E14-1</f>
        <v>-9.8936224924897065E-3</v>
      </c>
      <c r="L15" s="17">
        <f>F15/F14-1</f>
        <v>-2.3589712814941155E-2</v>
      </c>
      <c r="M15" s="18">
        <f>G15/G14-1</f>
        <v>8.588179865596457E-3</v>
      </c>
    </row>
    <row r="16" spans="1:16" x14ac:dyDescent="0.25">
      <c r="A16" s="6"/>
      <c r="B16" s="11">
        <v>40602</v>
      </c>
      <c r="C16" s="9">
        <v>8.833653</v>
      </c>
      <c r="D16" s="9">
        <v>1.049731</v>
      </c>
      <c r="E16" s="9">
        <v>3.4401899999999999</v>
      </c>
      <c r="F16" s="9">
        <v>2.8725475999999999</v>
      </c>
      <c r="G16" s="13">
        <v>245.849152</v>
      </c>
      <c r="H16" s="8"/>
      <c r="I16" s="17">
        <f>C16/C15-1</f>
        <v>3.714024119624959E-3</v>
      </c>
      <c r="J16" s="17">
        <f>D16/D15-1</f>
        <v>1.5116541066183986E-2</v>
      </c>
      <c r="K16" s="17">
        <f>E16/E15-1</f>
        <v>9.5754705491699621E-3</v>
      </c>
      <c r="L16" s="17">
        <f>F16/F15-1</f>
        <v>1.3483356726858187E-2</v>
      </c>
      <c r="M16" s="18">
        <f t="shared" ref="M16:M79" si="3">G16/G15-1</f>
        <v>8.4400054062578889E-3</v>
      </c>
    </row>
    <row r="17" spans="1:13" x14ac:dyDescent="0.25">
      <c r="A17" s="6"/>
      <c r="B17" s="11">
        <v>40633</v>
      </c>
      <c r="C17" s="9">
        <v>9.1605690000000006</v>
      </c>
      <c r="D17" s="9">
        <v>1.0476650000000001</v>
      </c>
      <c r="E17" s="9">
        <v>3.4925990000000002</v>
      </c>
      <c r="F17" s="9">
        <v>2.9008457999999999</v>
      </c>
      <c r="G17" s="13">
        <v>248.10327150000001</v>
      </c>
      <c r="H17" s="8"/>
      <c r="I17" s="17">
        <f>C17/C16-1</f>
        <v>3.7008019219229027E-2</v>
      </c>
      <c r="J17" s="17">
        <f>D17/D16-1</f>
        <v>-1.9681232620546441E-3</v>
      </c>
      <c r="K17" s="17">
        <f>E17/E16-1</f>
        <v>1.5234332987422272E-2</v>
      </c>
      <c r="L17" s="17">
        <f>F17/F16-1</f>
        <v>9.8512553804155356E-3</v>
      </c>
      <c r="M17" s="18">
        <f t="shared" si="3"/>
        <v>9.1687096809673907E-3</v>
      </c>
    </row>
    <row r="18" spans="1:13" x14ac:dyDescent="0.25">
      <c r="A18" s="6"/>
      <c r="B18" s="11">
        <v>40662</v>
      </c>
      <c r="C18" s="9">
        <v>9.3167170000000006</v>
      </c>
      <c r="D18" s="9">
        <v>1.0651379999999999</v>
      </c>
      <c r="E18" s="9">
        <v>3.4766550000000001</v>
      </c>
      <c r="F18" s="9">
        <v>2.8924276999999998</v>
      </c>
      <c r="G18" s="13">
        <v>250.18554689999999</v>
      </c>
      <c r="H18" s="8"/>
      <c r="I18" s="17">
        <f>C18/C17-1</f>
        <v>1.7045666049783526E-2</v>
      </c>
      <c r="J18" s="17">
        <f>D18/D17-1</f>
        <v>1.6678041167739632E-2</v>
      </c>
      <c r="K18" s="17">
        <f>E18/E17-1</f>
        <v>-4.565081762893497E-3</v>
      </c>
      <c r="L18" s="17">
        <f>F18/F17-1</f>
        <v>-2.901946735672789E-3</v>
      </c>
      <c r="M18" s="18">
        <f t="shared" si="3"/>
        <v>8.3927768763822908E-3</v>
      </c>
    </row>
    <row r="19" spans="1:13" x14ac:dyDescent="0.25">
      <c r="A19" s="6"/>
      <c r="B19" s="11">
        <v>40694</v>
      </c>
      <c r="C19" s="9">
        <v>9.3470689999999994</v>
      </c>
      <c r="D19" s="9">
        <v>1.0657099999999999</v>
      </c>
      <c r="E19" s="9">
        <v>3.5413079999999999</v>
      </c>
      <c r="F19" s="9">
        <v>2.9083383</v>
      </c>
      <c r="G19" s="13">
        <v>252.65763849999999</v>
      </c>
      <c r="H19" s="8"/>
      <c r="I19" s="17">
        <f>C19/C18-1</f>
        <v>3.2577999310270389E-3</v>
      </c>
      <c r="J19" s="17">
        <f>D19/D18-1</f>
        <v>5.3701961623753292E-4</v>
      </c>
      <c r="K19" s="17">
        <f>E19/E18-1</f>
        <v>1.8596323189962627E-2</v>
      </c>
      <c r="L19" s="17">
        <f>F19/F18-1</f>
        <v>5.5007770807893319E-3</v>
      </c>
      <c r="M19" s="18">
        <f t="shared" si="3"/>
        <v>9.8810328199658848E-3</v>
      </c>
    </row>
    <row r="20" spans="1:13" x14ac:dyDescent="0.25">
      <c r="A20" s="6"/>
      <c r="B20" s="11">
        <v>40724</v>
      </c>
      <c r="C20" s="9">
        <v>9.3287899999999997</v>
      </c>
      <c r="D20" s="9">
        <v>1.066865</v>
      </c>
      <c r="E20" s="9">
        <v>3.5449489999999999</v>
      </c>
      <c r="F20" s="9">
        <v>2.9259465000000002</v>
      </c>
      <c r="G20" s="13">
        <v>255.07164</v>
      </c>
      <c r="H20" s="8"/>
      <c r="I20" s="17">
        <f>C20/C19-1</f>
        <v>-1.9555862912747912E-3</v>
      </c>
      <c r="J20" s="17">
        <f>D20/D19-1</f>
        <v>1.083784519240627E-3</v>
      </c>
      <c r="K20" s="17">
        <f>E20/E19-1</f>
        <v>1.028151180298309E-3</v>
      </c>
      <c r="L20" s="17">
        <f>F20/F19-1</f>
        <v>6.0543850761791695E-3</v>
      </c>
      <c r="M20" s="18">
        <f t="shared" si="3"/>
        <v>9.554437041095154E-3</v>
      </c>
    </row>
    <row r="21" spans="1:13" x14ac:dyDescent="0.25">
      <c r="A21" s="6"/>
      <c r="B21" s="11">
        <v>40753</v>
      </c>
      <c r="C21" s="9">
        <v>9.2230100000000004</v>
      </c>
      <c r="D21" s="9">
        <v>1.0763849999999999</v>
      </c>
      <c r="E21" s="9">
        <v>3.5603050000000001</v>
      </c>
      <c r="F21" s="9">
        <v>2.9289098</v>
      </c>
      <c r="G21" s="13">
        <v>257.53826900000001</v>
      </c>
      <c r="H21" s="8"/>
      <c r="I21" s="17">
        <f>C21/C20-1</f>
        <v>-1.1339091136149393E-2</v>
      </c>
      <c r="J21" s="17">
        <f>D21/D20-1</f>
        <v>8.9233408163169603E-3</v>
      </c>
      <c r="K21" s="17">
        <f>E21/E20-1</f>
        <v>4.3317971570253633E-3</v>
      </c>
      <c r="L21" s="17">
        <f>F21/F20-1</f>
        <v>1.0127662963077544E-3</v>
      </c>
      <c r="M21" s="18">
        <f t="shared" si="3"/>
        <v>9.6703381057965387E-3</v>
      </c>
    </row>
    <row r="22" spans="1:13" x14ac:dyDescent="0.25">
      <c r="A22" s="6"/>
      <c r="B22" s="11">
        <v>40786</v>
      </c>
      <c r="C22" s="9">
        <v>9.4481090000000005</v>
      </c>
      <c r="D22" s="9">
        <v>1.1007260000000001</v>
      </c>
      <c r="E22" s="9">
        <v>3.73706</v>
      </c>
      <c r="F22" s="9">
        <v>3.2138657999999998</v>
      </c>
      <c r="G22" s="13">
        <v>260.30450439999998</v>
      </c>
      <c r="H22" s="8"/>
      <c r="I22" s="17">
        <f>C22/C21-1</f>
        <v>2.4406240478975993E-2</v>
      </c>
      <c r="J22" s="17">
        <f>D22/D21-1</f>
        <v>2.261365589449893E-2</v>
      </c>
      <c r="K22" s="17">
        <f>E22/E21-1</f>
        <v>4.9646027517305402E-2</v>
      </c>
      <c r="L22" s="17">
        <f>F22/F21-1</f>
        <v>9.7290807658194201E-2</v>
      </c>
      <c r="M22" s="18">
        <f t="shared" si="3"/>
        <v>1.0741065437540831E-2</v>
      </c>
    </row>
    <row r="23" spans="1:13" x14ac:dyDescent="0.25">
      <c r="A23" s="6"/>
      <c r="B23" s="11">
        <v>40816</v>
      </c>
      <c r="C23" s="9">
        <v>9.5591639999999991</v>
      </c>
      <c r="D23" s="9">
        <v>1.1263049999999999</v>
      </c>
      <c r="E23" s="9">
        <v>3.8258030000000001</v>
      </c>
      <c r="F23" s="9">
        <v>3.3370671000000001</v>
      </c>
      <c r="G23" s="13">
        <v>262.76089999999999</v>
      </c>
      <c r="H23" s="8"/>
      <c r="I23" s="17">
        <f>C23/C22-1</f>
        <v>1.1754203936470198E-2</v>
      </c>
      <c r="J23" s="17">
        <f>D23/D22-1</f>
        <v>2.32382990862392E-2</v>
      </c>
      <c r="K23" s="17">
        <f>E23/E22-1</f>
        <v>2.3746742091376616E-2</v>
      </c>
      <c r="L23" s="17">
        <f>F23/F22-1</f>
        <v>3.8334301326458764E-2</v>
      </c>
      <c r="M23" s="18">
        <f t="shared" si="3"/>
        <v>9.4366234870271182E-3</v>
      </c>
    </row>
    <row r="24" spans="1:13" x14ac:dyDescent="0.25">
      <c r="A24" s="6"/>
      <c r="B24" s="11">
        <v>40847</v>
      </c>
      <c r="C24" s="9">
        <v>9.6594470000000001</v>
      </c>
      <c r="D24" s="9">
        <v>1.1296710000000001</v>
      </c>
      <c r="E24" s="9">
        <v>3.793971</v>
      </c>
      <c r="F24" s="9">
        <v>3.3553264</v>
      </c>
      <c r="G24" s="13">
        <v>265.07839969999998</v>
      </c>
      <c r="H24" s="8"/>
      <c r="I24" s="17">
        <f>C24/C23-1</f>
        <v>1.0490770950263073E-2</v>
      </c>
      <c r="J24" s="17">
        <f>D24/D23-1</f>
        <v>2.9885333013706106E-3</v>
      </c>
      <c r="K24" s="17">
        <f>E24/E23-1</f>
        <v>-8.3203447746786896E-3</v>
      </c>
      <c r="L24" s="17">
        <f>F24/F23-1</f>
        <v>5.4716610283322975E-3</v>
      </c>
      <c r="M24" s="18">
        <f t="shared" si="3"/>
        <v>8.8198042402807264E-3</v>
      </c>
    </row>
    <row r="25" spans="1:13" x14ac:dyDescent="0.25">
      <c r="A25" s="6"/>
      <c r="B25" s="11">
        <v>40877</v>
      </c>
      <c r="C25" s="9">
        <v>9.6329159999999998</v>
      </c>
      <c r="D25" s="9">
        <v>1.1497999999999999</v>
      </c>
      <c r="E25" s="9">
        <v>3.9449540000000001</v>
      </c>
      <c r="F25" s="9">
        <v>3.5098487999999999</v>
      </c>
      <c r="G25" s="13">
        <v>267.35906979999999</v>
      </c>
      <c r="H25" s="8"/>
      <c r="I25" s="17">
        <f>C25/C24-1</f>
        <v>-2.7466375663121045E-3</v>
      </c>
      <c r="J25" s="17">
        <f>D25/D24-1</f>
        <v>1.7818462189433726E-2</v>
      </c>
      <c r="K25" s="17">
        <f>E25/E24-1</f>
        <v>3.9795507134872787E-2</v>
      </c>
      <c r="L25" s="17">
        <f>F25/F24-1</f>
        <v>4.6052866868629971E-2</v>
      </c>
      <c r="M25" s="18">
        <f t="shared" si="3"/>
        <v>8.6037568605406012E-3</v>
      </c>
    </row>
    <row r="26" spans="1:13" x14ac:dyDescent="0.25">
      <c r="A26" s="6"/>
      <c r="B26" s="11">
        <v>40907</v>
      </c>
      <c r="C26" s="9">
        <v>9.8409130000000005</v>
      </c>
      <c r="D26" s="9">
        <v>1.1485069999999999</v>
      </c>
      <c r="E26" s="9">
        <v>3.9646210000000002</v>
      </c>
      <c r="F26" s="9">
        <v>3.4605801</v>
      </c>
      <c r="G26" s="13">
        <v>269.78985599999999</v>
      </c>
      <c r="H26" s="8"/>
      <c r="I26" s="17">
        <f>C26/C25-1</f>
        <v>2.1592319501177126E-2</v>
      </c>
      <c r="J26" s="17">
        <f>D26/D25-1</f>
        <v>-1.1245433988519293E-3</v>
      </c>
      <c r="K26" s="17">
        <f>E26/E25-1</f>
        <v>4.9853559762673694E-3</v>
      </c>
      <c r="L26" s="17">
        <f>F26/F25-1</f>
        <v>-1.4037271349124691E-2</v>
      </c>
      <c r="M26" s="18">
        <f t="shared" si="3"/>
        <v>9.0918411775533503E-3</v>
      </c>
    </row>
    <row r="27" spans="1:13" x14ac:dyDescent="0.25">
      <c r="A27" s="6"/>
      <c r="B27" s="11">
        <v>40939</v>
      </c>
      <c r="C27" s="9">
        <v>10.112163000000001</v>
      </c>
      <c r="D27" s="9">
        <v>1.1774880000000001</v>
      </c>
      <c r="E27" s="9">
        <v>4.0144609999999998</v>
      </c>
      <c r="F27" s="9">
        <v>3.5338438000000001</v>
      </c>
      <c r="G27" s="13">
        <v>272.20382690000002</v>
      </c>
      <c r="H27" s="8"/>
      <c r="I27" s="17">
        <f>C27/C26-1</f>
        <v>2.7563499443598483E-2</v>
      </c>
      <c r="J27" s="17">
        <f>D27/D26-1</f>
        <v>2.5233629398863089E-2</v>
      </c>
      <c r="K27" s="17">
        <f>E27/E26-1</f>
        <v>1.257118902412091E-2</v>
      </c>
      <c r="L27" s="17">
        <f>F27/F26-1</f>
        <v>2.1170930272644162E-2</v>
      </c>
      <c r="M27" s="18">
        <f t="shared" si="3"/>
        <v>8.9475969771082298E-3</v>
      </c>
    </row>
    <row r="28" spans="1:13" x14ac:dyDescent="0.25">
      <c r="A28" s="6"/>
      <c r="B28" s="11">
        <v>40968</v>
      </c>
      <c r="C28" s="9">
        <v>10.377443</v>
      </c>
      <c r="D28" s="9">
        <v>1.2017679999999999</v>
      </c>
      <c r="E28" s="9">
        <v>4.1120369999999999</v>
      </c>
      <c r="F28" s="9">
        <v>3.6201159999999999</v>
      </c>
      <c r="G28" s="13">
        <v>274.24188229999999</v>
      </c>
      <c r="H28" s="8"/>
      <c r="I28" s="17">
        <f>C28/C27-1</f>
        <v>2.6233754341182802E-2</v>
      </c>
      <c r="J28" s="17">
        <f>D28/D27-1</f>
        <v>2.0620167678990997E-2</v>
      </c>
      <c r="K28" s="17">
        <f>E28/E27-1</f>
        <v>2.4306127273374889E-2</v>
      </c>
      <c r="L28" s="17">
        <f>F28/F27-1</f>
        <v>2.4413133370524198E-2</v>
      </c>
      <c r="M28" s="18">
        <f t="shared" si="3"/>
        <v>7.4872400700989328E-3</v>
      </c>
    </row>
    <row r="29" spans="1:13" x14ac:dyDescent="0.25">
      <c r="A29" s="6"/>
      <c r="B29" s="11">
        <v>40998</v>
      </c>
      <c r="C29" s="9">
        <v>10.522046</v>
      </c>
      <c r="D29" s="9">
        <v>1.2209399999999999</v>
      </c>
      <c r="E29" s="9">
        <v>4.2265689999999996</v>
      </c>
      <c r="F29" s="9">
        <v>3.6965439</v>
      </c>
      <c r="G29" s="13">
        <v>276.50109859999998</v>
      </c>
      <c r="H29" s="8"/>
      <c r="I29" s="17">
        <f>C29/C28-1</f>
        <v>1.3934357432751066E-2</v>
      </c>
      <c r="J29" s="17">
        <f>D29/D28-1</f>
        <v>1.5953162340817784E-2</v>
      </c>
      <c r="K29" s="17">
        <f>E29/E28-1</f>
        <v>2.785286221889538E-2</v>
      </c>
      <c r="L29" s="17">
        <f>F29/F28-1</f>
        <v>2.1112003040786531E-2</v>
      </c>
      <c r="M29" s="18">
        <f t="shared" si="3"/>
        <v>8.238042566848236E-3</v>
      </c>
    </row>
    <row r="30" spans="1:13" x14ac:dyDescent="0.25">
      <c r="A30" s="6"/>
      <c r="B30" s="11">
        <v>41029</v>
      </c>
      <c r="C30" s="9">
        <v>10.789933</v>
      </c>
      <c r="D30" s="9">
        <v>1.226426</v>
      </c>
      <c r="E30" s="9">
        <v>4.417408</v>
      </c>
      <c r="F30" s="9">
        <v>3.9302337000000001</v>
      </c>
      <c r="G30" s="13">
        <v>278.47702029999999</v>
      </c>
      <c r="H30" s="8"/>
      <c r="I30" s="17">
        <f>C30/C29-1</f>
        <v>2.5459592174373658E-2</v>
      </c>
      <c r="J30" s="17">
        <f>D30/D29-1</f>
        <v>4.4932592920210457E-3</v>
      </c>
      <c r="K30" s="17">
        <f>E30/E29-1</f>
        <v>4.5152226309330468E-2</v>
      </c>
      <c r="L30" s="17">
        <f>F30/F29-1</f>
        <v>6.3218456569662296E-2</v>
      </c>
      <c r="M30" s="18">
        <f t="shared" si="3"/>
        <v>7.1461622033497374E-3</v>
      </c>
    </row>
    <row r="31" spans="1:13" x14ac:dyDescent="0.25">
      <c r="A31" s="6"/>
      <c r="B31" s="11">
        <v>41060</v>
      </c>
      <c r="C31" s="9">
        <v>10.695764</v>
      </c>
      <c r="D31" s="9">
        <v>1.276912</v>
      </c>
      <c r="E31" s="9">
        <v>4.5654089999999998</v>
      </c>
      <c r="F31" s="9">
        <v>4.0837311999999999</v>
      </c>
      <c r="G31" s="13">
        <v>280.55645750000002</v>
      </c>
      <c r="H31" s="8"/>
      <c r="I31" s="17">
        <f>C31/C30-1</f>
        <v>-8.7274870010777272E-3</v>
      </c>
      <c r="J31" s="17">
        <f>D31/D30-1</f>
        <v>4.1165141639202041E-2</v>
      </c>
      <c r="K31" s="17">
        <f>E31/E30-1</f>
        <v>3.3504036756396571E-2</v>
      </c>
      <c r="L31" s="17">
        <f>F31/F30-1</f>
        <v>3.9055565576163964E-2</v>
      </c>
      <c r="M31" s="18">
        <f t="shared" si="3"/>
        <v>7.467176996363456E-3</v>
      </c>
    </row>
    <row r="32" spans="1:13" x14ac:dyDescent="0.25">
      <c r="A32" s="6"/>
      <c r="B32" s="11">
        <v>41089</v>
      </c>
      <c r="C32" s="9">
        <v>10.798743</v>
      </c>
      <c r="D32" s="9">
        <v>1.272119</v>
      </c>
      <c r="E32" s="9">
        <v>4.6396899999999999</v>
      </c>
      <c r="F32" s="9">
        <v>4.0377874</v>
      </c>
      <c r="G32" s="13">
        <v>282.35589599999997</v>
      </c>
      <c r="H32" s="8"/>
      <c r="I32" s="17">
        <f>C32/C31-1</f>
        <v>9.6280172225191585E-3</v>
      </c>
      <c r="J32" s="17">
        <f>D32/D31-1</f>
        <v>-3.7535867781022247E-3</v>
      </c>
      <c r="K32" s="17">
        <f>E32/E31-1</f>
        <v>1.6270393298825958E-2</v>
      </c>
      <c r="L32" s="17">
        <f>F32/F31-1</f>
        <v>-1.1250446650357349E-2</v>
      </c>
      <c r="M32" s="18">
        <f t="shared" si="3"/>
        <v>6.4138195785421459E-3</v>
      </c>
    </row>
    <row r="33" spans="1:13" x14ac:dyDescent="0.25">
      <c r="A33" s="6"/>
      <c r="B33" s="11">
        <v>41121</v>
      </c>
      <c r="C33" s="9">
        <v>11.049695</v>
      </c>
      <c r="D33" s="9">
        <v>1.2755700000000001</v>
      </c>
      <c r="E33" s="9">
        <v>4.7644799999999998</v>
      </c>
      <c r="F33" s="9">
        <v>4.1801252</v>
      </c>
      <c r="G33" s="13">
        <v>284.28082280000001</v>
      </c>
      <c r="H33" s="8"/>
      <c r="I33" s="17">
        <f>C33/C32-1</f>
        <v>2.3239001057808295E-2</v>
      </c>
      <c r="J33" s="17">
        <f>D33/D32-1</f>
        <v>2.7127965229669648E-3</v>
      </c>
      <c r="K33" s="17">
        <f>E33/E32-1</f>
        <v>2.6896193495686171E-2</v>
      </c>
      <c r="L33" s="17">
        <f>F33/F32-1</f>
        <v>3.5251434981445451E-2</v>
      </c>
      <c r="M33" s="18">
        <f t="shared" si="3"/>
        <v>6.8173777394753277E-3</v>
      </c>
    </row>
    <row r="34" spans="1:13" x14ac:dyDescent="0.25">
      <c r="A34" s="6"/>
      <c r="B34" s="11">
        <v>41152</v>
      </c>
      <c r="C34" s="9">
        <v>11.09726</v>
      </c>
      <c r="D34" s="9">
        <v>1.2854909999999999</v>
      </c>
      <c r="E34" s="9">
        <v>4.7920119999999997</v>
      </c>
      <c r="F34" s="9">
        <v>4.2696347000000001</v>
      </c>
      <c r="G34" s="13">
        <v>286.25256350000001</v>
      </c>
      <c r="H34" s="8"/>
      <c r="I34" s="17">
        <f>C34/C33-1</f>
        <v>4.3046437028353424E-3</v>
      </c>
      <c r="J34" s="17">
        <f>D34/D33-1</f>
        <v>7.7776993814528961E-3</v>
      </c>
      <c r="K34" s="17">
        <f>E34/E33-1</f>
        <v>5.7785949358586386E-3</v>
      </c>
      <c r="L34" s="17">
        <f>F34/F33-1</f>
        <v>2.1413114611973816E-2</v>
      </c>
      <c r="M34" s="18">
        <f t="shared" si="3"/>
        <v>6.9358906470704529E-3</v>
      </c>
    </row>
    <row r="35" spans="1:13" x14ac:dyDescent="0.25">
      <c r="A35" s="6"/>
      <c r="B35" s="11">
        <v>41180</v>
      </c>
      <c r="C35" s="9">
        <v>11.299891000000001</v>
      </c>
      <c r="D35" s="9">
        <v>1.2822480000000001</v>
      </c>
      <c r="E35" s="9">
        <v>4.8352599999999999</v>
      </c>
      <c r="F35" s="9">
        <v>4.2881308000000002</v>
      </c>
      <c r="G35" s="13">
        <v>287.79571529999998</v>
      </c>
      <c r="H35" s="8"/>
      <c r="I35" s="17">
        <f>C35/C34-1</f>
        <v>1.8259552357969389E-2</v>
      </c>
      <c r="J35" s="17">
        <f>D35/D34-1</f>
        <v>-2.5227714546425251E-3</v>
      </c>
      <c r="K35" s="17">
        <f>E35/E34-1</f>
        <v>9.025019136012169E-3</v>
      </c>
      <c r="L35" s="17">
        <f>F35/F34-1</f>
        <v>4.332009949235216E-3</v>
      </c>
      <c r="M35" s="18">
        <f t="shared" si="3"/>
        <v>5.3908750410194273E-3</v>
      </c>
    </row>
    <row r="36" spans="1:13" x14ac:dyDescent="0.25">
      <c r="A36" s="6"/>
      <c r="B36" s="11">
        <v>41213</v>
      </c>
      <c r="C36" s="9">
        <v>11.42343</v>
      </c>
      <c r="D36" s="9">
        <v>1.3114460000000001</v>
      </c>
      <c r="E36" s="9">
        <v>4.9118320000000004</v>
      </c>
      <c r="F36" s="9">
        <v>4.5731343999999998</v>
      </c>
      <c r="G36" s="13">
        <v>289.55789179999999</v>
      </c>
      <c r="H36" s="8"/>
      <c r="I36" s="17">
        <f>C36/C35-1</f>
        <v>1.0932760324856128E-2</v>
      </c>
      <c r="J36" s="17">
        <f>D36/D35-1</f>
        <v>2.2770946026041905E-2</v>
      </c>
      <c r="K36" s="17">
        <f>E36/E35-1</f>
        <v>1.5836170133560756E-2</v>
      </c>
      <c r="L36" s="17">
        <f>F36/F35-1</f>
        <v>6.6463364410432435E-2</v>
      </c>
      <c r="M36" s="18">
        <f t="shared" si="3"/>
        <v>6.123011588838656E-3</v>
      </c>
    </row>
    <row r="37" spans="1:13" x14ac:dyDescent="0.25">
      <c r="A37" s="6"/>
      <c r="B37" s="11">
        <v>41243</v>
      </c>
      <c r="C37" s="9">
        <v>11.673283</v>
      </c>
      <c r="D37" s="9">
        <v>1.296508</v>
      </c>
      <c r="E37" s="9">
        <v>4.9604499999999998</v>
      </c>
      <c r="F37" s="9">
        <v>4.6329889</v>
      </c>
      <c r="G37" s="13">
        <v>291.1471252</v>
      </c>
      <c r="H37" s="8"/>
      <c r="I37" s="17">
        <f>C37/C36-1</f>
        <v>2.1871977155722977E-2</v>
      </c>
      <c r="J37" s="17">
        <f>D37/D36-1</f>
        <v>-1.1390480431523797E-2</v>
      </c>
      <c r="K37" s="17">
        <f>E37/E36-1</f>
        <v>9.8981398386588371E-3</v>
      </c>
      <c r="L37" s="17">
        <f>F37/F36-1</f>
        <v>1.308828798034023E-2</v>
      </c>
      <c r="M37" s="18">
        <f t="shared" si="3"/>
        <v>5.4884824244323394E-3</v>
      </c>
    </row>
    <row r="38" spans="1:13" x14ac:dyDescent="0.25">
      <c r="A38" s="6"/>
      <c r="B38" s="11">
        <v>41274</v>
      </c>
      <c r="C38" s="9">
        <v>11.763423</v>
      </c>
      <c r="D38" s="9">
        <v>1.3153239999999999</v>
      </c>
      <c r="E38" s="9">
        <v>5.0174409999999998</v>
      </c>
      <c r="F38" s="9">
        <v>4.7880162999999998</v>
      </c>
      <c r="G38" s="13">
        <v>292.747345</v>
      </c>
      <c r="H38" s="8"/>
      <c r="I38" s="17">
        <f>C38/C37-1</f>
        <v>7.7219065107905216E-3</v>
      </c>
      <c r="J38" s="17">
        <f>D38/D37-1</f>
        <v>1.4512829847559638E-2</v>
      </c>
      <c r="K38" s="17">
        <f>E38/E37-1</f>
        <v>1.1489078611819581E-2</v>
      </c>
      <c r="L38" s="17">
        <f>F38/F37-1</f>
        <v>3.346163855475659E-2</v>
      </c>
      <c r="M38" s="18">
        <f t="shared" si="3"/>
        <v>5.4962582883164579E-3</v>
      </c>
    </row>
    <row r="39" spans="1:13" x14ac:dyDescent="0.25">
      <c r="A39" s="6"/>
      <c r="B39" s="11">
        <v>41305</v>
      </c>
      <c r="C39" s="9">
        <v>11.92764</v>
      </c>
      <c r="D39" s="9">
        <v>1.342462</v>
      </c>
      <c r="E39" s="9">
        <v>5.0472260000000002</v>
      </c>
      <c r="F39" s="9">
        <v>4.8700833000000001</v>
      </c>
      <c r="G39" s="13">
        <v>294.51019289999999</v>
      </c>
      <c r="H39" s="8"/>
      <c r="I39" s="17">
        <f>C39/C38-1</f>
        <v>1.3959967264630446E-2</v>
      </c>
      <c r="J39" s="17">
        <f>D39/D38-1</f>
        <v>2.0632178839586457E-2</v>
      </c>
      <c r="K39" s="17">
        <f>E39/E38-1</f>
        <v>5.9362930226782851E-3</v>
      </c>
      <c r="L39" s="17">
        <f>F39/F38-1</f>
        <v>1.7140083670976747E-2</v>
      </c>
      <c r="M39" s="18">
        <f t="shared" si="3"/>
        <v>6.0217383013327908E-3</v>
      </c>
    </row>
    <row r="40" spans="1:13" x14ac:dyDescent="0.25">
      <c r="A40" s="6"/>
      <c r="B40" s="11">
        <v>41333</v>
      </c>
      <c r="C40" s="9">
        <v>12.042816</v>
      </c>
      <c r="D40" s="9">
        <v>1.3556429999999999</v>
      </c>
      <c r="E40" s="9">
        <v>5.0389280000000003</v>
      </c>
      <c r="F40" s="9">
        <v>4.8606572000000003</v>
      </c>
      <c r="G40" s="13">
        <v>295.96054079999999</v>
      </c>
      <c r="H40" s="8"/>
      <c r="I40" s="17">
        <f>C40/C39-1</f>
        <v>9.6562270491060698E-3</v>
      </c>
      <c r="J40" s="17">
        <f>D40/D39-1</f>
        <v>9.8185274518012289E-3</v>
      </c>
      <c r="K40" s="17">
        <f>E40/E39-1</f>
        <v>-1.6440714166553461E-3</v>
      </c>
      <c r="L40" s="17">
        <f>F40/F39-1</f>
        <v>-1.9355110414640553E-3</v>
      </c>
      <c r="M40" s="18">
        <f t="shared" si="3"/>
        <v>4.9246102001381242E-3</v>
      </c>
    </row>
    <row r="41" spans="1:13" x14ac:dyDescent="0.25">
      <c r="A41" s="6"/>
      <c r="B41" s="11">
        <v>41362</v>
      </c>
      <c r="C41" s="9">
        <v>12.242613</v>
      </c>
      <c r="D41" s="9">
        <v>1.385235</v>
      </c>
      <c r="E41" s="9">
        <v>5.0160229999999997</v>
      </c>
      <c r="F41" s="9">
        <v>4.6676083000000004</v>
      </c>
      <c r="G41" s="13">
        <v>297.5868835</v>
      </c>
      <c r="H41" s="8"/>
      <c r="I41" s="17">
        <f>C41/C40-1</f>
        <v>1.6590554900116405E-2</v>
      </c>
      <c r="J41" s="17">
        <f>D41/D40-1</f>
        <v>2.182875580075283E-2</v>
      </c>
      <c r="K41" s="17">
        <f>E41/E40-1</f>
        <v>-4.5456097011111751E-3</v>
      </c>
      <c r="L41" s="17">
        <f>F41/F40-1</f>
        <v>-3.9716625151018703E-2</v>
      </c>
      <c r="M41" s="18">
        <f t="shared" si="3"/>
        <v>5.4951335593722561E-3</v>
      </c>
    </row>
    <row r="42" spans="1:13" x14ac:dyDescent="0.25">
      <c r="A42" s="6"/>
      <c r="B42" s="11">
        <v>41394</v>
      </c>
      <c r="C42" s="9">
        <v>12.286355</v>
      </c>
      <c r="D42" s="9">
        <v>1.3623350000000001</v>
      </c>
      <c r="E42" s="9">
        <v>5.0943319999999996</v>
      </c>
      <c r="F42" s="9">
        <v>4.7728127999999996</v>
      </c>
      <c r="G42" s="13">
        <v>299.41027830000002</v>
      </c>
      <c r="H42" s="8"/>
      <c r="I42" s="17">
        <f>C42/C41-1</f>
        <v>3.572930059947188E-3</v>
      </c>
      <c r="J42" s="17">
        <f>D42/D41-1</f>
        <v>-1.6531491046645419E-2</v>
      </c>
      <c r="K42" s="17">
        <f>E42/E41-1</f>
        <v>1.5611770520191026E-2</v>
      </c>
      <c r="L42" s="17">
        <f>F42/F41-1</f>
        <v>2.2539273486166245E-2</v>
      </c>
      <c r="M42" s="18">
        <f t="shared" si="3"/>
        <v>6.1272687107529755E-3</v>
      </c>
    </row>
    <row r="43" spans="1:13" x14ac:dyDescent="0.25">
      <c r="A43" s="6"/>
      <c r="B43" s="11">
        <v>41425</v>
      </c>
      <c r="C43" s="9">
        <v>12.520939</v>
      </c>
      <c r="D43" s="9">
        <v>1.4316720000000001</v>
      </c>
      <c r="E43" s="9">
        <v>5.0143890000000004</v>
      </c>
      <c r="F43" s="9">
        <v>4.8050828000000001</v>
      </c>
      <c r="G43" s="13">
        <v>301.19699100000003</v>
      </c>
      <c r="H43" s="8"/>
      <c r="I43" s="17">
        <f>C43/C42-1</f>
        <v>1.9093050786828103E-2</v>
      </c>
      <c r="J43" s="17">
        <f>D43/D42-1</f>
        <v>5.0895704800948405E-2</v>
      </c>
      <c r="K43" s="17">
        <f>E43/E42-1</f>
        <v>-1.5692538295501546E-2</v>
      </c>
      <c r="L43" s="17">
        <f>F43/F42-1</f>
        <v>6.7612121724112129E-3</v>
      </c>
      <c r="M43" s="18">
        <f t="shared" si="3"/>
        <v>5.9674394284146004E-3</v>
      </c>
    </row>
    <row r="44" spans="1:13" x14ac:dyDescent="0.25">
      <c r="A44" s="6"/>
      <c r="B44" s="11">
        <v>41453</v>
      </c>
      <c r="C44" s="9">
        <v>12.456656000000001</v>
      </c>
      <c r="D44" s="9">
        <v>1.497943</v>
      </c>
      <c r="E44" s="9">
        <v>5.0248429999999997</v>
      </c>
      <c r="F44" s="9">
        <v>4.8541865</v>
      </c>
      <c r="G44" s="13">
        <v>303.01974489999998</v>
      </c>
      <c r="H44" s="8"/>
      <c r="I44" s="17">
        <f>C44/C43-1</f>
        <v>-5.1340398671377852E-3</v>
      </c>
      <c r="J44" s="17">
        <f>D44/D43-1</f>
        <v>4.628923384685879E-2</v>
      </c>
      <c r="K44" s="17">
        <f>E44/E43-1</f>
        <v>2.0848003615194788E-3</v>
      </c>
      <c r="L44" s="17">
        <f>F44/F43-1</f>
        <v>1.0219116307423448E-2</v>
      </c>
      <c r="M44" s="18">
        <f t="shared" si="3"/>
        <v>6.0517002309625756E-3</v>
      </c>
    </row>
    <row r="45" spans="1:13" x14ac:dyDescent="0.25">
      <c r="A45" s="6"/>
      <c r="B45" s="11">
        <v>41486</v>
      </c>
      <c r="C45" s="9">
        <v>12.688573</v>
      </c>
      <c r="D45" s="9">
        <v>1.494748</v>
      </c>
      <c r="E45" s="9">
        <v>5.075577</v>
      </c>
      <c r="F45" s="9">
        <v>4.8845286000000003</v>
      </c>
      <c r="G45" s="13">
        <v>305.20797729999998</v>
      </c>
      <c r="H45" s="8"/>
      <c r="I45" s="17">
        <f>C45/C44-1</f>
        <v>1.8617918003033918E-2</v>
      </c>
      <c r="J45" s="17">
        <f>D45/D44-1</f>
        <v>-2.1329249510829706E-3</v>
      </c>
      <c r="K45" s="17">
        <f>E45/E44-1</f>
        <v>1.009663386497861E-2</v>
      </c>
      <c r="L45" s="17">
        <f>F45/F44-1</f>
        <v>6.2507075078388485E-3</v>
      </c>
      <c r="M45" s="18">
        <f t="shared" si="3"/>
        <v>7.2214185274366294E-3</v>
      </c>
    </row>
    <row r="46" spans="1:13" x14ac:dyDescent="0.25">
      <c r="A46" s="6"/>
      <c r="B46" s="11">
        <v>41516</v>
      </c>
      <c r="C46" s="9">
        <v>13.039042</v>
      </c>
      <c r="D46" s="9">
        <v>1.557293</v>
      </c>
      <c r="E46" s="9">
        <v>5.054583</v>
      </c>
      <c r="F46" s="9">
        <v>4.9486289000000001</v>
      </c>
      <c r="G46" s="13">
        <v>307.36999509999998</v>
      </c>
      <c r="H46" s="8"/>
      <c r="I46" s="17">
        <f>C46/C45-1</f>
        <v>2.7620836480193756E-2</v>
      </c>
      <c r="J46" s="17">
        <f>D46/D45-1</f>
        <v>4.1843173565042413E-2</v>
      </c>
      <c r="K46" s="17">
        <f>E46/E45-1</f>
        <v>-4.1362784960212728E-3</v>
      </c>
      <c r="L46" s="17">
        <f>F46/F45-1</f>
        <v>1.3123129220699026E-2</v>
      </c>
      <c r="M46" s="18">
        <f t="shared" si="3"/>
        <v>7.0837525910236732E-3</v>
      </c>
    </row>
    <row r="47" spans="1:13" x14ac:dyDescent="0.25">
      <c r="A47" s="6"/>
      <c r="B47" s="11">
        <v>41547</v>
      </c>
      <c r="C47" s="9">
        <v>12.983862</v>
      </c>
      <c r="D47" s="9">
        <v>1.521917</v>
      </c>
      <c r="E47" s="9">
        <v>4.9987740000000001</v>
      </c>
      <c r="F47" s="9">
        <v>4.8697189999999999</v>
      </c>
      <c r="G47" s="13">
        <v>309.56274409999997</v>
      </c>
      <c r="H47" s="8"/>
      <c r="I47" s="17">
        <f>C47/C46-1</f>
        <v>-4.2319059943207726E-3</v>
      </c>
      <c r="J47" s="17">
        <f>D47/D46-1</f>
        <v>-2.2716341754570268E-2</v>
      </c>
      <c r="K47" s="17">
        <f>E47/E46-1</f>
        <v>-1.1041266905697289E-2</v>
      </c>
      <c r="L47" s="17">
        <f>F47/F46-1</f>
        <v>-1.5945810767907909E-2</v>
      </c>
      <c r="M47" s="18">
        <f t="shared" si="3"/>
        <v>7.1339071313274438E-3</v>
      </c>
    </row>
    <row r="48" spans="1:13" x14ac:dyDescent="0.25">
      <c r="A48" s="6"/>
      <c r="B48" s="11">
        <v>41578</v>
      </c>
      <c r="C48" s="9">
        <v>13.172532</v>
      </c>
      <c r="D48" s="9">
        <v>1.5013300000000001</v>
      </c>
      <c r="E48" s="9">
        <v>5.0291889999999997</v>
      </c>
      <c r="F48" s="9">
        <v>4.9025455000000004</v>
      </c>
      <c r="G48" s="13">
        <v>312.06762689999999</v>
      </c>
      <c r="H48" s="8"/>
      <c r="I48" s="17">
        <f>C48/C47-1</f>
        <v>1.4531115626460034E-2</v>
      </c>
      <c r="J48" s="17">
        <f>D48/D47-1</f>
        <v>-1.3527018884735398E-2</v>
      </c>
      <c r="K48" s="17">
        <f>E48/E47-1</f>
        <v>6.0844919174181111E-3</v>
      </c>
      <c r="L48" s="17">
        <f>F48/F47-1</f>
        <v>6.7409433686009823E-3</v>
      </c>
      <c r="M48" s="18">
        <f t="shared" si="3"/>
        <v>8.091680435520443E-3</v>
      </c>
    </row>
    <row r="49" spans="1:13" x14ac:dyDescent="0.25">
      <c r="A49" s="6"/>
      <c r="B49" s="11">
        <v>41607</v>
      </c>
      <c r="C49" s="9">
        <v>13.660698</v>
      </c>
      <c r="D49" s="9">
        <v>1.549749</v>
      </c>
      <c r="E49" s="9">
        <v>5.0862230000000004</v>
      </c>
      <c r="F49" s="9">
        <v>4.9288597000000003</v>
      </c>
      <c r="G49" s="13">
        <v>314.30624390000003</v>
      </c>
      <c r="H49" s="8"/>
      <c r="I49" s="17">
        <f>C49/C48-1</f>
        <v>3.70593899487206E-2</v>
      </c>
      <c r="J49" s="17">
        <f>D49/D48-1</f>
        <v>3.225073767925779E-2</v>
      </c>
      <c r="K49" s="17">
        <f>E49/E48-1</f>
        <v>1.1340595869433479E-2</v>
      </c>
      <c r="L49" s="17">
        <f>F49/F48-1</f>
        <v>5.3674565590466905E-3</v>
      </c>
      <c r="M49" s="18">
        <f t="shared" si="3"/>
        <v>7.1734996104462212E-3</v>
      </c>
    </row>
    <row r="50" spans="1:13" x14ac:dyDescent="0.25">
      <c r="A50" s="6"/>
      <c r="B50" s="11">
        <v>41639</v>
      </c>
      <c r="C50" s="9">
        <v>13.891828</v>
      </c>
      <c r="D50" s="9">
        <v>1.5827119999999999</v>
      </c>
      <c r="E50" s="9">
        <v>5.118004</v>
      </c>
      <c r="F50" s="9">
        <v>4.9583139000000003</v>
      </c>
      <c r="G50" s="13">
        <v>316.78842159999999</v>
      </c>
      <c r="H50" s="8"/>
      <c r="I50" s="17">
        <f>C50/C49-1</f>
        <v>1.6919340431945651E-2</v>
      </c>
      <c r="J50" s="17">
        <f>D50/D49-1</f>
        <v>2.1269895963798024E-2</v>
      </c>
      <c r="K50" s="17">
        <f>E50/E49-1</f>
        <v>6.248448013388197E-3</v>
      </c>
      <c r="L50" s="17">
        <f>F50/F49-1</f>
        <v>5.9758649652779106E-3</v>
      </c>
      <c r="M50" s="18">
        <f t="shared" si="3"/>
        <v>7.8973222714266988E-3</v>
      </c>
    </row>
    <row r="51" spans="1:13" x14ac:dyDescent="0.25">
      <c r="A51" s="6"/>
      <c r="B51" s="11">
        <v>41670</v>
      </c>
      <c r="C51" s="9">
        <v>13.883264</v>
      </c>
      <c r="D51" s="9">
        <v>1.604968</v>
      </c>
      <c r="E51" s="9">
        <v>5.1576779999999998</v>
      </c>
      <c r="F51" s="9">
        <v>5.0058569999999998</v>
      </c>
      <c r="G51" s="13">
        <v>319.47317509999999</v>
      </c>
      <c r="H51" s="8"/>
      <c r="I51" s="17">
        <f>C51/C50-1</f>
        <v>-6.1647754348814754E-4</v>
      </c>
      <c r="J51" s="17">
        <f>D51/D50-1</f>
        <v>1.4061939253635636E-2</v>
      </c>
      <c r="K51" s="17">
        <f>E51/E50-1</f>
        <v>7.7518501353261993E-3</v>
      </c>
      <c r="L51" s="17">
        <f>F51/F50-1</f>
        <v>9.5885619504645359E-3</v>
      </c>
      <c r="M51" s="18">
        <f t="shared" si="3"/>
        <v>8.4749104352999094E-3</v>
      </c>
    </row>
    <row r="52" spans="1:13" x14ac:dyDescent="0.25">
      <c r="A52" s="6"/>
      <c r="B52" s="11">
        <v>41698</v>
      </c>
      <c r="C52" s="9">
        <v>13.708956000000001</v>
      </c>
      <c r="D52" s="9">
        <v>1.6064690000000001</v>
      </c>
      <c r="E52" s="9">
        <v>5.1438940000000004</v>
      </c>
      <c r="F52" s="9">
        <v>4.9767036000000004</v>
      </c>
      <c r="G52" s="13">
        <v>321.99444579999999</v>
      </c>
      <c r="H52" s="8"/>
      <c r="I52" s="17">
        <f>C52/C51-1</f>
        <v>-1.2555260780173882E-2</v>
      </c>
      <c r="J52" s="17">
        <f>D52/D51-1</f>
        <v>9.3522113836552734E-4</v>
      </c>
      <c r="K52" s="17">
        <f>E52/E51-1</f>
        <v>-2.6725204636658395E-3</v>
      </c>
      <c r="L52" s="17">
        <f>F52/F51-1</f>
        <v>-5.8238579328173667E-3</v>
      </c>
      <c r="M52" s="18">
        <f t="shared" si="3"/>
        <v>7.8919636968293183E-3</v>
      </c>
    </row>
    <row r="53" spans="1:13" x14ac:dyDescent="0.25">
      <c r="A53" s="6"/>
      <c r="B53" s="11">
        <v>41729</v>
      </c>
      <c r="C53" s="9">
        <v>13.620094999999999</v>
      </c>
      <c r="D53" s="9">
        <v>1.6109960000000001</v>
      </c>
      <c r="E53" s="9">
        <v>5.1594179999999996</v>
      </c>
      <c r="F53" s="9">
        <v>4.9758706000000004</v>
      </c>
      <c r="G53" s="13">
        <v>324.46035769999997</v>
      </c>
      <c r="H53" s="8"/>
      <c r="I53" s="17">
        <f>C53/C52-1</f>
        <v>-6.4819669710809436E-3</v>
      </c>
      <c r="J53" s="17">
        <f>D53/D52-1</f>
        <v>2.8179815483522219E-3</v>
      </c>
      <c r="K53" s="17">
        <f>E53/E52-1</f>
        <v>3.0179471038864758E-3</v>
      </c>
      <c r="L53" s="17">
        <f>F53/F52-1</f>
        <v>-1.6737986967918506E-4</v>
      </c>
      <c r="M53" s="18">
        <f t="shared" si="3"/>
        <v>7.6582435882499578E-3</v>
      </c>
    </row>
    <row r="54" spans="1:13" x14ac:dyDescent="0.25">
      <c r="A54" s="6"/>
      <c r="B54" s="11">
        <v>41759</v>
      </c>
      <c r="C54" s="9">
        <v>13.491047</v>
      </c>
      <c r="D54" s="9">
        <v>1.60884</v>
      </c>
      <c r="E54" s="9">
        <v>5.1587610000000002</v>
      </c>
      <c r="F54" s="9">
        <v>4.9530925999999997</v>
      </c>
      <c r="G54" s="13">
        <v>327.12689210000002</v>
      </c>
      <c r="H54" s="8"/>
      <c r="I54" s="17">
        <f>C54/C53-1</f>
        <v>-9.4748237805976077E-3</v>
      </c>
      <c r="J54" s="17">
        <f>D54/D53-1</f>
        <v>-1.3383025159591222E-3</v>
      </c>
      <c r="K54" s="17">
        <f>E54/E53-1</f>
        <v>-1.2733994415636829E-4</v>
      </c>
      <c r="L54" s="17">
        <f>F54/F53-1</f>
        <v>-4.5776913893220694E-3</v>
      </c>
      <c r="M54" s="18">
        <f t="shared" si="3"/>
        <v>8.2183673188993556E-3</v>
      </c>
    </row>
    <row r="55" spans="1:13" x14ac:dyDescent="0.25">
      <c r="A55" s="6"/>
      <c r="B55" s="11">
        <v>41789</v>
      </c>
      <c r="C55" s="9">
        <v>13.613130999999999</v>
      </c>
      <c r="D55" s="9">
        <v>1.6048149999999999</v>
      </c>
      <c r="E55" s="9">
        <v>5.2003370000000002</v>
      </c>
      <c r="F55" s="9">
        <v>4.8819546999999996</v>
      </c>
      <c r="G55" s="13">
        <v>329.9596252</v>
      </c>
      <c r="H55" s="8"/>
      <c r="I55" s="17">
        <f>C55/C54-1</f>
        <v>9.0492605948224725E-3</v>
      </c>
      <c r="J55" s="17">
        <f>D55/D54-1</f>
        <v>-2.5018025409613287E-3</v>
      </c>
      <c r="K55" s="17">
        <f>E55/E54-1</f>
        <v>8.0592995100956522E-3</v>
      </c>
      <c r="L55" s="17">
        <f>F55/F54-1</f>
        <v>-1.4362319816108471E-2</v>
      </c>
      <c r="M55" s="18">
        <f t="shared" si="3"/>
        <v>8.6594320687460868E-3</v>
      </c>
    </row>
    <row r="56" spans="1:13" x14ac:dyDescent="0.25">
      <c r="A56" s="6"/>
      <c r="B56" s="11">
        <v>41820</v>
      </c>
      <c r="C56" s="9">
        <v>13.605306000000001</v>
      </c>
      <c r="D56" s="9">
        <v>1.6188449999999999</v>
      </c>
      <c r="E56" s="9">
        <v>5.2003899999999996</v>
      </c>
      <c r="F56" s="9">
        <v>4.8792271999999999</v>
      </c>
      <c r="G56" s="13">
        <v>332.68035889999999</v>
      </c>
      <c r="H56" s="8"/>
      <c r="I56" s="17">
        <f>C56/C55-1</f>
        <v>-5.748126569852241E-4</v>
      </c>
      <c r="J56" s="17">
        <f>D56/D55-1</f>
        <v>8.7424407174658825E-3</v>
      </c>
      <c r="K56" s="17">
        <f>E56/E55-1</f>
        <v>1.0191647195068043E-5</v>
      </c>
      <c r="L56" s="17">
        <f>F56/F55-1</f>
        <v>-5.586901492551366E-4</v>
      </c>
      <c r="M56" s="18">
        <f t="shared" si="3"/>
        <v>8.2456564143289501E-3</v>
      </c>
    </row>
    <row r="57" spans="1:13" x14ac:dyDescent="0.25">
      <c r="A57" s="6"/>
      <c r="B57" s="11">
        <v>41851</v>
      </c>
      <c r="C57" s="9">
        <v>13.621622</v>
      </c>
      <c r="D57" s="9">
        <v>1.634452</v>
      </c>
      <c r="E57" s="9">
        <v>5.2679660000000004</v>
      </c>
      <c r="F57" s="9">
        <v>4.9151783</v>
      </c>
      <c r="G57" s="13">
        <v>335.83706669999998</v>
      </c>
      <c r="H57" s="8"/>
      <c r="I57" s="17">
        <f>C57/C56-1</f>
        <v>1.1992380031731198E-3</v>
      </c>
      <c r="J57" s="17">
        <f>D57/D56-1</f>
        <v>9.6408241678480611E-3</v>
      </c>
      <c r="K57" s="17">
        <f>E57/E56-1</f>
        <v>1.2994410034632198E-2</v>
      </c>
      <c r="L57" s="17">
        <f>F57/F56-1</f>
        <v>7.3681955207989258E-3</v>
      </c>
      <c r="M57" s="18">
        <f t="shared" si="3"/>
        <v>9.4887110571768574E-3</v>
      </c>
    </row>
    <row r="58" spans="1:13" x14ac:dyDescent="0.25">
      <c r="A58" s="6"/>
      <c r="B58" s="11">
        <v>41880</v>
      </c>
      <c r="C58" s="9">
        <v>13.381141</v>
      </c>
      <c r="D58" s="9">
        <v>1.6302910000000002</v>
      </c>
      <c r="E58" s="9">
        <v>5.3986729999999996</v>
      </c>
      <c r="F58" s="9">
        <v>5.1387109999999998</v>
      </c>
      <c r="G58" s="13">
        <v>338.74575809999999</v>
      </c>
      <c r="H58" s="8"/>
      <c r="I58" s="17">
        <f>C58/C57-1</f>
        <v>-1.7654358636585377E-2</v>
      </c>
      <c r="J58" s="17">
        <f>D58/D57-1</f>
        <v>-2.5458074021138533E-3</v>
      </c>
      <c r="K58" s="17">
        <f>E58/E57-1</f>
        <v>2.4811663552877672E-2</v>
      </c>
      <c r="L58" s="17">
        <f>F58/F57-1</f>
        <v>4.5478045018224389E-2</v>
      </c>
      <c r="M58" s="18">
        <f t="shared" si="3"/>
        <v>8.6610195490968156E-3</v>
      </c>
    </row>
    <row r="59" spans="1:13" x14ac:dyDescent="0.25">
      <c r="A59" s="6"/>
      <c r="B59" s="11">
        <v>41912</v>
      </c>
      <c r="C59" s="9">
        <v>14.27582</v>
      </c>
      <c r="D59" s="9">
        <v>1.67106</v>
      </c>
      <c r="E59" s="9">
        <v>5.3855560000000002</v>
      </c>
      <c r="F59" s="9">
        <v>4.9146298999999996</v>
      </c>
      <c r="G59" s="13">
        <v>341.81951900000001</v>
      </c>
      <c r="H59" s="8"/>
      <c r="I59" s="17">
        <f>C59/C58-1</f>
        <v>6.6861189191564474E-2</v>
      </c>
      <c r="J59" s="17">
        <f>D59/D58-1</f>
        <v>2.5007191967568954E-2</v>
      </c>
      <c r="K59" s="17">
        <f>E59/E58-1</f>
        <v>-2.4296711432604257E-3</v>
      </c>
      <c r="L59" s="17">
        <f>F59/F58-1</f>
        <v>-4.360648030216141E-2</v>
      </c>
      <c r="M59" s="18">
        <f t="shared" si="3"/>
        <v>9.073946541029887E-3</v>
      </c>
    </row>
    <row r="60" spans="1:13" x14ac:dyDescent="0.25">
      <c r="A60" s="6"/>
      <c r="B60" s="11">
        <v>41943</v>
      </c>
      <c r="C60" s="9">
        <v>14.184956</v>
      </c>
      <c r="D60" s="9">
        <v>1.6645319999999999</v>
      </c>
      <c r="E60" s="9">
        <v>5.3129900000000001</v>
      </c>
      <c r="F60" s="9">
        <v>4.9552436000000002</v>
      </c>
      <c r="G60" s="13">
        <v>345.06595199999998</v>
      </c>
      <c r="H60" s="8"/>
      <c r="I60" s="17">
        <f>C60/C59-1</f>
        <v>-6.3648883216516072E-3</v>
      </c>
      <c r="J60" s="17">
        <f>D60/D59-1</f>
        <v>-3.9065024595167364E-3</v>
      </c>
      <c r="K60" s="17">
        <f>E60/E59-1</f>
        <v>-1.3474189108793944E-2</v>
      </c>
      <c r="L60" s="17">
        <f>F60/F59-1</f>
        <v>8.2638369167942205E-3</v>
      </c>
      <c r="M60" s="18">
        <f t="shared" si="3"/>
        <v>9.4975061971225294E-3</v>
      </c>
    </row>
    <row r="61" spans="1:13" x14ac:dyDescent="0.25">
      <c r="A61" s="6"/>
      <c r="B61" s="11">
        <v>41971</v>
      </c>
      <c r="C61" s="9">
        <v>14.675397999999999</v>
      </c>
      <c r="D61" s="9">
        <v>1.7016869999999999</v>
      </c>
      <c r="E61" s="9">
        <v>5.3646669999999999</v>
      </c>
      <c r="F61" s="9">
        <v>4.9626241000000002</v>
      </c>
      <c r="G61" s="13">
        <v>347.97336000000001</v>
      </c>
      <c r="H61" s="8"/>
      <c r="I61" s="17">
        <f>C61/C60-1</f>
        <v>3.4574798822075925E-2</v>
      </c>
      <c r="J61" s="17">
        <f>D61/D60-1</f>
        <v>2.232158949182117E-2</v>
      </c>
      <c r="K61" s="17">
        <f>E61/E60-1</f>
        <v>9.7265381640092574E-3</v>
      </c>
      <c r="L61" s="17">
        <f>F61/F60-1</f>
        <v>1.4894323257892417E-3</v>
      </c>
      <c r="M61" s="18">
        <f t="shared" si="3"/>
        <v>8.4256588723075065E-3</v>
      </c>
    </row>
    <row r="62" spans="1:13" x14ac:dyDescent="0.25">
      <c r="A62" s="6"/>
      <c r="B62" s="11">
        <v>42004</v>
      </c>
      <c r="C62" s="9">
        <v>15.113153000000001</v>
      </c>
      <c r="D62" s="9">
        <v>1.689203</v>
      </c>
      <c r="E62" s="9">
        <v>5.3908209999999999</v>
      </c>
      <c r="F62" s="9">
        <v>4.9971680999999997</v>
      </c>
      <c r="G62" s="13">
        <v>351.3186</v>
      </c>
      <c r="H62" s="8"/>
      <c r="I62" s="17">
        <f>C62/C61-1</f>
        <v>2.9829173968569878E-2</v>
      </c>
      <c r="J62" s="17">
        <f>D62/D61-1</f>
        <v>-7.336249263231065E-3</v>
      </c>
      <c r="K62" s="17">
        <f>E62/E61-1</f>
        <v>4.8752327031669207E-3</v>
      </c>
      <c r="L62" s="17">
        <f>F62/F61-1</f>
        <v>6.9608334832371721E-3</v>
      </c>
      <c r="M62" s="18">
        <f t="shared" si="3"/>
        <v>9.6134945502723834E-3</v>
      </c>
    </row>
    <row r="63" spans="1:13" x14ac:dyDescent="0.25">
      <c r="A63" s="6"/>
      <c r="B63" s="11">
        <v>42034</v>
      </c>
      <c r="C63" s="9">
        <v>15.454252</v>
      </c>
      <c r="D63" s="9">
        <v>1.7354609999999999</v>
      </c>
      <c r="E63" s="9">
        <v>5.5425810000000002</v>
      </c>
      <c r="F63" s="9">
        <v>5.0990700999999996</v>
      </c>
      <c r="G63" s="13">
        <v>354.60372999999998</v>
      </c>
      <c r="H63" s="8"/>
      <c r="I63" s="17">
        <f>C63/C62-1</f>
        <v>2.256967821340794E-2</v>
      </c>
      <c r="J63" s="17">
        <f>D63/D62-1</f>
        <v>2.7384512104228875E-2</v>
      </c>
      <c r="K63" s="17">
        <f>E63/E62-1</f>
        <v>2.8151556135883604E-2</v>
      </c>
      <c r="L63" s="17">
        <f>F63/F62-1</f>
        <v>2.0391949592410086E-2</v>
      </c>
      <c r="M63" s="18">
        <f t="shared" si="3"/>
        <v>9.3508570283498127E-3</v>
      </c>
    </row>
    <row r="64" spans="1:13" x14ac:dyDescent="0.25">
      <c r="A64" s="6"/>
      <c r="B64" s="11">
        <v>42062</v>
      </c>
      <c r="C64" s="9">
        <v>16.198736</v>
      </c>
      <c r="D64" s="9">
        <v>1.7744819999999999</v>
      </c>
      <c r="E64" s="9">
        <v>5.6588349999999998</v>
      </c>
      <c r="F64" s="9">
        <v>5.1159973000000001</v>
      </c>
      <c r="G64" s="13">
        <v>357.51996000000003</v>
      </c>
      <c r="H64" s="8"/>
      <c r="I64" s="17">
        <f>C64/C63-1</f>
        <v>4.8173408845669119E-2</v>
      </c>
      <c r="J64" s="17">
        <f>D64/D63-1</f>
        <v>2.2484515641665315E-2</v>
      </c>
      <c r="K64" s="17">
        <f>E64/E63-1</f>
        <v>2.097470474495533E-2</v>
      </c>
      <c r="L64" s="17">
        <f>F64/F63-1</f>
        <v>3.319664108952125E-3</v>
      </c>
      <c r="M64" s="18">
        <f t="shared" si="3"/>
        <v>8.2239123655016844E-3</v>
      </c>
    </row>
    <row r="65" spans="1:13" x14ac:dyDescent="0.25">
      <c r="A65" s="6"/>
      <c r="B65" s="11">
        <v>42094</v>
      </c>
      <c r="C65" s="9">
        <v>17.022997</v>
      </c>
      <c r="D65" s="9">
        <v>1.8741029999999999</v>
      </c>
      <c r="E65" s="9">
        <v>5.6554419999999999</v>
      </c>
      <c r="F65" s="9">
        <v>5.3073883000000004</v>
      </c>
      <c r="G65" s="13">
        <v>361.23791999999997</v>
      </c>
      <c r="H65" s="8"/>
      <c r="I65" s="17">
        <f>C65/C64-1</f>
        <v>5.0884278872129318E-2</v>
      </c>
      <c r="J65" s="17">
        <f>D65/D64-1</f>
        <v>5.6140890693734846E-2</v>
      </c>
      <c r="K65" s="17">
        <f>E65/E64-1</f>
        <v>-5.9959337920256761E-4</v>
      </c>
      <c r="L65" s="17">
        <f>F65/F64-1</f>
        <v>3.741030121341149E-2</v>
      </c>
      <c r="M65" s="18">
        <f t="shared" si="3"/>
        <v>1.0399307496006482E-2</v>
      </c>
    </row>
    <row r="66" spans="1:13" x14ac:dyDescent="0.25">
      <c r="A66" s="6"/>
      <c r="B66" s="11">
        <v>42124</v>
      </c>
      <c r="C66" s="9">
        <v>16.734376999999999</v>
      </c>
      <c r="D66" s="9">
        <v>1.8421750000000001</v>
      </c>
      <c r="E66" s="9">
        <v>5.5679490000000005</v>
      </c>
      <c r="F66" s="9">
        <v>5.2344312999999998</v>
      </c>
      <c r="G66" s="13">
        <v>364.67595999999998</v>
      </c>
      <c r="H66" s="8"/>
      <c r="I66" s="17">
        <f>C66/C65-1</f>
        <v>-1.6954711323746485E-2</v>
      </c>
      <c r="J66" s="17">
        <f>D66/D65-1</f>
        <v>-1.703641688850599E-2</v>
      </c>
      <c r="K66" s="17">
        <f>E66/E65-1</f>
        <v>-1.547058567659243E-2</v>
      </c>
      <c r="L66" s="17">
        <f>F66/F65-1</f>
        <v>-1.3746309083886077E-2</v>
      </c>
      <c r="M66" s="18">
        <f t="shared" si="3"/>
        <v>9.5173839999964649E-3</v>
      </c>
    </row>
    <row r="67" spans="1:13" x14ac:dyDescent="0.25">
      <c r="A67" s="6"/>
      <c r="B67" s="11">
        <v>42153</v>
      </c>
      <c r="C67" s="9">
        <v>17.380648000000001</v>
      </c>
      <c r="D67" s="9">
        <v>1.899041</v>
      </c>
      <c r="E67" s="9">
        <v>5.7682849999999997</v>
      </c>
      <c r="F67" s="9">
        <v>5.2985329999999999</v>
      </c>
      <c r="G67" s="13">
        <v>368.26961999999997</v>
      </c>
      <c r="H67" s="8"/>
      <c r="I67" s="17">
        <f>C67/C66-1</f>
        <v>3.8619364198619444E-2</v>
      </c>
      <c r="J67" s="17">
        <f>D67/D66-1</f>
        <v>3.0868945675627923E-2</v>
      </c>
      <c r="K67" s="17">
        <f>E67/E66-1</f>
        <v>3.598021461762646E-2</v>
      </c>
      <c r="L67" s="17">
        <f>F67/F66-1</f>
        <v>1.2246163207835004E-2</v>
      </c>
      <c r="M67" s="18">
        <f t="shared" si="3"/>
        <v>9.8543923761795771E-3</v>
      </c>
    </row>
    <row r="68" spans="1:13" x14ac:dyDescent="0.25">
      <c r="A68" s="6"/>
      <c r="B68" s="11">
        <v>42185</v>
      </c>
      <c r="C68" s="9">
        <v>17.351782</v>
      </c>
      <c r="D68" s="9">
        <v>1.9187940000000001</v>
      </c>
      <c r="E68" s="9">
        <v>5.7310160000000003</v>
      </c>
      <c r="F68" s="9">
        <v>5.2898946000000002</v>
      </c>
      <c r="G68" s="13">
        <v>372.19760000000002</v>
      </c>
      <c r="H68" s="8"/>
      <c r="I68" s="17">
        <f>C68/C67-1</f>
        <v>-1.6608126463409922E-3</v>
      </c>
      <c r="J68" s="17">
        <f>D68/D67-1</f>
        <v>1.0401565842970362E-2</v>
      </c>
      <c r="K68" s="17">
        <f>E68/E67-1</f>
        <v>-6.4610191764101765E-3</v>
      </c>
      <c r="L68" s="17">
        <f>F68/F67-1</f>
        <v>-1.6303380577227244E-3</v>
      </c>
      <c r="M68" s="18">
        <f t="shared" si="3"/>
        <v>1.0666044079335357E-2</v>
      </c>
    </row>
    <row r="69" spans="1:13" x14ac:dyDescent="0.25">
      <c r="A69" s="6"/>
      <c r="B69" s="11">
        <v>42216</v>
      </c>
      <c r="C69" s="9">
        <v>18.287932999999999</v>
      </c>
      <c r="D69" s="9">
        <v>2.0414680000000001</v>
      </c>
      <c r="E69" s="9">
        <v>6.0147930000000001</v>
      </c>
      <c r="F69" s="9">
        <v>5.4186152999999999</v>
      </c>
      <c r="G69" s="13">
        <v>376.58260999999999</v>
      </c>
      <c r="H69" s="8"/>
      <c r="I69" s="17">
        <f>C69/C68-1</f>
        <v>5.3951288691847177E-2</v>
      </c>
      <c r="J69" s="17">
        <f>D69/D68-1</f>
        <v>6.3932866164893021E-2</v>
      </c>
      <c r="K69" s="17">
        <f>E69/E68-1</f>
        <v>4.9516002049200258E-2</v>
      </c>
      <c r="L69" s="17">
        <f>F69/F68-1</f>
        <v>2.4333320365210964E-2</v>
      </c>
      <c r="M69" s="18">
        <f t="shared" si="3"/>
        <v>1.1781403211627239E-2</v>
      </c>
    </row>
    <row r="70" spans="1:13" x14ac:dyDescent="0.25">
      <c r="A70" s="6"/>
      <c r="B70" s="11">
        <v>42247</v>
      </c>
      <c r="C70" s="9">
        <v>18.231752</v>
      </c>
      <c r="D70" s="9">
        <v>2.0847570000000002</v>
      </c>
      <c r="E70" s="9">
        <v>5.8124609999999999</v>
      </c>
      <c r="F70" s="9">
        <v>5.4674791999999997</v>
      </c>
      <c r="G70" s="13">
        <v>380.75931000000003</v>
      </c>
      <c r="H70" s="8"/>
      <c r="I70" s="17">
        <f>C70/C69-1</f>
        <v>-3.0720256903827847E-3</v>
      </c>
      <c r="J70" s="17">
        <f>D70/D69-1</f>
        <v>2.1204838870851894E-2</v>
      </c>
      <c r="K70" s="17">
        <f>E70/E69-1</f>
        <v>-3.3639062890443605E-2</v>
      </c>
      <c r="L70" s="17">
        <f>F70/F69-1</f>
        <v>9.0177835654803307E-3</v>
      </c>
      <c r="M70" s="18">
        <f t="shared" si="3"/>
        <v>1.1091059143703008E-2</v>
      </c>
    </row>
    <row r="71" spans="1:13" x14ac:dyDescent="0.25">
      <c r="A71" s="6"/>
      <c r="B71" s="11">
        <v>42277</v>
      </c>
      <c r="C71" s="9">
        <v>18.482306999999999</v>
      </c>
      <c r="D71" s="9">
        <v>2.1235620000000002</v>
      </c>
      <c r="E71" s="9">
        <v>5.5382340000000001</v>
      </c>
      <c r="F71" s="9">
        <v>5.6444849999999995</v>
      </c>
      <c r="G71" s="13">
        <v>384.98205999999999</v>
      </c>
      <c r="H71" s="8"/>
      <c r="I71" s="17">
        <f>C71/C70-1</f>
        <v>1.3742782372204276E-2</v>
      </c>
      <c r="J71" s="17">
        <f>D71/D70-1</f>
        <v>1.8613680155529E-2</v>
      </c>
      <c r="K71" s="17">
        <f>E71/E70-1</f>
        <v>-4.7179155266590111E-2</v>
      </c>
      <c r="L71" s="17">
        <f>F71/F70-1</f>
        <v>3.237429782997614E-2</v>
      </c>
      <c r="M71" s="18">
        <f t="shared" si="3"/>
        <v>1.1090339458803999E-2</v>
      </c>
    </row>
    <row r="72" spans="1:13" x14ac:dyDescent="0.25">
      <c r="A72" s="6"/>
      <c r="B72" s="11">
        <v>42307</v>
      </c>
      <c r="C72" s="9">
        <v>18.773273</v>
      </c>
      <c r="D72" s="9">
        <v>2.1355360000000001</v>
      </c>
      <c r="E72" s="9">
        <v>5.6134969999999997</v>
      </c>
      <c r="F72" s="9">
        <v>5.6931457999999999</v>
      </c>
      <c r="G72" s="13">
        <v>389.25168000000002</v>
      </c>
      <c r="H72" s="8"/>
      <c r="I72" s="17">
        <f>C72/C71-1</f>
        <v>1.574294810707344E-2</v>
      </c>
      <c r="J72" s="17">
        <f>D72/D71-1</f>
        <v>5.6386392297469445E-3</v>
      </c>
      <c r="K72" s="17">
        <f>E72/E71-1</f>
        <v>1.358971108840823E-2</v>
      </c>
      <c r="L72" s="17">
        <f>F72/F71-1</f>
        <v>8.6209459321799908E-3</v>
      </c>
      <c r="M72" s="18">
        <f t="shared" si="3"/>
        <v>1.1090438863566865E-2</v>
      </c>
    </row>
    <row r="73" spans="1:13" x14ac:dyDescent="0.25">
      <c r="A73" s="6"/>
      <c r="B73" s="11">
        <v>42338</v>
      </c>
      <c r="C73" s="9">
        <v>19.237385</v>
      </c>
      <c r="D73" s="9">
        <v>2.1850299999999998</v>
      </c>
      <c r="E73" s="9">
        <v>5.6893500000000001</v>
      </c>
      <c r="F73" s="9">
        <v>5.7606849999999996</v>
      </c>
      <c r="G73" s="13">
        <v>393.36206800000002</v>
      </c>
      <c r="H73" s="8"/>
      <c r="I73" s="17">
        <f>C73/C72-1</f>
        <v>2.4721954450883432E-2</v>
      </c>
      <c r="J73" s="17">
        <f>D73/D72-1</f>
        <v>2.3176382884671387E-2</v>
      </c>
      <c r="K73" s="17">
        <f>E73/E72-1</f>
        <v>1.351261076651511E-2</v>
      </c>
      <c r="L73" s="17">
        <f>F73/F72-1</f>
        <v>1.186324790768567E-2</v>
      </c>
      <c r="M73" s="18">
        <f t="shared" si="3"/>
        <v>1.055971807237932E-2</v>
      </c>
    </row>
    <row r="74" spans="1:13" x14ac:dyDescent="0.25">
      <c r="A74" s="6"/>
      <c r="B74" s="11">
        <v>42369</v>
      </c>
      <c r="C74" s="9">
        <v>19.436409000000001</v>
      </c>
      <c r="D74" s="9">
        <v>2.2216909999999999</v>
      </c>
      <c r="E74" s="9">
        <v>5.7840480000000003</v>
      </c>
      <c r="F74" s="9">
        <v>5.7263526999999996</v>
      </c>
      <c r="G74" s="13">
        <v>397.93344000000002</v>
      </c>
      <c r="H74" s="8"/>
      <c r="I74" s="17">
        <f>C74/C73-1</f>
        <v>1.0345688876112868E-2</v>
      </c>
      <c r="J74" s="17">
        <f>D74/D73-1</f>
        <v>1.6778259337400403E-2</v>
      </c>
      <c r="K74" s="17">
        <f>E74/E73-1</f>
        <v>1.6644783674760744E-2</v>
      </c>
      <c r="L74" s="17">
        <f>F74/F73-1</f>
        <v>-5.9597599938201462E-3</v>
      </c>
      <c r="M74" s="18">
        <f t="shared" si="3"/>
        <v>1.1621283219407808E-2</v>
      </c>
    </row>
    <row r="75" spans="1:13" x14ac:dyDescent="0.25">
      <c r="A75" s="6"/>
      <c r="B75" s="11">
        <v>42398</v>
      </c>
      <c r="C75" s="9">
        <v>19.647559999999999</v>
      </c>
      <c r="D75" s="9">
        <v>2.3075169999999998</v>
      </c>
      <c r="E75" s="9">
        <v>6.0784770000000004</v>
      </c>
      <c r="F75" s="9">
        <v>5.7632574999999999</v>
      </c>
      <c r="G75" s="13">
        <v>402.13535000000002</v>
      </c>
      <c r="H75" s="8"/>
      <c r="I75" s="17">
        <f>C75/C74-1</f>
        <v>1.0863683718530304E-2</v>
      </c>
      <c r="J75" s="17">
        <f>D75/D74-1</f>
        <v>3.8630934724946053E-2</v>
      </c>
      <c r="K75" s="17">
        <f>E75/E74-1</f>
        <v>5.0903623206446369E-2</v>
      </c>
      <c r="L75" s="17">
        <f>F75/F74-1</f>
        <v>6.4447305175596714E-3</v>
      </c>
      <c r="M75" s="18">
        <f t="shared" si="3"/>
        <v>1.0559328715877614E-2</v>
      </c>
    </row>
    <row r="76" spans="1:13" x14ac:dyDescent="0.25">
      <c r="A76" s="6"/>
      <c r="B76" s="11">
        <v>42429</v>
      </c>
      <c r="C76" s="9">
        <v>19.794874</v>
      </c>
      <c r="D76" s="9">
        <v>2.3257110000000001</v>
      </c>
      <c r="E76" s="9">
        <v>6.1831529999999999</v>
      </c>
      <c r="F76" s="9">
        <v>5.8049945999999997</v>
      </c>
      <c r="G76" s="13">
        <v>406.16815000000003</v>
      </c>
      <c r="H76" s="8"/>
      <c r="I76" s="17">
        <f>C76/C75-1</f>
        <v>7.4978267021452716E-3</v>
      </c>
      <c r="J76" s="17">
        <f>D76/D75-1</f>
        <v>7.8846656384330416E-3</v>
      </c>
      <c r="K76" s="17">
        <f>E76/E75-1</f>
        <v>1.7220761055770861E-2</v>
      </c>
      <c r="L76" s="17">
        <f>F76/F75-1</f>
        <v>7.2419287182639014E-3</v>
      </c>
      <c r="M76" s="18">
        <f t="shared" si="3"/>
        <v>1.0028464296909068E-2</v>
      </c>
    </row>
    <row r="77" spans="1:13" x14ac:dyDescent="0.25">
      <c r="A77" s="6"/>
      <c r="B77" s="11">
        <v>42460</v>
      </c>
      <c r="C77" s="9">
        <v>19.305782000000001</v>
      </c>
      <c r="D77" s="9">
        <v>2.2468889999999999</v>
      </c>
      <c r="E77" s="9">
        <v>5.9438639999999996</v>
      </c>
      <c r="F77" s="9">
        <v>5.8504405000000004</v>
      </c>
      <c r="G77" s="13">
        <v>410.88866999999999</v>
      </c>
      <c r="H77" s="8"/>
      <c r="I77" s="17">
        <f>C77/C76-1</f>
        <v>-2.4708012791594403E-2</v>
      </c>
      <c r="J77" s="17">
        <f>D77/D76-1</f>
        <v>-3.3891571222735783E-2</v>
      </c>
      <c r="K77" s="17">
        <f>E77/E76-1</f>
        <v>-3.8700158317285793E-2</v>
      </c>
      <c r="L77" s="17">
        <f>F77/F76-1</f>
        <v>7.8287583592240306E-3</v>
      </c>
      <c r="M77" s="18">
        <f t="shared" si="3"/>
        <v>1.1622083120008231E-2</v>
      </c>
    </row>
    <row r="78" spans="1:13" x14ac:dyDescent="0.25">
      <c r="A78" s="6"/>
      <c r="B78" s="11">
        <v>42489</v>
      </c>
      <c r="C78" s="9">
        <v>19.644362999999998</v>
      </c>
      <c r="D78" s="9">
        <v>2.3290989999999998</v>
      </c>
      <c r="E78" s="9">
        <v>6.1210110000000002</v>
      </c>
      <c r="F78" s="9">
        <v>6.2105993999999995</v>
      </c>
      <c r="G78" s="13">
        <v>415.22762999999998</v>
      </c>
      <c r="H78" s="8"/>
      <c r="I78" s="17">
        <f>C78/C77-1</f>
        <v>1.7537802923497159E-2</v>
      </c>
      <c r="J78" s="17">
        <f>D78/D77-1</f>
        <v>3.658836729362247E-2</v>
      </c>
      <c r="K78" s="17">
        <f>E78/E77-1</f>
        <v>2.9803340049503246E-2</v>
      </c>
      <c r="L78" s="17">
        <f>F78/F77-1</f>
        <v>6.1560988441810238E-2</v>
      </c>
      <c r="M78" s="18">
        <f t="shared" si="3"/>
        <v>1.0559940725549888E-2</v>
      </c>
    </row>
    <row r="79" spans="1:13" x14ac:dyDescent="0.25">
      <c r="A79" s="6"/>
      <c r="B79" s="11">
        <v>42521</v>
      </c>
      <c r="C79" s="9">
        <v>19.942823000000001</v>
      </c>
      <c r="D79" s="9">
        <v>2.3771059999999999</v>
      </c>
      <c r="E79" s="9">
        <v>6.104908</v>
      </c>
      <c r="F79" s="9">
        <v>6.1339359</v>
      </c>
      <c r="G79" s="13">
        <v>419.83267000000001</v>
      </c>
      <c r="H79" s="8"/>
      <c r="I79" s="17">
        <f>C79/C78-1</f>
        <v>1.5193162537263438E-2</v>
      </c>
      <c r="J79" s="17">
        <f>D79/D78-1</f>
        <v>2.0611833159517978E-2</v>
      </c>
      <c r="K79" s="17">
        <f>E79/E78-1</f>
        <v>-2.6307745566868102E-3</v>
      </c>
      <c r="L79" s="17">
        <f>F79/F78-1</f>
        <v>-1.2343977619937885E-2</v>
      </c>
      <c r="M79" s="18">
        <f t="shared" si="3"/>
        <v>1.1090398777171995E-2</v>
      </c>
    </row>
    <row r="80" spans="1:13" x14ac:dyDescent="0.25">
      <c r="A80" s="6"/>
      <c r="B80" s="11">
        <v>42551</v>
      </c>
      <c r="C80" s="9">
        <v>20.293887999999999</v>
      </c>
      <c r="D80" s="9">
        <v>2.37649</v>
      </c>
      <c r="E80" s="9">
        <v>6.4186670000000001</v>
      </c>
      <c r="F80" s="9">
        <v>6.3305458999999997</v>
      </c>
      <c r="G80" s="13">
        <v>424.71190999999999</v>
      </c>
      <c r="H80" s="8"/>
      <c r="I80" s="17">
        <f>C80/C79-1</f>
        <v>1.7603575983199393E-2</v>
      </c>
      <c r="J80" s="17">
        <f>D80/D79-1</f>
        <v>-2.5913863327930997E-4</v>
      </c>
      <c r="K80" s="17">
        <f>E80/E79-1</f>
        <v>5.1394550089862046E-2</v>
      </c>
      <c r="L80" s="17">
        <f>F80/F79-1</f>
        <v>3.2052829244596293E-2</v>
      </c>
      <c r="M80" s="18">
        <f t="shared" ref="M80:M87" si="4">G80/G79-1</f>
        <v>1.1621868302912119E-2</v>
      </c>
    </row>
    <row r="81" spans="1:13" x14ac:dyDescent="0.25">
      <c r="A81" s="6"/>
      <c r="B81" s="11">
        <v>42580</v>
      </c>
      <c r="C81" s="9">
        <v>20.662817</v>
      </c>
      <c r="D81" s="9">
        <v>2.3886449999999999</v>
      </c>
      <c r="E81" s="9">
        <v>6.4953050000000001</v>
      </c>
      <c r="F81" s="9">
        <v>6.4280214000000004</v>
      </c>
      <c r="G81" s="13">
        <v>429.42218000000003</v>
      </c>
      <c r="H81" s="8"/>
      <c r="I81" s="17">
        <f>C81/C80-1</f>
        <v>1.8179315861011958E-2</v>
      </c>
      <c r="J81" s="17">
        <f>D81/D80-1</f>
        <v>5.1146859443969017E-3</v>
      </c>
      <c r="K81" s="17">
        <f>E81/E80-1</f>
        <v>1.1939862279816138E-2</v>
      </c>
      <c r="L81" s="17">
        <f>F81/F80-1</f>
        <v>1.5397645248887759E-2</v>
      </c>
      <c r="M81" s="18">
        <f t="shared" si="4"/>
        <v>1.1090506032665814E-2</v>
      </c>
    </row>
    <row r="82" spans="1:13" x14ac:dyDescent="0.25">
      <c r="A82" s="6"/>
      <c r="B82" s="11">
        <v>42613</v>
      </c>
      <c r="C82" s="9">
        <v>20.999786</v>
      </c>
      <c r="D82" s="9">
        <v>2.4523830000000002</v>
      </c>
      <c r="E82" s="9">
        <v>6.6159420000000004</v>
      </c>
      <c r="F82" s="9">
        <v>6.4920501999999995</v>
      </c>
      <c r="G82" s="13">
        <v>434.64102000000003</v>
      </c>
      <c r="H82" s="8"/>
      <c r="I82" s="17">
        <f>C82/C81-1</f>
        <v>1.6307989370471621E-2</v>
      </c>
      <c r="J82" s="17">
        <f>D82/D81-1</f>
        <v>2.668374748026614E-2</v>
      </c>
      <c r="K82" s="17">
        <f>E82/E81-1</f>
        <v>1.8572953848972507E-2</v>
      </c>
      <c r="L82" s="17">
        <f>F82/F81-1</f>
        <v>9.9608878091164144E-3</v>
      </c>
      <c r="M82" s="18">
        <f t="shared" si="4"/>
        <v>1.2153168241100243E-2</v>
      </c>
    </row>
    <row r="83" spans="1:13" x14ac:dyDescent="0.25">
      <c r="A83" s="6"/>
      <c r="B83" s="11">
        <v>42643</v>
      </c>
      <c r="C83" s="9">
        <v>21.250990000000002</v>
      </c>
      <c r="D83" s="9">
        <v>2.5164970000000002</v>
      </c>
      <c r="E83" s="9">
        <v>6.7264530000000002</v>
      </c>
      <c r="F83" s="9">
        <v>6.7819609999999999</v>
      </c>
      <c r="G83" s="13">
        <v>439.46114999999998</v>
      </c>
      <c r="H83" s="8"/>
      <c r="I83" s="17">
        <f>C83/C82-1</f>
        <v>1.1962217138784315E-2</v>
      </c>
      <c r="J83" s="17">
        <f>D83/D82-1</f>
        <v>2.6143550986938102E-2</v>
      </c>
      <c r="K83" s="17">
        <f>E83/E82-1</f>
        <v>1.6703743775262847E-2</v>
      </c>
      <c r="L83" s="17">
        <f>F83/F82-1</f>
        <v>4.4656278227793278E-2</v>
      </c>
      <c r="M83" s="18">
        <f t="shared" si="4"/>
        <v>1.1089910473705222E-2</v>
      </c>
    </row>
    <row r="84" spans="1:13" x14ac:dyDescent="0.25">
      <c r="A84" s="6"/>
      <c r="B84" s="11">
        <v>42674</v>
      </c>
      <c r="C84" s="9">
        <v>21.481463999999999</v>
      </c>
      <c r="D84" s="9">
        <v>2.5980059999999998</v>
      </c>
      <c r="E84" s="9">
        <v>6.9261610000000005</v>
      </c>
      <c r="F84" s="9">
        <v>6.9412026000000004</v>
      </c>
      <c r="G84" s="13">
        <v>444.07090799999997</v>
      </c>
      <c r="H84" s="8"/>
      <c r="I84" s="17">
        <f>C84/C83-1</f>
        <v>1.0845330029330302E-2</v>
      </c>
      <c r="J84" s="17">
        <f>D84/D83-1</f>
        <v>3.2389865753863267E-2</v>
      </c>
      <c r="K84" s="17">
        <f>E84/E83-1</f>
        <v>2.9689942083888754E-2</v>
      </c>
      <c r="L84" s="17">
        <f>F84/F83-1</f>
        <v>2.3480170410888679E-2</v>
      </c>
      <c r="M84" s="18">
        <f t="shared" si="4"/>
        <v>1.0489568873152999E-2</v>
      </c>
    </row>
    <row r="85" spans="1:13" x14ac:dyDescent="0.25">
      <c r="A85" s="6"/>
      <c r="B85" s="11">
        <v>42704</v>
      </c>
      <c r="C85" s="9">
        <v>21.701902</v>
      </c>
      <c r="D85" s="9">
        <v>2.65679</v>
      </c>
      <c r="E85" s="9">
        <v>6.820055</v>
      </c>
      <c r="F85" s="9">
        <v>6.7287974000000004</v>
      </c>
      <c r="G85" s="13">
        <v>448.68209999999999</v>
      </c>
      <c r="H85" s="8"/>
      <c r="I85" s="17">
        <f>C85/C84-1</f>
        <v>1.0261777316480813E-2</v>
      </c>
      <c r="J85" s="17">
        <f>D85/D84-1</f>
        <v>2.2626583618359675E-2</v>
      </c>
      <c r="K85" s="17">
        <f>E85/E84-1</f>
        <v>-1.5319597681890507E-2</v>
      </c>
      <c r="L85" s="17">
        <f>F85/F84-1</f>
        <v>-3.0600633959308454E-2</v>
      </c>
      <c r="M85" s="18">
        <f t="shared" si="4"/>
        <v>1.0383909229199073E-2</v>
      </c>
    </row>
    <row r="86" spans="1:13" x14ac:dyDescent="0.25">
      <c r="A86" s="6"/>
      <c r="B86" s="11">
        <v>42734</v>
      </c>
      <c r="C86" s="9">
        <v>22.365947999999999</v>
      </c>
      <c r="D86" s="9">
        <v>2.716475</v>
      </c>
      <c r="E86" s="9">
        <v>6.9123999999999999</v>
      </c>
      <c r="F86" s="9">
        <v>6.8714209000000004</v>
      </c>
      <c r="G86" s="13">
        <v>453.72158999999999</v>
      </c>
      <c r="H86" s="8"/>
      <c r="I86" s="17">
        <f>C86/C85-1</f>
        <v>3.0598516203787174E-2</v>
      </c>
      <c r="J86" s="17">
        <f>D86/D85-1</f>
        <v>2.246508004019887E-2</v>
      </c>
      <c r="K86" s="17">
        <f>E86/E85-1</f>
        <v>1.3540213385375921E-2</v>
      </c>
      <c r="L86" s="17">
        <f>F86/F85-1</f>
        <v>2.1195986670664135E-2</v>
      </c>
      <c r="M86" s="18">
        <f t="shared" si="4"/>
        <v>1.1231760749983222E-2</v>
      </c>
    </row>
    <row r="87" spans="1:13" x14ac:dyDescent="0.25">
      <c r="A87" s="6"/>
      <c r="B87" s="14">
        <v>42766</v>
      </c>
      <c r="C87" s="15">
        <v>22.389987999999999</v>
      </c>
      <c r="D87" s="15">
        <v>2.801688</v>
      </c>
      <c r="E87" s="15">
        <v>6.976845</v>
      </c>
      <c r="F87" s="15">
        <v>7.2107061999999997</v>
      </c>
      <c r="G87" s="16">
        <v>458.64938000000001</v>
      </c>
      <c r="H87" s="8"/>
      <c r="I87" s="19">
        <f>C87/C86-1</f>
        <v>1.0748482469868925E-3</v>
      </c>
      <c r="J87" s="19">
        <f>D87/D86-1</f>
        <v>3.1368961613856161E-2</v>
      </c>
      <c r="K87" s="19">
        <f>E87/E86-1</f>
        <v>9.3231005150165025E-3</v>
      </c>
      <c r="L87" s="19">
        <f>F87/F86-1</f>
        <v>4.9376294210124572E-2</v>
      </c>
      <c r="M87" s="20">
        <f t="shared" si="4"/>
        <v>1.0860823263887376E-2</v>
      </c>
    </row>
    <row r="88" spans="1:13" x14ac:dyDescent="0.25">
      <c r="B88" s="1"/>
    </row>
  </sheetData>
  <mergeCells count="2">
    <mergeCell ref="C12:F12"/>
    <mergeCell ref="I14:M1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Sharpe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2017-02-17T15:23:53Z</dcterms:created>
  <dcterms:modified xsi:type="dcterms:W3CDTF">2017-05-10T12:31:54Z</dcterms:modified>
</cp:coreProperties>
</file>