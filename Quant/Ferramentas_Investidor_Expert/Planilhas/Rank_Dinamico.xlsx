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/>
  <mc:AlternateContent xmlns:mc="http://schemas.openxmlformats.org/markup-compatibility/2006">
    <mc:Choice Requires="x15">
      <x15ac:absPath xmlns:x15ac="http://schemas.microsoft.com/office/spreadsheetml/2010/11/ac" url="D:\Rafael\blog_new\9_RankDinamico\"/>
    </mc:Choice>
  </mc:AlternateContent>
  <xr:revisionPtr revIDLastSave="0" documentId="13_ncr:1_{ED10E529-549F-4088-8BE7-EDC7DC8F4AAD}" xr6:coauthVersionLast="34" xr6:coauthVersionMax="34" xr10:uidLastSave="{00000000-0000-0000-0000-000000000000}"/>
  <bookViews>
    <workbookView xWindow="0" yWindow="0" windowWidth="28800" windowHeight="12435" tabRatio="603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1" l="1"/>
  <c r="N10" i="1"/>
  <c r="O9" i="1"/>
  <c r="N9" i="1"/>
  <c r="O8" i="1"/>
  <c r="N8" i="1"/>
  <c r="O7" i="1"/>
  <c r="N7" i="1"/>
  <c r="O6" i="1"/>
  <c r="N6" i="1"/>
  <c r="H25" i="1"/>
  <c r="I25" i="1" s="1"/>
  <c r="H41" i="1"/>
  <c r="I41" i="1" s="1"/>
  <c r="H57" i="1"/>
  <c r="I57" i="1" s="1"/>
  <c r="H73" i="1"/>
  <c r="I73" i="1" s="1"/>
  <c r="G21" i="1"/>
  <c r="H21" i="1" s="1"/>
  <c r="I21" i="1" s="1"/>
  <c r="G22" i="1"/>
  <c r="H22" i="1" s="1"/>
  <c r="I22" i="1" s="1"/>
  <c r="G23" i="1"/>
  <c r="H23" i="1" s="1"/>
  <c r="I23" i="1" s="1"/>
  <c r="G24" i="1"/>
  <c r="H24" i="1" s="1"/>
  <c r="I24" i="1" s="1"/>
  <c r="G25" i="1"/>
  <c r="G26" i="1"/>
  <c r="H26" i="1" s="1"/>
  <c r="I26" i="1" s="1"/>
  <c r="G27" i="1"/>
  <c r="H27" i="1" s="1"/>
  <c r="I27" i="1" s="1"/>
  <c r="G28" i="1"/>
  <c r="H28" i="1" s="1"/>
  <c r="I28" i="1" s="1"/>
  <c r="G29" i="1"/>
  <c r="H29" i="1" s="1"/>
  <c r="I29" i="1" s="1"/>
  <c r="G30" i="1"/>
  <c r="H30" i="1" s="1"/>
  <c r="I30" i="1" s="1"/>
  <c r="G31" i="1"/>
  <c r="H31" i="1" s="1"/>
  <c r="I31" i="1" s="1"/>
  <c r="G32" i="1"/>
  <c r="H32" i="1" s="1"/>
  <c r="I32" i="1" s="1"/>
  <c r="G33" i="1"/>
  <c r="H33" i="1" s="1"/>
  <c r="I33" i="1" s="1"/>
  <c r="G34" i="1"/>
  <c r="H34" i="1" s="1"/>
  <c r="I34" i="1" s="1"/>
  <c r="G35" i="1"/>
  <c r="H35" i="1" s="1"/>
  <c r="I35" i="1" s="1"/>
  <c r="G36" i="1"/>
  <c r="H36" i="1" s="1"/>
  <c r="I36" i="1" s="1"/>
  <c r="G37" i="1"/>
  <c r="H37" i="1" s="1"/>
  <c r="I37" i="1" s="1"/>
  <c r="G38" i="1"/>
  <c r="H38" i="1" s="1"/>
  <c r="I38" i="1" s="1"/>
  <c r="G39" i="1"/>
  <c r="H39" i="1" s="1"/>
  <c r="I39" i="1" s="1"/>
  <c r="G40" i="1"/>
  <c r="H40" i="1" s="1"/>
  <c r="I40" i="1" s="1"/>
  <c r="G41" i="1"/>
  <c r="G42" i="1"/>
  <c r="H42" i="1" s="1"/>
  <c r="I42" i="1" s="1"/>
  <c r="G43" i="1"/>
  <c r="H43" i="1" s="1"/>
  <c r="I43" i="1" s="1"/>
  <c r="G44" i="1"/>
  <c r="H44" i="1" s="1"/>
  <c r="I44" i="1" s="1"/>
  <c r="G45" i="1"/>
  <c r="H45" i="1" s="1"/>
  <c r="I45" i="1" s="1"/>
  <c r="G46" i="1"/>
  <c r="H46" i="1" s="1"/>
  <c r="I46" i="1" s="1"/>
  <c r="G47" i="1"/>
  <c r="H47" i="1" s="1"/>
  <c r="I47" i="1" s="1"/>
  <c r="G48" i="1"/>
  <c r="H48" i="1" s="1"/>
  <c r="I48" i="1" s="1"/>
  <c r="G49" i="1"/>
  <c r="H49" i="1" s="1"/>
  <c r="I49" i="1" s="1"/>
  <c r="G50" i="1"/>
  <c r="H50" i="1" s="1"/>
  <c r="I50" i="1" s="1"/>
  <c r="G51" i="1"/>
  <c r="H51" i="1" s="1"/>
  <c r="I51" i="1" s="1"/>
  <c r="G52" i="1"/>
  <c r="H52" i="1" s="1"/>
  <c r="I52" i="1" s="1"/>
  <c r="G53" i="1"/>
  <c r="H53" i="1" s="1"/>
  <c r="I53" i="1" s="1"/>
  <c r="G54" i="1"/>
  <c r="H54" i="1" s="1"/>
  <c r="I54" i="1" s="1"/>
  <c r="G55" i="1"/>
  <c r="H55" i="1" s="1"/>
  <c r="I55" i="1" s="1"/>
  <c r="G56" i="1"/>
  <c r="H56" i="1" s="1"/>
  <c r="I56" i="1" s="1"/>
  <c r="G57" i="1"/>
  <c r="G58" i="1"/>
  <c r="H58" i="1" s="1"/>
  <c r="I58" i="1" s="1"/>
  <c r="G59" i="1"/>
  <c r="H59" i="1" s="1"/>
  <c r="I59" i="1" s="1"/>
  <c r="G60" i="1"/>
  <c r="H60" i="1" s="1"/>
  <c r="I60" i="1" s="1"/>
  <c r="G61" i="1"/>
  <c r="H61" i="1" s="1"/>
  <c r="I61" i="1" s="1"/>
  <c r="G62" i="1"/>
  <c r="H62" i="1" s="1"/>
  <c r="I62" i="1" s="1"/>
  <c r="G63" i="1"/>
  <c r="H63" i="1" s="1"/>
  <c r="I63" i="1" s="1"/>
  <c r="G64" i="1"/>
  <c r="H64" i="1" s="1"/>
  <c r="I64" i="1" s="1"/>
  <c r="G65" i="1"/>
  <c r="H65" i="1" s="1"/>
  <c r="I65" i="1" s="1"/>
  <c r="G66" i="1"/>
  <c r="H66" i="1" s="1"/>
  <c r="I66" i="1" s="1"/>
  <c r="G67" i="1"/>
  <c r="H67" i="1" s="1"/>
  <c r="I67" i="1" s="1"/>
  <c r="G68" i="1"/>
  <c r="H68" i="1" s="1"/>
  <c r="I68" i="1" s="1"/>
  <c r="G69" i="1"/>
  <c r="H69" i="1" s="1"/>
  <c r="I69" i="1" s="1"/>
  <c r="G70" i="1"/>
  <c r="H70" i="1" s="1"/>
  <c r="I70" i="1" s="1"/>
  <c r="G71" i="1"/>
  <c r="H71" i="1" s="1"/>
  <c r="I71" i="1" s="1"/>
  <c r="G72" i="1"/>
  <c r="H72" i="1" s="1"/>
  <c r="I72" i="1" s="1"/>
  <c r="G73" i="1"/>
  <c r="G74" i="1"/>
  <c r="H74" i="1" s="1"/>
  <c r="I74" i="1" s="1"/>
  <c r="G75" i="1"/>
  <c r="H75" i="1" s="1"/>
  <c r="I75" i="1" s="1"/>
  <c r="F7" i="1"/>
  <c r="G7" i="1" s="1"/>
  <c r="H7" i="1" s="1"/>
  <c r="F8" i="1"/>
  <c r="G8" i="1" s="1"/>
  <c r="H8" i="1" s="1"/>
  <c r="F9" i="1"/>
  <c r="G9" i="1" s="1"/>
  <c r="H9" i="1" s="1"/>
  <c r="F10" i="1"/>
  <c r="G10" i="1" s="1"/>
  <c r="H10" i="1" s="1"/>
  <c r="F11" i="1"/>
  <c r="G11" i="1" s="1"/>
  <c r="H11" i="1" s="1"/>
  <c r="F12" i="1"/>
  <c r="G12" i="1" s="1"/>
  <c r="H12" i="1" s="1"/>
  <c r="F13" i="1"/>
  <c r="G13" i="1" s="1"/>
  <c r="H13" i="1" s="1"/>
  <c r="F14" i="1"/>
  <c r="G14" i="1" s="1"/>
  <c r="H14" i="1" s="1"/>
  <c r="F15" i="1"/>
  <c r="G15" i="1" s="1"/>
  <c r="H15" i="1" s="1"/>
  <c r="F16" i="1"/>
  <c r="G16" i="1" s="1"/>
  <c r="H16" i="1" s="1"/>
  <c r="F17" i="1"/>
  <c r="G17" i="1" s="1"/>
  <c r="H17" i="1" s="1"/>
  <c r="F18" i="1"/>
  <c r="G18" i="1" s="1"/>
  <c r="H18" i="1" s="1"/>
  <c r="F19" i="1"/>
  <c r="G19" i="1" s="1"/>
  <c r="H19" i="1" s="1"/>
  <c r="F20" i="1"/>
  <c r="G20" i="1" s="1"/>
  <c r="H20" i="1" s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6" i="1"/>
  <c r="G6" i="1" s="1"/>
  <c r="H6" i="1" s="1"/>
  <c r="I17" i="1" l="1"/>
  <c r="I9" i="1"/>
  <c r="I13" i="1"/>
  <c r="I11" i="1"/>
  <c r="I6" i="1"/>
  <c r="I20" i="1"/>
  <c r="I16" i="1"/>
  <c r="I12" i="1"/>
  <c r="I8" i="1"/>
  <c r="I7" i="1"/>
  <c r="I19" i="1"/>
  <c r="I18" i="1"/>
  <c r="I14" i="1"/>
  <c r="I10" i="1"/>
  <c r="I15" i="1"/>
  <c r="L7" i="1" l="1"/>
  <c r="L6" i="1"/>
  <c r="K9" i="1"/>
  <c r="L8" i="1"/>
  <c r="K10" i="1"/>
  <c r="K6" i="1"/>
  <c r="K8" i="1"/>
  <c r="L9" i="1"/>
  <c r="K7" i="1"/>
  <c r="L10" i="1"/>
  <c r="M6" i="1"/>
  <c r="M7" i="1" s="1"/>
  <c r="M8" i="1" s="1"/>
  <c r="M9" i="1" s="1"/>
  <c r="M10" i="1" s="1"/>
</calcChain>
</file>

<file path=xl/sharedStrings.xml><?xml version="1.0" encoding="utf-8"?>
<sst xmlns="http://schemas.openxmlformats.org/spreadsheetml/2006/main" count="32" uniqueCount="28">
  <si>
    <t>Ativo</t>
  </si>
  <si>
    <t>Preço Anterior</t>
  </si>
  <si>
    <t>Preço Atual</t>
  </si>
  <si>
    <t>SPLIT/INPLIT</t>
  </si>
  <si>
    <t>Dividendos</t>
  </si>
  <si>
    <t>Eventos com                     Data ex = Data Atual</t>
  </si>
  <si>
    <t>Coluna Auxiliar Valores Unicos Diários</t>
  </si>
  <si>
    <t>BOVA11</t>
  </si>
  <si>
    <t>ABVE3</t>
  </si>
  <si>
    <t>ENGI11</t>
  </si>
  <si>
    <t>BBCD4</t>
  </si>
  <si>
    <t>ITSA3</t>
  </si>
  <si>
    <t>PETR3</t>
  </si>
  <si>
    <t>EQTL3</t>
  </si>
  <si>
    <t>FIBR3</t>
  </si>
  <si>
    <t>TRPL4</t>
  </si>
  <si>
    <t>CIEL3</t>
  </si>
  <si>
    <t>ELTE6</t>
  </si>
  <si>
    <t>WIZS3</t>
  </si>
  <si>
    <t>STBP3</t>
  </si>
  <si>
    <t>MULT3</t>
  </si>
  <si>
    <t>IGTA3</t>
  </si>
  <si>
    <t>Preço Anterior Ajustado</t>
  </si>
  <si>
    <t>Rank</t>
  </si>
  <si>
    <t>%Chg</t>
  </si>
  <si>
    <t>Maiores Variações</t>
  </si>
  <si>
    <t>Menores Variações</t>
  </si>
  <si>
    <t>RANK DINAMICO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</si>
</sst>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dd\-mmm\-yy"/>
    <numFmt numFmtId="165" formatCode="\+0.0%;[Red]\-0.0%"/>
    <numFmt numFmtId="166" formatCode="[$-416]dd\-mmm\-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8"/>
      <name val="Calibri"/>
      <family val="2"/>
    </font>
    <font>
      <b/>
      <sz val="11"/>
      <color rgb="FF00B05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E1"/>
        <bgColor indexed="64"/>
      </patternFill>
    </fill>
    <fill>
      <patternFill patternType="solid">
        <fgColor rgb="FFE26B0B"/>
        <bgColor indexed="64"/>
      </patternFill>
    </fill>
    <fill>
      <patternFill patternType="solid">
        <fgColor theme="5" tint="0.39997558519241921"/>
        <bgColor indexed="0"/>
      </patternFill>
    </fill>
    <fill>
      <patternFill patternType="solid">
        <fgColor rgb="FFFFFFAF"/>
        <bgColor indexed="64"/>
      </patternFill>
    </fill>
    <fill>
      <patternFill patternType="solid">
        <fgColor theme="2"/>
        <bgColor indexed="64"/>
      </patternFill>
    </fill>
  </fills>
  <borders count="2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4" fillId="0" borderId="0" applyNumberFormat="0" applyFill="0" applyBorder="0" applyAlignment="0" applyProtection="0"/>
  </cellStyleXfs>
  <cellXfs count="44">
    <xf numFmtId="0" fontId="0" fillId="0" borderId="0" xfId="0"/>
    <xf numFmtId="0" fontId="2" fillId="0" borderId="2" xfId="3" applyFont="1" applyFill="1" applyBorder="1" applyAlignment="1">
      <alignment horizontal="right" wrapText="1"/>
    </xf>
    <xf numFmtId="164" fontId="2" fillId="0" borderId="2" xfId="3" applyNumberFormat="1" applyFont="1" applyFill="1" applyBorder="1" applyAlignment="1">
      <alignment horizontal="right" wrapText="1"/>
    </xf>
    <xf numFmtId="0" fontId="4" fillId="0" borderId="0" xfId="4"/>
    <xf numFmtId="0" fontId="0" fillId="0" borderId="0" xfId="0" applyAlignment="1">
      <alignment horizontal="center"/>
    </xf>
    <xf numFmtId="0" fontId="0" fillId="3" borderId="3" xfId="0" applyFill="1" applyBorder="1"/>
    <xf numFmtId="0" fontId="0" fillId="3" borderId="3" xfId="0" applyFill="1" applyBorder="1" applyAlignment="1">
      <alignment horizontal="center"/>
    </xf>
    <xf numFmtId="10" fontId="0" fillId="2" borderId="0" xfId="2" applyNumberFormat="1" applyFont="1" applyFill="1" applyAlignment="1">
      <alignment horizontal="center"/>
    </xf>
    <xf numFmtId="0" fontId="2" fillId="4" borderId="1" xfId="3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4" borderId="6" xfId="3" applyFont="1" applyFill="1" applyBorder="1" applyAlignment="1">
      <alignment horizontal="center" vertical="center" wrapText="1"/>
    </xf>
    <xf numFmtId="0" fontId="0" fillId="0" borderId="7" xfId="0" applyBorder="1"/>
    <xf numFmtId="0" fontId="2" fillId="4" borderId="9" xfId="3" applyFont="1" applyFill="1" applyBorder="1" applyAlignment="1">
      <alignment horizontal="center" vertical="center" wrapText="1"/>
    </xf>
    <xf numFmtId="0" fontId="2" fillId="0" borderId="10" xfId="3" applyFont="1" applyFill="1" applyBorder="1" applyAlignment="1">
      <alignment horizontal="right" wrapText="1"/>
    </xf>
    <xf numFmtId="0" fontId="2" fillId="0" borderId="11" xfId="3" applyFont="1" applyFill="1" applyBorder="1" applyAlignment="1">
      <alignment horizontal="right" wrapText="1"/>
    </xf>
    <xf numFmtId="0" fontId="2" fillId="4" borderId="12" xfId="3" applyFont="1" applyFill="1" applyBorder="1" applyAlignment="1">
      <alignment horizontal="center" vertical="center" wrapText="1"/>
    </xf>
    <xf numFmtId="0" fontId="2" fillId="0" borderId="13" xfId="3" applyFont="1" applyFill="1" applyBorder="1" applyAlignment="1">
      <alignment horizontal="right" wrapText="1"/>
    </xf>
    <xf numFmtId="0" fontId="2" fillId="4" borderId="14" xfId="3" applyFont="1" applyFill="1" applyBorder="1" applyAlignment="1">
      <alignment horizontal="center" vertical="center" wrapText="1"/>
    </xf>
    <xf numFmtId="0" fontId="0" fillId="0" borderId="15" xfId="0" applyBorder="1"/>
    <xf numFmtId="0" fontId="5" fillId="4" borderId="6" xfId="3" applyFont="1" applyFill="1" applyBorder="1" applyAlignment="1">
      <alignment horizontal="center" vertical="center" wrapText="1"/>
    </xf>
    <xf numFmtId="43" fontId="2" fillId="0" borderId="2" xfId="1" applyNumberFormat="1" applyFont="1" applyFill="1" applyBorder="1" applyAlignment="1">
      <alignment horizontal="right" wrapText="1"/>
    </xf>
    <xf numFmtId="43" fontId="2" fillId="0" borderId="11" xfId="1" applyNumberFormat="1" applyFont="1" applyFill="1" applyBorder="1" applyAlignment="1">
      <alignment horizontal="right" wrapText="1"/>
    </xf>
    <xf numFmtId="43" fontId="2" fillId="5" borderId="15" xfId="1" applyFont="1" applyFill="1" applyBorder="1" applyAlignment="1">
      <alignment horizontal="right" wrapText="1"/>
    </xf>
    <xf numFmtId="165" fontId="6" fillId="2" borderId="0" xfId="2" applyNumberFormat="1" applyFont="1" applyFill="1" applyAlignment="1">
      <alignment horizontal="center"/>
    </xf>
    <xf numFmtId="0" fontId="2" fillId="0" borderId="13" xfId="3" applyFont="1" applyFill="1" applyBorder="1" applyAlignment="1">
      <alignment horizontal="center" wrapText="1"/>
    </xf>
    <xf numFmtId="0" fontId="2" fillId="4" borderId="16" xfId="3" applyFont="1" applyFill="1" applyBorder="1" applyAlignment="1">
      <alignment horizontal="center" vertical="center" wrapText="1"/>
    </xf>
    <xf numFmtId="165" fontId="6" fillId="6" borderId="17" xfId="2" applyNumberFormat="1" applyFont="1" applyFill="1" applyBorder="1" applyAlignment="1">
      <alignment horizontal="center"/>
    </xf>
    <xf numFmtId="165" fontId="6" fillId="2" borderId="17" xfId="2" applyNumberFormat="1" applyFont="1" applyFill="1" applyBorder="1" applyAlignment="1">
      <alignment horizontal="center"/>
    </xf>
    <xf numFmtId="165" fontId="6" fillId="6" borderId="18" xfId="2" applyNumberFormat="1" applyFont="1" applyFill="1" applyBorder="1" applyAlignment="1">
      <alignment horizontal="center"/>
    </xf>
    <xf numFmtId="0" fontId="2" fillId="4" borderId="19" xfId="3" applyFont="1" applyFill="1" applyBorder="1" applyAlignment="1">
      <alignment horizontal="center" vertical="center" wrapText="1"/>
    </xf>
    <xf numFmtId="0" fontId="0" fillId="6" borderId="20" xfId="0" applyFill="1" applyBorder="1"/>
    <xf numFmtId="0" fontId="0" fillId="0" borderId="20" xfId="0" applyBorder="1"/>
    <xf numFmtId="0" fontId="0" fillId="6" borderId="21" xfId="0" applyFill="1" applyBorder="1"/>
    <xf numFmtId="166" fontId="0" fillId="0" borderId="0" xfId="0" applyNumberFormat="1"/>
    <xf numFmtId="166" fontId="0" fillId="0" borderId="8" xfId="0" applyNumberFormat="1" applyBorder="1"/>
    <xf numFmtId="0" fontId="0" fillId="0" borderId="5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43" fontId="2" fillId="5" borderId="15" xfId="1" applyFont="1" applyFill="1" applyBorder="1" applyAlignment="1">
      <alignment horizontal="center" wrapText="1"/>
    </xf>
    <xf numFmtId="0" fontId="7" fillId="0" borderId="0" xfId="0" applyFont="1" applyAlignment="1">
      <alignment horizontal="center" vertical="center"/>
    </xf>
  </cellXfs>
  <cellStyles count="5">
    <cellStyle name="Comma" xfId="1" builtinId="3"/>
    <cellStyle name="Hyperlink" xfId="4" builtinId="8"/>
    <cellStyle name="Normal" xfId="0" builtinId="0"/>
    <cellStyle name="Normal_Sheet1" xfId="3" xr:uid="{00000000-0005-0000-0000-000003000000}"/>
    <cellStyle name="Percent" xfId="2" builtinId="5"/>
  </cellStyles>
  <dxfs count="0"/>
  <tableStyles count="0" defaultTableStyle="TableStyleMedium2" defaultPivotStyle="PivotStyleLight16"/>
  <colors>
    <mruColors>
      <color rgb="FFFFFFAF"/>
      <color rgb="FFFFFF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ferramentasdoinvestidor.com.br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704850</xdr:colOff>
      <xdr:row>0</xdr:row>
      <xdr:rowOff>432605</xdr:rowOff>
    </xdr:from>
    <xdr:ext cx="2707857" cy="142875"/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028825" y="432605"/>
          <a:ext cx="2707857" cy="1428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en-US" sz="1200"/>
            <a:t>http://ferramentasdoinvestidor.com.br/</a:t>
          </a:r>
        </a:p>
      </xdr:txBody>
    </xdr:sp>
    <xdr:clientData/>
  </xdr:oneCellAnchor>
  <xdr:twoCellAnchor editAs="oneCell">
    <xdr:from>
      <xdr:col>0</xdr:col>
      <xdr:colOff>57150</xdr:colOff>
      <xdr:row>0</xdr:row>
      <xdr:rowOff>0</xdr:rowOff>
    </xdr:from>
    <xdr:to>
      <xdr:col>2</xdr:col>
      <xdr:colOff>495300</xdr:colOff>
      <xdr:row>0</xdr:row>
      <xdr:rowOff>571500</xdr:rowOff>
    </xdr:to>
    <xdr:pic>
      <xdr:nvPicPr>
        <xdr:cNvPr id="4" name="Picture 3" descr="logo_fi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80975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5"/>
  <sheetViews>
    <sheetView showGridLines="0" tabSelected="1" workbookViewId="0">
      <selection activeCell="O10" sqref="O10"/>
    </sheetView>
  </sheetViews>
  <sheetFormatPr defaultRowHeight="15" outlineLevelCol="1" x14ac:dyDescent="0.25"/>
  <cols>
    <col min="1" max="1" width="9.85546875" bestFit="1" customWidth="1"/>
    <col min="2" max="2" width="10.7109375" bestFit="1" customWidth="1"/>
    <col min="3" max="6" width="12" customWidth="1"/>
    <col min="7" max="7" width="13.5703125" style="4" customWidth="1"/>
    <col min="8" max="8" width="13.140625" style="4" hidden="1" customWidth="1" outlineLevel="1"/>
    <col min="9" max="9" width="11.7109375" style="4" customWidth="1" collapsed="1"/>
    <col min="10" max="10" width="5.42578125" style="4" customWidth="1"/>
    <col min="11" max="11" width="12.5703125" customWidth="1"/>
    <col min="12" max="12" width="8.5703125" customWidth="1"/>
    <col min="13" max="13" width="5" style="4" customWidth="1"/>
    <col min="14" max="14" width="13.42578125" customWidth="1"/>
  </cols>
  <sheetData>
    <row r="1" spans="1:15" ht="48" customHeight="1" thickBot="1" x14ac:dyDescent="0.3">
      <c r="C1" s="3"/>
      <c r="D1" s="3"/>
      <c r="E1" s="3"/>
      <c r="F1" s="3"/>
    </row>
    <row r="2" spans="1:15" s="5" customFormat="1" ht="6.75" customHeight="1" thickBot="1" x14ac:dyDescent="0.3">
      <c r="G2" s="6"/>
      <c r="H2" s="6"/>
      <c r="I2" s="6"/>
      <c r="J2" s="6"/>
      <c r="M2" s="6"/>
    </row>
    <row r="3" spans="1:15" x14ac:dyDescent="0.25">
      <c r="C3" s="11"/>
      <c r="D3" s="35" t="s">
        <v>5</v>
      </c>
      <c r="E3" s="36"/>
      <c r="F3" s="11"/>
      <c r="K3" s="38" t="s">
        <v>25</v>
      </c>
      <c r="L3" s="38"/>
      <c r="M3" s="40"/>
      <c r="N3" s="38" t="s">
        <v>26</v>
      </c>
      <c r="O3" s="38"/>
    </row>
    <row r="4" spans="1:15" ht="15.75" thickBot="1" x14ac:dyDescent="0.3">
      <c r="B4" s="33">
        <v>43325</v>
      </c>
      <c r="C4" s="34">
        <v>43326</v>
      </c>
      <c r="D4" s="37"/>
      <c r="E4" s="37"/>
      <c r="F4" s="18"/>
      <c r="K4" s="39"/>
      <c r="L4" s="39"/>
      <c r="M4" s="40"/>
      <c r="N4" s="39"/>
      <c r="O4" s="39"/>
    </row>
    <row r="5" spans="1:15" s="9" customFormat="1" ht="48.75" customHeight="1" x14ac:dyDescent="0.25">
      <c r="A5" s="8" t="s">
        <v>0</v>
      </c>
      <c r="B5" s="8" t="s">
        <v>1</v>
      </c>
      <c r="C5" s="12" t="s">
        <v>2</v>
      </c>
      <c r="D5" s="10" t="s">
        <v>3</v>
      </c>
      <c r="E5" s="15" t="s">
        <v>4</v>
      </c>
      <c r="F5" s="17" t="s">
        <v>22</v>
      </c>
      <c r="G5" s="10" t="s">
        <v>24</v>
      </c>
      <c r="H5" s="19" t="s">
        <v>6</v>
      </c>
      <c r="I5" s="19" t="s">
        <v>23</v>
      </c>
      <c r="J5" s="41"/>
      <c r="K5" s="29" t="s">
        <v>0</v>
      </c>
      <c r="L5" s="25" t="s">
        <v>24</v>
      </c>
      <c r="M5" s="41"/>
      <c r="N5" s="29" t="s">
        <v>0</v>
      </c>
      <c r="O5" s="25" t="s">
        <v>24</v>
      </c>
    </row>
    <row r="6" spans="1:15" x14ac:dyDescent="0.25">
      <c r="A6" s="2" t="s">
        <v>7</v>
      </c>
      <c r="B6" s="20">
        <v>74.2</v>
      </c>
      <c r="C6" s="21">
        <v>74.346916000000007</v>
      </c>
      <c r="D6" s="13"/>
      <c r="E6" s="16"/>
      <c r="F6" s="42">
        <f>IF(ISNUMBER(C6),(B6-E6)/(IF(D6&lt;&gt;0,D6,1)),"")</f>
        <v>74.2</v>
      </c>
      <c r="G6" s="23">
        <f>IF(ISNUMBER(C6),C6/F6-1,"")</f>
        <v>1.9800000000000928E-3</v>
      </c>
      <c r="H6" s="7">
        <f>IF(ISNUMBER(G6),G6+ROW(A6)/100000000000,"")</f>
        <v>1.980000060000093E-3</v>
      </c>
      <c r="I6" s="24">
        <f>IF(ISNUMBER(H6),RANK(H6,$H$6:$H$75,0),"")</f>
        <v>7</v>
      </c>
      <c r="J6" s="4">
        <v>1</v>
      </c>
      <c r="K6" s="30" t="str">
        <f>INDEX($A$6:$A$75,MATCH(J6,$I$6:$I$75,0))</f>
        <v>ABVE3</v>
      </c>
      <c r="L6" s="26">
        <f>INDEX($G$6:$G$75,MATCH(J6,$I$6:$I$75,0))</f>
        <v>2.4773795013850464E-2</v>
      </c>
      <c r="M6" s="4">
        <f>MAX(I6:I75)</f>
        <v>15</v>
      </c>
      <c r="N6" s="30" t="str">
        <f>INDEX($A$6:$A$75,MATCH(M6,$I$6:$I$75,0))</f>
        <v>TRPL4</v>
      </c>
      <c r="O6" s="26">
        <f>INDEX($G$6:$G$75,MATCH(M6,$I$6:$I$75,0))</f>
        <v>-9.4400000000000039E-3</v>
      </c>
    </row>
    <row r="7" spans="1:15" x14ac:dyDescent="0.25">
      <c r="A7" s="2" t="s">
        <v>8</v>
      </c>
      <c r="B7" s="20">
        <v>18.350000000000001</v>
      </c>
      <c r="C7" s="21">
        <v>18.497167000000001</v>
      </c>
      <c r="D7" s="13"/>
      <c r="E7" s="16">
        <v>0.3</v>
      </c>
      <c r="F7" s="42">
        <f t="shared" ref="F7:F70" si="0">IF(ISNUMBER(C7),(B7-E7)/(IF(D7&lt;&gt;0,D7,1)),"")</f>
        <v>18.05</v>
      </c>
      <c r="G7" s="23">
        <f t="shared" ref="G7:G70" si="1">IF(ISNUMBER(C7),C7/F7-1,"")</f>
        <v>2.4773795013850464E-2</v>
      </c>
      <c r="H7" s="7">
        <f t="shared" ref="H7:H70" si="2">IF(ISNUMBER(G7),G7+ROW(A7)/100000000000,"")</f>
        <v>2.4773795083850463E-2</v>
      </c>
      <c r="I7" s="24">
        <f t="shared" ref="I7:I70" si="3">IF(ISNUMBER(H7),RANK(H7,$H$6:$H$75,0),"")</f>
        <v>1</v>
      </c>
      <c r="J7" s="4">
        <v>2</v>
      </c>
      <c r="K7" s="31" t="str">
        <f t="shared" ref="K7:K10" si="4">INDEX($A$6:$A$75,MATCH(J7,$I$6:$I$75,0))</f>
        <v>PETR3</v>
      </c>
      <c r="L7" s="27">
        <f t="shared" ref="L7:L10" si="5">INDEX($G$6:$G$75,MATCH(J7,$I$6:$I$75,0))</f>
        <v>6.4200000000000923E-3</v>
      </c>
      <c r="M7" s="4">
        <f>M6-1</f>
        <v>14</v>
      </c>
      <c r="N7" s="31" t="str">
        <f t="shared" ref="N7:N10" si="6">INDEX($A$6:$A$75,MATCH(M7,$I$6:$I$75,0))</f>
        <v>ITSA3</v>
      </c>
      <c r="O7" s="27">
        <f t="shared" ref="O7:O10" si="7">INDEX($G$6:$G$75,MATCH(M7,$I$6:$I$75,0))</f>
        <v>-8.9699999999999225E-3</v>
      </c>
    </row>
    <row r="8" spans="1:15" x14ac:dyDescent="0.25">
      <c r="A8" s="2" t="s">
        <v>9</v>
      </c>
      <c r="B8" s="20">
        <v>27.76</v>
      </c>
      <c r="C8" s="21">
        <v>27.566235200000001</v>
      </c>
      <c r="D8" s="13"/>
      <c r="E8" s="16"/>
      <c r="F8" s="42">
        <f t="shared" si="0"/>
        <v>27.76</v>
      </c>
      <c r="G8" s="23">
        <f t="shared" si="1"/>
        <v>-6.9799999999999862E-3</v>
      </c>
      <c r="H8" s="7">
        <f t="shared" si="2"/>
        <v>-6.9799999199999865E-3</v>
      </c>
      <c r="I8" s="24">
        <f t="shared" si="3"/>
        <v>12</v>
      </c>
      <c r="J8" s="4">
        <v>3</v>
      </c>
      <c r="K8" s="30" t="str">
        <f t="shared" si="4"/>
        <v>ELTE6</v>
      </c>
      <c r="L8" s="26">
        <f t="shared" si="5"/>
        <v>5.8400000000000674E-3</v>
      </c>
      <c r="M8" s="4">
        <f t="shared" ref="M8:M10" si="8">M7-1</f>
        <v>13</v>
      </c>
      <c r="N8" s="30" t="str">
        <f t="shared" si="6"/>
        <v>BBCD4</v>
      </c>
      <c r="O8" s="26">
        <f t="shared" si="7"/>
        <v>-8.859999999999979E-3</v>
      </c>
    </row>
    <row r="9" spans="1:15" x14ac:dyDescent="0.25">
      <c r="A9" s="2" t="s">
        <v>10</v>
      </c>
      <c r="B9" s="20">
        <v>29.07</v>
      </c>
      <c r="C9" s="21">
        <v>28.8124398</v>
      </c>
      <c r="D9" s="13"/>
      <c r="E9" s="16"/>
      <c r="F9" s="42">
        <f t="shared" si="0"/>
        <v>29.07</v>
      </c>
      <c r="G9" s="23">
        <f t="shared" si="1"/>
        <v>-8.859999999999979E-3</v>
      </c>
      <c r="H9" s="7">
        <f t="shared" si="2"/>
        <v>-8.8599999099999785E-3</v>
      </c>
      <c r="I9" s="24">
        <f t="shared" si="3"/>
        <v>13</v>
      </c>
      <c r="J9" s="4">
        <v>4</v>
      </c>
      <c r="K9" s="31" t="str">
        <f t="shared" si="4"/>
        <v>MULT3</v>
      </c>
      <c r="L9" s="27">
        <f t="shared" si="5"/>
        <v>4.4399999999999995E-3</v>
      </c>
      <c r="M9" s="4">
        <f t="shared" si="8"/>
        <v>12</v>
      </c>
      <c r="N9" s="31" t="str">
        <f t="shared" si="6"/>
        <v>ENGI11</v>
      </c>
      <c r="O9" s="27">
        <f t="shared" si="7"/>
        <v>-6.9799999999999862E-3</v>
      </c>
    </row>
    <row r="10" spans="1:15" ht="15.75" thickBot="1" x14ac:dyDescent="0.3">
      <c r="A10" s="2" t="s">
        <v>11</v>
      </c>
      <c r="B10" s="20">
        <v>10.41</v>
      </c>
      <c r="C10" s="21">
        <v>10.316622300000001</v>
      </c>
      <c r="D10" s="13"/>
      <c r="E10" s="16"/>
      <c r="F10" s="42">
        <f t="shared" si="0"/>
        <v>10.41</v>
      </c>
      <c r="G10" s="23">
        <f t="shared" si="1"/>
        <v>-8.9699999999999225E-3</v>
      </c>
      <c r="H10" s="7">
        <f t="shared" si="2"/>
        <v>-8.9699998999999229E-3</v>
      </c>
      <c r="I10" s="24">
        <f t="shared" si="3"/>
        <v>14</v>
      </c>
      <c r="J10" s="4">
        <v>5</v>
      </c>
      <c r="K10" s="32" t="str">
        <f t="shared" si="4"/>
        <v>WIZS3</v>
      </c>
      <c r="L10" s="28">
        <f t="shared" si="5"/>
        <v>3.7599999999999856E-3</v>
      </c>
      <c r="M10" s="4">
        <f t="shared" si="8"/>
        <v>11</v>
      </c>
      <c r="N10" s="32" t="str">
        <f t="shared" si="6"/>
        <v>EQTL3</v>
      </c>
      <c r="O10" s="28">
        <f t="shared" si="7"/>
        <v>-5.4800000000000404E-3</v>
      </c>
    </row>
    <row r="11" spans="1:15" x14ac:dyDescent="0.25">
      <c r="A11" s="2" t="s">
        <v>12</v>
      </c>
      <c r="B11" s="20">
        <v>22.47</v>
      </c>
      <c r="C11" s="21">
        <v>22.6142574</v>
      </c>
      <c r="D11" s="13"/>
      <c r="E11" s="16"/>
      <c r="F11" s="42">
        <f t="shared" si="0"/>
        <v>22.47</v>
      </c>
      <c r="G11" s="23">
        <f t="shared" si="1"/>
        <v>6.4200000000000923E-3</v>
      </c>
      <c r="H11" s="7">
        <f t="shared" si="2"/>
        <v>6.4200001100000927E-3</v>
      </c>
      <c r="I11" s="24">
        <f t="shared" si="3"/>
        <v>2</v>
      </c>
    </row>
    <row r="12" spans="1:15" x14ac:dyDescent="0.25">
      <c r="A12" s="2" t="s">
        <v>13</v>
      </c>
      <c r="B12" s="20">
        <v>57.97</v>
      </c>
      <c r="C12" s="21">
        <v>57.652324399999998</v>
      </c>
      <c r="D12" s="13"/>
      <c r="E12" s="16"/>
      <c r="F12" s="42">
        <f t="shared" si="0"/>
        <v>57.97</v>
      </c>
      <c r="G12" s="23">
        <f t="shared" si="1"/>
        <v>-5.4800000000000404E-3</v>
      </c>
      <c r="H12" s="7">
        <f t="shared" si="2"/>
        <v>-5.47999988000004E-3</v>
      </c>
      <c r="I12" s="24">
        <f t="shared" si="3"/>
        <v>11</v>
      </c>
      <c r="K12" s="43" t="s">
        <v>27</v>
      </c>
      <c r="L12" s="43"/>
      <c r="M12" s="43"/>
      <c r="N12" s="43"/>
      <c r="O12" s="43"/>
    </row>
    <row r="13" spans="1:15" x14ac:dyDescent="0.25">
      <c r="A13" s="2" t="s">
        <v>14</v>
      </c>
      <c r="B13" s="20">
        <v>75.349999999999994</v>
      </c>
      <c r="C13" s="21">
        <v>75.441173499999991</v>
      </c>
      <c r="D13" s="13"/>
      <c r="E13" s="16"/>
      <c r="F13" s="42">
        <f t="shared" si="0"/>
        <v>75.349999999999994</v>
      </c>
      <c r="G13" s="23">
        <f t="shared" si="1"/>
        <v>1.2099999999999334E-3</v>
      </c>
      <c r="H13" s="7">
        <f t="shared" si="2"/>
        <v>1.2100001299999333E-3</v>
      </c>
      <c r="I13" s="24">
        <f t="shared" si="3"/>
        <v>8</v>
      </c>
      <c r="K13" s="43"/>
      <c r="L13" s="43"/>
      <c r="M13" s="43"/>
      <c r="N13" s="43"/>
      <c r="O13" s="43"/>
    </row>
    <row r="14" spans="1:15" x14ac:dyDescent="0.25">
      <c r="A14" s="2" t="s">
        <v>15</v>
      </c>
      <c r="B14" s="20">
        <v>59.1</v>
      </c>
      <c r="C14" s="21">
        <v>58.542096000000001</v>
      </c>
      <c r="D14" s="13"/>
      <c r="E14" s="16"/>
      <c r="F14" s="42">
        <f t="shared" si="0"/>
        <v>59.1</v>
      </c>
      <c r="G14" s="23">
        <f t="shared" si="1"/>
        <v>-9.4400000000000039E-3</v>
      </c>
      <c r="H14" s="7">
        <f t="shared" si="2"/>
        <v>-9.4399998600000045E-3</v>
      </c>
      <c r="I14" s="24">
        <f t="shared" si="3"/>
        <v>15</v>
      </c>
      <c r="K14" s="43"/>
      <c r="L14" s="43"/>
      <c r="M14" s="43"/>
      <c r="N14" s="43"/>
      <c r="O14" s="43"/>
    </row>
    <row r="15" spans="1:15" x14ac:dyDescent="0.25">
      <c r="A15" s="2" t="s">
        <v>16</v>
      </c>
      <c r="B15" s="20">
        <v>14.15</v>
      </c>
      <c r="C15" s="21">
        <v>7.0455680000000003</v>
      </c>
      <c r="D15" s="13">
        <v>2</v>
      </c>
      <c r="E15" s="16"/>
      <c r="F15" s="42">
        <f t="shared" si="0"/>
        <v>7.0750000000000002</v>
      </c>
      <c r="G15" s="23">
        <f t="shared" si="1"/>
        <v>-4.1599999999999415E-3</v>
      </c>
      <c r="H15" s="7">
        <f t="shared" si="2"/>
        <v>-4.1599998499999413E-3</v>
      </c>
      <c r="I15" s="24">
        <f t="shared" si="3"/>
        <v>10</v>
      </c>
    </row>
    <row r="16" spans="1:15" x14ac:dyDescent="0.25">
      <c r="A16" s="2" t="s">
        <v>17</v>
      </c>
      <c r="B16" s="20">
        <v>16.68</v>
      </c>
      <c r="C16" s="21">
        <v>16.7774112</v>
      </c>
      <c r="D16" s="13"/>
      <c r="E16" s="16"/>
      <c r="F16" s="42">
        <f t="shared" si="0"/>
        <v>16.68</v>
      </c>
      <c r="G16" s="23">
        <f t="shared" si="1"/>
        <v>5.8400000000000674E-3</v>
      </c>
      <c r="H16" s="7">
        <f t="shared" si="2"/>
        <v>5.8400001600000676E-3</v>
      </c>
      <c r="I16" s="24">
        <f t="shared" si="3"/>
        <v>3</v>
      </c>
    </row>
    <row r="17" spans="1:9" x14ac:dyDescent="0.25">
      <c r="A17" s="2" t="s">
        <v>18</v>
      </c>
      <c r="B17" s="20">
        <v>8.43</v>
      </c>
      <c r="C17" s="21">
        <v>8.4616968000000004</v>
      </c>
      <c r="D17" s="13"/>
      <c r="E17" s="16"/>
      <c r="F17" s="42">
        <f t="shared" si="0"/>
        <v>8.43</v>
      </c>
      <c r="G17" s="23">
        <f t="shared" si="1"/>
        <v>3.7599999999999856E-3</v>
      </c>
      <c r="H17" s="7">
        <f t="shared" si="2"/>
        <v>3.7600001699999858E-3</v>
      </c>
      <c r="I17" s="24">
        <f t="shared" si="3"/>
        <v>5</v>
      </c>
    </row>
    <row r="18" spans="1:9" x14ac:dyDescent="0.25">
      <c r="A18" s="2" t="s">
        <v>19</v>
      </c>
      <c r="B18" s="20">
        <v>2.73</v>
      </c>
      <c r="C18" s="21">
        <v>2.7394184999999998</v>
      </c>
      <c r="D18" s="13"/>
      <c r="E18" s="16"/>
      <c r="F18" s="42">
        <f t="shared" si="0"/>
        <v>2.73</v>
      </c>
      <c r="G18" s="23">
        <f t="shared" si="1"/>
        <v>3.4499999999999531E-3</v>
      </c>
      <c r="H18" s="7">
        <f t="shared" si="2"/>
        <v>3.4500001799999533E-3</v>
      </c>
      <c r="I18" s="24">
        <f t="shared" si="3"/>
        <v>6</v>
      </c>
    </row>
    <row r="19" spans="1:9" x14ac:dyDescent="0.25">
      <c r="A19" s="2" t="s">
        <v>20</v>
      </c>
      <c r="B19" s="20">
        <v>18.809999999999999</v>
      </c>
      <c r="C19" s="21">
        <v>18.893516399999999</v>
      </c>
      <c r="D19" s="13"/>
      <c r="E19" s="16"/>
      <c r="F19" s="42">
        <f t="shared" si="0"/>
        <v>18.809999999999999</v>
      </c>
      <c r="G19" s="23">
        <f t="shared" si="1"/>
        <v>4.4399999999999995E-3</v>
      </c>
      <c r="H19" s="7">
        <f t="shared" si="2"/>
        <v>4.4400001899999996E-3</v>
      </c>
      <c r="I19" s="24">
        <f t="shared" si="3"/>
        <v>4</v>
      </c>
    </row>
    <row r="20" spans="1:9" x14ac:dyDescent="0.25">
      <c r="A20" s="2" t="s">
        <v>21</v>
      </c>
      <c r="B20" s="20">
        <v>31.34</v>
      </c>
      <c r="C20" s="21">
        <v>31.343760799999998</v>
      </c>
      <c r="D20" s="13"/>
      <c r="E20" s="16"/>
      <c r="F20" s="42">
        <f t="shared" si="0"/>
        <v>31.34</v>
      </c>
      <c r="G20" s="23">
        <f t="shared" si="1"/>
        <v>1.1999999999989797E-4</v>
      </c>
      <c r="H20" s="7">
        <f t="shared" si="2"/>
        <v>1.2000019999989797E-4</v>
      </c>
      <c r="I20" s="24">
        <f t="shared" si="3"/>
        <v>9</v>
      </c>
    </row>
    <row r="21" spans="1:9" x14ac:dyDescent="0.25">
      <c r="A21" s="2"/>
      <c r="B21" s="1"/>
      <c r="C21" s="14"/>
      <c r="D21" s="13"/>
      <c r="E21" s="16"/>
      <c r="F21" s="22" t="str">
        <f t="shared" si="0"/>
        <v/>
      </c>
      <c r="G21" s="23" t="str">
        <f t="shared" si="1"/>
        <v/>
      </c>
      <c r="H21" s="7" t="str">
        <f t="shared" si="2"/>
        <v/>
      </c>
      <c r="I21" s="24" t="str">
        <f t="shared" si="3"/>
        <v/>
      </c>
    </row>
    <row r="22" spans="1:9" x14ac:dyDescent="0.25">
      <c r="A22" s="2"/>
      <c r="B22" s="1"/>
      <c r="C22" s="14"/>
      <c r="D22" s="13"/>
      <c r="E22" s="16"/>
      <c r="F22" s="22" t="str">
        <f t="shared" si="0"/>
        <v/>
      </c>
      <c r="G22" s="23" t="str">
        <f t="shared" si="1"/>
        <v/>
      </c>
      <c r="H22" s="7" t="str">
        <f t="shared" si="2"/>
        <v/>
      </c>
      <c r="I22" s="24" t="str">
        <f t="shared" si="3"/>
        <v/>
      </c>
    </row>
    <row r="23" spans="1:9" x14ac:dyDescent="0.25">
      <c r="A23" s="2"/>
      <c r="B23" s="1"/>
      <c r="C23" s="14"/>
      <c r="D23" s="13"/>
      <c r="E23" s="16"/>
      <c r="F23" s="22" t="str">
        <f t="shared" si="0"/>
        <v/>
      </c>
      <c r="G23" s="23" t="str">
        <f t="shared" si="1"/>
        <v/>
      </c>
      <c r="H23" s="7" t="str">
        <f t="shared" si="2"/>
        <v/>
      </c>
      <c r="I23" s="24" t="str">
        <f t="shared" si="3"/>
        <v/>
      </c>
    </row>
    <row r="24" spans="1:9" x14ac:dyDescent="0.25">
      <c r="A24" s="2"/>
      <c r="B24" s="1"/>
      <c r="C24" s="14"/>
      <c r="D24" s="13"/>
      <c r="E24" s="16"/>
      <c r="F24" s="22" t="str">
        <f t="shared" si="0"/>
        <v/>
      </c>
      <c r="G24" s="23" t="str">
        <f t="shared" si="1"/>
        <v/>
      </c>
      <c r="H24" s="7" t="str">
        <f t="shared" si="2"/>
        <v/>
      </c>
      <c r="I24" s="24" t="str">
        <f t="shared" si="3"/>
        <v/>
      </c>
    </row>
    <row r="25" spans="1:9" x14ac:dyDescent="0.25">
      <c r="A25" s="2"/>
      <c r="B25" s="1"/>
      <c r="C25" s="14"/>
      <c r="D25" s="13"/>
      <c r="E25" s="16"/>
      <c r="F25" s="22" t="str">
        <f t="shared" si="0"/>
        <v/>
      </c>
      <c r="G25" s="23" t="str">
        <f t="shared" si="1"/>
        <v/>
      </c>
      <c r="H25" s="7" t="str">
        <f t="shared" si="2"/>
        <v/>
      </c>
      <c r="I25" s="24" t="str">
        <f t="shared" si="3"/>
        <v/>
      </c>
    </row>
    <row r="26" spans="1:9" x14ac:dyDescent="0.25">
      <c r="A26" s="2"/>
      <c r="B26" s="1"/>
      <c r="C26" s="14"/>
      <c r="D26" s="13"/>
      <c r="E26" s="16"/>
      <c r="F26" s="22" t="str">
        <f t="shared" si="0"/>
        <v/>
      </c>
      <c r="G26" s="23" t="str">
        <f t="shared" si="1"/>
        <v/>
      </c>
      <c r="H26" s="7" t="str">
        <f t="shared" si="2"/>
        <v/>
      </c>
      <c r="I26" s="24" t="str">
        <f t="shared" si="3"/>
        <v/>
      </c>
    </row>
    <row r="27" spans="1:9" x14ac:dyDescent="0.25">
      <c r="A27" s="2"/>
      <c r="B27" s="1"/>
      <c r="C27" s="14"/>
      <c r="D27" s="13"/>
      <c r="E27" s="16"/>
      <c r="F27" s="22" t="str">
        <f t="shared" si="0"/>
        <v/>
      </c>
      <c r="G27" s="23" t="str">
        <f t="shared" si="1"/>
        <v/>
      </c>
      <c r="H27" s="7" t="str">
        <f t="shared" si="2"/>
        <v/>
      </c>
      <c r="I27" s="24" t="str">
        <f t="shared" si="3"/>
        <v/>
      </c>
    </row>
    <row r="28" spans="1:9" x14ac:dyDescent="0.25">
      <c r="A28" s="2"/>
      <c r="B28" s="1"/>
      <c r="C28" s="14"/>
      <c r="D28" s="13"/>
      <c r="E28" s="16"/>
      <c r="F28" s="22" t="str">
        <f t="shared" si="0"/>
        <v/>
      </c>
      <c r="G28" s="23" t="str">
        <f t="shared" si="1"/>
        <v/>
      </c>
      <c r="H28" s="7" t="str">
        <f t="shared" si="2"/>
        <v/>
      </c>
      <c r="I28" s="24" t="str">
        <f t="shared" si="3"/>
        <v/>
      </c>
    </row>
    <row r="29" spans="1:9" x14ac:dyDescent="0.25">
      <c r="A29" s="2"/>
      <c r="B29" s="1"/>
      <c r="C29" s="14"/>
      <c r="D29" s="13"/>
      <c r="E29" s="16"/>
      <c r="F29" s="22" t="str">
        <f t="shared" si="0"/>
        <v/>
      </c>
      <c r="G29" s="23" t="str">
        <f t="shared" si="1"/>
        <v/>
      </c>
      <c r="H29" s="7" t="str">
        <f t="shared" si="2"/>
        <v/>
      </c>
      <c r="I29" s="24" t="str">
        <f t="shared" si="3"/>
        <v/>
      </c>
    </row>
    <row r="30" spans="1:9" x14ac:dyDescent="0.25">
      <c r="A30" s="2"/>
      <c r="B30" s="1"/>
      <c r="C30" s="14"/>
      <c r="D30" s="13"/>
      <c r="E30" s="16"/>
      <c r="F30" s="22" t="str">
        <f t="shared" si="0"/>
        <v/>
      </c>
      <c r="G30" s="23" t="str">
        <f t="shared" si="1"/>
        <v/>
      </c>
      <c r="H30" s="7" t="str">
        <f t="shared" si="2"/>
        <v/>
      </c>
      <c r="I30" s="24" t="str">
        <f t="shared" si="3"/>
        <v/>
      </c>
    </row>
    <row r="31" spans="1:9" x14ac:dyDescent="0.25">
      <c r="A31" s="2"/>
      <c r="B31" s="1"/>
      <c r="C31" s="14"/>
      <c r="D31" s="13"/>
      <c r="E31" s="16"/>
      <c r="F31" s="22" t="str">
        <f t="shared" si="0"/>
        <v/>
      </c>
      <c r="G31" s="23" t="str">
        <f t="shared" si="1"/>
        <v/>
      </c>
      <c r="H31" s="7" t="str">
        <f t="shared" si="2"/>
        <v/>
      </c>
      <c r="I31" s="24" t="str">
        <f t="shared" si="3"/>
        <v/>
      </c>
    </row>
    <row r="32" spans="1:9" x14ac:dyDescent="0.25">
      <c r="A32" s="2"/>
      <c r="B32" s="1"/>
      <c r="C32" s="14"/>
      <c r="D32" s="13"/>
      <c r="E32" s="16"/>
      <c r="F32" s="22" t="str">
        <f t="shared" si="0"/>
        <v/>
      </c>
      <c r="G32" s="23" t="str">
        <f t="shared" si="1"/>
        <v/>
      </c>
      <c r="H32" s="7" t="str">
        <f t="shared" si="2"/>
        <v/>
      </c>
      <c r="I32" s="24" t="str">
        <f t="shared" si="3"/>
        <v/>
      </c>
    </row>
    <row r="33" spans="1:9" x14ac:dyDescent="0.25">
      <c r="A33" s="2"/>
      <c r="B33" s="1"/>
      <c r="C33" s="14"/>
      <c r="D33" s="13"/>
      <c r="E33" s="16"/>
      <c r="F33" s="22" t="str">
        <f t="shared" si="0"/>
        <v/>
      </c>
      <c r="G33" s="23" t="str">
        <f t="shared" si="1"/>
        <v/>
      </c>
      <c r="H33" s="7" t="str">
        <f t="shared" si="2"/>
        <v/>
      </c>
      <c r="I33" s="24" t="str">
        <f t="shared" si="3"/>
        <v/>
      </c>
    </row>
    <row r="34" spans="1:9" x14ac:dyDescent="0.25">
      <c r="A34" s="2"/>
      <c r="B34" s="1"/>
      <c r="C34" s="14"/>
      <c r="D34" s="13"/>
      <c r="E34" s="16"/>
      <c r="F34" s="22" t="str">
        <f t="shared" si="0"/>
        <v/>
      </c>
      <c r="G34" s="23" t="str">
        <f t="shared" si="1"/>
        <v/>
      </c>
      <c r="H34" s="7" t="str">
        <f t="shared" si="2"/>
        <v/>
      </c>
      <c r="I34" s="24" t="str">
        <f t="shared" si="3"/>
        <v/>
      </c>
    </row>
    <row r="35" spans="1:9" x14ac:dyDescent="0.25">
      <c r="A35" s="2"/>
      <c r="B35" s="1"/>
      <c r="C35" s="14"/>
      <c r="D35" s="13"/>
      <c r="E35" s="16"/>
      <c r="F35" s="22" t="str">
        <f t="shared" si="0"/>
        <v/>
      </c>
      <c r="G35" s="23" t="str">
        <f t="shared" si="1"/>
        <v/>
      </c>
      <c r="H35" s="7" t="str">
        <f t="shared" si="2"/>
        <v/>
      </c>
      <c r="I35" s="24" t="str">
        <f t="shared" si="3"/>
        <v/>
      </c>
    </row>
    <row r="36" spans="1:9" x14ac:dyDescent="0.25">
      <c r="A36" s="2"/>
      <c r="B36" s="1"/>
      <c r="C36" s="14"/>
      <c r="D36" s="13"/>
      <c r="E36" s="16"/>
      <c r="F36" s="22" t="str">
        <f t="shared" si="0"/>
        <v/>
      </c>
      <c r="G36" s="23" t="str">
        <f t="shared" si="1"/>
        <v/>
      </c>
      <c r="H36" s="7" t="str">
        <f t="shared" si="2"/>
        <v/>
      </c>
      <c r="I36" s="24" t="str">
        <f t="shared" si="3"/>
        <v/>
      </c>
    </row>
    <row r="37" spans="1:9" x14ac:dyDescent="0.25">
      <c r="A37" s="2"/>
      <c r="B37" s="1"/>
      <c r="C37" s="14"/>
      <c r="D37" s="13"/>
      <c r="E37" s="16"/>
      <c r="F37" s="22" t="str">
        <f t="shared" si="0"/>
        <v/>
      </c>
      <c r="G37" s="23" t="str">
        <f t="shared" si="1"/>
        <v/>
      </c>
      <c r="H37" s="7" t="str">
        <f t="shared" si="2"/>
        <v/>
      </c>
      <c r="I37" s="24" t="str">
        <f t="shared" si="3"/>
        <v/>
      </c>
    </row>
    <row r="38" spans="1:9" x14ac:dyDescent="0.25">
      <c r="A38" s="2"/>
      <c r="B38" s="1"/>
      <c r="C38" s="14"/>
      <c r="D38" s="13"/>
      <c r="E38" s="16"/>
      <c r="F38" s="22" t="str">
        <f t="shared" si="0"/>
        <v/>
      </c>
      <c r="G38" s="23" t="str">
        <f t="shared" si="1"/>
        <v/>
      </c>
      <c r="H38" s="7" t="str">
        <f t="shared" si="2"/>
        <v/>
      </c>
      <c r="I38" s="24" t="str">
        <f t="shared" si="3"/>
        <v/>
      </c>
    </row>
    <row r="39" spans="1:9" x14ac:dyDescent="0.25">
      <c r="A39" s="2"/>
      <c r="B39" s="1"/>
      <c r="C39" s="14"/>
      <c r="D39" s="13"/>
      <c r="E39" s="16"/>
      <c r="F39" s="22" t="str">
        <f t="shared" si="0"/>
        <v/>
      </c>
      <c r="G39" s="23" t="str">
        <f t="shared" si="1"/>
        <v/>
      </c>
      <c r="H39" s="7" t="str">
        <f t="shared" si="2"/>
        <v/>
      </c>
      <c r="I39" s="24" t="str">
        <f t="shared" si="3"/>
        <v/>
      </c>
    </row>
    <row r="40" spans="1:9" x14ac:dyDescent="0.25">
      <c r="A40" s="2"/>
      <c r="B40" s="1"/>
      <c r="C40" s="14"/>
      <c r="D40" s="13"/>
      <c r="E40" s="16"/>
      <c r="F40" s="22" t="str">
        <f t="shared" si="0"/>
        <v/>
      </c>
      <c r="G40" s="23" t="str">
        <f t="shared" si="1"/>
        <v/>
      </c>
      <c r="H40" s="7" t="str">
        <f t="shared" si="2"/>
        <v/>
      </c>
      <c r="I40" s="24" t="str">
        <f t="shared" si="3"/>
        <v/>
      </c>
    </row>
    <row r="41" spans="1:9" x14ac:dyDescent="0.25">
      <c r="A41" s="2"/>
      <c r="B41" s="1"/>
      <c r="C41" s="14"/>
      <c r="D41" s="13"/>
      <c r="E41" s="16"/>
      <c r="F41" s="22" t="str">
        <f t="shared" si="0"/>
        <v/>
      </c>
      <c r="G41" s="23" t="str">
        <f t="shared" si="1"/>
        <v/>
      </c>
      <c r="H41" s="7" t="str">
        <f t="shared" si="2"/>
        <v/>
      </c>
      <c r="I41" s="24" t="str">
        <f t="shared" si="3"/>
        <v/>
      </c>
    </row>
    <row r="42" spans="1:9" x14ac:dyDescent="0.25">
      <c r="A42" s="2"/>
      <c r="B42" s="1"/>
      <c r="C42" s="14"/>
      <c r="D42" s="13"/>
      <c r="E42" s="16"/>
      <c r="F42" s="22" t="str">
        <f t="shared" si="0"/>
        <v/>
      </c>
      <c r="G42" s="23" t="str">
        <f t="shared" si="1"/>
        <v/>
      </c>
      <c r="H42" s="7" t="str">
        <f t="shared" si="2"/>
        <v/>
      </c>
      <c r="I42" s="24" t="str">
        <f t="shared" si="3"/>
        <v/>
      </c>
    </row>
    <row r="43" spans="1:9" x14ac:dyDescent="0.25">
      <c r="A43" s="2"/>
      <c r="B43" s="1"/>
      <c r="C43" s="14"/>
      <c r="D43" s="13"/>
      <c r="E43" s="16"/>
      <c r="F43" s="22" t="str">
        <f t="shared" si="0"/>
        <v/>
      </c>
      <c r="G43" s="23" t="str">
        <f t="shared" si="1"/>
        <v/>
      </c>
      <c r="H43" s="7" t="str">
        <f t="shared" si="2"/>
        <v/>
      </c>
      <c r="I43" s="24" t="str">
        <f t="shared" si="3"/>
        <v/>
      </c>
    </row>
    <row r="44" spans="1:9" x14ac:dyDescent="0.25">
      <c r="A44" s="2"/>
      <c r="B44" s="1"/>
      <c r="C44" s="14"/>
      <c r="D44" s="13"/>
      <c r="E44" s="16"/>
      <c r="F44" s="22" t="str">
        <f t="shared" si="0"/>
        <v/>
      </c>
      <c r="G44" s="23" t="str">
        <f t="shared" si="1"/>
        <v/>
      </c>
      <c r="H44" s="7" t="str">
        <f t="shared" si="2"/>
        <v/>
      </c>
      <c r="I44" s="24" t="str">
        <f t="shared" si="3"/>
        <v/>
      </c>
    </row>
    <row r="45" spans="1:9" x14ac:dyDescent="0.25">
      <c r="A45" s="2"/>
      <c r="B45" s="1"/>
      <c r="C45" s="14"/>
      <c r="D45" s="13"/>
      <c r="E45" s="16"/>
      <c r="F45" s="22" t="str">
        <f t="shared" si="0"/>
        <v/>
      </c>
      <c r="G45" s="23" t="str">
        <f t="shared" si="1"/>
        <v/>
      </c>
      <c r="H45" s="7" t="str">
        <f t="shared" si="2"/>
        <v/>
      </c>
      <c r="I45" s="24" t="str">
        <f t="shared" si="3"/>
        <v/>
      </c>
    </row>
    <row r="46" spans="1:9" x14ac:dyDescent="0.25">
      <c r="A46" s="2"/>
      <c r="B46" s="1"/>
      <c r="C46" s="14"/>
      <c r="D46" s="13"/>
      <c r="E46" s="16"/>
      <c r="F46" s="22" t="str">
        <f t="shared" si="0"/>
        <v/>
      </c>
      <c r="G46" s="23" t="str">
        <f t="shared" si="1"/>
        <v/>
      </c>
      <c r="H46" s="7" t="str">
        <f t="shared" si="2"/>
        <v/>
      </c>
      <c r="I46" s="24" t="str">
        <f t="shared" si="3"/>
        <v/>
      </c>
    </row>
    <row r="47" spans="1:9" x14ac:dyDescent="0.25">
      <c r="A47" s="2"/>
      <c r="B47" s="1"/>
      <c r="C47" s="14"/>
      <c r="D47" s="13"/>
      <c r="E47" s="16"/>
      <c r="F47" s="22" t="str">
        <f t="shared" si="0"/>
        <v/>
      </c>
      <c r="G47" s="23" t="str">
        <f t="shared" si="1"/>
        <v/>
      </c>
      <c r="H47" s="7" t="str">
        <f t="shared" si="2"/>
        <v/>
      </c>
      <c r="I47" s="24" t="str">
        <f t="shared" si="3"/>
        <v/>
      </c>
    </row>
    <row r="48" spans="1:9" x14ac:dyDescent="0.25">
      <c r="A48" s="2"/>
      <c r="B48" s="1"/>
      <c r="C48" s="14"/>
      <c r="D48" s="13"/>
      <c r="E48" s="16"/>
      <c r="F48" s="22" t="str">
        <f t="shared" si="0"/>
        <v/>
      </c>
      <c r="G48" s="23" t="str">
        <f t="shared" si="1"/>
        <v/>
      </c>
      <c r="H48" s="7" t="str">
        <f t="shared" si="2"/>
        <v/>
      </c>
      <c r="I48" s="24" t="str">
        <f t="shared" si="3"/>
        <v/>
      </c>
    </row>
    <row r="49" spans="1:9" x14ac:dyDescent="0.25">
      <c r="A49" s="2"/>
      <c r="B49" s="1"/>
      <c r="C49" s="14"/>
      <c r="D49" s="13"/>
      <c r="E49" s="16"/>
      <c r="F49" s="22" t="str">
        <f t="shared" si="0"/>
        <v/>
      </c>
      <c r="G49" s="23" t="str">
        <f t="shared" si="1"/>
        <v/>
      </c>
      <c r="H49" s="7" t="str">
        <f t="shared" si="2"/>
        <v/>
      </c>
      <c r="I49" s="24" t="str">
        <f t="shared" si="3"/>
        <v/>
      </c>
    </row>
    <row r="50" spans="1:9" x14ac:dyDescent="0.25">
      <c r="A50" s="2"/>
      <c r="B50" s="1"/>
      <c r="C50" s="14"/>
      <c r="D50" s="13"/>
      <c r="E50" s="16"/>
      <c r="F50" s="22" t="str">
        <f t="shared" si="0"/>
        <v/>
      </c>
      <c r="G50" s="23" t="str">
        <f t="shared" si="1"/>
        <v/>
      </c>
      <c r="H50" s="7" t="str">
        <f t="shared" si="2"/>
        <v/>
      </c>
      <c r="I50" s="24" t="str">
        <f t="shared" si="3"/>
        <v/>
      </c>
    </row>
    <row r="51" spans="1:9" x14ac:dyDescent="0.25">
      <c r="A51" s="2"/>
      <c r="B51" s="1"/>
      <c r="C51" s="14"/>
      <c r="D51" s="13"/>
      <c r="E51" s="16"/>
      <c r="F51" s="22" t="str">
        <f t="shared" si="0"/>
        <v/>
      </c>
      <c r="G51" s="23" t="str">
        <f t="shared" si="1"/>
        <v/>
      </c>
      <c r="H51" s="7" t="str">
        <f t="shared" si="2"/>
        <v/>
      </c>
      <c r="I51" s="24" t="str">
        <f t="shared" si="3"/>
        <v/>
      </c>
    </row>
    <row r="52" spans="1:9" x14ac:dyDescent="0.25">
      <c r="A52" s="2"/>
      <c r="B52" s="1"/>
      <c r="C52" s="14"/>
      <c r="D52" s="13"/>
      <c r="E52" s="16"/>
      <c r="F52" s="22" t="str">
        <f t="shared" si="0"/>
        <v/>
      </c>
      <c r="G52" s="23" t="str">
        <f t="shared" si="1"/>
        <v/>
      </c>
      <c r="H52" s="7" t="str">
        <f t="shared" si="2"/>
        <v/>
      </c>
      <c r="I52" s="24" t="str">
        <f t="shared" si="3"/>
        <v/>
      </c>
    </row>
    <row r="53" spans="1:9" x14ac:dyDescent="0.25">
      <c r="A53" s="2"/>
      <c r="B53" s="1"/>
      <c r="C53" s="14"/>
      <c r="D53" s="13"/>
      <c r="E53" s="16"/>
      <c r="F53" s="22" t="str">
        <f t="shared" si="0"/>
        <v/>
      </c>
      <c r="G53" s="23" t="str">
        <f t="shared" si="1"/>
        <v/>
      </c>
      <c r="H53" s="7" t="str">
        <f t="shared" si="2"/>
        <v/>
      </c>
      <c r="I53" s="24" t="str">
        <f t="shared" si="3"/>
        <v/>
      </c>
    </row>
    <row r="54" spans="1:9" x14ac:dyDescent="0.25">
      <c r="A54" s="2"/>
      <c r="B54" s="1"/>
      <c r="C54" s="14"/>
      <c r="D54" s="13"/>
      <c r="E54" s="16"/>
      <c r="F54" s="22" t="str">
        <f t="shared" si="0"/>
        <v/>
      </c>
      <c r="G54" s="23" t="str">
        <f t="shared" si="1"/>
        <v/>
      </c>
      <c r="H54" s="7" t="str">
        <f t="shared" si="2"/>
        <v/>
      </c>
      <c r="I54" s="24" t="str">
        <f t="shared" si="3"/>
        <v/>
      </c>
    </row>
    <row r="55" spans="1:9" x14ac:dyDescent="0.25">
      <c r="A55" s="2"/>
      <c r="B55" s="1"/>
      <c r="C55" s="14"/>
      <c r="D55" s="13"/>
      <c r="E55" s="16"/>
      <c r="F55" s="22" t="str">
        <f t="shared" si="0"/>
        <v/>
      </c>
      <c r="G55" s="23" t="str">
        <f t="shared" si="1"/>
        <v/>
      </c>
      <c r="H55" s="7" t="str">
        <f t="shared" si="2"/>
        <v/>
      </c>
      <c r="I55" s="24" t="str">
        <f t="shared" si="3"/>
        <v/>
      </c>
    </row>
    <row r="56" spans="1:9" x14ac:dyDescent="0.25">
      <c r="A56" s="2"/>
      <c r="B56" s="1"/>
      <c r="C56" s="14"/>
      <c r="D56" s="13"/>
      <c r="E56" s="16"/>
      <c r="F56" s="22" t="str">
        <f t="shared" si="0"/>
        <v/>
      </c>
      <c r="G56" s="23" t="str">
        <f t="shared" si="1"/>
        <v/>
      </c>
      <c r="H56" s="7" t="str">
        <f t="shared" si="2"/>
        <v/>
      </c>
      <c r="I56" s="24" t="str">
        <f t="shared" si="3"/>
        <v/>
      </c>
    </row>
    <row r="57" spans="1:9" x14ac:dyDescent="0.25">
      <c r="A57" s="2"/>
      <c r="B57" s="1"/>
      <c r="C57" s="14"/>
      <c r="D57" s="13"/>
      <c r="E57" s="16"/>
      <c r="F57" s="22" t="str">
        <f t="shared" si="0"/>
        <v/>
      </c>
      <c r="G57" s="23" t="str">
        <f t="shared" si="1"/>
        <v/>
      </c>
      <c r="H57" s="7" t="str">
        <f t="shared" si="2"/>
        <v/>
      </c>
      <c r="I57" s="24" t="str">
        <f t="shared" si="3"/>
        <v/>
      </c>
    </row>
    <row r="58" spans="1:9" x14ac:dyDescent="0.25">
      <c r="A58" s="2"/>
      <c r="B58" s="1"/>
      <c r="C58" s="14"/>
      <c r="D58" s="13"/>
      <c r="E58" s="16"/>
      <c r="F58" s="22" t="str">
        <f t="shared" si="0"/>
        <v/>
      </c>
      <c r="G58" s="23" t="str">
        <f t="shared" si="1"/>
        <v/>
      </c>
      <c r="H58" s="7" t="str">
        <f t="shared" si="2"/>
        <v/>
      </c>
      <c r="I58" s="24" t="str">
        <f t="shared" si="3"/>
        <v/>
      </c>
    </row>
    <row r="59" spans="1:9" x14ac:dyDescent="0.25">
      <c r="A59" s="2"/>
      <c r="B59" s="1"/>
      <c r="C59" s="14"/>
      <c r="D59" s="13"/>
      <c r="E59" s="16"/>
      <c r="F59" s="22" t="str">
        <f t="shared" si="0"/>
        <v/>
      </c>
      <c r="G59" s="23" t="str">
        <f t="shared" si="1"/>
        <v/>
      </c>
      <c r="H59" s="7" t="str">
        <f t="shared" si="2"/>
        <v/>
      </c>
      <c r="I59" s="24" t="str">
        <f t="shared" si="3"/>
        <v/>
      </c>
    </row>
    <row r="60" spans="1:9" x14ac:dyDescent="0.25">
      <c r="A60" s="2"/>
      <c r="B60" s="1"/>
      <c r="C60" s="14"/>
      <c r="D60" s="13"/>
      <c r="E60" s="16"/>
      <c r="F60" s="22" t="str">
        <f t="shared" si="0"/>
        <v/>
      </c>
      <c r="G60" s="23" t="str">
        <f t="shared" si="1"/>
        <v/>
      </c>
      <c r="H60" s="7" t="str">
        <f t="shared" si="2"/>
        <v/>
      </c>
      <c r="I60" s="24" t="str">
        <f t="shared" si="3"/>
        <v/>
      </c>
    </row>
    <row r="61" spans="1:9" x14ac:dyDescent="0.25">
      <c r="A61" s="2"/>
      <c r="B61" s="1"/>
      <c r="C61" s="14"/>
      <c r="D61" s="13"/>
      <c r="E61" s="16"/>
      <c r="F61" s="22" t="str">
        <f t="shared" si="0"/>
        <v/>
      </c>
      <c r="G61" s="23" t="str">
        <f t="shared" si="1"/>
        <v/>
      </c>
      <c r="H61" s="7" t="str">
        <f t="shared" si="2"/>
        <v/>
      </c>
      <c r="I61" s="24" t="str">
        <f t="shared" si="3"/>
        <v/>
      </c>
    </row>
    <row r="62" spans="1:9" x14ac:dyDescent="0.25">
      <c r="A62" s="2"/>
      <c r="B62" s="1"/>
      <c r="C62" s="14"/>
      <c r="D62" s="13"/>
      <c r="E62" s="16"/>
      <c r="F62" s="22" t="str">
        <f t="shared" si="0"/>
        <v/>
      </c>
      <c r="G62" s="23" t="str">
        <f t="shared" si="1"/>
        <v/>
      </c>
      <c r="H62" s="7" t="str">
        <f t="shared" si="2"/>
        <v/>
      </c>
      <c r="I62" s="24" t="str">
        <f t="shared" si="3"/>
        <v/>
      </c>
    </row>
    <row r="63" spans="1:9" x14ac:dyDescent="0.25">
      <c r="A63" s="2"/>
      <c r="B63" s="1"/>
      <c r="C63" s="14"/>
      <c r="D63" s="13"/>
      <c r="E63" s="16"/>
      <c r="F63" s="22" t="str">
        <f t="shared" si="0"/>
        <v/>
      </c>
      <c r="G63" s="23" t="str">
        <f t="shared" si="1"/>
        <v/>
      </c>
      <c r="H63" s="7" t="str">
        <f t="shared" si="2"/>
        <v/>
      </c>
      <c r="I63" s="24" t="str">
        <f t="shared" si="3"/>
        <v/>
      </c>
    </row>
    <row r="64" spans="1:9" x14ac:dyDescent="0.25">
      <c r="A64" s="2"/>
      <c r="B64" s="1"/>
      <c r="C64" s="14"/>
      <c r="D64" s="13"/>
      <c r="E64" s="16"/>
      <c r="F64" s="22" t="str">
        <f t="shared" si="0"/>
        <v/>
      </c>
      <c r="G64" s="23" t="str">
        <f t="shared" si="1"/>
        <v/>
      </c>
      <c r="H64" s="7" t="str">
        <f t="shared" si="2"/>
        <v/>
      </c>
      <c r="I64" s="24" t="str">
        <f t="shared" si="3"/>
        <v/>
      </c>
    </row>
    <row r="65" spans="1:9" x14ac:dyDescent="0.25">
      <c r="A65" s="2"/>
      <c r="B65" s="1"/>
      <c r="C65" s="14"/>
      <c r="D65" s="13"/>
      <c r="E65" s="16"/>
      <c r="F65" s="22" t="str">
        <f t="shared" si="0"/>
        <v/>
      </c>
      <c r="G65" s="23" t="str">
        <f t="shared" si="1"/>
        <v/>
      </c>
      <c r="H65" s="7" t="str">
        <f t="shared" si="2"/>
        <v/>
      </c>
      <c r="I65" s="24" t="str">
        <f t="shared" si="3"/>
        <v/>
      </c>
    </row>
    <row r="66" spans="1:9" x14ac:dyDescent="0.25">
      <c r="A66" s="2"/>
      <c r="B66" s="1"/>
      <c r="C66" s="14"/>
      <c r="D66" s="13"/>
      <c r="E66" s="16"/>
      <c r="F66" s="22" t="str">
        <f t="shared" si="0"/>
        <v/>
      </c>
      <c r="G66" s="23" t="str">
        <f t="shared" si="1"/>
        <v/>
      </c>
      <c r="H66" s="7" t="str">
        <f t="shared" si="2"/>
        <v/>
      </c>
      <c r="I66" s="24" t="str">
        <f t="shared" si="3"/>
        <v/>
      </c>
    </row>
    <row r="67" spans="1:9" x14ac:dyDescent="0.25">
      <c r="A67" s="2"/>
      <c r="B67" s="1"/>
      <c r="C67" s="14"/>
      <c r="D67" s="13"/>
      <c r="E67" s="16"/>
      <c r="F67" s="22" t="str">
        <f t="shared" si="0"/>
        <v/>
      </c>
      <c r="G67" s="23" t="str">
        <f t="shared" si="1"/>
        <v/>
      </c>
      <c r="H67" s="7" t="str">
        <f t="shared" si="2"/>
        <v/>
      </c>
      <c r="I67" s="24" t="str">
        <f t="shared" si="3"/>
        <v/>
      </c>
    </row>
    <row r="68" spans="1:9" x14ac:dyDescent="0.25">
      <c r="A68" s="2"/>
      <c r="B68" s="1"/>
      <c r="C68" s="14"/>
      <c r="D68" s="13"/>
      <c r="E68" s="16"/>
      <c r="F68" s="22" t="str">
        <f t="shared" si="0"/>
        <v/>
      </c>
      <c r="G68" s="23" t="str">
        <f t="shared" si="1"/>
        <v/>
      </c>
      <c r="H68" s="7" t="str">
        <f t="shared" si="2"/>
        <v/>
      </c>
      <c r="I68" s="24" t="str">
        <f t="shared" si="3"/>
        <v/>
      </c>
    </row>
    <row r="69" spans="1:9" x14ac:dyDescent="0.25">
      <c r="A69" s="2"/>
      <c r="B69" s="1"/>
      <c r="C69" s="14"/>
      <c r="D69" s="13"/>
      <c r="E69" s="16"/>
      <c r="F69" s="22" t="str">
        <f t="shared" si="0"/>
        <v/>
      </c>
      <c r="G69" s="23" t="str">
        <f t="shared" si="1"/>
        <v/>
      </c>
      <c r="H69" s="7" t="str">
        <f t="shared" si="2"/>
        <v/>
      </c>
      <c r="I69" s="24" t="str">
        <f t="shared" si="3"/>
        <v/>
      </c>
    </row>
    <row r="70" spans="1:9" x14ac:dyDescent="0.25">
      <c r="A70" s="2"/>
      <c r="B70" s="1"/>
      <c r="C70" s="14"/>
      <c r="D70" s="13"/>
      <c r="E70" s="16"/>
      <c r="F70" s="22" t="str">
        <f t="shared" si="0"/>
        <v/>
      </c>
      <c r="G70" s="23" t="str">
        <f t="shared" si="1"/>
        <v/>
      </c>
      <c r="H70" s="7" t="str">
        <f t="shared" si="2"/>
        <v/>
      </c>
      <c r="I70" s="24" t="str">
        <f t="shared" si="3"/>
        <v/>
      </c>
    </row>
    <row r="71" spans="1:9" x14ac:dyDescent="0.25">
      <c r="A71" s="2"/>
      <c r="B71" s="1"/>
      <c r="C71" s="14"/>
      <c r="D71" s="13"/>
      <c r="E71" s="16"/>
      <c r="F71" s="22" t="str">
        <f t="shared" ref="F71:F75" si="9">IF(ISNUMBER(C71),(B71-E71)/(IF(D71&lt;&gt;0,D71,1)),"")</f>
        <v/>
      </c>
      <c r="G71" s="23" t="str">
        <f t="shared" ref="G71:G75" si="10">IF(ISNUMBER(C71),C71/F71-1,"")</f>
        <v/>
      </c>
      <c r="H71" s="7" t="str">
        <f t="shared" ref="H71:H75" si="11">IF(ISNUMBER(G71),G71+ROW(A71)/100000000000,"")</f>
        <v/>
      </c>
      <c r="I71" s="24" t="str">
        <f t="shared" ref="I71:I75" si="12">IF(ISNUMBER(H71),RANK(H71,$H$6:$H$75,0),"")</f>
        <v/>
      </c>
    </row>
    <row r="72" spans="1:9" x14ac:dyDescent="0.25">
      <c r="A72" s="2"/>
      <c r="B72" s="1"/>
      <c r="C72" s="14"/>
      <c r="D72" s="13"/>
      <c r="E72" s="16"/>
      <c r="F72" s="22" t="str">
        <f t="shared" si="9"/>
        <v/>
      </c>
      <c r="G72" s="23" t="str">
        <f t="shared" si="10"/>
        <v/>
      </c>
      <c r="H72" s="7" t="str">
        <f t="shared" si="11"/>
        <v/>
      </c>
      <c r="I72" s="24" t="str">
        <f t="shared" si="12"/>
        <v/>
      </c>
    </row>
    <row r="73" spans="1:9" x14ac:dyDescent="0.25">
      <c r="A73" s="2"/>
      <c r="B73" s="1"/>
      <c r="C73" s="14"/>
      <c r="D73" s="13"/>
      <c r="E73" s="16"/>
      <c r="F73" s="22" t="str">
        <f t="shared" si="9"/>
        <v/>
      </c>
      <c r="G73" s="23" t="str">
        <f t="shared" si="10"/>
        <v/>
      </c>
      <c r="H73" s="7" t="str">
        <f t="shared" si="11"/>
        <v/>
      </c>
      <c r="I73" s="24" t="str">
        <f t="shared" si="12"/>
        <v/>
      </c>
    </row>
    <row r="74" spans="1:9" x14ac:dyDescent="0.25">
      <c r="A74" s="2"/>
      <c r="B74" s="1"/>
      <c r="C74" s="14"/>
      <c r="D74" s="13"/>
      <c r="E74" s="16"/>
      <c r="F74" s="22" t="str">
        <f t="shared" si="9"/>
        <v/>
      </c>
      <c r="G74" s="23" t="str">
        <f t="shared" si="10"/>
        <v/>
      </c>
      <c r="H74" s="7" t="str">
        <f t="shared" si="11"/>
        <v/>
      </c>
      <c r="I74" s="24" t="str">
        <f t="shared" si="12"/>
        <v/>
      </c>
    </row>
    <row r="75" spans="1:9" x14ac:dyDescent="0.25">
      <c r="A75" s="2"/>
      <c r="B75" s="1"/>
      <c r="C75" s="14"/>
      <c r="D75" s="13"/>
      <c r="E75" s="16"/>
      <c r="F75" s="22" t="str">
        <f t="shared" si="9"/>
        <v/>
      </c>
      <c r="G75" s="23" t="str">
        <f t="shared" si="10"/>
        <v/>
      </c>
      <c r="H75" s="7" t="str">
        <f t="shared" si="11"/>
        <v/>
      </c>
      <c r="I75" s="24" t="str">
        <f t="shared" si="12"/>
        <v/>
      </c>
    </row>
  </sheetData>
  <mergeCells count="4">
    <mergeCell ref="D3:E4"/>
    <mergeCell ref="K3:L4"/>
    <mergeCell ref="N3:O4"/>
    <mergeCell ref="K12:O14"/>
  </mergeCells>
  <conditionalFormatting sqref="G6:G75">
    <cfRule type="iconSet" priority="2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Lavrado</dc:creator>
  <cp:lastModifiedBy>Rafael Lavrado</cp:lastModifiedBy>
  <dcterms:created xsi:type="dcterms:W3CDTF">2017-05-09T22:26:50Z</dcterms:created>
  <dcterms:modified xsi:type="dcterms:W3CDTF">2018-08-14T15:14:32Z</dcterms:modified>
</cp:coreProperties>
</file>