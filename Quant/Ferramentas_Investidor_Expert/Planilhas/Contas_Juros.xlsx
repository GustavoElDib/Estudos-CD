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rafae\Desktop\blog_new\Taxa_Juros\"/>
    </mc:Choice>
  </mc:AlternateContent>
  <xr:revisionPtr revIDLastSave="0" documentId="13_ncr:1_{C513025E-708E-40E0-B4CB-5C8F61BC3F49}" xr6:coauthVersionLast="37" xr6:coauthVersionMax="37" xr10:uidLastSave="{00000000-0000-0000-0000-000000000000}"/>
  <bookViews>
    <workbookView xWindow="0" yWindow="0" windowWidth="15435" windowHeight="11910" xr2:uid="{00000000-000D-0000-FFFF-FFFF00000000}"/>
  </bookViews>
  <sheets>
    <sheet name="Conversão_Taxas" sheetId="3" r:id="rId1"/>
    <sheet name="Emprestimo" sheetId="5" r:id="rId2"/>
    <sheet name="Feriados" sheetId="6" r:id="rId3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10" i="5" l="1"/>
  <c r="E11" i="5" s="1"/>
  <c r="C9" i="5"/>
  <c r="H7" i="5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H38" i="5" s="1"/>
  <c r="H39" i="5" s="1"/>
  <c r="H40" i="5" s="1"/>
  <c r="H41" i="5" s="1"/>
  <c r="H42" i="5" s="1"/>
  <c r="H43" i="5" s="1"/>
  <c r="H44" i="5" s="1"/>
  <c r="H45" i="5" s="1"/>
  <c r="H46" i="5" s="1"/>
  <c r="H47" i="5" s="1"/>
  <c r="H48" i="5" s="1"/>
  <c r="H49" i="5" s="1"/>
  <c r="H50" i="5" s="1"/>
  <c r="H51" i="5" s="1"/>
  <c r="H52" i="5" s="1"/>
  <c r="H53" i="5" s="1"/>
  <c r="H54" i="5" s="1"/>
  <c r="H55" i="5" s="1"/>
  <c r="H56" i="5" s="1"/>
  <c r="H57" i="5" s="1"/>
  <c r="H58" i="5" s="1"/>
  <c r="H59" i="5" s="1"/>
  <c r="H60" i="5" s="1"/>
  <c r="H61" i="5" s="1"/>
  <c r="H62" i="5" s="1"/>
  <c r="H63" i="5" s="1"/>
  <c r="H64" i="5" s="1"/>
  <c r="H65" i="5" s="1"/>
  <c r="H66" i="5" s="1"/>
  <c r="H67" i="5" s="1"/>
  <c r="H68" i="5" s="1"/>
  <c r="H69" i="5" s="1"/>
  <c r="H70" i="5" s="1"/>
  <c r="H71" i="5" s="1"/>
  <c r="H72" i="5" s="1"/>
  <c r="H73" i="5" s="1"/>
  <c r="H74" i="5" s="1"/>
  <c r="H75" i="5" s="1"/>
  <c r="H76" i="5" s="1"/>
  <c r="H77" i="5" s="1"/>
  <c r="H78" i="5" s="1"/>
  <c r="H79" i="5" s="1"/>
  <c r="H80" i="5" s="1"/>
  <c r="H81" i="5" s="1"/>
  <c r="H82" i="5" s="1"/>
  <c r="H83" i="5" s="1"/>
  <c r="H84" i="5" s="1"/>
  <c r="H85" i="5" s="1"/>
  <c r="H86" i="5" s="1"/>
  <c r="H87" i="5" s="1"/>
  <c r="H88" i="5" s="1"/>
  <c r="H89" i="5" s="1"/>
  <c r="H90" i="5" s="1"/>
  <c r="H91" i="5" s="1"/>
  <c r="H92" i="5" s="1"/>
  <c r="H93" i="5" s="1"/>
  <c r="H94" i="5" s="1"/>
  <c r="H95" i="5" s="1"/>
  <c r="H96" i="5" s="1"/>
  <c r="H97" i="5" s="1"/>
  <c r="H98" i="5" s="1"/>
  <c r="H99" i="5" s="1"/>
  <c r="H100" i="5" s="1"/>
  <c r="H101" i="5" s="1"/>
  <c r="H102" i="5" s="1"/>
  <c r="H103" i="5" s="1"/>
  <c r="H104" i="5" s="1"/>
  <c r="H105" i="5" s="1"/>
  <c r="H106" i="5" s="1"/>
  <c r="H107" i="5" s="1"/>
  <c r="H108" i="5" s="1"/>
  <c r="H109" i="5" s="1"/>
  <c r="H110" i="5" s="1"/>
  <c r="H111" i="5" s="1"/>
  <c r="H112" i="5" s="1"/>
  <c r="H113" i="5" s="1"/>
  <c r="H114" i="5" s="1"/>
  <c r="H115" i="5" s="1"/>
  <c r="H116" i="5" s="1"/>
  <c r="H117" i="5" s="1"/>
  <c r="H118" i="5" s="1"/>
  <c r="H119" i="5" s="1"/>
  <c r="H120" i="5" s="1"/>
  <c r="H121" i="5" s="1"/>
  <c r="H122" i="5" s="1"/>
  <c r="H123" i="5" s="1"/>
  <c r="H124" i="5" s="1"/>
  <c r="H125" i="5" s="1"/>
  <c r="H126" i="5" s="1"/>
  <c r="H127" i="5" s="1"/>
  <c r="H128" i="5" s="1"/>
  <c r="H129" i="5" s="1"/>
  <c r="H130" i="5" s="1"/>
  <c r="H131" i="5" s="1"/>
  <c r="H132" i="5" s="1"/>
  <c r="H133" i="5" s="1"/>
  <c r="H134" i="5" s="1"/>
  <c r="H135" i="5" s="1"/>
  <c r="H136" i="5" s="1"/>
  <c r="H137" i="5" s="1"/>
  <c r="H138" i="5" s="1"/>
  <c r="H139" i="5" s="1"/>
  <c r="H140" i="5" s="1"/>
  <c r="H141" i="5" s="1"/>
  <c r="H142" i="5" s="1"/>
  <c r="H143" i="5" s="1"/>
  <c r="H144" i="5" s="1"/>
  <c r="H145" i="5" s="1"/>
  <c r="H146" i="5" s="1"/>
  <c r="H147" i="5" s="1"/>
  <c r="H148" i="5" s="1"/>
  <c r="H149" i="5" s="1"/>
  <c r="H150" i="5" s="1"/>
  <c r="H151" i="5" s="1"/>
  <c r="H152" i="5" s="1"/>
  <c r="H153" i="5" s="1"/>
  <c r="H154" i="5" s="1"/>
  <c r="H155" i="5" s="1"/>
  <c r="H156" i="5" s="1"/>
  <c r="H157" i="5" s="1"/>
  <c r="H158" i="5" s="1"/>
  <c r="H159" i="5" s="1"/>
  <c r="H160" i="5" s="1"/>
  <c r="H161" i="5" s="1"/>
  <c r="H162" i="5" s="1"/>
  <c r="H163" i="5" s="1"/>
  <c r="H164" i="5" s="1"/>
  <c r="H165" i="5" s="1"/>
  <c r="H166" i="5" s="1"/>
  <c r="H167" i="5" s="1"/>
  <c r="H168" i="5" s="1"/>
  <c r="H169" i="5" s="1"/>
  <c r="H170" i="5" s="1"/>
  <c r="H171" i="5" s="1"/>
  <c r="H172" i="5" s="1"/>
  <c r="H173" i="5" s="1"/>
  <c r="H174" i="5" s="1"/>
  <c r="H175" i="5" s="1"/>
  <c r="H176" i="5" s="1"/>
  <c r="H177" i="5" s="1"/>
  <c r="H178" i="5" s="1"/>
  <c r="H179" i="5" s="1"/>
  <c r="H180" i="5" s="1"/>
  <c r="H181" i="5" s="1"/>
  <c r="H182" i="5" s="1"/>
  <c r="H183" i="5" s="1"/>
  <c r="H184" i="5" s="1"/>
  <c r="H185" i="5" s="1"/>
  <c r="H186" i="5" s="1"/>
  <c r="H187" i="5" s="1"/>
  <c r="H188" i="5" s="1"/>
  <c r="H189" i="5" s="1"/>
  <c r="H190" i="5" s="1"/>
  <c r="H191" i="5" s="1"/>
  <c r="H192" i="5" s="1"/>
  <c r="H193" i="5" s="1"/>
  <c r="H194" i="5" s="1"/>
  <c r="H195" i="5" s="1"/>
  <c r="H196" i="5" s="1"/>
  <c r="H197" i="5" s="1"/>
  <c r="H198" i="5" s="1"/>
  <c r="H199" i="5" s="1"/>
  <c r="H200" i="5" s="1"/>
  <c r="H201" i="5" s="1"/>
  <c r="H202" i="5" s="1"/>
  <c r="H203" i="5" s="1"/>
  <c r="H204" i="5" s="1"/>
  <c r="H205" i="5" s="1"/>
  <c r="H206" i="5" s="1"/>
  <c r="H207" i="5" s="1"/>
  <c r="H208" i="5" s="1"/>
  <c r="H209" i="5" s="1"/>
  <c r="H210" i="5" s="1"/>
  <c r="H211" i="5" s="1"/>
  <c r="H212" i="5" s="1"/>
  <c r="H213" i="5" s="1"/>
  <c r="H214" i="5" s="1"/>
  <c r="H215" i="5" s="1"/>
  <c r="H216" i="5" s="1"/>
  <c r="H217" i="5" s="1"/>
  <c r="H218" i="5" s="1"/>
  <c r="H219" i="5" s="1"/>
  <c r="H220" i="5" s="1"/>
  <c r="H221" i="5" s="1"/>
  <c r="H222" i="5" s="1"/>
  <c r="H223" i="5" s="1"/>
  <c r="H224" i="5" s="1"/>
  <c r="H225" i="5" s="1"/>
  <c r="H226" i="5" s="1"/>
  <c r="H227" i="5" s="1"/>
  <c r="H228" i="5" s="1"/>
  <c r="H229" i="5" s="1"/>
  <c r="H230" i="5" s="1"/>
  <c r="H231" i="5" s="1"/>
  <c r="H232" i="5" s="1"/>
  <c r="H233" i="5" s="1"/>
  <c r="H234" i="5" s="1"/>
  <c r="H235" i="5" s="1"/>
  <c r="H236" i="5" s="1"/>
  <c r="H237" i="5" s="1"/>
  <c r="H238" i="5" s="1"/>
  <c r="H239" i="5" s="1"/>
  <c r="H240" i="5" s="1"/>
  <c r="H241" i="5" s="1"/>
  <c r="H242" i="5" s="1"/>
  <c r="H243" i="5" s="1"/>
  <c r="H244" i="5" s="1"/>
  <c r="H245" i="5" s="1"/>
  <c r="H246" i="5" s="1"/>
  <c r="H247" i="5" s="1"/>
  <c r="H248" i="5" s="1"/>
  <c r="H249" i="5" s="1"/>
  <c r="H250" i="5" s="1"/>
  <c r="H251" i="5" s="1"/>
  <c r="H252" i="5" s="1"/>
  <c r="H253" i="5" s="1"/>
  <c r="H254" i="5" s="1"/>
  <c r="H255" i="5" s="1"/>
  <c r="H256" i="5" s="1"/>
  <c r="H257" i="5" s="1"/>
  <c r="H258" i="5" s="1"/>
  <c r="H259" i="5" s="1"/>
  <c r="H260" i="5" s="1"/>
  <c r="H261" i="5" s="1"/>
  <c r="H262" i="5" s="1"/>
  <c r="H263" i="5" s="1"/>
  <c r="H264" i="5" s="1"/>
  <c r="H265" i="5" s="1"/>
  <c r="H266" i="5" s="1"/>
  <c r="H267" i="5" s="1"/>
  <c r="H268" i="5" s="1"/>
  <c r="H269" i="5" s="1"/>
  <c r="H270" i="5" s="1"/>
  <c r="H271" i="5" s="1"/>
  <c r="H272" i="5" s="1"/>
  <c r="H273" i="5" s="1"/>
  <c r="H274" i="5" s="1"/>
  <c r="H275" i="5" s="1"/>
  <c r="H276" i="5" s="1"/>
  <c r="H277" i="5" s="1"/>
  <c r="H278" i="5" s="1"/>
  <c r="H279" i="5" s="1"/>
  <c r="H280" i="5" s="1"/>
  <c r="H281" i="5" s="1"/>
  <c r="H282" i="5" s="1"/>
  <c r="H283" i="5" s="1"/>
  <c r="H284" i="5" s="1"/>
  <c r="H285" i="5" s="1"/>
  <c r="H286" i="5" s="1"/>
  <c r="H287" i="5" s="1"/>
  <c r="H288" i="5" s="1"/>
  <c r="H289" i="5" s="1"/>
  <c r="H290" i="5" s="1"/>
  <c r="H291" i="5" s="1"/>
  <c r="H292" i="5" s="1"/>
  <c r="H293" i="5" s="1"/>
  <c r="H294" i="5" s="1"/>
  <c r="H295" i="5" s="1"/>
  <c r="H296" i="5" s="1"/>
  <c r="H297" i="5" s="1"/>
  <c r="H298" i="5" s="1"/>
  <c r="H299" i="5" s="1"/>
  <c r="H300" i="5" s="1"/>
  <c r="H301" i="5" s="1"/>
  <c r="H302" i="5" s="1"/>
  <c r="H303" i="5" s="1"/>
  <c r="H304" i="5" s="1"/>
  <c r="H305" i="5" s="1"/>
  <c r="H306" i="5" s="1"/>
  <c r="H307" i="5" s="1"/>
  <c r="H308" i="5" s="1"/>
  <c r="H309" i="5" s="1"/>
  <c r="H310" i="5" s="1"/>
  <c r="H311" i="5" s="1"/>
  <c r="H312" i="5" s="1"/>
  <c r="H313" i="5" s="1"/>
  <c r="H314" i="5" s="1"/>
  <c r="H315" i="5" s="1"/>
  <c r="H316" i="5" s="1"/>
  <c r="H317" i="5" s="1"/>
  <c r="H318" i="5" s="1"/>
  <c r="H319" i="5" s="1"/>
  <c r="H320" i="5" s="1"/>
  <c r="H321" i="5" s="1"/>
  <c r="H322" i="5" s="1"/>
  <c r="H323" i="5" s="1"/>
  <c r="H324" i="5" s="1"/>
  <c r="H325" i="5" s="1"/>
  <c r="H326" i="5" s="1"/>
  <c r="H327" i="5" s="1"/>
  <c r="H328" i="5" s="1"/>
  <c r="H329" i="5" s="1"/>
  <c r="H330" i="5" s="1"/>
  <c r="H331" i="5" s="1"/>
  <c r="H332" i="5" s="1"/>
  <c r="H333" i="5" s="1"/>
  <c r="H334" i="5" s="1"/>
  <c r="H335" i="5" s="1"/>
  <c r="H336" i="5" s="1"/>
  <c r="H337" i="5" s="1"/>
  <c r="H338" i="5" s="1"/>
  <c r="H339" i="5" s="1"/>
  <c r="H340" i="5" s="1"/>
  <c r="H341" i="5" s="1"/>
  <c r="H342" i="5" s="1"/>
  <c r="H343" i="5" s="1"/>
  <c r="H344" i="5" s="1"/>
  <c r="H345" i="5" s="1"/>
  <c r="H346" i="5" s="1"/>
  <c r="H347" i="5" s="1"/>
  <c r="H348" i="5" s="1"/>
  <c r="H349" i="5" s="1"/>
  <c r="H350" i="5" s="1"/>
  <c r="H351" i="5" s="1"/>
  <c r="H352" i="5" s="1"/>
  <c r="H353" i="5" s="1"/>
  <c r="H354" i="5" s="1"/>
  <c r="H355" i="5" s="1"/>
  <c r="H356" i="5" s="1"/>
  <c r="H357" i="5" s="1"/>
  <c r="H358" i="5" s="1"/>
  <c r="H359" i="5" s="1"/>
  <c r="H360" i="5" s="1"/>
  <c r="H361" i="5" s="1"/>
  <c r="H362" i="5" s="1"/>
  <c r="H363" i="5" s="1"/>
  <c r="H364" i="5" s="1"/>
  <c r="H365" i="5" s="1"/>
  <c r="H366" i="5" s="1"/>
  <c r="H367" i="5" s="1"/>
  <c r="H368" i="5" s="1"/>
  <c r="H369" i="5" s="1"/>
  <c r="H370" i="5" s="1"/>
  <c r="H371" i="5" s="1"/>
  <c r="H372" i="5" s="1"/>
  <c r="H373" i="5" s="1"/>
  <c r="H374" i="5" s="1"/>
  <c r="H375" i="5" s="1"/>
  <c r="H376" i="5" s="1"/>
  <c r="H377" i="5" s="1"/>
  <c r="H378" i="5" s="1"/>
  <c r="H379" i="5" s="1"/>
  <c r="H380" i="5" s="1"/>
  <c r="H381" i="5" s="1"/>
  <c r="H382" i="5" s="1"/>
  <c r="H383" i="5" s="1"/>
  <c r="H384" i="5" s="1"/>
  <c r="H385" i="5" s="1"/>
  <c r="H386" i="5" s="1"/>
  <c r="H387" i="5" s="1"/>
  <c r="H388" i="5" s="1"/>
  <c r="H389" i="5" s="1"/>
  <c r="H390" i="5" s="1"/>
  <c r="H391" i="5" s="1"/>
  <c r="H392" i="5" s="1"/>
  <c r="H393" i="5" s="1"/>
  <c r="H394" i="5" s="1"/>
  <c r="H395" i="5" s="1"/>
  <c r="H396" i="5" s="1"/>
  <c r="H397" i="5" s="1"/>
  <c r="H398" i="5" s="1"/>
  <c r="H399" i="5" s="1"/>
  <c r="H400" i="5" s="1"/>
  <c r="H401" i="5" s="1"/>
  <c r="H402" i="5" s="1"/>
  <c r="H403" i="5" s="1"/>
  <c r="H404" i="5" s="1"/>
  <c r="H405" i="5" s="1"/>
  <c r="H406" i="5" s="1"/>
  <c r="H407" i="5" s="1"/>
  <c r="H408" i="5" s="1"/>
  <c r="H409" i="5" s="1"/>
  <c r="H410" i="5" s="1"/>
  <c r="H411" i="5" s="1"/>
  <c r="H412" i="5" s="1"/>
  <c r="H413" i="5" s="1"/>
  <c r="H414" i="5" s="1"/>
  <c r="H415" i="5" s="1"/>
  <c r="H416" i="5" s="1"/>
  <c r="H417" i="5" s="1"/>
  <c r="H418" i="5" s="1"/>
  <c r="H419" i="5" s="1"/>
  <c r="H420" i="5" s="1"/>
  <c r="H421" i="5" s="1"/>
  <c r="H422" i="5" s="1"/>
  <c r="H423" i="5" s="1"/>
  <c r="H424" i="5" s="1"/>
  <c r="H425" i="5" s="1"/>
  <c r="H426" i="5" s="1"/>
  <c r="G7" i="5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G38" i="5" s="1"/>
  <c r="G39" i="5" s="1"/>
  <c r="G40" i="5" s="1"/>
  <c r="G41" i="5" s="1"/>
  <c r="G42" i="5" s="1"/>
  <c r="G43" i="5" s="1"/>
  <c r="G44" i="5" s="1"/>
  <c r="G45" i="5" s="1"/>
  <c r="G46" i="5" s="1"/>
  <c r="G47" i="5" s="1"/>
  <c r="G48" i="5" s="1"/>
  <c r="G49" i="5" s="1"/>
  <c r="G50" i="5" s="1"/>
  <c r="G51" i="5" s="1"/>
  <c r="G52" i="5" s="1"/>
  <c r="G53" i="5" s="1"/>
  <c r="G54" i="5" s="1"/>
  <c r="G55" i="5" s="1"/>
  <c r="G56" i="5" s="1"/>
  <c r="G57" i="5" s="1"/>
  <c r="G58" i="5" s="1"/>
  <c r="G59" i="5" s="1"/>
  <c r="G60" i="5" s="1"/>
  <c r="G61" i="5" s="1"/>
  <c r="G62" i="5" s="1"/>
  <c r="G63" i="5" s="1"/>
  <c r="G64" i="5" s="1"/>
  <c r="G65" i="5" s="1"/>
  <c r="G66" i="5" s="1"/>
  <c r="G67" i="5" s="1"/>
  <c r="G68" i="5" s="1"/>
  <c r="G69" i="5" s="1"/>
  <c r="G70" i="5" s="1"/>
  <c r="G71" i="5" s="1"/>
  <c r="G72" i="5" s="1"/>
  <c r="G73" i="5" s="1"/>
  <c r="G74" i="5" s="1"/>
  <c r="G75" i="5" s="1"/>
  <c r="G76" i="5" s="1"/>
  <c r="G77" i="5" s="1"/>
  <c r="G78" i="5" s="1"/>
  <c r="G79" i="5" s="1"/>
  <c r="G80" i="5" s="1"/>
  <c r="G81" i="5" s="1"/>
  <c r="G82" i="5" s="1"/>
  <c r="G83" i="5" s="1"/>
  <c r="G84" i="5" s="1"/>
  <c r="G85" i="5" s="1"/>
  <c r="G86" i="5" s="1"/>
  <c r="G87" i="5" s="1"/>
  <c r="G88" i="5" s="1"/>
  <c r="G89" i="5" s="1"/>
  <c r="G90" i="5" s="1"/>
  <c r="G91" i="5" s="1"/>
  <c r="G92" i="5" s="1"/>
  <c r="G93" i="5" s="1"/>
  <c r="G94" i="5" s="1"/>
  <c r="G95" i="5" s="1"/>
  <c r="G96" i="5" s="1"/>
  <c r="G97" i="5" s="1"/>
  <c r="G98" i="5" s="1"/>
  <c r="G99" i="5" s="1"/>
  <c r="G100" i="5" s="1"/>
  <c r="G101" i="5" s="1"/>
  <c r="G102" i="5" s="1"/>
  <c r="G103" i="5" s="1"/>
  <c r="G104" i="5" s="1"/>
  <c r="G105" i="5" s="1"/>
  <c r="G106" i="5" s="1"/>
  <c r="G107" i="5" s="1"/>
  <c r="G108" i="5" s="1"/>
  <c r="G109" i="5" s="1"/>
  <c r="G110" i="5" s="1"/>
  <c r="G111" i="5" s="1"/>
  <c r="G112" i="5" s="1"/>
  <c r="G113" i="5" s="1"/>
  <c r="G114" i="5" s="1"/>
  <c r="G115" i="5" s="1"/>
  <c r="G116" i="5" s="1"/>
  <c r="G117" i="5" s="1"/>
  <c r="G118" i="5" s="1"/>
  <c r="G119" i="5" s="1"/>
  <c r="G120" i="5" s="1"/>
  <c r="G121" i="5" s="1"/>
  <c r="G122" i="5" s="1"/>
  <c r="G123" i="5" s="1"/>
  <c r="G124" i="5" s="1"/>
  <c r="G125" i="5" s="1"/>
  <c r="G126" i="5" s="1"/>
  <c r="G127" i="5" s="1"/>
  <c r="G128" i="5" s="1"/>
  <c r="G129" i="5" s="1"/>
  <c r="G130" i="5" s="1"/>
  <c r="G131" i="5" s="1"/>
  <c r="G132" i="5" s="1"/>
  <c r="G133" i="5" s="1"/>
  <c r="G134" i="5" s="1"/>
  <c r="G135" i="5" s="1"/>
  <c r="G136" i="5" s="1"/>
  <c r="G137" i="5" s="1"/>
  <c r="G138" i="5" s="1"/>
  <c r="G139" i="5" s="1"/>
  <c r="G140" i="5" s="1"/>
  <c r="G141" i="5" s="1"/>
  <c r="G142" i="5" s="1"/>
  <c r="G143" i="5" s="1"/>
  <c r="G144" i="5" s="1"/>
  <c r="G145" i="5" s="1"/>
  <c r="G146" i="5" s="1"/>
  <c r="G147" i="5" s="1"/>
  <c r="G148" i="5" s="1"/>
  <c r="G149" i="5" s="1"/>
  <c r="G150" i="5" s="1"/>
  <c r="G151" i="5" s="1"/>
  <c r="G152" i="5" s="1"/>
  <c r="G153" i="5" s="1"/>
  <c r="G154" i="5" s="1"/>
  <c r="G155" i="5" s="1"/>
  <c r="G156" i="5" s="1"/>
  <c r="G157" i="5" s="1"/>
  <c r="G158" i="5" s="1"/>
  <c r="G159" i="5" s="1"/>
  <c r="G160" i="5" s="1"/>
  <c r="G161" i="5" s="1"/>
  <c r="G162" i="5" s="1"/>
  <c r="G163" i="5" s="1"/>
  <c r="G164" i="5" s="1"/>
  <c r="G165" i="5" s="1"/>
  <c r="G166" i="5" s="1"/>
  <c r="G167" i="5" s="1"/>
  <c r="G168" i="5" s="1"/>
  <c r="G169" i="5" s="1"/>
  <c r="G170" i="5" s="1"/>
  <c r="G171" i="5" s="1"/>
  <c r="G172" i="5" s="1"/>
  <c r="G173" i="5" s="1"/>
  <c r="G174" i="5" s="1"/>
  <c r="G175" i="5" s="1"/>
  <c r="G176" i="5" s="1"/>
  <c r="G177" i="5" s="1"/>
  <c r="G178" i="5" s="1"/>
  <c r="G179" i="5" s="1"/>
  <c r="G180" i="5" s="1"/>
  <c r="G181" i="5" s="1"/>
  <c r="G182" i="5" s="1"/>
  <c r="G183" i="5" s="1"/>
  <c r="G184" i="5" s="1"/>
  <c r="G185" i="5" s="1"/>
  <c r="G186" i="5" s="1"/>
  <c r="G187" i="5" s="1"/>
  <c r="G188" i="5" s="1"/>
  <c r="G189" i="5" s="1"/>
  <c r="G190" i="5" s="1"/>
  <c r="G191" i="5" s="1"/>
  <c r="G192" i="5" s="1"/>
  <c r="G193" i="5" s="1"/>
  <c r="G194" i="5" s="1"/>
  <c r="G195" i="5" s="1"/>
  <c r="G196" i="5" s="1"/>
  <c r="G197" i="5" s="1"/>
  <c r="G198" i="5" s="1"/>
  <c r="G199" i="5" s="1"/>
  <c r="G200" i="5" s="1"/>
  <c r="G201" i="5" s="1"/>
  <c r="G202" i="5" s="1"/>
  <c r="G203" i="5" s="1"/>
  <c r="G204" i="5" s="1"/>
  <c r="G205" i="5" s="1"/>
  <c r="G206" i="5" s="1"/>
  <c r="G207" i="5" s="1"/>
  <c r="G208" i="5" s="1"/>
  <c r="G209" i="5" s="1"/>
  <c r="G210" i="5" s="1"/>
  <c r="G211" i="5" s="1"/>
  <c r="G212" i="5" s="1"/>
  <c r="G213" i="5" s="1"/>
  <c r="G214" i="5" s="1"/>
  <c r="G215" i="5" s="1"/>
  <c r="G216" i="5" s="1"/>
  <c r="G217" i="5" s="1"/>
  <c r="G218" i="5" s="1"/>
  <c r="G219" i="5" s="1"/>
  <c r="G220" i="5" s="1"/>
  <c r="G221" i="5" s="1"/>
  <c r="G222" i="5" s="1"/>
  <c r="G223" i="5" s="1"/>
  <c r="G224" i="5" s="1"/>
  <c r="G225" i="5" s="1"/>
  <c r="G226" i="5" s="1"/>
  <c r="G227" i="5" s="1"/>
  <c r="G228" i="5" s="1"/>
  <c r="G229" i="5" s="1"/>
  <c r="G230" i="5" s="1"/>
  <c r="G231" i="5" s="1"/>
  <c r="G232" i="5" s="1"/>
  <c r="G233" i="5" s="1"/>
  <c r="G234" i="5" s="1"/>
  <c r="G235" i="5" s="1"/>
  <c r="G236" i="5" s="1"/>
  <c r="G237" i="5" s="1"/>
  <c r="G238" i="5" s="1"/>
  <c r="G239" i="5" s="1"/>
  <c r="G240" i="5" s="1"/>
  <c r="G241" i="5" s="1"/>
  <c r="G242" i="5" s="1"/>
  <c r="G243" i="5" s="1"/>
  <c r="G244" i="5" s="1"/>
  <c r="G245" i="5" s="1"/>
  <c r="G246" i="5" s="1"/>
  <c r="G247" i="5" s="1"/>
  <c r="G248" i="5" s="1"/>
  <c r="G249" i="5" s="1"/>
  <c r="G250" i="5" s="1"/>
  <c r="G251" i="5" s="1"/>
  <c r="G252" i="5" s="1"/>
  <c r="G253" i="5" s="1"/>
  <c r="G254" i="5" s="1"/>
  <c r="G255" i="5" s="1"/>
  <c r="G256" i="5" s="1"/>
  <c r="G257" i="5" s="1"/>
  <c r="G258" i="5" s="1"/>
  <c r="G259" i="5" s="1"/>
  <c r="G260" i="5" s="1"/>
  <c r="G261" i="5" s="1"/>
  <c r="G262" i="5" s="1"/>
  <c r="G263" i="5" s="1"/>
  <c r="G264" i="5" s="1"/>
  <c r="G265" i="5" s="1"/>
  <c r="G266" i="5" s="1"/>
  <c r="G267" i="5" s="1"/>
  <c r="G268" i="5" s="1"/>
  <c r="G269" i="5" s="1"/>
  <c r="G270" i="5" s="1"/>
  <c r="G271" i="5" s="1"/>
  <c r="G272" i="5" s="1"/>
  <c r="G273" i="5" s="1"/>
  <c r="G274" i="5" s="1"/>
  <c r="G275" i="5" s="1"/>
  <c r="G276" i="5" s="1"/>
  <c r="G277" i="5" s="1"/>
  <c r="G278" i="5" s="1"/>
  <c r="G279" i="5" s="1"/>
  <c r="G280" i="5" s="1"/>
  <c r="G281" i="5" s="1"/>
  <c r="G282" i="5" s="1"/>
  <c r="G283" i="5" s="1"/>
  <c r="G284" i="5" s="1"/>
  <c r="G285" i="5" s="1"/>
  <c r="G286" i="5" s="1"/>
  <c r="G287" i="5" s="1"/>
  <c r="G288" i="5" s="1"/>
  <c r="G289" i="5" s="1"/>
  <c r="G290" i="5" s="1"/>
  <c r="G291" i="5" s="1"/>
  <c r="G292" i="5" s="1"/>
  <c r="G293" i="5" s="1"/>
  <c r="G294" i="5" s="1"/>
  <c r="G295" i="5" s="1"/>
  <c r="G296" i="5" s="1"/>
  <c r="G297" i="5" s="1"/>
  <c r="G298" i="5" s="1"/>
  <c r="G299" i="5" s="1"/>
  <c r="G300" i="5" s="1"/>
  <c r="G301" i="5" s="1"/>
  <c r="G302" i="5" s="1"/>
  <c r="G303" i="5" s="1"/>
  <c r="G304" i="5" s="1"/>
  <c r="G305" i="5" s="1"/>
  <c r="G306" i="5" s="1"/>
  <c r="G307" i="5" s="1"/>
  <c r="G308" i="5" s="1"/>
  <c r="G309" i="5" s="1"/>
  <c r="G310" i="5" s="1"/>
  <c r="G311" i="5" s="1"/>
  <c r="G312" i="5" s="1"/>
  <c r="G313" i="5" s="1"/>
  <c r="G314" i="5" s="1"/>
  <c r="G315" i="5" s="1"/>
  <c r="G316" i="5" s="1"/>
  <c r="G317" i="5" s="1"/>
  <c r="G318" i="5" s="1"/>
  <c r="G319" i="5" s="1"/>
  <c r="G320" i="5" s="1"/>
  <c r="G321" i="5" s="1"/>
  <c r="G322" i="5" s="1"/>
  <c r="G323" i="5" s="1"/>
  <c r="G324" i="5" s="1"/>
  <c r="G325" i="5" s="1"/>
  <c r="G326" i="5" s="1"/>
  <c r="G327" i="5" s="1"/>
  <c r="G328" i="5" s="1"/>
  <c r="G329" i="5" s="1"/>
  <c r="G330" i="5" s="1"/>
  <c r="G331" i="5" s="1"/>
  <c r="G332" i="5" s="1"/>
  <c r="G333" i="5" s="1"/>
  <c r="G334" i="5" s="1"/>
  <c r="G335" i="5" s="1"/>
  <c r="G336" i="5" s="1"/>
  <c r="G337" i="5" s="1"/>
  <c r="G338" i="5" s="1"/>
  <c r="G339" i="5" s="1"/>
  <c r="G340" i="5" s="1"/>
  <c r="G341" i="5" s="1"/>
  <c r="G342" i="5" s="1"/>
  <c r="G343" i="5" s="1"/>
  <c r="G344" i="5" s="1"/>
  <c r="G345" i="5" s="1"/>
  <c r="G346" i="5" s="1"/>
  <c r="G347" i="5" s="1"/>
  <c r="G348" i="5" s="1"/>
  <c r="G349" i="5" s="1"/>
  <c r="G350" i="5" s="1"/>
  <c r="G351" i="5" s="1"/>
  <c r="G352" i="5" s="1"/>
  <c r="G353" i="5" s="1"/>
  <c r="G354" i="5" s="1"/>
  <c r="G355" i="5" s="1"/>
  <c r="G356" i="5" s="1"/>
  <c r="G357" i="5" s="1"/>
  <c r="G358" i="5" s="1"/>
  <c r="G359" i="5" s="1"/>
  <c r="G360" i="5" s="1"/>
  <c r="G361" i="5" s="1"/>
  <c r="G362" i="5" s="1"/>
  <c r="G363" i="5" s="1"/>
  <c r="G364" i="5" s="1"/>
  <c r="G365" i="5" s="1"/>
  <c r="G366" i="5" s="1"/>
  <c r="G367" i="5" s="1"/>
  <c r="G368" i="5" s="1"/>
  <c r="G369" i="5" s="1"/>
  <c r="G370" i="5" s="1"/>
  <c r="G371" i="5" s="1"/>
  <c r="G372" i="5" s="1"/>
  <c r="G373" i="5" s="1"/>
  <c r="G374" i="5" s="1"/>
  <c r="G375" i="5" s="1"/>
  <c r="G376" i="5" s="1"/>
  <c r="G377" i="5" s="1"/>
  <c r="G378" i="5" s="1"/>
  <c r="G379" i="5" s="1"/>
  <c r="G380" i="5" s="1"/>
  <c r="G381" i="5" s="1"/>
  <c r="G382" i="5" s="1"/>
  <c r="G383" i="5" s="1"/>
  <c r="G384" i="5" s="1"/>
  <c r="G385" i="5" s="1"/>
  <c r="G386" i="5" s="1"/>
  <c r="G387" i="5" s="1"/>
  <c r="G388" i="5" s="1"/>
  <c r="G389" i="5" s="1"/>
  <c r="G390" i="5" s="1"/>
  <c r="G391" i="5" s="1"/>
  <c r="G392" i="5" s="1"/>
  <c r="G393" i="5" s="1"/>
  <c r="G394" i="5" s="1"/>
  <c r="G395" i="5" s="1"/>
  <c r="G396" i="5" s="1"/>
  <c r="G397" i="5" s="1"/>
  <c r="G398" i="5" s="1"/>
  <c r="G399" i="5" s="1"/>
  <c r="G400" i="5" s="1"/>
  <c r="G401" i="5" s="1"/>
  <c r="G402" i="5" s="1"/>
  <c r="G403" i="5" s="1"/>
  <c r="G404" i="5" s="1"/>
  <c r="G405" i="5" s="1"/>
  <c r="G406" i="5" s="1"/>
  <c r="G407" i="5" s="1"/>
  <c r="G408" i="5" s="1"/>
  <c r="G409" i="5" s="1"/>
  <c r="G410" i="5" s="1"/>
  <c r="G411" i="5" s="1"/>
  <c r="G412" i="5" s="1"/>
  <c r="G413" i="5" s="1"/>
  <c r="G414" i="5" s="1"/>
  <c r="G415" i="5" s="1"/>
  <c r="G416" i="5" s="1"/>
  <c r="G417" i="5" s="1"/>
  <c r="G418" i="5" s="1"/>
  <c r="G419" i="5" s="1"/>
  <c r="G420" i="5" s="1"/>
  <c r="G421" i="5" s="1"/>
  <c r="G422" i="5" s="1"/>
  <c r="G423" i="5" s="1"/>
  <c r="G424" i="5" s="1"/>
  <c r="G425" i="5" s="1"/>
  <c r="G426" i="5" s="1"/>
  <c r="H6" i="5"/>
  <c r="G6" i="5"/>
  <c r="H10" i="3"/>
  <c r="I6" i="3"/>
  <c r="G6" i="3"/>
  <c r="D6" i="3"/>
  <c r="H6" i="3" s="1"/>
  <c r="D8" i="3"/>
  <c r="I8" i="3" s="1"/>
  <c r="D4" i="3"/>
  <c r="L7" i="5" l="1"/>
  <c r="C11" i="5"/>
  <c r="C12" i="5" s="1"/>
  <c r="F8" i="3"/>
  <c r="H8" i="3" s="1"/>
  <c r="C1094" i="3"/>
  <c r="C1093" i="3"/>
  <c r="C1092" i="3"/>
  <c r="C1091" i="3"/>
  <c r="C1090" i="3"/>
  <c r="C1089" i="3"/>
  <c r="C1088" i="3"/>
  <c r="C1087" i="3"/>
  <c r="C1086" i="3"/>
  <c r="C1085" i="3"/>
  <c r="C1084" i="3"/>
  <c r="C1083" i="3"/>
  <c r="C1082" i="3"/>
  <c r="C1081" i="3"/>
  <c r="C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C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9" i="3"/>
</calcChain>
</file>

<file path=xl/sharedStrings.xml><?xml version="1.0" encoding="utf-8"?>
<sst xmlns="http://schemas.openxmlformats.org/spreadsheetml/2006/main" count="75" uniqueCount="40">
  <si>
    <t>Data</t>
  </si>
  <si>
    <t>Taxa Anual</t>
  </si>
  <si>
    <t>Taxa Diária:</t>
  </si>
  <si>
    <t>Número de Dias:</t>
  </si>
  <si>
    <t>Taxa Total</t>
  </si>
  <si>
    <t>Número Dias Taxa</t>
  </si>
  <si>
    <t>Taxa Diária</t>
  </si>
  <si>
    <t>Conta Direta</t>
  </si>
  <si>
    <t>Taxa Base 1</t>
  </si>
  <si>
    <t>Número Dias Base 2</t>
  </si>
  <si>
    <t>Número Dias Base 1</t>
  </si>
  <si>
    <t>segunda-feira</t>
  </si>
  <si>
    <t>Confraternização Universal</t>
  </si>
  <si>
    <t>Carnaval</t>
  </si>
  <si>
    <t>terça-feira</t>
  </si>
  <si>
    <t>sexta-feira</t>
  </si>
  <si>
    <t>Paixão de Cristo</t>
  </si>
  <si>
    <t>sábado</t>
  </si>
  <si>
    <t>Tiradentes</t>
  </si>
  <si>
    <t>Dia do Trabalho</t>
  </si>
  <si>
    <t>quinta-feira</t>
  </si>
  <si>
    <t>Corpus Christi</t>
  </si>
  <si>
    <t>Independência do Brasil</t>
  </si>
  <si>
    <r>
      <t>Nossa Sr.</t>
    </r>
    <r>
      <rPr>
        <vertAlign val="superscript"/>
        <sz val="8"/>
        <color rgb="FF666666"/>
        <rFont val="Verdana"/>
        <family val="2"/>
      </rPr>
      <t>a</t>
    </r>
    <r>
      <rPr>
        <sz val="8"/>
        <color rgb="FF666666"/>
        <rFont val="Verdana"/>
        <family val="2"/>
      </rPr>
      <t> Aparecida - Padroeira do Brasil</t>
    </r>
  </si>
  <si>
    <t>Finados</t>
  </si>
  <si>
    <t>Proclamação da República</t>
  </si>
  <si>
    <t>Natal</t>
  </si>
  <si>
    <t>domingo</t>
  </si>
  <si>
    <t>quarta-feira</t>
  </si>
  <si>
    <r>
      <t>Nossa Sr.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 Aparecida - Padroeira do Brasil</t>
    </r>
  </si>
  <si>
    <t>Pegou Emprestado</t>
  </si>
  <si>
    <t>Valor Emprestimo</t>
  </si>
  <si>
    <t>Data Início</t>
  </si>
  <si>
    <t>Data Fim</t>
  </si>
  <si>
    <t># Dias Uteis</t>
  </si>
  <si>
    <t>Taxa Efetiva</t>
  </si>
  <si>
    <t>ou</t>
  </si>
  <si>
    <t>Vai Pagar</t>
  </si>
  <si>
    <t>Consulta Dívida Data</t>
  </si>
  <si>
    <t>Conversão Base 1 =&gt;Base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</si>
</sst>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* #,##0.00_-;\-&quot;R$&quot;* #,##0.00_-;_-&quot;R$&quot;* &quot;-&quot;??_-;_-@_-"/>
    <numFmt numFmtId="164" formatCode="0.0%"/>
    <numFmt numFmtId="165" formatCode="[$-416]dd\-mmm\-yy;@"/>
    <numFmt numFmtId="166" formatCode="0.00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rgb="FF666666"/>
      <name val="Verdana"/>
      <family val="2"/>
    </font>
    <font>
      <vertAlign val="superscript"/>
      <sz val="8"/>
      <color rgb="FF666666"/>
      <name val="Verdana"/>
      <family val="2"/>
    </font>
    <font>
      <vertAlign val="superscript"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E26B0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6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1F2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center"/>
    </xf>
    <xf numFmtId="0" fontId="0" fillId="0" borderId="2" xfId="0" applyBorder="1"/>
    <xf numFmtId="164" fontId="0" fillId="0" borderId="2" xfId="1" applyNumberFormat="1" applyFont="1" applyBorder="1" applyAlignment="1">
      <alignment horizontal="center"/>
    </xf>
    <xf numFmtId="164" fontId="0" fillId="5" borderId="2" xfId="1" applyNumberFormat="1" applyFont="1" applyFill="1" applyBorder="1" applyAlignment="1">
      <alignment horizontal="center"/>
    </xf>
    <xf numFmtId="0" fontId="0" fillId="0" borderId="0" xfId="0" applyBorder="1"/>
    <xf numFmtId="165" fontId="0" fillId="0" borderId="5" xfId="0" applyNumberFormat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0" borderId="5" xfId="0" applyBorder="1"/>
    <xf numFmtId="164" fontId="0" fillId="5" borderId="5" xfId="1" applyNumberFormat="1" applyFont="1" applyFill="1" applyBorder="1" applyAlignment="1">
      <alignment horizontal="center"/>
    </xf>
    <xf numFmtId="0" fontId="0" fillId="4" borderId="0" xfId="0" applyFill="1" applyBorder="1"/>
    <xf numFmtId="164" fontId="0" fillId="4" borderId="0" xfId="1" applyNumberFormat="1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 vertical="center"/>
    </xf>
    <xf numFmtId="164" fontId="0" fillId="8" borderId="8" xfId="0" applyNumberForma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1" fontId="0" fillId="7" borderId="4" xfId="0" applyNumberFormat="1" applyFill="1" applyBorder="1" applyAlignment="1">
      <alignment horizontal="center" vertical="center"/>
    </xf>
    <xf numFmtId="10" fontId="0" fillId="0" borderId="4" xfId="1" applyNumberFormat="1" applyFont="1" applyBorder="1" applyAlignment="1">
      <alignment horizontal="center" vertical="center"/>
    </xf>
    <xf numFmtId="0" fontId="0" fillId="4" borderId="0" xfId="0" applyFill="1" applyBorder="1" applyAlignment="1">
      <alignment vertical="center"/>
    </xf>
    <xf numFmtId="0" fontId="0" fillId="4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8" borderId="8" xfId="0" applyFill="1" applyBorder="1" applyAlignment="1">
      <alignment vertical="center"/>
    </xf>
    <xf numFmtId="10" fontId="0" fillId="4" borderId="4" xfId="1" applyNumberFormat="1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 wrapText="1"/>
    </xf>
    <xf numFmtId="14" fontId="5" fillId="10" borderId="0" xfId="0" applyNumberFormat="1" applyFont="1" applyFill="1" applyAlignment="1">
      <alignment horizontal="left" vertical="center" wrapText="1" indent="1"/>
    </xf>
    <xf numFmtId="0" fontId="5" fillId="10" borderId="0" xfId="0" applyFont="1" applyFill="1" applyAlignment="1">
      <alignment horizontal="left" vertical="center" wrapText="1" indent="1"/>
    </xf>
    <xf numFmtId="14" fontId="5" fillId="11" borderId="0" xfId="0" applyNumberFormat="1" applyFont="1" applyFill="1" applyAlignment="1">
      <alignment horizontal="left" vertical="center" wrapText="1" indent="1"/>
    </xf>
    <xf numFmtId="0" fontId="5" fillId="11" borderId="0" xfId="0" applyFont="1" applyFill="1" applyAlignment="1">
      <alignment horizontal="left" vertical="center" wrapText="1" indent="1"/>
    </xf>
    <xf numFmtId="0" fontId="5" fillId="10" borderId="0" xfId="0" applyFont="1" applyFill="1" applyAlignment="1">
      <alignment vertical="center" wrapText="1"/>
    </xf>
    <xf numFmtId="44" fontId="0" fillId="7" borderId="2" xfId="2" applyFont="1" applyFill="1" applyBorder="1"/>
    <xf numFmtId="165" fontId="0" fillId="7" borderId="2" xfId="0" applyNumberFormat="1" applyFill="1" applyBorder="1" applyAlignment="1">
      <alignment horizontal="center"/>
    </xf>
    <xf numFmtId="44" fontId="0" fillId="0" borderId="5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9" fontId="0" fillId="7" borderId="2" xfId="1" applyNumberFormat="1" applyFont="1" applyFill="1" applyBorder="1" applyAlignment="1">
      <alignment horizontal="center"/>
    </xf>
    <xf numFmtId="10" fontId="0" fillId="0" borderId="2" xfId="1" applyNumberFormat="1" applyFont="1" applyBorder="1" applyAlignment="1">
      <alignment horizontal="center"/>
    </xf>
    <xf numFmtId="1" fontId="0" fillId="0" borderId="3" xfId="1" applyNumberFormat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10" fontId="0" fillId="0" borderId="2" xfId="1" applyNumberFormat="1" applyFont="1" applyBorder="1"/>
    <xf numFmtId="44" fontId="0" fillId="0" borderId="2" xfId="2" applyFont="1" applyBorder="1"/>
    <xf numFmtId="0" fontId="2" fillId="4" borderId="0" xfId="0" applyFont="1" applyFill="1" applyBorder="1" applyAlignment="1">
      <alignment vertical="center"/>
    </xf>
    <xf numFmtId="1" fontId="0" fillId="4" borderId="0" xfId="0" applyNumberFormat="1" applyFill="1" applyBorder="1" applyAlignment="1">
      <alignment horizontal="center" vertical="center"/>
    </xf>
    <xf numFmtId="10" fontId="0" fillId="4" borderId="0" xfId="1" applyNumberFormat="1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3" fillId="4" borderId="0" xfId="0" applyFont="1" applyFill="1" applyBorder="1" applyAlignment="1">
      <alignment horizontal="center" vertical="center"/>
    </xf>
    <xf numFmtId="164" fontId="0" fillId="4" borderId="0" xfId="0" applyNumberFormat="1" applyFill="1" applyBorder="1" applyAlignment="1">
      <alignment vertical="center"/>
    </xf>
    <xf numFmtId="164" fontId="0" fillId="4" borderId="0" xfId="1" applyNumberFormat="1" applyFont="1" applyFill="1" applyBorder="1" applyAlignment="1">
      <alignment horizontal="center" vertical="center"/>
    </xf>
    <xf numFmtId="10" fontId="0" fillId="0" borderId="9" xfId="1" applyNumberFormat="1" applyFont="1" applyBorder="1" applyAlignment="1">
      <alignment horizontal="center" vertical="center"/>
    </xf>
    <xf numFmtId="10" fontId="0" fillId="7" borderId="4" xfId="0" applyNumberFormat="1" applyFill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10" fontId="0" fillId="4" borderId="0" xfId="0" applyNumberFormat="1" applyFill="1" applyBorder="1" applyAlignment="1">
      <alignment horizontal="center" vertical="center"/>
    </xf>
    <xf numFmtId="10" fontId="0" fillId="4" borderId="0" xfId="0" applyNumberFormat="1" applyFill="1" applyBorder="1" applyAlignment="1">
      <alignment vertical="center"/>
    </xf>
    <xf numFmtId="10" fontId="0" fillId="0" borderId="0" xfId="0" applyNumberFormat="1" applyAlignment="1">
      <alignment horizontal="center" vertical="center"/>
    </xf>
    <xf numFmtId="166" fontId="0" fillId="4" borderId="4" xfId="1" applyNumberFormat="1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8" borderId="11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3" fillId="6" borderId="2" xfId="0" applyFont="1" applyFill="1" applyBorder="1" applyAlignment="1">
      <alignment horizontal="left"/>
    </xf>
    <xf numFmtId="0" fontId="0" fillId="8" borderId="10" xfId="0" applyFill="1" applyBorder="1" applyAlignment="1">
      <alignment horizontal="center"/>
    </xf>
    <xf numFmtId="0" fontId="0" fillId="8" borderId="11" xfId="0" applyFill="1" applyBorder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ferramentasdoinvestidor.com.br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ferramentasdoinvestidor.com.br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666750</xdr:colOff>
      <xdr:row>0</xdr:row>
      <xdr:rowOff>432605</xdr:rowOff>
    </xdr:from>
    <xdr:ext cx="2707857" cy="142875"/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8AC301-43E0-42E6-9813-1D60B230A7C1}"/>
            </a:ext>
          </a:extLst>
        </xdr:cNvPr>
        <xdr:cNvSpPr txBox="1"/>
      </xdr:nvSpPr>
      <xdr:spPr>
        <a:xfrm>
          <a:off x="1990725" y="432605"/>
          <a:ext cx="2707857" cy="142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en-US" sz="1200"/>
            <a:t>http://ferramentasdoinvestidor.com.br/</a:t>
          </a:r>
        </a:p>
      </xdr:txBody>
    </xdr:sp>
    <xdr:clientData/>
  </xdr:oneCellAnchor>
  <xdr:twoCellAnchor editAs="oneCell">
    <xdr:from>
      <xdr:col>0</xdr:col>
      <xdr:colOff>95250</xdr:colOff>
      <xdr:row>0</xdr:row>
      <xdr:rowOff>0</xdr:rowOff>
    </xdr:from>
    <xdr:to>
      <xdr:col>2</xdr:col>
      <xdr:colOff>456215</xdr:colOff>
      <xdr:row>0</xdr:row>
      <xdr:rowOff>571500</xdr:rowOff>
    </xdr:to>
    <xdr:pic>
      <xdr:nvPicPr>
        <xdr:cNvPr id="3" name="Picture 2" descr="logo_fi3">
          <a:extLst>
            <a:ext uri="{FF2B5EF4-FFF2-40B4-BE49-F238E27FC236}">
              <a16:creationId xmlns:a16="http://schemas.microsoft.com/office/drawing/2014/main" id="{C8474435-8079-4A19-8FA9-ADB59F7C7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180975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666750</xdr:colOff>
      <xdr:row>0</xdr:row>
      <xdr:rowOff>432605</xdr:rowOff>
    </xdr:from>
    <xdr:ext cx="2707857" cy="142875"/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D3D850-FEA8-4A79-83D2-4E00775B3262}"/>
            </a:ext>
          </a:extLst>
        </xdr:cNvPr>
        <xdr:cNvSpPr txBox="1"/>
      </xdr:nvSpPr>
      <xdr:spPr>
        <a:xfrm>
          <a:off x="2181225" y="432605"/>
          <a:ext cx="2707857" cy="142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en-US" sz="1200"/>
            <a:t>http://ferramentasdoinvestidor.com.br/</a:t>
          </a:r>
        </a:p>
      </xdr:txBody>
    </xdr:sp>
    <xdr:clientData/>
  </xdr:oneCellAnchor>
  <xdr:twoCellAnchor editAs="oneCell">
    <xdr:from>
      <xdr:col>0</xdr:col>
      <xdr:colOff>95250</xdr:colOff>
      <xdr:row>0</xdr:row>
      <xdr:rowOff>0</xdr:rowOff>
    </xdr:from>
    <xdr:to>
      <xdr:col>2</xdr:col>
      <xdr:colOff>123825</xdr:colOff>
      <xdr:row>0</xdr:row>
      <xdr:rowOff>567289</xdr:rowOff>
    </xdr:to>
    <xdr:pic>
      <xdr:nvPicPr>
        <xdr:cNvPr id="3" name="Picture 2" descr="logo_fi3">
          <a:extLst>
            <a:ext uri="{FF2B5EF4-FFF2-40B4-BE49-F238E27FC236}">
              <a16:creationId xmlns:a16="http://schemas.microsoft.com/office/drawing/2014/main" id="{5C84DEEB-211E-451E-8C12-A6E81750F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1314450" cy="567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68F62-0478-4D2C-9C2C-2D6EA5D41C7B}">
  <dimension ref="A1:I1094"/>
  <sheetViews>
    <sheetView showGridLines="0" tabSelected="1" zoomScale="145" zoomScaleNormal="145" workbookViewId="0">
      <selection activeCell="H10" sqref="H10"/>
    </sheetView>
  </sheetViews>
  <sheetFormatPr defaultRowHeight="15" customHeight="1" x14ac:dyDescent="0.25"/>
  <cols>
    <col min="1" max="1" width="13.5703125" style="9" customWidth="1"/>
    <col min="2" max="2" width="8.140625" style="9" customWidth="1"/>
    <col min="3" max="3" width="17" style="9" bestFit="1" customWidth="1"/>
    <col min="4" max="4" width="9.85546875" style="9" customWidth="1"/>
    <col min="5" max="5" width="18.7109375" style="9" bestFit="1" customWidth="1"/>
    <col min="6" max="6" width="7" style="9" customWidth="1"/>
    <col min="7" max="7" width="20.7109375" style="9" customWidth="1"/>
    <col min="8" max="8" width="8.140625" style="23" customWidth="1"/>
    <col min="9" max="9" width="12" style="23" bestFit="1" customWidth="1"/>
    <col min="10" max="10" width="11.5703125" style="9" bestFit="1" customWidth="1"/>
    <col min="11" max="11" width="14.140625" style="9" bestFit="1" customWidth="1"/>
    <col min="12" max="16384" width="9.140625" style="9"/>
  </cols>
  <sheetData>
    <row r="1" spans="1:9" customFormat="1" ht="48" customHeight="1" thickBot="1" x14ac:dyDescent="0.3">
      <c r="H1" s="1"/>
      <c r="I1" s="1"/>
    </row>
    <row r="2" spans="1:9" s="2" customFormat="1" ht="6.75" customHeight="1" thickBot="1" x14ac:dyDescent="0.3">
      <c r="H2" s="3"/>
      <c r="I2" s="3"/>
    </row>
    <row r="3" spans="1:9" customFormat="1" ht="6.75" customHeight="1" thickBot="1" x14ac:dyDescent="0.3">
      <c r="H3" s="1"/>
      <c r="I3" s="1"/>
    </row>
    <row r="4" spans="1:9" s="21" customFormat="1" ht="23.1" customHeight="1" thickBot="1" x14ac:dyDescent="0.3">
      <c r="A4" s="16" t="s">
        <v>1</v>
      </c>
      <c r="B4" s="53">
        <v>0.1</v>
      </c>
      <c r="C4" s="17" t="s">
        <v>2</v>
      </c>
      <c r="D4" s="52">
        <f>(1+B4)^(1/252)-1</f>
        <v>3.782865315342665E-4</v>
      </c>
      <c r="E4" s="42"/>
      <c r="F4" s="43"/>
      <c r="H4" s="44"/>
      <c r="I4" s="45"/>
    </row>
    <row r="5" spans="1:9" s="21" customFormat="1" ht="15" customHeight="1" thickBot="1" x14ac:dyDescent="0.3">
      <c r="A5" s="46"/>
      <c r="B5" s="54"/>
      <c r="C5" s="47"/>
      <c r="D5" s="57"/>
      <c r="E5" s="48"/>
      <c r="F5" s="46"/>
      <c r="G5" s="48"/>
      <c r="H5" s="46"/>
      <c r="I5" s="45" t="s">
        <v>7</v>
      </c>
    </row>
    <row r="6" spans="1:9" s="21" customFormat="1" ht="23.1" customHeight="1" thickBot="1" x14ac:dyDescent="0.3">
      <c r="A6" s="16" t="s">
        <v>1</v>
      </c>
      <c r="B6" s="53">
        <v>0.15</v>
      </c>
      <c r="C6" s="17" t="s">
        <v>2</v>
      </c>
      <c r="D6" s="20">
        <f>(1+B6)^(1/252)-1</f>
        <v>5.5476470749282747E-4</v>
      </c>
      <c r="E6" s="18" t="s">
        <v>3</v>
      </c>
      <c r="F6" s="19">
        <v>22</v>
      </c>
      <c r="G6" s="26" t="str">
        <f>"Taxa Efetiva para " &amp; F6 &amp; " dias uteis"</f>
        <v>Taxa Efetiva para 22 dias uteis</v>
      </c>
      <c r="H6" s="20">
        <f>(1+D6)^F6-1</f>
        <v>1.2276180649801294E-2</v>
      </c>
      <c r="I6" s="20">
        <f>(1+B6)^(F6/252)-1</f>
        <v>1.2276180649804624E-2</v>
      </c>
    </row>
    <row r="7" spans="1:9" s="21" customFormat="1" ht="17.25" customHeight="1" thickBot="1" x14ac:dyDescent="0.3">
      <c r="A7" s="49"/>
      <c r="B7" s="55"/>
      <c r="C7" s="50"/>
      <c r="D7" s="51"/>
      <c r="E7" s="42"/>
      <c r="F7" s="43"/>
      <c r="H7" s="44"/>
      <c r="I7" s="45" t="s">
        <v>7</v>
      </c>
    </row>
    <row r="8" spans="1:9" s="21" customFormat="1" ht="23.1" customHeight="1" thickBot="1" x14ac:dyDescent="0.3">
      <c r="A8" s="16" t="s">
        <v>4</v>
      </c>
      <c r="B8" s="53">
        <v>0.3</v>
      </c>
      <c r="C8" s="16" t="s">
        <v>5</v>
      </c>
      <c r="D8" s="19">
        <f>252*3</f>
        <v>756</v>
      </c>
      <c r="E8" s="24" t="s">
        <v>6</v>
      </c>
      <c r="F8" s="25">
        <f>(1+B8)^(1/D8)-1</f>
        <v>3.4710290414396994E-4</v>
      </c>
      <c r="G8" s="24" t="s">
        <v>1</v>
      </c>
      <c r="H8" s="25">
        <f>(1+F8)^(252)-1</f>
        <v>9.1392883061096386E-2</v>
      </c>
      <c r="I8" s="25">
        <f>(1+B8)^(252/D8)-1</f>
        <v>9.1392883061105934E-2</v>
      </c>
    </row>
    <row r="9" spans="1:9" s="21" customFormat="1" ht="15" customHeight="1" thickBot="1" x14ac:dyDescent="0.3">
      <c r="B9" s="56"/>
      <c r="C9" s="51" t="str">
        <f t="shared" ref="C9:C61" si="0">IF(ISNUMBER(A9),LN(B9/B8),"")</f>
        <v/>
      </c>
      <c r="H9" s="45"/>
      <c r="I9" s="45"/>
    </row>
    <row r="10" spans="1:9" s="14" customFormat="1" ht="23.1" customHeight="1" thickBot="1" x14ac:dyDescent="0.3">
      <c r="A10" s="16" t="s">
        <v>8</v>
      </c>
      <c r="B10" s="53">
        <v>0.33100000000000002</v>
      </c>
      <c r="C10" s="16" t="s">
        <v>10</v>
      </c>
      <c r="D10" s="19">
        <v>756</v>
      </c>
      <c r="E10" s="16" t="s">
        <v>9</v>
      </c>
      <c r="F10" s="19">
        <v>1</v>
      </c>
      <c r="G10" s="26" t="s">
        <v>39</v>
      </c>
      <c r="H10" s="58">
        <f>(1+B10)^(F10/D10)-1</f>
        <v>3.782865315342665E-4</v>
      </c>
      <c r="I10" s="22"/>
    </row>
    <row r="11" spans="1:9" s="14" customFormat="1" ht="15" customHeight="1" x14ac:dyDescent="0.25">
      <c r="C11" s="15" t="str">
        <f t="shared" si="0"/>
        <v/>
      </c>
      <c r="H11" s="22"/>
      <c r="I11" s="22"/>
    </row>
    <row r="12" spans="1:9" s="14" customFormat="1" ht="15" customHeight="1" x14ac:dyDescent="0.25">
      <c r="C12" s="15" t="str">
        <f t="shared" si="0"/>
        <v/>
      </c>
      <c r="H12" s="22"/>
      <c r="I12" s="22"/>
    </row>
    <row r="13" spans="1:9" s="14" customFormat="1" ht="15" customHeight="1" x14ac:dyDescent="0.25">
      <c r="C13" s="15" t="str">
        <f t="shared" si="0"/>
        <v/>
      </c>
      <c r="H13" s="22"/>
      <c r="I13" s="22"/>
    </row>
    <row r="14" spans="1:9" s="14" customFormat="1" ht="15" customHeight="1" x14ac:dyDescent="0.25">
      <c r="C14" s="15" t="str">
        <f t="shared" si="0"/>
        <v/>
      </c>
      <c r="H14" s="22"/>
      <c r="I14" s="22"/>
    </row>
    <row r="15" spans="1:9" s="14" customFormat="1" ht="15" customHeight="1" x14ac:dyDescent="0.25">
      <c r="C15" s="15" t="str">
        <f t="shared" si="0"/>
        <v/>
      </c>
      <c r="H15" s="22"/>
      <c r="I15" s="22"/>
    </row>
    <row r="16" spans="1:9" s="14" customFormat="1" ht="15" customHeight="1" x14ac:dyDescent="0.25">
      <c r="C16" s="15" t="str">
        <f t="shared" si="0"/>
        <v/>
      </c>
      <c r="H16" s="22"/>
      <c r="I16" s="22"/>
    </row>
    <row r="17" spans="3:9" s="14" customFormat="1" ht="15" customHeight="1" x14ac:dyDescent="0.25">
      <c r="C17" s="15" t="str">
        <f t="shared" si="0"/>
        <v/>
      </c>
      <c r="H17" s="22"/>
      <c r="I17" s="22"/>
    </row>
    <row r="18" spans="3:9" s="14" customFormat="1" ht="15" customHeight="1" x14ac:dyDescent="0.25">
      <c r="C18" s="15" t="str">
        <f t="shared" si="0"/>
        <v/>
      </c>
      <c r="H18" s="22"/>
      <c r="I18" s="22"/>
    </row>
    <row r="19" spans="3:9" s="14" customFormat="1" ht="15" customHeight="1" x14ac:dyDescent="0.25">
      <c r="C19" s="15" t="str">
        <f t="shared" si="0"/>
        <v/>
      </c>
      <c r="H19" s="22"/>
      <c r="I19" s="22"/>
    </row>
    <row r="20" spans="3:9" s="14" customFormat="1" ht="15" customHeight="1" x14ac:dyDescent="0.25">
      <c r="C20" s="15" t="str">
        <f t="shared" si="0"/>
        <v/>
      </c>
      <c r="H20" s="22"/>
      <c r="I20" s="22"/>
    </row>
    <row r="21" spans="3:9" s="14" customFormat="1" ht="15" customHeight="1" x14ac:dyDescent="0.25">
      <c r="C21" s="15" t="str">
        <f t="shared" si="0"/>
        <v/>
      </c>
      <c r="H21" s="22"/>
      <c r="I21" s="22"/>
    </row>
    <row r="22" spans="3:9" s="14" customFormat="1" ht="15" customHeight="1" x14ac:dyDescent="0.25">
      <c r="C22" s="15" t="str">
        <f t="shared" si="0"/>
        <v/>
      </c>
      <c r="H22" s="22"/>
      <c r="I22" s="22"/>
    </row>
    <row r="23" spans="3:9" s="14" customFormat="1" ht="15" customHeight="1" x14ac:dyDescent="0.25">
      <c r="C23" s="15" t="str">
        <f t="shared" si="0"/>
        <v/>
      </c>
      <c r="H23" s="22"/>
      <c r="I23" s="22"/>
    </row>
    <row r="24" spans="3:9" s="14" customFormat="1" ht="15" customHeight="1" x14ac:dyDescent="0.25">
      <c r="C24" s="15" t="str">
        <f t="shared" si="0"/>
        <v/>
      </c>
      <c r="H24" s="22"/>
      <c r="I24" s="22"/>
    </row>
    <row r="25" spans="3:9" s="14" customFormat="1" ht="15" customHeight="1" x14ac:dyDescent="0.25">
      <c r="C25" s="15" t="str">
        <f t="shared" si="0"/>
        <v/>
      </c>
      <c r="H25" s="22"/>
      <c r="I25" s="22"/>
    </row>
    <row r="26" spans="3:9" s="14" customFormat="1" ht="15" customHeight="1" x14ac:dyDescent="0.25">
      <c r="C26" s="15" t="str">
        <f t="shared" si="0"/>
        <v/>
      </c>
      <c r="H26" s="22"/>
      <c r="I26" s="22"/>
    </row>
    <row r="27" spans="3:9" s="14" customFormat="1" ht="15" customHeight="1" x14ac:dyDescent="0.25">
      <c r="C27" s="15" t="str">
        <f t="shared" si="0"/>
        <v/>
      </c>
      <c r="H27" s="22"/>
      <c r="I27" s="22"/>
    </row>
    <row r="28" spans="3:9" s="14" customFormat="1" ht="15" customHeight="1" x14ac:dyDescent="0.25">
      <c r="C28" s="15" t="str">
        <f t="shared" si="0"/>
        <v/>
      </c>
      <c r="H28" s="22"/>
      <c r="I28" s="22"/>
    </row>
    <row r="29" spans="3:9" s="14" customFormat="1" ht="15" customHeight="1" x14ac:dyDescent="0.25">
      <c r="C29" s="15" t="str">
        <f t="shared" si="0"/>
        <v/>
      </c>
      <c r="H29" s="22"/>
      <c r="I29" s="22"/>
    </row>
    <row r="30" spans="3:9" s="14" customFormat="1" ht="15" customHeight="1" x14ac:dyDescent="0.25">
      <c r="C30" s="15" t="str">
        <f t="shared" si="0"/>
        <v/>
      </c>
      <c r="H30" s="22"/>
      <c r="I30" s="22"/>
    </row>
    <row r="31" spans="3:9" s="14" customFormat="1" ht="15" customHeight="1" x14ac:dyDescent="0.25">
      <c r="C31" s="15" t="str">
        <f t="shared" si="0"/>
        <v/>
      </c>
      <c r="H31" s="22"/>
      <c r="I31" s="22"/>
    </row>
    <row r="32" spans="3:9" s="14" customFormat="1" ht="15" customHeight="1" x14ac:dyDescent="0.25">
      <c r="C32" s="15" t="str">
        <f t="shared" si="0"/>
        <v/>
      </c>
      <c r="H32" s="22"/>
      <c r="I32" s="22"/>
    </row>
    <row r="33" spans="3:9" s="14" customFormat="1" ht="15" customHeight="1" x14ac:dyDescent="0.25">
      <c r="C33" s="15" t="str">
        <f t="shared" si="0"/>
        <v/>
      </c>
      <c r="H33" s="22"/>
      <c r="I33" s="22"/>
    </row>
    <row r="34" spans="3:9" s="14" customFormat="1" ht="15" customHeight="1" x14ac:dyDescent="0.25">
      <c r="C34" s="15" t="str">
        <f t="shared" si="0"/>
        <v/>
      </c>
      <c r="H34" s="22"/>
      <c r="I34" s="22"/>
    </row>
    <row r="35" spans="3:9" s="14" customFormat="1" ht="15" customHeight="1" x14ac:dyDescent="0.25">
      <c r="C35" s="15" t="str">
        <f t="shared" si="0"/>
        <v/>
      </c>
      <c r="H35" s="22"/>
      <c r="I35" s="22"/>
    </row>
    <row r="36" spans="3:9" s="14" customFormat="1" ht="15" customHeight="1" x14ac:dyDescent="0.25">
      <c r="C36" s="15" t="str">
        <f t="shared" si="0"/>
        <v/>
      </c>
      <c r="H36" s="22"/>
      <c r="I36" s="22"/>
    </row>
    <row r="37" spans="3:9" s="14" customFormat="1" ht="15" customHeight="1" x14ac:dyDescent="0.25">
      <c r="C37" s="15" t="str">
        <f t="shared" si="0"/>
        <v/>
      </c>
      <c r="H37" s="22"/>
      <c r="I37" s="22"/>
    </row>
    <row r="38" spans="3:9" s="14" customFormat="1" ht="15" customHeight="1" x14ac:dyDescent="0.25">
      <c r="C38" s="15" t="str">
        <f t="shared" si="0"/>
        <v/>
      </c>
      <c r="H38" s="22"/>
      <c r="I38" s="22"/>
    </row>
    <row r="39" spans="3:9" s="14" customFormat="1" ht="15" customHeight="1" x14ac:dyDescent="0.25">
      <c r="C39" s="15" t="str">
        <f t="shared" si="0"/>
        <v/>
      </c>
      <c r="H39" s="22"/>
      <c r="I39" s="22"/>
    </row>
    <row r="40" spans="3:9" s="14" customFormat="1" ht="15" customHeight="1" x14ac:dyDescent="0.25">
      <c r="C40" s="15" t="str">
        <f t="shared" si="0"/>
        <v/>
      </c>
      <c r="H40" s="22"/>
      <c r="I40" s="22"/>
    </row>
    <row r="41" spans="3:9" s="14" customFormat="1" ht="15" customHeight="1" x14ac:dyDescent="0.25">
      <c r="C41" s="15" t="str">
        <f t="shared" si="0"/>
        <v/>
      </c>
      <c r="H41" s="22"/>
      <c r="I41" s="22"/>
    </row>
    <row r="42" spans="3:9" s="14" customFormat="1" ht="15" customHeight="1" x14ac:dyDescent="0.25">
      <c r="C42" s="15" t="str">
        <f t="shared" si="0"/>
        <v/>
      </c>
      <c r="H42" s="22"/>
      <c r="I42" s="22"/>
    </row>
    <row r="43" spans="3:9" s="14" customFormat="1" ht="15" customHeight="1" x14ac:dyDescent="0.25">
      <c r="C43" s="15" t="str">
        <f t="shared" si="0"/>
        <v/>
      </c>
      <c r="H43" s="22"/>
      <c r="I43" s="22"/>
    </row>
    <row r="44" spans="3:9" s="14" customFormat="1" ht="15" customHeight="1" x14ac:dyDescent="0.25">
      <c r="C44" s="15" t="str">
        <f t="shared" si="0"/>
        <v/>
      </c>
      <c r="H44" s="22"/>
      <c r="I44" s="22"/>
    </row>
    <row r="45" spans="3:9" s="14" customFormat="1" ht="15" customHeight="1" x14ac:dyDescent="0.25">
      <c r="C45" s="15" t="str">
        <f t="shared" si="0"/>
        <v/>
      </c>
      <c r="H45" s="22"/>
      <c r="I45" s="22"/>
    </row>
    <row r="46" spans="3:9" s="14" customFormat="1" ht="15" customHeight="1" x14ac:dyDescent="0.25">
      <c r="C46" s="15" t="str">
        <f t="shared" si="0"/>
        <v/>
      </c>
      <c r="H46" s="22"/>
      <c r="I46" s="22"/>
    </row>
    <row r="47" spans="3:9" s="14" customFormat="1" ht="15" customHeight="1" x14ac:dyDescent="0.25">
      <c r="C47" s="15" t="str">
        <f t="shared" si="0"/>
        <v/>
      </c>
      <c r="H47" s="22"/>
      <c r="I47" s="22"/>
    </row>
    <row r="48" spans="3:9" s="14" customFormat="1" ht="15" customHeight="1" x14ac:dyDescent="0.25">
      <c r="C48" s="15" t="str">
        <f t="shared" si="0"/>
        <v/>
      </c>
      <c r="H48" s="22"/>
      <c r="I48" s="22"/>
    </row>
    <row r="49" spans="3:9" s="14" customFormat="1" ht="15" customHeight="1" x14ac:dyDescent="0.25">
      <c r="C49" s="15" t="str">
        <f t="shared" si="0"/>
        <v/>
      </c>
      <c r="H49" s="22"/>
      <c r="I49" s="22"/>
    </row>
    <row r="50" spans="3:9" s="14" customFormat="1" ht="15" customHeight="1" x14ac:dyDescent="0.25">
      <c r="C50" s="15" t="str">
        <f t="shared" si="0"/>
        <v/>
      </c>
      <c r="H50" s="22"/>
      <c r="I50" s="22"/>
    </row>
    <row r="51" spans="3:9" s="14" customFormat="1" ht="15" customHeight="1" x14ac:dyDescent="0.25">
      <c r="C51" s="15" t="str">
        <f t="shared" si="0"/>
        <v/>
      </c>
      <c r="H51" s="22"/>
      <c r="I51" s="22"/>
    </row>
    <row r="52" spans="3:9" s="14" customFormat="1" ht="15" customHeight="1" x14ac:dyDescent="0.25">
      <c r="C52" s="15" t="str">
        <f t="shared" si="0"/>
        <v/>
      </c>
      <c r="H52" s="22"/>
      <c r="I52" s="22"/>
    </row>
    <row r="53" spans="3:9" s="14" customFormat="1" ht="15" customHeight="1" x14ac:dyDescent="0.25">
      <c r="C53" s="15" t="str">
        <f t="shared" si="0"/>
        <v/>
      </c>
      <c r="H53" s="22"/>
      <c r="I53" s="22"/>
    </row>
    <row r="54" spans="3:9" s="14" customFormat="1" ht="15" customHeight="1" x14ac:dyDescent="0.25">
      <c r="C54" s="15" t="str">
        <f t="shared" si="0"/>
        <v/>
      </c>
      <c r="H54" s="22"/>
      <c r="I54" s="22"/>
    </row>
    <row r="55" spans="3:9" s="14" customFormat="1" ht="15" customHeight="1" x14ac:dyDescent="0.25">
      <c r="C55" s="15" t="str">
        <f t="shared" si="0"/>
        <v/>
      </c>
      <c r="H55" s="22"/>
      <c r="I55" s="22"/>
    </row>
    <row r="56" spans="3:9" s="14" customFormat="1" ht="15" customHeight="1" x14ac:dyDescent="0.25">
      <c r="C56" s="15" t="str">
        <f t="shared" si="0"/>
        <v/>
      </c>
      <c r="H56" s="22"/>
      <c r="I56" s="22"/>
    </row>
    <row r="57" spans="3:9" s="14" customFormat="1" ht="15" customHeight="1" x14ac:dyDescent="0.25">
      <c r="C57" s="15" t="str">
        <f t="shared" si="0"/>
        <v/>
      </c>
      <c r="H57" s="22"/>
      <c r="I57" s="22"/>
    </row>
    <row r="58" spans="3:9" s="14" customFormat="1" ht="15" customHeight="1" x14ac:dyDescent="0.25">
      <c r="C58" s="15" t="str">
        <f t="shared" si="0"/>
        <v/>
      </c>
      <c r="H58" s="22"/>
      <c r="I58" s="22"/>
    </row>
    <row r="59" spans="3:9" s="14" customFormat="1" ht="15" customHeight="1" x14ac:dyDescent="0.25">
      <c r="C59" s="15" t="str">
        <f t="shared" si="0"/>
        <v/>
      </c>
      <c r="H59" s="22"/>
      <c r="I59" s="22"/>
    </row>
    <row r="60" spans="3:9" s="14" customFormat="1" ht="15" customHeight="1" x14ac:dyDescent="0.25">
      <c r="C60" s="15" t="str">
        <f t="shared" si="0"/>
        <v/>
      </c>
      <c r="H60" s="22"/>
      <c r="I60" s="22"/>
    </row>
    <row r="61" spans="3:9" s="14" customFormat="1" ht="15" customHeight="1" x14ac:dyDescent="0.25">
      <c r="C61" s="15" t="str">
        <f t="shared" si="0"/>
        <v/>
      </c>
      <c r="H61" s="22"/>
      <c r="I61" s="22"/>
    </row>
    <row r="62" spans="3:9" s="14" customFormat="1" ht="15" customHeight="1" x14ac:dyDescent="0.25">
      <c r="C62" s="15" t="str">
        <f t="shared" ref="C62:C125" si="1">IF(ISNUMBER(A62),LN(B62/B61),"")</f>
        <v/>
      </c>
      <c r="H62" s="22"/>
      <c r="I62" s="22"/>
    </row>
    <row r="63" spans="3:9" s="14" customFormat="1" ht="15" customHeight="1" x14ac:dyDescent="0.25">
      <c r="C63" s="15" t="str">
        <f t="shared" si="1"/>
        <v/>
      </c>
      <c r="H63" s="22"/>
      <c r="I63" s="22"/>
    </row>
    <row r="64" spans="3:9" s="14" customFormat="1" ht="15" customHeight="1" x14ac:dyDescent="0.25">
      <c r="C64" s="15" t="str">
        <f t="shared" si="1"/>
        <v/>
      </c>
      <c r="H64" s="22"/>
      <c r="I64" s="22"/>
    </row>
    <row r="65" spans="3:9" s="14" customFormat="1" ht="15" customHeight="1" x14ac:dyDescent="0.25">
      <c r="C65" s="15" t="str">
        <f t="shared" si="1"/>
        <v/>
      </c>
      <c r="H65" s="22"/>
      <c r="I65" s="22"/>
    </row>
    <row r="66" spans="3:9" s="14" customFormat="1" ht="15" customHeight="1" x14ac:dyDescent="0.25">
      <c r="C66" s="15" t="str">
        <f t="shared" si="1"/>
        <v/>
      </c>
      <c r="H66" s="22"/>
      <c r="I66" s="22"/>
    </row>
    <row r="67" spans="3:9" s="14" customFormat="1" ht="15" customHeight="1" x14ac:dyDescent="0.25">
      <c r="C67" s="15" t="str">
        <f t="shared" si="1"/>
        <v/>
      </c>
      <c r="H67" s="22"/>
      <c r="I67" s="22"/>
    </row>
    <row r="68" spans="3:9" s="14" customFormat="1" ht="15" customHeight="1" x14ac:dyDescent="0.25">
      <c r="C68" s="15" t="str">
        <f t="shared" si="1"/>
        <v/>
      </c>
      <c r="H68" s="22"/>
      <c r="I68" s="22"/>
    </row>
    <row r="69" spans="3:9" s="14" customFormat="1" ht="15" customHeight="1" x14ac:dyDescent="0.25">
      <c r="C69" s="15" t="str">
        <f t="shared" si="1"/>
        <v/>
      </c>
      <c r="H69" s="22"/>
      <c r="I69" s="22"/>
    </row>
    <row r="70" spans="3:9" s="14" customFormat="1" ht="15" customHeight="1" x14ac:dyDescent="0.25">
      <c r="C70" s="15" t="str">
        <f t="shared" si="1"/>
        <v/>
      </c>
      <c r="H70" s="22"/>
      <c r="I70" s="22"/>
    </row>
    <row r="71" spans="3:9" s="14" customFormat="1" ht="15" customHeight="1" x14ac:dyDescent="0.25">
      <c r="C71" s="15" t="str">
        <f t="shared" si="1"/>
        <v/>
      </c>
      <c r="H71" s="22"/>
      <c r="I71" s="22"/>
    </row>
    <row r="72" spans="3:9" s="14" customFormat="1" ht="15" customHeight="1" x14ac:dyDescent="0.25">
      <c r="C72" s="15" t="str">
        <f t="shared" si="1"/>
        <v/>
      </c>
      <c r="H72" s="22"/>
      <c r="I72" s="22"/>
    </row>
    <row r="73" spans="3:9" s="14" customFormat="1" ht="15" customHeight="1" x14ac:dyDescent="0.25">
      <c r="C73" s="15" t="str">
        <f t="shared" si="1"/>
        <v/>
      </c>
      <c r="H73" s="22"/>
      <c r="I73" s="22"/>
    </row>
    <row r="74" spans="3:9" s="14" customFormat="1" ht="15" customHeight="1" x14ac:dyDescent="0.25">
      <c r="C74" s="15" t="str">
        <f t="shared" si="1"/>
        <v/>
      </c>
      <c r="H74" s="22"/>
      <c r="I74" s="22"/>
    </row>
    <row r="75" spans="3:9" s="14" customFormat="1" ht="15" customHeight="1" x14ac:dyDescent="0.25">
      <c r="C75" s="15" t="str">
        <f t="shared" si="1"/>
        <v/>
      </c>
      <c r="H75" s="22"/>
      <c r="I75" s="22"/>
    </row>
    <row r="76" spans="3:9" s="14" customFormat="1" ht="15" customHeight="1" x14ac:dyDescent="0.25">
      <c r="C76" s="15" t="str">
        <f t="shared" si="1"/>
        <v/>
      </c>
      <c r="H76" s="22"/>
      <c r="I76" s="22"/>
    </row>
    <row r="77" spans="3:9" s="14" customFormat="1" ht="15" customHeight="1" x14ac:dyDescent="0.25">
      <c r="C77" s="15" t="str">
        <f t="shared" si="1"/>
        <v/>
      </c>
      <c r="H77" s="22"/>
      <c r="I77" s="22"/>
    </row>
    <row r="78" spans="3:9" s="14" customFormat="1" ht="15" customHeight="1" x14ac:dyDescent="0.25">
      <c r="C78" s="15" t="str">
        <f t="shared" si="1"/>
        <v/>
      </c>
      <c r="H78" s="22"/>
      <c r="I78" s="22"/>
    </row>
    <row r="79" spans="3:9" s="14" customFormat="1" ht="15" customHeight="1" x14ac:dyDescent="0.25">
      <c r="C79" s="15" t="str">
        <f t="shared" si="1"/>
        <v/>
      </c>
      <c r="H79" s="22"/>
      <c r="I79" s="22"/>
    </row>
    <row r="80" spans="3:9" s="14" customFormat="1" ht="15" customHeight="1" x14ac:dyDescent="0.25">
      <c r="C80" s="15" t="str">
        <f t="shared" si="1"/>
        <v/>
      </c>
      <c r="H80" s="22"/>
      <c r="I80" s="22"/>
    </row>
    <row r="81" spans="3:9" s="14" customFormat="1" ht="15" customHeight="1" x14ac:dyDescent="0.25">
      <c r="C81" s="15" t="str">
        <f t="shared" si="1"/>
        <v/>
      </c>
      <c r="H81" s="22"/>
      <c r="I81" s="22"/>
    </row>
    <row r="82" spans="3:9" s="14" customFormat="1" ht="15" customHeight="1" x14ac:dyDescent="0.25">
      <c r="C82" s="15" t="str">
        <f t="shared" si="1"/>
        <v/>
      </c>
      <c r="H82" s="22"/>
      <c r="I82" s="22"/>
    </row>
    <row r="83" spans="3:9" s="14" customFormat="1" ht="15" customHeight="1" x14ac:dyDescent="0.25">
      <c r="C83" s="15" t="str">
        <f t="shared" si="1"/>
        <v/>
      </c>
      <c r="H83" s="22"/>
      <c r="I83" s="22"/>
    </row>
    <row r="84" spans="3:9" s="14" customFormat="1" ht="15" customHeight="1" x14ac:dyDescent="0.25">
      <c r="C84" s="15" t="str">
        <f t="shared" si="1"/>
        <v/>
      </c>
      <c r="H84" s="22"/>
      <c r="I84" s="22"/>
    </row>
    <row r="85" spans="3:9" s="14" customFormat="1" ht="15" customHeight="1" x14ac:dyDescent="0.25">
      <c r="C85" s="15" t="str">
        <f t="shared" si="1"/>
        <v/>
      </c>
      <c r="H85" s="22"/>
      <c r="I85" s="22"/>
    </row>
    <row r="86" spans="3:9" s="14" customFormat="1" ht="15" customHeight="1" x14ac:dyDescent="0.25">
      <c r="C86" s="15" t="str">
        <f t="shared" si="1"/>
        <v/>
      </c>
      <c r="H86" s="22"/>
      <c r="I86" s="22"/>
    </row>
    <row r="87" spans="3:9" s="14" customFormat="1" ht="15" customHeight="1" x14ac:dyDescent="0.25">
      <c r="C87" s="15" t="str">
        <f t="shared" si="1"/>
        <v/>
      </c>
      <c r="H87" s="22"/>
      <c r="I87" s="22"/>
    </row>
    <row r="88" spans="3:9" s="14" customFormat="1" ht="15" customHeight="1" x14ac:dyDescent="0.25">
      <c r="C88" s="15" t="str">
        <f t="shared" si="1"/>
        <v/>
      </c>
      <c r="H88" s="22"/>
      <c r="I88" s="22"/>
    </row>
    <row r="89" spans="3:9" s="14" customFormat="1" ht="15" customHeight="1" x14ac:dyDescent="0.25">
      <c r="C89" s="15" t="str">
        <f t="shared" si="1"/>
        <v/>
      </c>
      <c r="H89" s="22"/>
      <c r="I89" s="22"/>
    </row>
    <row r="90" spans="3:9" s="14" customFormat="1" ht="15" customHeight="1" x14ac:dyDescent="0.25">
      <c r="C90" s="15" t="str">
        <f t="shared" si="1"/>
        <v/>
      </c>
      <c r="H90" s="22"/>
      <c r="I90" s="22"/>
    </row>
    <row r="91" spans="3:9" s="14" customFormat="1" ht="15" customHeight="1" x14ac:dyDescent="0.25">
      <c r="C91" s="15" t="str">
        <f t="shared" si="1"/>
        <v/>
      </c>
      <c r="H91" s="22"/>
      <c r="I91" s="22"/>
    </row>
    <row r="92" spans="3:9" s="14" customFormat="1" ht="15" customHeight="1" x14ac:dyDescent="0.25">
      <c r="C92" s="15" t="str">
        <f t="shared" si="1"/>
        <v/>
      </c>
      <c r="H92" s="22"/>
      <c r="I92" s="22"/>
    </row>
    <row r="93" spans="3:9" s="14" customFormat="1" ht="15" customHeight="1" x14ac:dyDescent="0.25">
      <c r="C93" s="15" t="str">
        <f t="shared" si="1"/>
        <v/>
      </c>
      <c r="H93" s="22"/>
      <c r="I93" s="22"/>
    </row>
    <row r="94" spans="3:9" s="14" customFormat="1" ht="15" customHeight="1" x14ac:dyDescent="0.25">
      <c r="C94" s="15" t="str">
        <f t="shared" si="1"/>
        <v/>
      </c>
      <c r="H94" s="22"/>
      <c r="I94" s="22"/>
    </row>
    <row r="95" spans="3:9" s="14" customFormat="1" ht="15" customHeight="1" x14ac:dyDescent="0.25">
      <c r="C95" s="15" t="str">
        <f t="shared" si="1"/>
        <v/>
      </c>
      <c r="H95" s="22"/>
      <c r="I95" s="22"/>
    </row>
    <row r="96" spans="3:9" s="14" customFormat="1" ht="15" customHeight="1" x14ac:dyDescent="0.25">
      <c r="C96" s="15" t="str">
        <f t="shared" si="1"/>
        <v/>
      </c>
      <c r="H96" s="22"/>
      <c r="I96" s="22"/>
    </row>
    <row r="97" spans="3:9" s="14" customFormat="1" ht="15" customHeight="1" x14ac:dyDescent="0.25">
      <c r="C97" s="15" t="str">
        <f t="shared" si="1"/>
        <v/>
      </c>
      <c r="H97" s="22"/>
      <c r="I97" s="22"/>
    </row>
    <row r="98" spans="3:9" s="14" customFormat="1" ht="15" customHeight="1" x14ac:dyDescent="0.25">
      <c r="C98" s="15" t="str">
        <f t="shared" si="1"/>
        <v/>
      </c>
      <c r="H98" s="22"/>
      <c r="I98" s="22"/>
    </row>
    <row r="99" spans="3:9" s="14" customFormat="1" ht="15" customHeight="1" x14ac:dyDescent="0.25">
      <c r="C99" s="15" t="str">
        <f t="shared" si="1"/>
        <v/>
      </c>
      <c r="H99" s="22"/>
      <c r="I99" s="22"/>
    </row>
    <row r="100" spans="3:9" s="14" customFormat="1" ht="15" customHeight="1" x14ac:dyDescent="0.25">
      <c r="C100" s="15" t="str">
        <f t="shared" si="1"/>
        <v/>
      </c>
      <c r="H100" s="22"/>
      <c r="I100" s="22"/>
    </row>
    <row r="101" spans="3:9" s="14" customFormat="1" ht="15" customHeight="1" x14ac:dyDescent="0.25">
      <c r="C101" s="15" t="str">
        <f t="shared" si="1"/>
        <v/>
      </c>
      <c r="H101" s="22"/>
      <c r="I101" s="22"/>
    </row>
    <row r="102" spans="3:9" s="14" customFormat="1" ht="15" customHeight="1" x14ac:dyDescent="0.25">
      <c r="C102" s="15" t="str">
        <f t="shared" si="1"/>
        <v/>
      </c>
      <c r="H102" s="22"/>
      <c r="I102" s="22"/>
    </row>
    <row r="103" spans="3:9" s="14" customFormat="1" ht="15" customHeight="1" x14ac:dyDescent="0.25">
      <c r="C103" s="15" t="str">
        <f t="shared" si="1"/>
        <v/>
      </c>
      <c r="H103" s="22"/>
      <c r="I103" s="22"/>
    </row>
    <row r="104" spans="3:9" s="14" customFormat="1" ht="15" customHeight="1" x14ac:dyDescent="0.25">
      <c r="C104" s="15" t="str">
        <f t="shared" si="1"/>
        <v/>
      </c>
      <c r="H104" s="22"/>
      <c r="I104" s="22"/>
    </row>
    <row r="105" spans="3:9" s="14" customFormat="1" ht="15" customHeight="1" x14ac:dyDescent="0.25">
      <c r="C105" s="15" t="str">
        <f t="shared" si="1"/>
        <v/>
      </c>
      <c r="H105" s="22"/>
      <c r="I105" s="22"/>
    </row>
    <row r="106" spans="3:9" s="14" customFormat="1" ht="15" customHeight="1" x14ac:dyDescent="0.25">
      <c r="C106" s="15" t="str">
        <f t="shared" si="1"/>
        <v/>
      </c>
      <c r="H106" s="22"/>
      <c r="I106" s="22"/>
    </row>
    <row r="107" spans="3:9" s="14" customFormat="1" ht="15" customHeight="1" x14ac:dyDescent="0.25">
      <c r="C107" s="15" t="str">
        <f t="shared" si="1"/>
        <v/>
      </c>
      <c r="H107" s="22"/>
      <c r="I107" s="22"/>
    </row>
    <row r="108" spans="3:9" s="14" customFormat="1" ht="15" customHeight="1" x14ac:dyDescent="0.25">
      <c r="C108" s="15" t="str">
        <f t="shared" si="1"/>
        <v/>
      </c>
      <c r="H108" s="22"/>
      <c r="I108" s="22"/>
    </row>
    <row r="109" spans="3:9" s="14" customFormat="1" ht="15" customHeight="1" x14ac:dyDescent="0.25">
      <c r="C109" s="15" t="str">
        <f t="shared" si="1"/>
        <v/>
      </c>
      <c r="H109" s="22"/>
      <c r="I109" s="22"/>
    </row>
    <row r="110" spans="3:9" s="14" customFormat="1" ht="15" customHeight="1" x14ac:dyDescent="0.25">
      <c r="C110" s="15" t="str">
        <f t="shared" si="1"/>
        <v/>
      </c>
      <c r="H110" s="22"/>
      <c r="I110" s="22"/>
    </row>
    <row r="111" spans="3:9" s="14" customFormat="1" ht="15" customHeight="1" x14ac:dyDescent="0.25">
      <c r="C111" s="15" t="str">
        <f t="shared" si="1"/>
        <v/>
      </c>
      <c r="H111" s="22"/>
      <c r="I111" s="22"/>
    </row>
    <row r="112" spans="3:9" s="14" customFormat="1" ht="15" customHeight="1" x14ac:dyDescent="0.25">
      <c r="C112" s="15" t="str">
        <f t="shared" si="1"/>
        <v/>
      </c>
      <c r="H112" s="22"/>
      <c r="I112" s="22"/>
    </row>
    <row r="113" spans="3:9" s="14" customFormat="1" ht="15" customHeight="1" x14ac:dyDescent="0.25">
      <c r="C113" s="15" t="str">
        <f t="shared" si="1"/>
        <v/>
      </c>
      <c r="H113" s="22"/>
      <c r="I113" s="22"/>
    </row>
    <row r="114" spans="3:9" s="14" customFormat="1" ht="15" customHeight="1" x14ac:dyDescent="0.25">
      <c r="C114" s="15" t="str">
        <f t="shared" si="1"/>
        <v/>
      </c>
      <c r="H114" s="22"/>
      <c r="I114" s="22"/>
    </row>
    <row r="115" spans="3:9" s="14" customFormat="1" ht="15" customHeight="1" x14ac:dyDescent="0.25">
      <c r="C115" s="15" t="str">
        <f t="shared" si="1"/>
        <v/>
      </c>
      <c r="H115" s="22"/>
      <c r="I115" s="22"/>
    </row>
    <row r="116" spans="3:9" s="14" customFormat="1" ht="15" customHeight="1" x14ac:dyDescent="0.25">
      <c r="C116" s="15" t="str">
        <f t="shared" si="1"/>
        <v/>
      </c>
      <c r="H116" s="22"/>
      <c r="I116" s="22"/>
    </row>
    <row r="117" spans="3:9" s="14" customFormat="1" ht="15" customHeight="1" x14ac:dyDescent="0.25">
      <c r="C117" s="15" t="str">
        <f t="shared" si="1"/>
        <v/>
      </c>
      <c r="H117" s="22"/>
      <c r="I117" s="22"/>
    </row>
    <row r="118" spans="3:9" s="14" customFormat="1" ht="15" customHeight="1" x14ac:dyDescent="0.25">
      <c r="C118" s="15" t="str">
        <f t="shared" si="1"/>
        <v/>
      </c>
      <c r="H118" s="22"/>
      <c r="I118" s="22"/>
    </row>
    <row r="119" spans="3:9" s="14" customFormat="1" ht="15" customHeight="1" x14ac:dyDescent="0.25">
      <c r="C119" s="15" t="str">
        <f t="shared" si="1"/>
        <v/>
      </c>
      <c r="H119" s="22"/>
      <c r="I119" s="22"/>
    </row>
    <row r="120" spans="3:9" s="14" customFormat="1" ht="15" customHeight="1" x14ac:dyDescent="0.25">
      <c r="C120" s="15" t="str">
        <f t="shared" si="1"/>
        <v/>
      </c>
      <c r="H120" s="22"/>
      <c r="I120" s="22"/>
    </row>
    <row r="121" spans="3:9" s="14" customFormat="1" ht="15" customHeight="1" x14ac:dyDescent="0.25">
      <c r="C121" s="15" t="str">
        <f t="shared" si="1"/>
        <v/>
      </c>
      <c r="H121" s="22"/>
      <c r="I121" s="22"/>
    </row>
    <row r="122" spans="3:9" s="14" customFormat="1" ht="15" customHeight="1" x14ac:dyDescent="0.25">
      <c r="C122" s="15" t="str">
        <f t="shared" si="1"/>
        <v/>
      </c>
      <c r="H122" s="22"/>
      <c r="I122" s="22"/>
    </row>
    <row r="123" spans="3:9" s="14" customFormat="1" ht="15" customHeight="1" x14ac:dyDescent="0.25">
      <c r="C123" s="15" t="str">
        <f t="shared" si="1"/>
        <v/>
      </c>
      <c r="H123" s="22"/>
      <c r="I123" s="22"/>
    </row>
    <row r="124" spans="3:9" s="14" customFormat="1" ht="15" customHeight="1" x14ac:dyDescent="0.25">
      <c r="C124" s="15" t="str">
        <f t="shared" si="1"/>
        <v/>
      </c>
      <c r="H124" s="22"/>
      <c r="I124" s="22"/>
    </row>
    <row r="125" spans="3:9" s="14" customFormat="1" ht="15" customHeight="1" x14ac:dyDescent="0.25">
      <c r="C125" s="15" t="str">
        <f t="shared" si="1"/>
        <v/>
      </c>
      <c r="H125" s="22"/>
      <c r="I125" s="22"/>
    </row>
    <row r="126" spans="3:9" s="14" customFormat="1" ht="15" customHeight="1" x14ac:dyDescent="0.25">
      <c r="C126" s="15" t="str">
        <f t="shared" ref="C126:C189" si="2">IF(ISNUMBER(A126),LN(B126/B125),"")</f>
        <v/>
      </c>
      <c r="H126" s="22"/>
      <c r="I126" s="22"/>
    </row>
    <row r="127" spans="3:9" s="14" customFormat="1" ht="15" customHeight="1" x14ac:dyDescent="0.25">
      <c r="C127" s="15" t="str">
        <f t="shared" si="2"/>
        <v/>
      </c>
      <c r="H127" s="22"/>
      <c r="I127" s="22"/>
    </row>
    <row r="128" spans="3:9" s="14" customFormat="1" ht="15" customHeight="1" x14ac:dyDescent="0.25">
      <c r="C128" s="15" t="str">
        <f t="shared" si="2"/>
        <v/>
      </c>
      <c r="H128" s="22"/>
      <c r="I128" s="22"/>
    </row>
    <row r="129" spans="3:9" s="14" customFormat="1" ht="15" customHeight="1" x14ac:dyDescent="0.25">
      <c r="C129" s="15" t="str">
        <f t="shared" si="2"/>
        <v/>
      </c>
      <c r="H129" s="22"/>
      <c r="I129" s="22"/>
    </row>
    <row r="130" spans="3:9" s="14" customFormat="1" ht="15" customHeight="1" x14ac:dyDescent="0.25">
      <c r="C130" s="15" t="str">
        <f t="shared" si="2"/>
        <v/>
      </c>
      <c r="H130" s="22"/>
      <c r="I130" s="22"/>
    </row>
    <row r="131" spans="3:9" s="14" customFormat="1" ht="15" customHeight="1" x14ac:dyDescent="0.25">
      <c r="C131" s="15" t="str">
        <f t="shared" si="2"/>
        <v/>
      </c>
      <c r="H131" s="22"/>
      <c r="I131" s="22"/>
    </row>
    <row r="132" spans="3:9" s="14" customFormat="1" ht="15" customHeight="1" x14ac:dyDescent="0.25">
      <c r="C132" s="15" t="str">
        <f t="shared" si="2"/>
        <v/>
      </c>
      <c r="H132" s="22"/>
      <c r="I132" s="22"/>
    </row>
    <row r="133" spans="3:9" s="14" customFormat="1" ht="15" customHeight="1" x14ac:dyDescent="0.25">
      <c r="C133" s="15" t="str">
        <f t="shared" si="2"/>
        <v/>
      </c>
      <c r="H133" s="22"/>
      <c r="I133" s="22"/>
    </row>
    <row r="134" spans="3:9" s="14" customFormat="1" ht="15" customHeight="1" x14ac:dyDescent="0.25">
      <c r="C134" s="15" t="str">
        <f t="shared" si="2"/>
        <v/>
      </c>
      <c r="H134" s="22"/>
      <c r="I134" s="22"/>
    </row>
    <row r="135" spans="3:9" s="14" customFormat="1" ht="15" customHeight="1" x14ac:dyDescent="0.25">
      <c r="C135" s="15" t="str">
        <f t="shared" si="2"/>
        <v/>
      </c>
      <c r="H135" s="22"/>
      <c r="I135" s="22"/>
    </row>
    <row r="136" spans="3:9" s="14" customFormat="1" ht="15" customHeight="1" x14ac:dyDescent="0.25">
      <c r="C136" s="15" t="str">
        <f t="shared" si="2"/>
        <v/>
      </c>
      <c r="H136" s="22"/>
      <c r="I136" s="22"/>
    </row>
    <row r="137" spans="3:9" s="14" customFormat="1" ht="15" customHeight="1" x14ac:dyDescent="0.25">
      <c r="C137" s="15" t="str">
        <f t="shared" si="2"/>
        <v/>
      </c>
      <c r="H137" s="22"/>
      <c r="I137" s="22"/>
    </row>
    <row r="138" spans="3:9" s="14" customFormat="1" ht="15" customHeight="1" x14ac:dyDescent="0.25">
      <c r="C138" s="15" t="str">
        <f t="shared" si="2"/>
        <v/>
      </c>
      <c r="H138" s="22"/>
      <c r="I138" s="22"/>
    </row>
    <row r="139" spans="3:9" s="14" customFormat="1" ht="15" customHeight="1" x14ac:dyDescent="0.25">
      <c r="C139" s="15" t="str">
        <f t="shared" si="2"/>
        <v/>
      </c>
      <c r="H139" s="22"/>
      <c r="I139" s="22"/>
    </row>
    <row r="140" spans="3:9" s="14" customFormat="1" ht="15" customHeight="1" x14ac:dyDescent="0.25">
      <c r="C140" s="15" t="str">
        <f t="shared" si="2"/>
        <v/>
      </c>
      <c r="H140" s="22"/>
      <c r="I140" s="22"/>
    </row>
    <row r="141" spans="3:9" s="14" customFormat="1" ht="15" customHeight="1" x14ac:dyDescent="0.25">
      <c r="C141" s="15" t="str">
        <f t="shared" si="2"/>
        <v/>
      </c>
      <c r="H141" s="22"/>
      <c r="I141" s="22"/>
    </row>
    <row r="142" spans="3:9" s="14" customFormat="1" ht="15" customHeight="1" x14ac:dyDescent="0.25">
      <c r="C142" s="15" t="str">
        <f t="shared" si="2"/>
        <v/>
      </c>
      <c r="H142" s="22"/>
      <c r="I142" s="22"/>
    </row>
    <row r="143" spans="3:9" s="14" customFormat="1" ht="15" customHeight="1" x14ac:dyDescent="0.25">
      <c r="C143" s="15" t="str">
        <f t="shared" si="2"/>
        <v/>
      </c>
      <c r="H143" s="22"/>
      <c r="I143" s="22"/>
    </row>
    <row r="144" spans="3:9" s="14" customFormat="1" ht="15" customHeight="1" x14ac:dyDescent="0.25">
      <c r="C144" s="15" t="str">
        <f t="shared" si="2"/>
        <v/>
      </c>
      <c r="H144" s="22"/>
      <c r="I144" s="22"/>
    </row>
    <row r="145" spans="3:9" s="14" customFormat="1" ht="15" customHeight="1" x14ac:dyDescent="0.25">
      <c r="C145" s="15" t="str">
        <f t="shared" si="2"/>
        <v/>
      </c>
      <c r="H145" s="22"/>
      <c r="I145" s="22"/>
    </row>
    <row r="146" spans="3:9" s="14" customFormat="1" ht="15" customHeight="1" x14ac:dyDescent="0.25">
      <c r="C146" s="15" t="str">
        <f t="shared" si="2"/>
        <v/>
      </c>
      <c r="H146" s="22"/>
      <c r="I146" s="22"/>
    </row>
    <row r="147" spans="3:9" s="14" customFormat="1" ht="15" customHeight="1" x14ac:dyDescent="0.25">
      <c r="C147" s="15" t="str">
        <f t="shared" si="2"/>
        <v/>
      </c>
      <c r="H147" s="22"/>
      <c r="I147" s="22"/>
    </row>
    <row r="148" spans="3:9" s="14" customFormat="1" ht="15" customHeight="1" x14ac:dyDescent="0.25">
      <c r="C148" s="15" t="str">
        <f t="shared" si="2"/>
        <v/>
      </c>
      <c r="H148" s="22"/>
      <c r="I148" s="22"/>
    </row>
    <row r="149" spans="3:9" s="14" customFormat="1" ht="15" customHeight="1" x14ac:dyDescent="0.25">
      <c r="C149" s="15" t="str">
        <f t="shared" si="2"/>
        <v/>
      </c>
      <c r="H149" s="22"/>
      <c r="I149" s="22"/>
    </row>
    <row r="150" spans="3:9" s="14" customFormat="1" ht="15" customHeight="1" x14ac:dyDescent="0.25">
      <c r="C150" s="15" t="str">
        <f t="shared" si="2"/>
        <v/>
      </c>
      <c r="H150" s="22"/>
      <c r="I150" s="22"/>
    </row>
    <row r="151" spans="3:9" s="14" customFormat="1" ht="15" customHeight="1" x14ac:dyDescent="0.25">
      <c r="C151" s="15" t="str">
        <f t="shared" si="2"/>
        <v/>
      </c>
      <c r="H151" s="22"/>
      <c r="I151" s="22"/>
    </row>
    <row r="152" spans="3:9" s="14" customFormat="1" ht="15" customHeight="1" x14ac:dyDescent="0.25">
      <c r="C152" s="15" t="str">
        <f t="shared" si="2"/>
        <v/>
      </c>
      <c r="H152" s="22"/>
      <c r="I152" s="22"/>
    </row>
    <row r="153" spans="3:9" s="14" customFormat="1" ht="15" customHeight="1" x14ac:dyDescent="0.25">
      <c r="C153" s="15" t="str">
        <f t="shared" si="2"/>
        <v/>
      </c>
      <c r="H153" s="22"/>
      <c r="I153" s="22"/>
    </row>
    <row r="154" spans="3:9" s="14" customFormat="1" ht="15" customHeight="1" x14ac:dyDescent="0.25">
      <c r="C154" s="15" t="str">
        <f t="shared" si="2"/>
        <v/>
      </c>
      <c r="H154" s="22"/>
      <c r="I154" s="22"/>
    </row>
    <row r="155" spans="3:9" s="14" customFormat="1" ht="15" customHeight="1" x14ac:dyDescent="0.25">
      <c r="C155" s="15" t="str">
        <f t="shared" si="2"/>
        <v/>
      </c>
      <c r="H155" s="22"/>
      <c r="I155" s="22"/>
    </row>
    <row r="156" spans="3:9" s="14" customFormat="1" ht="15" customHeight="1" x14ac:dyDescent="0.25">
      <c r="C156" s="15" t="str">
        <f t="shared" si="2"/>
        <v/>
      </c>
      <c r="H156" s="22"/>
      <c r="I156" s="22"/>
    </row>
    <row r="157" spans="3:9" s="14" customFormat="1" ht="15" customHeight="1" x14ac:dyDescent="0.25">
      <c r="C157" s="15" t="str">
        <f t="shared" si="2"/>
        <v/>
      </c>
      <c r="H157" s="22"/>
      <c r="I157" s="22"/>
    </row>
    <row r="158" spans="3:9" s="14" customFormat="1" ht="15" customHeight="1" x14ac:dyDescent="0.25">
      <c r="C158" s="15" t="str">
        <f t="shared" si="2"/>
        <v/>
      </c>
      <c r="H158" s="22"/>
      <c r="I158" s="22"/>
    </row>
    <row r="159" spans="3:9" s="14" customFormat="1" ht="15" customHeight="1" x14ac:dyDescent="0.25">
      <c r="C159" s="15" t="str">
        <f t="shared" si="2"/>
        <v/>
      </c>
      <c r="H159" s="22"/>
      <c r="I159" s="22"/>
    </row>
    <row r="160" spans="3:9" s="14" customFormat="1" ht="15" customHeight="1" x14ac:dyDescent="0.25">
      <c r="C160" s="15" t="str">
        <f t="shared" si="2"/>
        <v/>
      </c>
      <c r="H160" s="22"/>
      <c r="I160" s="22"/>
    </row>
    <row r="161" spans="3:9" s="14" customFormat="1" ht="15" customHeight="1" x14ac:dyDescent="0.25">
      <c r="C161" s="15" t="str">
        <f t="shared" si="2"/>
        <v/>
      </c>
      <c r="H161" s="22"/>
      <c r="I161" s="22"/>
    </row>
    <row r="162" spans="3:9" s="14" customFormat="1" ht="15" customHeight="1" x14ac:dyDescent="0.25">
      <c r="C162" s="15" t="str">
        <f t="shared" si="2"/>
        <v/>
      </c>
      <c r="H162" s="22"/>
      <c r="I162" s="22"/>
    </row>
    <row r="163" spans="3:9" s="14" customFormat="1" ht="15" customHeight="1" x14ac:dyDescent="0.25">
      <c r="C163" s="15" t="str">
        <f t="shared" si="2"/>
        <v/>
      </c>
      <c r="H163" s="22"/>
      <c r="I163" s="22"/>
    </row>
    <row r="164" spans="3:9" s="14" customFormat="1" ht="15" customHeight="1" x14ac:dyDescent="0.25">
      <c r="C164" s="15" t="str">
        <f t="shared" si="2"/>
        <v/>
      </c>
      <c r="H164" s="22"/>
      <c r="I164" s="22"/>
    </row>
    <row r="165" spans="3:9" s="14" customFormat="1" ht="15" customHeight="1" x14ac:dyDescent="0.25">
      <c r="C165" s="15" t="str">
        <f t="shared" si="2"/>
        <v/>
      </c>
      <c r="H165" s="22"/>
      <c r="I165" s="22"/>
    </row>
    <row r="166" spans="3:9" s="14" customFormat="1" ht="15" customHeight="1" x14ac:dyDescent="0.25">
      <c r="C166" s="15" t="str">
        <f t="shared" si="2"/>
        <v/>
      </c>
      <c r="H166" s="22"/>
      <c r="I166" s="22"/>
    </row>
    <row r="167" spans="3:9" s="14" customFormat="1" ht="15" customHeight="1" x14ac:dyDescent="0.25">
      <c r="C167" s="15" t="str">
        <f t="shared" si="2"/>
        <v/>
      </c>
      <c r="H167" s="22"/>
      <c r="I167" s="22"/>
    </row>
    <row r="168" spans="3:9" s="14" customFormat="1" ht="15" customHeight="1" x14ac:dyDescent="0.25">
      <c r="C168" s="15" t="str">
        <f t="shared" si="2"/>
        <v/>
      </c>
      <c r="H168" s="22"/>
      <c r="I168" s="22"/>
    </row>
    <row r="169" spans="3:9" s="14" customFormat="1" ht="15" customHeight="1" x14ac:dyDescent="0.25">
      <c r="C169" s="15" t="str">
        <f t="shared" si="2"/>
        <v/>
      </c>
      <c r="H169" s="22"/>
      <c r="I169" s="22"/>
    </row>
    <row r="170" spans="3:9" s="14" customFormat="1" ht="15" customHeight="1" x14ac:dyDescent="0.25">
      <c r="C170" s="15" t="str">
        <f t="shared" si="2"/>
        <v/>
      </c>
      <c r="H170" s="22"/>
      <c r="I170" s="22"/>
    </row>
    <row r="171" spans="3:9" s="14" customFormat="1" ht="15" customHeight="1" x14ac:dyDescent="0.25">
      <c r="C171" s="15" t="str">
        <f t="shared" si="2"/>
        <v/>
      </c>
      <c r="H171" s="22"/>
      <c r="I171" s="22"/>
    </row>
    <row r="172" spans="3:9" s="14" customFormat="1" ht="15" customHeight="1" x14ac:dyDescent="0.25">
      <c r="C172" s="15" t="str">
        <f t="shared" si="2"/>
        <v/>
      </c>
      <c r="H172" s="22"/>
      <c r="I172" s="22"/>
    </row>
    <row r="173" spans="3:9" s="14" customFormat="1" ht="15" customHeight="1" x14ac:dyDescent="0.25">
      <c r="C173" s="15" t="str">
        <f t="shared" si="2"/>
        <v/>
      </c>
      <c r="H173" s="22"/>
      <c r="I173" s="22"/>
    </row>
    <row r="174" spans="3:9" s="14" customFormat="1" ht="15" customHeight="1" x14ac:dyDescent="0.25">
      <c r="C174" s="15" t="str">
        <f t="shared" si="2"/>
        <v/>
      </c>
      <c r="H174" s="22"/>
      <c r="I174" s="22"/>
    </row>
    <row r="175" spans="3:9" s="14" customFormat="1" ht="15" customHeight="1" x14ac:dyDescent="0.25">
      <c r="C175" s="15" t="str">
        <f t="shared" si="2"/>
        <v/>
      </c>
      <c r="H175" s="22"/>
      <c r="I175" s="22"/>
    </row>
    <row r="176" spans="3:9" s="14" customFormat="1" ht="15" customHeight="1" x14ac:dyDescent="0.25">
      <c r="C176" s="15" t="str">
        <f t="shared" si="2"/>
        <v/>
      </c>
      <c r="H176" s="22"/>
      <c r="I176" s="22"/>
    </row>
    <row r="177" spans="3:9" s="14" customFormat="1" ht="15" customHeight="1" x14ac:dyDescent="0.25">
      <c r="C177" s="15" t="str">
        <f t="shared" si="2"/>
        <v/>
      </c>
      <c r="H177" s="22"/>
      <c r="I177" s="22"/>
    </row>
    <row r="178" spans="3:9" s="14" customFormat="1" ht="15" customHeight="1" x14ac:dyDescent="0.25">
      <c r="C178" s="15" t="str">
        <f t="shared" si="2"/>
        <v/>
      </c>
      <c r="H178" s="22"/>
      <c r="I178" s="22"/>
    </row>
    <row r="179" spans="3:9" s="14" customFormat="1" ht="15" customHeight="1" x14ac:dyDescent="0.25">
      <c r="C179" s="15" t="str">
        <f t="shared" si="2"/>
        <v/>
      </c>
      <c r="H179" s="22"/>
      <c r="I179" s="22"/>
    </row>
    <row r="180" spans="3:9" s="14" customFormat="1" ht="15" customHeight="1" x14ac:dyDescent="0.25">
      <c r="C180" s="15" t="str">
        <f t="shared" si="2"/>
        <v/>
      </c>
      <c r="H180" s="22"/>
      <c r="I180" s="22"/>
    </row>
    <row r="181" spans="3:9" s="14" customFormat="1" ht="15" customHeight="1" x14ac:dyDescent="0.25">
      <c r="C181" s="15" t="str">
        <f t="shared" si="2"/>
        <v/>
      </c>
      <c r="H181" s="22"/>
      <c r="I181" s="22"/>
    </row>
    <row r="182" spans="3:9" s="14" customFormat="1" ht="15" customHeight="1" x14ac:dyDescent="0.25">
      <c r="C182" s="15" t="str">
        <f t="shared" si="2"/>
        <v/>
      </c>
      <c r="H182" s="22"/>
      <c r="I182" s="22"/>
    </row>
    <row r="183" spans="3:9" s="14" customFormat="1" ht="15" customHeight="1" x14ac:dyDescent="0.25">
      <c r="C183" s="15" t="str">
        <f t="shared" si="2"/>
        <v/>
      </c>
      <c r="H183" s="22"/>
      <c r="I183" s="22"/>
    </row>
    <row r="184" spans="3:9" s="14" customFormat="1" ht="15" customHeight="1" x14ac:dyDescent="0.25">
      <c r="C184" s="15" t="str">
        <f t="shared" si="2"/>
        <v/>
      </c>
      <c r="H184" s="22"/>
      <c r="I184" s="22"/>
    </row>
    <row r="185" spans="3:9" s="14" customFormat="1" ht="15" customHeight="1" x14ac:dyDescent="0.25">
      <c r="C185" s="15" t="str">
        <f t="shared" si="2"/>
        <v/>
      </c>
      <c r="H185" s="22"/>
      <c r="I185" s="22"/>
    </row>
    <row r="186" spans="3:9" s="14" customFormat="1" ht="15" customHeight="1" x14ac:dyDescent="0.25">
      <c r="C186" s="15" t="str">
        <f t="shared" si="2"/>
        <v/>
      </c>
      <c r="H186" s="22"/>
      <c r="I186" s="22"/>
    </row>
    <row r="187" spans="3:9" s="14" customFormat="1" ht="15" customHeight="1" x14ac:dyDescent="0.25">
      <c r="C187" s="15" t="str">
        <f t="shared" si="2"/>
        <v/>
      </c>
      <c r="H187" s="22"/>
      <c r="I187" s="22"/>
    </row>
    <row r="188" spans="3:9" s="14" customFormat="1" ht="15" customHeight="1" x14ac:dyDescent="0.25">
      <c r="C188" s="15" t="str">
        <f t="shared" si="2"/>
        <v/>
      </c>
      <c r="H188" s="22"/>
      <c r="I188" s="22"/>
    </row>
    <row r="189" spans="3:9" s="14" customFormat="1" ht="15" customHeight="1" x14ac:dyDescent="0.25">
      <c r="C189" s="15" t="str">
        <f t="shared" si="2"/>
        <v/>
      </c>
      <c r="H189" s="22"/>
      <c r="I189" s="22"/>
    </row>
    <row r="190" spans="3:9" s="14" customFormat="1" ht="15" customHeight="1" x14ac:dyDescent="0.25">
      <c r="C190" s="15" t="str">
        <f t="shared" ref="C190:C253" si="3">IF(ISNUMBER(A190),LN(B190/B189),"")</f>
        <v/>
      </c>
      <c r="H190" s="22"/>
      <c r="I190" s="22"/>
    </row>
    <row r="191" spans="3:9" s="14" customFormat="1" ht="15" customHeight="1" x14ac:dyDescent="0.25">
      <c r="C191" s="15" t="str">
        <f t="shared" si="3"/>
        <v/>
      </c>
      <c r="H191" s="22"/>
      <c r="I191" s="22"/>
    </row>
    <row r="192" spans="3:9" s="14" customFormat="1" ht="15" customHeight="1" x14ac:dyDescent="0.25">
      <c r="C192" s="15" t="str">
        <f t="shared" si="3"/>
        <v/>
      </c>
      <c r="H192" s="22"/>
      <c r="I192" s="22"/>
    </row>
    <row r="193" spans="3:9" s="14" customFormat="1" ht="15" customHeight="1" x14ac:dyDescent="0.25">
      <c r="C193" s="15" t="str">
        <f t="shared" si="3"/>
        <v/>
      </c>
      <c r="H193" s="22"/>
      <c r="I193" s="22"/>
    </row>
    <row r="194" spans="3:9" s="14" customFormat="1" ht="15" customHeight="1" x14ac:dyDescent="0.25">
      <c r="C194" s="15" t="str">
        <f t="shared" si="3"/>
        <v/>
      </c>
      <c r="H194" s="22"/>
      <c r="I194" s="22"/>
    </row>
    <row r="195" spans="3:9" s="14" customFormat="1" ht="15" customHeight="1" x14ac:dyDescent="0.25">
      <c r="C195" s="15" t="str">
        <f t="shared" si="3"/>
        <v/>
      </c>
      <c r="H195" s="22"/>
      <c r="I195" s="22"/>
    </row>
    <row r="196" spans="3:9" s="14" customFormat="1" ht="15" customHeight="1" x14ac:dyDescent="0.25">
      <c r="C196" s="15" t="str">
        <f t="shared" si="3"/>
        <v/>
      </c>
      <c r="H196" s="22"/>
      <c r="I196" s="22"/>
    </row>
    <row r="197" spans="3:9" s="14" customFormat="1" ht="15" customHeight="1" x14ac:dyDescent="0.25">
      <c r="C197" s="15" t="str">
        <f t="shared" si="3"/>
        <v/>
      </c>
      <c r="H197" s="22"/>
      <c r="I197" s="22"/>
    </row>
    <row r="198" spans="3:9" s="14" customFormat="1" ht="15" customHeight="1" x14ac:dyDescent="0.25">
      <c r="C198" s="15" t="str">
        <f t="shared" si="3"/>
        <v/>
      </c>
      <c r="H198" s="22"/>
      <c r="I198" s="22"/>
    </row>
    <row r="199" spans="3:9" s="14" customFormat="1" ht="15" customHeight="1" x14ac:dyDescent="0.25">
      <c r="C199" s="15" t="str">
        <f t="shared" si="3"/>
        <v/>
      </c>
      <c r="H199" s="22"/>
      <c r="I199" s="22"/>
    </row>
    <row r="200" spans="3:9" s="14" customFormat="1" ht="15" customHeight="1" x14ac:dyDescent="0.25">
      <c r="C200" s="15" t="str">
        <f t="shared" si="3"/>
        <v/>
      </c>
      <c r="H200" s="22"/>
      <c r="I200" s="22"/>
    </row>
    <row r="201" spans="3:9" s="14" customFormat="1" ht="15" customHeight="1" x14ac:dyDescent="0.25">
      <c r="C201" s="15" t="str">
        <f t="shared" si="3"/>
        <v/>
      </c>
      <c r="H201" s="22"/>
      <c r="I201" s="22"/>
    </row>
    <row r="202" spans="3:9" s="14" customFormat="1" ht="15" customHeight="1" x14ac:dyDescent="0.25">
      <c r="C202" s="15" t="str">
        <f t="shared" si="3"/>
        <v/>
      </c>
      <c r="H202" s="22"/>
      <c r="I202" s="22"/>
    </row>
    <row r="203" spans="3:9" s="14" customFormat="1" ht="15" customHeight="1" x14ac:dyDescent="0.25">
      <c r="C203" s="15" t="str">
        <f t="shared" si="3"/>
        <v/>
      </c>
      <c r="H203" s="22"/>
      <c r="I203" s="22"/>
    </row>
    <row r="204" spans="3:9" s="14" customFormat="1" ht="15" customHeight="1" x14ac:dyDescent="0.25">
      <c r="C204" s="15" t="str">
        <f t="shared" si="3"/>
        <v/>
      </c>
      <c r="H204" s="22"/>
      <c r="I204" s="22"/>
    </row>
    <row r="205" spans="3:9" s="14" customFormat="1" ht="15" customHeight="1" x14ac:dyDescent="0.25">
      <c r="C205" s="15" t="str">
        <f t="shared" si="3"/>
        <v/>
      </c>
      <c r="H205" s="22"/>
      <c r="I205" s="22"/>
    </row>
    <row r="206" spans="3:9" s="14" customFormat="1" ht="15" customHeight="1" x14ac:dyDescent="0.25">
      <c r="C206" s="15" t="str">
        <f t="shared" si="3"/>
        <v/>
      </c>
      <c r="H206" s="22"/>
      <c r="I206" s="22"/>
    </row>
    <row r="207" spans="3:9" s="14" customFormat="1" ht="15" customHeight="1" x14ac:dyDescent="0.25">
      <c r="C207" s="15" t="str">
        <f t="shared" si="3"/>
        <v/>
      </c>
      <c r="H207" s="22"/>
      <c r="I207" s="22"/>
    </row>
    <row r="208" spans="3:9" s="14" customFormat="1" ht="15" customHeight="1" x14ac:dyDescent="0.25">
      <c r="C208" s="15" t="str">
        <f t="shared" si="3"/>
        <v/>
      </c>
      <c r="H208" s="22"/>
      <c r="I208" s="22"/>
    </row>
    <row r="209" spans="3:9" s="14" customFormat="1" ht="15" customHeight="1" x14ac:dyDescent="0.25">
      <c r="C209" s="15" t="str">
        <f t="shared" si="3"/>
        <v/>
      </c>
      <c r="H209" s="22"/>
      <c r="I209" s="22"/>
    </row>
    <row r="210" spans="3:9" s="14" customFormat="1" ht="15" customHeight="1" x14ac:dyDescent="0.25">
      <c r="C210" s="15" t="str">
        <f t="shared" si="3"/>
        <v/>
      </c>
      <c r="H210" s="22"/>
      <c r="I210" s="22"/>
    </row>
    <row r="211" spans="3:9" s="14" customFormat="1" ht="15" customHeight="1" x14ac:dyDescent="0.25">
      <c r="C211" s="15" t="str">
        <f t="shared" si="3"/>
        <v/>
      </c>
      <c r="H211" s="22"/>
      <c r="I211" s="22"/>
    </row>
    <row r="212" spans="3:9" s="14" customFormat="1" ht="15" customHeight="1" x14ac:dyDescent="0.25">
      <c r="C212" s="15" t="str">
        <f t="shared" si="3"/>
        <v/>
      </c>
      <c r="H212" s="22"/>
      <c r="I212" s="22"/>
    </row>
    <row r="213" spans="3:9" s="14" customFormat="1" ht="15" customHeight="1" x14ac:dyDescent="0.25">
      <c r="C213" s="15" t="str">
        <f t="shared" si="3"/>
        <v/>
      </c>
      <c r="H213" s="22"/>
      <c r="I213" s="22"/>
    </row>
    <row r="214" spans="3:9" s="14" customFormat="1" ht="15" customHeight="1" x14ac:dyDescent="0.25">
      <c r="C214" s="15" t="str">
        <f t="shared" si="3"/>
        <v/>
      </c>
      <c r="H214" s="22"/>
      <c r="I214" s="22"/>
    </row>
    <row r="215" spans="3:9" s="14" customFormat="1" ht="15" customHeight="1" x14ac:dyDescent="0.25">
      <c r="C215" s="15" t="str">
        <f t="shared" si="3"/>
        <v/>
      </c>
      <c r="H215" s="22"/>
      <c r="I215" s="22"/>
    </row>
    <row r="216" spans="3:9" s="14" customFormat="1" ht="15" customHeight="1" x14ac:dyDescent="0.25">
      <c r="C216" s="15" t="str">
        <f t="shared" si="3"/>
        <v/>
      </c>
      <c r="H216" s="22"/>
      <c r="I216" s="22"/>
    </row>
    <row r="217" spans="3:9" s="14" customFormat="1" ht="15" customHeight="1" x14ac:dyDescent="0.25">
      <c r="C217" s="15" t="str">
        <f t="shared" si="3"/>
        <v/>
      </c>
      <c r="H217" s="22"/>
      <c r="I217" s="22"/>
    </row>
    <row r="218" spans="3:9" s="14" customFormat="1" ht="15" customHeight="1" x14ac:dyDescent="0.25">
      <c r="C218" s="15" t="str">
        <f t="shared" si="3"/>
        <v/>
      </c>
      <c r="H218" s="22"/>
      <c r="I218" s="22"/>
    </row>
    <row r="219" spans="3:9" s="14" customFormat="1" ht="15" customHeight="1" x14ac:dyDescent="0.25">
      <c r="C219" s="15" t="str">
        <f t="shared" si="3"/>
        <v/>
      </c>
      <c r="H219" s="22"/>
      <c r="I219" s="22"/>
    </row>
    <row r="220" spans="3:9" s="14" customFormat="1" ht="15" customHeight="1" x14ac:dyDescent="0.25">
      <c r="C220" s="15" t="str">
        <f t="shared" si="3"/>
        <v/>
      </c>
      <c r="H220" s="22"/>
      <c r="I220" s="22"/>
    </row>
    <row r="221" spans="3:9" s="14" customFormat="1" ht="15" customHeight="1" x14ac:dyDescent="0.25">
      <c r="C221" s="15" t="str">
        <f t="shared" si="3"/>
        <v/>
      </c>
      <c r="H221" s="22"/>
      <c r="I221" s="22"/>
    </row>
    <row r="222" spans="3:9" s="14" customFormat="1" ht="15" customHeight="1" x14ac:dyDescent="0.25">
      <c r="C222" s="15" t="str">
        <f t="shared" si="3"/>
        <v/>
      </c>
      <c r="H222" s="22"/>
      <c r="I222" s="22"/>
    </row>
    <row r="223" spans="3:9" s="14" customFormat="1" ht="15" customHeight="1" x14ac:dyDescent="0.25">
      <c r="C223" s="15" t="str">
        <f t="shared" si="3"/>
        <v/>
      </c>
      <c r="H223" s="22"/>
      <c r="I223" s="22"/>
    </row>
    <row r="224" spans="3:9" s="14" customFormat="1" ht="15" customHeight="1" x14ac:dyDescent="0.25">
      <c r="C224" s="15" t="str">
        <f t="shared" si="3"/>
        <v/>
      </c>
      <c r="H224" s="22"/>
      <c r="I224" s="22"/>
    </row>
    <row r="225" spans="3:9" s="14" customFormat="1" ht="15" customHeight="1" x14ac:dyDescent="0.25">
      <c r="C225" s="15" t="str">
        <f t="shared" si="3"/>
        <v/>
      </c>
      <c r="H225" s="22"/>
      <c r="I225" s="22"/>
    </row>
    <row r="226" spans="3:9" s="14" customFormat="1" ht="15" customHeight="1" x14ac:dyDescent="0.25">
      <c r="C226" s="15" t="str">
        <f t="shared" si="3"/>
        <v/>
      </c>
      <c r="H226" s="22"/>
      <c r="I226" s="22"/>
    </row>
    <row r="227" spans="3:9" s="14" customFormat="1" ht="15" customHeight="1" x14ac:dyDescent="0.25">
      <c r="C227" s="15" t="str">
        <f t="shared" si="3"/>
        <v/>
      </c>
      <c r="H227" s="22"/>
      <c r="I227" s="22"/>
    </row>
    <row r="228" spans="3:9" s="14" customFormat="1" ht="15" customHeight="1" x14ac:dyDescent="0.25">
      <c r="C228" s="15" t="str">
        <f t="shared" si="3"/>
        <v/>
      </c>
      <c r="H228" s="22"/>
      <c r="I228" s="22"/>
    </row>
    <row r="229" spans="3:9" s="14" customFormat="1" ht="15" customHeight="1" x14ac:dyDescent="0.25">
      <c r="C229" s="15" t="str">
        <f t="shared" si="3"/>
        <v/>
      </c>
      <c r="H229" s="22"/>
      <c r="I229" s="22"/>
    </row>
    <row r="230" spans="3:9" s="14" customFormat="1" ht="15" customHeight="1" x14ac:dyDescent="0.25">
      <c r="C230" s="15" t="str">
        <f t="shared" si="3"/>
        <v/>
      </c>
      <c r="H230" s="22"/>
      <c r="I230" s="22"/>
    </row>
    <row r="231" spans="3:9" s="14" customFormat="1" ht="15" customHeight="1" x14ac:dyDescent="0.25">
      <c r="C231" s="15" t="str">
        <f t="shared" si="3"/>
        <v/>
      </c>
      <c r="H231" s="22"/>
      <c r="I231" s="22"/>
    </row>
    <row r="232" spans="3:9" s="14" customFormat="1" ht="15" customHeight="1" x14ac:dyDescent="0.25">
      <c r="C232" s="15" t="str">
        <f t="shared" si="3"/>
        <v/>
      </c>
      <c r="H232" s="22"/>
      <c r="I232" s="22"/>
    </row>
    <row r="233" spans="3:9" s="14" customFormat="1" ht="15" customHeight="1" x14ac:dyDescent="0.25">
      <c r="C233" s="15" t="str">
        <f t="shared" si="3"/>
        <v/>
      </c>
      <c r="H233" s="22"/>
      <c r="I233" s="22"/>
    </row>
    <row r="234" spans="3:9" s="14" customFormat="1" ht="15" customHeight="1" x14ac:dyDescent="0.25">
      <c r="C234" s="15" t="str">
        <f t="shared" si="3"/>
        <v/>
      </c>
      <c r="H234" s="22"/>
      <c r="I234" s="22"/>
    </row>
    <row r="235" spans="3:9" s="14" customFormat="1" ht="15" customHeight="1" x14ac:dyDescent="0.25">
      <c r="C235" s="15" t="str">
        <f t="shared" si="3"/>
        <v/>
      </c>
      <c r="H235" s="22"/>
      <c r="I235" s="22"/>
    </row>
    <row r="236" spans="3:9" s="14" customFormat="1" ht="15" customHeight="1" x14ac:dyDescent="0.25">
      <c r="C236" s="15" t="str">
        <f t="shared" si="3"/>
        <v/>
      </c>
      <c r="H236" s="22"/>
      <c r="I236" s="22"/>
    </row>
    <row r="237" spans="3:9" s="14" customFormat="1" ht="15" customHeight="1" x14ac:dyDescent="0.25">
      <c r="C237" s="15" t="str">
        <f t="shared" si="3"/>
        <v/>
      </c>
      <c r="H237" s="22"/>
      <c r="I237" s="22"/>
    </row>
    <row r="238" spans="3:9" s="14" customFormat="1" ht="15" customHeight="1" x14ac:dyDescent="0.25">
      <c r="C238" s="15" t="str">
        <f t="shared" si="3"/>
        <v/>
      </c>
      <c r="H238" s="22"/>
      <c r="I238" s="22"/>
    </row>
    <row r="239" spans="3:9" s="14" customFormat="1" ht="15" customHeight="1" x14ac:dyDescent="0.25">
      <c r="C239" s="15" t="str">
        <f t="shared" si="3"/>
        <v/>
      </c>
      <c r="H239" s="22"/>
      <c r="I239" s="22"/>
    </row>
    <row r="240" spans="3:9" s="14" customFormat="1" ht="15" customHeight="1" x14ac:dyDescent="0.25">
      <c r="C240" s="15" t="str">
        <f t="shared" si="3"/>
        <v/>
      </c>
      <c r="H240" s="22"/>
      <c r="I240" s="22"/>
    </row>
    <row r="241" spans="3:9" s="14" customFormat="1" ht="15" customHeight="1" x14ac:dyDescent="0.25">
      <c r="C241" s="15" t="str">
        <f t="shared" si="3"/>
        <v/>
      </c>
      <c r="H241" s="22"/>
      <c r="I241" s="22"/>
    </row>
    <row r="242" spans="3:9" s="14" customFormat="1" ht="15" customHeight="1" x14ac:dyDescent="0.25">
      <c r="C242" s="15" t="str">
        <f t="shared" si="3"/>
        <v/>
      </c>
      <c r="H242" s="22"/>
      <c r="I242" s="22"/>
    </row>
    <row r="243" spans="3:9" s="14" customFormat="1" ht="15" customHeight="1" x14ac:dyDescent="0.25">
      <c r="C243" s="15" t="str">
        <f t="shared" si="3"/>
        <v/>
      </c>
      <c r="H243" s="22"/>
      <c r="I243" s="22"/>
    </row>
    <row r="244" spans="3:9" s="14" customFormat="1" ht="15" customHeight="1" x14ac:dyDescent="0.25">
      <c r="C244" s="15" t="str">
        <f t="shared" si="3"/>
        <v/>
      </c>
      <c r="H244" s="22"/>
      <c r="I244" s="22"/>
    </row>
    <row r="245" spans="3:9" s="14" customFormat="1" ht="15" customHeight="1" x14ac:dyDescent="0.25">
      <c r="C245" s="15" t="str">
        <f t="shared" si="3"/>
        <v/>
      </c>
      <c r="H245" s="22"/>
      <c r="I245" s="22"/>
    </row>
    <row r="246" spans="3:9" s="14" customFormat="1" ht="15" customHeight="1" x14ac:dyDescent="0.25">
      <c r="C246" s="15" t="str">
        <f t="shared" si="3"/>
        <v/>
      </c>
      <c r="H246" s="22"/>
      <c r="I246" s="22"/>
    </row>
    <row r="247" spans="3:9" s="14" customFormat="1" ht="15" customHeight="1" x14ac:dyDescent="0.25">
      <c r="C247" s="15" t="str">
        <f t="shared" si="3"/>
        <v/>
      </c>
      <c r="H247" s="22"/>
      <c r="I247" s="22"/>
    </row>
    <row r="248" spans="3:9" s="14" customFormat="1" ht="15" customHeight="1" x14ac:dyDescent="0.25">
      <c r="C248" s="15" t="str">
        <f t="shared" si="3"/>
        <v/>
      </c>
      <c r="H248" s="22"/>
      <c r="I248" s="22"/>
    </row>
    <row r="249" spans="3:9" s="14" customFormat="1" ht="15" customHeight="1" x14ac:dyDescent="0.25">
      <c r="C249" s="15" t="str">
        <f t="shared" si="3"/>
        <v/>
      </c>
      <c r="H249" s="22"/>
      <c r="I249" s="22"/>
    </row>
    <row r="250" spans="3:9" s="14" customFormat="1" ht="15" customHeight="1" x14ac:dyDescent="0.25">
      <c r="C250" s="15" t="str">
        <f t="shared" si="3"/>
        <v/>
      </c>
      <c r="H250" s="22"/>
      <c r="I250" s="22"/>
    </row>
    <row r="251" spans="3:9" s="14" customFormat="1" ht="15" customHeight="1" x14ac:dyDescent="0.25">
      <c r="C251" s="15" t="str">
        <f t="shared" si="3"/>
        <v/>
      </c>
      <c r="H251" s="22"/>
      <c r="I251" s="22"/>
    </row>
    <row r="252" spans="3:9" s="14" customFormat="1" ht="15" customHeight="1" x14ac:dyDescent="0.25">
      <c r="C252" s="15" t="str">
        <f t="shared" si="3"/>
        <v/>
      </c>
      <c r="H252" s="22"/>
      <c r="I252" s="22"/>
    </row>
    <row r="253" spans="3:9" s="14" customFormat="1" ht="15" customHeight="1" x14ac:dyDescent="0.25">
      <c r="C253" s="15" t="str">
        <f t="shared" si="3"/>
        <v/>
      </c>
      <c r="H253" s="22"/>
      <c r="I253" s="22"/>
    </row>
    <row r="254" spans="3:9" s="14" customFormat="1" ht="15" customHeight="1" x14ac:dyDescent="0.25">
      <c r="C254" s="15" t="str">
        <f t="shared" ref="C254:C317" si="4">IF(ISNUMBER(A254),LN(B254/B253),"")</f>
        <v/>
      </c>
      <c r="H254" s="22"/>
      <c r="I254" s="22"/>
    </row>
    <row r="255" spans="3:9" s="14" customFormat="1" ht="15" customHeight="1" x14ac:dyDescent="0.25">
      <c r="C255" s="15" t="str">
        <f t="shared" si="4"/>
        <v/>
      </c>
      <c r="H255" s="22"/>
      <c r="I255" s="22"/>
    </row>
    <row r="256" spans="3:9" s="14" customFormat="1" ht="15" customHeight="1" x14ac:dyDescent="0.25">
      <c r="C256" s="15" t="str">
        <f t="shared" si="4"/>
        <v/>
      </c>
      <c r="H256" s="22"/>
      <c r="I256" s="22"/>
    </row>
    <row r="257" spans="3:9" s="14" customFormat="1" ht="15" customHeight="1" x14ac:dyDescent="0.25">
      <c r="C257" s="15" t="str">
        <f t="shared" si="4"/>
        <v/>
      </c>
      <c r="H257" s="22"/>
      <c r="I257" s="22"/>
    </row>
    <row r="258" spans="3:9" s="14" customFormat="1" ht="15" customHeight="1" x14ac:dyDescent="0.25">
      <c r="C258" s="15" t="str">
        <f t="shared" si="4"/>
        <v/>
      </c>
      <c r="H258" s="22"/>
      <c r="I258" s="22"/>
    </row>
    <row r="259" spans="3:9" s="14" customFormat="1" ht="15" customHeight="1" x14ac:dyDescent="0.25">
      <c r="C259" s="15" t="str">
        <f t="shared" si="4"/>
        <v/>
      </c>
      <c r="H259" s="22"/>
      <c r="I259" s="22"/>
    </row>
    <row r="260" spans="3:9" s="14" customFormat="1" ht="15" customHeight="1" x14ac:dyDescent="0.25">
      <c r="C260" s="15" t="str">
        <f t="shared" si="4"/>
        <v/>
      </c>
      <c r="H260" s="22"/>
      <c r="I260" s="22"/>
    </row>
    <row r="261" spans="3:9" s="14" customFormat="1" ht="15" customHeight="1" x14ac:dyDescent="0.25">
      <c r="C261" s="15" t="str">
        <f t="shared" si="4"/>
        <v/>
      </c>
      <c r="H261" s="22"/>
      <c r="I261" s="22"/>
    </row>
    <row r="262" spans="3:9" s="14" customFormat="1" ht="15" customHeight="1" x14ac:dyDescent="0.25">
      <c r="C262" s="15" t="str">
        <f t="shared" si="4"/>
        <v/>
      </c>
      <c r="H262" s="22"/>
      <c r="I262" s="22"/>
    </row>
    <row r="263" spans="3:9" s="14" customFormat="1" ht="15" customHeight="1" x14ac:dyDescent="0.25">
      <c r="C263" s="15" t="str">
        <f t="shared" si="4"/>
        <v/>
      </c>
      <c r="H263" s="22"/>
      <c r="I263" s="22"/>
    </row>
    <row r="264" spans="3:9" s="14" customFormat="1" ht="15" customHeight="1" x14ac:dyDescent="0.25">
      <c r="C264" s="15" t="str">
        <f t="shared" si="4"/>
        <v/>
      </c>
      <c r="H264" s="22"/>
      <c r="I264" s="22"/>
    </row>
    <row r="265" spans="3:9" s="14" customFormat="1" ht="15" customHeight="1" x14ac:dyDescent="0.25">
      <c r="C265" s="15" t="str">
        <f t="shared" si="4"/>
        <v/>
      </c>
      <c r="H265" s="22"/>
      <c r="I265" s="22"/>
    </row>
    <row r="266" spans="3:9" s="14" customFormat="1" ht="15" customHeight="1" x14ac:dyDescent="0.25">
      <c r="C266" s="15" t="str">
        <f t="shared" si="4"/>
        <v/>
      </c>
      <c r="H266" s="22"/>
      <c r="I266" s="22"/>
    </row>
    <row r="267" spans="3:9" s="14" customFormat="1" ht="15" customHeight="1" x14ac:dyDescent="0.25">
      <c r="C267" s="15" t="str">
        <f t="shared" si="4"/>
        <v/>
      </c>
      <c r="H267" s="22"/>
      <c r="I267" s="22"/>
    </row>
    <row r="268" spans="3:9" s="14" customFormat="1" ht="15" customHeight="1" x14ac:dyDescent="0.25">
      <c r="C268" s="15" t="str">
        <f t="shared" si="4"/>
        <v/>
      </c>
      <c r="H268" s="22"/>
      <c r="I268" s="22"/>
    </row>
    <row r="269" spans="3:9" s="14" customFormat="1" ht="15" customHeight="1" x14ac:dyDescent="0.25">
      <c r="C269" s="15" t="str">
        <f t="shared" si="4"/>
        <v/>
      </c>
      <c r="H269" s="22"/>
      <c r="I269" s="22"/>
    </row>
    <row r="270" spans="3:9" s="14" customFormat="1" ht="15" customHeight="1" x14ac:dyDescent="0.25">
      <c r="C270" s="15" t="str">
        <f t="shared" si="4"/>
        <v/>
      </c>
      <c r="H270" s="22"/>
      <c r="I270" s="22"/>
    </row>
    <row r="271" spans="3:9" s="14" customFormat="1" ht="15" customHeight="1" x14ac:dyDescent="0.25">
      <c r="C271" s="15" t="str">
        <f t="shared" si="4"/>
        <v/>
      </c>
      <c r="H271" s="22"/>
      <c r="I271" s="22"/>
    </row>
    <row r="272" spans="3:9" s="14" customFormat="1" ht="15" customHeight="1" x14ac:dyDescent="0.25">
      <c r="C272" s="15" t="str">
        <f t="shared" si="4"/>
        <v/>
      </c>
      <c r="H272" s="22"/>
      <c r="I272" s="22"/>
    </row>
    <row r="273" spans="3:9" s="14" customFormat="1" ht="15" customHeight="1" x14ac:dyDescent="0.25">
      <c r="C273" s="15" t="str">
        <f t="shared" si="4"/>
        <v/>
      </c>
      <c r="H273" s="22"/>
      <c r="I273" s="22"/>
    </row>
    <row r="274" spans="3:9" s="14" customFormat="1" ht="15" customHeight="1" x14ac:dyDescent="0.25">
      <c r="C274" s="15" t="str">
        <f t="shared" si="4"/>
        <v/>
      </c>
      <c r="H274" s="22"/>
      <c r="I274" s="22"/>
    </row>
    <row r="275" spans="3:9" s="14" customFormat="1" ht="15" customHeight="1" x14ac:dyDescent="0.25">
      <c r="C275" s="15" t="str">
        <f t="shared" si="4"/>
        <v/>
      </c>
      <c r="H275" s="22"/>
      <c r="I275" s="22"/>
    </row>
    <row r="276" spans="3:9" s="14" customFormat="1" ht="15" customHeight="1" x14ac:dyDescent="0.25">
      <c r="C276" s="15" t="str">
        <f t="shared" si="4"/>
        <v/>
      </c>
      <c r="H276" s="22"/>
      <c r="I276" s="22"/>
    </row>
    <row r="277" spans="3:9" s="14" customFormat="1" ht="15" customHeight="1" x14ac:dyDescent="0.25">
      <c r="C277" s="15" t="str">
        <f t="shared" si="4"/>
        <v/>
      </c>
      <c r="H277" s="22"/>
      <c r="I277" s="22"/>
    </row>
    <row r="278" spans="3:9" s="14" customFormat="1" ht="15" customHeight="1" x14ac:dyDescent="0.25">
      <c r="C278" s="15" t="str">
        <f t="shared" si="4"/>
        <v/>
      </c>
      <c r="H278" s="22"/>
      <c r="I278" s="22"/>
    </row>
    <row r="279" spans="3:9" s="14" customFormat="1" ht="15" customHeight="1" x14ac:dyDescent="0.25">
      <c r="C279" s="15" t="str">
        <f t="shared" si="4"/>
        <v/>
      </c>
      <c r="H279" s="22"/>
      <c r="I279" s="22"/>
    </row>
    <row r="280" spans="3:9" s="14" customFormat="1" ht="15" customHeight="1" x14ac:dyDescent="0.25">
      <c r="C280" s="15" t="str">
        <f t="shared" si="4"/>
        <v/>
      </c>
      <c r="H280" s="22"/>
      <c r="I280" s="22"/>
    </row>
    <row r="281" spans="3:9" s="14" customFormat="1" ht="15" customHeight="1" x14ac:dyDescent="0.25">
      <c r="C281" s="15" t="str">
        <f t="shared" si="4"/>
        <v/>
      </c>
      <c r="H281" s="22"/>
      <c r="I281" s="22"/>
    </row>
    <row r="282" spans="3:9" s="14" customFormat="1" ht="15" customHeight="1" x14ac:dyDescent="0.25">
      <c r="C282" s="15" t="str">
        <f t="shared" si="4"/>
        <v/>
      </c>
      <c r="H282" s="22"/>
      <c r="I282" s="22"/>
    </row>
    <row r="283" spans="3:9" s="14" customFormat="1" ht="15" customHeight="1" x14ac:dyDescent="0.25">
      <c r="C283" s="15" t="str">
        <f t="shared" si="4"/>
        <v/>
      </c>
      <c r="H283" s="22"/>
      <c r="I283" s="22"/>
    </row>
    <row r="284" spans="3:9" s="14" customFormat="1" ht="15" customHeight="1" x14ac:dyDescent="0.25">
      <c r="C284" s="15" t="str">
        <f t="shared" si="4"/>
        <v/>
      </c>
      <c r="H284" s="22"/>
      <c r="I284" s="22"/>
    </row>
    <row r="285" spans="3:9" s="14" customFormat="1" ht="15" customHeight="1" x14ac:dyDescent="0.25">
      <c r="C285" s="15" t="str">
        <f t="shared" si="4"/>
        <v/>
      </c>
      <c r="H285" s="22"/>
      <c r="I285" s="22"/>
    </row>
    <row r="286" spans="3:9" s="14" customFormat="1" ht="15" customHeight="1" x14ac:dyDescent="0.25">
      <c r="C286" s="15" t="str">
        <f t="shared" si="4"/>
        <v/>
      </c>
      <c r="H286" s="22"/>
      <c r="I286" s="22"/>
    </row>
    <row r="287" spans="3:9" s="14" customFormat="1" ht="15" customHeight="1" x14ac:dyDescent="0.25">
      <c r="C287" s="15" t="str">
        <f t="shared" si="4"/>
        <v/>
      </c>
      <c r="H287" s="22"/>
      <c r="I287" s="22"/>
    </row>
    <row r="288" spans="3:9" s="14" customFormat="1" ht="15" customHeight="1" x14ac:dyDescent="0.25">
      <c r="C288" s="15" t="str">
        <f t="shared" si="4"/>
        <v/>
      </c>
      <c r="H288" s="22"/>
      <c r="I288" s="22"/>
    </row>
    <row r="289" spans="3:9" s="14" customFormat="1" ht="15" customHeight="1" x14ac:dyDescent="0.25">
      <c r="C289" s="15" t="str">
        <f t="shared" si="4"/>
        <v/>
      </c>
      <c r="H289" s="22"/>
      <c r="I289" s="22"/>
    </row>
    <row r="290" spans="3:9" s="14" customFormat="1" ht="15" customHeight="1" x14ac:dyDescent="0.25">
      <c r="C290" s="15" t="str">
        <f t="shared" si="4"/>
        <v/>
      </c>
      <c r="H290" s="22"/>
      <c r="I290" s="22"/>
    </row>
    <row r="291" spans="3:9" s="14" customFormat="1" ht="15" customHeight="1" x14ac:dyDescent="0.25">
      <c r="C291" s="15" t="str">
        <f t="shared" si="4"/>
        <v/>
      </c>
      <c r="H291" s="22"/>
      <c r="I291" s="22"/>
    </row>
    <row r="292" spans="3:9" s="14" customFormat="1" ht="15" customHeight="1" x14ac:dyDescent="0.25">
      <c r="C292" s="15" t="str">
        <f t="shared" si="4"/>
        <v/>
      </c>
      <c r="H292" s="22"/>
      <c r="I292" s="22"/>
    </row>
    <row r="293" spans="3:9" s="14" customFormat="1" ht="15" customHeight="1" x14ac:dyDescent="0.25">
      <c r="C293" s="15" t="str">
        <f t="shared" si="4"/>
        <v/>
      </c>
      <c r="H293" s="22"/>
      <c r="I293" s="22"/>
    </row>
    <row r="294" spans="3:9" s="14" customFormat="1" ht="15" customHeight="1" x14ac:dyDescent="0.25">
      <c r="C294" s="15" t="str">
        <f t="shared" si="4"/>
        <v/>
      </c>
      <c r="H294" s="22"/>
      <c r="I294" s="22"/>
    </row>
    <row r="295" spans="3:9" s="14" customFormat="1" ht="15" customHeight="1" x14ac:dyDescent="0.25">
      <c r="C295" s="15" t="str">
        <f t="shared" si="4"/>
        <v/>
      </c>
      <c r="H295" s="22"/>
      <c r="I295" s="22"/>
    </row>
    <row r="296" spans="3:9" s="14" customFormat="1" ht="15" customHeight="1" x14ac:dyDescent="0.25">
      <c r="C296" s="15" t="str">
        <f t="shared" si="4"/>
        <v/>
      </c>
      <c r="H296" s="22"/>
      <c r="I296" s="22"/>
    </row>
    <row r="297" spans="3:9" s="14" customFormat="1" ht="15" customHeight="1" x14ac:dyDescent="0.25">
      <c r="C297" s="15" t="str">
        <f t="shared" si="4"/>
        <v/>
      </c>
      <c r="H297" s="22"/>
      <c r="I297" s="22"/>
    </row>
    <row r="298" spans="3:9" s="14" customFormat="1" ht="15" customHeight="1" x14ac:dyDescent="0.25">
      <c r="C298" s="15" t="str">
        <f t="shared" si="4"/>
        <v/>
      </c>
      <c r="H298" s="22"/>
      <c r="I298" s="22"/>
    </row>
    <row r="299" spans="3:9" s="14" customFormat="1" ht="15" customHeight="1" x14ac:dyDescent="0.25">
      <c r="C299" s="15" t="str">
        <f t="shared" si="4"/>
        <v/>
      </c>
      <c r="H299" s="22"/>
      <c r="I299" s="22"/>
    </row>
    <row r="300" spans="3:9" s="14" customFormat="1" ht="15" customHeight="1" x14ac:dyDescent="0.25">
      <c r="C300" s="15" t="str">
        <f t="shared" si="4"/>
        <v/>
      </c>
      <c r="H300" s="22"/>
      <c r="I300" s="22"/>
    </row>
    <row r="301" spans="3:9" s="14" customFormat="1" ht="15" customHeight="1" x14ac:dyDescent="0.25">
      <c r="C301" s="15" t="str">
        <f t="shared" si="4"/>
        <v/>
      </c>
      <c r="H301" s="22"/>
      <c r="I301" s="22"/>
    </row>
    <row r="302" spans="3:9" s="14" customFormat="1" ht="15" customHeight="1" x14ac:dyDescent="0.25">
      <c r="C302" s="15" t="str">
        <f t="shared" si="4"/>
        <v/>
      </c>
      <c r="H302" s="22"/>
      <c r="I302" s="22"/>
    </row>
    <row r="303" spans="3:9" s="14" customFormat="1" ht="15" customHeight="1" x14ac:dyDescent="0.25">
      <c r="C303" s="15" t="str">
        <f t="shared" si="4"/>
        <v/>
      </c>
      <c r="H303" s="22"/>
      <c r="I303" s="22"/>
    </row>
    <row r="304" spans="3:9" s="14" customFormat="1" ht="15" customHeight="1" x14ac:dyDescent="0.25">
      <c r="C304" s="15" t="str">
        <f t="shared" si="4"/>
        <v/>
      </c>
      <c r="H304" s="22"/>
      <c r="I304" s="22"/>
    </row>
    <row r="305" spans="3:9" s="14" customFormat="1" ht="15" customHeight="1" x14ac:dyDescent="0.25">
      <c r="C305" s="15" t="str">
        <f t="shared" si="4"/>
        <v/>
      </c>
      <c r="H305" s="22"/>
      <c r="I305" s="22"/>
    </row>
    <row r="306" spans="3:9" s="14" customFormat="1" ht="15" customHeight="1" x14ac:dyDescent="0.25">
      <c r="C306" s="15" t="str">
        <f t="shared" si="4"/>
        <v/>
      </c>
      <c r="H306" s="22"/>
      <c r="I306" s="22"/>
    </row>
    <row r="307" spans="3:9" s="14" customFormat="1" ht="15" customHeight="1" x14ac:dyDescent="0.25">
      <c r="C307" s="15" t="str">
        <f t="shared" si="4"/>
        <v/>
      </c>
      <c r="H307" s="22"/>
      <c r="I307" s="22"/>
    </row>
    <row r="308" spans="3:9" s="14" customFormat="1" ht="15" customHeight="1" x14ac:dyDescent="0.25">
      <c r="C308" s="15" t="str">
        <f t="shared" si="4"/>
        <v/>
      </c>
      <c r="H308" s="22"/>
      <c r="I308" s="22"/>
    </row>
    <row r="309" spans="3:9" s="14" customFormat="1" ht="15" customHeight="1" x14ac:dyDescent="0.25">
      <c r="C309" s="15" t="str">
        <f t="shared" si="4"/>
        <v/>
      </c>
      <c r="H309" s="22"/>
      <c r="I309" s="22"/>
    </row>
    <row r="310" spans="3:9" s="14" customFormat="1" ht="15" customHeight="1" x14ac:dyDescent="0.25">
      <c r="C310" s="15" t="str">
        <f t="shared" si="4"/>
        <v/>
      </c>
      <c r="H310" s="22"/>
      <c r="I310" s="22"/>
    </row>
    <row r="311" spans="3:9" s="14" customFormat="1" ht="15" customHeight="1" x14ac:dyDescent="0.25">
      <c r="C311" s="15" t="str">
        <f t="shared" si="4"/>
        <v/>
      </c>
      <c r="H311" s="22"/>
      <c r="I311" s="22"/>
    </row>
    <row r="312" spans="3:9" s="14" customFormat="1" ht="15" customHeight="1" x14ac:dyDescent="0.25">
      <c r="C312" s="15" t="str">
        <f t="shared" si="4"/>
        <v/>
      </c>
      <c r="H312" s="22"/>
      <c r="I312" s="22"/>
    </row>
    <row r="313" spans="3:9" s="14" customFormat="1" ht="15" customHeight="1" x14ac:dyDescent="0.25">
      <c r="C313" s="15" t="str">
        <f t="shared" si="4"/>
        <v/>
      </c>
      <c r="H313" s="22"/>
      <c r="I313" s="22"/>
    </row>
    <row r="314" spans="3:9" s="14" customFormat="1" ht="15" customHeight="1" x14ac:dyDescent="0.25">
      <c r="C314" s="15" t="str">
        <f t="shared" si="4"/>
        <v/>
      </c>
      <c r="H314" s="22"/>
      <c r="I314" s="22"/>
    </row>
    <row r="315" spans="3:9" s="14" customFormat="1" ht="15" customHeight="1" x14ac:dyDescent="0.25">
      <c r="C315" s="15" t="str">
        <f t="shared" si="4"/>
        <v/>
      </c>
      <c r="H315" s="22"/>
      <c r="I315" s="22"/>
    </row>
    <row r="316" spans="3:9" s="14" customFormat="1" ht="15" customHeight="1" x14ac:dyDescent="0.25">
      <c r="C316" s="15" t="str">
        <f t="shared" si="4"/>
        <v/>
      </c>
      <c r="H316" s="22"/>
      <c r="I316" s="22"/>
    </row>
    <row r="317" spans="3:9" s="14" customFormat="1" ht="15" customHeight="1" x14ac:dyDescent="0.25">
      <c r="C317" s="15" t="str">
        <f t="shared" si="4"/>
        <v/>
      </c>
      <c r="H317" s="22"/>
      <c r="I317" s="22"/>
    </row>
    <row r="318" spans="3:9" s="14" customFormat="1" ht="15" customHeight="1" x14ac:dyDescent="0.25">
      <c r="C318" s="15" t="str">
        <f t="shared" ref="C318:C381" si="5">IF(ISNUMBER(A318),LN(B318/B317),"")</f>
        <v/>
      </c>
      <c r="H318" s="22"/>
      <c r="I318" s="22"/>
    </row>
    <row r="319" spans="3:9" s="14" customFormat="1" ht="15" customHeight="1" x14ac:dyDescent="0.25">
      <c r="C319" s="15" t="str">
        <f t="shared" si="5"/>
        <v/>
      </c>
      <c r="H319" s="22"/>
      <c r="I319" s="22"/>
    </row>
    <row r="320" spans="3:9" s="14" customFormat="1" ht="15" customHeight="1" x14ac:dyDescent="0.25">
      <c r="C320" s="15" t="str">
        <f t="shared" si="5"/>
        <v/>
      </c>
      <c r="H320" s="22"/>
      <c r="I320" s="22"/>
    </row>
    <row r="321" spans="3:9" s="14" customFormat="1" ht="15" customHeight="1" x14ac:dyDescent="0.25">
      <c r="C321" s="15" t="str">
        <f t="shared" si="5"/>
        <v/>
      </c>
      <c r="H321" s="22"/>
      <c r="I321" s="22"/>
    </row>
    <row r="322" spans="3:9" s="14" customFormat="1" ht="15" customHeight="1" x14ac:dyDescent="0.25">
      <c r="C322" s="15" t="str">
        <f t="shared" si="5"/>
        <v/>
      </c>
      <c r="H322" s="22"/>
      <c r="I322" s="22"/>
    </row>
    <row r="323" spans="3:9" s="14" customFormat="1" ht="15" customHeight="1" x14ac:dyDescent="0.25">
      <c r="C323" s="15" t="str">
        <f t="shared" si="5"/>
        <v/>
      </c>
      <c r="H323" s="22"/>
      <c r="I323" s="22"/>
    </row>
    <row r="324" spans="3:9" s="14" customFormat="1" ht="15" customHeight="1" x14ac:dyDescent="0.25">
      <c r="C324" s="15" t="str">
        <f t="shared" si="5"/>
        <v/>
      </c>
      <c r="H324" s="22"/>
      <c r="I324" s="22"/>
    </row>
    <row r="325" spans="3:9" s="14" customFormat="1" ht="15" customHeight="1" x14ac:dyDescent="0.25">
      <c r="C325" s="15" t="str">
        <f t="shared" si="5"/>
        <v/>
      </c>
      <c r="H325" s="22"/>
      <c r="I325" s="22"/>
    </row>
    <row r="326" spans="3:9" s="14" customFormat="1" ht="15" customHeight="1" x14ac:dyDescent="0.25">
      <c r="C326" s="15" t="str">
        <f t="shared" si="5"/>
        <v/>
      </c>
      <c r="H326" s="22"/>
      <c r="I326" s="22"/>
    </row>
    <row r="327" spans="3:9" s="14" customFormat="1" ht="15" customHeight="1" x14ac:dyDescent="0.25">
      <c r="C327" s="15" t="str">
        <f t="shared" si="5"/>
        <v/>
      </c>
      <c r="H327" s="22"/>
      <c r="I327" s="22"/>
    </row>
    <row r="328" spans="3:9" s="14" customFormat="1" ht="15" customHeight="1" x14ac:dyDescent="0.25">
      <c r="C328" s="15" t="str">
        <f t="shared" si="5"/>
        <v/>
      </c>
      <c r="H328" s="22"/>
      <c r="I328" s="22"/>
    </row>
    <row r="329" spans="3:9" s="14" customFormat="1" ht="15" customHeight="1" x14ac:dyDescent="0.25">
      <c r="C329" s="15" t="str">
        <f t="shared" si="5"/>
        <v/>
      </c>
      <c r="H329" s="22"/>
      <c r="I329" s="22"/>
    </row>
    <row r="330" spans="3:9" s="14" customFormat="1" ht="15" customHeight="1" x14ac:dyDescent="0.25">
      <c r="C330" s="15" t="str">
        <f t="shared" si="5"/>
        <v/>
      </c>
      <c r="H330" s="22"/>
      <c r="I330" s="22"/>
    </row>
    <row r="331" spans="3:9" s="14" customFormat="1" ht="15" customHeight="1" x14ac:dyDescent="0.25">
      <c r="C331" s="15" t="str">
        <f t="shared" si="5"/>
        <v/>
      </c>
      <c r="H331" s="22"/>
      <c r="I331" s="22"/>
    </row>
    <row r="332" spans="3:9" s="14" customFormat="1" ht="15" customHeight="1" x14ac:dyDescent="0.25">
      <c r="C332" s="15" t="str">
        <f t="shared" si="5"/>
        <v/>
      </c>
      <c r="H332" s="22"/>
      <c r="I332" s="22"/>
    </row>
    <row r="333" spans="3:9" s="14" customFormat="1" ht="15" customHeight="1" x14ac:dyDescent="0.25">
      <c r="C333" s="15" t="str">
        <f t="shared" si="5"/>
        <v/>
      </c>
      <c r="H333" s="22"/>
      <c r="I333" s="22"/>
    </row>
    <row r="334" spans="3:9" s="14" customFormat="1" ht="15" customHeight="1" x14ac:dyDescent="0.25">
      <c r="C334" s="15" t="str">
        <f t="shared" si="5"/>
        <v/>
      </c>
      <c r="H334" s="22"/>
      <c r="I334" s="22"/>
    </row>
    <row r="335" spans="3:9" s="14" customFormat="1" ht="15" customHeight="1" x14ac:dyDescent="0.25">
      <c r="C335" s="15" t="str">
        <f t="shared" si="5"/>
        <v/>
      </c>
      <c r="H335" s="22"/>
      <c r="I335" s="22"/>
    </row>
    <row r="336" spans="3:9" s="14" customFormat="1" ht="15" customHeight="1" x14ac:dyDescent="0.25">
      <c r="C336" s="15" t="str">
        <f t="shared" si="5"/>
        <v/>
      </c>
      <c r="H336" s="22"/>
      <c r="I336" s="22"/>
    </row>
    <row r="337" spans="3:9" s="14" customFormat="1" ht="15" customHeight="1" x14ac:dyDescent="0.25">
      <c r="C337" s="15" t="str">
        <f t="shared" si="5"/>
        <v/>
      </c>
      <c r="H337" s="22"/>
      <c r="I337" s="22"/>
    </row>
    <row r="338" spans="3:9" s="14" customFormat="1" ht="15" customHeight="1" x14ac:dyDescent="0.25">
      <c r="C338" s="15" t="str">
        <f t="shared" si="5"/>
        <v/>
      </c>
      <c r="H338" s="22"/>
      <c r="I338" s="22"/>
    </row>
    <row r="339" spans="3:9" s="14" customFormat="1" ht="15" customHeight="1" x14ac:dyDescent="0.25">
      <c r="C339" s="15" t="str">
        <f t="shared" si="5"/>
        <v/>
      </c>
      <c r="H339" s="22"/>
      <c r="I339" s="22"/>
    </row>
    <row r="340" spans="3:9" s="14" customFormat="1" ht="15" customHeight="1" x14ac:dyDescent="0.25">
      <c r="C340" s="15" t="str">
        <f t="shared" si="5"/>
        <v/>
      </c>
      <c r="H340" s="22"/>
      <c r="I340" s="22"/>
    </row>
    <row r="341" spans="3:9" s="14" customFormat="1" ht="15" customHeight="1" x14ac:dyDescent="0.25">
      <c r="C341" s="15" t="str">
        <f t="shared" si="5"/>
        <v/>
      </c>
      <c r="H341" s="22"/>
      <c r="I341" s="22"/>
    </row>
    <row r="342" spans="3:9" s="14" customFormat="1" ht="15" customHeight="1" x14ac:dyDescent="0.25">
      <c r="C342" s="15" t="str">
        <f t="shared" si="5"/>
        <v/>
      </c>
      <c r="H342" s="22"/>
      <c r="I342" s="22"/>
    </row>
    <row r="343" spans="3:9" s="14" customFormat="1" ht="15" customHeight="1" x14ac:dyDescent="0.25">
      <c r="C343" s="15" t="str">
        <f t="shared" si="5"/>
        <v/>
      </c>
      <c r="H343" s="22"/>
      <c r="I343" s="22"/>
    </row>
    <row r="344" spans="3:9" s="14" customFormat="1" ht="15" customHeight="1" x14ac:dyDescent="0.25">
      <c r="C344" s="15" t="str">
        <f t="shared" si="5"/>
        <v/>
      </c>
      <c r="H344" s="22"/>
      <c r="I344" s="22"/>
    </row>
    <row r="345" spans="3:9" s="14" customFormat="1" ht="15" customHeight="1" x14ac:dyDescent="0.25">
      <c r="C345" s="15" t="str">
        <f t="shared" si="5"/>
        <v/>
      </c>
      <c r="H345" s="22"/>
      <c r="I345" s="22"/>
    </row>
    <row r="346" spans="3:9" s="14" customFormat="1" ht="15" customHeight="1" x14ac:dyDescent="0.25">
      <c r="C346" s="15" t="str">
        <f t="shared" si="5"/>
        <v/>
      </c>
      <c r="H346" s="22"/>
      <c r="I346" s="22"/>
    </row>
    <row r="347" spans="3:9" s="14" customFormat="1" ht="15" customHeight="1" x14ac:dyDescent="0.25">
      <c r="C347" s="15" t="str">
        <f t="shared" si="5"/>
        <v/>
      </c>
      <c r="H347" s="22"/>
      <c r="I347" s="22"/>
    </row>
    <row r="348" spans="3:9" s="14" customFormat="1" ht="15" customHeight="1" x14ac:dyDescent="0.25">
      <c r="C348" s="15" t="str">
        <f t="shared" si="5"/>
        <v/>
      </c>
      <c r="H348" s="22"/>
      <c r="I348" s="22"/>
    </row>
    <row r="349" spans="3:9" s="14" customFormat="1" ht="15" customHeight="1" x14ac:dyDescent="0.25">
      <c r="C349" s="15" t="str">
        <f t="shared" si="5"/>
        <v/>
      </c>
      <c r="H349" s="22"/>
      <c r="I349" s="22"/>
    </row>
    <row r="350" spans="3:9" s="14" customFormat="1" ht="15" customHeight="1" x14ac:dyDescent="0.25">
      <c r="C350" s="15" t="str">
        <f t="shared" si="5"/>
        <v/>
      </c>
      <c r="H350" s="22"/>
      <c r="I350" s="22"/>
    </row>
    <row r="351" spans="3:9" s="14" customFormat="1" ht="15" customHeight="1" x14ac:dyDescent="0.25">
      <c r="C351" s="15" t="str">
        <f t="shared" si="5"/>
        <v/>
      </c>
      <c r="H351" s="22"/>
      <c r="I351" s="22"/>
    </row>
    <row r="352" spans="3:9" s="14" customFormat="1" ht="15" customHeight="1" x14ac:dyDescent="0.25">
      <c r="C352" s="15" t="str">
        <f t="shared" si="5"/>
        <v/>
      </c>
      <c r="H352" s="22"/>
      <c r="I352" s="22"/>
    </row>
    <row r="353" spans="3:9" s="14" customFormat="1" ht="15" customHeight="1" x14ac:dyDescent="0.25">
      <c r="C353" s="15" t="str">
        <f t="shared" si="5"/>
        <v/>
      </c>
      <c r="H353" s="22"/>
      <c r="I353" s="22"/>
    </row>
    <row r="354" spans="3:9" s="14" customFormat="1" ht="15" customHeight="1" x14ac:dyDescent="0.25">
      <c r="C354" s="15" t="str">
        <f t="shared" si="5"/>
        <v/>
      </c>
      <c r="H354" s="22"/>
      <c r="I354" s="22"/>
    </row>
    <row r="355" spans="3:9" s="14" customFormat="1" ht="15" customHeight="1" x14ac:dyDescent="0.25">
      <c r="C355" s="15" t="str">
        <f t="shared" si="5"/>
        <v/>
      </c>
      <c r="H355" s="22"/>
      <c r="I355" s="22"/>
    </row>
    <row r="356" spans="3:9" s="14" customFormat="1" ht="15" customHeight="1" x14ac:dyDescent="0.25">
      <c r="C356" s="15" t="str">
        <f t="shared" si="5"/>
        <v/>
      </c>
      <c r="H356" s="22"/>
      <c r="I356" s="22"/>
    </row>
    <row r="357" spans="3:9" s="14" customFormat="1" ht="15" customHeight="1" x14ac:dyDescent="0.25">
      <c r="C357" s="15" t="str">
        <f t="shared" si="5"/>
        <v/>
      </c>
      <c r="H357" s="22"/>
      <c r="I357" s="22"/>
    </row>
    <row r="358" spans="3:9" s="14" customFormat="1" ht="15" customHeight="1" x14ac:dyDescent="0.25">
      <c r="C358" s="15" t="str">
        <f t="shared" si="5"/>
        <v/>
      </c>
      <c r="H358" s="22"/>
      <c r="I358" s="22"/>
    </row>
    <row r="359" spans="3:9" s="14" customFormat="1" ht="15" customHeight="1" x14ac:dyDescent="0.25">
      <c r="C359" s="15" t="str">
        <f t="shared" si="5"/>
        <v/>
      </c>
      <c r="H359" s="22"/>
      <c r="I359" s="22"/>
    </row>
    <row r="360" spans="3:9" s="14" customFormat="1" ht="15" customHeight="1" x14ac:dyDescent="0.25">
      <c r="C360" s="15" t="str">
        <f t="shared" si="5"/>
        <v/>
      </c>
      <c r="H360" s="22"/>
      <c r="I360" s="22"/>
    </row>
    <row r="361" spans="3:9" s="14" customFormat="1" ht="15" customHeight="1" x14ac:dyDescent="0.25">
      <c r="C361" s="15" t="str">
        <f t="shared" si="5"/>
        <v/>
      </c>
      <c r="H361" s="22"/>
      <c r="I361" s="22"/>
    </row>
    <row r="362" spans="3:9" s="14" customFormat="1" ht="15" customHeight="1" x14ac:dyDescent="0.25">
      <c r="C362" s="15" t="str">
        <f t="shared" si="5"/>
        <v/>
      </c>
      <c r="H362" s="22"/>
      <c r="I362" s="22"/>
    </row>
    <row r="363" spans="3:9" s="14" customFormat="1" ht="15" customHeight="1" x14ac:dyDescent="0.25">
      <c r="C363" s="15" t="str">
        <f t="shared" si="5"/>
        <v/>
      </c>
      <c r="H363" s="22"/>
      <c r="I363" s="22"/>
    </row>
    <row r="364" spans="3:9" s="14" customFormat="1" ht="15" customHeight="1" x14ac:dyDescent="0.25">
      <c r="C364" s="15" t="str">
        <f t="shared" si="5"/>
        <v/>
      </c>
      <c r="H364" s="22"/>
      <c r="I364" s="22"/>
    </row>
    <row r="365" spans="3:9" s="14" customFormat="1" ht="15" customHeight="1" x14ac:dyDescent="0.25">
      <c r="C365" s="15" t="str">
        <f t="shared" si="5"/>
        <v/>
      </c>
      <c r="H365" s="22"/>
      <c r="I365" s="22"/>
    </row>
    <row r="366" spans="3:9" s="14" customFormat="1" ht="15" customHeight="1" x14ac:dyDescent="0.25">
      <c r="C366" s="15" t="str">
        <f t="shared" si="5"/>
        <v/>
      </c>
      <c r="H366" s="22"/>
      <c r="I366" s="22"/>
    </row>
    <row r="367" spans="3:9" s="14" customFormat="1" ht="15" customHeight="1" x14ac:dyDescent="0.25">
      <c r="C367" s="15" t="str">
        <f t="shared" si="5"/>
        <v/>
      </c>
      <c r="H367" s="22"/>
      <c r="I367" s="22"/>
    </row>
    <row r="368" spans="3:9" s="14" customFormat="1" ht="15" customHeight="1" x14ac:dyDescent="0.25">
      <c r="C368" s="15" t="str">
        <f t="shared" si="5"/>
        <v/>
      </c>
      <c r="H368" s="22"/>
      <c r="I368" s="22"/>
    </row>
    <row r="369" spans="3:9" s="14" customFormat="1" ht="15" customHeight="1" x14ac:dyDescent="0.25">
      <c r="C369" s="15" t="str">
        <f t="shared" si="5"/>
        <v/>
      </c>
      <c r="H369" s="22"/>
      <c r="I369" s="22"/>
    </row>
    <row r="370" spans="3:9" s="14" customFormat="1" ht="15" customHeight="1" x14ac:dyDescent="0.25">
      <c r="C370" s="15" t="str">
        <f t="shared" si="5"/>
        <v/>
      </c>
      <c r="H370" s="22"/>
      <c r="I370" s="22"/>
    </row>
    <row r="371" spans="3:9" s="14" customFormat="1" ht="15" customHeight="1" x14ac:dyDescent="0.25">
      <c r="C371" s="15" t="str">
        <f t="shared" si="5"/>
        <v/>
      </c>
      <c r="H371" s="22"/>
      <c r="I371" s="22"/>
    </row>
    <row r="372" spans="3:9" s="14" customFormat="1" ht="15" customHeight="1" x14ac:dyDescent="0.25">
      <c r="C372" s="15" t="str">
        <f t="shared" si="5"/>
        <v/>
      </c>
      <c r="H372" s="22"/>
      <c r="I372" s="22"/>
    </row>
    <row r="373" spans="3:9" s="14" customFormat="1" ht="15" customHeight="1" x14ac:dyDescent="0.25">
      <c r="C373" s="15" t="str">
        <f t="shared" si="5"/>
        <v/>
      </c>
      <c r="H373" s="22"/>
      <c r="I373" s="22"/>
    </row>
    <row r="374" spans="3:9" s="14" customFormat="1" ht="15" customHeight="1" x14ac:dyDescent="0.25">
      <c r="C374" s="15" t="str">
        <f t="shared" si="5"/>
        <v/>
      </c>
      <c r="H374" s="22"/>
      <c r="I374" s="22"/>
    </row>
    <row r="375" spans="3:9" s="14" customFormat="1" ht="15" customHeight="1" x14ac:dyDescent="0.25">
      <c r="C375" s="15" t="str">
        <f t="shared" si="5"/>
        <v/>
      </c>
      <c r="H375" s="22"/>
      <c r="I375" s="22"/>
    </row>
    <row r="376" spans="3:9" s="14" customFormat="1" ht="15" customHeight="1" x14ac:dyDescent="0.25">
      <c r="C376" s="15" t="str">
        <f t="shared" si="5"/>
        <v/>
      </c>
      <c r="H376" s="22"/>
      <c r="I376" s="22"/>
    </row>
    <row r="377" spans="3:9" s="14" customFormat="1" ht="15" customHeight="1" x14ac:dyDescent="0.25">
      <c r="C377" s="15" t="str">
        <f t="shared" si="5"/>
        <v/>
      </c>
      <c r="H377" s="22"/>
      <c r="I377" s="22"/>
    </row>
    <row r="378" spans="3:9" s="14" customFormat="1" ht="15" customHeight="1" x14ac:dyDescent="0.25">
      <c r="C378" s="15" t="str">
        <f t="shared" si="5"/>
        <v/>
      </c>
      <c r="H378" s="22"/>
      <c r="I378" s="22"/>
    </row>
    <row r="379" spans="3:9" s="14" customFormat="1" ht="15" customHeight="1" x14ac:dyDescent="0.25">
      <c r="C379" s="15" t="str">
        <f t="shared" si="5"/>
        <v/>
      </c>
      <c r="H379" s="22"/>
      <c r="I379" s="22"/>
    </row>
    <row r="380" spans="3:9" s="14" customFormat="1" ht="15" customHeight="1" x14ac:dyDescent="0.25">
      <c r="C380" s="15" t="str">
        <f t="shared" si="5"/>
        <v/>
      </c>
      <c r="H380" s="22"/>
      <c r="I380" s="22"/>
    </row>
    <row r="381" spans="3:9" s="14" customFormat="1" ht="15" customHeight="1" x14ac:dyDescent="0.25">
      <c r="C381" s="15" t="str">
        <f t="shared" si="5"/>
        <v/>
      </c>
      <c r="H381" s="22"/>
      <c r="I381" s="22"/>
    </row>
    <row r="382" spans="3:9" s="14" customFormat="1" ht="15" customHeight="1" x14ac:dyDescent="0.25">
      <c r="C382" s="15" t="str">
        <f t="shared" ref="C382:C445" si="6">IF(ISNUMBER(A382),LN(B382/B381),"")</f>
        <v/>
      </c>
      <c r="H382" s="22"/>
      <c r="I382" s="22"/>
    </row>
    <row r="383" spans="3:9" s="14" customFormat="1" ht="15" customHeight="1" x14ac:dyDescent="0.25">
      <c r="C383" s="15" t="str">
        <f t="shared" si="6"/>
        <v/>
      </c>
      <c r="H383" s="22"/>
      <c r="I383" s="22"/>
    </row>
    <row r="384" spans="3:9" s="14" customFormat="1" ht="15" customHeight="1" x14ac:dyDescent="0.25">
      <c r="C384" s="15" t="str">
        <f t="shared" si="6"/>
        <v/>
      </c>
      <c r="H384" s="22"/>
      <c r="I384" s="22"/>
    </row>
    <row r="385" spans="3:9" s="14" customFormat="1" ht="15" customHeight="1" x14ac:dyDescent="0.25">
      <c r="C385" s="15" t="str">
        <f t="shared" si="6"/>
        <v/>
      </c>
      <c r="H385" s="22"/>
      <c r="I385" s="22"/>
    </row>
    <row r="386" spans="3:9" s="14" customFormat="1" ht="15" customHeight="1" x14ac:dyDescent="0.25">
      <c r="C386" s="15" t="str">
        <f t="shared" si="6"/>
        <v/>
      </c>
      <c r="H386" s="22"/>
      <c r="I386" s="22"/>
    </row>
    <row r="387" spans="3:9" s="14" customFormat="1" ht="15" customHeight="1" x14ac:dyDescent="0.25">
      <c r="C387" s="15" t="str">
        <f t="shared" si="6"/>
        <v/>
      </c>
      <c r="H387" s="22"/>
      <c r="I387" s="22"/>
    </row>
    <row r="388" spans="3:9" s="14" customFormat="1" ht="15" customHeight="1" x14ac:dyDescent="0.25">
      <c r="C388" s="15" t="str">
        <f t="shared" si="6"/>
        <v/>
      </c>
      <c r="H388" s="22"/>
      <c r="I388" s="22"/>
    </row>
    <row r="389" spans="3:9" s="14" customFormat="1" ht="15" customHeight="1" x14ac:dyDescent="0.25">
      <c r="C389" s="15" t="str">
        <f t="shared" si="6"/>
        <v/>
      </c>
      <c r="H389" s="22"/>
      <c r="I389" s="22"/>
    </row>
    <row r="390" spans="3:9" s="14" customFormat="1" ht="15" customHeight="1" x14ac:dyDescent="0.25">
      <c r="C390" s="15" t="str">
        <f t="shared" si="6"/>
        <v/>
      </c>
      <c r="H390" s="22"/>
      <c r="I390" s="22"/>
    </row>
    <row r="391" spans="3:9" s="14" customFormat="1" ht="15" customHeight="1" x14ac:dyDescent="0.25">
      <c r="C391" s="15" t="str">
        <f t="shared" si="6"/>
        <v/>
      </c>
      <c r="H391" s="22"/>
      <c r="I391" s="22"/>
    </row>
    <row r="392" spans="3:9" s="14" customFormat="1" ht="15" customHeight="1" x14ac:dyDescent="0.25">
      <c r="C392" s="15" t="str">
        <f t="shared" si="6"/>
        <v/>
      </c>
      <c r="H392" s="22"/>
      <c r="I392" s="22"/>
    </row>
    <row r="393" spans="3:9" s="14" customFormat="1" ht="15" customHeight="1" x14ac:dyDescent="0.25">
      <c r="C393" s="15" t="str">
        <f t="shared" si="6"/>
        <v/>
      </c>
      <c r="H393" s="22"/>
      <c r="I393" s="22"/>
    </row>
    <row r="394" spans="3:9" s="14" customFormat="1" ht="15" customHeight="1" x14ac:dyDescent="0.25">
      <c r="C394" s="15" t="str">
        <f t="shared" si="6"/>
        <v/>
      </c>
      <c r="H394" s="22"/>
      <c r="I394" s="22"/>
    </row>
    <row r="395" spans="3:9" s="14" customFormat="1" ht="15" customHeight="1" x14ac:dyDescent="0.25">
      <c r="C395" s="15" t="str">
        <f t="shared" si="6"/>
        <v/>
      </c>
      <c r="H395" s="22"/>
      <c r="I395" s="22"/>
    </row>
    <row r="396" spans="3:9" s="14" customFormat="1" ht="15" customHeight="1" x14ac:dyDescent="0.25">
      <c r="C396" s="15" t="str">
        <f t="shared" si="6"/>
        <v/>
      </c>
      <c r="H396" s="22"/>
      <c r="I396" s="22"/>
    </row>
    <row r="397" spans="3:9" s="14" customFormat="1" ht="15" customHeight="1" x14ac:dyDescent="0.25">
      <c r="C397" s="15" t="str">
        <f t="shared" si="6"/>
        <v/>
      </c>
      <c r="H397" s="22"/>
      <c r="I397" s="22"/>
    </row>
    <row r="398" spans="3:9" s="14" customFormat="1" ht="15" customHeight="1" x14ac:dyDescent="0.25">
      <c r="C398" s="15" t="str">
        <f t="shared" si="6"/>
        <v/>
      </c>
      <c r="H398" s="22"/>
      <c r="I398" s="22"/>
    </row>
    <row r="399" spans="3:9" s="14" customFormat="1" ht="15" customHeight="1" x14ac:dyDescent="0.25">
      <c r="C399" s="15" t="str">
        <f t="shared" si="6"/>
        <v/>
      </c>
      <c r="H399" s="22"/>
      <c r="I399" s="22"/>
    </row>
    <row r="400" spans="3:9" s="14" customFormat="1" ht="15" customHeight="1" x14ac:dyDescent="0.25">
      <c r="C400" s="15" t="str">
        <f t="shared" si="6"/>
        <v/>
      </c>
      <c r="H400" s="22"/>
      <c r="I400" s="22"/>
    </row>
    <row r="401" spans="3:9" s="14" customFormat="1" ht="15" customHeight="1" x14ac:dyDescent="0.25">
      <c r="C401" s="15" t="str">
        <f t="shared" si="6"/>
        <v/>
      </c>
      <c r="H401" s="22"/>
      <c r="I401" s="22"/>
    </row>
    <row r="402" spans="3:9" s="14" customFormat="1" ht="15" customHeight="1" x14ac:dyDescent="0.25">
      <c r="C402" s="15" t="str">
        <f t="shared" si="6"/>
        <v/>
      </c>
      <c r="H402" s="22"/>
      <c r="I402" s="22"/>
    </row>
    <row r="403" spans="3:9" s="14" customFormat="1" ht="15" customHeight="1" x14ac:dyDescent="0.25">
      <c r="C403" s="15" t="str">
        <f t="shared" si="6"/>
        <v/>
      </c>
      <c r="H403" s="22"/>
      <c r="I403" s="22"/>
    </row>
    <row r="404" spans="3:9" s="14" customFormat="1" ht="15" customHeight="1" x14ac:dyDescent="0.25">
      <c r="C404" s="15" t="str">
        <f t="shared" si="6"/>
        <v/>
      </c>
      <c r="H404" s="22"/>
      <c r="I404" s="22"/>
    </row>
    <row r="405" spans="3:9" s="14" customFormat="1" ht="15" customHeight="1" x14ac:dyDescent="0.25">
      <c r="C405" s="15" t="str">
        <f t="shared" si="6"/>
        <v/>
      </c>
      <c r="H405" s="22"/>
      <c r="I405" s="22"/>
    </row>
    <row r="406" spans="3:9" s="14" customFormat="1" ht="15" customHeight="1" x14ac:dyDescent="0.25">
      <c r="C406" s="15" t="str">
        <f t="shared" si="6"/>
        <v/>
      </c>
      <c r="H406" s="22"/>
      <c r="I406" s="22"/>
    </row>
    <row r="407" spans="3:9" s="14" customFormat="1" ht="15" customHeight="1" x14ac:dyDescent="0.25">
      <c r="C407" s="15" t="str">
        <f t="shared" si="6"/>
        <v/>
      </c>
      <c r="H407" s="22"/>
      <c r="I407" s="22"/>
    </row>
    <row r="408" spans="3:9" s="14" customFormat="1" ht="15" customHeight="1" x14ac:dyDescent="0.25">
      <c r="C408" s="15" t="str">
        <f t="shared" si="6"/>
        <v/>
      </c>
      <c r="H408" s="22"/>
      <c r="I408" s="22"/>
    </row>
    <row r="409" spans="3:9" s="14" customFormat="1" ht="15" customHeight="1" x14ac:dyDescent="0.25">
      <c r="C409" s="15" t="str">
        <f t="shared" si="6"/>
        <v/>
      </c>
      <c r="H409" s="22"/>
      <c r="I409" s="22"/>
    </row>
    <row r="410" spans="3:9" s="14" customFormat="1" ht="15" customHeight="1" x14ac:dyDescent="0.25">
      <c r="C410" s="15" t="str">
        <f t="shared" si="6"/>
        <v/>
      </c>
      <c r="H410" s="22"/>
      <c r="I410" s="22"/>
    </row>
    <row r="411" spans="3:9" s="14" customFormat="1" ht="15" customHeight="1" x14ac:dyDescent="0.25">
      <c r="C411" s="15" t="str">
        <f t="shared" si="6"/>
        <v/>
      </c>
      <c r="H411" s="22"/>
      <c r="I411" s="22"/>
    </row>
    <row r="412" spans="3:9" s="14" customFormat="1" ht="15" customHeight="1" x14ac:dyDescent="0.25">
      <c r="C412" s="15" t="str">
        <f t="shared" si="6"/>
        <v/>
      </c>
      <c r="H412" s="22"/>
      <c r="I412" s="22"/>
    </row>
    <row r="413" spans="3:9" s="14" customFormat="1" ht="15" customHeight="1" x14ac:dyDescent="0.25">
      <c r="C413" s="15" t="str">
        <f t="shared" si="6"/>
        <v/>
      </c>
      <c r="H413" s="22"/>
      <c r="I413" s="22"/>
    </row>
    <row r="414" spans="3:9" s="14" customFormat="1" ht="15" customHeight="1" x14ac:dyDescent="0.25">
      <c r="C414" s="15" t="str">
        <f t="shared" si="6"/>
        <v/>
      </c>
      <c r="H414" s="22"/>
      <c r="I414" s="22"/>
    </row>
    <row r="415" spans="3:9" s="14" customFormat="1" ht="15" customHeight="1" x14ac:dyDescent="0.25">
      <c r="C415" s="15" t="str">
        <f t="shared" si="6"/>
        <v/>
      </c>
      <c r="H415" s="22"/>
      <c r="I415" s="22"/>
    </row>
    <row r="416" spans="3:9" s="14" customFormat="1" ht="15" customHeight="1" x14ac:dyDescent="0.25">
      <c r="C416" s="15" t="str">
        <f t="shared" si="6"/>
        <v/>
      </c>
      <c r="H416" s="22"/>
      <c r="I416" s="22"/>
    </row>
    <row r="417" spans="3:9" s="14" customFormat="1" ht="15" customHeight="1" x14ac:dyDescent="0.25">
      <c r="C417" s="15" t="str">
        <f t="shared" si="6"/>
        <v/>
      </c>
      <c r="H417" s="22"/>
      <c r="I417" s="22"/>
    </row>
    <row r="418" spans="3:9" s="14" customFormat="1" ht="15" customHeight="1" x14ac:dyDescent="0.25">
      <c r="C418" s="15" t="str">
        <f t="shared" si="6"/>
        <v/>
      </c>
      <c r="H418" s="22"/>
      <c r="I418" s="22"/>
    </row>
    <row r="419" spans="3:9" s="14" customFormat="1" ht="15" customHeight="1" x14ac:dyDescent="0.25">
      <c r="C419" s="15" t="str">
        <f t="shared" si="6"/>
        <v/>
      </c>
      <c r="H419" s="22"/>
      <c r="I419" s="22"/>
    </row>
    <row r="420" spans="3:9" s="14" customFormat="1" ht="15" customHeight="1" x14ac:dyDescent="0.25">
      <c r="C420" s="15" t="str">
        <f t="shared" si="6"/>
        <v/>
      </c>
      <c r="H420" s="22"/>
      <c r="I420" s="22"/>
    </row>
    <row r="421" spans="3:9" s="14" customFormat="1" ht="15" customHeight="1" x14ac:dyDescent="0.25">
      <c r="C421" s="15" t="str">
        <f t="shared" si="6"/>
        <v/>
      </c>
      <c r="H421" s="22"/>
      <c r="I421" s="22"/>
    </row>
    <row r="422" spans="3:9" s="14" customFormat="1" ht="15" customHeight="1" x14ac:dyDescent="0.25">
      <c r="C422" s="15" t="str">
        <f t="shared" si="6"/>
        <v/>
      </c>
      <c r="H422" s="22"/>
      <c r="I422" s="22"/>
    </row>
    <row r="423" spans="3:9" s="14" customFormat="1" ht="15" customHeight="1" x14ac:dyDescent="0.25">
      <c r="C423" s="15" t="str">
        <f t="shared" si="6"/>
        <v/>
      </c>
      <c r="H423" s="22"/>
      <c r="I423" s="22"/>
    </row>
    <row r="424" spans="3:9" s="14" customFormat="1" ht="15" customHeight="1" x14ac:dyDescent="0.25">
      <c r="C424" s="15" t="str">
        <f t="shared" si="6"/>
        <v/>
      </c>
      <c r="H424" s="22"/>
      <c r="I424" s="22"/>
    </row>
    <row r="425" spans="3:9" s="14" customFormat="1" ht="15" customHeight="1" x14ac:dyDescent="0.25">
      <c r="C425" s="15" t="str">
        <f t="shared" si="6"/>
        <v/>
      </c>
      <c r="H425" s="22"/>
      <c r="I425" s="22"/>
    </row>
    <row r="426" spans="3:9" s="14" customFormat="1" ht="15" customHeight="1" x14ac:dyDescent="0.25">
      <c r="C426" s="15" t="str">
        <f t="shared" si="6"/>
        <v/>
      </c>
      <c r="H426" s="22"/>
      <c r="I426" s="22"/>
    </row>
    <row r="427" spans="3:9" s="14" customFormat="1" ht="15" customHeight="1" x14ac:dyDescent="0.25">
      <c r="C427" s="15" t="str">
        <f t="shared" si="6"/>
        <v/>
      </c>
      <c r="H427" s="22"/>
      <c r="I427" s="22"/>
    </row>
    <row r="428" spans="3:9" s="14" customFormat="1" ht="15" customHeight="1" x14ac:dyDescent="0.25">
      <c r="C428" s="15" t="str">
        <f t="shared" si="6"/>
        <v/>
      </c>
      <c r="H428" s="22"/>
      <c r="I428" s="22"/>
    </row>
    <row r="429" spans="3:9" s="14" customFormat="1" ht="15" customHeight="1" x14ac:dyDescent="0.25">
      <c r="C429" s="15" t="str">
        <f t="shared" si="6"/>
        <v/>
      </c>
      <c r="H429" s="22"/>
      <c r="I429" s="22"/>
    </row>
    <row r="430" spans="3:9" s="14" customFormat="1" ht="15" customHeight="1" x14ac:dyDescent="0.25">
      <c r="C430" s="15" t="str">
        <f t="shared" si="6"/>
        <v/>
      </c>
      <c r="H430" s="22"/>
      <c r="I430" s="22"/>
    </row>
    <row r="431" spans="3:9" s="14" customFormat="1" ht="15" customHeight="1" x14ac:dyDescent="0.25">
      <c r="C431" s="15" t="str">
        <f t="shared" si="6"/>
        <v/>
      </c>
      <c r="H431" s="22"/>
      <c r="I431" s="22"/>
    </row>
    <row r="432" spans="3:9" s="14" customFormat="1" ht="15" customHeight="1" x14ac:dyDescent="0.25">
      <c r="C432" s="15" t="str">
        <f t="shared" si="6"/>
        <v/>
      </c>
      <c r="H432" s="22"/>
      <c r="I432" s="22"/>
    </row>
    <row r="433" spans="3:9" s="14" customFormat="1" ht="15" customHeight="1" x14ac:dyDescent="0.25">
      <c r="C433" s="15" t="str">
        <f t="shared" si="6"/>
        <v/>
      </c>
      <c r="H433" s="22"/>
      <c r="I433" s="22"/>
    </row>
    <row r="434" spans="3:9" s="14" customFormat="1" ht="15" customHeight="1" x14ac:dyDescent="0.25">
      <c r="C434" s="15" t="str">
        <f t="shared" si="6"/>
        <v/>
      </c>
      <c r="H434" s="22"/>
      <c r="I434" s="22"/>
    </row>
    <row r="435" spans="3:9" s="14" customFormat="1" ht="15" customHeight="1" x14ac:dyDescent="0.25">
      <c r="C435" s="15" t="str">
        <f t="shared" si="6"/>
        <v/>
      </c>
      <c r="H435" s="22"/>
      <c r="I435" s="22"/>
    </row>
    <row r="436" spans="3:9" s="14" customFormat="1" ht="15" customHeight="1" x14ac:dyDescent="0.25">
      <c r="C436" s="15" t="str">
        <f t="shared" si="6"/>
        <v/>
      </c>
      <c r="H436" s="22"/>
      <c r="I436" s="22"/>
    </row>
    <row r="437" spans="3:9" s="14" customFormat="1" ht="15" customHeight="1" x14ac:dyDescent="0.25">
      <c r="C437" s="15" t="str">
        <f t="shared" si="6"/>
        <v/>
      </c>
      <c r="H437" s="22"/>
      <c r="I437" s="22"/>
    </row>
    <row r="438" spans="3:9" s="14" customFormat="1" ht="15" customHeight="1" x14ac:dyDescent="0.25">
      <c r="C438" s="15" t="str">
        <f t="shared" si="6"/>
        <v/>
      </c>
      <c r="H438" s="22"/>
      <c r="I438" s="22"/>
    </row>
    <row r="439" spans="3:9" s="14" customFormat="1" ht="15" customHeight="1" x14ac:dyDescent="0.25">
      <c r="C439" s="15" t="str">
        <f t="shared" si="6"/>
        <v/>
      </c>
      <c r="H439" s="22"/>
      <c r="I439" s="22"/>
    </row>
    <row r="440" spans="3:9" s="14" customFormat="1" ht="15" customHeight="1" x14ac:dyDescent="0.25">
      <c r="C440" s="15" t="str">
        <f t="shared" si="6"/>
        <v/>
      </c>
      <c r="H440" s="22"/>
      <c r="I440" s="22"/>
    </row>
    <row r="441" spans="3:9" s="14" customFormat="1" ht="15" customHeight="1" x14ac:dyDescent="0.25">
      <c r="C441" s="15" t="str">
        <f t="shared" si="6"/>
        <v/>
      </c>
      <c r="H441" s="22"/>
      <c r="I441" s="22"/>
    </row>
    <row r="442" spans="3:9" s="14" customFormat="1" ht="15" customHeight="1" x14ac:dyDescent="0.25">
      <c r="C442" s="15" t="str">
        <f t="shared" si="6"/>
        <v/>
      </c>
      <c r="H442" s="22"/>
      <c r="I442" s="22"/>
    </row>
    <row r="443" spans="3:9" s="14" customFormat="1" ht="15" customHeight="1" x14ac:dyDescent="0.25">
      <c r="C443" s="15" t="str">
        <f t="shared" si="6"/>
        <v/>
      </c>
      <c r="H443" s="22"/>
      <c r="I443" s="22"/>
    </row>
    <row r="444" spans="3:9" s="14" customFormat="1" ht="15" customHeight="1" x14ac:dyDescent="0.25">
      <c r="C444" s="15" t="str">
        <f t="shared" si="6"/>
        <v/>
      </c>
      <c r="H444" s="22"/>
      <c r="I444" s="22"/>
    </row>
    <row r="445" spans="3:9" s="14" customFormat="1" ht="15" customHeight="1" x14ac:dyDescent="0.25">
      <c r="C445" s="15" t="str">
        <f t="shared" si="6"/>
        <v/>
      </c>
      <c r="H445" s="22"/>
      <c r="I445" s="22"/>
    </row>
    <row r="446" spans="3:9" s="14" customFormat="1" ht="15" customHeight="1" x14ac:dyDescent="0.25">
      <c r="C446" s="15" t="str">
        <f t="shared" ref="C446:C509" si="7">IF(ISNUMBER(A446),LN(B446/B445),"")</f>
        <v/>
      </c>
      <c r="H446" s="22"/>
      <c r="I446" s="22"/>
    </row>
    <row r="447" spans="3:9" s="14" customFormat="1" ht="15" customHeight="1" x14ac:dyDescent="0.25">
      <c r="C447" s="15" t="str">
        <f t="shared" si="7"/>
        <v/>
      </c>
      <c r="H447" s="22"/>
      <c r="I447" s="22"/>
    </row>
    <row r="448" spans="3:9" s="14" customFormat="1" ht="15" customHeight="1" x14ac:dyDescent="0.25">
      <c r="C448" s="15" t="str">
        <f t="shared" si="7"/>
        <v/>
      </c>
      <c r="H448" s="22"/>
      <c r="I448" s="22"/>
    </row>
    <row r="449" spans="3:9" s="14" customFormat="1" ht="15" customHeight="1" x14ac:dyDescent="0.25">
      <c r="C449" s="15" t="str">
        <f t="shared" si="7"/>
        <v/>
      </c>
      <c r="H449" s="22"/>
      <c r="I449" s="22"/>
    </row>
    <row r="450" spans="3:9" s="14" customFormat="1" ht="15" customHeight="1" x14ac:dyDescent="0.25">
      <c r="C450" s="15" t="str">
        <f t="shared" si="7"/>
        <v/>
      </c>
      <c r="H450" s="22"/>
      <c r="I450" s="22"/>
    </row>
    <row r="451" spans="3:9" s="14" customFormat="1" ht="15" customHeight="1" x14ac:dyDescent="0.25">
      <c r="C451" s="15" t="str">
        <f t="shared" si="7"/>
        <v/>
      </c>
      <c r="H451" s="22"/>
      <c r="I451" s="22"/>
    </row>
    <row r="452" spans="3:9" s="14" customFormat="1" ht="15" customHeight="1" x14ac:dyDescent="0.25">
      <c r="C452" s="15" t="str">
        <f t="shared" si="7"/>
        <v/>
      </c>
      <c r="H452" s="22"/>
      <c r="I452" s="22"/>
    </row>
    <row r="453" spans="3:9" s="14" customFormat="1" ht="15" customHeight="1" x14ac:dyDescent="0.25">
      <c r="C453" s="15" t="str">
        <f t="shared" si="7"/>
        <v/>
      </c>
      <c r="H453" s="22"/>
      <c r="I453" s="22"/>
    </row>
    <row r="454" spans="3:9" s="14" customFormat="1" ht="15" customHeight="1" x14ac:dyDescent="0.25">
      <c r="C454" s="15" t="str">
        <f t="shared" si="7"/>
        <v/>
      </c>
      <c r="H454" s="22"/>
      <c r="I454" s="22"/>
    </row>
    <row r="455" spans="3:9" s="14" customFormat="1" ht="15" customHeight="1" x14ac:dyDescent="0.25">
      <c r="C455" s="15" t="str">
        <f t="shared" si="7"/>
        <v/>
      </c>
      <c r="H455" s="22"/>
      <c r="I455" s="22"/>
    </row>
    <row r="456" spans="3:9" s="14" customFormat="1" ht="15" customHeight="1" x14ac:dyDescent="0.25">
      <c r="C456" s="15" t="str">
        <f t="shared" si="7"/>
        <v/>
      </c>
      <c r="H456" s="22"/>
      <c r="I456" s="22"/>
    </row>
    <row r="457" spans="3:9" s="14" customFormat="1" ht="15" customHeight="1" x14ac:dyDescent="0.25">
      <c r="C457" s="15" t="str">
        <f t="shared" si="7"/>
        <v/>
      </c>
      <c r="H457" s="22"/>
      <c r="I457" s="22"/>
    </row>
    <row r="458" spans="3:9" s="14" customFormat="1" ht="15" customHeight="1" x14ac:dyDescent="0.25">
      <c r="C458" s="15" t="str">
        <f t="shared" si="7"/>
        <v/>
      </c>
      <c r="H458" s="22"/>
      <c r="I458" s="22"/>
    </row>
    <row r="459" spans="3:9" s="14" customFormat="1" ht="15" customHeight="1" x14ac:dyDescent="0.25">
      <c r="C459" s="15" t="str">
        <f t="shared" si="7"/>
        <v/>
      </c>
      <c r="H459" s="22"/>
      <c r="I459" s="22"/>
    </row>
    <row r="460" spans="3:9" s="14" customFormat="1" ht="15" customHeight="1" x14ac:dyDescent="0.25">
      <c r="C460" s="15" t="str">
        <f t="shared" si="7"/>
        <v/>
      </c>
      <c r="H460" s="22"/>
      <c r="I460" s="22"/>
    </row>
    <row r="461" spans="3:9" s="14" customFormat="1" ht="15" customHeight="1" x14ac:dyDescent="0.25">
      <c r="C461" s="15" t="str">
        <f t="shared" si="7"/>
        <v/>
      </c>
      <c r="H461" s="22"/>
      <c r="I461" s="22"/>
    </row>
    <row r="462" spans="3:9" s="14" customFormat="1" ht="15" customHeight="1" x14ac:dyDescent="0.25">
      <c r="C462" s="15" t="str">
        <f t="shared" si="7"/>
        <v/>
      </c>
      <c r="H462" s="22"/>
      <c r="I462" s="22"/>
    </row>
    <row r="463" spans="3:9" s="14" customFormat="1" ht="15" customHeight="1" x14ac:dyDescent="0.25">
      <c r="C463" s="15" t="str">
        <f t="shared" si="7"/>
        <v/>
      </c>
      <c r="H463" s="22"/>
      <c r="I463" s="22"/>
    </row>
    <row r="464" spans="3:9" s="14" customFormat="1" ht="15" customHeight="1" x14ac:dyDescent="0.25">
      <c r="C464" s="15" t="str">
        <f t="shared" si="7"/>
        <v/>
      </c>
      <c r="H464" s="22"/>
      <c r="I464" s="22"/>
    </row>
    <row r="465" spans="3:9" s="14" customFormat="1" ht="15" customHeight="1" x14ac:dyDescent="0.25">
      <c r="C465" s="15" t="str">
        <f t="shared" si="7"/>
        <v/>
      </c>
      <c r="H465" s="22"/>
      <c r="I465" s="22"/>
    </row>
    <row r="466" spans="3:9" s="14" customFormat="1" ht="15" customHeight="1" x14ac:dyDescent="0.25">
      <c r="C466" s="15" t="str">
        <f t="shared" si="7"/>
        <v/>
      </c>
      <c r="H466" s="22"/>
      <c r="I466" s="22"/>
    </row>
    <row r="467" spans="3:9" s="14" customFormat="1" ht="15" customHeight="1" x14ac:dyDescent="0.25">
      <c r="C467" s="15" t="str">
        <f t="shared" si="7"/>
        <v/>
      </c>
      <c r="H467" s="22"/>
      <c r="I467" s="22"/>
    </row>
    <row r="468" spans="3:9" s="14" customFormat="1" ht="15" customHeight="1" x14ac:dyDescent="0.25">
      <c r="C468" s="15" t="str">
        <f t="shared" si="7"/>
        <v/>
      </c>
      <c r="H468" s="22"/>
      <c r="I468" s="22"/>
    </row>
    <row r="469" spans="3:9" s="14" customFormat="1" ht="15" customHeight="1" x14ac:dyDescent="0.25">
      <c r="C469" s="15" t="str">
        <f t="shared" si="7"/>
        <v/>
      </c>
      <c r="H469" s="22"/>
      <c r="I469" s="22"/>
    </row>
    <row r="470" spans="3:9" s="14" customFormat="1" ht="15" customHeight="1" x14ac:dyDescent="0.25">
      <c r="C470" s="15" t="str">
        <f t="shared" si="7"/>
        <v/>
      </c>
      <c r="H470" s="22"/>
      <c r="I470" s="22"/>
    </row>
    <row r="471" spans="3:9" s="14" customFormat="1" ht="15" customHeight="1" x14ac:dyDescent="0.25">
      <c r="C471" s="15" t="str">
        <f t="shared" si="7"/>
        <v/>
      </c>
      <c r="H471" s="22"/>
      <c r="I471" s="22"/>
    </row>
    <row r="472" spans="3:9" s="14" customFormat="1" ht="15" customHeight="1" x14ac:dyDescent="0.25">
      <c r="C472" s="15" t="str">
        <f t="shared" si="7"/>
        <v/>
      </c>
      <c r="H472" s="22"/>
      <c r="I472" s="22"/>
    </row>
    <row r="473" spans="3:9" s="14" customFormat="1" ht="15" customHeight="1" x14ac:dyDescent="0.25">
      <c r="C473" s="15" t="str">
        <f t="shared" si="7"/>
        <v/>
      </c>
      <c r="H473" s="22"/>
      <c r="I473" s="22"/>
    </row>
    <row r="474" spans="3:9" s="14" customFormat="1" ht="15" customHeight="1" x14ac:dyDescent="0.25">
      <c r="C474" s="15" t="str">
        <f t="shared" si="7"/>
        <v/>
      </c>
      <c r="H474" s="22"/>
      <c r="I474" s="22"/>
    </row>
    <row r="475" spans="3:9" s="14" customFormat="1" ht="15" customHeight="1" x14ac:dyDescent="0.25">
      <c r="C475" s="15" t="str">
        <f t="shared" si="7"/>
        <v/>
      </c>
      <c r="H475" s="22"/>
      <c r="I475" s="22"/>
    </row>
    <row r="476" spans="3:9" s="14" customFormat="1" ht="15" customHeight="1" x14ac:dyDescent="0.25">
      <c r="C476" s="15" t="str">
        <f t="shared" si="7"/>
        <v/>
      </c>
      <c r="H476" s="22"/>
      <c r="I476" s="22"/>
    </row>
    <row r="477" spans="3:9" s="14" customFormat="1" ht="15" customHeight="1" x14ac:dyDescent="0.25">
      <c r="C477" s="15" t="str">
        <f t="shared" si="7"/>
        <v/>
      </c>
      <c r="H477" s="22"/>
      <c r="I477" s="22"/>
    </row>
    <row r="478" spans="3:9" s="14" customFormat="1" ht="15" customHeight="1" x14ac:dyDescent="0.25">
      <c r="C478" s="15" t="str">
        <f t="shared" si="7"/>
        <v/>
      </c>
      <c r="H478" s="22"/>
      <c r="I478" s="22"/>
    </row>
    <row r="479" spans="3:9" s="14" customFormat="1" ht="15" customHeight="1" x14ac:dyDescent="0.25">
      <c r="C479" s="15" t="str">
        <f t="shared" si="7"/>
        <v/>
      </c>
      <c r="H479" s="22"/>
      <c r="I479" s="22"/>
    </row>
    <row r="480" spans="3:9" s="14" customFormat="1" ht="15" customHeight="1" x14ac:dyDescent="0.25">
      <c r="C480" s="15" t="str">
        <f t="shared" si="7"/>
        <v/>
      </c>
      <c r="H480" s="22"/>
      <c r="I480" s="22"/>
    </row>
    <row r="481" spans="3:9" s="14" customFormat="1" ht="15" customHeight="1" x14ac:dyDescent="0.25">
      <c r="C481" s="15" t="str">
        <f t="shared" si="7"/>
        <v/>
      </c>
      <c r="H481" s="22"/>
      <c r="I481" s="22"/>
    </row>
    <row r="482" spans="3:9" s="14" customFormat="1" ht="15" customHeight="1" x14ac:dyDescent="0.25">
      <c r="C482" s="15" t="str">
        <f t="shared" si="7"/>
        <v/>
      </c>
      <c r="H482" s="22"/>
      <c r="I482" s="22"/>
    </row>
    <row r="483" spans="3:9" s="14" customFormat="1" ht="15" customHeight="1" x14ac:dyDescent="0.25">
      <c r="C483" s="15" t="str">
        <f t="shared" si="7"/>
        <v/>
      </c>
      <c r="H483" s="22"/>
      <c r="I483" s="22"/>
    </row>
    <row r="484" spans="3:9" s="14" customFormat="1" ht="15" customHeight="1" x14ac:dyDescent="0.25">
      <c r="C484" s="15" t="str">
        <f t="shared" si="7"/>
        <v/>
      </c>
      <c r="H484" s="22"/>
      <c r="I484" s="22"/>
    </row>
    <row r="485" spans="3:9" s="14" customFormat="1" ht="15" customHeight="1" x14ac:dyDescent="0.25">
      <c r="C485" s="15" t="str">
        <f t="shared" si="7"/>
        <v/>
      </c>
      <c r="H485" s="22"/>
      <c r="I485" s="22"/>
    </row>
    <row r="486" spans="3:9" s="14" customFormat="1" ht="15" customHeight="1" x14ac:dyDescent="0.25">
      <c r="C486" s="15" t="str">
        <f t="shared" si="7"/>
        <v/>
      </c>
      <c r="H486" s="22"/>
      <c r="I486" s="22"/>
    </row>
    <row r="487" spans="3:9" s="14" customFormat="1" ht="15" customHeight="1" x14ac:dyDescent="0.25">
      <c r="C487" s="15" t="str">
        <f t="shared" si="7"/>
        <v/>
      </c>
      <c r="H487" s="22"/>
      <c r="I487" s="22"/>
    </row>
    <row r="488" spans="3:9" s="14" customFormat="1" ht="15" customHeight="1" x14ac:dyDescent="0.25">
      <c r="C488" s="15" t="str">
        <f t="shared" si="7"/>
        <v/>
      </c>
      <c r="H488" s="22"/>
      <c r="I488" s="22"/>
    </row>
    <row r="489" spans="3:9" s="14" customFormat="1" ht="15" customHeight="1" x14ac:dyDescent="0.25">
      <c r="C489" s="15" t="str">
        <f t="shared" si="7"/>
        <v/>
      </c>
      <c r="H489" s="22"/>
      <c r="I489" s="22"/>
    </row>
    <row r="490" spans="3:9" s="14" customFormat="1" ht="15" customHeight="1" x14ac:dyDescent="0.25">
      <c r="C490" s="15" t="str">
        <f t="shared" si="7"/>
        <v/>
      </c>
      <c r="H490" s="22"/>
      <c r="I490" s="22"/>
    </row>
    <row r="491" spans="3:9" s="14" customFormat="1" ht="15" customHeight="1" x14ac:dyDescent="0.25">
      <c r="C491" s="15" t="str">
        <f t="shared" si="7"/>
        <v/>
      </c>
      <c r="H491" s="22"/>
      <c r="I491" s="22"/>
    </row>
    <row r="492" spans="3:9" s="14" customFormat="1" ht="15" customHeight="1" x14ac:dyDescent="0.25">
      <c r="C492" s="15" t="str">
        <f t="shared" si="7"/>
        <v/>
      </c>
      <c r="H492" s="22"/>
      <c r="I492" s="22"/>
    </row>
    <row r="493" spans="3:9" s="14" customFormat="1" ht="15" customHeight="1" x14ac:dyDescent="0.25">
      <c r="C493" s="15" t="str">
        <f t="shared" si="7"/>
        <v/>
      </c>
      <c r="H493" s="22"/>
      <c r="I493" s="22"/>
    </row>
    <row r="494" spans="3:9" s="14" customFormat="1" ht="15" customHeight="1" x14ac:dyDescent="0.25">
      <c r="C494" s="15" t="str">
        <f t="shared" si="7"/>
        <v/>
      </c>
      <c r="H494" s="22"/>
      <c r="I494" s="22"/>
    </row>
    <row r="495" spans="3:9" s="14" customFormat="1" ht="15" customHeight="1" x14ac:dyDescent="0.25">
      <c r="C495" s="15" t="str">
        <f t="shared" si="7"/>
        <v/>
      </c>
      <c r="H495" s="22"/>
      <c r="I495" s="22"/>
    </row>
    <row r="496" spans="3:9" s="14" customFormat="1" ht="15" customHeight="1" x14ac:dyDescent="0.25">
      <c r="C496" s="15" t="str">
        <f t="shared" si="7"/>
        <v/>
      </c>
      <c r="H496" s="22"/>
      <c r="I496" s="22"/>
    </row>
    <row r="497" spans="3:9" s="14" customFormat="1" ht="15" customHeight="1" x14ac:dyDescent="0.25">
      <c r="C497" s="15" t="str">
        <f t="shared" si="7"/>
        <v/>
      </c>
      <c r="H497" s="22"/>
      <c r="I497" s="22"/>
    </row>
    <row r="498" spans="3:9" s="14" customFormat="1" ht="15" customHeight="1" x14ac:dyDescent="0.25">
      <c r="C498" s="15" t="str">
        <f t="shared" si="7"/>
        <v/>
      </c>
      <c r="H498" s="22"/>
      <c r="I498" s="22"/>
    </row>
    <row r="499" spans="3:9" s="14" customFormat="1" ht="15" customHeight="1" x14ac:dyDescent="0.25">
      <c r="C499" s="15" t="str">
        <f t="shared" si="7"/>
        <v/>
      </c>
      <c r="H499" s="22"/>
      <c r="I499" s="22"/>
    </row>
    <row r="500" spans="3:9" s="14" customFormat="1" ht="15" customHeight="1" x14ac:dyDescent="0.25">
      <c r="C500" s="15" t="str">
        <f t="shared" si="7"/>
        <v/>
      </c>
      <c r="H500" s="22"/>
      <c r="I500" s="22"/>
    </row>
    <row r="501" spans="3:9" s="14" customFormat="1" ht="15" customHeight="1" x14ac:dyDescent="0.25">
      <c r="C501" s="15" t="str">
        <f t="shared" si="7"/>
        <v/>
      </c>
      <c r="H501" s="22"/>
      <c r="I501" s="22"/>
    </row>
    <row r="502" spans="3:9" s="14" customFormat="1" ht="15" customHeight="1" x14ac:dyDescent="0.25">
      <c r="C502" s="15" t="str">
        <f t="shared" si="7"/>
        <v/>
      </c>
      <c r="H502" s="22"/>
      <c r="I502" s="22"/>
    </row>
    <row r="503" spans="3:9" s="14" customFormat="1" ht="15" customHeight="1" x14ac:dyDescent="0.25">
      <c r="C503" s="15" t="str">
        <f t="shared" si="7"/>
        <v/>
      </c>
      <c r="H503" s="22"/>
      <c r="I503" s="22"/>
    </row>
    <row r="504" spans="3:9" s="14" customFormat="1" ht="15" customHeight="1" x14ac:dyDescent="0.25">
      <c r="C504" s="15" t="str">
        <f t="shared" si="7"/>
        <v/>
      </c>
      <c r="H504" s="22"/>
      <c r="I504" s="22"/>
    </row>
    <row r="505" spans="3:9" s="14" customFormat="1" ht="15" customHeight="1" x14ac:dyDescent="0.25">
      <c r="C505" s="15" t="str">
        <f t="shared" si="7"/>
        <v/>
      </c>
      <c r="H505" s="22"/>
      <c r="I505" s="22"/>
    </row>
    <row r="506" spans="3:9" s="14" customFormat="1" ht="15" customHeight="1" x14ac:dyDescent="0.25">
      <c r="C506" s="15" t="str">
        <f t="shared" si="7"/>
        <v/>
      </c>
      <c r="H506" s="22"/>
      <c r="I506" s="22"/>
    </row>
    <row r="507" spans="3:9" s="14" customFormat="1" ht="15" customHeight="1" x14ac:dyDescent="0.25">
      <c r="C507" s="15" t="str">
        <f t="shared" si="7"/>
        <v/>
      </c>
      <c r="H507" s="22"/>
      <c r="I507" s="22"/>
    </row>
    <row r="508" spans="3:9" s="14" customFormat="1" ht="15" customHeight="1" x14ac:dyDescent="0.25">
      <c r="C508" s="15" t="str">
        <f t="shared" si="7"/>
        <v/>
      </c>
      <c r="H508" s="22"/>
      <c r="I508" s="22"/>
    </row>
    <row r="509" spans="3:9" s="14" customFormat="1" ht="15" customHeight="1" x14ac:dyDescent="0.25">
      <c r="C509" s="15" t="str">
        <f t="shared" si="7"/>
        <v/>
      </c>
      <c r="H509" s="22"/>
      <c r="I509" s="22"/>
    </row>
    <row r="510" spans="3:9" s="14" customFormat="1" ht="15" customHeight="1" x14ac:dyDescent="0.25">
      <c r="C510" s="15" t="str">
        <f t="shared" ref="C510:C573" si="8">IF(ISNUMBER(A510),LN(B510/B509),"")</f>
        <v/>
      </c>
      <c r="H510" s="22"/>
      <c r="I510" s="22"/>
    </row>
    <row r="511" spans="3:9" s="14" customFormat="1" ht="15" customHeight="1" x14ac:dyDescent="0.25">
      <c r="C511" s="15" t="str">
        <f t="shared" si="8"/>
        <v/>
      </c>
      <c r="H511" s="22"/>
      <c r="I511" s="22"/>
    </row>
    <row r="512" spans="3:9" s="14" customFormat="1" ht="15" customHeight="1" x14ac:dyDescent="0.25">
      <c r="C512" s="15" t="str">
        <f t="shared" si="8"/>
        <v/>
      </c>
      <c r="H512" s="22"/>
      <c r="I512" s="22"/>
    </row>
    <row r="513" spans="3:9" s="14" customFormat="1" ht="15" customHeight="1" x14ac:dyDescent="0.25">
      <c r="C513" s="15" t="str">
        <f t="shared" si="8"/>
        <v/>
      </c>
      <c r="H513" s="22"/>
      <c r="I513" s="22"/>
    </row>
    <row r="514" spans="3:9" s="14" customFormat="1" ht="15" customHeight="1" x14ac:dyDescent="0.25">
      <c r="C514" s="15" t="str">
        <f t="shared" si="8"/>
        <v/>
      </c>
      <c r="H514" s="22"/>
      <c r="I514" s="22"/>
    </row>
    <row r="515" spans="3:9" s="14" customFormat="1" ht="15" customHeight="1" x14ac:dyDescent="0.25">
      <c r="C515" s="15" t="str">
        <f t="shared" si="8"/>
        <v/>
      </c>
      <c r="H515" s="22"/>
      <c r="I515" s="22"/>
    </row>
    <row r="516" spans="3:9" s="14" customFormat="1" ht="15" customHeight="1" x14ac:dyDescent="0.25">
      <c r="C516" s="15" t="str">
        <f t="shared" si="8"/>
        <v/>
      </c>
      <c r="H516" s="22"/>
      <c r="I516" s="22"/>
    </row>
    <row r="517" spans="3:9" s="14" customFormat="1" ht="15" customHeight="1" x14ac:dyDescent="0.25">
      <c r="C517" s="15" t="str">
        <f t="shared" si="8"/>
        <v/>
      </c>
      <c r="H517" s="22"/>
      <c r="I517" s="22"/>
    </row>
    <row r="518" spans="3:9" s="14" customFormat="1" ht="15" customHeight="1" x14ac:dyDescent="0.25">
      <c r="C518" s="15" t="str">
        <f t="shared" si="8"/>
        <v/>
      </c>
      <c r="H518" s="22"/>
      <c r="I518" s="22"/>
    </row>
    <row r="519" spans="3:9" s="14" customFormat="1" ht="15" customHeight="1" x14ac:dyDescent="0.25">
      <c r="C519" s="15" t="str">
        <f t="shared" si="8"/>
        <v/>
      </c>
      <c r="H519" s="22"/>
      <c r="I519" s="22"/>
    </row>
    <row r="520" spans="3:9" s="14" customFormat="1" ht="15" customHeight="1" x14ac:dyDescent="0.25">
      <c r="C520" s="15" t="str">
        <f t="shared" si="8"/>
        <v/>
      </c>
      <c r="H520" s="22"/>
      <c r="I520" s="22"/>
    </row>
    <row r="521" spans="3:9" s="14" customFormat="1" ht="15" customHeight="1" x14ac:dyDescent="0.25">
      <c r="C521" s="15" t="str">
        <f t="shared" si="8"/>
        <v/>
      </c>
      <c r="H521" s="22"/>
      <c r="I521" s="22"/>
    </row>
    <row r="522" spans="3:9" s="14" customFormat="1" ht="15" customHeight="1" x14ac:dyDescent="0.25">
      <c r="C522" s="15" t="str">
        <f t="shared" si="8"/>
        <v/>
      </c>
      <c r="H522" s="22"/>
      <c r="I522" s="22"/>
    </row>
    <row r="523" spans="3:9" s="14" customFormat="1" ht="15" customHeight="1" x14ac:dyDescent="0.25">
      <c r="C523" s="15" t="str">
        <f t="shared" si="8"/>
        <v/>
      </c>
      <c r="H523" s="22"/>
      <c r="I523" s="22"/>
    </row>
    <row r="524" spans="3:9" s="14" customFormat="1" ht="15" customHeight="1" x14ac:dyDescent="0.25">
      <c r="C524" s="15" t="str">
        <f t="shared" si="8"/>
        <v/>
      </c>
      <c r="H524" s="22"/>
      <c r="I524" s="22"/>
    </row>
    <row r="525" spans="3:9" s="14" customFormat="1" ht="15" customHeight="1" x14ac:dyDescent="0.25">
      <c r="C525" s="15" t="str">
        <f t="shared" si="8"/>
        <v/>
      </c>
      <c r="H525" s="22"/>
      <c r="I525" s="22"/>
    </row>
    <row r="526" spans="3:9" s="14" customFormat="1" ht="15" customHeight="1" x14ac:dyDescent="0.25">
      <c r="C526" s="15" t="str">
        <f t="shared" si="8"/>
        <v/>
      </c>
      <c r="H526" s="22"/>
      <c r="I526" s="22"/>
    </row>
    <row r="527" spans="3:9" s="14" customFormat="1" ht="15" customHeight="1" x14ac:dyDescent="0.25">
      <c r="C527" s="15" t="str">
        <f t="shared" si="8"/>
        <v/>
      </c>
      <c r="H527" s="22"/>
      <c r="I527" s="22"/>
    </row>
    <row r="528" spans="3:9" s="14" customFormat="1" ht="15" customHeight="1" x14ac:dyDescent="0.25">
      <c r="C528" s="15" t="str">
        <f t="shared" si="8"/>
        <v/>
      </c>
      <c r="H528" s="22"/>
      <c r="I528" s="22"/>
    </row>
    <row r="529" spans="3:9" s="14" customFormat="1" ht="15" customHeight="1" x14ac:dyDescent="0.25">
      <c r="C529" s="15" t="str">
        <f t="shared" si="8"/>
        <v/>
      </c>
      <c r="H529" s="22"/>
      <c r="I529" s="22"/>
    </row>
    <row r="530" spans="3:9" s="14" customFormat="1" ht="15" customHeight="1" x14ac:dyDescent="0.25">
      <c r="C530" s="15" t="str">
        <f t="shared" si="8"/>
        <v/>
      </c>
      <c r="H530" s="22"/>
      <c r="I530" s="22"/>
    </row>
    <row r="531" spans="3:9" s="14" customFormat="1" ht="15" customHeight="1" x14ac:dyDescent="0.25">
      <c r="C531" s="15" t="str">
        <f t="shared" si="8"/>
        <v/>
      </c>
      <c r="H531" s="22"/>
      <c r="I531" s="22"/>
    </row>
    <row r="532" spans="3:9" s="14" customFormat="1" ht="15" customHeight="1" x14ac:dyDescent="0.25">
      <c r="C532" s="15" t="str">
        <f t="shared" si="8"/>
        <v/>
      </c>
      <c r="H532" s="22"/>
      <c r="I532" s="22"/>
    </row>
    <row r="533" spans="3:9" s="14" customFormat="1" ht="15" customHeight="1" x14ac:dyDescent="0.25">
      <c r="C533" s="15" t="str">
        <f t="shared" si="8"/>
        <v/>
      </c>
      <c r="H533" s="22"/>
      <c r="I533" s="22"/>
    </row>
    <row r="534" spans="3:9" s="14" customFormat="1" ht="15" customHeight="1" x14ac:dyDescent="0.25">
      <c r="C534" s="15" t="str">
        <f t="shared" si="8"/>
        <v/>
      </c>
      <c r="H534" s="22"/>
      <c r="I534" s="22"/>
    </row>
    <row r="535" spans="3:9" s="14" customFormat="1" ht="15" customHeight="1" x14ac:dyDescent="0.25">
      <c r="C535" s="15" t="str">
        <f t="shared" si="8"/>
        <v/>
      </c>
      <c r="H535" s="22"/>
      <c r="I535" s="22"/>
    </row>
    <row r="536" spans="3:9" s="14" customFormat="1" ht="15" customHeight="1" x14ac:dyDescent="0.25">
      <c r="C536" s="15" t="str">
        <f t="shared" si="8"/>
        <v/>
      </c>
      <c r="H536" s="22"/>
      <c r="I536" s="22"/>
    </row>
    <row r="537" spans="3:9" s="14" customFormat="1" ht="15" customHeight="1" x14ac:dyDescent="0.25">
      <c r="C537" s="15" t="str">
        <f t="shared" si="8"/>
        <v/>
      </c>
      <c r="H537" s="22"/>
      <c r="I537" s="22"/>
    </row>
    <row r="538" spans="3:9" s="14" customFormat="1" ht="15" customHeight="1" x14ac:dyDescent="0.25">
      <c r="C538" s="15" t="str">
        <f t="shared" si="8"/>
        <v/>
      </c>
      <c r="H538" s="22"/>
      <c r="I538" s="22"/>
    </row>
    <row r="539" spans="3:9" s="14" customFormat="1" ht="15" customHeight="1" x14ac:dyDescent="0.25">
      <c r="C539" s="15" t="str">
        <f t="shared" si="8"/>
        <v/>
      </c>
      <c r="H539" s="22"/>
      <c r="I539" s="22"/>
    </row>
    <row r="540" spans="3:9" s="14" customFormat="1" ht="15" customHeight="1" x14ac:dyDescent="0.25">
      <c r="C540" s="15" t="str">
        <f t="shared" si="8"/>
        <v/>
      </c>
      <c r="H540" s="22"/>
      <c r="I540" s="22"/>
    </row>
    <row r="541" spans="3:9" s="14" customFormat="1" ht="15" customHeight="1" x14ac:dyDescent="0.25">
      <c r="C541" s="15" t="str">
        <f t="shared" si="8"/>
        <v/>
      </c>
      <c r="H541" s="22"/>
      <c r="I541" s="22"/>
    </row>
    <row r="542" spans="3:9" s="14" customFormat="1" ht="15" customHeight="1" x14ac:dyDescent="0.25">
      <c r="C542" s="15" t="str">
        <f t="shared" si="8"/>
        <v/>
      </c>
      <c r="H542" s="22"/>
      <c r="I542" s="22"/>
    </row>
    <row r="543" spans="3:9" s="14" customFormat="1" ht="15" customHeight="1" x14ac:dyDescent="0.25">
      <c r="C543" s="15" t="str">
        <f t="shared" si="8"/>
        <v/>
      </c>
      <c r="H543" s="22"/>
      <c r="I543" s="22"/>
    </row>
    <row r="544" spans="3:9" s="14" customFormat="1" ht="15" customHeight="1" x14ac:dyDescent="0.25">
      <c r="C544" s="15" t="str">
        <f t="shared" si="8"/>
        <v/>
      </c>
      <c r="H544" s="22"/>
      <c r="I544" s="22"/>
    </row>
    <row r="545" spans="3:9" s="14" customFormat="1" ht="15" customHeight="1" x14ac:dyDescent="0.25">
      <c r="C545" s="15" t="str">
        <f t="shared" si="8"/>
        <v/>
      </c>
      <c r="H545" s="22"/>
      <c r="I545" s="22"/>
    </row>
    <row r="546" spans="3:9" s="14" customFormat="1" ht="15" customHeight="1" x14ac:dyDescent="0.25">
      <c r="C546" s="15" t="str">
        <f t="shared" si="8"/>
        <v/>
      </c>
      <c r="H546" s="22"/>
      <c r="I546" s="22"/>
    </row>
    <row r="547" spans="3:9" s="14" customFormat="1" ht="15" customHeight="1" x14ac:dyDescent="0.25">
      <c r="C547" s="15" t="str">
        <f t="shared" si="8"/>
        <v/>
      </c>
      <c r="H547" s="22"/>
      <c r="I547" s="22"/>
    </row>
    <row r="548" spans="3:9" s="14" customFormat="1" ht="15" customHeight="1" x14ac:dyDescent="0.25">
      <c r="C548" s="15" t="str">
        <f t="shared" si="8"/>
        <v/>
      </c>
      <c r="H548" s="22"/>
      <c r="I548" s="22"/>
    </row>
    <row r="549" spans="3:9" s="14" customFormat="1" ht="15" customHeight="1" x14ac:dyDescent="0.25">
      <c r="C549" s="15" t="str">
        <f t="shared" si="8"/>
        <v/>
      </c>
      <c r="H549" s="22"/>
      <c r="I549" s="22"/>
    </row>
    <row r="550" spans="3:9" s="14" customFormat="1" ht="15" customHeight="1" x14ac:dyDescent="0.25">
      <c r="C550" s="15" t="str">
        <f t="shared" si="8"/>
        <v/>
      </c>
      <c r="H550" s="22"/>
      <c r="I550" s="22"/>
    </row>
    <row r="551" spans="3:9" s="14" customFormat="1" ht="15" customHeight="1" x14ac:dyDescent="0.25">
      <c r="C551" s="15" t="str">
        <f t="shared" si="8"/>
        <v/>
      </c>
      <c r="H551" s="22"/>
      <c r="I551" s="22"/>
    </row>
    <row r="552" spans="3:9" s="14" customFormat="1" ht="15" customHeight="1" x14ac:dyDescent="0.25">
      <c r="C552" s="15" t="str">
        <f t="shared" si="8"/>
        <v/>
      </c>
      <c r="H552" s="22"/>
      <c r="I552" s="22"/>
    </row>
    <row r="553" spans="3:9" s="14" customFormat="1" ht="15" customHeight="1" x14ac:dyDescent="0.25">
      <c r="C553" s="15" t="str">
        <f t="shared" si="8"/>
        <v/>
      </c>
      <c r="H553" s="22"/>
      <c r="I553" s="22"/>
    </row>
    <row r="554" spans="3:9" s="14" customFormat="1" ht="15" customHeight="1" x14ac:dyDescent="0.25">
      <c r="C554" s="15" t="str">
        <f t="shared" si="8"/>
        <v/>
      </c>
      <c r="H554" s="22"/>
      <c r="I554" s="22"/>
    </row>
    <row r="555" spans="3:9" s="14" customFormat="1" ht="15" customHeight="1" x14ac:dyDescent="0.25">
      <c r="C555" s="15" t="str">
        <f t="shared" si="8"/>
        <v/>
      </c>
      <c r="H555" s="22"/>
      <c r="I555" s="22"/>
    </row>
    <row r="556" spans="3:9" s="14" customFormat="1" ht="15" customHeight="1" x14ac:dyDescent="0.25">
      <c r="C556" s="15" t="str">
        <f t="shared" si="8"/>
        <v/>
      </c>
      <c r="H556" s="22"/>
      <c r="I556" s="22"/>
    </row>
    <row r="557" spans="3:9" s="14" customFormat="1" ht="15" customHeight="1" x14ac:dyDescent="0.25">
      <c r="C557" s="15" t="str">
        <f t="shared" si="8"/>
        <v/>
      </c>
      <c r="H557" s="22"/>
      <c r="I557" s="22"/>
    </row>
    <row r="558" spans="3:9" s="14" customFormat="1" ht="15" customHeight="1" x14ac:dyDescent="0.25">
      <c r="C558" s="15" t="str">
        <f t="shared" si="8"/>
        <v/>
      </c>
      <c r="H558" s="22"/>
      <c r="I558" s="22"/>
    </row>
    <row r="559" spans="3:9" s="14" customFormat="1" ht="15" customHeight="1" x14ac:dyDescent="0.25">
      <c r="C559" s="15" t="str">
        <f t="shared" si="8"/>
        <v/>
      </c>
      <c r="H559" s="22"/>
      <c r="I559" s="22"/>
    </row>
    <row r="560" spans="3:9" s="14" customFormat="1" ht="15" customHeight="1" x14ac:dyDescent="0.25">
      <c r="C560" s="15" t="str">
        <f t="shared" si="8"/>
        <v/>
      </c>
      <c r="H560" s="22"/>
      <c r="I560" s="22"/>
    </row>
    <row r="561" spans="3:9" s="14" customFormat="1" ht="15" customHeight="1" x14ac:dyDescent="0.25">
      <c r="C561" s="15" t="str">
        <f t="shared" si="8"/>
        <v/>
      </c>
      <c r="H561" s="22"/>
      <c r="I561" s="22"/>
    </row>
    <row r="562" spans="3:9" s="14" customFormat="1" ht="15" customHeight="1" x14ac:dyDescent="0.25">
      <c r="C562" s="15" t="str">
        <f t="shared" si="8"/>
        <v/>
      </c>
      <c r="H562" s="22"/>
      <c r="I562" s="22"/>
    </row>
    <row r="563" spans="3:9" s="14" customFormat="1" ht="15" customHeight="1" x14ac:dyDescent="0.25">
      <c r="C563" s="15" t="str">
        <f t="shared" si="8"/>
        <v/>
      </c>
      <c r="H563" s="22"/>
      <c r="I563" s="22"/>
    </row>
    <row r="564" spans="3:9" s="14" customFormat="1" ht="15" customHeight="1" x14ac:dyDescent="0.25">
      <c r="C564" s="15" t="str">
        <f t="shared" si="8"/>
        <v/>
      </c>
      <c r="H564" s="22"/>
      <c r="I564" s="22"/>
    </row>
    <row r="565" spans="3:9" s="14" customFormat="1" ht="15" customHeight="1" x14ac:dyDescent="0.25">
      <c r="C565" s="15" t="str">
        <f t="shared" si="8"/>
        <v/>
      </c>
      <c r="H565" s="22"/>
      <c r="I565" s="22"/>
    </row>
    <row r="566" spans="3:9" s="14" customFormat="1" ht="15" customHeight="1" x14ac:dyDescent="0.25">
      <c r="C566" s="15" t="str">
        <f t="shared" si="8"/>
        <v/>
      </c>
      <c r="H566" s="22"/>
      <c r="I566" s="22"/>
    </row>
    <row r="567" spans="3:9" s="14" customFormat="1" ht="15" customHeight="1" x14ac:dyDescent="0.25">
      <c r="C567" s="15" t="str">
        <f t="shared" si="8"/>
        <v/>
      </c>
      <c r="H567" s="22"/>
      <c r="I567" s="22"/>
    </row>
    <row r="568" spans="3:9" s="14" customFormat="1" ht="15" customHeight="1" x14ac:dyDescent="0.25">
      <c r="C568" s="15" t="str">
        <f t="shared" si="8"/>
        <v/>
      </c>
      <c r="H568" s="22"/>
      <c r="I568" s="22"/>
    </row>
    <row r="569" spans="3:9" s="14" customFormat="1" ht="15" customHeight="1" x14ac:dyDescent="0.25">
      <c r="C569" s="15" t="str">
        <f t="shared" si="8"/>
        <v/>
      </c>
      <c r="H569" s="22"/>
      <c r="I569" s="22"/>
    </row>
    <row r="570" spans="3:9" s="14" customFormat="1" ht="15" customHeight="1" x14ac:dyDescent="0.25">
      <c r="C570" s="15" t="str">
        <f t="shared" si="8"/>
        <v/>
      </c>
      <c r="H570" s="22"/>
      <c r="I570" s="22"/>
    </row>
    <row r="571" spans="3:9" s="14" customFormat="1" ht="15" customHeight="1" x14ac:dyDescent="0.25">
      <c r="C571" s="15" t="str">
        <f t="shared" si="8"/>
        <v/>
      </c>
      <c r="H571" s="22"/>
      <c r="I571" s="22"/>
    </row>
    <row r="572" spans="3:9" s="14" customFormat="1" ht="15" customHeight="1" x14ac:dyDescent="0.25">
      <c r="C572" s="15" t="str">
        <f t="shared" si="8"/>
        <v/>
      </c>
      <c r="H572" s="22"/>
      <c r="I572" s="22"/>
    </row>
    <row r="573" spans="3:9" s="14" customFormat="1" ht="15" customHeight="1" x14ac:dyDescent="0.25">
      <c r="C573" s="15" t="str">
        <f t="shared" si="8"/>
        <v/>
      </c>
      <c r="H573" s="22"/>
      <c r="I573" s="22"/>
    </row>
    <row r="574" spans="3:9" s="14" customFormat="1" ht="15" customHeight="1" x14ac:dyDescent="0.25">
      <c r="C574" s="15" t="str">
        <f t="shared" ref="C574:C637" si="9">IF(ISNUMBER(A574),LN(B574/B573),"")</f>
        <v/>
      </c>
      <c r="H574" s="22"/>
      <c r="I574" s="22"/>
    </row>
    <row r="575" spans="3:9" s="14" customFormat="1" ht="15" customHeight="1" x14ac:dyDescent="0.25">
      <c r="C575" s="15" t="str">
        <f t="shared" si="9"/>
        <v/>
      </c>
      <c r="H575" s="22"/>
      <c r="I575" s="22"/>
    </row>
    <row r="576" spans="3:9" s="14" customFormat="1" ht="15" customHeight="1" x14ac:dyDescent="0.25">
      <c r="C576" s="15" t="str">
        <f t="shared" si="9"/>
        <v/>
      </c>
      <c r="H576" s="22"/>
      <c r="I576" s="22"/>
    </row>
    <row r="577" spans="3:9" s="14" customFormat="1" ht="15" customHeight="1" x14ac:dyDescent="0.25">
      <c r="C577" s="15" t="str">
        <f t="shared" si="9"/>
        <v/>
      </c>
      <c r="H577" s="22"/>
      <c r="I577" s="22"/>
    </row>
    <row r="578" spans="3:9" s="14" customFormat="1" ht="15" customHeight="1" x14ac:dyDescent="0.25">
      <c r="C578" s="15" t="str">
        <f t="shared" si="9"/>
        <v/>
      </c>
      <c r="H578" s="22"/>
      <c r="I578" s="22"/>
    </row>
    <row r="579" spans="3:9" s="14" customFormat="1" ht="15" customHeight="1" x14ac:dyDescent="0.25">
      <c r="C579" s="15" t="str">
        <f t="shared" si="9"/>
        <v/>
      </c>
      <c r="H579" s="22"/>
      <c r="I579" s="22"/>
    </row>
    <row r="580" spans="3:9" s="14" customFormat="1" ht="15" customHeight="1" x14ac:dyDescent="0.25">
      <c r="C580" s="15" t="str">
        <f t="shared" si="9"/>
        <v/>
      </c>
      <c r="H580" s="22"/>
      <c r="I580" s="22"/>
    </row>
    <row r="581" spans="3:9" s="14" customFormat="1" ht="15" customHeight="1" x14ac:dyDescent="0.25">
      <c r="C581" s="15" t="str">
        <f t="shared" si="9"/>
        <v/>
      </c>
      <c r="H581" s="22"/>
      <c r="I581" s="22"/>
    </row>
    <row r="582" spans="3:9" s="14" customFormat="1" ht="15" customHeight="1" x14ac:dyDescent="0.25">
      <c r="C582" s="15" t="str">
        <f t="shared" si="9"/>
        <v/>
      </c>
      <c r="H582" s="22"/>
      <c r="I582" s="22"/>
    </row>
    <row r="583" spans="3:9" s="14" customFormat="1" ht="15" customHeight="1" x14ac:dyDescent="0.25">
      <c r="C583" s="15" t="str">
        <f t="shared" si="9"/>
        <v/>
      </c>
      <c r="H583" s="22"/>
      <c r="I583" s="22"/>
    </row>
    <row r="584" spans="3:9" s="14" customFormat="1" ht="15" customHeight="1" x14ac:dyDescent="0.25">
      <c r="C584" s="15" t="str">
        <f t="shared" si="9"/>
        <v/>
      </c>
      <c r="H584" s="22"/>
      <c r="I584" s="22"/>
    </row>
    <row r="585" spans="3:9" s="14" customFormat="1" ht="15" customHeight="1" x14ac:dyDescent="0.25">
      <c r="C585" s="15" t="str">
        <f t="shared" si="9"/>
        <v/>
      </c>
      <c r="H585" s="22"/>
      <c r="I585" s="22"/>
    </row>
    <row r="586" spans="3:9" s="14" customFormat="1" ht="15" customHeight="1" x14ac:dyDescent="0.25">
      <c r="C586" s="15" t="str">
        <f t="shared" si="9"/>
        <v/>
      </c>
      <c r="H586" s="22"/>
      <c r="I586" s="22"/>
    </row>
    <row r="587" spans="3:9" s="14" customFormat="1" ht="15" customHeight="1" x14ac:dyDescent="0.25">
      <c r="C587" s="15" t="str">
        <f t="shared" si="9"/>
        <v/>
      </c>
      <c r="H587" s="22"/>
      <c r="I587" s="22"/>
    </row>
    <row r="588" spans="3:9" s="14" customFormat="1" ht="15" customHeight="1" x14ac:dyDescent="0.25">
      <c r="C588" s="15" t="str">
        <f t="shared" si="9"/>
        <v/>
      </c>
      <c r="H588" s="22"/>
      <c r="I588" s="22"/>
    </row>
    <row r="589" spans="3:9" s="14" customFormat="1" ht="15" customHeight="1" x14ac:dyDescent="0.25">
      <c r="C589" s="15" t="str">
        <f t="shared" si="9"/>
        <v/>
      </c>
      <c r="H589" s="22"/>
      <c r="I589" s="22"/>
    </row>
    <row r="590" spans="3:9" s="14" customFormat="1" ht="15" customHeight="1" x14ac:dyDescent="0.25">
      <c r="C590" s="15" t="str">
        <f t="shared" si="9"/>
        <v/>
      </c>
      <c r="H590" s="22"/>
      <c r="I590" s="22"/>
    </row>
    <row r="591" spans="3:9" s="14" customFormat="1" ht="15" customHeight="1" x14ac:dyDescent="0.25">
      <c r="C591" s="15" t="str">
        <f t="shared" si="9"/>
        <v/>
      </c>
      <c r="H591" s="22"/>
      <c r="I591" s="22"/>
    </row>
    <row r="592" spans="3:9" s="14" customFormat="1" ht="15" customHeight="1" x14ac:dyDescent="0.25">
      <c r="C592" s="15" t="str">
        <f t="shared" si="9"/>
        <v/>
      </c>
      <c r="H592" s="22"/>
      <c r="I592" s="22"/>
    </row>
    <row r="593" spans="3:9" s="14" customFormat="1" ht="15" customHeight="1" x14ac:dyDescent="0.25">
      <c r="C593" s="15" t="str">
        <f t="shared" si="9"/>
        <v/>
      </c>
      <c r="H593" s="22"/>
      <c r="I593" s="22"/>
    </row>
    <row r="594" spans="3:9" s="14" customFormat="1" ht="15" customHeight="1" x14ac:dyDescent="0.25">
      <c r="C594" s="15" t="str">
        <f t="shared" si="9"/>
        <v/>
      </c>
      <c r="H594" s="22"/>
      <c r="I594" s="22"/>
    </row>
    <row r="595" spans="3:9" s="14" customFormat="1" ht="15" customHeight="1" x14ac:dyDescent="0.25">
      <c r="C595" s="15" t="str">
        <f t="shared" si="9"/>
        <v/>
      </c>
      <c r="H595" s="22"/>
      <c r="I595" s="22"/>
    </row>
    <row r="596" spans="3:9" s="14" customFormat="1" ht="15" customHeight="1" x14ac:dyDescent="0.25">
      <c r="C596" s="15" t="str">
        <f t="shared" si="9"/>
        <v/>
      </c>
      <c r="H596" s="22"/>
      <c r="I596" s="22"/>
    </row>
    <row r="597" spans="3:9" s="14" customFormat="1" ht="15" customHeight="1" x14ac:dyDescent="0.25">
      <c r="C597" s="15" t="str">
        <f t="shared" si="9"/>
        <v/>
      </c>
      <c r="H597" s="22"/>
      <c r="I597" s="22"/>
    </row>
    <row r="598" spans="3:9" s="14" customFormat="1" ht="15" customHeight="1" x14ac:dyDescent="0.25">
      <c r="C598" s="15" t="str">
        <f t="shared" si="9"/>
        <v/>
      </c>
      <c r="H598" s="22"/>
      <c r="I598" s="22"/>
    </row>
    <row r="599" spans="3:9" s="14" customFormat="1" ht="15" customHeight="1" x14ac:dyDescent="0.25">
      <c r="C599" s="15" t="str">
        <f t="shared" si="9"/>
        <v/>
      </c>
      <c r="H599" s="22"/>
      <c r="I599" s="22"/>
    </row>
    <row r="600" spans="3:9" s="14" customFormat="1" ht="15" customHeight="1" x14ac:dyDescent="0.25">
      <c r="C600" s="15" t="str">
        <f t="shared" si="9"/>
        <v/>
      </c>
      <c r="H600" s="22"/>
      <c r="I600" s="22"/>
    </row>
    <row r="601" spans="3:9" s="14" customFormat="1" ht="15" customHeight="1" x14ac:dyDescent="0.25">
      <c r="C601" s="15" t="str">
        <f t="shared" si="9"/>
        <v/>
      </c>
      <c r="H601" s="22"/>
      <c r="I601" s="22"/>
    </row>
    <row r="602" spans="3:9" s="14" customFormat="1" ht="15" customHeight="1" x14ac:dyDescent="0.25">
      <c r="C602" s="15" t="str">
        <f t="shared" si="9"/>
        <v/>
      </c>
      <c r="H602" s="22"/>
      <c r="I602" s="22"/>
    </row>
    <row r="603" spans="3:9" s="14" customFormat="1" ht="15" customHeight="1" x14ac:dyDescent="0.25">
      <c r="C603" s="15" t="str">
        <f t="shared" si="9"/>
        <v/>
      </c>
      <c r="H603" s="22"/>
      <c r="I603" s="22"/>
    </row>
    <row r="604" spans="3:9" s="14" customFormat="1" ht="15" customHeight="1" x14ac:dyDescent="0.25">
      <c r="C604" s="15" t="str">
        <f t="shared" si="9"/>
        <v/>
      </c>
      <c r="H604" s="22"/>
      <c r="I604" s="22"/>
    </row>
    <row r="605" spans="3:9" s="14" customFormat="1" ht="15" customHeight="1" x14ac:dyDescent="0.25">
      <c r="C605" s="15" t="str">
        <f t="shared" si="9"/>
        <v/>
      </c>
      <c r="H605" s="22"/>
      <c r="I605" s="22"/>
    </row>
    <row r="606" spans="3:9" s="14" customFormat="1" ht="15" customHeight="1" x14ac:dyDescent="0.25">
      <c r="C606" s="15" t="str">
        <f t="shared" si="9"/>
        <v/>
      </c>
      <c r="H606" s="22"/>
      <c r="I606" s="22"/>
    </row>
    <row r="607" spans="3:9" s="14" customFormat="1" ht="15" customHeight="1" x14ac:dyDescent="0.25">
      <c r="C607" s="15" t="str">
        <f t="shared" si="9"/>
        <v/>
      </c>
      <c r="H607" s="22"/>
      <c r="I607" s="22"/>
    </row>
    <row r="608" spans="3:9" s="14" customFormat="1" ht="15" customHeight="1" x14ac:dyDescent="0.25">
      <c r="C608" s="15" t="str">
        <f t="shared" si="9"/>
        <v/>
      </c>
      <c r="H608" s="22"/>
      <c r="I608" s="22"/>
    </row>
    <row r="609" spans="3:9" s="14" customFormat="1" ht="15" customHeight="1" x14ac:dyDescent="0.25">
      <c r="C609" s="15" t="str">
        <f t="shared" si="9"/>
        <v/>
      </c>
      <c r="H609" s="22"/>
      <c r="I609" s="22"/>
    </row>
    <row r="610" spans="3:9" s="14" customFormat="1" ht="15" customHeight="1" x14ac:dyDescent="0.25">
      <c r="C610" s="15" t="str">
        <f t="shared" si="9"/>
        <v/>
      </c>
      <c r="H610" s="22"/>
      <c r="I610" s="22"/>
    </row>
    <row r="611" spans="3:9" s="14" customFormat="1" ht="15" customHeight="1" x14ac:dyDescent="0.25">
      <c r="C611" s="15" t="str">
        <f t="shared" si="9"/>
        <v/>
      </c>
      <c r="H611" s="22"/>
      <c r="I611" s="22"/>
    </row>
    <row r="612" spans="3:9" s="14" customFormat="1" ht="15" customHeight="1" x14ac:dyDescent="0.25">
      <c r="C612" s="15" t="str">
        <f t="shared" si="9"/>
        <v/>
      </c>
      <c r="H612" s="22"/>
      <c r="I612" s="22"/>
    </row>
    <row r="613" spans="3:9" s="14" customFormat="1" ht="15" customHeight="1" x14ac:dyDescent="0.25">
      <c r="C613" s="15" t="str">
        <f t="shared" si="9"/>
        <v/>
      </c>
      <c r="H613" s="22"/>
      <c r="I613" s="22"/>
    </row>
    <row r="614" spans="3:9" s="14" customFormat="1" ht="15" customHeight="1" x14ac:dyDescent="0.25">
      <c r="C614" s="15" t="str">
        <f t="shared" si="9"/>
        <v/>
      </c>
      <c r="H614" s="22"/>
      <c r="I614" s="22"/>
    </row>
    <row r="615" spans="3:9" s="14" customFormat="1" ht="15" customHeight="1" x14ac:dyDescent="0.25">
      <c r="C615" s="15" t="str">
        <f t="shared" si="9"/>
        <v/>
      </c>
      <c r="H615" s="22"/>
      <c r="I615" s="22"/>
    </row>
    <row r="616" spans="3:9" s="14" customFormat="1" ht="15" customHeight="1" x14ac:dyDescent="0.25">
      <c r="C616" s="15" t="str">
        <f t="shared" si="9"/>
        <v/>
      </c>
      <c r="H616" s="22"/>
      <c r="I616" s="22"/>
    </row>
    <row r="617" spans="3:9" s="14" customFormat="1" ht="15" customHeight="1" x14ac:dyDescent="0.25">
      <c r="C617" s="15" t="str">
        <f t="shared" si="9"/>
        <v/>
      </c>
      <c r="H617" s="22"/>
      <c r="I617" s="22"/>
    </row>
    <row r="618" spans="3:9" s="14" customFormat="1" ht="15" customHeight="1" x14ac:dyDescent="0.25">
      <c r="C618" s="15" t="str">
        <f t="shared" si="9"/>
        <v/>
      </c>
      <c r="H618" s="22"/>
      <c r="I618" s="22"/>
    </row>
    <row r="619" spans="3:9" s="14" customFormat="1" ht="15" customHeight="1" x14ac:dyDescent="0.25">
      <c r="C619" s="15" t="str">
        <f t="shared" si="9"/>
        <v/>
      </c>
      <c r="H619" s="22"/>
      <c r="I619" s="22"/>
    </row>
    <row r="620" spans="3:9" s="14" customFormat="1" ht="15" customHeight="1" x14ac:dyDescent="0.25">
      <c r="C620" s="15" t="str">
        <f t="shared" si="9"/>
        <v/>
      </c>
      <c r="H620" s="22"/>
      <c r="I620" s="22"/>
    </row>
    <row r="621" spans="3:9" s="14" customFormat="1" ht="15" customHeight="1" x14ac:dyDescent="0.25">
      <c r="C621" s="15" t="str">
        <f t="shared" si="9"/>
        <v/>
      </c>
      <c r="H621" s="22"/>
      <c r="I621" s="22"/>
    </row>
    <row r="622" spans="3:9" s="14" customFormat="1" ht="15" customHeight="1" x14ac:dyDescent="0.25">
      <c r="C622" s="15" t="str">
        <f t="shared" si="9"/>
        <v/>
      </c>
      <c r="H622" s="22"/>
      <c r="I622" s="22"/>
    </row>
    <row r="623" spans="3:9" s="14" customFormat="1" ht="15" customHeight="1" x14ac:dyDescent="0.25">
      <c r="C623" s="15" t="str">
        <f t="shared" si="9"/>
        <v/>
      </c>
      <c r="H623" s="22"/>
      <c r="I623" s="22"/>
    </row>
    <row r="624" spans="3:9" s="14" customFormat="1" ht="15" customHeight="1" x14ac:dyDescent="0.25">
      <c r="C624" s="15" t="str">
        <f t="shared" si="9"/>
        <v/>
      </c>
      <c r="H624" s="22"/>
      <c r="I624" s="22"/>
    </row>
    <row r="625" spans="3:9" s="14" customFormat="1" ht="15" customHeight="1" x14ac:dyDescent="0.25">
      <c r="C625" s="15" t="str">
        <f t="shared" si="9"/>
        <v/>
      </c>
      <c r="H625" s="22"/>
      <c r="I625" s="22"/>
    </row>
    <row r="626" spans="3:9" s="14" customFormat="1" ht="15" customHeight="1" x14ac:dyDescent="0.25">
      <c r="C626" s="15" t="str">
        <f t="shared" si="9"/>
        <v/>
      </c>
      <c r="H626" s="22"/>
      <c r="I626" s="22"/>
    </row>
    <row r="627" spans="3:9" s="14" customFormat="1" ht="15" customHeight="1" x14ac:dyDescent="0.25">
      <c r="C627" s="15" t="str">
        <f t="shared" si="9"/>
        <v/>
      </c>
      <c r="H627" s="22"/>
      <c r="I627" s="22"/>
    </row>
    <row r="628" spans="3:9" s="14" customFormat="1" ht="15" customHeight="1" x14ac:dyDescent="0.25">
      <c r="C628" s="15" t="str">
        <f t="shared" si="9"/>
        <v/>
      </c>
      <c r="H628" s="22"/>
      <c r="I628" s="22"/>
    </row>
    <row r="629" spans="3:9" s="14" customFormat="1" ht="15" customHeight="1" x14ac:dyDescent="0.25">
      <c r="C629" s="15" t="str">
        <f t="shared" si="9"/>
        <v/>
      </c>
      <c r="H629" s="22"/>
      <c r="I629" s="22"/>
    </row>
    <row r="630" spans="3:9" s="14" customFormat="1" ht="15" customHeight="1" x14ac:dyDescent="0.25">
      <c r="C630" s="15" t="str">
        <f t="shared" si="9"/>
        <v/>
      </c>
      <c r="H630" s="22"/>
      <c r="I630" s="22"/>
    </row>
    <row r="631" spans="3:9" s="14" customFormat="1" ht="15" customHeight="1" x14ac:dyDescent="0.25">
      <c r="C631" s="15" t="str">
        <f t="shared" si="9"/>
        <v/>
      </c>
      <c r="H631" s="22"/>
      <c r="I631" s="22"/>
    </row>
    <row r="632" spans="3:9" s="14" customFormat="1" ht="15" customHeight="1" x14ac:dyDescent="0.25">
      <c r="C632" s="15" t="str">
        <f t="shared" si="9"/>
        <v/>
      </c>
      <c r="H632" s="22"/>
      <c r="I632" s="22"/>
    </row>
    <row r="633" spans="3:9" s="14" customFormat="1" ht="15" customHeight="1" x14ac:dyDescent="0.25">
      <c r="C633" s="15" t="str">
        <f t="shared" si="9"/>
        <v/>
      </c>
      <c r="H633" s="22"/>
      <c r="I633" s="22"/>
    </row>
    <row r="634" spans="3:9" s="14" customFormat="1" ht="15" customHeight="1" x14ac:dyDescent="0.25">
      <c r="C634" s="15" t="str">
        <f t="shared" si="9"/>
        <v/>
      </c>
      <c r="H634" s="22"/>
      <c r="I634" s="22"/>
    </row>
    <row r="635" spans="3:9" s="14" customFormat="1" ht="15" customHeight="1" x14ac:dyDescent="0.25">
      <c r="C635" s="15" t="str">
        <f t="shared" si="9"/>
        <v/>
      </c>
      <c r="H635" s="22"/>
      <c r="I635" s="22"/>
    </row>
    <row r="636" spans="3:9" s="14" customFormat="1" ht="15" customHeight="1" x14ac:dyDescent="0.25">
      <c r="C636" s="15" t="str">
        <f t="shared" si="9"/>
        <v/>
      </c>
      <c r="H636" s="22"/>
      <c r="I636" s="22"/>
    </row>
    <row r="637" spans="3:9" s="14" customFormat="1" ht="15" customHeight="1" x14ac:dyDescent="0.25">
      <c r="C637" s="15" t="str">
        <f t="shared" si="9"/>
        <v/>
      </c>
      <c r="H637" s="22"/>
      <c r="I637" s="22"/>
    </row>
    <row r="638" spans="3:9" s="14" customFormat="1" ht="15" customHeight="1" x14ac:dyDescent="0.25">
      <c r="C638" s="15" t="str">
        <f t="shared" ref="C638:C701" si="10">IF(ISNUMBER(A638),LN(B638/B637),"")</f>
        <v/>
      </c>
      <c r="H638" s="22"/>
      <c r="I638" s="22"/>
    </row>
    <row r="639" spans="3:9" s="14" customFormat="1" ht="15" customHeight="1" x14ac:dyDescent="0.25">
      <c r="C639" s="15" t="str">
        <f t="shared" si="10"/>
        <v/>
      </c>
      <c r="H639" s="22"/>
      <c r="I639" s="22"/>
    </row>
    <row r="640" spans="3:9" s="14" customFormat="1" ht="15" customHeight="1" x14ac:dyDescent="0.25">
      <c r="C640" s="15" t="str">
        <f t="shared" si="10"/>
        <v/>
      </c>
      <c r="H640" s="22"/>
      <c r="I640" s="22"/>
    </row>
    <row r="641" spans="3:9" s="14" customFormat="1" ht="15" customHeight="1" x14ac:dyDescent="0.25">
      <c r="C641" s="15" t="str">
        <f t="shared" si="10"/>
        <v/>
      </c>
      <c r="H641" s="22"/>
      <c r="I641" s="22"/>
    </row>
    <row r="642" spans="3:9" s="14" customFormat="1" ht="15" customHeight="1" x14ac:dyDescent="0.25">
      <c r="C642" s="15" t="str">
        <f t="shared" si="10"/>
        <v/>
      </c>
      <c r="H642" s="22"/>
      <c r="I642" s="22"/>
    </row>
    <row r="643" spans="3:9" s="14" customFormat="1" ht="15" customHeight="1" x14ac:dyDescent="0.25">
      <c r="C643" s="15" t="str">
        <f t="shared" si="10"/>
        <v/>
      </c>
      <c r="H643" s="22"/>
      <c r="I643" s="22"/>
    </row>
    <row r="644" spans="3:9" s="14" customFormat="1" ht="15" customHeight="1" x14ac:dyDescent="0.25">
      <c r="C644" s="15" t="str">
        <f t="shared" si="10"/>
        <v/>
      </c>
      <c r="H644" s="22"/>
      <c r="I644" s="22"/>
    </row>
    <row r="645" spans="3:9" s="14" customFormat="1" ht="15" customHeight="1" x14ac:dyDescent="0.25">
      <c r="C645" s="15" t="str">
        <f t="shared" si="10"/>
        <v/>
      </c>
      <c r="H645" s="22"/>
      <c r="I645" s="22"/>
    </row>
    <row r="646" spans="3:9" s="14" customFormat="1" ht="15" customHeight="1" x14ac:dyDescent="0.25">
      <c r="C646" s="15" t="str">
        <f t="shared" si="10"/>
        <v/>
      </c>
      <c r="H646" s="22"/>
      <c r="I646" s="22"/>
    </row>
    <row r="647" spans="3:9" s="14" customFormat="1" ht="15" customHeight="1" x14ac:dyDescent="0.25">
      <c r="C647" s="15" t="str">
        <f t="shared" si="10"/>
        <v/>
      </c>
      <c r="H647" s="22"/>
      <c r="I647" s="22"/>
    </row>
    <row r="648" spans="3:9" s="14" customFormat="1" ht="15" customHeight="1" x14ac:dyDescent="0.25">
      <c r="C648" s="15" t="str">
        <f t="shared" si="10"/>
        <v/>
      </c>
      <c r="H648" s="22"/>
      <c r="I648" s="22"/>
    </row>
    <row r="649" spans="3:9" s="14" customFormat="1" ht="15" customHeight="1" x14ac:dyDescent="0.25">
      <c r="C649" s="15" t="str">
        <f t="shared" si="10"/>
        <v/>
      </c>
      <c r="H649" s="22"/>
      <c r="I649" s="22"/>
    </row>
    <row r="650" spans="3:9" s="14" customFormat="1" ht="15" customHeight="1" x14ac:dyDescent="0.25">
      <c r="C650" s="15" t="str">
        <f t="shared" si="10"/>
        <v/>
      </c>
      <c r="H650" s="22"/>
      <c r="I650" s="22"/>
    </row>
    <row r="651" spans="3:9" s="14" customFormat="1" ht="15" customHeight="1" x14ac:dyDescent="0.25">
      <c r="C651" s="15" t="str">
        <f t="shared" si="10"/>
        <v/>
      </c>
      <c r="H651" s="22"/>
      <c r="I651" s="22"/>
    </row>
    <row r="652" spans="3:9" s="14" customFormat="1" ht="15" customHeight="1" x14ac:dyDescent="0.25">
      <c r="C652" s="15" t="str">
        <f t="shared" si="10"/>
        <v/>
      </c>
      <c r="H652" s="22"/>
      <c r="I652" s="22"/>
    </row>
    <row r="653" spans="3:9" s="14" customFormat="1" ht="15" customHeight="1" x14ac:dyDescent="0.25">
      <c r="C653" s="15" t="str">
        <f t="shared" si="10"/>
        <v/>
      </c>
      <c r="H653" s="22"/>
      <c r="I653" s="22"/>
    </row>
    <row r="654" spans="3:9" s="14" customFormat="1" ht="15" customHeight="1" x14ac:dyDescent="0.25">
      <c r="C654" s="15" t="str">
        <f t="shared" si="10"/>
        <v/>
      </c>
      <c r="H654" s="22"/>
      <c r="I654" s="22"/>
    </row>
    <row r="655" spans="3:9" s="14" customFormat="1" ht="15" customHeight="1" x14ac:dyDescent="0.25">
      <c r="C655" s="15" t="str">
        <f t="shared" si="10"/>
        <v/>
      </c>
      <c r="H655" s="22"/>
      <c r="I655" s="22"/>
    </row>
    <row r="656" spans="3:9" s="14" customFormat="1" ht="15" customHeight="1" x14ac:dyDescent="0.25">
      <c r="C656" s="15" t="str">
        <f t="shared" si="10"/>
        <v/>
      </c>
      <c r="H656" s="22"/>
      <c r="I656" s="22"/>
    </row>
    <row r="657" spans="3:9" s="14" customFormat="1" ht="15" customHeight="1" x14ac:dyDescent="0.25">
      <c r="C657" s="15" t="str">
        <f t="shared" si="10"/>
        <v/>
      </c>
      <c r="H657" s="22"/>
      <c r="I657" s="22"/>
    </row>
    <row r="658" spans="3:9" s="14" customFormat="1" ht="15" customHeight="1" x14ac:dyDescent="0.25">
      <c r="C658" s="15" t="str">
        <f t="shared" si="10"/>
        <v/>
      </c>
      <c r="H658" s="22"/>
      <c r="I658" s="22"/>
    </row>
    <row r="659" spans="3:9" s="14" customFormat="1" ht="15" customHeight="1" x14ac:dyDescent="0.25">
      <c r="C659" s="15" t="str">
        <f t="shared" si="10"/>
        <v/>
      </c>
      <c r="H659" s="22"/>
      <c r="I659" s="22"/>
    </row>
    <row r="660" spans="3:9" s="14" customFormat="1" ht="15" customHeight="1" x14ac:dyDescent="0.25">
      <c r="C660" s="15" t="str">
        <f t="shared" si="10"/>
        <v/>
      </c>
      <c r="H660" s="22"/>
      <c r="I660" s="22"/>
    </row>
    <row r="661" spans="3:9" s="14" customFormat="1" ht="15" customHeight="1" x14ac:dyDescent="0.25">
      <c r="C661" s="15" t="str">
        <f t="shared" si="10"/>
        <v/>
      </c>
      <c r="H661" s="22"/>
      <c r="I661" s="22"/>
    </row>
    <row r="662" spans="3:9" s="14" customFormat="1" ht="15" customHeight="1" x14ac:dyDescent="0.25">
      <c r="C662" s="15" t="str">
        <f t="shared" si="10"/>
        <v/>
      </c>
      <c r="H662" s="22"/>
      <c r="I662" s="22"/>
    </row>
    <row r="663" spans="3:9" s="14" customFormat="1" ht="15" customHeight="1" x14ac:dyDescent="0.25">
      <c r="C663" s="15" t="str">
        <f t="shared" si="10"/>
        <v/>
      </c>
      <c r="H663" s="22"/>
      <c r="I663" s="22"/>
    </row>
    <row r="664" spans="3:9" s="14" customFormat="1" ht="15" customHeight="1" x14ac:dyDescent="0.25">
      <c r="C664" s="15" t="str">
        <f t="shared" si="10"/>
        <v/>
      </c>
      <c r="H664" s="22"/>
      <c r="I664" s="22"/>
    </row>
    <row r="665" spans="3:9" s="14" customFormat="1" ht="15" customHeight="1" x14ac:dyDescent="0.25">
      <c r="C665" s="15" t="str">
        <f t="shared" si="10"/>
        <v/>
      </c>
      <c r="H665" s="22"/>
      <c r="I665" s="22"/>
    </row>
    <row r="666" spans="3:9" s="14" customFormat="1" ht="15" customHeight="1" x14ac:dyDescent="0.25">
      <c r="C666" s="15" t="str">
        <f t="shared" si="10"/>
        <v/>
      </c>
      <c r="H666" s="22"/>
      <c r="I666" s="22"/>
    </row>
    <row r="667" spans="3:9" s="14" customFormat="1" ht="15" customHeight="1" x14ac:dyDescent="0.25">
      <c r="C667" s="15" t="str">
        <f t="shared" si="10"/>
        <v/>
      </c>
      <c r="H667" s="22"/>
      <c r="I667" s="22"/>
    </row>
    <row r="668" spans="3:9" s="14" customFormat="1" ht="15" customHeight="1" x14ac:dyDescent="0.25">
      <c r="C668" s="15" t="str">
        <f t="shared" si="10"/>
        <v/>
      </c>
      <c r="H668" s="22"/>
      <c r="I668" s="22"/>
    </row>
    <row r="669" spans="3:9" s="14" customFormat="1" ht="15" customHeight="1" x14ac:dyDescent="0.25">
      <c r="C669" s="15" t="str">
        <f t="shared" si="10"/>
        <v/>
      </c>
      <c r="H669" s="22"/>
      <c r="I669" s="22"/>
    </row>
    <row r="670" spans="3:9" s="14" customFormat="1" ht="15" customHeight="1" x14ac:dyDescent="0.25">
      <c r="C670" s="15" t="str">
        <f t="shared" si="10"/>
        <v/>
      </c>
      <c r="H670" s="22"/>
      <c r="I670" s="22"/>
    </row>
    <row r="671" spans="3:9" s="14" customFormat="1" ht="15" customHeight="1" x14ac:dyDescent="0.25">
      <c r="C671" s="15" t="str">
        <f t="shared" si="10"/>
        <v/>
      </c>
      <c r="H671" s="22"/>
      <c r="I671" s="22"/>
    </row>
    <row r="672" spans="3:9" s="14" customFormat="1" ht="15" customHeight="1" x14ac:dyDescent="0.25">
      <c r="C672" s="15" t="str">
        <f t="shared" si="10"/>
        <v/>
      </c>
      <c r="H672" s="22"/>
      <c r="I672" s="22"/>
    </row>
    <row r="673" spans="3:9" s="14" customFormat="1" ht="15" customHeight="1" x14ac:dyDescent="0.25">
      <c r="C673" s="15" t="str">
        <f t="shared" si="10"/>
        <v/>
      </c>
      <c r="H673" s="22"/>
      <c r="I673" s="22"/>
    </row>
    <row r="674" spans="3:9" s="14" customFormat="1" ht="15" customHeight="1" x14ac:dyDescent="0.25">
      <c r="C674" s="15" t="str">
        <f t="shared" si="10"/>
        <v/>
      </c>
      <c r="H674" s="22"/>
      <c r="I674" s="22"/>
    </row>
    <row r="675" spans="3:9" s="14" customFormat="1" ht="15" customHeight="1" x14ac:dyDescent="0.25">
      <c r="C675" s="15" t="str">
        <f t="shared" si="10"/>
        <v/>
      </c>
      <c r="H675" s="22"/>
      <c r="I675" s="22"/>
    </row>
    <row r="676" spans="3:9" s="14" customFormat="1" ht="15" customHeight="1" x14ac:dyDescent="0.25">
      <c r="C676" s="15" t="str">
        <f t="shared" si="10"/>
        <v/>
      </c>
      <c r="H676" s="22"/>
      <c r="I676" s="22"/>
    </row>
    <row r="677" spans="3:9" s="14" customFormat="1" ht="15" customHeight="1" x14ac:dyDescent="0.25">
      <c r="C677" s="15" t="str">
        <f t="shared" si="10"/>
        <v/>
      </c>
      <c r="H677" s="22"/>
      <c r="I677" s="22"/>
    </row>
    <row r="678" spans="3:9" s="14" customFormat="1" ht="15" customHeight="1" x14ac:dyDescent="0.25">
      <c r="C678" s="15" t="str">
        <f t="shared" si="10"/>
        <v/>
      </c>
      <c r="H678" s="22"/>
      <c r="I678" s="22"/>
    </row>
    <row r="679" spans="3:9" s="14" customFormat="1" ht="15" customHeight="1" x14ac:dyDescent="0.25">
      <c r="C679" s="15" t="str">
        <f t="shared" si="10"/>
        <v/>
      </c>
      <c r="H679" s="22"/>
      <c r="I679" s="22"/>
    </row>
    <row r="680" spans="3:9" s="14" customFormat="1" ht="15" customHeight="1" x14ac:dyDescent="0.25">
      <c r="C680" s="15" t="str">
        <f t="shared" si="10"/>
        <v/>
      </c>
      <c r="H680" s="22"/>
      <c r="I680" s="22"/>
    </row>
    <row r="681" spans="3:9" s="14" customFormat="1" ht="15" customHeight="1" x14ac:dyDescent="0.25">
      <c r="C681" s="15" t="str">
        <f t="shared" si="10"/>
        <v/>
      </c>
      <c r="H681" s="22"/>
      <c r="I681" s="22"/>
    </row>
    <row r="682" spans="3:9" s="14" customFormat="1" ht="15" customHeight="1" x14ac:dyDescent="0.25">
      <c r="C682" s="15" t="str">
        <f t="shared" si="10"/>
        <v/>
      </c>
      <c r="H682" s="22"/>
      <c r="I682" s="22"/>
    </row>
    <row r="683" spans="3:9" s="14" customFormat="1" ht="15" customHeight="1" x14ac:dyDescent="0.25">
      <c r="C683" s="15" t="str">
        <f t="shared" si="10"/>
        <v/>
      </c>
      <c r="H683" s="22"/>
      <c r="I683" s="22"/>
    </row>
    <row r="684" spans="3:9" s="14" customFormat="1" ht="15" customHeight="1" x14ac:dyDescent="0.25">
      <c r="C684" s="15" t="str">
        <f t="shared" si="10"/>
        <v/>
      </c>
      <c r="H684" s="22"/>
      <c r="I684" s="22"/>
    </row>
    <row r="685" spans="3:9" s="14" customFormat="1" ht="15" customHeight="1" x14ac:dyDescent="0.25">
      <c r="C685" s="15" t="str">
        <f t="shared" si="10"/>
        <v/>
      </c>
      <c r="H685" s="22"/>
      <c r="I685" s="22"/>
    </row>
    <row r="686" spans="3:9" s="14" customFormat="1" ht="15" customHeight="1" x14ac:dyDescent="0.25">
      <c r="C686" s="15" t="str">
        <f t="shared" si="10"/>
        <v/>
      </c>
      <c r="H686" s="22"/>
      <c r="I686" s="22"/>
    </row>
    <row r="687" spans="3:9" s="14" customFormat="1" ht="15" customHeight="1" x14ac:dyDescent="0.25">
      <c r="C687" s="15" t="str">
        <f t="shared" si="10"/>
        <v/>
      </c>
      <c r="H687" s="22"/>
      <c r="I687" s="22"/>
    </row>
    <row r="688" spans="3:9" s="14" customFormat="1" ht="15" customHeight="1" x14ac:dyDescent="0.25">
      <c r="C688" s="15" t="str">
        <f t="shared" si="10"/>
        <v/>
      </c>
      <c r="H688" s="22"/>
      <c r="I688" s="22"/>
    </row>
    <row r="689" spans="3:9" s="14" customFormat="1" ht="15" customHeight="1" x14ac:dyDescent="0.25">
      <c r="C689" s="15" t="str">
        <f t="shared" si="10"/>
        <v/>
      </c>
      <c r="H689" s="22"/>
      <c r="I689" s="22"/>
    </row>
    <row r="690" spans="3:9" s="14" customFormat="1" ht="15" customHeight="1" x14ac:dyDescent="0.25">
      <c r="C690" s="15" t="str">
        <f t="shared" si="10"/>
        <v/>
      </c>
      <c r="H690" s="22"/>
      <c r="I690" s="22"/>
    </row>
    <row r="691" spans="3:9" s="14" customFormat="1" ht="15" customHeight="1" x14ac:dyDescent="0.25">
      <c r="C691" s="15" t="str">
        <f t="shared" si="10"/>
        <v/>
      </c>
      <c r="H691" s="22"/>
      <c r="I691" s="22"/>
    </row>
    <row r="692" spans="3:9" s="14" customFormat="1" ht="15" customHeight="1" x14ac:dyDescent="0.25">
      <c r="C692" s="15" t="str">
        <f t="shared" si="10"/>
        <v/>
      </c>
      <c r="H692" s="22"/>
      <c r="I692" s="22"/>
    </row>
    <row r="693" spans="3:9" s="14" customFormat="1" ht="15" customHeight="1" x14ac:dyDescent="0.25">
      <c r="C693" s="15" t="str">
        <f t="shared" si="10"/>
        <v/>
      </c>
      <c r="H693" s="22"/>
      <c r="I693" s="22"/>
    </row>
    <row r="694" spans="3:9" s="14" customFormat="1" ht="15" customHeight="1" x14ac:dyDescent="0.25">
      <c r="C694" s="15" t="str">
        <f t="shared" si="10"/>
        <v/>
      </c>
      <c r="H694" s="22"/>
      <c r="I694" s="22"/>
    </row>
    <row r="695" spans="3:9" s="14" customFormat="1" ht="15" customHeight="1" x14ac:dyDescent="0.25">
      <c r="C695" s="15" t="str">
        <f t="shared" si="10"/>
        <v/>
      </c>
      <c r="H695" s="22"/>
      <c r="I695" s="22"/>
    </row>
    <row r="696" spans="3:9" s="14" customFormat="1" ht="15" customHeight="1" x14ac:dyDescent="0.25">
      <c r="C696" s="15" t="str">
        <f t="shared" si="10"/>
        <v/>
      </c>
      <c r="H696" s="22"/>
      <c r="I696" s="22"/>
    </row>
    <row r="697" spans="3:9" s="14" customFormat="1" ht="15" customHeight="1" x14ac:dyDescent="0.25">
      <c r="C697" s="15" t="str">
        <f t="shared" si="10"/>
        <v/>
      </c>
      <c r="H697" s="22"/>
      <c r="I697" s="22"/>
    </row>
    <row r="698" spans="3:9" s="14" customFormat="1" ht="15" customHeight="1" x14ac:dyDescent="0.25">
      <c r="C698" s="15" t="str">
        <f t="shared" si="10"/>
        <v/>
      </c>
      <c r="H698" s="22"/>
      <c r="I698" s="22"/>
    </row>
    <row r="699" spans="3:9" s="14" customFormat="1" ht="15" customHeight="1" x14ac:dyDescent="0.25">
      <c r="C699" s="15" t="str">
        <f t="shared" si="10"/>
        <v/>
      </c>
      <c r="H699" s="22"/>
      <c r="I699" s="22"/>
    </row>
    <row r="700" spans="3:9" s="14" customFormat="1" ht="15" customHeight="1" x14ac:dyDescent="0.25">
      <c r="C700" s="15" t="str">
        <f t="shared" si="10"/>
        <v/>
      </c>
      <c r="H700" s="22"/>
      <c r="I700" s="22"/>
    </row>
    <row r="701" spans="3:9" s="14" customFormat="1" ht="15" customHeight="1" x14ac:dyDescent="0.25">
      <c r="C701" s="15" t="str">
        <f t="shared" si="10"/>
        <v/>
      </c>
      <c r="H701" s="22"/>
      <c r="I701" s="22"/>
    </row>
    <row r="702" spans="3:9" s="14" customFormat="1" ht="15" customHeight="1" x14ac:dyDescent="0.25">
      <c r="C702" s="15" t="str">
        <f t="shared" ref="C702:C765" si="11">IF(ISNUMBER(A702),LN(B702/B701),"")</f>
        <v/>
      </c>
      <c r="H702" s="22"/>
      <c r="I702" s="22"/>
    </row>
    <row r="703" spans="3:9" s="14" customFormat="1" ht="15" customHeight="1" x14ac:dyDescent="0.25">
      <c r="C703" s="15" t="str">
        <f t="shared" si="11"/>
        <v/>
      </c>
      <c r="H703" s="22"/>
      <c r="I703" s="22"/>
    </row>
    <row r="704" spans="3:9" s="14" customFormat="1" ht="15" customHeight="1" x14ac:dyDescent="0.25">
      <c r="C704" s="15" t="str">
        <f t="shared" si="11"/>
        <v/>
      </c>
      <c r="H704" s="22"/>
      <c r="I704" s="22"/>
    </row>
    <row r="705" spans="3:9" s="14" customFormat="1" ht="15" customHeight="1" x14ac:dyDescent="0.25">
      <c r="C705" s="15" t="str">
        <f t="shared" si="11"/>
        <v/>
      </c>
      <c r="H705" s="22"/>
      <c r="I705" s="22"/>
    </row>
    <row r="706" spans="3:9" s="14" customFormat="1" ht="15" customHeight="1" x14ac:dyDescent="0.25">
      <c r="C706" s="15" t="str">
        <f t="shared" si="11"/>
        <v/>
      </c>
      <c r="H706" s="22"/>
      <c r="I706" s="22"/>
    </row>
    <row r="707" spans="3:9" s="14" customFormat="1" ht="15" customHeight="1" x14ac:dyDescent="0.25">
      <c r="C707" s="15" t="str">
        <f t="shared" si="11"/>
        <v/>
      </c>
      <c r="H707" s="22"/>
      <c r="I707" s="22"/>
    </row>
    <row r="708" spans="3:9" s="14" customFormat="1" ht="15" customHeight="1" x14ac:dyDescent="0.25">
      <c r="C708" s="15" t="str">
        <f t="shared" si="11"/>
        <v/>
      </c>
      <c r="H708" s="22"/>
      <c r="I708" s="22"/>
    </row>
    <row r="709" spans="3:9" s="14" customFormat="1" ht="15" customHeight="1" x14ac:dyDescent="0.25">
      <c r="C709" s="15" t="str">
        <f t="shared" si="11"/>
        <v/>
      </c>
      <c r="H709" s="22"/>
      <c r="I709" s="22"/>
    </row>
    <row r="710" spans="3:9" s="14" customFormat="1" ht="15" customHeight="1" x14ac:dyDescent="0.25">
      <c r="C710" s="15" t="str">
        <f t="shared" si="11"/>
        <v/>
      </c>
      <c r="H710" s="22"/>
      <c r="I710" s="22"/>
    </row>
    <row r="711" spans="3:9" s="14" customFormat="1" ht="15" customHeight="1" x14ac:dyDescent="0.25">
      <c r="C711" s="15" t="str">
        <f t="shared" si="11"/>
        <v/>
      </c>
      <c r="H711" s="22"/>
      <c r="I711" s="22"/>
    </row>
    <row r="712" spans="3:9" s="14" customFormat="1" ht="15" customHeight="1" x14ac:dyDescent="0.25">
      <c r="C712" s="15" t="str">
        <f t="shared" si="11"/>
        <v/>
      </c>
      <c r="H712" s="22"/>
      <c r="I712" s="22"/>
    </row>
    <row r="713" spans="3:9" s="14" customFormat="1" ht="15" customHeight="1" x14ac:dyDescent="0.25">
      <c r="C713" s="15" t="str">
        <f t="shared" si="11"/>
        <v/>
      </c>
      <c r="H713" s="22"/>
      <c r="I713" s="22"/>
    </row>
    <row r="714" spans="3:9" s="14" customFormat="1" ht="15" customHeight="1" x14ac:dyDescent="0.25">
      <c r="C714" s="15" t="str">
        <f t="shared" si="11"/>
        <v/>
      </c>
      <c r="H714" s="22"/>
      <c r="I714" s="22"/>
    </row>
    <row r="715" spans="3:9" s="14" customFormat="1" ht="15" customHeight="1" x14ac:dyDescent="0.25">
      <c r="C715" s="15" t="str">
        <f t="shared" si="11"/>
        <v/>
      </c>
      <c r="H715" s="22"/>
      <c r="I715" s="22"/>
    </row>
    <row r="716" spans="3:9" s="14" customFormat="1" ht="15" customHeight="1" x14ac:dyDescent="0.25">
      <c r="C716" s="15" t="str">
        <f t="shared" si="11"/>
        <v/>
      </c>
      <c r="H716" s="22"/>
      <c r="I716" s="22"/>
    </row>
    <row r="717" spans="3:9" s="14" customFormat="1" ht="15" customHeight="1" x14ac:dyDescent="0.25">
      <c r="C717" s="15" t="str">
        <f t="shared" si="11"/>
        <v/>
      </c>
      <c r="H717" s="22"/>
      <c r="I717" s="22"/>
    </row>
    <row r="718" spans="3:9" s="14" customFormat="1" ht="15" customHeight="1" x14ac:dyDescent="0.25">
      <c r="C718" s="15" t="str">
        <f t="shared" si="11"/>
        <v/>
      </c>
      <c r="H718" s="22"/>
      <c r="I718" s="22"/>
    </row>
    <row r="719" spans="3:9" s="14" customFormat="1" ht="15" customHeight="1" x14ac:dyDescent="0.25">
      <c r="C719" s="15" t="str">
        <f t="shared" si="11"/>
        <v/>
      </c>
      <c r="H719" s="22"/>
      <c r="I719" s="22"/>
    </row>
    <row r="720" spans="3:9" s="14" customFormat="1" ht="15" customHeight="1" x14ac:dyDescent="0.25">
      <c r="C720" s="15" t="str">
        <f t="shared" si="11"/>
        <v/>
      </c>
      <c r="H720" s="22"/>
      <c r="I720" s="22"/>
    </row>
    <row r="721" spans="3:9" s="14" customFormat="1" ht="15" customHeight="1" x14ac:dyDescent="0.25">
      <c r="C721" s="15" t="str">
        <f t="shared" si="11"/>
        <v/>
      </c>
      <c r="H721" s="22"/>
      <c r="I721" s="22"/>
    </row>
    <row r="722" spans="3:9" s="14" customFormat="1" ht="15" customHeight="1" x14ac:dyDescent="0.25">
      <c r="C722" s="15" t="str">
        <f t="shared" si="11"/>
        <v/>
      </c>
      <c r="H722" s="22"/>
      <c r="I722" s="22"/>
    </row>
    <row r="723" spans="3:9" s="14" customFormat="1" ht="15" customHeight="1" x14ac:dyDescent="0.25">
      <c r="C723" s="15" t="str">
        <f t="shared" si="11"/>
        <v/>
      </c>
      <c r="H723" s="22"/>
      <c r="I723" s="22"/>
    </row>
    <row r="724" spans="3:9" s="14" customFormat="1" ht="15" customHeight="1" x14ac:dyDescent="0.25">
      <c r="C724" s="15" t="str">
        <f t="shared" si="11"/>
        <v/>
      </c>
      <c r="H724" s="22"/>
      <c r="I724" s="22"/>
    </row>
    <row r="725" spans="3:9" s="14" customFormat="1" ht="15" customHeight="1" x14ac:dyDescent="0.25">
      <c r="C725" s="15" t="str">
        <f t="shared" si="11"/>
        <v/>
      </c>
      <c r="H725" s="22"/>
      <c r="I725" s="22"/>
    </row>
    <row r="726" spans="3:9" s="14" customFormat="1" ht="15" customHeight="1" x14ac:dyDescent="0.25">
      <c r="C726" s="15" t="str">
        <f t="shared" si="11"/>
        <v/>
      </c>
      <c r="H726" s="22"/>
      <c r="I726" s="22"/>
    </row>
    <row r="727" spans="3:9" s="14" customFormat="1" ht="15" customHeight="1" x14ac:dyDescent="0.25">
      <c r="C727" s="15" t="str">
        <f t="shared" si="11"/>
        <v/>
      </c>
      <c r="H727" s="22"/>
      <c r="I727" s="22"/>
    </row>
    <row r="728" spans="3:9" s="14" customFormat="1" ht="15" customHeight="1" x14ac:dyDescent="0.25">
      <c r="C728" s="15" t="str">
        <f t="shared" si="11"/>
        <v/>
      </c>
      <c r="H728" s="22"/>
      <c r="I728" s="22"/>
    </row>
    <row r="729" spans="3:9" s="14" customFormat="1" ht="15" customHeight="1" x14ac:dyDescent="0.25">
      <c r="C729" s="15" t="str">
        <f t="shared" si="11"/>
        <v/>
      </c>
      <c r="H729" s="22"/>
      <c r="I729" s="22"/>
    </row>
    <row r="730" spans="3:9" s="14" customFormat="1" ht="15" customHeight="1" x14ac:dyDescent="0.25">
      <c r="C730" s="15" t="str">
        <f t="shared" si="11"/>
        <v/>
      </c>
      <c r="H730" s="22"/>
      <c r="I730" s="22"/>
    </row>
    <row r="731" spans="3:9" s="14" customFormat="1" ht="15" customHeight="1" x14ac:dyDescent="0.25">
      <c r="C731" s="15" t="str">
        <f t="shared" si="11"/>
        <v/>
      </c>
      <c r="H731" s="22"/>
      <c r="I731" s="22"/>
    </row>
    <row r="732" spans="3:9" s="14" customFormat="1" ht="15" customHeight="1" x14ac:dyDescent="0.25">
      <c r="C732" s="15" t="str">
        <f t="shared" si="11"/>
        <v/>
      </c>
      <c r="H732" s="22"/>
      <c r="I732" s="22"/>
    </row>
    <row r="733" spans="3:9" s="14" customFormat="1" ht="15" customHeight="1" x14ac:dyDescent="0.25">
      <c r="C733" s="15" t="str">
        <f t="shared" si="11"/>
        <v/>
      </c>
      <c r="H733" s="22"/>
      <c r="I733" s="22"/>
    </row>
    <row r="734" spans="3:9" s="14" customFormat="1" ht="15" customHeight="1" x14ac:dyDescent="0.25">
      <c r="C734" s="15" t="str">
        <f t="shared" si="11"/>
        <v/>
      </c>
      <c r="H734" s="22"/>
      <c r="I734" s="22"/>
    </row>
    <row r="735" spans="3:9" s="14" customFormat="1" ht="15" customHeight="1" x14ac:dyDescent="0.25">
      <c r="C735" s="15" t="str">
        <f t="shared" si="11"/>
        <v/>
      </c>
      <c r="H735" s="22"/>
      <c r="I735" s="22"/>
    </row>
    <row r="736" spans="3:9" s="14" customFormat="1" ht="15" customHeight="1" x14ac:dyDescent="0.25">
      <c r="C736" s="15" t="str">
        <f t="shared" si="11"/>
        <v/>
      </c>
      <c r="H736" s="22"/>
      <c r="I736" s="22"/>
    </row>
    <row r="737" spans="3:9" s="14" customFormat="1" ht="15" customHeight="1" x14ac:dyDescent="0.25">
      <c r="C737" s="15" t="str">
        <f t="shared" si="11"/>
        <v/>
      </c>
      <c r="H737" s="22"/>
      <c r="I737" s="22"/>
    </row>
    <row r="738" spans="3:9" s="14" customFormat="1" ht="15" customHeight="1" x14ac:dyDescent="0.25">
      <c r="C738" s="15" t="str">
        <f t="shared" si="11"/>
        <v/>
      </c>
      <c r="H738" s="22"/>
      <c r="I738" s="22"/>
    </row>
    <row r="739" spans="3:9" s="14" customFormat="1" ht="15" customHeight="1" x14ac:dyDescent="0.25">
      <c r="C739" s="15" t="str">
        <f t="shared" si="11"/>
        <v/>
      </c>
      <c r="H739" s="22"/>
      <c r="I739" s="22"/>
    </row>
    <row r="740" spans="3:9" s="14" customFormat="1" ht="15" customHeight="1" x14ac:dyDescent="0.25">
      <c r="C740" s="15" t="str">
        <f t="shared" si="11"/>
        <v/>
      </c>
      <c r="H740" s="22"/>
      <c r="I740" s="22"/>
    </row>
    <row r="741" spans="3:9" s="14" customFormat="1" ht="15" customHeight="1" x14ac:dyDescent="0.25">
      <c r="C741" s="15" t="str">
        <f t="shared" si="11"/>
        <v/>
      </c>
      <c r="H741" s="22"/>
      <c r="I741" s="22"/>
    </row>
    <row r="742" spans="3:9" s="14" customFormat="1" ht="15" customHeight="1" x14ac:dyDescent="0.25">
      <c r="C742" s="15" t="str">
        <f t="shared" si="11"/>
        <v/>
      </c>
      <c r="H742" s="22"/>
      <c r="I742" s="22"/>
    </row>
    <row r="743" spans="3:9" s="14" customFormat="1" ht="15" customHeight="1" x14ac:dyDescent="0.25">
      <c r="C743" s="15" t="str">
        <f t="shared" si="11"/>
        <v/>
      </c>
      <c r="H743" s="22"/>
      <c r="I743" s="22"/>
    </row>
    <row r="744" spans="3:9" s="14" customFormat="1" ht="15" customHeight="1" x14ac:dyDescent="0.25">
      <c r="C744" s="15" t="str">
        <f t="shared" si="11"/>
        <v/>
      </c>
      <c r="H744" s="22"/>
      <c r="I744" s="22"/>
    </row>
    <row r="745" spans="3:9" s="14" customFormat="1" ht="15" customHeight="1" x14ac:dyDescent="0.25">
      <c r="C745" s="15" t="str">
        <f t="shared" si="11"/>
        <v/>
      </c>
      <c r="H745" s="22"/>
      <c r="I745" s="22"/>
    </row>
    <row r="746" spans="3:9" s="14" customFormat="1" ht="15" customHeight="1" x14ac:dyDescent="0.25">
      <c r="C746" s="15" t="str">
        <f t="shared" si="11"/>
        <v/>
      </c>
      <c r="H746" s="22"/>
      <c r="I746" s="22"/>
    </row>
    <row r="747" spans="3:9" s="14" customFormat="1" ht="15" customHeight="1" x14ac:dyDescent="0.25">
      <c r="C747" s="15" t="str">
        <f t="shared" si="11"/>
        <v/>
      </c>
      <c r="H747" s="22"/>
      <c r="I747" s="22"/>
    </row>
    <row r="748" spans="3:9" s="14" customFormat="1" ht="15" customHeight="1" x14ac:dyDescent="0.25">
      <c r="C748" s="15" t="str">
        <f t="shared" si="11"/>
        <v/>
      </c>
      <c r="H748" s="22"/>
      <c r="I748" s="22"/>
    </row>
    <row r="749" spans="3:9" s="14" customFormat="1" ht="15" customHeight="1" x14ac:dyDescent="0.25">
      <c r="C749" s="15" t="str">
        <f t="shared" si="11"/>
        <v/>
      </c>
      <c r="H749" s="22"/>
      <c r="I749" s="22"/>
    </row>
    <row r="750" spans="3:9" s="14" customFormat="1" ht="15" customHeight="1" x14ac:dyDescent="0.25">
      <c r="C750" s="15" t="str">
        <f t="shared" si="11"/>
        <v/>
      </c>
      <c r="H750" s="22"/>
      <c r="I750" s="22"/>
    </row>
    <row r="751" spans="3:9" s="14" customFormat="1" ht="15" customHeight="1" x14ac:dyDescent="0.25">
      <c r="C751" s="15" t="str">
        <f t="shared" si="11"/>
        <v/>
      </c>
      <c r="H751" s="22"/>
      <c r="I751" s="22"/>
    </row>
    <row r="752" spans="3:9" s="14" customFormat="1" ht="15" customHeight="1" x14ac:dyDescent="0.25">
      <c r="C752" s="15" t="str">
        <f t="shared" si="11"/>
        <v/>
      </c>
      <c r="H752" s="22"/>
      <c r="I752" s="22"/>
    </row>
    <row r="753" spans="3:9" s="14" customFormat="1" ht="15" customHeight="1" x14ac:dyDescent="0.25">
      <c r="C753" s="15" t="str">
        <f t="shared" si="11"/>
        <v/>
      </c>
      <c r="H753" s="22"/>
      <c r="I753" s="22"/>
    </row>
    <row r="754" spans="3:9" s="14" customFormat="1" ht="15" customHeight="1" x14ac:dyDescent="0.25">
      <c r="C754" s="15" t="str">
        <f t="shared" si="11"/>
        <v/>
      </c>
      <c r="H754" s="22"/>
      <c r="I754" s="22"/>
    </row>
    <row r="755" spans="3:9" s="14" customFormat="1" ht="15" customHeight="1" x14ac:dyDescent="0.25">
      <c r="C755" s="15" t="str">
        <f t="shared" si="11"/>
        <v/>
      </c>
      <c r="H755" s="22"/>
      <c r="I755" s="22"/>
    </row>
    <row r="756" spans="3:9" s="14" customFormat="1" ht="15" customHeight="1" x14ac:dyDescent="0.25">
      <c r="C756" s="15" t="str">
        <f t="shared" si="11"/>
        <v/>
      </c>
      <c r="H756" s="22"/>
      <c r="I756" s="22"/>
    </row>
    <row r="757" spans="3:9" s="14" customFormat="1" ht="15" customHeight="1" x14ac:dyDescent="0.25">
      <c r="C757" s="15" t="str">
        <f t="shared" si="11"/>
        <v/>
      </c>
      <c r="H757" s="22"/>
      <c r="I757" s="22"/>
    </row>
    <row r="758" spans="3:9" s="14" customFormat="1" ht="15" customHeight="1" x14ac:dyDescent="0.25">
      <c r="C758" s="15" t="str">
        <f t="shared" si="11"/>
        <v/>
      </c>
      <c r="H758" s="22"/>
      <c r="I758" s="22"/>
    </row>
    <row r="759" spans="3:9" s="14" customFormat="1" ht="15" customHeight="1" x14ac:dyDescent="0.25">
      <c r="C759" s="15" t="str">
        <f t="shared" si="11"/>
        <v/>
      </c>
      <c r="H759" s="22"/>
      <c r="I759" s="22"/>
    </row>
    <row r="760" spans="3:9" s="14" customFormat="1" ht="15" customHeight="1" x14ac:dyDescent="0.25">
      <c r="C760" s="15" t="str">
        <f t="shared" si="11"/>
        <v/>
      </c>
      <c r="H760" s="22"/>
      <c r="I760" s="22"/>
    </row>
    <row r="761" spans="3:9" s="14" customFormat="1" ht="15" customHeight="1" x14ac:dyDescent="0.25">
      <c r="C761" s="15" t="str">
        <f t="shared" si="11"/>
        <v/>
      </c>
      <c r="H761" s="22"/>
      <c r="I761" s="22"/>
    </row>
    <row r="762" spans="3:9" s="14" customFormat="1" ht="15" customHeight="1" x14ac:dyDescent="0.25">
      <c r="C762" s="15" t="str">
        <f t="shared" si="11"/>
        <v/>
      </c>
      <c r="H762" s="22"/>
      <c r="I762" s="22"/>
    </row>
    <row r="763" spans="3:9" s="14" customFormat="1" ht="15" customHeight="1" x14ac:dyDescent="0.25">
      <c r="C763" s="15" t="str">
        <f t="shared" si="11"/>
        <v/>
      </c>
      <c r="H763" s="22"/>
      <c r="I763" s="22"/>
    </row>
    <row r="764" spans="3:9" s="14" customFormat="1" ht="15" customHeight="1" x14ac:dyDescent="0.25">
      <c r="C764" s="15" t="str">
        <f t="shared" si="11"/>
        <v/>
      </c>
      <c r="H764" s="22"/>
      <c r="I764" s="22"/>
    </row>
    <row r="765" spans="3:9" s="14" customFormat="1" ht="15" customHeight="1" x14ac:dyDescent="0.25">
      <c r="C765" s="15" t="str">
        <f t="shared" si="11"/>
        <v/>
      </c>
      <c r="H765" s="22"/>
      <c r="I765" s="22"/>
    </row>
    <row r="766" spans="3:9" s="14" customFormat="1" ht="15" customHeight="1" x14ac:dyDescent="0.25">
      <c r="C766" s="15" t="str">
        <f t="shared" ref="C766:C829" si="12">IF(ISNUMBER(A766),LN(B766/B765),"")</f>
        <v/>
      </c>
      <c r="H766" s="22"/>
      <c r="I766" s="22"/>
    </row>
    <row r="767" spans="3:9" s="14" customFormat="1" ht="15" customHeight="1" x14ac:dyDescent="0.25">
      <c r="C767" s="15" t="str">
        <f t="shared" si="12"/>
        <v/>
      </c>
      <c r="H767" s="22"/>
      <c r="I767" s="22"/>
    </row>
    <row r="768" spans="3:9" s="14" customFormat="1" ht="15" customHeight="1" x14ac:dyDescent="0.25">
      <c r="C768" s="15" t="str">
        <f t="shared" si="12"/>
        <v/>
      </c>
      <c r="H768" s="22"/>
      <c r="I768" s="22"/>
    </row>
    <row r="769" spans="3:9" s="14" customFormat="1" ht="15" customHeight="1" x14ac:dyDescent="0.25">
      <c r="C769" s="15" t="str">
        <f t="shared" si="12"/>
        <v/>
      </c>
      <c r="H769" s="22"/>
      <c r="I769" s="22"/>
    </row>
    <row r="770" spans="3:9" s="14" customFormat="1" ht="15" customHeight="1" x14ac:dyDescent="0.25">
      <c r="C770" s="15" t="str">
        <f t="shared" si="12"/>
        <v/>
      </c>
      <c r="H770" s="22"/>
      <c r="I770" s="22"/>
    </row>
    <row r="771" spans="3:9" s="14" customFormat="1" ht="15" customHeight="1" x14ac:dyDescent="0.25">
      <c r="C771" s="15" t="str">
        <f t="shared" si="12"/>
        <v/>
      </c>
      <c r="H771" s="22"/>
      <c r="I771" s="22"/>
    </row>
    <row r="772" spans="3:9" s="14" customFormat="1" ht="15" customHeight="1" x14ac:dyDescent="0.25">
      <c r="C772" s="15" t="str">
        <f t="shared" si="12"/>
        <v/>
      </c>
      <c r="H772" s="22"/>
      <c r="I772" s="22"/>
    </row>
    <row r="773" spans="3:9" s="14" customFormat="1" ht="15" customHeight="1" x14ac:dyDescent="0.25">
      <c r="C773" s="15" t="str">
        <f t="shared" si="12"/>
        <v/>
      </c>
      <c r="H773" s="22"/>
      <c r="I773" s="22"/>
    </row>
    <row r="774" spans="3:9" s="14" customFormat="1" ht="15" customHeight="1" x14ac:dyDescent="0.25">
      <c r="C774" s="15" t="str">
        <f t="shared" si="12"/>
        <v/>
      </c>
      <c r="H774" s="22"/>
      <c r="I774" s="22"/>
    </row>
    <row r="775" spans="3:9" s="14" customFormat="1" ht="15" customHeight="1" x14ac:dyDescent="0.25">
      <c r="C775" s="15" t="str">
        <f t="shared" si="12"/>
        <v/>
      </c>
      <c r="H775" s="22"/>
      <c r="I775" s="22"/>
    </row>
    <row r="776" spans="3:9" s="14" customFormat="1" ht="15" customHeight="1" x14ac:dyDescent="0.25">
      <c r="C776" s="15" t="str">
        <f t="shared" si="12"/>
        <v/>
      </c>
      <c r="H776" s="22"/>
      <c r="I776" s="22"/>
    </row>
    <row r="777" spans="3:9" s="14" customFormat="1" ht="15" customHeight="1" x14ac:dyDescent="0.25">
      <c r="C777" s="15" t="str">
        <f t="shared" si="12"/>
        <v/>
      </c>
      <c r="H777" s="22"/>
      <c r="I777" s="22"/>
    </row>
    <row r="778" spans="3:9" s="14" customFormat="1" ht="15" customHeight="1" x14ac:dyDescent="0.25">
      <c r="C778" s="15" t="str">
        <f t="shared" si="12"/>
        <v/>
      </c>
      <c r="H778" s="22"/>
      <c r="I778" s="22"/>
    </row>
    <row r="779" spans="3:9" s="14" customFormat="1" ht="15" customHeight="1" x14ac:dyDescent="0.25">
      <c r="C779" s="15" t="str">
        <f t="shared" si="12"/>
        <v/>
      </c>
      <c r="H779" s="22"/>
      <c r="I779" s="22"/>
    </row>
    <row r="780" spans="3:9" s="14" customFormat="1" ht="15" customHeight="1" x14ac:dyDescent="0.25">
      <c r="C780" s="15" t="str">
        <f t="shared" si="12"/>
        <v/>
      </c>
      <c r="H780" s="22"/>
      <c r="I780" s="22"/>
    </row>
    <row r="781" spans="3:9" s="14" customFormat="1" ht="15" customHeight="1" x14ac:dyDescent="0.25">
      <c r="C781" s="15" t="str">
        <f t="shared" si="12"/>
        <v/>
      </c>
      <c r="H781" s="22"/>
      <c r="I781" s="22"/>
    </row>
    <row r="782" spans="3:9" s="14" customFormat="1" ht="15" customHeight="1" x14ac:dyDescent="0.25">
      <c r="C782" s="15" t="str">
        <f t="shared" si="12"/>
        <v/>
      </c>
      <c r="H782" s="22"/>
      <c r="I782" s="22"/>
    </row>
    <row r="783" spans="3:9" s="14" customFormat="1" ht="15" customHeight="1" x14ac:dyDescent="0.25">
      <c r="C783" s="15" t="str">
        <f t="shared" si="12"/>
        <v/>
      </c>
      <c r="H783" s="22"/>
      <c r="I783" s="22"/>
    </row>
    <row r="784" spans="3:9" s="14" customFormat="1" ht="15" customHeight="1" x14ac:dyDescent="0.25">
      <c r="C784" s="15" t="str">
        <f t="shared" si="12"/>
        <v/>
      </c>
      <c r="H784" s="22"/>
      <c r="I784" s="22"/>
    </row>
    <row r="785" spans="3:9" s="14" customFormat="1" ht="15" customHeight="1" x14ac:dyDescent="0.25">
      <c r="C785" s="15" t="str">
        <f t="shared" si="12"/>
        <v/>
      </c>
      <c r="H785" s="22"/>
      <c r="I785" s="22"/>
    </row>
    <row r="786" spans="3:9" s="14" customFormat="1" ht="15" customHeight="1" x14ac:dyDescent="0.25">
      <c r="C786" s="15" t="str">
        <f t="shared" si="12"/>
        <v/>
      </c>
      <c r="H786" s="22"/>
      <c r="I786" s="22"/>
    </row>
    <row r="787" spans="3:9" s="14" customFormat="1" ht="15" customHeight="1" x14ac:dyDescent="0.25">
      <c r="C787" s="15" t="str">
        <f t="shared" si="12"/>
        <v/>
      </c>
      <c r="H787" s="22"/>
      <c r="I787" s="22"/>
    </row>
    <row r="788" spans="3:9" s="14" customFormat="1" ht="15" customHeight="1" x14ac:dyDescent="0.25">
      <c r="C788" s="15" t="str">
        <f t="shared" si="12"/>
        <v/>
      </c>
      <c r="H788" s="22"/>
      <c r="I788" s="22"/>
    </row>
    <row r="789" spans="3:9" s="14" customFormat="1" ht="15" customHeight="1" x14ac:dyDescent="0.25">
      <c r="C789" s="15" t="str">
        <f t="shared" si="12"/>
        <v/>
      </c>
      <c r="H789" s="22"/>
      <c r="I789" s="22"/>
    </row>
    <row r="790" spans="3:9" s="14" customFormat="1" ht="15" customHeight="1" x14ac:dyDescent="0.25">
      <c r="C790" s="15" t="str">
        <f t="shared" si="12"/>
        <v/>
      </c>
      <c r="H790" s="22"/>
      <c r="I790" s="22"/>
    </row>
    <row r="791" spans="3:9" s="14" customFormat="1" ht="15" customHeight="1" x14ac:dyDescent="0.25">
      <c r="C791" s="15" t="str">
        <f t="shared" si="12"/>
        <v/>
      </c>
      <c r="H791" s="22"/>
      <c r="I791" s="22"/>
    </row>
    <row r="792" spans="3:9" s="14" customFormat="1" ht="15" customHeight="1" x14ac:dyDescent="0.25">
      <c r="C792" s="15" t="str">
        <f t="shared" si="12"/>
        <v/>
      </c>
      <c r="H792" s="22"/>
      <c r="I792" s="22"/>
    </row>
    <row r="793" spans="3:9" s="14" customFormat="1" ht="15" customHeight="1" x14ac:dyDescent="0.25">
      <c r="C793" s="15" t="str">
        <f t="shared" si="12"/>
        <v/>
      </c>
      <c r="H793" s="22"/>
      <c r="I793" s="22"/>
    </row>
    <row r="794" spans="3:9" s="14" customFormat="1" ht="15" customHeight="1" x14ac:dyDescent="0.25">
      <c r="C794" s="15" t="str">
        <f t="shared" si="12"/>
        <v/>
      </c>
      <c r="H794" s="22"/>
      <c r="I794" s="22"/>
    </row>
    <row r="795" spans="3:9" s="14" customFormat="1" ht="15" customHeight="1" x14ac:dyDescent="0.25">
      <c r="C795" s="15" t="str">
        <f t="shared" si="12"/>
        <v/>
      </c>
      <c r="H795" s="22"/>
      <c r="I795" s="22"/>
    </row>
    <row r="796" spans="3:9" s="14" customFormat="1" ht="15" customHeight="1" x14ac:dyDescent="0.25">
      <c r="C796" s="15" t="str">
        <f t="shared" si="12"/>
        <v/>
      </c>
      <c r="H796" s="22"/>
      <c r="I796" s="22"/>
    </row>
    <row r="797" spans="3:9" s="14" customFormat="1" ht="15" customHeight="1" x14ac:dyDescent="0.25">
      <c r="C797" s="15" t="str">
        <f t="shared" si="12"/>
        <v/>
      </c>
      <c r="H797" s="22"/>
      <c r="I797" s="22"/>
    </row>
    <row r="798" spans="3:9" s="14" customFormat="1" ht="15" customHeight="1" x14ac:dyDescent="0.25">
      <c r="C798" s="15" t="str">
        <f t="shared" si="12"/>
        <v/>
      </c>
      <c r="H798" s="22"/>
      <c r="I798" s="22"/>
    </row>
    <row r="799" spans="3:9" s="14" customFormat="1" ht="15" customHeight="1" x14ac:dyDescent="0.25">
      <c r="C799" s="15" t="str">
        <f t="shared" si="12"/>
        <v/>
      </c>
      <c r="H799" s="22"/>
      <c r="I799" s="22"/>
    </row>
    <row r="800" spans="3:9" s="14" customFormat="1" ht="15" customHeight="1" x14ac:dyDescent="0.25">
      <c r="C800" s="15" t="str">
        <f t="shared" si="12"/>
        <v/>
      </c>
      <c r="H800" s="22"/>
      <c r="I800" s="22"/>
    </row>
    <row r="801" spans="3:9" s="14" customFormat="1" ht="15" customHeight="1" x14ac:dyDescent="0.25">
      <c r="C801" s="15" t="str">
        <f t="shared" si="12"/>
        <v/>
      </c>
      <c r="H801" s="22"/>
      <c r="I801" s="22"/>
    </row>
    <row r="802" spans="3:9" s="14" customFormat="1" ht="15" customHeight="1" x14ac:dyDescent="0.25">
      <c r="C802" s="15" t="str">
        <f t="shared" si="12"/>
        <v/>
      </c>
      <c r="H802" s="22"/>
      <c r="I802" s="22"/>
    </row>
    <row r="803" spans="3:9" s="14" customFormat="1" ht="15" customHeight="1" x14ac:dyDescent="0.25">
      <c r="C803" s="15" t="str">
        <f t="shared" si="12"/>
        <v/>
      </c>
      <c r="H803" s="22"/>
      <c r="I803" s="22"/>
    </row>
    <row r="804" spans="3:9" s="14" customFormat="1" ht="15" customHeight="1" x14ac:dyDescent="0.25">
      <c r="C804" s="15" t="str">
        <f t="shared" si="12"/>
        <v/>
      </c>
      <c r="H804" s="22"/>
      <c r="I804" s="22"/>
    </row>
    <row r="805" spans="3:9" s="14" customFormat="1" ht="15" customHeight="1" x14ac:dyDescent="0.25">
      <c r="C805" s="15" t="str">
        <f t="shared" si="12"/>
        <v/>
      </c>
      <c r="H805" s="22"/>
      <c r="I805" s="22"/>
    </row>
    <row r="806" spans="3:9" s="14" customFormat="1" ht="15" customHeight="1" x14ac:dyDescent="0.25">
      <c r="C806" s="15" t="str">
        <f t="shared" si="12"/>
        <v/>
      </c>
      <c r="H806" s="22"/>
      <c r="I806" s="22"/>
    </row>
    <row r="807" spans="3:9" s="14" customFormat="1" ht="15" customHeight="1" x14ac:dyDescent="0.25">
      <c r="C807" s="15" t="str">
        <f t="shared" si="12"/>
        <v/>
      </c>
      <c r="H807" s="22"/>
      <c r="I807" s="22"/>
    </row>
    <row r="808" spans="3:9" s="14" customFormat="1" ht="15" customHeight="1" x14ac:dyDescent="0.25">
      <c r="C808" s="15" t="str">
        <f t="shared" si="12"/>
        <v/>
      </c>
      <c r="H808" s="22"/>
      <c r="I808" s="22"/>
    </row>
    <row r="809" spans="3:9" s="14" customFormat="1" ht="15" customHeight="1" x14ac:dyDescent="0.25">
      <c r="C809" s="15" t="str">
        <f t="shared" si="12"/>
        <v/>
      </c>
      <c r="H809" s="22"/>
      <c r="I809" s="22"/>
    </row>
    <row r="810" spans="3:9" s="14" customFormat="1" ht="15" customHeight="1" x14ac:dyDescent="0.25">
      <c r="C810" s="15" t="str">
        <f t="shared" si="12"/>
        <v/>
      </c>
      <c r="H810" s="22"/>
      <c r="I810" s="22"/>
    </row>
    <row r="811" spans="3:9" s="14" customFormat="1" ht="15" customHeight="1" x14ac:dyDescent="0.25">
      <c r="C811" s="15" t="str">
        <f t="shared" si="12"/>
        <v/>
      </c>
      <c r="H811" s="22"/>
      <c r="I811" s="22"/>
    </row>
    <row r="812" spans="3:9" s="14" customFormat="1" ht="15" customHeight="1" x14ac:dyDescent="0.25">
      <c r="C812" s="15" t="str">
        <f t="shared" si="12"/>
        <v/>
      </c>
      <c r="H812" s="22"/>
      <c r="I812" s="22"/>
    </row>
    <row r="813" spans="3:9" s="14" customFormat="1" ht="15" customHeight="1" x14ac:dyDescent="0.25">
      <c r="C813" s="15" t="str">
        <f t="shared" si="12"/>
        <v/>
      </c>
      <c r="H813" s="22"/>
      <c r="I813" s="22"/>
    </row>
    <row r="814" spans="3:9" s="14" customFormat="1" ht="15" customHeight="1" x14ac:dyDescent="0.25">
      <c r="C814" s="15" t="str">
        <f t="shared" si="12"/>
        <v/>
      </c>
      <c r="H814" s="22"/>
      <c r="I814" s="22"/>
    </row>
    <row r="815" spans="3:9" s="14" customFormat="1" ht="15" customHeight="1" x14ac:dyDescent="0.25">
      <c r="C815" s="15" t="str">
        <f t="shared" si="12"/>
        <v/>
      </c>
      <c r="H815" s="22"/>
      <c r="I815" s="22"/>
    </row>
    <row r="816" spans="3:9" s="14" customFormat="1" ht="15" customHeight="1" x14ac:dyDescent="0.25">
      <c r="C816" s="15" t="str">
        <f t="shared" si="12"/>
        <v/>
      </c>
      <c r="H816" s="22"/>
      <c r="I816" s="22"/>
    </row>
    <row r="817" spans="3:9" s="14" customFormat="1" ht="15" customHeight="1" x14ac:dyDescent="0.25">
      <c r="C817" s="15" t="str">
        <f t="shared" si="12"/>
        <v/>
      </c>
      <c r="H817" s="22"/>
      <c r="I817" s="22"/>
    </row>
    <row r="818" spans="3:9" s="14" customFormat="1" ht="15" customHeight="1" x14ac:dyDescent="0.25">
      <c r="C818" s="15" t="str">
        <f t="shared" si="12"/>
        <v/>
      </c>
      <c r="H818" s="22"/>
      <c r="I818" s="22"/>
    </row>
    <row r="819" spans="3:9" s="14" customFormat="1" ht="15" customHeight="1" x14ac:dyDescent="0.25">
      <c r="C819" s="15" t="str">
        <f t="shared" si="12"/>
        <v/>
      </c>
      <c r="H819" s="22"/>
      <c r="I819" s="22"/>
    </row>
    <row r="820" spans="3:9" s="14" customFormat="1" ht="15" customHeight="1" x14ac:dyDescent="0.25">
      <c r="C820" s="15" t="str">
        <f t="shared" si="12"/>
        <v/>
      </c>
      <c r="H820" s="22"/>
      <c r="I820" s="22"/>
    </row>
    <row r="821" spans="3:9" s="14" customFormat="1" ht="15" customHeight="1" x14ac:dyDescent="0.25">
      <c r="C821" s="15" t="str">
        <f t="shared" si="12"/>
        <v/>
      </c>
      <c r="H821" s="22"/>
      <c r="I821" s="22"/>
    </row>
    <row r="822" spans="3:9" s="14" customFormat="1" ht="15" customHeight="1" x14ac:dyDescent="0.25">
      <c r="C822" s="15" t="str">
        <f t="shared" si="12"/>
        <v/>
      </c>
      <c r="H822" s="22"/>
      <c r="I822" s="22"/>
    </row>
    <row r="823" spans="3:9" s="14" customFormat="1" ht="15" customHeight="1" x14ac:dyDescent="0.25">
      <c r="C823" s="15" t="str">
        <f t="shared" si="12"/>
        <v/>
      </c>
      <c r="H823" s="22"/>
      <c r="I823" s="22"/>
    </row>
    <row r="824" spans="3:9" s="14" customFormat="1" ht="15" customHeight="1" x14ac:dyDescent="0.25">
      <c r="C824" s="15" t="str">
        <f t="shared" si="12"/>
        <v/>
      </c>
      <c r="H824" s="22"/>
      <c r="I824" s="22"/>
    </row>
    <row r="825" spans="3:9" s="14" customFormat="1" ht="15" customHeight="1" x14ac:dyDescent="0.25">
      <c r="C825" s="15" t="str">
        <f t="shared" si="12"/>
        <v/>
      </c>
      <c r="H825" s="22"/>
      <c r="I825" s="22"/>
    </row>
    <row r="826" spans="3:9" s="14" customFormat="1" ht="15" customHeight="1" x14ac:dyDescent="0.25">
      <c r="C826" s="15" t="str">
        <f t="shared" si="12"/>
        <v/>
      </c>
      <c r="H826" s="22"/>
      <c r="I826" s="22"/>
    </row>
    <row r="827" spans="3:9" s="14" customFormat="1" ht="15" customHeight="1" x14ac:dyDescent="0.25">
      <c r="C827" s="15" t="str">
        <f t="shared" si="12"/>
        <v/>
      </c>
      <c r="H827" s="22"/>
      <c r="I827" s="22"/>
    </row>
    <row r="828" spans="3:9" s="14" customFormat="1" ht="15" customHeight="1" x14ac:dyDescent="0.25">
      <c r="C828" s="15" t="str">
        <f t="shared" si="12"/>
        <v/>
      </c>
      <c r="H828" s="22"/>
      <c r="I828" s="22"/>
    </row>
    <row r="829" spans="3:9" s="14" customFormat="1" ht="15" customHeight="1" x14ac:dyDescent="0.25">
      <c r="C829" s="15" t="str">
        <f t="shared" si="12"/>
        <v/>
      </c>
      <c r="H829" s="22"/>
      <c r="I829" s="22"/>
    </row>
    <row r="830" spans="3:9" s="14" customFormat="1" ht="15" customHeight="1" x14ac:dyDescent="0.25">
      <c r="C830" s="15" t="str">
        <f t="shared" ref="C830:C893" si="13">IF(ISNUMBER(A830),LN(B830/B829),"")</f>
        <v/>
      </c>
      <c r="H830" s="22"/>
      <c r="I830" s="22"/>
    </row>
    <row r="831" spans="3:9" s="14" customFormat="1" ht="15" customHeight="1" x14ac:dyDescent="0.25">
      <c r="C831" s="15" t="str">
        <f t="shared" si="13"/>
        <v/>
      </c>
      <c r="H831" s="22"/>
      <c r="I831" s="22"/>
    </row>
    <row r="832" spans="3:9" s="14" customFormat="1" ht="15" customHeight="1" x14ac:dyDescent="0.25">
      <c r="C832" s="15" t="str">
        <f t="shared" si="13"/>
        <v/>
      </c>
      <c r="H832" s="22"/>
      <c r="I832" s="22"/>
    </row>
    <row r="833" spans="3:9" s="14" customFormat="1" ht="15" customHeight="1" x14ac:dyDescent="0.25">
      <c r="C833" s="15" t="str">
        <f t="shared" si="13"/>
        <v/>
      </c>
      <c r="H833" s="22"/>
      <c r="I833" s="22"/>
    </row>
    <row r="834" spans="3:9" s="14" customFormat="1" ht="15" customHeight="1" x14ac:dyDescent="0.25">
      <c r="C834" s="15" t="str">
        <f t="shared" si="13"/>
        <v/>
      </c>
      <c r="H834" s="22"/>
      <c r="I834" s="22"/>
    </row>
    <row r="835" spans="3:9" s="14" customFormat="1" ht="15" customHeight="1" x14ac:dyDescent="0.25">
      <c r="C835" s="15" t="str">
        <f t="shared" si="13"/>
        <v/>
      </c>
      <c r="H835" s="22"/>
      <c r="I835" s="22"/>
    </row>
    <row r="836" spans="3:9" s="14" customFormat="1" ht="15" customHeight="1" x14ac:dyDescent="0.25">
      <c r="C836" s="15" t="str">
        <f t="shared" si="13"/>
        <v/>
      </c>
      <c r="H836" s="22"/>
      <c r="I836" s="22"/>
    </row>
    <row r="837" spans="3:9" s="14" customFormat="1" ht="15" customHeight="1" x14ac:dyDescent="0.25">
      <c r="C837" s="15" t="str">
        <f t="shared" si="13"/>
        <v/>
      </c>
      <c r="H837" s="22"/>
      <c r="I837" s="22"/>
    </row>
    <row r="838" spans="3:9" s="14" customFormat="1" ht="15" customHeight="1" x14ac:dyDescent="0.25">
      <c r="C838" s="15" t="str">
        <f t="shared" si="13"/>
        <v/>
      </c>
      <c r="H838" s="22"/>
      <c r="I838" s="22"/>
    </row>
    <row r="839" spans="3:9" s="14" customFormat="1" ht="15" customHeight="1" x14ac:dyDescent="0.25">
      <c r="C839" s="15" t="str">
        <f t="shared" si="13"/>
        <v/>
      </c>
      <c r="H839" s="22"/>
      <c r="I839" s="22"/>
    </row>
    <row r="840" spans="3:9" s="14" customFormat="1" ht="15" customHeight="1" x14ac:dyDescent="0.25">
      <c r="C840" s="15" t="str">
        <f t="shared" si="13"/>
        <v/>
      </c>
      <c r="H840" s="22"/>
      <c r="I840" s="22"/>
    </row>
    <row r="841" spans="3:9" s="14" customFormat="1" ht="15" customHeight="1" x14ac:dyDescent="0.25">
      <c r="C841" s="15" t="str">
        <f t="shared" si="13"/>
        <v/>
      </c>
      <c r="H841" s="22"/>
      <c r="I841" s="22"/>
    </row>
    <row r="842" spans="3:9" s="14" customFormat="1" ht="15" customHeight="1" x14ac:dyDescent="0.25">
      <c r="C842" s="15" t="str">
        <f t="shared" si="13"/>
        <v/>
      </c>
      <c r="H842" s="22"/>
      <c r="I842" s="22"/>
    </row>
    <row r="843" spans="3:9" s="14" customFormat="1" ht="15" customHeight="1" x14ac:dyDescent="0.25">
      <c r="C843" s="15" t="str">
        <f t="shared" si="13"/>
        <v/>
      </c>
      <c r="H843" s="22"/>
      <c r="I843" s="22"/>
    </row>
    <row r="844" spans="3:9" s="14" customFormat="1" ht="15" customHeight="1" x14ac:dyDescent="0.25">
      <c r="C844" s="15" t="str">
        <f t="shared" si="13"/>
        <v/>
      </c>
      <c r="H844" s="22"/>
      <c r="I844" s="22"/>
    </row>
    <row r="845" spans="3:9" s="14" customFormat="1" ht="15" customHeight="1" x14ac:dyDescent="0.25">
      <c r="C845" s="15" t="str">
        <f t="shared" si="13"/>
        <v/>
      </c>
      <c r="H845" s="22"/>
      <c r="I845" s="22"/>
    </row>
    <row r="846" spans="3:9" s="14" customFormat="1" ht="15" customHeight="1" x14ac:dyDescent="0.25">
      <c r="C846" s="15" t="str">
        <f t="shared" si="13"/>
        <v/>
      </c>
      <c r="H846" s="22"/>
      <c r="I846" s="22"/>
    </row>
    <row r="847" spans="3:9" s="14" customFormat="1" ht="15" customHeight="1" x14ac:dyDescent="0.25">
      <c r="C847" s="15" t="str">
        <f t="shared" si="13"/>
        <v/>
      </c>
      <c r="H847" s="22"/>
      <c r="I847" s="22"/>
    </row>
    <row r="848" spans="3:9" s="14" customFormat="1" ht="15" customHeight="1" x14ac:dyDescent="0.25">
      <c r="C848" s="15" t="str">
        <f t="shared" si="13"/>
        <v/>
      </c>
      <c r="H848" s="22"/>
      <c r="I848" s="22"/>
    </row>
    <row r="849" spans="3:9" s="14" customFormat="1" ht="15" customHeight="1" x14ac:dyDescent="0.25">
      <c r="C849" s="15" t="str">
        <f t="shared" si="13"/>
        <v/>
      </c>
      <c r="H849" s="22"/>
      <c r="I849" s="22"/>
    </row>
    <row r="850" spans="3:9" s="14" customFormat="1" ht="15" customHeight="1" x14ac:dyDescent="0.25">
      <c r="C850" s="15" t="str">
        <f t="shared" si="13"/>
        <v/>
      </c>
      <c r="H850" s="22"/>
      <c r="I850" s="22"/>
    </row>
    <row r="851" spans="3:9" s="14" customFormat="1" ht="15" customHeight="1" x14ac:dyDescent="0.25">
      <c r="C851" s="15" t="str">
        <f t="shared" si="13"/>
        <v/>
      </c>
      <c r="H851" s="22"/>
      <c r="I851" s="22"/>
    </row>
    <row r="852" spans="3:9" s="14" customFormat="1" ht="15" customHeight="1" x14ac:dyDescent="0.25">
      <c r="C852" s="15" t="str">
        <f t="shared" si="13"/>
        <v/>
      </c>
      <c r="H852" s="22"/>
      <c r="I852" s="22"/>
    </row>
    <row r="853" spans="3:9" s="14" customFormat="1" ht="15" customHeight="1" x14ac:dyDescent="0.25">
      <c r="C853" s="15" t="str">
        <f t="shared" si="13"/>
        <v/>
      </c>
      <c r="H853" s="22"/>
      <c r="I853" s="22"/>
    </row>
    <row r="854" spans="3:9" s="14" customFormat="1" ht="15" customHeight="1" x14ac:dyDescent="0.25">
      <c r="C854" s="15" t="str">
        <f t="shared" si="13"/>
        <v/>
      </c>
      <c r="H854" s="22"/>
      <c r="I854" s="22"/>
    </row>
    <row r="855" spans="3:9" s="14" customFormat="1" ht="15" customHeight="1" x14ac:dyDescent="0.25">
      <c r="C855" s="15" t="str">
        <f t="shared" si="13"/>
        <v/>
      </c>
      <c r="H855" s="22"/>
      <c r="I855" s="22"/>
    </row>
    <row r="856" spans="3:9" s="14" customFormat="1" ht="15" customHeight="1" x14ac:dyDescent="0.25">
      <c r="C856" s="15" t="str">
        <f t="shared" si="13"/>
        <v/>
      </c>
      <c r="H856" s="22"/>
      <c r="I856" s="22"/>
    </row>
    <row r="857" spans="3:9" s="14" customFormat="1" ht="15" customHeight="1" x14ac:dyDescent="0.25">
      <c r="C857" s="15" t="str">
        <f t="shared" si="13"/>
        <v/>
      </c>
      <c r="H857" s="22"/>
      <c r="I857" s="22"/>
    </row>
    <row r="858" spans="3:9" s="14" customFormat="1" ht="15" customHeight="1" x14ac:dyDescent="0.25">
      <c r="C858" s="15" t="str">
        <f t="shared" si="13"/>
        <v/>
      </c>
      <c r="H858" s="22"/>
      <c r="I858" s="22"/>
    </row>
    <row r="859" spans="3:9" s="14" customFormat="1" ht="15" customHeight="1" x14ac:dyDescent="0.25">
      <c r="C859" s="15" t="str">
        <f t="shared" si="13"/>
        <v/>
      </c>
      <c r="H859" s="22"/>
      <c r="I859" s="22"/>
    </row>
    <row r="860" spans="3:9" s="14" customFormat="1" ht="15" customHeight="1" x14ac:dyDescent="0.25">
      <c r="C860" s="15" t="str">
        <f t="shared" si="13"/>
        <v/>
      </c>
      <c r="H860" s="22"/>
      <c r="I860" s="22"/>
    </row>
    <row r="861" spans="3:9" s="14" customFormat="1" ht="15" customHeight="1" x14ac:dyDescent="0.25">
      <c r="C861" s="15" t="str">
        <f t="shared" si="13"/>
        <v/>
      </c>
      <c r="H861" s="22"/>
      <c r="I861" s="22"/>
    </row>
    <row r="862" spans="3:9" s="14" customFormat="1" ht="15" customHeight="1" x14ac:dyDescent="0.25">
      <c r="C862" s="15" t="str">
        <f t="shared" si="13"/>
        <v/>
      </c>
      <c r="H862" s="22"/>
      <c r="I862" s="22"/>
    </row>
    <row r="863" spans="3:9" s="14" customFormat="1" ht="15" customHeight="1" x14ac:dyDescent="0.25">
      <c r="C863" s="15" t="str">
        <f t="shared" si="13"/>
        <v/>
      </c>
      <c r="H863" s="22"/>
      <c r="I863" s="22"/>
    </row>
    <row r="864" spans="3:9" s="14" customFormat="1" ht="15" customHeight="1" x14ac:dyDescent="0.25">
      <c r="C864" s="15" t="str">
        <f t="shared" si="13"/>
        <v/>
      </c>
      <c r="H864" s="22"/>
      <c r="I864" s="22"/>
    </row>
    <row r="865" spans="3:9" s="14" customFormat="1" ht="15" customHeight="1" x14ac:dyDescent="0.25">
      <c r="C865" s="15" t="str">
        <f t="shared" si="13"/>
        <v/>
      </c>
      <c r="H865" s="22"/>
      <c r="I865" s="22"/>
    </row>
    <row r="866" spans="3:9" s="14" customFormat="1" ht="15" customHeight="1" x14ac:dyDescent="0.25">
      <c r="C866" s="15" t="str">
        <f t="shared" si="13"/>
        <v/>
      </c>
      <c r="H866" s="22"/>
      <c r="I866" s="22"/>
    </row>
    <row r="867" spans="3:9" s="14" customFormat="1" ht="15" customHeight="1" x14ac:dyDescent="0.25">
      <c r="C867" s="15" t="str">
        <f t="shared" si="13"/>
        <v/>
      </c>
      <c r="H867" s="22"/>
      <c r="I867" s="22"/>
    </row>
    <row r="868" spans="3:9" s="14" customFormat="1" ht="15" customHeight="1" x14ac:dyDescent="0.25">
      <c r="C868" s="15" t="str">
        <f t="shared" si="13"/>
        <v/>
      </c>
      <c r="H868" s="22"/>
      <c r="I868" s="22"/>
    </row>
    <row r="869" spans="3:9" s="14" customFormat="1" ht="15" customHeight="1" x14ac:dyDescent="0.25">
      <c r="C869" s="15" t="str">
        <f t="shared" si="13"/>
        <v/>
      </c>
      <c r="H869" s="22"/>
      <c r="I869" s="22"/>
    </row>
    <row r="870" spans="3:9" s="14" customFormat="1" ht="15" customHeight="1" x14ac:dyDescent="0.25">
      <c r="C870" s="15" t="str">
        <f t="shared" si="13"/>
        <v/>
      </c>
      <c r="H870" s="22"/>
      <c r="I870" s="22"/>
    </row>
    <row r="871" spans="3:9" s="14" customFormat="1" ht="15" customHeight="1" x14ac:dyDescent="0.25">
      <c r="C871" s="15" t="str">
        <f t="shared" si="13"/>
        <v/>
      </c>
      <c r="H871" s="22"/>
      <c r="I871" s="22"/>
    </row>
    <row r="872" spans="3:9" s="14" customFormat="1" ht="15" customHeight="1" x14ac:dyDescent="0.25">
      <c r="C872" s="15" t="str">
        <f t="shared" si="13"/>
        <v/>
      </c>
      <c r="H872" s="22"/>
      <c r="I872" s="22"/>
    </row>
    <row r="873" spans="3:9" s="14" customFormat="1" ht="15" customHeight="1" x14ac:dyDescent="0.25">
      <c r="C873" s="15" t="str">
        <f t="shared" si="13"/>
        <v/>
      </c>
      <c r="H873" s="22"/>
      <c r="I873" s="22"/>
    </row>
    <row r="874" spans="3:9" s="14" customFormat="1" ht="15" customHeight="1" x14ac:dyDescent="0.25">
      <c r="C874" s="15" t="str">
        <f t="shared" si="13"/>
        <v/>
      </c>
      <c r="H874" s="22"/>
      <c r="I874" s="22"/>
    </row>
    <row r="875" spans="3:9" s="14" customFormat="1" ht="15" customHeight="1" x14ac:dyDescent="0.25">
      <c r="C875" s="15" t="str">
        <f t="shared" si="13"/>
        <v/>
      </c>
      <c r="H875" s="22"/>
      <c r="I875" s="22"/>
    </row>
    <row r="876" spans="3:9" s="14" customFormat="1" ht="15" customHeight="1" x14ac:dyDescent="0.25">
      <c r="C876" s="15" t="str">
        <f t="shared" si="13"/>
        <v/>
      </c>
      <c r="H876" s="22"/>
      <c r="I876" s="22"/>
    </row>
    <row r="877" spans="3:9" s="14" customFormat="1" ht="15" customHeight="1" x14ac:dyDescent="0.25">
      <c r="C877" s="15" t="str">
        <f t="shared" si="13"/>
        <v/>
      </c>
      <c r="H877" s="22"/>
      <c r="I877" s="22"/>
    </row>
    <row r="878" spans="3:9" s="14" customFormat="1" ht="15" customHeight="1" x14ac:dyDescent="0.25">
      <c r="C878" s="15" t="str">
        <f t="shared" si="13"/>
        <v/>
      </c>
      <c r="H878" s="22"/>
      <c r="I878" s="22"/>
    </row>
    <row r="879" spans="3:9" s="14" customFormat="1" ht="15" customHeight="1" x14ac:dyDescent="0.25">
      <c r="C879" s="15" t="str">
        <f t="shared" si="13"/>
        <v/>
      </c>
      <c r="H879" s="22"/>
      <c r="I879" s="22"/>
    </row>
    <row r="880" spans="3:9" s="14" customFormat="1" ht="15" customHeight="1" x14ac:dyDescent="0.25">
      <c r="C880" s="15" t="str">
        <f t="shared" si="13"/>
        <v/>
      </c>
      <c r="H880" s="22"/>
      <c r="I880" s="22"/>
    </row>
    <row r="881" spans="3:9" s="14" customFormat="1" ht="15" customHeight="1" x14ac:dyDescent="0.25">
      <c r="C881" s="15" t="str">
        <f t="shared" si="13"/>
        <v/>
      </c>
      <c r="H881" s="22"/>
      <c r="I881" s="22"/>
    </row>
    <row r="882" spans="3:9" s="14" customFormat="1" ht="15" customHeight="1" x14ac:dyDescent="0.25">
      <c r="C882" s="15" t="str">
        <f t="shared" si="13"/>
        <v/>
      </c>
      <c r="H882" s="22"/>
      <c r="I882" s="22"/>
    </row>
    <row r="883" spans="3:9" s="14" customFormat="1" ht="15" customHeight="1" x14ac:dyDescent="0.25">
      <c r="C883" s="15" t="str">
        <f t="shared" si="13"/>
        <v/>
      </c>
      <c r="H883" s="22"/>
      <c r="I883" s="22"/>
    </row>
    <row r="884" spans="3:9" s="14" customFormat="1" ht="15" customHeight="1" x14ac:dyDescent="0.25">
      <c r="C884" s="15" t="str">
        <f t="shared" si="13"/>
        <v/>
      </c>
      <c r="H884" s="22"/>
      <c r="I884" s="22"/>
    </row>
    <row r="885" spans="3:9" s="14" customFormat="1" ht="15" customHeight="1" x14ac:dyDescent="0.25">
      <c r="C885" s="15" t="str">
        <f t="shared" si="13"/>
        <v/>
      </c>
      <c r="H885" s="22"/>
      <c r="I885" s="22"/>
    </row>
    <row r="886" spans="3:9" s="14" customFormat="1" ht="15" customHeight="1" x14ac:dyDescent="0.25">
      <c r="C886" s="15" t="str">
        <f t="shared" si="13"/>
        <v/>
      </c>
      <c r="H886" s="22"/>
      <c r="I886" s="22"/>
    </row>
    <row r="887" spans="3:9" s="14" customFormat="1" ht="15" customHeight="1" x14ac:dyDescent="0.25">
      <c r="C887" s="15" t="str">
        <f t="shared" si="13"/>
        <v/>
      </c>
      <c r="H887" s="22"/>
      <c r="I887" s="22"/>
    </row>
    <row r="888" spans="3:9" s="14" customFormat="1" ht="15" customHeight="1" x14ac:dyDescent="0.25">
      <c r="C888" s="15" t="str">
        <f t="shared" si="13"/>
        <v/>
      </c>
      <c r="H888" s="22"/>
      <c r="I888" s="22"/>
    </row>
    <row r="889" spans="3:9" s="14" customFormat="1" ht="15" customHeight="1" x14ac:dyDescent="0.25">
      <c r="C889" s="15" t="str">
        <f t="shared" si="13"/>
        <v/>
      </c>
      <c r="H889" s="22"/>
      <c r="I889" s="22"/>
    </row>
    <row r="890" spans="3:9" s="14" customFormat="1" ht="15" customHeight="1" x14ac:dyDescent="0.25">
      <c r="C890" s="15" t="str">
        <f t="shared" si="13"/>
        <v/>
      </c>
      <c r="H890" s="22"/>
      <c r="I890" s="22"/>
    </row>
    <row r="891" spans="3:9" s="14" customFormat="1" ht="15" customHeight="1" x14ac:dyDescent="0.25">
      <c r="C891" s="15" t="str">
        <f t="shared" si="13"/>
        <v/>
      </c>
      <c r="H891" s="22"/>
      <c r="I891" s="22"/>
    </row>
    <row r="892" spans="3:9" s="14" customFormat="1" ht="15" customHeight="1" x14ac:dyDescent="0.25">
      <c r="C892" s="15" t="str">
        <f t="shared" si="13"/>
        <v/>
      </c>
      <c r="H892" s="22"/>
      <c r="I892" s="22"/>
    </row>
    <row r="893" spans="3:9" s="14" customFormat="1" ht="15" customHeight="1" x14ac:dyDescent="0.25">
      <c r="C893" s="15" t="str">
        <f t="shared" si="13"/>
        <v/>
      </c>
      <c r="H893" s="22"/>
      <c r="I893" s="22"/>
    </row>
    <row r="894" spans="3:9" s="14" customFormat="1" ht="15" customHeight="1" x14ac:dyDescent="0.25">
      <c r="C894" s="15" t="str">
        <f t="shared" ref="C894:C957" si="14">IF(ISNUMBER(A894),LN(B894/B893),"")</f>
        <v/>
      </c>
      <c r="H894" s="22"/>
      <c r="I894" s="22"/>
    </row>
    <row r="895" spans="3:9" s="14" customFormat="1" ht="15" customHeight="1" x14ac:dyDescent="0.25">
      <c r="C895" s="15" t="str">
        <f t="shared" si="14"/>
        <v/>
      </c>
      <c r="H895" s="22"/>
      <c r="I895" s="22"/>
    </row>
    <row r="896" spans="3:9" s="14" customFormat="1" ht="15" customHeight="1" x14ac:dyDescent="0.25">
      <c r="C896" s="15" t="str">
        <f t="shared" si="14"/>
        <v/>
      </c>
      <c r="H896" s="22"/>
      <c r="I896" s="22"/>
    </row>
    <row r="897" spans="1:9" s="14" customFormat="1" ht="15" customHeight="1" x14ac:dyDescent="0.25">
      <c r="C897" s="15" t="str">
        <f t="shared" si="14"/>
        <v/>
      </c>
      <c r="H897" s="22"/>
      <c r="I897" s="22"/>
    </row>
    <row r="898" spans="1:9" s="14" customFormat="1" ht="15" customHeight="1" x14ac:dyDescent="0.25">
      <c r="C898" s="15" t="str">
        <f t="shared" si="14"/>
        <v/>
      </c>
      <c r="H898" s="22"/>
      <c r="I898" s="22"/>
    </row>
    <row r="899" spans="1:9" customFormat="1" ht="15" customHeight="1" x14ac:dyDescent="0.25">
      <c r="A899" s="12"/>
      <c r="B899" s="12"/>
      <c r="C899" s="13" t="str">
        <f t="shared" si="14"/>
        <v/>
      </c>
      <c r="H899" s="1"/>
      <c r="I899" s="1"/>
    </row>
    <row r="900" spans="1:9" customFormat="1" ht="15" customHeight="1" x14ac:dyDescent="0.25">
      <c r="A900" s="6"/>
      <c r="B900" s="6"/>
      <c r="C900" s="8" t="str">
        <f t="shared" si="14"/>
        <v/>
      </c>
      <c r="H900" s="1"/>
      <c r="I900" s="1"/>
    </row>
    <row r="901" spans="1:9" customFormat="1" ht="15" customHeight="1" x14ac:dyDescent="0.25">
      <c r="A901" s="6"/>
      <c r="B901" s="6"/>
      <c r="C901" s="8" t="str">
        <f t="shared" si="14"/>
        <v/>
      </c>
      <c r="H901" s="1"/>
      <c r="I901" s="1"/>
    </row>
    <row r="902" spans="1:9" customFormat="1" ht="15" customHeight="1" x14ac:dyDescent="0.25">
      <c r="A902" s="6"/>
      <c r="B902" s="6"/>
      <c r="C902" s="8" t="str">
        <f t="shared" si="14"/>
        <v/>
      </c>
      <c r="H902" s="1"/>
      <c r="I902" s="1"/>
    </row>
    <row r="903" spans="1:9" customFormat="1" ht="15" customHeight="1" x14ac:dyDescent="0.25">
      <c r="A903" s="6"/>
      <c r="B903" s="6"/>
      <c r="C903" s="8" t="str">
        <f t="shared" si="14"/>
        <v/>
      </c>
      <c r="H903" s="1"/>
      <c r="I903" s="1"/>
    </row>
    <row r="904" spans="1:9" customFormat="1" ht="15" customHeight="1" x14ac:dyDescent="0.25">
      <c r="A904" s="6"/>
      <c r="B904" s="6"/>
      <c r="C904" s="8" t="str">
        <f t="shared" si="14"/>
        <v/>
      </c>
      <c r="H904" s="1"/>
      <c r="I904" s="1"/>
    </row>
    <row r="905" spans="1:9" customFormat="1" ht="15" customHeight="1" x14ac:dyDescent="0.25">
      <c r="A905" s="6"/>
      <c r="B905" s="6"/>
      <c r="C905" s="8" t="str">
        <f t="shared" si="14"/>
        <v/>
      </c>
      <c r="H905" s="1"/>
      <c r="I905" s="1"/>
    </row>
    <row r="906" spans="1:9" customFormat="1" ht="15" customHeight="1" x14ac:dyDescent="0.25">
      <c r="A906" s="6"/>
      <c r="B906" s="6"/>
      <c r="C906" s="8" t="str">
        <f t="shared" si="14"/>
        <v/>
      </c>
      <c r="H906" s="1"/>
      <c r="I906" s="1"/>
    </row>
    <row r="907" spans="1:9" customFormat="1" ht="15" customHeight="1" x14ac:dyDescent="0.25">
      <c r="A907" s="6"/>
      <c r="B907" s="6"/>
      <c r="C907" s="8" t="str">
        <f t="shared" si="14"/>
        <v/>
      </c>
      <c r="H907" s="1"/>
      <c r="I907" s="1"/>
    </row>
    <row r="908" spans="1:9" customFormat="1" ht="15" customHeight="1" x14ac:dyDescent="0.25">
      <c r="A908" s="6"/>
      <c r="B908" s="6"/>
      <c r="C908" s="8" t="str">
        <f t="shared" si="14"/>
        <v/>
      </c>
      <c r="H908" s="1"/>
      <c r="I908" s="1"/>
    </row>
    <row r="909" spans="1:9" customFormat="1" ht="15" customHeight="1" x14ac:dyDescent="0.25">
      <c r="A909" s="6"/>
      <c r="B909" s="6"/>
      <c r="C909" s="8" t="str">
        <f t="shared" si="14"/>
        <v/>
      </c>
      <c r="H909" s="1"/>
      <c r="I909" s="1"/>
    </row>
    <row r="910" spans="1:9" customFormat="1" ht="15" customHeight="1" x14ac:dyDescent="0.25">
      <c r="A910" s="6"/>
      <c r="B910" s="6"/>
      <c r="C910" s="8" t="str">
        <f t="shared" si="14"/>
        <v/>
      </c>
      <c r="H910" s="1"/>
      <c r="I910" s="1"/>
    </row>
    <row r="911" spans="1:9" customFormat="1" ht="15" customHeight="1" x14ac:dyDescent="0.25">
      <c r="A911" s="6"/>
      <c r="B911" s="6"/>
      <c r="C911" s="8" t="str">
        <f t="shared" si="14"/>
        <v/>
      </c>
      <c r="H911" s="1"/>
      <c r="I911" s="1"/>
    </row>
    <row r="912" spans="1:9" customFormat="1" ht="15" customHeight="1" x14ac:dyDescent="0.25">
      <c r="A912" s="6"/>
      <c r="B912" s="6"/>
      <c r="C912" s="8" t="str">
        <f t="shared" si="14"/>
        <v/>
      </c>
      <c r="H912" s="1"/>
      <c r="I912" s="1"/>
    </row>
    <row r="913" spans="1:9" customFormat="1" ht="15" customHeight="1" x14ac:dyDescent="0.25">
      <c r="A913" s="6"/>
      <c r="B913" s="6"/>
      <c r="C913" s="8" t="str">
        <f t="shared" si="14"/>
        <v/>
      </c>
      <c r="H913" s="1"/>
      <c r="I913" s="1"/>
    </row>
    <row r="914" spans="1:9" customFormat="1" ht="15" customHeight="1" x14ac:dyDescent="0.25">
      <c r="A914" s="6"/>
      <c r="B914" s="6"/>
      <c r="C914" s="8" t="str">
        <f t="shared" si="14"/>
        <v/>
      </c>
      <c r="H914" s="1"/>
      <c r="I914" s="1"/>
    </row>
    <row r="915" spans="1:9" customFormat="1" ht="15" customHeight="1" x14ac:dyDescent="0.25">
      <c r="A915" s="6"/>
      <c r="B915" s="6"/>
      <c r="C915" s="8" t="str">
        <f t="shared" si="14"/>
        <v/>
      </c>
      <c r="H915" s="1"/>
      <c r="I915" s="1"/>
    </row>
    <row r="916" spans="1:9" customFormat="1" ht="15" customHeight="1" x14ac:dyDescent="0.25">
      <c r="A916" s="6"/>
      <c r="B916" s="6"/>
      <c r="C916" s="8" t="str">
        <f t="shared" si="14"/>
        <v/>
      </c>
      <c r="H916" s="1"/>
      <c r="I916" s="1"/>
    </row>
    <row r="917" spans="1:9" customFormat="1" ht="15" customHeight="1" x14ac:dyDescent="0.25">
      <c r="A917" s="6"/>
      <c r="B917" s="6"/>
      <c r="C917" s="8" t="str">
        <f t="shared" si="14"/>
        <v/>
      </c>
      <c r="H917" s="1"/>
      <c r="I917" s="1"/>
    </row>
    <row r="918" spans="1:9" customFormat="1" ht="15" customHeight="1" x14ac:dyDescent="0.25">
      <c r="A918" s="6"/>
      <c r="B918" s="6"/>
      <c r="C918" s="8" t="str">
        <f t="shared" si="14"/>
        <v/>
      </c>
      <c r="H918" s="1"/>
      <c r="I918" s="1"/>
    </row>
    <row r="919" spans="1:9" customFormat="1" ht="15" customHeight="1" x14ac:dyDescent="0.25">
      <c r="A919" s="6"/>
      <c r="B919" s="6"/>
      <c r="C919" s="8" t="str">
        <f t="shared" si="14"/>
        <v/>
      </c>
      <c r="H919" s="1"/>
      <c r="I919" s="1"/>
    </row>
    <row r="920" spans="1:9" customFormat="1" ht="15" customHeight="1" x14ac:dyDescent="0.25">
      <c r="A920" s="6"/>
      <c r="B920" s="6"/>
      <c r="C920" s="8" t="str">
        <f t="shared" si="14"/>
        <v/>
      </c>
      <c r="H920" s="1"/>
      <c r="I920" s="1"/>
    </row>
    <row r="921" spans="1:9" customFormat="1" ht="15" customHeight="1" x14ac:dyDescent="0.25">
      <c r="A921" s="6"/>
      <c r="B921" s="6"/>
      <c r="C921" s="8" t="str">
        <f t="shared" si="14"/>
        <v/>
      </c>
      <c r="H921" s="1"/>
      <c r="I921" s="1"/>
    </row>
    <row r="922" spans="1:9" customFormat="1" ht="15" customHeight="1" x14ac:dyDescent="0.25">
      <c r="A922" s="6"/>
      <c r="B922" s="6"/>
      <c r="C922" s="8" t="str">
        <f t="shared" si="14"/>
        <v/>
      </c>
      <c r="H922" s="1"/>
      <c r="I922" s="1"/>
    </row>
    <row r="923" spans="1:9" customFormat="1" ht="15" customHeight="1" x14ac:dyDescent="0.25">
      <c r="A923" s="6"/>
      <c r="B923" s="6"/>
      <c r="C923" s="8" t="str">
        <f t="shared" si="14"/>
        <v/>
      </c>
      <c r="H923" s="1"/>
      <c r="I923" s="1"/>
    </row>
    <row r="924" spans="1:9" customFormat="1" ht="15" customHeight="1" x14ac:dyDescent="0.25">
      <c r="A924" s="6"/>
      <c r="B924" s="6"/>
      <c r="C924" s="8" t="str">
        <f t="shared" si="14"/>
        <v/>
      </c>
      <c r="H924" s="1"/>
      <c r="I924" s="1"/>
    </row>
    <row r="925" spans="1:9" customFormat="1" ht="15" customHeight="1" x14ac:dyDescent="0.25">
      <c r="A925" s="6"/>
      <c r="B925" s="6"/>
      <c r="C925" s="8" t="str">
        <f t="shared" si="14"/>
        <v/>
      </c>
      <c r="H925" s="1"/>
      <c r="I925" s="1"/>
    </row>
    <row r="926" spans="1:9" customFormat="1" ht="15" customHeight="1" x14ac:dyDescent="0.25">
      <c r="A926" s="6"/>
      <c r="B926" s="6"/>
      <c r="C926" s="8" t="str">
        <f t="shared" si="14"/>
        <v/>
      </c>
      <c r="H926" s="1"/>
      <c r="I926" s="1"/>
    </row>
    <row r="927" spans="1:9" customFormat="1" ht="15" customHeight="1" x14ac:dyDescent="0.25">
      <c r="A927" s="6"/>
      <c r="B927" s="6"/>
      <c r="C927" s="8" t="str">
        <f t="shared" si="14"/>
        <v/>
      </c>
      <c r="H927" s="1"/>
      <c r="I927" s="1"/>
    </row>
    <row r="928" spans="1:9" customFormat="1" ht="15" customHeight="1" x14ac:dyDescent="0.25">
      <c r="A928" s="6"/>
      <c r="B928" s="6"/>
      <c r="C928" s="8" t="str">
        <f t="shared" si="14"/>
        <v/>
      </c>
      <c r="H928" s="1"/>
      <c r="I928" s="1"/>
    </row>
    <row r="929" spans="1:9" customFormat="1" ht="15" customHeight="1" x14ac:dyDescent="0.25">
      <c r="A929" s="6"/>
      <c r="B929" s="6"/>
      <c r="C929" s="8" t="str">
        <f t="shared" si="14"/>
        <v/>
      </c>
      <c r="H929" s="1"/>
      <c r="I929" s="1"/>
    </row>
    <row r="930" spans="1:9" customFormat="1" ht="15" customHeight="1" x14ac:dyDescent="0.25">
      <c r="A930" s="6"/>
      <c r="B930" s="6"/>
      <c r="C930" s="8" t="str">
        <f t="shared" si="14"/>
        <v/>
      </c>
      <c r="H930" s="1"/>
      <c r="I930" s="1"/>
    </row>
    <row r="931" spans="1:9" customFormat="1" ht="15" customHeight="1" x14ac:dyDescent="0.25">
      <c r="A931" s="6"/>
      <c r="B931" s="6"/>
      <c r="C931" s="8" t="str">
        <f t="shared" si="14"/>
        <v/>
      </c>
      <c r="H931" s="1"/>
      <c r="I931" s="1"/>
    </row>
    <row r="932" spans="1:9" customFormat="1" ht="15" customHeight="1" x14ac:dyDescent="0.25">
      <c r="A932" s="6"/>
      <c r="B932" s="6"/>
      <c r="C932" s="8" t="str">
        <f t="shared" si="14"/>
        <v/>
      </c>
      <c r="H932" s="1"/>
      <c r="I932" s="1"/>
    </row>
    <row r="933" spans="1:9" customFormat="1" ht="15" customHeight="1" x14ac:dyDescent="0.25">
      <c r="A933" s="6"/>
      <c r="B933" s="6"/>
      <c r="C933" s="8" t="str">
        <f t="shared" si="14"/>
        <v/>
      </c>
      <c r="H933" s="1"/>
      <c r="I933" s="1"/>
    </row>
    <row r="934" spans="1:9" customFormat="1" ht="15" customHeight="1" x14ac:dyDescent="0.25">
      <c r="A934" s="6"/>
      <c r="B934" s="6"/>
      <c r="C934" s="8" t="str">
        <f t="shared" si="14"/>
        <v/>
      </c>
      <c r="H934" s="1"/>
      <c r="I934" s="1"/>
    </row>
    <row r="935" spans="1:9" customFormat="1" ht="15" customHeight="1" x14ac:dyDescent="0.25">
      <c r="A935" s="6"/>
      <c r="B935" s="6"/>
      <c r="C935" s="8" t="str">
        <f t="shared" si="14"/>
        <v/>
      </c>
      <c r="H935" s="1"/>
      <c r="I935" s="1"/>
    </row>
    <row r="936" spans="1:9" customFormat="1" ht="15" customHeight="1" x14ac:dyDescent="0.25">
      <c r="A936" s="6"/>
      <c r="B936" s="6"/>
      <c r="C936" s="8" t="str">
        <f t="shared" si="14"/>
        <v/>
      </c>
      <c r="H936" s="1"/>
      <c r="I936" s="1"/>
    </row>
    <row r="937" spans="1:9" customFormat="1" ht="15" customHeight="1" x14ac:dyDescent="0.25">
      <c r="A937" s="6"/>
      <c r="B937" s="6"/>
      <c r="C937" s="8" t="str">
        <f t="shared" si="14"/>
        <v/>
      </c>
      <c r="H937" s="1"/>
      <c r="I937" s="1"/>
    </row>
    <row r="938" spans="1:9" customFormat="1" ht="15" customHeight="1" x14ac:dyDescent="0.25">
      <c r="A938" s="6"/>
      <c r="B938" s="6"/>
      <c r="C938" s="8" t="str">
        <f t="shared" si="14"/>
        <v/>
      </c>
      <c r="H938" s="1"/>
      <c r="I938" s="1"/>
    </row>
    <row r="939" spans="1:9" customFormat="1" ht="15" customHeight="1" x14ac:dyDescent="0.25">
      <c r="A939" s="6"/>
      <c r="B939" s="6"/>
      <c r="C939" s="8" t="str">
        <f t="shared" si="14"/>
        <v/>
      </c>
      <c r="H939" s="1"/>
      <c r="I939" s="1"/>
    </row>
    <row r="940" spans="1:9" customFormat="1" ht="15" customHeight="1" x14ac:dyDescent="0.25">
      <c r="A940" s="6"/>
      <c r="B940" s="6"/>
      <c r="C940" s="8" t="str">
        <f t="shared" si="14"/>
        <v/>
      </c>
      <c r="H940" s="1"/>
      <c r="I940" s="1"/>
    </row>
    <row r="941" spans="1:9" customFormat="1" ht="15" customHeight="1" x14ac:dyDescent="0.25">
      <c r="A941" s="6"/>
      <c r="B941" s="6"/>
      <c r="C941" s="8" t="str">
        <f t="shared" si="14"/>
        <v/>
      </c>
      <c r="H941" s="1"/>
      <c r="I941" s="1"/>
    </row>
    <row r="942" spans="1:9" customFormat="1" ht="15" customHeight="1" x14ac:dyDescent="0.25">
      <c r="A942" s="6"/>
      <c r="B942" s="6"/>
      <c r="C942" s="8" t="str">
        <f t="shared" si="14"/>
        <v/>
      </c>
      <c r="H942" s="1"/>
      <c r="I942" s="1"/>
    </row>
    <row r="943" spans="1:9" customFormat="1" ht="15" customHeight="1" x14ac:dyDescent="0.25">
      <c r="A943" s="6"/>
      <c r="B943" s="6"/>
      <c r="C943" s="8" t="str">
        <f t="shared" si="14"/>
        <v/>
      </c>
      <c r="H943" s="1"/>
      <c r="I943" s="1"/>
    </row>
    <row r="944" spans="1:9" customFormat="1" ht="15" customHeight="1" x14ac:dyDescent="0.25">
      <c r="A944" s="6"/>
      <c r="B944" s="6"/>
      <c r="C944" s="8" t="str">
        <f t="shared" si="14"/>
        <v/>
      </c>
      <c r="H944" s="1"/>
      <c r="I944" s="1"/>
    </row>
    <row r="945" spans="1:9" customFormat="1" ht="15" customHeight="1" x14ac:dyDescent="0.25">
      <c r="A945" s="6"/>
      <c r="B945" s="6"/>
      <c r="C945" s="8" t="str">
        <f t="shared" si="14"/>
        <v/>
      </c>
      <c r="H945" s="1"/>
      <c r="I945" s="1"/>
    </row>
    <row r="946" spans="1:9" customFormat="1" ht="15" customHeight="1" x14ac:dyDescent="0.25">
      <c r="A946" s="6"/>
      <c r="B946" s="6"/>
      <c r="C946" s="8" t="str">
        <f t="shared" si="14"/>
        <v/>
      </c>
      <c r="H946" s="1"/>
      <c r="I946" s="1"/>
    </row>
    <row r="947" spans="1:9" customFormat="1" ht="15" customHeight="1" x14ac:dyDescent="0.25">
      <c r="A947" s="6"/>
      <c r="B947" s="6"/>
      <c r="C947" s="8" t="str">
        <f t="shared" si="14"/>
        <v/>
      </c>
      <c r="H947" s="1"/>
      <c r="I947" s="1"/>
    </row>
    <row r="948" spans="1:9" customFormat="1" ht="15" customHeight="1" x14ac:dyDescent="0.25">
      <c r="A948" s="6"/>
      <c r="B948" s="6"/>
      <c r="C948" s="8" t="str">
        <f t="shared" si="14"/>
        <v/>
      </c>
      <c r="H948" s="1"/>
      <c r="I948" s="1"/>
    </row>
    <row r="949" spans="1:9" customFormat="1" ht="15" customHeight="1" x14ac:dyDescent="0.25">
      <c r="A949" s="6"/>
      <c r="B949" s="6"/>
      <c r="C949" s="8" t="str">
        <f t="shared" si="14"/>
        <v/>
      </c>
      <c r="H949" s="1"/>
      <c r="I949" s="1"/>
    </row>
    <row r="950" spans="1:9" customFormat="1" ht="15" customHeight="1" x14ac:dyDescent="0.25">
      <c r="A950" s="6"/>
      <c r="B950" s="6"/>
      <c r="C950" s="8" t="str">
        <f t="shared" si="14"/>
        <v/>
      </c>
      <c r="H950" s="1"/>
      <c r="I950" s="1"/>
    </row>
    <row r="951" spans="1:9" customFormat="1" ht="15" customHeight="1" x14ac:dyDescent="0.25">
      <c r="A951" s="6"/>
      <c r="B951" s="6"/>
      <c r="C951" s="8" t="str">
        <f t="shared" si="14"/>
        <v/>
      </c>
      <c r="H951" s="1"/>
      <c r="I951" s="1"/>
    </row>
    <row r="952" spans="1:9" customFormat="1" ht="15" customHeight="1" x14ac:dyDescent="0.25">
      <c r="A952" s="6"/>
      <c r="B952" s="6"/>
      <c r="C952" s="8" t="str">
        <f t="shared" si="14"/>
        <v/>
      </c>
      <c r="H952" s="1"/>
      <c r="I952" s="1"/>
    </row>
    <row r="953" spans="1:9" customFormat="1" ht="15" customHeight="1" x14ac:dyDescent="0.25">
      <c r="A953" s="6"/>
      <c r="B953" s="6"/>
      <c r="C953" s="8" t="str">
        <f t="shared" si="14"/>
        <v/>
      </c>
      <c r="H953" s="1"/>
      <c r="I953" s="1"/>
    </row>
    <row r="954" spans="1:9" customFormat="1" ht="15" customHeight="1" x14ac:dyDescent="0.25">
      <c r="A954" s="6"/>
      <c r="B954" s="6"/>
      <c r="C954" s="8" t="str">
        <f t="shared" si="14"/>
        <v/>
      </c>
      <c r="H954" s="1"/>
      <c r="I954" s="1"/>
    </row>
    <row r="955" spans="1:9" customFormat="1" ht="15" customHeight="1" x14ac:dyDescent="0.25">
      <c r="A955" s="6"/>
      <c r="B955" s="6"/>
      <c r="C955" s="8" t="str">
        <f t="shared" si="14"/>
        <v/>
      </c>
      <c r="H955" s="1"/>
      <c r="I955" s="1"/>
    </row>
    <row r="956" spans="1:9" customFormat="1" ht="15" customHeight="1" x14ac:dyDescent="0.25">
      <c r="A956" s="6"/>
      <c r="B956" s="6"/>
      <c r="C956" s="8" t="str">
        <f t="shared" si="14"/>
        <v/>
      </c>
      <c r="H956" s="1"/>
      <c r="I956" s="1"/>
    </row>
    <row r="957" spans="1:9" customFormat="1" ht="15" customHeight="1" x14ac:dyDescent="0.25">
      <c r="A957" s="6"/>
      <c r="B957" s="6"/>
      <c r="C957" s="8" t="str">
        <f t="shared" si="14"/>
        <v/>
      </c>
      <c r="H957" s="1"/>
      <c r="I957" s="1"/>
    </row>
    <row r="958" spans="1:9" customFormat="1" ht="15" customHeight="1" x14ac:dyDescent="0.25">
      <c r="A958" s="6"/>
      <c r="B958" s="6"/>
      <c r="C958" s="8" t="str">
        <f t="shared" ref="C958:C1021" si="15">IF(ISNUMBER(A958),LN(B958/B957),"")</f>
        <v/>
      </c>
      <c r="H958" s="1"/>
      <c r="I958" s="1"/>
    </row>
    <row r="959" spans="1:9" customFormat="1" ht="15" customHeight="1" x14ac:dyDescent="0.25">
      <c r="A959" s="6"/>
      <c r="B959" s="6"/>
      <c r="C959" s="8" t="str">
        <f t="shared" si="15"/>
        <v/>
      </c>
      <c r="H959" s="1"/>
      <c r="I959" s="1"/>
    </row>
    <row r="960" spans="1:9" customFormat="1" ht="15" customHeight="1" x14ac:dyDescent="0.25">
      <c r="A960" s="6"/>
      <c r="B960" s="6"/>
      <c r="C960" s="8" t="str">
        <f t="shared" si="15"/>
        <v/>
      </c>
      <c r="H960" s="1"/>
      <c r="I960" s="1"/>
    </row>
    <row r="961" spans="1:9" customFormat="1" ht="15" customHeight="1" x14ac:dyDescent="0.25">
      <c r="A961" s="6"/>
      <c r="B961" s="6"/>
      <c r="C961" s="8" t="str">
        <f t="shared" si="15"/>
        <v/>
      </c>
      <c r="H961" s="1"/>
      <c r="I961" s="1"/>
    </row>
    <row r="962" spans="1:9" customFormat="1" ht="15" customHeight="1" x14ac:dyDescent="0.25">
      <c r="A962" s="6"/>
      <c r="B962" s="6"/>
      <c r="C962" s="8" t="str">
        <f t="shared" si="15"/>
        <v/>
      </c>
      <c r="H962" s="1"/>
      <c r="I962" s="1"/>
    </row>
    <row r="963" spans="1:9" customFormat="1" ht="15" customHeight="1" x14ac:dyDescent="0.25">
      <c r="A963" s="6"/>
      <c r="B963" s="6"/>
      <c r="C963" s="8" t="str">
        <f t="shared" si="15"/>
        <v/>
      </c>
      <c r="H963" s="1"/>
      <c r="I963" s="1"/>
    </row>
    <row r="964" spans="1:9" customFormat="1" ht="15" customHeight="1" x14ac:dyDescent="0.25">
      <c r="A964" s="6"/>
      <c r="B964" s="6"/>
      <c r="C964" s="8" t="str">
        <f t="shared" si="15"/>
        <v/>
      </c>
      <c r="H964" s="1"/>
      <c r="I964" s="1"/>
    </row>
    <row r="965" spans="1:9" customFormat="1" ht="15" customHeight="1" x14ac:dyDescent="0.25">
      <c r="A965" s="6"/>
      <c r="B965" s="6"/>
      <c r="C965" s="8" t="str">
        <f t="shared" si="15"/>
        <v/>
      </c>
      <c r="H965" s="1"/>
      <c r="I965" s="1"/>
    </row>
    <row r="966" spans="1:9" customFormat="1" ht="15" customHeight="1" x14ac:dyDescent="0.25">
      <c r="A966" s="6"/>
      <c r="B966" s="6"/>
      <c r="C966" s="8" t="str">
        <f t="shared" si="15"/>
        <v/>
      </c>
      <c r="H966" s="1"/>
      <c r="I966" s="1"/>
    </row>
    <row r="967" spans="1:9" customFormat="1" ht="15" customHeight="1" x14ac:dyDescent="0.25">
      <c r="A967" s="6"/>
      <c r="B967" s="6"/>
      <c r="C967" s="8" t="str">
        <f t="shared" si="15"/>
        <v/>
      </c>
      <c r="H967" s="1"/>
      <c r="I967" s="1"/>
    </row>
    <row r="968" spans="1:9" customFormat="1" ht="15" customHeight="1" x14ac:dyDescent="0.25">
      <c r="A968" s="6"/>
      <c r="B968" s="6"/>
      <c r="C968" s="8" t="str">
        <f t="shared" si="15"/>
        <v/>
      </c>
      <c r="H968" s="1"/>
      <c r="I968" s="1"/>
    </row>
    <row r="969" spans="1:9" customFormat="1" ht="15" customHeight="1" x14ac:dyDescent="0.25">
      <c r="A969" s="6"/>
      <c r="B969" s="6"/>
      <c r="C969" s="8" t="str">
        <f t="shared" si="15"/>
        <v/>
      </c>
      <c r="H969" s="1"/>
      <c r="I969" s="1"/>
    </row>
    <row r="970" spans="1:9" customFormat="1" ht="15" customHeight="1" x14ac:dyDescent="0.25">
      <c r="A970" s="6"/>
      <c r="B970" s="6"/>
      <c r="C970" s="8" t="str">
        <f t="shared" si="15"/>
        <v/>
      </c>
      <c r="H970" s="1"/>
      <c r="I970" s="1"/>
    </row>
    <row r="971" spans="1:9" customFormat="1" ht="15" customHeight="1" x14ac:dyDescent="0.25">
      <c r="A971" s="6"/>
      <c r="B971" s="6"/>
      <c r="C971" s="8" t="str">
        <f t="shared" si="15"/>
        <v/>
      </c>
      <c r="H971" s="1"/>
      <c r="I971" s="1"/>
    </row>
    <row r="972" spans="1:9" customFormat="1" ht="15" customHeight="1" x14ac:dyDescent="0.25">
      <c r="A972" s="6"/>
      <c r="B972" s="6"/>
      <c r="C972" s="8" t="str">
        <f t="shared" si="15"/>
        <v/>
      </c>
      <c r="H972" s="1"/>
      <c r="I972" s="1"/>
    </row>
    <row r="973" spans="1:9" customFormat="1" ht="15" customHeight="1" x14ac:dyDescent="0.25">
      <c r="A973" s="6"/>
      <c r="B973" s="6"/>
      <c r="C973" s="8" t="str">
        <f t="shared" si="15"/>
        <v/>
      </c>
      <c r="H973" s="1"/>
      <c r="I973" s="1"/>
    </row>
    <row r="974" spans="1:9" customFormat="1" ht="15" customHeight="1" x14ac:dyDescent="0.25">
      <c r="A974" s="6"/>
      <c r="B974" s="6"/>
      <c r="C974" s="8" t="str">
        <f t="shared" si="15"/>
        <v/>
      </c>
      <c r="H974" s="1"/>
      <c r="I974" s="1"/>
    </row>
    <row r="975" spans="1:9" customFormat="1" ht="15" customHeight="1" x14ac:dyDescent="0.25">
      <c r="A975" s="6"/>
      <c r="B975" s="6"/>
      <c r="C975" s="8" t="str">
        <f t="shared" si="15"/>
        <v/>
      </c>
      <c r="H975" s="1"/>
      <c r="I975" s="1"/>
    </row>
    <row r="976" spans="1:9" customFormat="1" ht="15" customHeight="1" x14ac:dyDescent="0.25">
      <c r="A976" s="6"/>
      <c r="B976" s="6"/>
      <c r="C976" s="8" t="str">
        <f t="shared" si="15"/>
        <v/>
      </c>
      <c r="H976" s="1"/>
      <c r="I976" s="1"/>
    </row>
    <row r="977" spans="1:9" customFormat="1" ht="15" customHeight="1" x14ac:dyDescent="0.25">
      <c r="A977" s="6"/>
      <c r="B977" s="6"/>
      <c r="C977" s="8" t="str">
        <f t="shared" si="15"/>
        <v/>
      </c>
      <c r="H977" s="1"/>
      <c r="I977" s="1"/>
    </row>
    <row r="978" spans="1:9" customFormat="1" ht="15" customHeight="1" x14ac:dyDescent="0.25">
      <c r="A978" s="6"/>
      <c r="B978" s="6"/>
      <c r="C978" s="8" t="str">
        <f t="shared" si="15"/>
        <v/>
      </c>
      <c r="H978" s="1"/>
      <c r="I978" s="1"/>
    </row>
    <row r="979" spans="1:9" customFormat="1" ht="15" customHeight="1" x14ac:dyDescent="0.25">
      <c r="A979" s="6"/>
      <c r="B979" s="6"/>
      <c r="C979" s="8" t="str">
        <f t="shared" si="15"/>
        <v/>
      </c>
      <c r="H979" s="1"/>
      <c r="I979" s="1"/>
    </row>
    <row r="980" spans="1:9" customFormat="1" ht="15" customHeight="1" x14ac:dyDescent="0.25">
      <c r="A980" s="6"/>
      <c r="B980" s="6"/>
      <c r="C980" s="8" t="str">
        <f t="shared" si="15"/>
        <v/>
      </c>
      <c r="H980" s="1"/>
      <c r="I980" s="1"/>
    </row>
    <row r="981" spans="1:9" customFormat="1" ht="15" customHeight="1" x14ac:dyDescent="0.25">
      <c r="A981" s="6"/>
      <c r="B981" s="6"/>
      <c r="C981" s="8" t="str">
        <f t="shared" si="15"/>
        <v/>
      </c>
      <c r="H981" s="1"/>
      <c r="I981" s="1"/>
    </row>
    <row r="982" spans="1:9" customFormat="1" ht="15" customHeight="1" x14ac:dyDescent="0.25">
      <c r="A982" s="6"/>
      <c r="B982" s="6"/>
      <c r="C982" s="8" t="str">
        <f t="shared" si="15"/>
        <v/>
      </c>
      <c r="H982" s="1"/>
      <c r="I982" s="1"/>
    </row>
    <row r="983" spans="1:9" customFormat="1" ht="15" customHeight="1" x14ac:dyDescent="0.25">
      <c r="A983" s="6"/>
      <c r="B983" s="6"/>
      <c r="C983" s="8" t="str">
        <f t="shared" si="15"/>
        <v/>
      </c>
      <c r="H983" s="1"/>
      <c r="I983" s="1"/>
    </row>
    <row r="984" spans="1:9" customFormat="1" ht="15" customHeight="1" x14ac:dyDescent="0.25">
      <c r="A984" s="6"/>
      <c r="B984" s="6"/>
      <c r="C984" s="8" t="str">
        <f t="shared" si="15"/>
        <v/>
      </c>
      <c r="H984" s="1"/>
      <c r="I984" s="1"/>
    </row>
    <row r="985" spans="1:9" customFormat="1" ht="15" customHeight="1" x14ac:dyDescent="0.25">
      <c r="A985" s="6"/>
      <c r="B985" s="6"/>
      <c r="C985" s="8" t="str">
        <f t="shared" si="15"/>
        <v/>
      </c>
      <c r="H985" s="1"/>
      <c r="I985" s="1"/>
    </row>
    <row r="986" spans="1:9" customFormat="1" ht="15" customHeight="1" x14ac:dyDescent="0.25">
      <c r="A986" s="6"/>
      <c r="B986" s="6"/>
      <c r="C986" s="8" t="str">
        <f t="shared" si="15"/>
        <v/>
      </c>
      <c r="H986" s="1"/>
      <c r="I986" s="1"/>
    </row>
    <row r="987" spans="1:9" customFormat="1" ht="15" customHeight="1" x14ac:dyDescent="0.25">
      <c r="A987" s="6"/>
      <c r="B987" s="6"/>
      <c r="C987" s="8" t="str">
        <f t="shared" si="15"/>
        <v/>
      </c>
      <c r="H987" s="1"/>
      <c r="I987" s="1"/>
    </row>
    <row r="988" spans="1:9" customFormat="1" ht="15" customHeight="1" x14ac:dyDescent="0.25">
      <c r="A988" s="6"/>
      <c r="B988" s="6"/>
      <c r="C988" s="8" t="str">
        <f t="shared" si="15"/>
        <v/>
      </c>
      <c r="H988" s="1"/>
      <c r="I988" s="1"/>
    </row>
    <row r="989" spans="1:9" customFormat="1" ht="15" customHeight="1" x14ac:dyDescent="0.25">
      <c r="A989" s="6"/>
      <c r="B989" s="6"/>
      <c r="C989" s="8" t="str">
        <f t="shared" si="15"/>
        <v/>
      </c>
      <c r="H989" s="1"/>
      <c r="I989" s="1"/>
    </row>
    <row r="990" spans="1:9" customFormat="1" ht="15" customHeight="1" x14ac:dyDescent="0.25">
      <c r="A990" s="6"/>
      <c r="B990" s="6"/>
      <c r="C990" s="8" t="str">
        <f t="shared" si="15"/>
        <v/>
      </c>
      <c r="H990" s="1"/>
      <c r="I990" s="1"/>
    </row>
    <row r="991" spans="1:9" customFormat="1" ht="15" customHeight="1" x14ac:dyDescent="0.25">
      <c r="A991" s="6"/>
      <c r="B991" s="6"/>
      <c r="C991" s="8" t="str">
        <f t="shared" si="15"/>
        <v/>
      </c>
      <c r="H991" s="1"/>
      <c r="I991" s="1"/>
    </row>
    <row r="992" spans="1:9" customFormat="1" ht="15" customHeight="1" x14ac:dyDescent="0.25">
      <c r="A992" s="6"/>
      <c r="B992" s="6"/>
      <c r="C992" s="8" t="str">
        <f t="shared" si="15"/>
        <v/>
      </c>
      <c r="H992" s="1"/>
      <c r="I992" s="1"/>
    </row>
    <row r="993" spans="1:9" customFormat="1" ht="15" customHeight="1" x14ac:dyDescent="0.25">
      <c r="A993" s="6"/>
      <c r="B993" s="6"/>
      <c r="C993" s="8" t="str">
        <f t="shared" si="15"/>
        <v/>
      </c>
      <c r="H993" s="1"/>
      <c r="I993" s="1"/>
    </row>
    <row r="994" spans="1:9" customFormat="1" ht="15" customHeight="1" x14ac:dyDescent="0.25">
      <c r="A994" s="6"/>
      <c r="B994" s="6"/>
      <c r="C994" s="8" t="str">
        <f t="shared" si="15"/>
        <v/>
      </c>
      <c r="H994" s="1"/>
      <c r="I994" s="1"/>
    </row>
    <row r="995" spans="1:9" customFormat="1" ht="15" customHeight="1" x14ac:dyDescent="0.25">
      <c r="A995" s="6"/>
      <c r="B995" s="6"/>
      <c r="C995" s="8" t="str">
        <f t="shared" si="15"/>
        <v/>
      </c>
      <c r="H995" s="1"/>
      <c r="I995" s="1"/>
    </row>
    <row r="996" spans="1:9" customFormat="1" ht="15" customHeight="1" x14ac:dyDescent="0.25">
      <c r="A996" s="6"/>
      <c r="B996" s="6"/>
      <c r="C996" s="8" t="str">
        <f t="shared" si="15"/>
        <v/>
      </c>
      <c r="H996" s="1"/>
      <c r="I996" s="1"/>
    </row>
    <row r="997" spans="1:9" customFormat="1" ht="15" customHeight="1" x14ac:dyDescent="0.25">
      <c r="A997" s="6"/>
      <c r="B997" s="6"/>
      <c r="C997" s="8" t="str">
        <f t="shared" si="15"/>
        <v/>
      </c>
      <c r="H997" s="1"/>
      <c r="I997" s="1"/>
    </row>
    <row r="998" spans="1:9" customFormat="1" ht="15" customHeight="1" x14ac:dyDescent="0.25">
      <c r="A998" s="6"/>
      <c r="B998" s="6"/>
      <c r="C998" s="8" t="str">
        <f t="shared" si="15"/>
        <v/>
      </c>
      <c r="H998" s="1"/>
      <c r="I998" s="1"/>
    </row>
    <row r="999" spans="1:9" customFormat="1" ht="15" customHeight="1" x14ac:dyDescent="0.25">
      <c r="A999" s="6"/>
      <c r="B999" s="6"/>
      <c r="C999" s="8" t="str">
        <f t="shared" si="15"/>
        <v/>
      </c>
      <c r="H999" s="1"/>
      <c r="I999" s="1"/>
    </row>
    <row r="1000" spans="1:9" customFormat="1" ht="15" customHeight="1" x14ac:dyDescent="0.25">
      <c r="A1000" s="6"/>
      <c r="B1000" s="6"/>
      <c r="C1000" s="8" t="str">
        <f t="shared" si="15"/>
        <v/>
      </c>
      <c r="H1000" s="1"/>
      <c r="I1000" s="1"/>
    </row>
    <row r="1001" spans="1:9" customFormat="1" ht="15" customHeight="1" x14ac:dyDescent="0.25">
      <c r="A1001" s="6"/>
      <c r="B1001" s="6"/>
      <c r="C1001" s="8" t="str">
        <f t="shared" si="15"/>
        <v/>
      </c>
      <c r="H1001" s="1"/>
      <c r="I1001" s="1"/>
    </row>
    <row r="1002" spans="1:9" customFormat="1" ht="15" customHeight="1" x14ac:dyDescent="0.25">
      <c r="A1002" s="6"/>
      <c r="B1002" s="6"/>
      <c r="C1002" s="8" t="str">
        <f t="shared" si="15"/>
        <v/>
      </c>
      <c r="H1002" s="1"/>
      <c r="I1002" s="1"/>
    </row>
    <row r="1003" spans="1:9" customFormat="1" ht="15" customHeight="1" x14ac:dyDescent="0.25">
      <c r="A1003" s="6"/>
      <c r="B1003" s="6"/>
      <c r="C1003" s="8" t="str">
        <f t="shared" si="15"/>
        <v/>
      </c>
      <c r="H1003" s="1"/>
      <c r="I1003" s="1"/>
    </row>
    <row r="1004" spans="1:9" customFormat="1" ht="15" customHeight="1" x14ac:dyDescent="0.25">
      <c r="A1004" s="6"/>
      <c r="B1004" s="6"/>
      <c r="C1004" s="8" t="str">
        <f t="shared" si="15"/>
        <v/>
      </c>
      <c r="H1004" s="1"/>
      <c r="I1004" s="1"/>
    </row>
    <row r="1005" spans="1:9" customFormat="1" ht="15" customHeight="1" x14ac:dyDescent="0.25">
      <c r="A1005" s="6"/>
      <c r="B1005" s="6"/>
      <c r="C1005" s="8" t="str">
        <f t="shared" si="15"/>
        <v/>
      </c>
      <c r="H1005" s="1"/>
      <c r="I1005" s="1"/>
    </row>
    <row r="1006" spans="1:9" customFormat="1" ht="15" customHeight="1" x14ac:dyDescent="0.25">
      <c r="A1006" s="6"/>
      <c r="B1006" s="6"/>
      <c r="C1006" s="8" t="str">
        <f t="shared" si="15"/>
        <v/>
      </c>
      <c r="H1006" s="1"/>
      <c r="I1006" s="1"/>
    </row>
    <row r="1007" spans="1:9" customFormat="1" ht="15" customHeight="1" x14ac:dyDescent="0.25">
      <c r="A1007" s="6"/>
      <c r="B1007" s="6"/>
      <c r="C1007" s="8" t="str">
        <f t="shared" si="15"/>
        <v/>
      </c>
      <c r="H1007" s="1"/>
      <c r="I1007" s="1"/>
    </row>
    <row r="1008" spans="1:9" customFormat="1" ht="15" customHeight="1" x14ac:dyDescent="0.25">
      <c r="A1008" s="6"/>
      <c r="B1008" s="6"/>
      <c r="C1008" s="8" t="str">
        <f t="shared" si="15"/>
        <v/>
      </c>
      <c r="H1008" s="1"/>
      <c r="I1008" s="1"/>
    </row>
    <row r="1009" spans="1:9" customFormat="1" ht="15" customHeight="1" x14ac:dyDescent="0.25">
      <c r="A1009" s="6"/>
      <c r="B1009" s="6"/>
      <c r="C1009" s="8" t="str">
        <f t="shared" si="15"/>
        <v/>
      </c>
      <c r="H1009" s="1"/>
      <c r="I1009" s="1"/>
    </row>
    <row r="1010" spans="1:9" customFormat="1" ht="15" customHeight="1" x14ac:dyDescent="0.25">
      <c r="A1010" s="6"/>
      <c r="B1010" s="6"/>
      <c r="C1010" s="8" t="str">
        <f t="shared" si="15"/>
        <v/>
      </c>
      <c r="H1010" s="1"/>
      <c r="I1010" s="1"/>
    </row>
    <row r="1011" spans="1:9" customFormat="1" ht="15" customHeight="1" x14ac:dyDescent="0.25">
      <c r="A1011" s="6"/>
      <c r="B1011" s="6"/>
      <c r="C1011" s="8" t="str">
        <f t="shared" si="15"/>
        <v/>
      </c>
      <c r="H1011" s="1"/>
      <c r="I1011" s="1"/>
    </row>
    <row r="1012" spans="1:9" customFormat="1" ht="15" customHeight="1" x14ac:dyDescent="0.25">
      <c r="A1012" s="6"/>
      <c r="B1012" s="6"/>
      <c r="C1012" s="8" t="str">
        <f t="shared" si="15"/>
        <v/>
      </c>
      <c r="H1012" s="1"/>
      <c r="I1012" s="1"/>
    </row>
    <row r="1013" spans="1:9" customFormat="1" ht="15" customHeight="1" x14ac:dyDescent="0.25">
      <c r="A1013" s="6"/>
      <c r="B1013" s="6"/>
      <c r="C1013" s="8" t="str">
        <f t="shared" si="15"/>
        <v/>
      </c>
      <c r="H1013" s="1"/>
      <c r="I1013" s="1"/>
    </row>
    <row r="1014" spans="1:9" customFormat="1" ht="15" customHeight="1" x14ac:dyDescent="0.25">
      <c r="A1014" s="6"/>
      <c r="B1014" s="6"/>
      <c r="C1014" s="8" t="str">
        <f t="shared" si="15"/>
        <v/>
      </c>
      <c r="H1014" s="1"/>
      <c r="I1014" s="1"/>
    </row>
    <row r="1015" spans="1:9" customFormat="1" ht="15" customHeight="1" x14ac:dyDescent="0.25">
      <c r="A1015" s="6"/>
      <c r="B1015" s="6"/>
      <c r="C1015" s="8" t="str">
        <f t="shared" si="15"/>
        <v/>
      </c>
      <c r="H1015" s="1"/>
      <c r="I1015" s="1"/>
    </row>
    <row r="1016" spans="1:9" customFormat="1" ht="15" customHeight="1" x14ac:dyDescent="0.25">
      <c r="A1016" s="6"/>
      <c r="B1016" s="6"/>
      <c r="C1016" s="8" t="str">
        <f t="shared" si="15"/>
        <v/>
      </c>
      <c r="H1016" s="1"/>
      <c r="I1016" s="1"/>
    </row>
    <row r="1017" spans="1:9" customFormat="1" ht="15" customHeight="1" x14ac:dyDescent="0.25">
      <c r="A1017" s="6"/>
      <c r="B1017" s="6"/>
      <c r="C1017" s="8" t="str">
        <f t="shared" si="15"/>
        <v/>
      </c>
      <c r="H1017" s="1"/>
      <c r="I1017" s="1"/>
    </row>
    <row r="1018" spans="1:9" customFormat="1" ht="15" customHeight="1" x14ac:dyDescent="0.25">
      <c r="A1018" s="6"/>
      <c r="B1018" s="6"/>
      <c r="C1018" s="8" t="str">
        <f t="shared" si="15"/>
        <v/>
      </c>
      <c r="H1018" s="1"/>
      <c r="I1018" s="1"/>
    </row>
    <row r="1019" spans="1:9" customFormat="1" ht="15" customHeight="1" x14ac:dyDescent="0.25">
      <c r="A1019" s="6"/>
      <c r="B1019" s="6"/>
      <c r="C1019" s="8" t="str">
        <f t="shared" si="15"/>
        <v/>
      </c>
      <c r="H1019" s="1"/>
      <c r="I1019" s="1"/>
    </row>
    <row r="1020" spans="1:9" customFormat="1" ht="15" customHeight="1" x14ac:dyDescent="0.25">
      <c r="A1020" s="6"/>
      <c r="B1020" s="6"/>
      <c r="C1020" s="8" t="str">
        <f t="shared" si="15"/>
        <v/>
      </c>
      <c r="H1020" s="1"/>
      <c r="I1020" s="1"/>
    </row>
    <row r="1021" spans="1:9" customFormat="1" ht="15" customHeight="1" x14ac:dyDescent="0.25">
      <c r="A1021" s="6"/>
      <c r="B1021" s="6"/>
      <c r="C1021" s="8" t="str">
        <f t="shared" si="15"/>
        <v/>
      </c>
      <c r="H1021" s="1"/>
      <c r="I1021" s="1"/>
    </row>
    <row r="1022" spans="1:9" customFormat="1" ht="15" customHeight="1" x14ac:dyDescent="0.25">
      <c r="A1022" s="6"/>
      <c r="B1022" s="6"/>
      <c r="C1022" s="8" t="str">
        <f t="shared" ref="C1022:C1085" si="16">IF(ISNUMBER(A1022),LN(B1022/B1021),"")</f>
        <v/>
      </c>
      <c r="H1022" s="1"/>
      <c r="I1022" s="1"/>
    </row>
    <row r="1023" spans="1:9" customFormat="1" ht="15" customHeight="1" x14ac:dyDescent="0.25">
      <c r="A1023" s="6"/>
      <c r="B1023" s="6"/>
      <c r="C1023" s="8" t="str">
        <f t="shared" si="16"/>
        <v/>
      </c>
      <c r="H1023" s="1"/>
      <c r="I1023" s="1"/>
    </row>
    <row r="1024" spans="1:9" customFormat="1" ht="15" customHeight="1" x14ac:dyDescent="0.25">
      <c r="A1024" s="6"/>
      <c r="B1024" s="6"/>
      <c r="C1024" s="8" t="str">
        <f t="shared" si="16"/>
        <v/>
      </c>
      <c r="H1024" s="1"/>
      <c r="I1024" s="1"/>
    </row>
    <row r="1025" spans="1:9" customFormat="1" ht="15" customHeight="1" x14ac:dyDescent="0.25">
      <c r="A1025" s="6"/>
      <c r="B1025" s="6"/>
      <c r="C1025" s="8" t="str">
        <f t="shared" si="16"/>
        <v/>
      </c>
      <c r="H1025" s="1"/>
      <c r="I1025" s="1"/>
    </row>
    <row r="1026" spans="1:9" customFormat="1" ht="15" customHeight="1" x14ac:dyDescent="0.25">
      <c r="A1026" s="6"/>
      <c r="B1026" s="6"/>
      <c r="C1026" s="8" t="str">
        <f t="shared" si="16"/>
        <v/>
      </c>
      <c r="H1026" s="1"/>
      <c r="I1026" s="1"/>
    </row>
    <row r="1027" spans="1:9" customFormat="1" ht="15" customHeight="1" x14ac:dyDescent="0.25">
      <c r="A1027" s="6"/>
      <c r="B1027" s="6"/>
      <c r="C1027" s="8" t="str">
        <f t="shared" si="16"/>
        <v/>
      </c>
      <c r="H1027" s="1"/>
      <c r="I1027" s="1"/>
    </row>
    <row r="1028" spans="1:9" customFormat="1" ht="15" customHeight="1" x14ac:dyDescent="0.25">
      <c r="A1028" s="6"/>
      <c r="B1028" s="6"/>
      <c r="C1028" s="8" t="str">
        <f t="shared" si="16"/>
        <v/>
      </c>
      <c r="H1028" s="1"/>
      <c r="I1028" s="1"/>
    </row>
    <row r="1029" spans="1:9" customFormat="1" ht="15" customHeight="1" x14ac:dyDescent="0.25">
      <c r="A1029" s="6"/>
      <c r="B1029" s="6"/>
      <c r="C1029" s="8" t="str">
        <f t="shared" si="16"/>
        <v/>
      </c>
      <c r="H1029" s="1"/>
      <c r="I1029" s="1"/>
    </row>
    <row r="1030" spans="1:9" customFormat="1" ht="15" customHeight="1" x14ac:dyDescent="0.25">
      <c r="A1030" s="6"/>
      <c r="B1030" s="6"/>
      <c r="C1030" s="8" t="str">
        <f t="shared" si="16"/>
        <v/>
      </c>
      <c r="H1030" s="1"/>
      <c r="I1030" s="1"/>
    </row>
    <row r="1031" spans="1:9" customFormat="1" ht="15" customHeight="1" x14ac:dyDescent="0.25">
      <c r="A1031" s="6"/>
      <c r="B1031" s="6"/>
      <c r="C1031" s="8" t="str">
        <f t="shared" si="16"/>
        <v/>
      </c>
      <c r="H1031" s="1"/>
      <c r="I1031" s="1"/>
    </row>
    <row r="1032" spans="1:9" customFormat="1" ht="15" customHeight="1" x14ac:dyDescent="0.25">
      <c r="A1032" s="6"/>
      <c r="B1032" s="6"/>
      <c r="C1032" s="8" t="str">
        <f t="shared" si="16"/>
        <v/>
      </c>
      <c r="H1032" s="1"/>
      <c r="I1032" s="1"/>
    </row>
    <row r="1033" spans="1:9" customFormat="1" ht="15" customHeight="1" x14ac:dyDescent="0.25">
      <c r="A1033" s="6"/>
      <c r="B1033" s="6"/>
      <c r="C1033" s="8" t="str">
        <f t="shared" si="16"/>
        <v/>
      </c>
      <c r="H1033" s="1"/>
      <c r="I1033" s="1"/>
    </row>
    <row r="1034" spans="1:9" customFormat="1" ht="15" customHeight="1" x14ac:dyDescent="0.25">
      <c r="A1034" s="6"/>
      <c r="B1034" s="6"/>
      <c r="C1034" s="8" t="str">
        <f t="shared" si="16"/>
        <v/>
      </c>
      <c r="H1034" s="1"/>
      <c r="I1034" s="1"/>
    </row>
    <row r="1035" spans="1:9" customFormat="1" ht="15" customHeight="1" x14ac:dyDescent="0.25">
      <c r="A1035" s="6"/>
      <c r="B1035" s="6"/>
      <c r="C1035" s="8" t="str">
        <f t="shared" si="16"/>
        <v/>
      </c>
      <c r="H1035" s="1"/>
      <c r="I1035" s="1"/>
    </row>
    <row r="1036" spans="1:9" customFormat="1" ht="15" customHeight="1" x14ac:dyDescent="0.25">
      <c r="A1036" s="6"/>
      <c r="B1036" s="6"/>
      <c r="C1036" s="8" t="str">
        <f t="shared" si="16"/>
        <v/>
      </c>
      <c r="H1036" s="1"/>
      <c r="I1036" s="1"/>
    </row>
    <row r="1037" spans="1:9" customFormat="1" ht="15" customHeight="1" x14ac:dyDescent="0.25">
      <c r="A1037" s="6"/>
      <c r="B1037" s="6"/>
      <c r="C1037" s="8" t="str">
        <f t="shared" si="16"/>
        <v/>
      </c>
      <c r="H1037" s="1"/>
      <c r="I1037" s="1"/>
    </row>
    <row r="1038" spans="1:9" customFormat="1" ht="15" customHeight="1" x14ac:dyDescent="0.25">
      <c r="A1038" s="6"/>
      <c r="B1038" s="6"/>
      <c r="C1038" s="8" t="str">
        <f t="shared" si="16"/>
        <v/>
      </c>
      <c r="H1038" s="1"/>
      <c r="I1038" s="1"/>
    </row>
    <row r="1039" spans="1:9" customFormat="1" ht="15" customHeight="1" x14ac:dyDescent="0.25">
      <c r="A1039" s="6"/>
      <c r="B1039" s="6"/>
      <c r="C1039" s="8" t="str">
        <f t="shared" si="16"/>
        <v/>
      </c>
      <c r="H1039" s="1"/>
      <c r="I1039" s="1"/>
    </row>
    <row r="1040" spans="1:9" customFormat="1" ht="15" customHeight="1" x14ac:dyDescent="0.25">
      <c r="A1040" s="6"/>
      <c r="B1040" s="6"/>
      <c r="C1040" s="8" t="str">
        <f t="shared" si="16"/>
        <v/>
      </c>
      <c r="H1040" s="1"/>
      <c r="I1040" s="1"/>
    </row>
    <row r="1041" spans="1:9" customFormat="1" ht="15" customHeight="1" x14ac:dyDescent="0.25">
      <c r="A1041" s="6"/>
      <c r="B1041" s="6"/>
      <c r="C1041" s="8" t="str">
        <f t="shared" si="16"/>
        <v/>
      </c>
      <c r="H1041" s="1"/>
      <c r="I1041" s="1"/>
    </row>
    <row r="1042" spans="1:9" customFormat="1" ht="15" customHeight="1" x14ac:dyDescent="0.25">
      <c r="A1042" s="6"/>
      <c r="B1042" s="6"/>
      <c r="C1042" s="8" t="str">
        <f t="shared" si="16"/>
        <v/>
      </c>
      <c r="H1042" s="1"/>
      <c r="I1042" s="1"/>
    </row>
    <row r="1043" spans="1:9" customFormat="1" ht="15" customHeight="1" x14ac:dyDescent="0.25">
      <c r="A1043" s="6"/>
      <c r="B1043" s="6"/>
      <c r="C1043" s="8" t="str">
        <f t="shared" si="16"/>
        <v/>
      </c>
      <c r="H1043" s="1"/>
      <c r="I1043" s="1"/>
    </row>
    <row r="1044" spans="1:9" customFormat="1" ht="15" customHeight="1" x14ac:dyDescent="0.25">
      <c r="A1044" s="6"/>
      <c r="B1044" s="6"/>
      <c r="C1044" s="8" t="str">
        <f t="shared" si="16"/>
        <v/>
      </c>
      <c r="H1044" s="1"/>
      <c r="I1044" s="1"/>
    </row>
    <row r="1045" spans="1:9" customFormat="1" ht="15" customHeight="1" x14ac:dyDescent="0.25">
      <c r="A1045" s="6"/>
      <c r="B1045" s="6"/>
      <c r="C1045" s="8" t="str">
        <f t="shared" si="16"/>
        <v/>
      </c>
      <c r="H1045" s="1"/>
      <c r="I1045" s="1"/>
    </row>
    <row r="1046" spans="1:9" customFormat="1" ht="15" customHeight="1" x14ac:dyDescent="0.25">
      <c r="A1046" s="6"/>
      <c r="B1046" s="6"/>
      <c r="C1046" s="8" t="str">
        <f t="shared" si="16"/>
        <v/>
      </c>
      <c r="H1046" s="1"/>
      <c r="I1046" s="1"/>
    </row>
    <row r="1047" spans="1:9" customFormat="1" ht="15" customHeight="1" x14ac:dyDescent="0.25">
      <c r="A1047" s="6"/>
      <c r="B1047" s="6"/>
      <c r="C1047" s="8" t="str">
        <f t="shared" si="16"/>
        <v/>
      </c>
      <c r="H1047" s="1"/>
      <c r="I1047" s="1"/>
    </row>
    <row r="1048" spans="1:9" customFormat="1" ht="15" customHeight="1" x14ac:dyDescent="0.25">
      <c r="A1048" s="6"/>
      <c r="B1048" s="6"/>
      <c r="C1048" s="8" t="str">
        <f t="shared" si="16"/>
        <v/>
      </c>
      <c r="H1048" s="1"/>
      <c r="I1048" s="1"/>
    </row>
    <row r="1049" spans="1:9" customFormat="1" ht="15" customHeight="1" x14ac:dyDescent="0.25">
      <c r="A1049" s="6"/>
      <c r="B1049" s="6"/>
      <c r="C1049" s="8" t="str">
        <f t="shared" si="16"/>
        <v/>
      </c>
      <c r="H1049" s="1"/>
      <c r="I1049" s="1"/>
    </row>
    <row r="1050" spans="1:9" customFormat="1" ht="15" customHeight="1" x14ac:dyDescent="0.25">
      <c r="A1050" s="6"/>
      <c r="B1050" s="6"/>
      <c r="C1050" s="8" t="str">
        <f t="shared" si="16"/>
        <v/>
      </c>
      <c r="H1050" s="1"/>
      <c r="I1050" s="1"/>
    </row>
    <row r="1051" spans="1:9" customFormat="1" ht="15" customHeight="1" x14ac:dyDescent="0.25">
      <c r="A1051" s="6"/>
      <c r="B1051" s="6"/>
      <c r="C1051" s="8" t="str">
        <f t="shared" si="16"/>
        <v/>
      </c>
      <c r="H1051" s="1"/>
      <c r="I1051" s="1"/>
    </row>
    <row r="1052" spans="1:9" customFormat="1" ht="15" customHeight="1" x14ac:dyDescent="0.25">
      <c r="A1052" s="6"/>
      <c r="B1052" s="6"/>
      <c r="C1052" s="8" t="str">
        <f t="shared" si="16"/>
        <v/>
      </c>
      <c r="H1052" s="1"/>
      <c r="I1052" s="1"/>
    </row>
    <row r="1053" spans="1:9" customFormat="1" ht="15" customHeight="1" x14ac:dyDescent="0.25">
      <c r="A1053" s="6"/>
      <c r="B1053" s="6"/>
      <c r="C1053" s="8" t="str">
        <f t="shared" si="16"/>
        <v/>
      </c>
      <c r="H1053" s="1"/>
      <c r="I1053" s="1"/>
    </row>
    <row r="1054" spans="1:9" customFormat="1" ht="15" customHeight="1" x14ac:dyDescent="0.25">
      <c r="A1054" s="6"/>
      <c r="B1054" s="6"/>
      <c r="C1054" s="8" t="str">
        <f t="shared" si="16"/>
        <v/>
      </c>
      <c r="H1054" s="1"/>
      <c r="I1054" s="1"/>
    </row>
    <row r="1055" spans="1:9" customFormat="1" ht="15" customHeight="1" x14ac:dyDescent="0.25">
      <c r="A1055" s="6"/>
      <c r="B1055" s="6"/>
      <c r="C1055" s="8" t="str">
        <f t="shared" si="16"/>
        <v/>
      </c>
      <c r="H1055" s="1"/>
      <c r="I1055" s="1"/>
    </row>
    <row r="1056" spans="1:9" customFormat="1" ht="15" customHeight="1" x14ac:dyDescent="0.25">
      <c r="A1056" s="6"/>
      <c r="B1056" s="6"/>
      <c r="C1056" s="8" t="str">
        <f t="shared" si="16"/>
        <v/>
      </c>
      <c r="H1056" s="1"/>
      <c r="I1056" s="1"/>
    </row>
    <row r="1057" spans="1:9" customFormat="1" ht="15" customHeight="1" x14ac:dyDescent="0.25">
      <c r="A1057" s="6"/>
      <c r="B1057" s="6"/>
      <c r="C1057" s="8" t="str">
        <f t="shared" si="16"/>
        <v/>
      </c>
      <c r="H1057" s="1"/>
      <c r="I1057" s="1"/>
    </row>
    <row r="1058" spans="1:9" customFormat="1" ht="15" customHeight="1" x14ac:dyDescent="0.25">
      <c r="A1058" s="6"/>
      <c r="B1058" s="6"/>
      <c r="C1058" s="8" t="str">
        <f t="shared" si="16"/>
        <v/>
      </c>
      <c r="H1058" s="1"/>
      <c r="I1058" s="1"/>
    </row>
    <row r="1059" spans="1:9" customFormat="1" ht="15" customHeight="1" x14ac:dyDescent="0.25">
      <c r="A1059" s="6"/>
      <c r="B1059" s="6"/>
      <c r="C1059" s="8" t="str">
        <f t="shared" si="16"/>
        <v/>
      </c>
      <c r="H1059" s="1"/>
      <c r="I1059" s="1"/>
    </row>
    <row r="1060" spans="1:9" customFormat="1" ht="15" customHeight="1" x14ac:dyDescent="0.25">
      <c r="A1060" s="6"/>
      <c r="B1060" s="6"/>
      <c r="C1060" s="8" t="str">
        <f t="shared" si="16"/>
        <v/>
      </c>
      <c r="H1060" s="1"/>
      <c r="I1060" s="1"/>
    </row>
    <row r="1061" spans="1:9" customFormat="1" ht="15" customHeight="1" x14ac:dyDescent="0.25">
      <c r="A1061" s="6"/>
      <c r="B1061" s="6"/>
      <c r="C1061" s="8" t="str">
        <f t="shared" si="16"/>
        <v/>
      </c>
      <c r="H1061" s="1"/>
      <c r="I1061" s="1"/>
    </row>
    <row r="1062" spans="1:9" customFormat="1" ht="15" customHeight="1" x14ac:dyDescent="0.25">
      <c r="A1062" s="6"/>
      <c r="B1062" s="6"/>
      <c r="C1062" s="8" t="str">
        <f t="shared" si="16"/>
        <v/>
      </c>
      <c r="H1062" s="1"/>
      <c r="I1062" s="1"/>
    </row>
    <row r="1063" spans="1:9" customFormat="1" ht="15" customHeight="1" x14ac:dyDescent="0.25">
      <c r="A1063" s="6"/>
      <c r="B1063" s="6"/>
      <c r="C1063" s="8" t="str">
        <f t="shared" si="16"/>
        <v/>
      </c>
      <c r="H1063" s="1"/>
      <c r="I1063" s="1"/>
    </row>
    <row r="1064" spans="1:9" customFormat="1" ht="15" customHeight="1" x14ac:dyDescent="0.25">
      <c r="A1064" s="6"/>
      <c r="B1064" s="6"/>
      <c r="C1064" s="8" t="str">
        <f t="shared" si="16"/>
        <v/>
      </c>
      <c r="H1064" s="1"/>
      <c r="I1064" s="1"/>
    </row>
    <row r="1065" spans="1:9" customFormat="1" ht="15" customHeight="1" x14ac:dyDescent="0.25">
      <c r="A1065" s="6"/>
      <c r="B1065" s="6"/>
      <c r="C1065" s="8" t="str">
        <f t="shared" si="16"/>
        <v/>
      </c>
      <c r="H1065" s="1"/>
      <c r="I1065" s="1"/>
    </row>
    <row r="1066" spans="1:9" customFormat="1" ht="15" customHeight="1" x14ac:dyDescent="0.25">
      <c r="A1066" s="6"/>
      <c r="B1066" s="6"/>
      <c r="C1066" s="8" t="str">
        <f t="shared" si="16"/>
        <v/>
      </c>
      <c r="H1066" s="1"/>
      <c r="I1066" s="1"/>
    </row>
    <row r="1067" spans="1:9" customFormat="1" ht="15" customHeight="1" x14ac:dyDescent="0.25">
      <c r="A1067" s="6"/>
      <c r="B1067" s="6"/>
      <c r="C1067" s="8" t="str">
        <f t="shared" si="16"/>
        <v/>
      </c>
      <c r="H1067" s="1"/>
      <c r="I1067" s="1"/>
    </row>
    <row r="1068" spans="1:9" customFormat="1" ht="15" customHeight="1" x14ac:dyDescent="0.25">
      <c r="A1068" s="6"/>
      <c r="B1068" s="6"/>
      <c r="C1068" s="8" t="str">
        <f t="shared" si="16"/>
        <v/>
      </c>
      <c r="H1068" s="1"/>
      <c r="I1068" s="1"/>
    </row>
    <row r="1069" spans="1:9" customFormat="1" ht="15" customHeight="1" x14ac:dyDescent="0.25">
      <c r="A1069" s="6"/>
      <c r="B1069" s="6"/>
      <c r="C1069" s="8" t="str">
        <f t="shared" si="16"/>
        <v/>
      </c>
      <c r="H1069" s="1"/>
      <c r="I1069" s="1"/>
    </row>
    <row r="1070" spans="1:9" customFormat="1" ht="15" customHeight="1" x14ac:dyDescent="0.25">
      <c r="A1070" s="6"/>
      <c r="B1070" s="6"/>
      <c r="C1070" s="8" t="str">
        <f t="shared" si="16"/>
        <v/>
      </c>
      <c r="H1070" s="1"/>
      <c r="I1070" s="1"/>
    </row>
    <row r="1071" spans="1:9" customFormat="1" ht="15" customHeight="1" x14ac:dyDescent="0.25">
      <c r="A1071" s="6"/>
      <c r="B1071" s="6"/>
      <c r="C1071" s="8" t="str">
        <f t="shared" si="16"/>
        <v/>
      </c>
      <c r="H1071" s="1"/>
      <c r="I1071" s="1"/>
    </row>
    <row r="1072" spans="1:9" customFormat="1" ht="15" customHeight="1" x14ac:dyDescent="0.25">
      <c r="A1072" s="6"/>
      <c r="B1072" s="6"/>
      <c r="C1072" s="8" t="str">
        <f t="shared" si="16"/>
        <v/>
      </c>
      <c r="H1072" s="1"/>
      <c r="I1072" s="1"/>
    </row>
    <row r="1073" spans="1:9" customFormat="1" ht="15" customHeight="1" x14ac:dyDescent="0.25">
      <c r="A1073" s="6"/>
      <c r="B1073" s="6"/>
      <c r="C1073" s="8" t="str">
        <f t="shared" si="16"/>
        <v/>
      </c>
      <c r="H1073" s="1"/>
      <c r="I1073" s="1"/>
    </row>
    <row r="1074" spans="1:9" customFormat="1" ht="15" customHeight="1" x14ac:dyDescent="0.25">
      <c r="A1074" s="6"/>
      <c r="B1074" s="6"/>
      <c r="C1074" s="8" t="str">
        <f t="shared" si="16"/>
        <v/>
      </c>
      <c r="H1074" s="1"/>
      <c r="I1074" s="1"/>
    </row>
    <row r="1075" spans="1:9" customFormat="1" ht="15" customHeight="1" x14ac:dyDescent="0.25">
      <c r="A1075" s="6"/>
      <c r="B1075" s="6"/>
      <c r="C1075" s="8" t="str">
        <f t="shared" si="16"/>
        <v/>
      </c>
      <c r="H1075" s="1"/>
      <c r="I1075" s="1"/>
    </row>
    <row r="1076" spans="1:9" customFormat="1" ht="15" customHeight="1" x14ac:dyDescent="0.25">
      <c r="A1076" s="6"/>
      <c r="B1076" s="6"/>
      <c r="C1076" s="8" t="str">
        <f t="shared" si="16"/>
        <v/>
      </c>
      <c r="H1076" s="1"/>
      <c r="I1076" s="1"/>
    </row>
    <row r="1077" spans="1:9" customFormat="1" ht="15" customHeight="1" x14ac:dyDescent="0.25">
      <c r="A1077" s="6"/>
      <c r="B1077" s="6"/>
      <c r="C1077" s="8" t="str">
        <f t="shared" si="16"/>
        <v/>
      </c>
      <c r="H1077" s="1"/>
      <c r="I1077" s="1"/>
    </row>
    <row r="1078" spans="1:9" customFormat="1" ht="15" customHeight="1" x14ac:dyDescent="0.25">
      <c r="A1078" s="6"/>
      <c r="B1078" s="6"/>
      <c r="C1078" s="8" t="str">
        <f t="shared" si="16"/>
        <v/>
      </c>
      <c r="H1078" s="1"/>
      <c r="I1078" s="1"/>
    </row>
    <row r="1079" spans="1:9" customFormat="1" ht="15" customHeight="1" x14ac:dyDescent="0.25">
      <c r="A1079" s="6"/>
      <c r="B1079" s="6"/>
      <c r="C1079" s="8" t="str">
        <f t="shared" si="16"/>
        <v/>
      </c>
      <c r="H1079" s="1"/>
      <c r="I1079" s="1"/>
    </row>
    <row r="1080" spans="1:9" customFormat="1" ht="15" customHeight="1" x14ac:dyDescent="0.25">
      <c r="A1080" s="6"/>
      <c r="B1080" s="6"/>
      <c r="C1080" s="8" t="str">
        <f t="shared" si="16"/>
        <v/>
      </c>
      <c r="H1080" s="1"/>
      <c r="I1080" s="1"/>
    </row>
    <row r="1081" spans="1:9" customFormat="1" ht="15" customHeight="1" x14ac:dyDescent="0.25">
      <c r="A1081" s="6"/>
      <c r="B1081" s="6"/>
      <c r="C1081" s="8" t="str">
        <f t="shared" si="16"/>
        <v/>
      </c>
      <c r="H1081" s="1"/>
      <c r="I1081" s="1"/>
    </row>
    <row r="1082" spans="1:9" customFormat="1" ht="15" customHeight="1" x14ac:dyDescent="0.25">
      <c r="A1082" s="6"/>
      <c r="B1082" s="6"/>
      <c r="C1082" s="8" t="str">
        <f t="shared" si="16"/>
        <v/>
      </c>
      <c r="H1082" s="1"/>
      <c r="I1082" s="1"/>
    </row>
    <row r="1083" spans="1:9" customFormat="1" ht="15" customHeight="1" x14ac:dyDescent="0.25">
      <c r="A1083" s="6"/>
      <c r="B1083" s="6"/>
      <c r="C1083" s="8" t="str">
        <f t="shared" si="16"/>
        <v/>
      </c>
      <c r="H1083" s="1"/>
      <c r="I1083" s="1"/>
    </row>
    <row r="1084" spans="1:9" customFormat="1" ht="15" customHeight="1" x14ac:dyDescent="0.25">
      <c r="A1084" s="6"/>
      <c r="B1084" s="6"/>
      <c r="C1084" s="8" t="str">
        <f t="shared" si="16"/>
        <v/>
      </c>
      <c r="H1084" s="1"/>
      <c r="I1084" s="1"/>
    </row>
    <row r="1085" spans="1:9" customFormat="1" ht="15" customHeight="1" x14ac:dyDescent="0.25">
      <c r="A1085" s="6"/>
      <c r="B1085" s="6"/>
      <c r="C1085" s="8" t="str">
        <f t="shared" si="16"/>
        <v/>
      </c>
      <c r="H1085" s="1"/>
      <c r="I1085" s="1"/>
    </row>
    <row r="1086" spans="1:9" customFormat="1" ht="15" customHeight="1" x14ac:dyDescent="0.25">
      <c r="A1086" s="6"/>
      <c r="B1086" s="6"/>
      <c r="C1086" s="8" t="str">
        <f t="shared" ref="C1086:C1094" si="17">IF(ISNUMBER(A1086),LN(B1086/B1085),"")</f>
        <v/>
      </c>
      <c r="H1086" s="1"/>
      <c r="I1086" s="1"/>
    </row>
    <row r="1087" spans="1:9" customFormat="1" ht="15" customHeight="1" x14ac:dyDescent="0.25">
      <c r="A1087" s="6"/>
      <c r="B1087" s="6"/>
      <c r="C1087" s="8" t="str">
        <f t="shared" si="17"/>
        <v/>
      </c>
      <c r="H1087" s="1"/>
      <c r="I1087" s="1"/>
    </row>
    <row r="1088" spans="1:9" customFormat="1" ht="15" customHeight="1" x14ac:dyDescent="0.25">
      <c r="A1088" s="6"/>
      <c r="B1088" s="6"/>
      <c r="C1088" s="8" t="str">
        <f t="shared" si="17"/>
        <v/>
      </c>
      <c r="H1088" s="1"/>
      <c r="I1088" s="1"/>
    </row>
    <row r="1089" spans="1:9" customFormat="1" ht="15" customHeight="1" x14ac:dyDescent="0.25">
      <c r="A1089" s="6"/>
      <c r="B1089" s="6"/>
      <c r="C1089" s="8" t="str">
        <f t="shared" si="17"/>
        <v/>
      </c>
      <c r="H1089" s="1"/>
      <c r="I1089" s="1"/>
    </row>
    <row r="1090" spans="1:9" customFormat="1" ht="15" customHeight="1" x14ac:dyDescent="0.25">
      <c r="A1090" s="6"/>
      <c r="B1090" s="6"/>
      <c r="C1090" s="8" t="str">
        <f t="shared" si="17"/>
        <v/>
      </c>
      <c r="H1090" s="1"/>
      <c r="I1090" s="1"/>
    </row>
    <row r="1091" spans="1:9" customFormat="1" ht="15" customHeight="1" x14ac:dyDescent="0.25">
      <c r="A1091" s="6"/>
      <c r="B1091" s="6"/>
      <c r="C1091" s="8" t="str">
        <f t="shared" si="17"/>
        <v/>
      </c>
      <c r="H1091" s="1"/>
      <c r="I1091" s="1"/>
    </row>
    <row r="1092" spans="1:9" customFormat="1" ht="15" customHeight="1" x14ac:dyDescent="0.25">
      <c r="A1092" s="6"/>
      <c r="B1092" s="6"/>
      <c r="C1092" s="8" t="str">
        <f t="shared" si="17"/>
        <v/>
      </c>
      <c r="H1092" s="1"/>
      <c r="I1092" s="1"/>
    </row>
    <row r="1093" spans="1:9" customFormat="1" ht="15" customHeight="1" x14ac:dyDescent="0.25">
      <c r="A1093" s="6"/>
      <c r="B1093" s="6"/>
      <c r="C1093" s="8" t="str">
        <f t="shared" si="17"/>
        <v/>
      </c>
      <c r="H1093" s="1"/>
      <c r="I1093" s="1"/>
    </row>
    <row r="1094" spans="1:9" customFormat="1" ht="15" customHeight="1" x14ac:dyDescent="0.25">
      <c r="A1094" s="6"/>
      <c r="B1094" s="6"/>
      <c r="C1094" s="8" t="str">
        <f t="shared" si="17"/>
        <v/>
      </c>
      <c r="H1094" s="1"/>
      <c r="I1094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A7945-69B5-4CC7-A41A-97603CD7A7C9}">
  <dimension ref="A1:L1624"/>
  <sheetViews>
    <sheetView showGridLines="0" workbookViewId="0">
      <selection activeCell="B21" sqref="B21"/>
    </sheetView>
  </sheetViews>
  <sheetFormatPr defaultRowHeight="15" x14ac:dyDescent="0.25"/>
  <cols>
    <col min="2" max="2" width="10.140625" customWidth="1"/>
    <col min="3" max="3" width="13.85546875" bestFit="1" customWidth="1"/>
    <col min="7" max="7" width="13.85546875" style="1" bestFit="1" customWidth="1"/>
    <col min="8" max="8" width="17" style="1" bestFit="1" customWidth="1"/>
    <col min="10" max="10" width="16" customWidth="1"/>
    <col min="11" max="11" width="11.28515625" customWidth="1"/>
    <col min="12" max="12" width="20.85546875" bestFit="1" customWidth="1"/>
  </cols>
  <sheetData>
    <row r="1" spans="1:12" ht="48" customHeight="1" thickBot="1" x14ac:dyDescent="0.3">
      <c r="G1"/>
      <c r="I1" s="1"/>
    </row>
    <row r="2" spans="1:12" s="2" customFormat="1" ht="6.75" customHeight="1" thickBot="1" x14ac:dyDescent="0.3">
      <c r="H2" s="3"/>
      <c r="I2" s="3"/>
    </row>
    <row r="3" spans="1:12" ht="6.75" customHeight="1" x14ac:dyDescent="0.25">
      <c r="G3"/>
      <c r="I3" s="1"/>
    </row>
    <row r="4" spans="1:12" ht="15" customHeight="1" x14ac:dyDescent="0.25">
      <c r="G4"/>
      <c r="I4" s="1"/>
    </row>
    <row r="5" spans="1:12" ht="15.75" thickBot="1" x14ac:dyDescent="0.3">
      <c r="A5" s="61" t="s">
        <v>30</v>
      </c>
      <c r="B5" s="61"/>
      <c r="C5" s="32">
        <v>100000</v>
      </c>
      <c r="D5" s="1"/>
      <c r="G5" s="11" t="s">
        <v>0</v>
      </c>
      <c r="H5" s="11" t="s">
        <v>31</v>
      </c>
    </row>
    <row r="6" spans="1:12" ht="15.75" thickTop="1" x14ac:dyDescent="0.25">
      <c r="A6" s="62" t="s">
        <v>32</v>
      </c>
      <c r="B6" s="62"/>
      <c r="C6" s="33">
        <v>43193</v>
      </c>
      <c r="D6" s="1"/>
      <c r="G6" s="10">
        <f>C6</f>
        <v>43193</v>
      </c>
      <c r="H6" s="34">
        <f>C5</f>
        <v>100000</v>
      </c>
      <c r="L6" t="s">
        <v>38</v>
      </c>
    </row>
    <row r="7" spans="1:12" x14ac:dyDescent="0.25">
      <c r="A7" s="62" t="s">
        <v>33</v>
      </c>
      <c r="B7" s="62"/>
      <c r="C7" s="33">
        <v>43801</v>
      </c>
      <c r="D7" s="1"/>
      <c r="G7" s="5">
        <f>WORKDAY(G6,1,Feriados!$A$1:$A$24)</f>
        <v>43194</v>
      </c>
      <c r="H7" s="35">
        <f>H6*(1+$C$9)</f>
        <v>100044.98181430394</v>
      </c>
      <c r="K7" s="33">
        <v>43209</v>
      </c>
      <c r="L7" s="35">
        <f>IFERROR(VLOOKUP(K7,G:H,2,FALSE),"Data não encontrada")</f>
        <v>100541.11919598376</v>
      </c>
    </row>
    <row r="8" spans="1:12" x14ac:dyDescent="0.25">
      <c r="A8" s="62" t="s">
        <v>1</v>
      </c>
      <c r="B8" s="62"/>
      <c r="C8" s="36">
        <v>0.12</v>
      </c>
      <c r="D8" s="1"/>
      <c r="G8" s="5">
        <f>WORKDAY(G7,1,Feriados!$A$1:$A$24)</f>
        <v>43195</v>
      </c>
      <c r="H8" s="35">
        <f t="shared" ref="H8:H71" si="0">H7*(1+$C$9)</f>
        <v>100089.98386224407</v>
      </c>
    </row>
    <row r="9" spans="1:12" x14ac:dyDescent="0.25">
      <c r="A9" s="63" t="s">
        <v>2</v>
      </c>
      <c r="B9" s="64"/>
      <c r="C9" s="37">
        <f>(1+C8)^(1/252)-1</f>
        <v>4.4981814303945988E-4</v>
      </c>
      <c r="D9" s="1"/>
      <c r="G9" s="5">
        <f>WORKDAY(G8,1,Feriados!$A$1:$A$24)</f>
        <v>43196</v>
      </c>
      <c r="H9" s="35">
        <f t="shared" si="0"/>
        <v>100135.00615292184</v>
      </c>
    </row>
    <row r="10" spans="1:12" ht="18.75" x14ac:dyDescent="0.3">
      <c r="A10" s="59" t="s">
        <v>34</v>
      </c>
      <c r="B10" s="60"/>
      <c r="C10" s="38">
        <f>NETWORKDAYS(C6+1,C7,Feriados!A:A)</f>
        <v>420</v>
      </c>
      <c r="D10" s="1"/>
      <c r="G10" s="5">
        <f>WORKDAY(G9,1,Feriados!$A$1:$A$24)</f>
        <v>43199</v>
      </c>
      <c r="H10" s="35">
        <f t="shared" si="0"/>
        <v>100180.04869544279</v>
      </c>
    </row>
    <row r="11" spans="1:12" ht="18.75" x14ac:dyDescent="0.3">
      <c r="A11" s="59" t="s">
        <v>35</v>
      </c>
      <c r="B11" s="60"/>
      <c r="C11" s="7">
        <f>(1+C9)^(C10)-1</f>
        <v>0.20789737589961099</v>
      </c>
      <c r="D11" s="39" t="s">
        <v>36</v>
      </c>
      <c r="E11" s="40">
        <f>(1+C8)^(C10/252)-1</f>
        <v>0.20789737589958124</v>
      </c>
      <c r="G11" s="5">
        <f>WORKDAY(G10,1,Feriados!$A$1:$A$24)</f>
        <v>43200</v>
      </c>
      <c r="H11" s="35">
        <f t="shared" si="0"/>
        <v>100225.11149891658</v>
      </c>
    </row>
    <row r="12" spans="1:12" x14ac:dyDescent="0.25">
      <c r="A12" s="61" t="s">
        <v>37</v>
      </c>
      <c r="B12" s="61"/>
      <c r="C12" s="41">
        <f>C5*(1+C11)</f>
        <v>120789.73758996109</v>
      </c>
      <c r="D12" s="1"/>
      <c r="G12" s="5">
        <f>WORKDAY(G11,1,Feriados!$A$1:$A$24)</f>
        <v>43201</v>
      </c>
      <c r="H12" s="35">
        <f t="shared" si="0"/>
        <v>100270.19457245695</v>
      </c>
    </row>
    <row r="13" spans="1:12" x14ac:dyDescent="0.25">
      <c r="G13" s="5">
        <f>WORKDAY(G12,1,Feriados!$A$1:$A$24)</f>
        <v>43202</v>
      </c>
      <c r="H13" s="35">
        <f t="shared" si="0"/>
        <v>100315.29792518175</v>
      </c>
    </row>
    <row r="14" spans="1:12" x14ac:dyDescent="0.25">
      <c r="G14" s="5">
        <f>WORKDAY(G13,1,Feriados!$A$1:$A$24)</f>
        <v>43203</v>
      </c>
      <c r="H14" s="35">
        <f>H13*(1+$C$9)</f>
        <v>100360.4215662129</v>
      </c>
    </row>
    <row r="15" spans="1:12" x14ac:dyDescent="0.25">
      <c r="G15" s="5">
        <f>WORKDAY(G14,1,Feriados!$A$1:$A$24)</f>
        <v>43206</v>
      </c>
      <c r="H15" s="35">
        <f t="shared" si="0"/>
        <v>100405.56550467647</v>
      </c>
    </row>
    <row r="16" spans="1:12" x14ac:dyDescent="0.25">
      <c r="G16" s="5">
        <f>WORKDAY(G15,1,Feriados!$A$1:$A$24)</f>
        <v>43207</v>
      </c>
      <c r="H16" s="35">
        <f t="shared" si="0"/>
        <v>100450.72974970262</v>
      </c>
    </row>
    <row r="17" spans="7:8" x14ac:dyDescent="0.25">
      <c r="G17" s="5">
        <f>WORKDAY(G16,1,Feriados!$A$1:$A$24)</f>
        <v>43208</v>
      </c>
      <c r="H17" s="35">
        <f t="shared" si="0"/>
        <v>100495.91431042559</v>
      </c>
    </row>
    <row r="18" spans="7:8" x14ac:dyDescent="0.25">
      <c r="G18" s="5">
        <f>WORKDAY(G17,1,Feriados!$A$1:$A$24)</f>
        <v>43209</v>
      </c>
      <c r="H18" s="35">
        <f t="shared" si="0"/>
        <v>100541.11919598376</v>
      </c>
    </row>
    <row r="19" spans="7:8" x14ac:dyDescent="0.25">
      <c r="G19" s="5">
        <f>WORKDAY(G18,1,Feriados!$A$1:$A$24)</f>
        <v>43210</v>
      </c>
      <c r="H19" s="35">
        <f t="shared" si="0"/>
        <v>100586.3444155196</v>
      </c>
    </row>
    <row r="20" spans="7:8" x14ac:dyDescent="0.25">
      <c r="G20" s="5">
        <f>WORKDAY(G19,1,Feriados!$A$1:$A$24)</f>
        <v>43213</v>
      </c>
      <c r="H20" s="35">
        <f t="shared" si="0"/>
        <v>100631.58997817972</v>
      </c>
    </row>
    <row r="21" spans="7:8" x14ac:dyDescent="0.25">
      <c r="G21" s="5">
        <f>WORKDAY(G20,1,Feriados!$A$1:$A$24)</f>
        <v>43214</v>
      </c>
      <c r="H21" s="35">
        <f t="shared" si="0"/>
        <v>100676.85589311481</v>
      </c>
    </row>
    <row r="22" spans="7:8" x14ac:dyDescent="0.25">
      <c r="G22" s="5">
        <f>WORKDAY(G21,1,Feriados!$A$1:$A$24)</f>
        <v>43215</v>
      </c>
      <c r="H22" s="35">
        <f t="shared" si="0"/>
        <v>100722.1421694797</v>
      </c>
    </row>
    <row r="23" spans="7:8" x14ac:dyDescent="0.25">
      <c r="G23" s="5">
        <f>WORKDAY(G22,1,Feriados!$A$1:$A$24)</f>
        <v>43216</v>
      </c>
      <c r="H23" s="35">
        <f t="shared" si="0"/>
        <v>100767.44881643333</v>
      </c>
    </row>
    <row r="24" spans="7:8" x14ac:dyDescent="0.25">
      <c r="G24" s="5">
        <f>WORKDAY(G23,1,Feriados!$A$1:$A$24)</f>
        <v>43217</v>
      </c>
      <c r="H24" s="35">
        <f t="shared" si="0"/>
        <v>100812.77584313876</v>
      </c>
    </row>
    <row r="25" spans="7:8" x14ac:dyDescent="0.25">
      <c r="G25" s="5">
        <f>WORKDAY(G24,1,Feriados!$A$1:$A$24)</f>
        <v>43220</v>
      </c>
      <c r="H25" s="35">
        <f t="shared" si="0"/>
        <v>100858.12325876318</v>
      </c>
    </row>
    <row r="26" spans="7:8" x14ac:dyDescent="0.25">
      <c r="G26" s="5">
        <f>WORKDAY(G25,1,Feriados!$A$1:$A$24)</f>
        <v>43222</v>
      </c>
      <c r="H26" s="35">
        <f t="shared" si="0"/>
        <v>100903.49107247789</v>
      </c>
    </row>
    <row r="27" spans="7:8" x14ac:dyDescent="0.25">
      <c r="G27" s="5">
        <f>WORKDAY(G26,1,Feriados!$A$1:$A$24)</f>
        <v>43223</v>
      </c>
      <c r="H27" s="35">
        <f t="shared" si="0"/>
        <v>100948.8792934583</v>
      </c>
    </row>
    <row r="28" spans="7:8" x14ac:dyDescent="0.25">
      <c r="G28" s="5">
        <f>WORKDAY(G27,1,Feriados!$A$1:$A$24)</f>
        <v>43224</v>
      </c>
      <c r="H28" s="35">
        <f t="shared" si="0"/>
        <v>100994.28793088401</v>
      </c>
    </row>
    <row r="29" spans="7:8" x14ac:dyDescent="0.25">
      <c r="G29" s="5">
        <f>WORKDAY(G28,1,Feriados!$A$1:$A$24)</f>
        <v>43227</v>
      </c>
      <c r="H29" s="35">
        <f t="shared" si="0"/>
        <v>101039.71699393867</v>
      </c>
    </row>
    <row r="30" spans="7:8" x14ac:dyDescent="0.25">
      <c r="G30" s="5">
        <f>WORKDAY(G29,1,Feriados!$A$1:$A$24)</f>
        <v>43228</v>
      </c>
      <c r="H30" s="35">
        <f t="shared" si="0"/>
        <v>101085.16649181012</v>
      </c>
    </row>
    <row r="31" spans="7:8" x14ac:dyDescent="0.25">
      <c r="G31" s="5">
        <f>WORKDAY(G30,1,Feriados!$A$1:$A$24)</f>
        <v>43229</v>
      </c>
      <c r="H31" s="35">
        <f t="shared" si="0"/>
        <v>101130.63643369029</v>
      </c>
    </row>
    <row r="32" spans="7:8" x14ac:dyDescent="0.25">
      <c r="G32" s="5">
        <f>WORKDAY(G31,1,Feriados!$A$1:$A$24)</f>
        <v>43230</v>
      </c>
      <c r="H32" s="35">
        <f t="shared" si="0"/>
        <v>101176.12682877529</v>
      </c>
    </row>
    <row r="33" spans="7:8" x14ac:dyDescent="0.25">
      <c r="G33" s="5">
        <f>WORKDAY(G32,1,Feriados!$A$1:$A$24)</f>
        <v>43231</v>
      </c>
      <c r="H33" s="35">
        <f t="shared" si="0"/>
        <v>101221.63768626534</v>
      </c>
    </row>
    <row r="34" spans="7:8" x14ac:dyDescent="0.25">
      <c r="G34" s="5">
        <f>WORKDAY(G33,1,Feriados!$A$1:$A$24)</f>
        <v>43234</v>
      </c>
      <c r="H34" s="35">
        <f t="shared" si="0"/>
        <v>101267.16901536479</v>
      </c>
    </row>
    <row r="35" spans="7:8" x14ac:dyDescent="0.25">
      <c r="G35" s="5">
        <f>WORKDAY(G34,1,Feriados!$A$1:$A$24)</f>
        <v>43235</v>
      </c>
      <c r="H35" s="35">
        <f t="shared" si="0"/>
        <v>101312.72082528214</v>
      </c>
    </row>
    <row r="36" spans="7:8" x14ac:dyDescent="0.25">
      <c r="G36" s="5">
        <f>WORKDAY(G35,1,Feriados!$A$1:$A$24)</f>
        <v>43236</v>
      </c>
      <c r="H36" s="35">
        <f t="shared" si="0"/>
        <v>101358.29312523005</v>
      </c>
    </row>
    <row r="37" spans="7:8" x14ac:dyDescent="0.25">
      <c r="G37" s="5">
        <f>WORKDAY(G36,1,Feriados!$A$1:$A$24)</f>
        <v>43237</v>
      </c>
      <c r="H37" s="35">
        <f t="shared" si="0"/>
        <v>101403.88592442528</v>
      </c>
    </row>
    <row r="38" spans="7:8" x14ac:dyDescent="0.25">
      <c r="G38" s="5">
        <f>WORKDAY(G37,1,Feriados!$A$1:$A$24)</f>
        <v>43238</v>
      </c>
      <c r="H38" s="35">
        <f t="shared" si="0"/>
        <v>101449.4992320888</v>
      </c>
    </row>
    <row r="39" spans="7:8" x14ac:dyDescent="0.25">
      <c r="G39" s="5">
        <f>WORKDAY(G38,1,Feriados!$A$1:$A$24)</f>
        <v>43241</v>
      </c>
      <c r="H39" s="35">
        <f t="shared" si="0"/>
        <v>101495.13305744567</v>
      </c>
    </row>
    <row r="40" spans="7:8" x14ac:dyDescent="0.25">
      <c r="G40" s="5">
        <f>WORKDAY(G39,1,Feriados!$A$1:$A$24)</f>
        <v>43242</v>
      </c>
      <c r="H40" s="35">
        <f t="shared" si="0"/>
        <v>101540.7874097251</v>
      </c>
    </row>
    <row r="41" spans="7:8" x14ac:dyDescent="0.25">
      <c r="G41" s="5">
        <f>WORKDAY(G40,1,Feriados!$A$1:$A$24)</f>
        <v>43243</v>
      </c>
      <c r="H41" s="35">
        <f t="shared" si="0"/>
        <v>101586.46229816051</v>
      </c>
    </row>
    <row r="42" spans="7:8" x14ac:dyDescent="0.25">
      <c r="G42" s="5">
        <f>WORKDAY(G41,1,Feriados!$A$1:$A$24)</f>
        <v>43244</v>
      </c>
      <c r="H42" s="35">
        <f t="shared" si="0"/>
        <v>101632.15773198941</v>
      </c>
    </row>
    <row r="43" spans="7:8" x14ac:dyDescent="0.25">
      <c r="G43" s="5">
        <f>WORKDAY(G42,1,Feriados!$A$1:$A$24)</f>
        <v>43245</v>
      </c>
      <c r="H43" s="35">
        <f t="shared" si="0"/>
        <v>101677.87372045351</v>
      </c>
    </row>
    <row r="44" spans="7:8" x14ac:dyDescent="0.25">
      <c r="G44" s="5">
        <f>WORKDAY(G43,1,Feriados!$A$1:$A$24)</f>
        <v>43248</v>
      </c>
      <c r="H44" s="35">
        <f t="shared" si="0"/>
        <v>101723.61027279864</v>
      </c>
    </row>
    <row r="45" spans="7:8" x14ac:dyDescent="0.25">
      <c r="G45" s="5">
        <f>WORKDAY(G44,1,Feriados!$A$1:$A$24)</f>
        <v>43249</v>
      </c>
      <c r="H45" s="35">
        <f t="shared" si="0"/>
        <v>101769.36739827483</v>
      </c>
    </row>
    <row r="46" spans="7:8" x14ac:dyDescent="0.25">
      <c r="G46" s="5">
        <f>WORKDAY(G45,1,Feriados!$A$1:$A$24)</f>
        <v>43250</v>
      </c>
      <c r="H46" s="35">
        <f t="shared" si="0"/>
        <v>101815.14510613622</v>
      </c>
    </row>
    <row r="47" spans="7:8" x14ac:dyDescent="0.25">
      <c r="G47" s="5">
        <f>WORKDAY(G46,1,Feriados!$A$1:$A$24)</f>
        <v>43252</v>
      </c>
      <c r="H47" s="35">
        <f t="shared" si="0"/>
        <v>101860.94340564116</v>
      </c>
    </row>
    <row r="48" spans="7:8" x14ac:dyDescent="0.25">
      <c r="G48" s="5">
        <f>WORKDAY(G47,1,Feriados!$A$1:$A$24)</f>
        <v>43255</v>
      </c>
      <c r="H48" s="35">
        <f t="shared" si="0"/>
        <v>101906.76230605213</v>
      </c>
    </row>
    <row r="49" spans="7:8" x14ac:dyDescent="0.25">
      <c r="G49" s="5">
        <f>WORKDAY(G48,1,Feriados!$A$1:$A$24)</f>
        <v>43256</v>
      </c>
      <c r="H49" s="35">
        <f t="shared" si="0"/>
        <v>101952.6018166358</v>
      </c>
    </row>
    <row r="50" spans="7:8" x14ac:dyDescent="0.25">
      <c r="G50" s="5">
        <f>WORKDAY(G49,1,Feriados!$A$1:$A$24)</f>
        <v>43257</v>
      </c>
      <c r="H50" s="35">
        <f t="shared" si="0"/>
        <v>101998.461946663</v>
      </c>
    </row>
    <row r="51" spans="7:8" x14ac:dyDescent="0.25">
      <c r="G51" s="5">
        <f>WORKDAY(G50,1,Feriados!$A$1:$A$24)</f>
        <v>43258</v>
      </c>
      <c r="H51" s="35">
        <f t="shared" si="0"/>
        <v>102044.34270540872</v>
      </c>
    </row>
    <row r="52" spans="7:8" x14ac:dyDescent="0.25">
      <c r="G52" s="5">
        <f>WORKDAY(G51,1,Feriados!$A$1:$A$24)</f>
        <v>43259</v>
      </c>
      <c r="H52" s="35">
        <f t="shared" si="0"/>
        <v>102090.24410215215</v>
      </c>
    </row>
    <row r="53" spans="7:8" x14ac:dyDescent="0.25">
      <c r="G53" s="5">
        <f>WORKDAY(G52,1,Feriados!$A$1:$A$24)</f>
        <v>43262</v>
      </c>
      <c r="H53" s="35">
        <f t="shared" si="0"/>
        <v>102136.16614617662</v>
      </c>
    </row>
    <row r="54" spans="7:8" x14ac:dyDescent="0.25">
      <c r="G54" s="5">
        <f>WORKDAY(G53,1,Feriados!$A$1:$A$24)</f>
        <v>43263</v>
      </c>
      <c r="H54" s="35">
        <f t="shared" si="0"/>
        <v>102182.10884676967</v>
      </c>
    </row>
    <row r="55" spans="7:8" x14ac:dyDescent="0.25">
      <c r="G55" s="5">
        <f>WORKDAY(G54,1,Feriados!$A$1:$A$24)</f>
        <v>43264</v>
      </c>
      <c r="H55" s="35">
        <f t="shared" si="0"/>
        <v>102228.07221322297</v>
      </c>
    </row>
    <row r="56" spans="7:8" x14ac:dyDescent="0.25">
      <c r="G56" s="5">
        <f>WORKDAY(G55,1,Feriados!$A$1:$A$24)</f>
        <v>43265</v>
      </c>
      <c r="H56" s="35">
        <f t="shared" si="0"/>
        <v>102274.05625483242</v>
      </c>
    </row>
    <row r="57" spans="7:8" x14ac:dyDescent="0.25">
      <c r="G57" s="5">
        <f>WORKDAY(G56,1,Feriados!$A$1:$A$24)</f>
        <v>43266</v>
      </c>
      <c r="H57" s="35">
        <f t="shared" si="0"/>
        <v>102320.06098089808</v>
      </c>
    </row>
    <row r="58" spans="7:8" x14ac:dyDescent="0.25">
      <c r="G58" s="5">
        <f>WORKDAY(G57,1,Feriados!$A$1:$A$24)</f>
        <v>43269</v>
      </c>
      <c r="H58" s="35">
        <f t="shared" si="0"/>
        <v>102366.08640072419</v>
      </c>
    </row>
    <row r="59" spans="7:8" x14ac:dyDescent="0.25">
      <c r="G59" s="5">
        <f>WORKDAY(G58,1,Feriados!$A$1:$A$24)</f>
        <v>43270</v>
      </c>
      <c r="H59" s="35">
        <f t="shared" si="0"/>
        <v>102412.13252361918</v>
      </c>
    </row>
    <row r="60" spans="7:8" x14ac:dyDescent="0.25">
      <c r="G60" s="5">
        <f>WORKDAY(G59,1,Feriados!$A$1:$A$24)</f>
        <v>43271</v>
      </c>
      <c r="H60" s="35">
        <f t="shared" si="0"/>
        <v>102458.19935889567</v>
      </c>
    </row>
    <row r="61" spans="7:8" x14ac:dyDescent="0.25">
      <c r="G61" s="5">
        <f>WORKDAY(G60,1,Feriados!$A$1:$A$24)</f>
        <v>43272</v>
      </c>
      <c r="H61" s="35">
        <f t="shared" si="0"/>
        <v>102504.28691587046</v>
      </c>
    </row>
    <row r="62" spans="7:8" x14ac:dyDescent="0.25">
      <c r="G62" s="5">
        <f>WORKDAY(G61,1,Feriados!$A$1:$A$24)</f>
        <v>43273</v>
      </c>
      <c r="H62" s="35">
        <f t="shared" si="0"/>
        <v>102550.39520386454</v>
      </c>
    </row>
    <row r="63" spans="7:8" x14ac:dyDescent="0.25">
      <c r="G63" s="5">
        <f>WORKDAY(G62,1,Feriados!$A$1:$A$24)</f>
        <v>43276</v>
      </c>
      <c r="H63" s="35">
        <f t="shared" si="0"/>
        <v>102596.5242322031</v>
      </c>
    </row>
    <row r="64" spans="7:8" x14ac:dyDescent="0.25">
      <c r="G64" s="5">
        <f>WORKDAY(G63,1,Feriados!$A$1:$A$24)</f>
        <v>43277</v>
      </c>
      <c r="H64" s="35">
        <f t="shared" si="0"/>
        <v>102642.67401021553</v>
      </c>
    </row>
    <row r="65" spans="7:8" x14ac:dyDescent="0.25">
      <c r="G65" s="5">
        <f>WORKDAY(G64,1,Feriados!$A$1:$A$24)</f>
        <v>43278</v>
      </c>
      <c r="H65" s="35">
        <f t="shared" si="0"/>
        <v>102688.84454723541</v>
      </c>
    </row>
    <row r="66" spans="7:8" x14ac:dyDescent="0.25">
      <c r="G66" s="5">
        <f>WORKDAY(G65,1,Feriados!$A$1:$A$24)</f>
        <v>43279</v>
      </c>
      <c r="H66" s="35">
        <f t="shared" si="0"/>
        <v>102735.03585260051</v>
      </c>
    </row>
    <row r="67" spans="7:8" x14ac:dyDescent="0.25">
      <c r="G67" s="5">
        <f>WORKDAY(G66,1,Feriados!$A$1:$A$24)</f>
        <v>43280</v>
      </c>
      <c r="H67" s="35">
        <f t="shared" si="0"/>
        <v>102781.24793565282</v>
      </c>
    </row>
    <row r="68" spans="7:8" x14ac:dyDescent="0.25">
      <c r="G68" s="5">
        <f>WORKDAY(G67,1,Feriados!$A$1:$A$24)</f>
        <v>43283</v>
      </c>
      <c r="H68" s="35">
        <f t="shared" si="0"/>
        <v>102827.48080573851</v>
      </c>
    </row>
    <row r="69" spans="7:8" x14ac:dyDescent="0.25">
      <c r="G69" s="5">
        <f>WORKDAY(G68,1,Feriados!$A$1:$A$24)</f>
        <v>43284</v>
      </c>
      <c r="H69" s="35">
        <f t="shared" si="0"/>
        <v>102873.73447220797</v>
      </c>
    </row>
    <row r="70" spans="7:8" x14ac:dyDescent="0.25">
      <c r="G70" s="5">
        <f>WORKDAY(G69,1,Feriados!$A$1:$A$24)</f>
        <v>43285</v>
      </c>
      <c r="H70" s="35">
        <f t="shared" si="0"/>
        <v>102920.00894441579</v>
      </c>
    </row>
    <row r="71" spans="7:8" x14ac:dyDescent="0.25">
      <c r="G71" s="5">
        <f>WORKDAY(G70,1,Feriados!$A$1:$A$24)</f>
        <v>43286</v>
      </c>
      <c r="H71" s="35">
        <f t="shared" si="0"/>
        <v>102966.30423172077</v>
      </c>
    </row>
    <row r="72" spans="7:8" x14ac:dyDescent="0.25">
      <c r="G72" s="5">
        <f>WORKDAY(G71,1,Feriados!$A$1:$A$24)</f>
        <v>43287</v>
      </c>
      <c r="H72" s="35">
        <f t="shared" ref="H72:H135" si="1">H71*(1+$C$9)</f>
        <v>103012.62034348592</v>
      </c>
    </row>
    <row r="73" spans="7:8" x14ac:dyDescent="0.25">
      <c r="G73" s="5">
        <f>WORKDAY(G72,1,Feriados!$A$1:$A$24)</f>
        <v>43290</v>
      </c>
      <c r="H73" s="35">
        <f t="shared" si="1"/>
        <v>103058.95728907846</v>
      </c>
    </row>
    <row r="74" spans="7:8" x14ac:dyDescent="0.25">
      <c r="G74" s="5">
        <f>WORKDAY(G73,1,Feriados!$A$1:$A$24)</f>
        <v>43291</v>
      </c>
      <c r="H74" s="35">
        <f t="shared" si="1"/>
        <v>103105.31507786982</v>
      </c>
    </row>
    <row r="75" spans="7:8" x14ac:dyDescent="0.25">
      <c r="G75" s="5">
        <f>WORKDAY(G74,1,Feriados!$A$1:$A$24)</f>
        <v>43292</v>
      </c>
      <c r="H75" s="35">
        <f t="shared" si="1"/>
        <v>103151.69371923564</v>
      </c>
    </row>
    <row r="76" spans="7:8" x14ac:dyDescent="0.25">
      <c r="G76" s="5">
        <f>WORKDAY(G75,1,Feriados!$A$1:$A$24)</f>
        <v>43293</v>
      </c>
      <c r="H76" s="35">
        <f t="shared" si="1"/>
        <v>103198.09322255581</v>
      </c>
    </row>
    <row r="77" spans="7:8" x14ac:dyDescent="0.25">
      <c r="G77" s="5">
        <f>WORKDAY(G76,1,Feriados!$A$1:$A$24)</f>
        <v>43294</v>
      </c>
      <c r="H77" s="35">
        <f t="shared" si="1"/>
        <v>103244.51359721439</v>
      </c>
    </row>
    <row r="78" spans="7:8" x14ac:dyDescent="0.25">
      <c r="G78" s="5">
        <f>WORKDAY(G77,1,Feriados!$A$1:$A$24)</f>
        <v>43297</v>
      </c>
      <c r="H78" s="35">
        <f t="shared" si="1"/>
        <v>103290.95485259971</v>
      </c>
    </row>
    <row r="79" spans="7:8" x14ac:dyDescent="0.25">
      <c r="G79" s="5">
        <f>WORKDAY(G78,1,Feriados!$A$1:$A$24)</f>
        <v>43298</v>
      </c>
      <c r="H79" s="35">
        <f t="shared" si="1"/>
        <v>103337.41699810428</v>
      </c>
    </row>
    <row r="80" spans="7:8" x14ac:dyDescent="0.25">
      <c r="G80" s="5">
        <f>WORKDAY(G79,1,Feriados!$A$1:$A$24)</f>
        <v>43299</v>
      </c>
      <c r="H80" s="35">
        <f t="shared" si="1"/>
        <v>103383.90004312486</v>
      </c>
    </row>
    <row r="81" spans="7:8" x14ac:dyDescent="0.25">
      <c r="G81" s="5">
        <f>WORKDAY(G80,1,Feriados!$A$1:$A$24)</f>
        <v>43300</v>
      </c>
      <c r="H81" s="35">
        <f t="shared" si="1"/>
        <v>103430.40399706243</v>
      </c>
    </row>
    <row r="82" spans="7:8" x14ac:dyDescent="0.25">
      <c r="G82" s="5">
        <f>WORKDAY(G81,1,Feriados!$A$1:$A$24)</f>
        <v>43301</v>
      </c>
      <c r="H82" s="35">
        <f t="shared" si="1"/>
        <v>103476.9288693222</v>
      </c>
    </row>
    <row r="83" spans="7:8" x14ac:dyDescent="0.25">
      <c r="G83" s="5">
        <f>WORKDAY(G82,1,Feriados!$A$1:$A$24)</f>
        <v>43304</v>
      </c>
      <c r="H83" s="35">
        <f t="shared" si="1"/>
        <v>103523.47466931363</v>
      </c>
    </row>
    <row r="84" spans="7:8" x14ac:dyDescent="0.25">
      <c r="G84" s="5">
        <f>WORKDAY(G83,1,Feriados!$A$1:$A$24)</f>
        <v>43305</v>
      </c>
      <c r="H84" s="35">
        <f t="shared" si="1"/>
        <v>103570.04140645037</v>
      </c>
    </row>
    <row r="85" spans="7:8" x14ac:dyDescent="0.25">
      <c r="G85" s="5">
        <f>WORKDAY(G84,1,Feriados!$A$1:$A$24)</f>
        <v>43306</v>
      </c>
      <c r="H85" s="35">
        <f t="shared" si="1"/>
        <v>103616.62909015034</v>
      </c>
    </row>
    <row r="86" spans="7:8" x14ac:dyDescent="0.25">
      <c r="G86" s="5">
        <f>WORKDAY(G85,1,Feriados!$A$1:$A$24)</f>
        <v>43307</v>
      </c>
      <c r="H86" s="35">
        <f t="shared" si="1"/>
        <v>103663.23772983567</v>
      </c>
    </row>
    <row r="87" spans="7:8" x14ac:dyDescent="0.25">
      <c r="G87" s="5">
        <f>WORKDAY(G86,1,Feriados!$A$1:$A$24)</f>
        <v>43308</v>
      </c>
      <c r="H87" s="35">
        <f t="shared" si="1"/>
        <v>103709.86733493277</v>
      </c>
    </row>
    <row r="88" spans="7:8" x14ac:dyDescent="0.25">
      <c r="G88" s="5">
        <f>WORKDAY(G87,1,Feriados!$A$1:$A$24)</f>
        <v>43311</v>
      </c>
      <c r="H88" s="35">
        <f t="shared" si="1"/>
        <v>103756.51791487224</v>
      </c>
    </row>
    <row r="89" spans="7:8" x14ac:dyDescent="0.25">
      <c r="G89" s="5">
        <f>WORKDAY(G88,1,Feriados!$A$1:$A$24)</f>
        <v>43312</v>
      </c>
      <c r="H89" s="35">
        <f t="shared" si="1"/>
        <v>103803.18947908895</v>
      </c>
    </row>
    <row r="90" spans="7:8" x14ac:dyDescent="0.25">
      <c r="G90" s="5">
        <f>WORKDAY(G89,1,Feriados!$A$1:$A$24)</f>
        <v>43313</v>
      </c>
      <c r="H90" s="35">
        <f t="shared" si="1"/>
        <v>103849.88203702201</v>
      </c>
    </row>
    <row r="91" spans="7:8" x14ac:dyDescent="0.25">
      <c r="G91" s="5">
        <f>WORKDAY(G90,1,Feriados!$A$1:$A$24)</f>
        <v>43314</v>
      </c>
      <c r="H91" s="35">
        <f t="shared" si="1"/>
        <v>103896.59559811477</v>
      </c>
    </row>
    <row r="92" spans="7:8" x14ac:dyDescent="0.25">
      <c r="G92" s="5">
        <f>WORKDAY(G91,1,Feriados!$A$1:$A$24)</f>
        <v>43315</v>
      </c>
      <c r="H92" s="35">
        <f t="shared" si="1"/>
        <v>103943.33017181484</v>
      </c>
    </row>
    <row r="93" spans="7:8" x14ac:dyDescent="0.25">
      <c r="G93" s="5">
        <f>WORKDAY(G92,1,Feriados!$A$1:$A$24)</f>
        <v>43318</v>
      </c>
      <c r="H93" s="35">
        <f t="shared" si="1"/>
        <v>103990.08576757407</v>
      </c>
    </row>
    <row r="94" spans="7:8" x14ac:dyDescent="0.25">
      <c r="G94" s="5">
        <f>WORKDAY(G93,1,Feriados!$A$1:$A$24)</f>
        <v>43319</v>
      </c>
      <c r="H94" s="35">
        <f t="shared" si="1"/>
        <v>104036.86239484855</v>
      </c>
    </row>
    <row r="95" spans="7:8" x14ac:dyDescent="0.25">
      <c r="G95" s="5">
        <f>WORKDAY(G94,1,Feriados!$A$1:$A$24)</f>
        <v>43320</v>
      </c>
      <c r="H95" s="35">
        <f t="shared" si="1"/>
        <v>104083.66006309865</v>
      </c>
    </row>
    <row r="96" spans="7:8" x14ac:dyDescent="0.25">
      <c r="G96" s="5">
        <f>WORKDAY(G95,1,Feriados!$A$1:$A$24)</f>
        <v>43321</v>
      </c>
      <c r="H96" s="35">
        <f t="shared" si="1"/>
        <v>104130.47878178899</v>
      </c>
    </row>
    <row r="97" spans="7:8" x14ac:dyDescent="0.25">
      <c r="G97" s="5">
        <f>WORKDAY(G96,1,Feriados!$A$1:$A$24)</f>
        <v>43322</v>
      </c>
      <c r="H97" s="35">
        <f t="shared" si="1"/>
        <v>104177.31856038842</v>
      </c>
    </row>
    <row r="98" spans="7:8" x14ac:dyDescent="0.25">
      <c r="G98" s="5">
        <f>WORKDAY(G97,1,Feriados!$A$1:$A$24)</f>
        <v>43325</v>
      </c>
      <c r="H98" s="35">
        <f t="shared" si="1"/>
        <v>104224.17940837008</v>
      </c>
    </row>
    <row r="99" spans="7:8" x14ac:dyDescent="0.25">
      <c r="G99" s="5">
        <f>WORKDAY(G98,1,Feriados!$A$1:$A$24)</f>
        <v>43326</v>
      </c>
      <c r="H99" s="35">
        <f t="shared" si="1"/>
        <v>104271.06133521137</v>
      </c>
    </row>
    <row r="100" spans="7:8" x14ac:dyDescent="0.25">
      <c r="G100" s="5">
        <f>WORKDAY(G99,1,Feriados!$A$1:$A$24)</f>
        <v>43327</v>
      </c>
      <c r="H100" s="35">
        <f t="shared" si="1"/>
        <v>104317.96435039393</v>
      </c>
    </row>
    <row r="101" spans="7:8" x14ac:dyDescent="0.25">
      <c r="G101" s="5">
        <f>WORKDAY(G100,1,Feriados!$A$1:$A$24)</f>
        <v>43328</v>
      </c>
      <c r="H101" s="35">
        <f t="shared" si="1"/>
        <v>104364.88846340368</v>
      </c>
    </row>
    <row r="102" spans="7:8" x14ac:dyDescent="0.25">
      <c r="G102" s="5">
        <f>WORKDAY(G101,1,Feriados!$A$1:$A$24)</f>
        <v>43329</v>
      </c>
      <c r="H102" s="35">
        <f t="shared" si="1"/>
        <v>104411.83368373082</v>
      </c>
    </row>
    <row r="103" spans="7:8" x14ac:dyDescent="0.25">
      <c r="G103" s="5">
        <f>WORKDAY(G102,1,Feriados!$A$1:$A$24)</f>
        <v>43332</v>
      </c>
      <c r="H103" s="35">
        <f t="shared" si="1"/>
        <v>104458.80002086978</v>
      </c>
    </row>
    <row r="104" spans="7:8" x14ac:dyDescent="0.25">
      <c r="G104" s="5">
        <f>WORKDAY(G103,1,Feriados!$A$1:$A$24)</f>
        <v>43333</v>
      </c>
      <c r="H104" s="35">
        <f t="shared" si="1"/>
        <v>104505.7874843193</v>
      </c>
    </row>
    <row r="105" spans="7:8" x14ac:dyDescent="0.25">
      <c r="G105" s="5">
        <f>WORKDAY(G104,1,Feriados!$A$1:$A$24)</f>
        <v>43334</v>
      </c>
      <c r="H105" s="35">
        <f t="shared" si="1"/>
        <v>104552.79608358238</v>
      </c>
    </row>
    <row r="106" spans="7:8" x14ac:dyDescent="0.25">
      <c r="G106" s="5">
        <f>WORKDAY(G105,1,Feriados!$A$1:$A$24)</f>
        <v>43335</v>
      </c>
      <c r="H106" s="35">
        <f t="shared" si="1"/>
        <v>104599.82582816627</v>
      </c>
    </row>
    <row r="107" spans="7:8" x14ac:dyDescent="0.25">
      <c r="G107" s="5">
        <f>WORKDAY(G106,1,Feriados!$A$1:$A$24)</f>
        <v>43336</v>
      </c>
      <c r="H107" s="35">
        <f t="shared" si="1"/>
        <v>104646.87672758255</v>
      </c>
    </row>
    <row r="108" spans="7:8" x14ac:dyDescent="0.25">
      <c r="G108" s="5">
        <f>WORKDAY(G107,1,Feriados!$A$1:$A$24)</f>
        <v>43339</v>
      </c>
      <c r="H108" s="35">
        <f t="shared" si="1"/>
        <v>104693.94879134704</v>
      </c>
    </row>
    <row r="109" spans="7:8" x14ac:dyDescent="0.25">
      <c r="G109" s="5">
        <f>WORKDAY(G108,1,Feriados!$A$1:$A$24)</f>
        <v>43340</v>
      </c>
      <c r="H109" s="35">
        <f t="shared" si="1"/>
        <v>104741.04202897983</v>
      </c>
    </row>
    <row r="110" spans="7:8" x14ac:dyDescent="0.25">
      <c r="G110" s="5">
        <f>WORKDAY(G109,1,Feriados!$A$1:$A$24)</f>
        <v>43341</v>
      </c>
      <c r="H110" s="35">
        <f t="shared" si="1"/>
        <v>104788.15645000534</v>
      </c>
    </row>
    <row r="111" spans="7:8" x14ac:dyDescent="0.25">
      <c r="G111" s="5">
        <f>WORKDAY(G110,1,Feriados!$A$1:$A$24)</f>
        <v>43342</v>
      </c>
      <c r="H111" s="35">
        <f t="shared" si="1"/>
        <v>104835.29206395221</v>
      </c>
    </row>
    <row r="112" spans="7:8" x14ac:dyDescent="0.25">
      <c r="G112" s="5">
        <f>WORKDAY(G111,1,Feriados!$A$1:$A$24)</f>
        <v>43343</v>
      </c>
      <c r="H112" s="35">
        <f t="shared" si="1"/>
        <v>104882.44888035342</v>
      </c>
    </row>
    <row r="113" spans="7:8" x14ac:dyDescent="0.25">
      <c r="G113" s="5">
        <f>WORKDAY(G112,1,Feriados!$A$1:$A$24)</f>
        <v>43346</v>
      </c>
      <c r="H113" s="35">
        <f t="shared" si="1"/>
        <v>104929.62690874621</v>
      </c>
    </row>
    <row r="114" spans="7:8" x14ac:dyDescent="0.25">
      <c r="G114" s="5">
        <f>WORKDAY(G113,1,Feriados!$A$1:$A$24)</f>
        <v>43347</v>
      </c>
      <c r="H114" s="35">
        <f t="shared" si="1"/>
        <v>104976.82615867213</v>
      </c>
    </row>
    <row r="115" spans="7:8" x14ac:dyDescent="0.25">
      <c r="G115" s="5">
        <f>WORKDAY(G114,1,Feriados!$A$1:$A$24)</f>
        <v>43348</v>
      </c>
      <c r="H115" s="35">
        <f t="shared" si="1"/>
        <v>105024.04663967701</v>
      </c>
    </row>
    <row r="116" spans="7:8" x14ac:dyDescent="0.25">
      <c r="G116" s="5">
        <f>WORKDAY(G115,1,Feriados!$A$1:$A$24)</f>
        <v>43349</v>
      </c>
      <c r="H116" s="35">
        <f t="shared" si="1"/>
        <v>105071.28836131096</v>
      </c>
    </row>
    <row r="117" spans="7:8" x14ac:dyDescent="0.25">
      <c r="G117" s="5">
        <f>WORKDAY(G116,1,Feriados!$A$1:$A$24)</f>
        <v>43353</v>
      </c>
      <c r="H117" s="35">
        <f t="shared" si="1"/>
        <v>105118.5513331284</v>
      </c>
    </row>
    <row r="118" spans="7:8" x14ac:dyDescent="0.25">
      <c r="G118" s="5">
        <f>WORKDAY(G117,1,Feriados!$A$1:$A$24)</f>
        <v>43354</v>
      </c>
      <c r="H118" s="35">
        <f t="shared" si="1"/>
        <v>105165.83556468807</v>
      </c>
    </row>
    <row r="119" spans="7:8" x14ac:dyDescent="0.25">
      <c r="G119" s="5">
        <f>WORKDAY(G118,1,Feriados!$A$1:$A$24)</f>
        <v>43355</v>
      </c>
      <c r="H119" s="35">
        <f t="shared" si="1"/>
        <v>105213.14106555296</v>
      </c>
    </row>
    <row r="120" spans="7:8" x14ac:dyDescent="0.25">
      <c r="G120" s="5">
        <f>WORKDAY(G119,1,Feriados!$A$1:$A$24)</f>
        <v>43356</v>
      </c>
      <c r="H120" s="35">
        <f t="shared" si="1"/>
        <v>105260.46784529042</v>
      </c>
    </row>
    <row r="121" spans="7:8" x14ac:dyDescent="0.25">
      <c r="G121" s="5">
        <f>WORKDAY(G120,1,Feriados!$A$1:$A$24)</f>
        <v>43357</v>
      </c>
      <c r="H121" s="35">
        <f t="shared" si="1"/>
        <v>105307.81591347205</v>
      </c>
    </row>
    <row r="122" spans="7:8" x14ac:dyDescent="0.25">
      <c r="G122" s="5">
        <f>WORKDAY(G121,1,Feriados!$A$1:$A$24)</f>
        <v>43360</v>
      </c>
      <c r="H122" s="35">
        <f t="shared" si="1"/>
        <v>105355.18527967378</v>
      </c>
    </row>
    <row r="123" spans="7:8" x14ac:dyDescent="0.25">
      <c r="G123" s="5">
        <f>WORKDAY(G122,1,Feriados!$A$1:$A$24)</f>
        <v>43361</v>
      </c>
      <c r="H123" s="35">
        <f t="shared" si="1"/>
        <v>105402.57595347585</v>
      </c>
    </row>
    <row r="124" spans="7:8" x14ac:dyDescent="0.25">
      <c r="G124" s="5">
        <f>WORKDAY(G123,1,Feriados!$A$1:$A$24)</f>
        <v>43362</v>
      </c>
      <c r="H124" s="35">
        <f t="shared" si="1"/>
        <v>105449.98794446282</v>
      </c>
    </row>
    <row r="125" spans="7:8" x14ac:dyDescent="0.25">
      <c r="G125" s="5">
        <f>WORKDAY(G124,1,Feriados!$A$1:$A$24)</f>
        <v>43363</v>
      </c>
      <c r="H125" s="35">
        <f t="shared" si="1"/>
        <v>105497.42126222354</v>
      </c>
    </row>
    <row r="126" spans="7:8" x14ac:dyDescent="0.25">
      <c r="G126" s="5">
        <f>WORKDAY(G125,1,Feriados!$A$1:$A$24)</f>
        <v>43364</v>
      </c>
      <c r="H126" s="35">
        <f t="shared" si="1"/>
        <v>105544.87591635116</v>
      </c>
    </row>
    <row r="127" spans="7:8" x14ac:dyDescent="0.25">
      <c r="G127" s="5">
        <f>WORKDAY(G126,1,Feriados!$A$1:$A$24)</f>
        <v>43367</v>
      </c>
      <c r="H127" s="35">
        <f t="shared" si="1"/>
        <v>105592.35191644318</v>
      </c>
    </row>
    <row r="128" spans="7:8" x14ac:dyDescent="0.25">
      <c r="G128" s="5">
        <f>WORKDAY(G127,1,Feriados!$A$1:$A$24)</f>
        <v>43368</v>
      </c>
      <c r="H128" s="35">
        <f t="shared" si="1"/>
        <v>105639.8492721014</v>
      </c>
    </row>
    <row r="129" spans="7:8" x14ac:dyDescent="0.25">
      <c r="G129" s="5">
        <f>WORKDAY(G128,1,Feriados!$A$1:$A$24)</f>
        <v>43369</v>
      </c>
      <c r="H129" s="35">
        <f t="shared" si="1"/>
        <v>105687.36799293195</v>
      </c>
    </row>
    <row r="130" spans="7:8" x14ac:dyDescent="0.25">
      <c r="G130" s="5">
        <f>WORKDAY(G129,1,Feriados!$A$1:$A$24)</f>
        <v>43370</v>
      </c>
      <c r="H130" s="35">
        <f t="shared" si="1"/>
        <v>105734.90808854526</v>
      </c>
    </row>
    <row r="131" spans="7:8" x14ac:dyDescent="0.25">
      <c r="G131" s="5">
        <f>WORKDAY(G130,1,Feriados!$A$1:$A$24)</f>
        <v>43371</v>
      </c>
      <c r="H131" s="35">
        <f t="shared" si="1"/>
        <v>105782.46956855609</v>
      </c>
    </row>
    <row r="132" spans="7:8" x14ac:dyDescent="0.25">
      <c r="G132" s="5">
        <f>WORKDAY(G131,1,Feriados!$A$1:$A$24)</f>
        <v>43374</v>
      </c>
      <c r="H132" s="35">
        <f t="shared" si="1"/>
        <v>105830.05244258355</v>
      </c>
    </row>
    <row r="133" spans="7:8" x14ac:dyDescent="0.25">
      <c r="G133" s="5">
        <f>WORKDAY(G132,1,Feriados!$A$1:$A$24)</f>
        <v>43375</v>
      </c>
      <c r="H133" s="35">
        <f t="shared" si="1"/>
        <v>105877.65672025103</v>
      </c>
    </row>
    <row r="134" spans="7:8" x14ac:dyDescent="0.25">
      <c r="G134" s="5">
        <f>WORKDAY(G133,1,Feriados!$A$1:$A$24)</f>
        <v>43376</v>
      </c>
      <c r="H134" s="35">
        <f t="shared" si="1"/>
        <v>105925.2824111863</v>
      </c>
    </row>
    <row r="135" spans="7:8" x14ac:dyDescent="0.25">
      <c r="G135" s="5">
        <f>WORKDAY(G134,1,Feriados!$A$1:$A$24)</f>
        <v>43377</v>
      </c>
      <c r="H135" s="35">
        <f t="shared" si="1"/>
        <v>105972.92952502143</v>
      </c>
    </row>
    <row r="136" spans="7:8" x14ac:dyDescent="0.25">
      <c r="G136" s="5">
        <f>WORKDAY(G135,1,Feriados!$A$1:$A$24)</f>
        <v>43378</v>
      </c>
      <c r="H136" s="35">
        <f t="shared" ref="H136:H199" si="2">H135*(1+$C$9)</f>
        <v>106020.59807139283</v>
      </c>
    </row>
    <row r="137" spans="7:8" x14ac:dyDescent="0.25">
      <c r="G137" s="5">
        <f>WORKDAY(G136,1,Feriados!$A$1:$A$24)</f>
        <v>43381</v>
      </c>
      <c r="H137" s="35">
        <f t="shared" si="2"/>
        <v>106068.28805994123</v>
      </c>
    </row>
    <row r="138" spans="7:8" x14ac:dyDescent="0.25">
      <c r="G138" s="5">
        <f>WORKDAY(G137,1,Feriados!$A$1:$A$24)</f>
        <v>43382</v>
      </c>
      <c r="H138" s="35">
        <f t="shared" si="2"/>
        <v>106115.99950031172</v>
      </c>
    </row>
    <row r="139" spans="7:8" x14ac:dyDescent="0.25">
      <c r="G139" s="5">
        <f>WORKDAY(G138,1,Feriados!$A$1:$A$24)</f>
        <v>43383</v>
      </c>
      <c r="H139" s="35">
        <f t="shared" si="2"/>
        <v>106163.73240215374</v>
      </c>
    </row>
    <row r="140" spans="7:8" x14ac:dyDescent="0.25">
      <c r="G140" s="5">
        <f>WORKDAY(G139,1,Feriados!$A$1:$A$24)</f>
        <v>43384</v>
      </c>
      <c r="H140" s="35">
        <f t="shared" si="2"/>
        <v>106211.48677512101</v>
      </c>
    </row>
    <row r="141" spans="7:8" x14ac:dyDescent="0.25">
      <c r="G141" s="5">
        <f>WORKDAY(G140,1,Feriados!$A$1:$A$24)</f>
        <v>43388</v>
      </c>
      <c r="H141" s="35">
        <f t="shared" si="2"/>
        <v>106259.26262887166</v>
      </c>
    </row>
    <row r="142" spans="7:8" x14ac:dyDescent="0.25">
      <c r="G142" s="5">
        <f>WORKDAY(G141,1,Feriados!$A$1:$A$24)</f>
        <v>43389</v>
      </c>
      <c r="H142" s="35">
        <f t="shared" si="2"/>
        <v>106307.05997306811</v>
      </c>
    </row>
    <row r="143" spans="7:8" x14ac:dyDescent="0.25">
      <c r="G143" s="5">
        <f>WORKDAY(G142,1,Feriados!$A$1:$A$24)</f>
        <v>43390</v>
      </c>
      <c r="H143" s="35">
        <f t="shared" si="2"/>
        <v>106354.87881737719</v>
      </c>
    </row>
    <row r="144" spans="7:8" x14ac:dyDescent="0.25">
      <c r="G144" s="5">
        <f>WORKDAY(G143,1,Feriados!$A$1:$A$24)</f>
        <v>43391</v>
      </c>
      <c r="H144" s="35">
        <f t="shared" si="2"/>
        <v>106402.71917147002</v>
      </c>
    </row>
    <row r="145" spans="7:8" x14ac:dyDescent="0.25">
      <c r="G145" s="5">
        <f>WORKDAY(G144,1,Feriados!$A$1:$A$24)</f>
        <v>43392</v>
      </c>
      <c r="H145" s="35">
        <f t="shared" si="2"/>
        <v>106450.58104502207</v>
      </c>
    </row>
    <row r="146" spans="7:8" x14ac:dyDescent="0.25">
      <c r="G146" s="5">
        <f>WORKDAY(G145,1,Feriados!$A$1:$A$24)</f>
        <v>43395</v>
      </c>
      <c r="H146" s="35">
        <f t="shared" si="2"/>
        <v>106498.46444771322</v>
      </c>
    </row>
    <row r="147" spans="7:8" x14ac:dyDescent="0.25">
      <c r="G147" s="5">
        <f>WORKDAY(G146,1,Feriados!$A$1:$A$24)</f>
        <v>43396</v>
      </c>
      <c r="H147" s="35">
        <f t="shared" si="2"/>
        <v>106546.36938922765</v>
      </c>
    </row>
    <row r="148" spans="7:8" x14ac:dyDescent="0.25">
      <c r="G148" s="5">
        <f>WORKDAY(G147,1,Feriados!$A$1:$A$24)</f>
        <v>43397</v>
      </c>
      <c r="H148" s="35">
        <f t="shared" si="2"/>
        <v>106594.29587925391</v>
      </c>
    </row>
    <row r="149" spans="7:8" x14ac:dyDescent="0.25">
      <c r="G149" s="5">
        <f>WORKDAY(G148,1,Feriados!$A$1:$A$24)</f>
        <v>43398</v>
      </c>
      <c r="H149" s="35">
        <f t="shared" si="2"/>
        <v>106642.24392748492</v>
      </c>
    </row>
    <row r="150" spans="7:8" x14ac:dyDescent="0.25">
      <c r="G150" s="5">
        <f>WORKDAY(G149,1,Feriados!$A$1:$A$24)</f>
        <v>43399</v>
      </c>
      <c r="H150" s="35">
        <f t="shared" si="2"/>
        <v>106690.21354361794</v>
      </c>
    </row>
    <row r="151" spans="7:8" x14ac:dyDescent="0.25">
      <c r="G151" s="5">
        <f>WORKDAY(G150,1,Feriados!$A$1:$A$24)</f>
        <v>43402</v>
      </c>
      <c r="H151" s="35">
        <f t="shared" si="2"/>
        <v>106738.20473735461</v>
      </c>
    </row>
    <row r="152" spans="7:8" x14ac:dyDescent="0.25">
      <c r="G152" s="5">
        <f>WORKDAY(G151,1,Feriados!$A$1:$A$24)</f>
        <v>43403</v>
      </c>
      <c r="H152" s="35">
        <f t="shared" si="2"/>
        <v>106786.21751840092</v>
      </c>
    </row>
    <row r="153" spans="7:8" x14ac:dyDescent="0.25">
      <c r="G153" s="5">
        <f>WORKDAY(G152,1,Feriados!$A$1:$A$24)</f>
        <v>43404</v>
      </c>
      <c r="H153" s="35">
        <f t="shared" si="2"/>
        <v>106834.25189646726</v>
      </c>
    </row>
    <row r="154" spans="7:8" x14ac:dyDescent="0.25">
      <c r="G154" s="5">
        <f>WORKDAY(G153,1,Feriados!$A$1:$A$24)</f>
        <v>43405</v>
      </c>
      <c r="H154" s="35">
        <f t="shared" si="2"/>
        <v>106882.30788126834</v>
      </c>
    </row>
    <row r="155" spans="7:8" x14ac:dyDescent="0.25">
      <c r="G155" s="5">
        <f>WORKDAY(G154,1,Feriados!$A$1:$A$24)</f>
        <v>43409</v>
      </c>
      <c r="H155" s="35">
        <f t="shared" si="2"/>
        <v>106930.38548252326</v>
      </c>
    </row>
    <row r="156" spans="7:8" x14ac:dyDescent="0.25">
      <c r="G156" s="5">
        <f>WORKDAY(G155,1,Feriados!$A$1:$A$24)</f>
        <v>43410</v>
      </c>
      <c r="H156" s="35">
        <f t="shared" si="2"/>
        <v>106978.4847099555</v>
      </c>
    </row>
    <row r="157" spans="7:8" x14ac:dyDescent="0.25">
      <c r="G157" s="5">
        <f>WORKDAY(G156,1,Feriados!$A$1:$A$24)</f>
        <v>43411</v>
      </c>
      <c r="H157" s="35">
        <f t="shared" si="2"/>
        <v>107026.60557329291</v>
      </c>
    </row>
    <row r="158" spans="7:8" x14ac:dyDescent="0.25">
      <c r="G158" s="5">
        <f>WORKDAY(G157,1,Feriados!$A$1:$A$24)</f>
        <v>43412</v>
      </c>
      <c r="H158" s="35">
        <f t="shared" si="2"/>
        <v>107074.7480822677</v>
      </c>
    </row>
    <row r="159" spans="7:8" x14ac:dyDescent="0.25">
      <c r="G159" s="5">
        <f>WORKDAY(G158,1,Feriados!$A$1:$A$24)</f>
        <v>43413</v>
      </c>
      <c r="H159" s="35">
        <f t="shared" si="2"/>
        <v>107122.91224661648</v>
      </c>
    </row>
    <row r="160" spans="7:8" x14ac:dyDescent="0.25">
      <c r="G160" s="5">
        <f>WORKDAY(G159,1,Feriados!$A$1:$A$24)</f>
        <v>43416</v>
      </c>
      <c r="H160" s="35">
        <f t="shared" si="2"/>
        <v>107171.09807608023</v>
      </c>
    </row>
    <row r="161" spans="7:8" x14ac:dyDescent="0.25">
      <c r="G161" s="5">
        <f>WORKDAY(G160,1,Feriados!$A$1:$A$24)</f>
        <v>43417</v>
      </c>
      <c r="H161" s="35">
        <f t="shared" si="2"/>
        <v>107219.30558040431</v>
      </c>
    </row>
    <row r="162" spans="7:8" x14ac:dyDescent="0.25">
      <c r="G162" s="5">
        <f>WORKDAY(G161,1,Feriados!$A$1:$A$24)</f>
        <v>43418</v>
      </c>
      <c r="H162" s="35">
        <f t="shared" si="2"/>
        <v>107267.53476933847</v>
      </c>
    </row>
    <row r="163" spans="7:8" x14ac:dyDescent="0.25">
      <c r="G163" s="5">
        <f>WORKDAY(G162,1,Feriados!$A$1:$A$24)</f>
        <v>43420</v>
      </c>
      <c r="H163" s="35">
        <f t="shared" si="2"/>
        <v>107315.78565263683</v>
      </c>
    </row>
    <row r="164" spans="7:8" x14ac:dyDescent="0.25">
      <c r="G164" s="5">
        <f>WORKDAY(G163,1,Feriados!$A$1:$A$24)</f>
        <v>43423</v>
      </c>
      <c r="H164" s="35">
        <f t="shared" si="2"/>
        <v>107364.05824005792</v>
      </c>
    </row>
    <row r="165" spans="7:8" x14ac:dyDescent="0.25">
      <c r="G165" s="5">
        <f>WORKDAY(G164,1,Feriados!$A$1:$A$24)</f>
        <v>43424</v>
      </c>
      <c r="H165" s="35">
        <f t="shared" si="2"/>
        <v>107412.35254136464</v>
      </c>
    </row>
    <row r="166" spans="7:8" x14ac:dyDescent="0.25">
      <c r="G166" s="5">
        <f>WORKDAY(G165,1,Feriados!$A$1:$A$24)</f>
        <v>43425</v>
      </c>
      <c r="H166" s="35">
        <f t="shared" si="2"/>
        <v>107460.6685663243</v>
      </c>
    </row>
    <row r="167" spans="7:8" x14ac:dyDescent="0.25">
      <c r="G167" s="5">
        <f>WORKDAY(G166,1,Feriados!$A$1:$A$24)</f>
        <v>43426</v>
      </c>
      <c r="H167" s="35">
        <f t="shared" si="2"/>
        <v>107509.00632470858</v>
      </c>
    </row>
    <row r="168" spans="7:8" x14ac:dyDescent="0.25">
      <c r="G168" s="5">
        <f>WORKDAY(G167,1,Feriados!$A$1:$A$24)</f>
        <v>43427</v>
      </c>
      <c r="H168" s="35">
        <f t="shared" si="2"/>
        <v>107557.36582629358</v>
      </c>
    </row>
    <row r="169" spans="7:8" x14ac:dyDescent="0.25">
      <c r="G169" s="5">
        <f>WORKDAY(G168,1,Feriados!$A$1:$A$24)</f>
        <v>43430</v>
      </c>
      <c r="H169" s="35">
        <f t="shared" si="2"/>
        <v>107605.74708085977</v>
      </c>
    </row>
    <row r="170" spans="7:8" x14ac:dyDescent="0.25">
      <c r="G170" s="5">
        <f>WORKDAY(G169,1,Feriados!$A$1:$A$24)</f>
        <v>43431</v>
      </c>
      <c r="H170" s="35">
        <f t="shared" si="2"/>
        <v>107654.15009819205</v>
      </c>
    </row>
    <row r="171" spans="7:8" x14ac:dyDescent="0.25">
      <c r="G171" s="5">
        <f>WORKDAY(G170,1,Feriados!$A$1:$A$24)</f>
        <v>43432</v>
      </c>
      <c r="H171" s="35">
        <f t="shared" si="2"/>
        <v>107702.57488807972</v>
      </c>
    </row>
    <row r="172" spans="7:8" x14ac:dyDescent="0.25">
      <c r="G172" s="5">
        <f>WORKDAY(G171,1,Feriados!$A$1:$A$24)</f>
        <v>43433</v>
      </c>
      <c r="H172" s="35">
        <f t="shared" si="2"/>
        <v>107751.02146031645</v>
      </c>
    </row>
    <row r="173" spans="7:8" x14ac:dyDescent="0.25">
      <c r="G173" s="5">
        <f>WORKDAY(G172,1,Feriados!$A$1:$A$24)</f>
        <v>43434</v>
      </c>
      <c r="H173" s="35">
        <f t="shared" si="2"/>
        <v>107799.48982470033</v>
      </c>
    </row>
    <row r="174" spans="7:8" x14ac:dyDescent="0.25">
      <c r="G174" s="5">
        <f>WORKDAY(G173,1,Feriados!$A$1:$A$24)</f>
        <v>43437</v>
      </c>
      <c r="H174" s="35">
        <f t="shared" si="2"/>
        <v>107847.97999103388</v>
      </c>
    </row>
    <row r="175" spans="7:8" x14ac:dyDescent="0.25">
      <c r="G175" s="5">
        <f>WORKDAY(G174,1,Feriados!$A$1:$A$24)</f>
        <v>43438</v>
      </c>
      <c r="H175" s="35">
        <f t="shared" si="2"/>
        <v>107896.49196912401</v>
      </c>
    </row>
    <row r="176" spans="7:8" x14ac:dyDescent="0.25">
      <c r="G176" s="5">
        <f>WORKDAY(G175,1,Feriados!$A$1:$A$24)</f>
        <v>43439</v>
      </c>
      <c r="H176" s="35">
        <f t="shared" si="2"/>
        <v>107945.02576878203</v>
      </c>
    </row>
    <row r="177" spans="7:8" x14ac:dyDescent="0.25">
      <c r="G177" s="5">
        <f>WORKDAY(G176,1,Feriados!$A$1:$A$24)</f>
        <v>43440</v>
      </c>
      <c r="H177" s="35">
        <f t="shared" si="2"/>
        <v>107993.58139982368</v>
      </c>
    </row>
    <row r="178" spans="7:8" x14ac:dyDescent="0.25">
      <c r="G178" s="5">
        <f>WORKDAY(G177,1,Feriados!$A$1:$A$24)</f>
        <v>43441</v>
      </c>
      <c r="H178" s="35">
        <f t="shared" si="2"/>
        <v>108042.15887206914</v>
      </c>
    </row>
    <row r="179" spans="7:8" x14ac:dyDescent="0.25">
      <c r="G179" s="5">
        <f>WORKDAY(G178,1,Feriados!$A$1:$A$24)</f>
        <v>43444</v>
      </c>
      <c r="H179" s="35">
        <f t="shared" si="2"/>
        <v>108090.75819534295</v>
      </c>
    </row>
    <row r="180" spans="7:8" x14ac:dyDescent="0.25">
      <c r="G180" s="5">
        <f>WORKDAY(G179,1,Feriados!$A$1:$A$24)</f>
        <v>43445</v>
      </c>
      <c r="H180" s="35">
        <f t="shared" si="2"/>
        <v>108139.37937947411</v>
      </c>
    </row>
    <row r="181" spans="7:8" x14ac:dyDescent="0.25">
      <c r="G181" s="5">
        <f>WORKDAY(G180,1,Feriados!$A$1:$A$24)</f>
        <v>43446</v>
      </c>
      <c r="H181" s="35">
        <f t="shared" si="2"/>
        <v>108188.02243429603</v>
      </c>
    </row>
    <row r="182" spans="7:8" x14ac:dyDescent="0.25">
      <c r="G182" s="5">
        <f>WORKDAY(G181,1,Feriados!$A$1:$A$24)</f>
        <v>43447</v>
      </c>
      <c r="H182" s="35">
        <f t="shared" si="2"/>
        <v>108236.68736964653</v>
      </c>
    </row>
    <row r="183" spans="7:8" x14ac:dyDescent="0.25">
      <c r="G183" s="5">
        <f>WORKDAY(G182,1,Feriados!$A$1:$A$24)</f>
        <v>43448</v>
      </c>
      <c r="H183" s="35">
        <f t="shared" si="2"/>
        <v>108285.37419536788</v>
      </c>
    </row>
    <row r="184" spans="7:8" x14ac:dyDescent="0.25">
      <c r="G184" s="5">
        <f>WORKDAY(G183,1,Feriados!$A$1:$A$24)</f>
        <v>43451</v>
      </c>
      <c r="H184" s="35">
        <f t="shared" si="2"/>
        <v>108334.08292130678</v>
      </c>
    </row>
    <row r="185" spans="7:8" x14ac:dyDescent="0.25">
      <c r="G185" s="5">
        <f>WORKDAY(G184,1,Feriados!$A$1:$A$24)</f>
        <v>43452</v>
      </c>
      <c r="H185" s="35">
        <f t="shared" si="2"/>
        <v>108382.81355731432</v>
      </c>
    </row>
    <row r="186" spans="7:8" x14ac:dyDescent="0.25">
      <c r="G186" s="5">
        <f>WORKDAY(G185,1,Feriados!$A$1:$A$24)</f>
        <v>43453</v>
      </c>
      <c r="H186" s="35">
        <f t="shared" si="2"/>
        <v>108431.56611324607</v>
      </c>
    </row>
    <row r="187" spans="7:8" x14ac:dyDescent="0.25">
      <c r="G187" s="5">
        <f>WORKDAY(G186,1,Feriados!$A$1:$A$24)</f>
        <v>43454</v>
      </c>
      <c r="H187" s="35">
        <f t="shared" si="2"/>
        <v>108480.34059896199</v>
      </c>
    </row>
    <row r="188" spans="7:8" x14ac:dyDescent="0.25">
      <c r="G188" s="5">
        <f>WORKDAY(G187,1,Feriados!$A$1:$A$24)</f>
        <v>43455</v>
      </c>
      <c r="H188" s="35">
        <f t="shared" si="2"/>
        <v>108529.13702432651</v>
      </c>
    </row>
    <row r="189" spans="7:8" x14ac:dyDescent="0.25">
      <c r="G189" s="5">
        <f>WORKDAY(G188,1,Feriados!$A$1:$A$24)</f>
        <v>43458</v>
      </c>
      <c r="H189" s="35">
        <f t="shared" si="2"/>
        <v>108577.95539920847</v>
      </c>
    </row>
    <row r="190" spans="7:8" x14ac:dyDescent="0.25">
      <c r="G190" s="5">
        <f>WORKDAY(G189,1,Feriados!$A$1:$A$24)</f>
        <v>43460</v>
      </c>
      <c r="H190" s="35">
        <f t="shared" si="2"/>
        <v>108626.79573348117</v>
      </c>
    </row>
    <row r="191" spans="7:8" x14ac:dyDescent="0.25">
      <c r="G191" s="5">
        <f>WORKDAY(G190,1,Feriados!$A$1:$A$24)</f>
        <v>43461</v>
      </c>
      <c r="H191" s="35">
        <f t="shared" si="2"/>
        <v>108675.65803702232</v>
      </c>
    </row>
    <row r="192" spans="7:8" x14ac:dyDescent="0.25">
      <c r="G192" s="5">
        <f>WORKDAY(G191,1,Feriados!$A$1:$A$24)</f>
        <v>43462</v>
      </c>
      <c r="H192" s="35">
        <f t="shared" si="2"/>
        <v>108724.54231971414</v>
      </c>
    </row>
    <row r="193" spans="7:8" x14ac:dyDescent="0.25">
      <c r="G193" s="5">
        <f>WORKDAY(G192,1,Feriados!$A$1:$A$24)</f>
        <v>43465</v>
      </c>
      <c r="H193" s="35">
        <f t="shared" si="2"/>
        <v>108773.4485914432</v>
      </c>
    </row>
    <row r="194" spans="7:8" x14ac:dyDescent="0.25">
      <c r="G194" s="5">
        <f>WORKDAY(G193,1,Feriados!$A$1:$A$24)</f>
        <v>43467</v>
      </c>
      <c r="H194" s="35">
        <f t="shared" si="2"/>
        <v>108822.3768621006</v>
      </c>
    </row>
    <row r="195" spans="7:8" x14ac:dyDescent="0.25">
      <c r="G195" s="5">
        <f>WORKDAY(G194,1,Feriados!$A$1:$A$24)</f>
        <v>43468</v>
      </c>
      <c r="H195" s="35">
        <f t="shared" si="2"/>
        <v>108871.32714158185</v>
      </c>
    </row>
    <row r="196" spans="7:8" x14ac:dyDescent="0.25">
      <c r="G196" s="5">
        <f>WORKDAY(G195,1,Feriados!$A$1:$A$24)</f>
        <v>43469</v>
      </c>
      <c r="H196" s="35">
        <f t="shared" si="2"/>
        <v>108920.29943978692</v>
      </c>
    </row>
    <row r="197" spans="7:8" x14ac:dyDescent="0.25">
      <c r="G197" s="5">
        <f>WORKDAY(G196,1,Feriados!$A$1:$A$24)</f>
        <v>43472</v>
      </c>
      <c r="H197" s="35">
        <f t="shared" si="2"/>
        <v>108969.29376662022</v>
      </c>
    </row>
    <row r="198" spans="7:8" x14ac:dyDescent="0.25">
      <c r="G198" s="5">
        <f>WORKDAY(G197,1,Feriados!$A$1:$A$24)</f>
        <v>43473</v>
      </c>
      <c r="H198" s="35">
        <f t="shared" si="2"/>
        <v>109018.31013199064</v>
      </c>
    </row>
    <row r="199" spans="7:8" x14ac:dyDescent="0.25">
      <c r="G199" s="5">
        <f>WORKDAY(G198,1,Feriados!$A$1:$A$24)</f>
        <v>43474</v>
      </c>
      <c r="H199" s="35">
        <f t="shared" si="2"/>
        <v>109067.34854581152</v>
      </c>
    </row>
    <row r="200" spans="7:8" x14ac:dyDescent="0.25">
      <c r="G200" s="5">
        <f>WORKDAY(G199,1,Feriados!$A$1:$A$24)</f>
        <v>43475</v>
      </c>
      <c r="H200" s="35">
        <f t="shared" ref="H200:H263" si="3">H199*(1+$C$9)</f>
        <v>109116.40901800063</v>
      </c>
    </row>
    <row r="201" spans="7:8" x14ac:dyDescent="0.25">
      <c r="G201" s="5">
        <f>WORKDAY(G200,1,Feriados!$A$1:$A$24)</f>
        <v>43476</v>
      </c>
      <c r="H201" s="35">
        <f t="shared" si="3"/>
        <v>109165.49155848024</v>
      </c>
    </row>
    <row r="202" spans="7:8" x14ac:dyDescent="0.25">
      <c r="G202" s="5">
        <f>WORKDAY(G201,1,Feriados!$A$1:$A$24)</f>
        <v>43479</v>
      </c>
      <c r="H202" s="35">
        <f t="shared" si="3"/>
        <v>109214.59617717707</v>
      </c>
    </row>
    <row r="203" spans="7:8" x14ac:dyDescent="0.25">
      <c r="G203" s="5">
        <f>WORKDAY(G202,1,Feriados!$A$1:$A$24)</f>
        <v>43480</v>
      </c>
      <c r="H203" s="35">
        <f t="shared" si="3"/>
        <v>109263.7228840223</v>
      </c>
    </row>
    <row r="204" spans="7:8" x14ac:dyDescent="0.25">
      <c r="G204" s="5">
        <f>WORKDAY(G203,1,Feriados!$A$1:$A$24)</f>
        <v>43481</v>
      </c>
      <c r="H204" s="35">
        <f t="shared" si="3"/>
        <v>109312.87168895156</v>
      </c>
    </row>
    <row r="205" spans="7:8" x14ac:dyDescent="0.25">
      <c r="G205" s="5">
        <f>WORKDAY(G204,1,Feriados!$A$1:$A$24)</f>
        <v>43482</v>
      </c>
      <c r="H205" s="35">
        <f t="shared" si="3"/>
        <v>109362.04260190499</v>
      </c>
    </row>
    <row r="206" spans="7:8" x14ac:dyDescent="0.25">
      <c r="G206" s="5">
        <f>WORKDAY(G205,1,Feriados!$A$1:$A$24)</f>
        <v>43483</v>
      </c>
      <c r="H206" s="35">
        <f t="shared" si="3"/>
        <v>109411.23563282719</v>
      </c>
    </row>
    <row r="207" spans="7:8" x14ac:dyDescent="0.25">
      <c r="G207" s="5">
        <f>WORKDAY(G206,1,Feriados!$A$1:$A$24)</f>
        <v>43486</v>
      </c>
      <c r="H207" s="35">
        <f t="shared" si="3"/>
        <v>109460.4507916672</v>
      </c>
    </row>
    <row r="208" spans="7:8" x14ac:dyDescent="0.25">
      <c r="G208" s="5">
        <f>WORKDAY(G207,1,Feriados!$A$1:$A$24)</f>
        <v>43487</v>
      </c>
      <c r="H208" s="35">
        <f t="shared" si="3"/>
        <v>109509.68808837858</v>
      </c>
    </row>
    <row r="209" spans="7:8" x14ac:dyDescent="0.25">
      <c r="G209" s="5">
        <f>WORKDAY(G208,1,Feriados!$A$1:$A$24)</f>
        <v>43488</v>
      </c>
      <c r="H209" s="35">
        <f t="shared" si="3"/>
        <v>109558.94753291932</v>
      </c>
    </row>
    <row r="210" spans="7:8" x14ac:dyDescent="0.25">
      <c r="G210" s="5">
        <f>WORKDAY(G209,1,Feriados!$A$1:$A$24)</f>
        <v>43489</v>
      </c>
      <c r="H210" s="35">
        <f t="shared" si="3"/>
        <v>109608.22913525194</v>
      </c>
    </row>
    <row r="211" spans="7:8" x14ac:dyDescent="0.25">
      <c r="G211" s="5">
        <f>WORKDAY(G210,1,Feriados!$A$1:$A$24)</f>
        <v>43490</v>
      </c>
      <c r="H211" s="35">
        <f t="shared" si="3"/>
        <v>109657.5329053434</v>
      </c>
    </row>
    <row r="212" spans="7:8" x14ac:dyDescent="0.25">
      <c r="G212" s="5">
        <f>WORKDAY(G211,1,Feriados!$A$1:$A$24)</f>
        <v>43493</v>
      </c>
      <c r="H212" s="35">
        <f t="shared" si="3"/>
        <v>109706.85885316516</v>
      </c>
    </row>
    <row r="213" spans="7:8" x14ac:dyDescent="0.25">
      <c r="G213" s="5">
        <f>WORKDAY(G212,1,Feriados!$A$1:$A$24)</f>
        <v>43494</v>
      </c>
      <c r="H213" s="35">
        <f t="shared" si="3"/>
        <v>109756.20698869319</v>
      </c>
    </row>
    <row r="214" spans="7:8" x14ac:dyDescent="0.25">
      <c r="G214" s="5">
        <f>WORKDAY(G213,1,Feriados!$A$1:$A$24)</f>
        <v>43495</v>
      </c>
      <c r="H214" s="35">
        <f t="shared" si="3"/>
        <v>109805.5773219079</v>
      </c>
    </row>
    <row r="215" spans="7:8" x14ac:dyDescent="0.25">
      <c r="G215" s="5">
        <f>WORKDAY(G214,1,Feriados!$A$1:$A$24)</f>
        <v>43496</v>
      </c>
      <c r="H215" s="35">
        <f t="shared" si="3"/>
        <v>109854.96986279421</v>
      </c>
    </row>
    <row r="216" spans="7:8" x14ac:dyDescent="0.25">
      <c r="G216" s="5">
        <f>WORKDAY(G215,1,Feriados!$A$1:$A$24)</f>
        <v>43497</v>
      </c>
      <c r="H216" s="35">
        <f t="shared" si="3"/>
        <v>109904.38462134155</v>
      </c>
    </row>
    <row r="217" spans="7:8" x14ac:dyDescent="0.25">
      <c r="G217" s="5">
        <f>WORKDAY(G216,1,Feriados!$A$1:$A$24)</f>
        <v>43500</v>
      </c>
      <c r="H217" s="35">
        <f t="shared" si="3"/>
        <v>109953.82160754382</v>
      </c>
    </row>
    <row r="218" spans="7:8" x14ac:dyDescent="0.25">
      <c r="G218" s="5">
        <f>WORKDAY(G217,1,Feriados!$A$1:$A$24)</f>
        <v>43501</v>
      </c>
      <c r="H218" s="35">
        <f t="shared" si="3"/>
        <v>110003.28083139942</v>
      </c>
    </row>
    <row r="219" spans="7:8" x14ac:dyDescent="0.25">
      <c r="G219" s="5">
        <f>WORKDAY(G218,1,Feriados!$A$1:$A$24)</f>
        <v>43502</v>
      </c>
      <c r="H219" s="35">
        <f t="shared" si="3"/>
        <v>110052.76230291124</v>
      </c>
    </row>
    <row r="220" spans="7:8" x14ac:dyDescent="0.25">
      <c r="G220" s="5">
        <f>WORKDAY(G219,1,Feriados!$A$1:$A$24)</f>
        <v>43503</v>
      </c>
      <c r="H220" s="35">
        <f t="shared" si="3"/>
        <v>110102.2660320867</v>
      </c>
    </row>
    <row r="221" spans="7:8" x14ac:dyDescent="0.25">
      <c r="G221" s="5">
        <f>WORKDAY(G220,1,Feriados!$A$1:$A$24)</f>
        <v>43504</v>
      </c>
      <c r="H221" s="35">
        <f t="shared" si="3"/>
        <v>110151.79202893769</v>
      </c>
    </row>
    <row r="222" spans="7:8" x14ac:dyDescent="0.25">
      <c r="G222" s="5">
        <f>WORKDAY(G221,1,Feriados!$A$1:$A$24)</f>
        <v>43507</v>
      </c>
      <c r="H222" s="35">
        <f t="shared" si="3"/>
        <v>110201.34030348063</v>
      </c>
    </row>
    <row r="223" spans="7:8" x14ac:dyDescent="0.25">
      <c r="G223" s="5">
        <f>WORKDAY(G222,1,Feriados!$A$1:$A$24)</f>
        <v>43508</v>
      </c>
      <c r="H223" s="35">
        <f t="shared" si="3"/>
        <v>110250.9108657364</v>
      </c>
    </row>
    <row r="224" spans="7:8" x14ac:dyDescent="0.25">
      <c r="G224" s="5">
        <f>WORKDAY(G223,1,Feriados!$A$1:$A$24)</f>
        <v>43509</v>
      </c>
      <c r="H224" s="35">
        <f t="shared" si="3"/>
        <v>110300.50372573044</v>
      </c>
    </row>
    <row r="225" spans="7:8" x14ac:dyDescent="0.25">
      <c r="G225" s="5">
        <f>WORKDAY(G224,1,Feriados!$A$1:$A$24)</f>
        <v>43510</v>
      </c>
      <c r="H225" s="35">
        <f t="shared" si="3"/>
        <v>110350.11889349266</v>
      </c>
    </row>
    <row r="226" spans="7:8" x14ac:dyDescent="0.25">
      <c r="G226" s="5">
        <f>WORKDAY(G225,1,Feriados!$A$1:$A$24)</f>
        <v>43511</v>
      </c>
      <c r="H226" s="35">
        <f t="shared" si="3"/>
        <v>110399.75637905752</v>
      </c>
    </row>
    <row r="227" spans="7:8" x14ac:dyDescent="0.25">
      <c r="G227" s="5">
        <f>WORKDAY(G226,1,Feriados!$A$1:$A$24)</f>
        <v>43514</v>
      </c>
      <c r="H227" s="35">
        <f t="shared" si="3"/>
        <v>110449.41619246396</v>
      </c>
    </row>
    <row r="228" spans="7:8" x14ac:dyDescent="0.25">
      <c r="G228" s="5">
        <f>WORKDAY(G227,1,Feriados!$A$1:$A$24)</f>
        <v>43515</v>
      </c>
      <c r="H228" s="35">
        <f t="shared" si="3"/>
        <v>110499.09834375545</v>
      </c>
    </row>
    <row r="229" spans="7:8" x14ac:dyDescent="0.25">
      <c r="G229" s="5">
        <f>WORKDAY(G228,1,Feriados!$A$1:$A$24)</f>
        <v>43516</v>
      </c>
      <c r="H229" s="35">
        <f t="shared" si="3"/>
        <v>110548.80284297997</v>
      </c>
    </row>
    <row r="230" spans="7:8" x14ac:dyDescent="0.25">
      <c r="G230" s="5">
        <f>WORKDAY(G229,1,Feriados!$A$1:$A$24)</f>
        <v>43517</v>
      </c>
      <c r="H230" s="35">
        <f t="shared" si="3"/>
        <v>110598.52970019003</v>
      </c>
    </row>
    <row r="231" spans="7:8" x14ac:dyDescent="0.25">
      <c r="G231" s="5">
        <f>WORKDAY(G230,1,Feriados!$A$1:$A$24)</f>
        <v>43518</v>
      </c>
      <c r="H231" s="35">
        <f t="shared" si="3"/>
        <v>110648.27892544266</v>
      </c>
    </row>
    <row r="232" spans="7:8" x14ac:dyDescent="0.25">
      <c r="G232" s="5">
        <f>WORKDAY(G231,1,Feriados!$A$1:$A$24)</f>
        <v>43521</v>
      </c>
      <c r="H232" s="35">
        <f t="shared" si="3"/>
        <v>110698.05052879942</v>
      </c>
    </row>
    <row r="233" spans="7:8" x14ac:dyDescent="0.25">
      <c r="G233" s="5">
        <f>WORKDAY(G232,1,Feriados!$A$1:$A$24)</f>
        <v>43522</v>
      </c>
      <c r="H233" s="35">
        <f t="shared" si="3"/>
        <v>110747.84452032637</v>
      </c>
    </row>
    <row r="234" spans="7:8" x14ac:dyDescent="0.25">
      <c r="G234" s="5">
        <f>WORKDAY(G233,1,Feriados!$A$1:$A$24)</f>
        <v>43523</v>
      </c>
      <c r="H234" s="35">
        <f t="shared" si="3"/>
        <v>110797.66091009413</v>
      </c>
    </row>
    <row r="235" spans="7:8" x14ac:dyDescent="0.25">
      <c r="G235" s="5">
        <f>WORKDAY(G234,1,Feriados!$A$1:$A$24)</f>
        <v>43524</v>
      </c>
      <c r="H235" s="35">
        <f t="shared" si="3"/>
        <v>110847.49970817783</v>
      </c>
    </row>
    <row r="236" spans="7:8" x14ac:dyDescent="0.25">
      <c r="G236" s="5">
        <f>WORKDAY(G235,1,Feriados!$A$1:$A$24)</f>
        <v>43525</v>
      </c>
      <c r="H236" s="35">
        <f t="shared" si="3"/>
        <v>110897.36092465713</v>
      </c>
    </row>
    <row r="237" spans="7:8" x14ac:dyDescent="0.25">
      <c r="G237" s="5">
        <f>WORKDAY(G236,1,Feriados!$A$1:$A$24)</f>
        <v>43530</v>
      </c>
      <c r="H237" s="35">
        <f t="shared" si="3"/>
        <v>110947.24456961623</v>
      </c>
    </row>
    <row r="238" spans="7:8" x14ac:dyDescent="0.25">
      <c r="G238" s="5">
        <f>WORKDAY(G237,1,Feriados!$A$1:$A$24)</f>
        <v>43531</v>
      </c>
      <c r="H238" s="35">
        <f t="shared" si="3"/>
        <v>110997.15065314388</v>
      </c>
    </row>
    <row r="239" spans="7:8" x14ac:dyDescent="0.25">
      <c r="G239" s="5">
        <f>WORKDAY(G238,1,Feriados!$A$1:$A$24)</f>
        <v>43532</v>
      </c>
      <c r="H239" s="35">
        <f t="shared" si="3"/>
        <v>111047.07918533335</v>
      </c>
    </row>
    <row r="240" spans="7:8" x14ac:dyDescent="0.25">
      <c r="G240" s="5">
        <f>WORKDAY(G239,1,Feriados!$A$1:$A$24)</f>
        <v>43535</v>
      </c>
      <c r="H240" s="35">
        <f t="shared" si="3"/>
        <v>111097.03017628245</v>
      </c>
    </row>
    <row r="241" spans="7:8" x14ac:dyDescent="0.25">
      <c r="G241" s="5">
        <f>WORKDAY(G240,1,Feriados!$A$1:$A$24)</f>
        <v>43536</v>
      </c>
      <c r="H241" s="35">
        <f t="shared" si="3"/>
        <v>111147.00363609355</v>
      </c>
    </row>
    <row r="242" spans="7:8" x14ac:dyDescent="0.25">
      <c r="G242" s="5">
        <f>WORKDAY(G241,1,Feriados!$A$1:$A$24)</f>
        <v>43537</v>
      </c>
      <c r="H242" s="35">
        <f t="shared" si="3"/>
        <v>111196.99957487354</v>
      </c>
    </row>
    <row r="243" spans="7:8" x14ac:dyDescent="0.25">
      <c r="G243" s="5">
        <f>WORKDAY(G242,1,Feriados!$A$1:$A$24)</f>
        <v>43538</v>
      </c>
      <c r="H243" s="35">
        <f t="shared" si="3"/>
        <v>111247.01800273386</v>
      </c>
    </row>
    <row r="244" spans="7:8" x14ac:dyDescent="0.25">
      <c r="G244" s="5">
        <f>WORKDAY(G243,1,Feriados!$A$1:$A$24)</f>
        <v>43539</v>
      </c>
      <c r="H244" s="35">
        <f t="shared" si="3"/>
        <v>111297.05892979054</v>
      </c>
    </row>
    <row r="245" spans="7:8" x14ac:dyDescent="0.25">
      <c r="G245" s="5">
        <f>WORKDAY(G244,1,Feriados!$A$1:$A$24)</f>
        <v>43542</v>
      </c>
      <c r="H245" s="35">
        <f t="shared" si="3"/>
        <v>111347.1223661641</v>
      </c>
    </row>
    <row r="246" spans="7:8" x14ac:dyDescent="0.25">
      <c r="G246" s="5">
        <f>WORKDAY(G245,1,Feriados!$A$1:$A$24)</f>
        <v>43543</v>
      </c>
      <c r="H246" s="35">
        <f t="shared" si="3"/>
        <v>111397.20832197963</v>
      </c>
    </row>
    <row r="247" spans="7:8" x14ac:dyDescent="0.25">
      <c r="G247" s="5">
        <f>WORKDAY(G246,1,Feriados!$A$1:$A$24)</f>
        <v>43544</v>
      </c>
      <c r="H247" s="35">
        <f t="shared" si="3"/>
        <v>111447.31680736681</v>
      </c>
    </row>
    <row r="248" spans="7:8" x14ac:dyDescent="0.25">
      <c r="G248" s="5">
        <f>WORKDAY(G247,1,Feriados!$A$1:$A$24)</f>
        <v>43545</v>
      </c>
      <c r="H248" s="35">
        <f t="shared" si="3"/>
        <v>111497.44783245983</v>
      </c>
    </row>
    <row r="249" spans="7:8" x14ac:dyDescent="0.25">
      <c r="G249" s="5">
        <f>WORKDAY(G248,1,Feriados!$A$1:$A$24)</f>
        <v>43546</v>
      </c>
      <c r="H249" s="35">
        <f t="shared" si="3"/>
        <v>111547.60140739747</v>
      </c>
    </row>
    <row r="250" spans="7:8" x14ac:dyDescent="0.25">
      <c r="G250" s="5">
        <f>WORKDAY(G249,1,Feriados!$A$1:$A$24)</f>
        <v>43549</v>
      </c>
      <c r="H250" s="35">
        <f t="shared" si="3"/>
        <v>111597.77754232305</v>
      </c>
    </row>
    <row r="251" spans="7:8" x14ac:dyDescent="0.25">
      <c r="G251" s="5">
        <f>WORKDAY(G250,1,Feriados!$A$1:$A$24)</f>
        <v>43550</v>
      </c>
      <c r="H251" s="35">
        <f t="shared" si="3"/>
        <v>111647.97624738446</v>
      </c>
    </row>
    <row r="252" spans="7:8" x14ac:dyDescent="0.25">
      <c r="G252" s="5">
        <f>WORKDAY(G251,1,Feriados!$A$1:$A$24)</f>
        <v>43551</v>
      </c>
      <c r="H252" s="35">
        <f t="shared" si="3"/>
        <v>111698.19753273418</v>
      </c>
    </row>
    <row r="253" spans="7:8" x14ac:dyDescent="0.25">
      <c r="G253" s="5">
        <f>WORKDAY(G252,1,Feriados!$A$1:$A$24)</f>
        <v>43552</v>
      </c>
      <c r="H253" s="35">
        <f t="shared" si="3"/>
        <v>111748.44140852921</v>
      </c>
    </row>
    <row r="254" spans="7:8" x14ac:dyDescent="0.25">
      <c r="G254" s="5">
        <f>WORKDAY(G253,1,Feriados!$A$1:$A$24)</f>
        <v>43553</v>
      </c>
      <c r="H254" s="35">
        <f t="shared" si="3"/>
        <v>111798.70788493115</v>
      </c>
    </row>
    <row r="255" spans="7:8" x14ac:dyDescent="0.25">
      <c r="G255" s="5">
        <f>WORKDAY(G254,1,Feriados!$A$1:$A$24)</f>
        <v>43556</v>
      </c>
      <c r="H255" s="35">
        <f t="shared" si="3"/>
        <v>111848.99697210616</v>
      </c>
    </row>
    <row r="256" spans="7:8" x14ac:dyDescent="0.25">
      <c r="G256" s="5">
        <f>WORKDAY(G255,1,Feriados!$A$1:$A$24)</f>
        <v>43557</v>
      </c>
      <c r="H256" s="35">
        <f t="shared" si="3"/>
        <v>111899.30868022499</v>
      </c>
    </row>
    <row r="257" spans="7:8" x14ac:dyDescent="0.25">
      <c r="G257" s="5">
        <f>WORKDAY(G256,1,Feriados!$A$1:$A$24)</f>
        <v>43558</v>
      </c>
      <c r="H257" s="35">
        <f t="shared" si="3"/>
        <v>111949.64301946292</v>
      </c>
    </row>
    <row r="258" spans="7:8" x14ac:dyDescent="0.25">
      <c r="G258" s="5">
        <f>WORKDAY(G257,1,Feriados!$A$1:$A$24)</f>
        <v>43559</v>
      </c>
      <c r="H258" s="35">
        <f t="shared" si="3"/>
        <v>111999.99999999987</v>
      </c>
    </row>
    <row r="259" spans="7:8" x14ac:dyDescent="0.25">
      <c r="G259" s="5">
        <f>WORKDAY(G258,1,Feriados!$A$1:$A$24)</f>
        <v>43560</v>
      </c>
      <c r="H259" s="35">
        <f t="shared" si="3"/>
        <v>112050.37963202028</v>
      </c>
    </row>
    <row r="260" spans="7:8" x14ac:dyDescent="0.25">
      <c r="G260" s="5">
        <f>WORKDAY(G259,1,Feriados!$A$1:$A$24)</f>
        <v>43563</v>
      </c>
      <c r="H260" s="35">
        <f t="shared" si="3"/>
        <v>112100.78192571322</v>
      </c>
    </row>
    <row r="261" spans="7:8" x14ac:dyDescent="0.25">
      <c r="G261" s="5">
        <f>WORKDAY(G260,1,Feriados!$A$1:$A$24)</f>
        <v>43564</v>
      </c>
      <c r="H261" s="35">
        <f t="shared" si="3"/>
        <v>112151.20689127232</v>
      </c>
    </row>
    <row r="262" spans="7:8" x14ac:dyDescent="0.25">
      <c r="G262" s="5">
        <f>WORKDAY(G261,1,Feriados!$A$1:$A$24)</f>
        <v>43565</v>
      </c>
      <c r="H262" s="35">
        <f t="shared" si="3"/>
        <v>112201.65453889579</v>
      </c>
    </row>
    <row r="263" spans="7:8" x14ac:dyDescent="0.25">
      <c r="G263" s="5">
        <f>WORKDAY(G262,1,Feriados!$A$1:$A$24)</f>
        <v>43566</v>
      </c>
      <c r="H263" s="35">
        <f t="shared" si="3"/>
        <v>112252.12487878643</v>
      </c>
    </row>
    <row r="264" spans="7:8" x14ac:dyDescent="0.25">
      <c r="G264" s="5">
        <f>WORKDAY(G263,1,Feriados!$A$1:$A$24)</f>
        <v>43567</v>
      </c>
      <c r="H264" s="35">
        <f t="shared" ref="H264:H327" si="4">H263*(1+$C$9)</f>
        <v>112302.61792115164</v>
      </c>
    </row>
    <row r="265" spans="7:8" x14ac:dyDescent="0.25">
      <c r="G265" s="5">
        <f>WORKDAY(G264,1,Feriados!$A$1:$A$24)</f>
        <v>43570</v>
      </c>
      <c r="H265" s="35">
        <f t="shared" si="4"/>
        <v>112353.1336762034</v>
      </c>
    </row>
    <row r="266" spans="7:8" x14ac:dyDescent="0.25">
      <c r="G266" s="5">
        <f>WORKDAY(G265,1,Feriados!$A$1:$A$24)</f>
        <v>43571</v>
      </c>
      <c r="H266" s="35">
        <f t="shared" si="4"/>
        <v>112403.6721541583</v>
      </c>
    </row>
    <row r="267" spans="7:8" x14ac:dyDescent="0.25">
      <c r="G267" s="5">
        <f>WORKDAY(G266,1,Feriados!$A$1:$A$24)</f>
        <v>43572</v>
      </c>
      <c r="H267" s="35">
        <f t="shared" si="4"/>
        <v>112454.23336523749</v>
      </c>
    </row>
    <row r="268" spans="7:8" x14ac:dyDescent="0.25">
      <c r="G268" s="5">
        <f>WORKDAY(G267,1,Feriados!$A$1:$A$24)</f>
        <v>43573</v>
      </c>
      <c r="H268" s="35">
        <f t="shared" si="4"/>
        <v>112504.81731966678</v>
      </c>
    </row>
    <row r="269" spans="7:8" x14ac:dyDescent="0.25">
      <c r="G269" s="5">
        <f>WORKDAY(G268,1,Feriados!$A$1:$A$24)</f>
        <v>43577</v>
      </c>
      <c r="H269" s="35">
        <f t="shared" si="4"/>
        <v>112555.4240276765</v>
      </c>
    </row>
    <row r="270" spans="7:8" x14ac:dyDescent="0.25">
      <c r="G270" s="5">
        <f>WORKDAY(G269,1,Feriados!$A$1:$A$24)</f>
        <v>43578</v>
      </c>
      <c r="H270" s="35">
        <f t="shared" si="4"/>
        <v>112606.05349950165</v>
      </c>
    </row>
    <row r="271" spans="7:8" x14ac:dyDescent="0.25">
      <c r="G271" s="5">
        <f>WORKDAY(G270,1,Feriados!$A$1:$A$24)</f>
        <v>43579</v>
      </c>
      <c r="H271" s="35">
        <f t="shared" si="4"/>
        <v>112656.7057453818</v>
      </c>
    </row>
    <row r="272" spans="7:8" x14ac:dyDescent="0.25">
      <c r="G272" s="5">
        <f>WORKDAY(G271,1,Feriados!$A$1:$A$24)</f>
        <v>43580</v>
      </c>
      <c r="H272" s="35">
        <f t="shared" si="4"/>
        <v>112707.38077556113</v>
      </c>
    </row>
    <row r="273" spans="7:8" x14ac:dyDescent="0.25">
      <c r="G273" s="5">
        <f>WORKDAY(G272,1,Feriados!$A$1:$A$24)</f>
        <v>43581</v>
      </c>
      <c r="H273" s="35">
        <f t="shared" si="4"/>
        <v>112758.07860028844</v>
      </c>
    </row>
    <row r="274" spans="7:8" x14ac:dyDescent="0.25">
      <c r="G274" s="5">
        <f>WORKDAY(G273,1,Feriados!$A$1:$A$24)</f>
        <v>43584</v>
      </c>
      <c r="H274" s="35">
        <f t="shared" si="4"/>
        <v>112808.79922981712</v>
      </c>
    </row>
    <row r="275" spans="7:8" x14ac:dyDescent="0.25">
      <c r="G275" s="5">
        <f>WORKDAY(G274,1,Feriados!$A$1:$A$24)</f>
        <v>43585</v>
      </c>
      <c r="H275" s="35">
        <f t="shared" si="4"/>
        <v>112859.54267440518</v>
      </c>
    </row>
    <row r="276" spans="7:8" x14ac:dyDescent="0.25">
      <c r="G276" s="5">
        <f>WORKDAY(G275,1,Feriados!$A$1:$A$24)</f>
        <v>43587</v>
      </c>
      <c r="H276" s="35">
        <f t="shared" si="4"/>
        <v>112910.30894431526</v>
      </c>
    </row>
    <row r="277" spans="7:8" x14ac:dyDescent="0.25">
      <c r="G277" s="5">
        <f>WORKDAY(G276,1,Feriados!$A$1:$A$24)</f>
        <v>43588</v>
      </c>
      <c r="H277" s="35">
        <f t="shared" si="4"/>
        <v>112961.09804981459</v>
      </c>
    </row>
    <row r="278" spans="7:8" x14ac:dyDescent="0.25">
      <c r="G278" s="5">
        <f>WORKDAY(G277,1,Feriados!$A$1:$A$24)</f>
        <v>43591</v>
      </c>
      <c r="H278" s="35">
        <f t="shared" si="4"/>
        <v>113011.91000117506</v>
      </c>
    </row>
    <row r="279" spans="7:8" x14ac:dyDescent="0.25">
      <c r="G279" s="5">
        <f>WORKDAY(G278,1,Feriados!$A$1:$A$24)</f>
        <v>43592</v>
      </c>
      <c r="H279" s="35">
        <f t="shared" si="4"/>
        <v>113062.74480867313</v>
      </c>
    </row>
    <row r="280" spans="7:8" x14ac:dyDescent="0.25">
      <c r="G280" s="5">
        <f>WORKDAY(G279,1,Feriados!$A$1:$A$24)</f>
        <v>43593</v>
      </c>
      <c r="H280" s="35">
        <f t="shared" si="4"/>
        <v>113113.60248258991</v>
      </c>
    </row>
    <row r="281" spans="7:8" x14ac:dyDescent="0.25">
      <c r="G281" s="5">
        <f>WORKDAY(G280,1,Feriados!$A$1:$A$24)</f>
        <v>43594</v>
      </c>
      <c r="H281" s="35">
        <f t="shared" si="4"/>
        <v>113164.48303321113</v>
      </c>
    </row>
    <row r="282" spans="7:8" x14ac:dyDescent="0.25">
      <c r="G282" s="5">
        <f>WORKDAY(G281,1,Feriados!$A$1:$A$24)</f>
        <v>43595</v>
      </c>
      <c r="H282" s="35">
        <f t="shared" si="4"/>
        <v>113215.38647082714</v>
      </c>
    </row>
    <row r="283" spans="7:8" x14ac:dyDescent="0.25">
      <c r="G283" s="5">
        <f>WORKDAY(G282,1,Feriados!$A$1:$A$24)</f>
        <v>43598</v>
      </c>
      <c r="H283" s="35">
        <f t="shared" si="4"/>
        <v>113266.31280573294</v>
      </c>
    </row>
    <row r="284" spans="7:8" x14ac:dyDescent="0.25">
      <c r="G284" s="5">
        <f>WORKDAY(G283,1,Feriados!$A$1:$A$24)</f>
        <v>43599</v>
      </c>
      <c r="H284" s="35">
        <f t="shared" si="4"/>
        <v>113317.26204822815</v>
      </c>
    </row>
    <row r="285" spans="7:8" x14ac:dyDescent="0.25">
      <c r="G285" s="5">
        <f>WORKDAY(G284,1,Feriados!$A$1:$A$24)</f>
        <v>43600</v>
      </c>
      <c r="H285" s="35">
        <f t="shared" si="4"/>
        <v>113368.234208617</v>
      </c>
    </row>
    <row r="286" spans="7:8" x14ac:dyDescent="0.25">
      <c r="G286" s="5">
        <f>WORKDAY(G285,1,Feriados!$A$1:$A$24)</f>
        <v>43601</v>
      </c>
      <c r="H286" s="35">
        <f t="shared" si="4"/>
        <v>113419.22929720838</v>
      </c>
    </row>
    <row r="287" spans="7:8" x14ac:dyDescent="0.25">
      <c r="G287" s="5">
        <f>WORKDAY(G286,1,Feriados!$A$1:$A$24)</f>
        <v>43602</v>
      </c>
      <c r="H287" s="35">
        <f t="shared" si="4"/>
        <v>113470.24732431582</v>
      </c>
    </row>
    <row r="288" spans="7:8" x14ac:dyDescent="0.25">
      <c r="G288" s="5">
        <f>WORKDAY(G287,1,Feriados!$A$1:$A$24)</f>
        <v>43605</v>
      </c>
      <c r="H288" s="35">
        <f t="shared" si="4"/>
        <v>113521.28830025747</v>
      </c>
    </row>
    <row r="289" spans="7:8" x14ac:dyDescent="0.25">
      <c r="G289" s="5">
        <f>WORKDAY(G288,1,Feriados!$A$1:$A$24)</f>
        <v>43606</v>
      </c>
      <c r="H289" s="35">
        <f t="shared" si="4"/>
        <v>113572.35223535614</v>
      </c>
    </row>
    <row r="290" spans="7:8" x14ac:dyDescent="0.25">
      <c r="G290" s="5">
        <f>WORKDAY(G289,1,Feriados!$A$1:$A$24)</f>
        <v>43607</v>
      </c>
      <c r="H290" s="35">
        <f t="shared" si="4"/>
        <v>113623.43913993928</v>
      </c>
    </row>
    <row r="291" spans="7:8" x14ac:dyDescent="0.25">
      <c r="G291" s="5">
        <f>WORKDAY(G290,1,Feriados!$A$1:$A$24)</f>
        <v>43608</v>
      </c>
      <c r="H291" s="35">
        <f t="shared" si="4"/>
        <v>113674.54902433896</v>
      </c>
    </row>
    <row r="292" spans="7:8" x14ac:dyDescent="0.25">
      <c r="G292" s="5">
        <f>WORKDAY(G291,1,Feriados!$A$1:$A$24)</f>
        <v>43609</v>
      </c>
      <c r="H292" s="35">
        <f t="shared" si="4"/>
        <v>113725.68189889194</v>
      </c>
    </row>
    <row r="293" spans="7:8" x14ac:dyDescent="0.25">
      <c r="G293" s="5">
        <f>WORKDAY(G292,1,Feriados!$A$1:$A$24)</f>
        <v>43612</v>
      </c>
      <c r="H293" s="35">
        <f t="shared" si="4"/>
        <v>113776.83777393959</v>
      </c>
    </row>
    <row r="294" spans="7:8" x14ac:dyDescent="0.25">
      <c r="G294" s="5">
        <f>WORKDAY(G293,1,Feriados!$A$1:$A$24)</f>
        <v>43613</v>
      </c>
      <c r="H294" s="35">
        <f t="shared" si="4"/>
        <v>113828.01665982798</v>
      </c>
    </row>
    <row r="295" spans="7:8" x14ac:dyDescent="0.25">
      <c r="G295" s="5">
        <f>WORKDAY(G294,1,Feriados!$A$1:$A$24)</f>
        <v>43614</v>
      </c>
      <c r="H295" s="35">
        <f t="shared" si="4"/>
        <v>113879.21856690776</v>
      </c>
    </row>
    <row r="296" spans="7:8" x14ac:dyDescent="0.25">
      <c r="G296" s="5">
        <f>WORKDAY(G295,1,Feriados!$A$1:$A$24)</f>
        <v>43615</v>
      </c>
      <c r="H296" s="35">
        <f t="shared" si="4"/>
        <v>113930.44350553431</v>
      </c>
    </row>
    <row r="297" spans="7:8" x14ac:dyDescent="0.25">
      <c r="G297" s="5">
        <f>WORKDAY(G296,1,Feriados!$A$1:$A$24)</f>
        <v>43616</v>
      </c>
      <c r="H297" s="35">
        <f t="shared" si="4"/>
        <v>113981.69148606763</v>
      </c>
    </row>
    <row r="298" spans="7:8" x14ac:dyDescent="0.25">
      <c r="G298" s="5">
        <f>WORKDAY(G297,1,Feriados!$A$1:$A$24)</f>
        <v>43619</v>
      </c>
      <c r="H298" s="35">
        <f t="shared" si="4"/>
        <v>114032.96251887239</v>
      </c>
    </row>
    <row r="299" spans="7:8" x14ac:dyDescent="0.25">
      <c r="G299" s="5">
        <f>WORKDAY(G298,1,Feriados!$A$1:$A$24)</f>
        <v>43620</v>
      </c>
      <c r="H299" s="35">
        <f t="shared" si="4"/>
        <v>114084.25661431791</v>
      </c>
    </row>
    <row r="300" spans="7:8" x14ac:dyDescent="0.25">
      <c r="G300" s="5">
        <f>WORKDAY(G299,1,Feriados!$A$1:$A$24)</f>
        <v>43621</v>
      </c>
      <c r="H300" s="35">
        <f t="shared" si="4"/>
        <v>114135.5737827782</v>
      </c>
    </row>
    <row r="301" spans="7:8" x14ac:dyDescent="0.25">
      <c r="G301" s="5">
        <f>WORKDAY(G300,1,Feriados!$A$1:$A$24)</f>
        <v>43622</v>
      </c>
      <c r="H301" s="35">
        <f t="shared" si="4"/>
        <v>114186.91403463192</v>
      </c>
    </row>
    <row r="302" spans="7:8" x14ac:dyDescent="0.25">
      <c r="G302" s="5">
        <f>WORKDAY(G301,1,Feriados!$A$1:$A$24)</f>
        <v>43623</v>
      </c>
      <c r="H302" s="35">
        <f t="shared" si="4"/>
        <v>114238.27738026239</v>
      </c>
    </row>
    <row r="303" spans="7:8" x14ac:dyDescent="0.25">
      <c r="G303" s="5">
        <f>WORKDAY(G302,1,Feriados!$A$1:$A$24)</f>
        <v>43626</v>
      </c>
      <c r="H303" s="35">
        <f t="shared" si="4"/>
        <v>114289.6638300576</v>
      </c>
    </row>
    <row r="304" spans="7:8" x14ac:dyDescent="0.25">
      <c r="G304" s="5">
        <f>WORKDAY(G303,1,Feriados!$A$1:$A$24)</f>
        <v>43627</v>
      </c>
      <c r="H304" s="35">
        <f t="shared" si="4"/>
        <v>114341.07339441024</v>
      </c>
    </row>
    <row r="305" spans="7:8" x14ac:dyDescent="0.25">
      <c r="G305" s="5">
        <f>WORKDAY(G304,1,Feriados!$A$1:$A$24)</f>
        <v>43628</v>
      </c>
      <c r="H305" s="35">
        <f t="shared" si="4"/>
        <v>114392.50608371766</v>
      </c>
    </row>
    <row r="306" spans="7:8" x14ac:dyDescent="0.25">
      <c r="G306" s="5">
        <f>WORKDAY(G305,1,Feriados!$A$1:$A$24)</f>
        <v>43629</v>
      </c>
      <c r="H306" s="35">
        <f t="shared" si="4"/>
        <v>114443.96190838187</v>
      </c>
    </row>
    <row r="307" spans="7:8" x14ac:dyDescent="0.25">
      <c r="G307" s="5">
        <f>WORKDAY(G306,1,Feriados!$A$1:$A$24)</f>
        <v>43630</v>
      </c>
      <c r="H307" s="35">
        <f t="shared" si="4"/>
        <v>114495.44087880958</v>
      </c>
    </row>
    <row r="308" spans="7:8" x14ac:dyDescent="0.25">
      <c r="G308" s="5">
        <f>WORKDAY(G307,1,Feriados!$A$1:$A$24)</f>
        <v>43633</v>
      </c>
      <c r="H308" s="35">
        <f t="shared" si="4"/>
        <v>114546.94300541216</v>
      </c>
    </row>
    <row r="309" spans="7:8" x14ac:dyDescent="0.25">
      <c r="G309" s="5">
        <f>WORKDAY(G308,1,Feriados!$A$1:$A$24)</f>
        <v>43634</v>
      </c>
      <c r="H309" s="35">
        <f t="shared" si="4"/>
        <v>114598.4682986057</v>
      </c>
    </row>
    <row r="310" spans="7:8" x14ac:dyDescent="0.25">
      <c r="G310" s="5">
        <f>WORKDAY(G309,1,Feriados!$A$1:$A$24)</f>
        <v>43635</v>
      </c>
      <c r="H310" s="35">
        <f t="shared" si="4"/>
        <v>114650.01676881095</v>
      </c>
    </row>
    <row r="311" spans="7:8" x14ac:dyDescent="0.25">
      <c r="G311" s="5">
        <f>WORKDAY(G310,1,Feriados!$A$1:$A$24)</f>
        <v>43637</v>
      </c>
      <c r="H311" s="35">
        <f t="shared" si="4"/>
        <v>114701.58842645334</v>
      </c>
    </row>
    <row r="312" spans="7:8" x14ac:dyDescent="0.25">
      <c r="G312" s="5">
        <f>WORKDAY(G311,1,Feriados!$A$1:$A$24)</f>
        <v>43640</v>
      </c>
      <c r="H312" s="35">
        <f t="shared" si="4"/>
        <v>114753.18328196301</v>
      </c>
    </row>
    <row r="313" spans="7:8" x14ac:dyDescent="0.25">
      <c r="G313" s="5">
        <f>WORKDAY(G312,1,Feriados!$A$1:$A$24)</f>
        <v>43641</v>
      </c>
      <c r="H313" s="35">
        <f t="shared" si="4"/>
        <v>114804.80134577477</v>
      </c>
    </row>
    <row r="314" spans="7:8" x14ac:dyDescent="0.25">
      <c r="G314" s="5">
        <f>WORKDAY(G313,1,Feriados!$A$1:$A$24)</f>
        <v>43642</v>
      </c>
      <c r="H314" s="35">
        <f t="shared" si="4"/>
        <v>114856.44262832815</v>
      </c>
    </row>
    <row r="315" spans="7:8" x14ac:dyDescent="0.25">
      <c r="G315" s="5">
        <f>WORKDAY(G314,1,Feriados!$A$1:$A$24)</f>
        <v>43643</v>
      </c>
      <c r="H315" s="35">
        <f t="shared" si="4"/>
        <v>114908.10714006734</v>
      </c>
    </row>
    <row r="316" spans="7:8" x14ac:dyDescent="0.25">
      <c r="G316" s="5">
        <f>WORKDAY(G315,1,Feriados!$A$1:$A$24)</f>
        <v>43644</v>
      </c>
      <c r="H316" s="35">
        <f t="shared" si="4"/>
        <v>114959.79489144127</v>
      </c>
    </row>
    <row r="317" spans="7:8" x14ac:dyDescent="0.25">
      <c r="G317" s="5">
        <f>WORKDAY(G316,1,Feriados!$A$1:$A$24)</f>
        <v>43647</v>
      </c>
      <c r="H317" s="35">
        <f t="shared" si="4"/>
        <v>115011.50589290353</v>
      </c>
    </row>
    <row r="318" spans="7:8" x14ac:dyDescent="0.25">
      <c r="G318" s="5">
        <f>WORKDAY(G317,1,Feriados!$A$1:$A$24)</f>
        <v>43648</v>
      </c>
      <c r="H318" s="35">
        <f t="shared" si="4"/>
        <v>115063.24015491245</v>
      </c>
    </row>
    <row r="319" spans="7:8" x14ac:dyDescent="0.25">
      <c r="G319" s="5">
        <f>WORKDAY(G318,1,Feriados!$A$1:$A$24)</f>
        <v>43649</v>
      </c>
      <c r="H319" s="35">
        <f t="shared" si="4"/>
        <v>115114.99768793103</v>
      </c>
    </row>
    <row r="320" spans="7:8" x14ac:dyDescent="0.25">
      <c r="G320" s="5">
        <f>WORKDAY(G319,1,Feriados!$A$1:$A$24)</f>
        <v>43650</v>
      </c>
      <c r="H320" s="35">
        <f t="shared" si="4"/>
        <v>115166.778502427</v>
      </c>
    </row>
    <row r="321" spans="7:8" x14ac:dyDescent="0.25">
      <c r="G321" s="5">
        <f>WORKDAY(G320,1,Feriados!$A$1:$A$24)</f>
        <v>43651</v>
      </c>
      <c r="H321" s="35">
        <f t="shared" si="4"/>
        <v>115218.58260887279</v>
      </c>
    </row>
    <row r="322" spans="7:8" x14ac:dyDescent="0.25">
      <c r="G322" s="5">
        <f>WORKDAY(G321,1,Feriados!$A$1:$A$24)</f>
        <v>43654</v>
      </c>
      <c r="H322" s="35">
        <f t="shared" si="4"/>
        <v>115270.41001774555</v>
      </c>
    </row>
    <row r="323" spans="7:8" x14ac:dyDescent="0.25">
      <c r="G323" s="5">
        <f>WORKDAY(G322,1,Feriados!$A$1:$A$24)</f>
        <v>43655</v>
      </c>
      <c r="H323" s="35">
        <f t="shared" si="4"/>
        <v>115322.26073952713</v>
      </c>
    </row>
    <row r="324" spans="7:8" x14ac:dyDescent="0.25">
      <c r="G324" s="5">
        <f>WORKDAY(G323,1,Feriados!$A$1:$A$24)</f>
        <v>43656</v>
      </c>
      <c r="H324" s="35">
        <f t="shared" si="4"/>
        <v>115374.1347847041</v>
      </c>
    </row>
    <row r="325" spans="7:8" x14ac:dyDescent="0.25">
      <c r="G325" s="5">
        <f>WORKDAY(G324,1,Feriados!$A$1:$A$24)</f>
        <v>43657</v>
      </c>
      <c r="H325" s="35">
        <f t="shared" si="4"/>
        <v>115426.03216376774</v>
      </c>
    </row>
    <row r="326" spans="7:8" x14ac:dyDescent="0.25">
      <c r="G326" s="5">
        <f>WORKDAY(G325,1,Feriados!$A$1:$A$24)</f>
        <v>43658</v>
      </c>
      <c r="H326" s="35">
        <f t="shared" si="4"/>
        <v>115477.95288721407</v>
      </c>
    </row>
    <row r="327" spans="7:8" x14ac:dyDescent="0.25">
      <c r="G327" s="5">
        <f>WORKDAY(G326,1,Feriados!$A$1:$A$24)</f>
        <v>43661</v>
      </c>
      <c r="H327" s="35">
        <f t="shared" si="4"/>
        <v>115529.89696554378</v>
      </c>
    </row>
    <row r="328" spans="7:8" x14ac:dyDescent="0.25">
      <c r="G328" s="5">
        <f>WORKDAY(G327,1,Feriados!$A$1:$A$24)</f>
        <v>43662</v>
      </c>
      <c r="H328" s="35">
        <f t="shared" ref="H328:H391" si="5">H327*(1+$C$9)</f>
        <v>115581.86440926236</v>
      </c>
    </row>
    <row r="329" spans="7:8" x14ac:dyDescent="0.25">
      <c r="G329" s="5">
        <f>WORKDAY(G328,1,Feriados!$A$1:$A$24)</f>
        <v>43663</v>
      </c>
      <c r="H329" s="35">
        <f t="shared" si="5"/>
        <v>115633.85522887997</v>
      </c>
    </row>
    <row r="330" spans="7:8" x14ac:dyDescent="0.25">
      <c r="G330" s="5">
        <f>WORKDAY(G329,1,Feriados!$A$1:$A$24)</f>
        <v>43664</v>
      </c>
      <c r="H330" s="35">
        <f t="shared" si="5"/>
        <v>115685.86943491152</v>
      </c>
    </row>
    <row r="331" spans="7:8" x14ac:dyDescent="0.25">
      <c r="G331" s="5">
        <f>WORKDAY(G330,1,Feriados!$A$1:$A$24)</f>
        <v>43665</v>
      </c>
      <c r="H331" s="35">
        <f t="shared" si="5"/>
        <v>115737.90703787665</v>
      </c>
    </row>
    <row r="332" spans="7:8" x14ac:dyDescent="0.25">
      <c r="G332" s="5">
        <f>WORKDAY(G331,1,Feriados!$A$1:$A$24)</f>
        <v>43668</v>
      </c>
      <c r="H332" s="35">
        <f t="shared" si="5"/>
        <v>115789.96804829971</v>
      </c>
    </row>
    <row r="333" spans="7:8" x14ac:dyDescent="0.25">
      <c r="G333" s="5">
        <f>WORKDAY(G332,1,Feriados!$A$1:$A$24)</f>
        <v>43669</v>
      </c>
      <c r="H333" s="35">
        <f t="shared" si="5"/>
        <v>115842.0524767098</v>
      </c>
    </row>
    <row r="334" spans="7:8" x14ac:dyDescent="0.25">
      <c r="G334" s="5">
        <f>WORKDAY(G333,1,Feriados!$A$1:$A$24)</f>
        <v>43670</v>
      </c>
      <c r="H334" s="35">
        <f t="shared" si="5"/>
        <v>115894.16033364074</v>
      </c>
    </row>
    <row r="335" spans="7:8" x14ac:dyDescent="0.25">
      <c r="G335" s="5">
        <f>WORKDAY(G334,1,Feriados!$A$1:$A$24)</f>
        <v>43671</v>
      </c>
      <c r="H335" s="35">
        <f t="shared" si="5"/>
        <v>115946.29162963115</v>
      </c>
    </row>
    <row r="336" spans="7:8" x14ac:dyDescent="0.25">
      <c r="G336" s="5">
        <f>WORKDAY(G335,1,Feriados!$A$1:$A$24)</f>
        <v>43672</v>
      </c>
      <c r="H336" s="35">
        <f t="shared" si="5"/>
        <v>115998.4463752243</v>
      </c>
    </row>
    <row r="337" spans="7:8" x14ac:dyDescent="0.25">
      <c r="G337" s="5">
        <f>WORKDAY(G336,1,Feriados!$A$1:$A$24)</f>
        <v>43675</v>
      </c>
      <c r="H337" s="35">
        <f t="shared" si="5"/>
        <v>116050.62458096827</v>
      </c>
    </row>
    <row r="338" spans="7:8" x14ac:dyDescent="0.25">
      <c r="G338" s="5">
        <f>WORKDAY(G337,1,Feriados!$A$1:$A$24)</f>
        <v>43676</v>
      </c>
      <c r="H338" s="35">
        <f t="shared" si="5"/>
        <v>116102.82625741586</v>
      </c>
    </row>
    <row r="339" spans="7:8" x14ac:dyDescent="0.25">
      <c r="G339" s="5">
        <f>WORKDAY(G338,1,Feriados!$A$1:$A$24)</f>
        <v>43677</v>
      </c>
      <c r="H339" s="35">
        <f t="shared" si="5"/>
        <v>116155.0514151246</v>
      </c>
    </row>
    <row r="340" spans="7:8" x14ac:dyDescent="0.25">
      <c r="G340" s="5">
        <f>WORKDAY(G339,1,Feriados!$A$1:$A$24)</f>
        <v>43678</v>
      </c>
      <c r="H340" s="35">
        <f t="shared" si="5"/>
        <v>116207.30006465681</v>
      </c>
    </row>
    <row r="341" spans="7:8" x14ac:dyDescent="0.25">
      <c r="G341" s="5">
        <f>WORKDAY(G340,1,Feriados!$A$1:$A$24)</f>
        <v>43679</v>
      </c>
      <c r="H341" s="35">
        <f t="shared" si="5"/>
        <v>116259.57221657953</v>
      </c>
    </row>
    <row r="342" spans="7:8" x14ac:dyDescent="0.25">
      <c r="G342" s="5">
        <f>WORKDAY(G341,1,Feriados!$A$1:$A$24)</f>
        <v>43682</v>
      </c>
      <c r="H342" s="35">
        <f t="shared" si="5"/>
        <v>116311.86788146455</v>
      </c>
    </row>
    <row r="343" spans="7:8" x14ac:dyDescent="0.25">
      <c r="G343" s="5">
        <f>WORKDAY(G342,1,Feriados!$A$1:$A$24)</f>
        <v>43683</v>
      </c>
      <c r="H343" s="35">
        <f t="shared" si="5"/>
        <v>116364.18706988844</v>
      </c>
    </row>
    <row r="344" spans="7:8" x14ac:dyDescent="0.25">
      <c r="G344" s="5">
        <f>WORKDAY(G343,1,Feriados!$A$1:$A$24)</f>
        <v>43684</v>
      </c>
      <c r="H344" s="35">
        <f t="shared" si="5"/>
        <v>116416.52979243251</v>
      </c>
    </row>
    <row r="345" spans="7:8" x14ac:dyDescent="0.25">
      <c r="G345" s="5">
        <f>WORKDAY(G344,1,Feriados!$A$1:$A$24)</f>
        <v>43685</v>
      </c>
      <c r="H345" s="35">
        <f t="shared" si="5"/>
        <v>116468.89605968284</v>
      </c>
    </row>
    <row r="346" spans="7:8" x14ac:dyDescent="0.25">
      <c r="G346" s="5">
        <f>WORKDAY(G345,1,Feriados!$A$1:$A$24)</f>
        <v>43686</v>
      </c>
      <c r="H346" s="35">
        <f t="shared" si="5"/>
        <v>116521.28588223027</v>
      </c>
    </row>
    <row r="347" spans="7:8" x14ac:dyDescent="0.25">
      <c r="G347" s="5">
        <f>WORKDAY(G346,1,Feriados!$A$1:$A$24)</f>
        <v>43689</v>
      </c>
      <c r="H347" s="35">
        <f t="shared" si="5"/>
        <v>116573.69927067037</v>
      </c>
    </row>
    <row r="348" spans="7:8" x14ac:dyDescent="0.25">
      <c r="G348" s="5">
        <f>WORKDAY(G347,1,Feriados!$A$1:$A$24)</f>
        <v>43690</v>
      </c>
      <c r="H348" s="35">
        <f t="shared" si="5"/>
        <v>116626.13623560355</v>
      </c>
    </row>
    <row r="349" spans="7:8" x14ac:dyDescent="0.25">
      <c r="G349" s="5">
        <f>WORKDAY(G348,1,Feriados!$A$1:$A$24)</f>
        <v>43691</v>
      </c>
      <c r="H349" s="35">
        <f t="shared" si="5"/>
        <v>116678.59678763492</v>
      </c>
    </row>
    <row r="350" spans="7:8" x14ac:dyDescent="0.25">
      <c r="G350" s="5">
        <f>WORKDAY(G349,1,Feriados!$A$1:$A$24)</f>
        <v>43692</v>
      </c>
      <c r="H350" s="35">
        <f t="shared" si="5"/>
        <v>116731.08093737438</v>
      </c>
    </row>
    <row r="351" spans="7:8" x14ac:dyDescent="0.25">
      <c r="G351" s="5">
        <f>WORKDAY(G350,1,Feriados!$A$1:$A$24)</f>
        <v>43693</v>
      </c>
      <c r="H351" s="35">
        <f t="shared" si="5"/>
        <v>116783.58869543663</v>
      </c>
    </row>
    <row r="352" spans="7:8" x14ac:dyDescent="0.25">
      <c r="G352" s="5">
        <f>WORKDAY(G351,1,Feriados!$A$1:$A$24)</f>
        <v>43696</v>
      </c>
      <c r="H352" s="35">
        <f t="shared" si="5"/>
        <v>116836.12007244109</v>
      </c>
    </row>
    <row r="353" spans="7:8" x14ac:dyDescent="0.25">
      <c r="G353" s="5">
        <f>WORKDAY(G352,1,Feriados!$A$1:$A$24)</f>
        <v>43697</v>
      </c>
      <c r="H353" s="35">
        <f t="shared" si="5"/>
        <v>116888.67507901201</v>
      </c>
    </row>
    <row r="354" spans="7:8" x14ac:dyDescent="0.25">
      <c r="G354" s="5">
        <f>WORKDAY(G353,1,Feriados!$A$1:$A$24)</f>
        <v>43698</v>
      </c>
      <c r="H354" s="35">
        <f t="shared" si="5"/>
        <v>116941.2537257784</v>
      </c>
    </row>
    <row r="355" spans="7:8" x14ac:dyDescent="0.25">
      <c r="G355" s="5">
        <f>WORKDAY(G354,1,Feriados!$A$1:$A$24)</f>
        <v>43699</v>
      </c>
      <c r="H355" s="35">
        <f t="shared" si="5"/>
        <v>116993.85602337403</v>
      </c>
    </row>
    <row r="356" spans="7:8" x14ac:dyDescent="0.25">
      <c r="G356" s="5">
        <f>WORKDAY(G355,1,Feriados!$A$1:$A$24)</f>
        <v>43700</v>
      </c>
      <c r="H356" s="35">
        <f t="shared" si="5"/>
        <v>117046.48198243749</v>
      </c>
    </row>
    <row r="357" spans="7:8" x14ac:dyDescent="0.25">
      <c r="G357" s="5">
        <f>WORKDAY(G356,1,Feriados!$A$1:$A$24)</f>
        <v>43703</v>
      </c>
      <c r="H357" s="35">
        <f t="shared" si="5"/>
        <v>117099.13161361213</v>
      </c>
    </row>
    <row r="358" spans="7:8" x14ac:dyDescent="0.25">
      <c r="G358" s="5">
        <f>WORKDAY(G357,1,Feriados!$A$1:$A$24)</f>
        <v>43704</v>
      </c>
      <c r="H358" s="35">
        <f t="shared" si="5"/>
        <v>117151.80492754609</v>
      </c>
    </row>
    <row r="359" spans="7:8" x14ac:dyDescent="0.25">
      <c r="G359" s="5">
        <f>WORKDAY(G358,1,Feriados!$A$1:$A$24)</f>
        <v>43705</v>
      </c>
      <c r="H359" s="35">
        <f t="shared" si="5"/>
        <v>117204.50193489232</v>
      </c>
    </row>
    <row r="360" spans="7:8" x14ac:dyDescent="0.25">
      <c r="G360" s="5">
        <f>WORKDAY(G359,1,Feriados!$A$1:$A$24)</f>
        <v>43706</v>
      </c>
      <c r="H360" s="35">
        <f t="shared" si="5"/>
        <v>117257.22264630854</v>
      </c>
    </row>
    <row r="361" spans="7:8" x14ac:dyDescent="0.25">
      <c r="G361" s="5">
        <f>WORKDAY(G360,1,Feriados!$A$1:$A$24)</f>
        <v>43707</v>
      </c>
      <c r="H361" s="35">
        <f t="shared" si="5"/>
        <v>117309.96707245726</v>
      </c>
    </row>
    <row r="362" spans="7:8" x14ac:dyDescent="0.25">
      <c r="G362" s="5">
        <f>WORKDAY(G361,1,Feriados!$A$1:$A$24)</f>
        <v>43710</v>
      </c>
      <c r="H362" s="35">
        <f t="shared" si="5"/>
        <v>117362.73522400582</v>
      </c>
    </row>
    <row r="363" spans="7:8" x14ac:dyDescent="0.25">
      <c r="G363" s="5">
        <f>WORKDAY(G362,1,Feriados!$A$1:$A$24)</f>
        <v>43711</v>
      </c>
      <c r="H363" s="35">
        <f t="shared" si="5"/>
        <v>117415.52711162632</v>
      </c>
    </row>
    <row r="364" spans="7:8" x14ac:dyDescent="0.25">
      <c r="G364" s="5">
        <f>WORKDAY(G363,1,Feriados!$A$1:$A$24)</f>
        <v>43712</v>
      </c>
      <c r="H364" s="35">
        <f t="shared" si="5"/>
        <v>117468.34274599567</v>
      </c>
    </row>
    <row r="365" spans="7:8" x14ac:dyDescent="0.25">
      <c r="G365" s="5">
        <f>WORKDAY(G364,1,Feriados!$A$1:$A$24)</f>
        <v>43713</v>
      </c>
      <c r="H365" s="35">
        <f t="shared" si="5"/>
        <v>117521.18213779559</v>
      </c>
    </row>
    <row r="366" spans="7:8" x14ac:dyDescent="0.25">
      <c r="G366" s="5">
        <f>WORKDAY(G365,1,Feriados!$A$1:$A$24)</f>
        <v>43714</v>
      </c>
      <c r="H366" s="35">
        <f t="shared" si="5"/>
        <v>117574.04529771261</v>
      </c>
    </row>
    <row r="367" spans="7:8" x14ac:dyDescent="0.25">
      <c r="G367" s="5">
        <f>WORKDAY(G366,1,Feriados!$A$1:$A$24)</f>
        <v>43717</v>
      </c>
      <c r="H367" s="35">
        <f t="shared" si="5"/>
        <v>117626.93223643806</v>
      </c>
    </row>
    <row r="368" spans="7:8" x14ac:dyDescent="0.25">
      <c r="G368" s="5">
        <f>WORKDAY(G367,1,Feriados!$A$1:$A$24)</f>
        <v>43718</v>
      </c>
      <c r="H368" s="35">
        <f t="shared" si="5"/>
        <v>117679.84296466809</v>
      </c>
    </row>
    <row r="369" spans="7:8" x14ac:dyDescent="0.25">
      <c r="G369" s="5">
        <f>WORKDAY(G368,1,Feriados!$A$1:$A$24)</f>
        <v>43719</v>
      </c>
      <c r="H369" s="35">
        <f t="shared" si="5"/>
        <v>117732.77749310363</v>
      </c>
    </row>
    <row r="370" spans="7:8" x14ac:dyDescent="0.25">
      <c r="G370" s="5">
        <f>WORKDAY(G369,1,Feriados!$A$1:$A$24)</f>
        <v>43720</v>
      </c>
      <c r="H370" s="35">
        <f t="shared" si="5"/>
        <v>117785.73583245045</v>
      </c>
    </row>
    <row r="371" spans="7:8" x14ac:dyDescent="0.25">
      <c r="G371" s="5">
        <f>WORKDAY(G370,1,Feriados!$A$1:$A$24)</f>
        <v>43721</v>
      </c>
      <c r="H371" s="35">
        <f t="shared" si="5"/>
        <v>117838.71799341914</v>
      </c>
    </row>
    <row r="372" spans="7:8" x14ac:dyDescent="0.25">
      <c r="G372" s="5">
        <f>WORKDAY(G371,1,Feriados!$A$1:$A$24)</f>
        <v>43724</v>
      </c>
      <c r="H372" s="35">
        <f t="shared" si="5"/>
        <v>117891.72398672509</v>
      </c>
    </row>
    <row r="373" spans="7:8" x14ac:dyDescent="0.25">
      <c r="G373" s="5">
        <f>WORKDAY(G372,1,Feriados!$A$1:$A$24)</f>
        <v>43725</v>
      </c>
      <c r="H373" s="35">
        <f t="shared" si="5"/>
        <v>117944.75382308853</v>
      </c>
    </row>
    <row r="374" spans="7:8" x14ac:dyDescent="0.25">
      <c r="G374" s="5">
        <f>WORKDAY(G373,1,Feriados!$A$1:$A$24)</f>
        <v>43726</v>
      </c>
      <c r="H374" s="35">
        <f t="shared" si="5"/>
        <v>117997.80751323447</v>
      </c>
    </row>
    <row r="375" spans="7:8" x14ac:dyDescent="0.25">
      <c r="G375" s="5">
        <f>WORKDAY(G374,1,Feriados!$A$1:$A$24)</f>
        <v>43727</v>
      </c>
      <c r="H375" s="35">
        <f t="shared" si="5"/>
        <v>118050.8850678928</v>
      </c>
    </row>
    <row r="376" spans="7:8" x14ac:dyDescent="0.25">
      <c r="G376" s="5">
        <f>WORKDAY(G375,1,Feriados!$A$1:$A$24)</f>
        <v>43728</v>
      </c>
      <c r="H376" s="35">
        <f t="shared" si="5"/>
        <v>118103.98649779821</v>
      </c>
    </row>
    <row r="377" spans="7:8" x14ac:dyDescent="0.25">
      <c r="G377" s="5">
        <f>WORKDAY(G376,1,Feriados!$A$1:$A$24)</f>
        <v>43731</v>
      </c>
      <c r="H377" s="35">
        <f t="shared" si="5"/>
        <v>118157.11181369021</v>
      </c>
    </row>
    <row r="378" spans="7:8" x14ac:dyDescent="0.25">
      <c r="G378" s="5">
        <f>WORKDAY(G377,1,Feriados!$A$1:$A$24)</f>
        <v>43732</v>
      </c>
      <c r="H378" s="35">
        <f t="shared" si="5"/>
        <v>118210.26102631315</v>
      </c>
    </row>
    <row r="379" spans="7:8" x14ac:dyDescent="0.25">
      <c r="G379" s="5">
        <f>WORKDAY(G378,1,Feriados!$A$1:$A$24)</f>
        <v>43733</v>
      </c>
      <c r="H379" s="35">
        <f t="shared" si="5"/>
        <v>118263.43414641621</v>
      </c>
    </row>
    <row r="380" spans="7:8" x14ac:dyDescent="0.25">
      <c r="G380" s="5">
        <f>WORKDAY(G379,1,Feriados!$A$1:$A$24)</f>
        <v>43734</v>
      </c>
      <c r="H380" s="35">
        <f t="shared" si="5"/>
        <v>118316.63118475342</v>
      </c>
    </row>
    <row r="381" spans="7:8" x14ac:dyDescent="0.25">
      <c r="G381" s="5">
        <f>WORKDAY(G380,1,Feriados!$A$1:$A$24)</f>
        <v>43735</v>
      </c>
      <c r="H381" s="35">
        <f t="shared" si="5"/>
        <v>118369.85215208364</v>
      </c>
    </row>
    <row r="382" spans="7:8" x14ac:dyDescent="0.25">
      <c r="G382" s="5">
        <f>WORKDAY(G381,1,Feriados!$A$1:$A$24)</f>
        <v>43738</v>
      </c>
      <c r="H382" s="35">
        <f t="shared" si="5"/>
        <v>118423.09705917054</v>
      </c>
    </row>
    <row r="383" spans="7:8" x14ac:dyDescent="0.25">
      <c r="G383" s="5">
        <f>WORKDAY(G382,1,Feriados!$A$1:$A$24)</f>
        <v>43739</v>
      </c>
      <c r="H383" s="35">
        <f t="shared" si="5"/>
        <v>118476.36591678268</v>
      </c>
    </row>
    <row r="384" spans="7:8" x14ac:dyDescent="0.25">
      <c r="G384" s="5">
        <f>WORKDAY(G383,1,Feriados!$A$1:$A$24)</f>
        <v>43740</v>
      </c>
      <c r="H384" s="35">
        <f t="shared" si="5"/>
        <v>118529.65873569343</v>
      </c>
    </row>
    <row r="385" spans="7:8" x14ac:dyDescent="0.25">
      <c r="G385" s="5">
        <f>WORKDAY(G384,1,Feriados!$A$1:$A$24)</f>
        <v>43741</v>
      </c>
      <c r="H385" s="35">
        <f t="shared" si="5"/>
        <v>118582.97552668102</v>
      </c>
    </row>
    <row r="386" spans="7:8" x14ac:dyDescent="0.25">
      <c r="G386" s="5">
        <f>WORKDAY(G385,1,Feriados!$A$1:$A$24)</f>
        <v>43742</v>
      </c>
      <c r="H386" s="35">
        <f t="shared" si="5"/>
        <v>118636.31630052853</v>
      </c>
    </row>
    <row r="387" spans="7:8" x14ac:dyDescent="0.25">
      <c r="G387" s="5">
        <f>WORKDAY(G386,1,Feriados!$A$1:$A$24)</f>
        <v>43745</v>
      </c>
      <c r="H387" s="35">
        <f t="shared" si="5"/>
        <v>118689.68106802387</v>
      </c>
    </row>
    <row r="388" spans="7:8" x14ac:dyDescent="0.25">
      <c r="G388" s="5">
        <f>WORKDAY(G387,1,Feriados!$A$1:$A$24)</f>
        <v>43746</v>
      </c>
      <c r="H388" s="35">
        <f t="shared" si="5"/>
        <v>118743.06983995983</v>
      </c>
    </row>
    <row r="389" spans="7:8" x14ac:dyDescent="0.25">
      <c r="G389" s="5">
        <f>WORKDAY(G388,1,Feriados!$A$1:$A$24)</f>
        <v>43747</v>
      </c>
      <c r="H389" s="35">
        <f t="shared" si="5"/>
        <v>118796.48262713404</v>
      </c>
    </row>
    <row r="390" spans="7:8" x14ac:dyDescent="0.25">
      <c r="G390" s="5">
        <f>WORKDAY(G389,1,Feriados!$A$1:$A$24)</f>
        <v>43748</v>
      </c>
      <c r="H390" s="35">
        <f t="shared" si="5"/>
        <v>118849.919440349</v>
      </c>
    </row>
    <row r="391" spans="7:8" x14ac:dyDescent="0.25">
      <c r="G391" s="5">
        <f>WORKDAY(G390,1,Feriados!$A$1:$A$24)</f>
        <v>43749</v>
      </c>
      <c r="H391" s="35">
        <f t="shared" si="5"/>
        <v>118903.38029041204</v>
      </c>
    </row>
    <row r="392" spans="7:8" x14ac:dyDescent="0.25">
      <c r="G392" s="5">
        <f>WORKDAY(G391,1,Feriados!$A$1:$A$24)</f>
        <v>43752</v>
      </c>
      <c r="H392" s="35">
        <f t="shared" ref="H392:H426" si="6">H391*(1+$C$9)</f>
        <v>118956.86518813539</v>
      </c>
    </row>
    <row r="393" spans="7:8" x14ac:dyDescent="0.25">
      <c r="G393" s="5">
        <f>WORKDAY(G392,1,Feriados!$A$1:$A$24)</f>
        <v>43753</v>
      </c>
      <c r="H393" s="35">
        <f t="shared" si="6"/>
        <v>119010.37414433611</v>
      </c>
    </row>
    <row r="394" spans="7:8" x14ac:dyDescent="0.25">
      <c r="G394" s="5">
        <f>WORKDAY(G393,1,Feriados!$A$1:$A$24)</f>
        <v>43754</v>
      </c>
      <c r="H394" s="35">
        <f t="shared" si="6"/>
        <v>119063.90716983614</v>
      </c>
    </row>
    <row r="395" spans="7:8" x14ac:dyDescent="0.25">
      <c r="G395" s="5">
        <f>WORKDAY(G394,1,Feriados!$A$1:$A$24)</f>
        <v>43755</v>
      </c>
      <c r="H395" s="35">
        <f t="shared" si="6"/>
        <v>119117.46427546229</v>
      </c>
    </row>
    <row r="396" spans="7:8" x14ac:dyDescent="0.25">
      <c r="G396" s="5">
        <f>WORKDAY(G395,1,Feriados!$A$1:$A$24)</f>
        <v>43756</v>
      </c>
      <c r="H396" s="35">
        <f t="shared" si="6"/>
        <v>119171.04547204624</v>
      </c>
    </row>
    <row r="397" spans="7:8" x14ac:dyDescent="0.25">
      <c r="G397" s="5">
        <f>WORKDAY(G396,1,Feriados!$A$1:$A$24)</f>
        <v>43759</v>
      </c>
      <c r="H397" s="35">
        <f t="shared" si="6"/>
        <v>119224.65077042455</v>
      </c>
    </row>
    <row r="398" spans="7:8" x14ac:dyDescent="0.25">
      <c r="G398" s="5">
        <f>WORKDAY(G397,1,Feriados!$A$1:$A$24)</f>
        <v>43760</v>
      </c>
      <c r="H398" s="35">
        <f t="shared" si="6"/>
        <v>119278.28018143862</v>
      </c>
    </row>
    <row r="399" spans="7:8" x14ac:dyDescent="0.25">
      <c r="G399" s="5">
        <f>WORKDAY(G398,1,Feriados!$A$1:$A$24)</f>
        <v>43761</v>
      </c>
      <c r="H399" s="35">
        <f t="shared" si="6"/>
        <v>119331.93371593478</v>
      </c>
    </row>
    <row r="400" spans="7:8" x14ac:dyDescent="0.25">
      <c r="G400" s="5">
        <f>WORKDAY(G399,1,Feriados!$A$1:$A$24)</f>
        <v>43762</v>
      </c>
      <c r="H400" s="35">
        <f t="shared" si="6"/>
        <v>119385.61138476418</v>
      </c>
    </row>
    <row r="401" spans="7:8" x14ac:dyDescent="0.25">
      <c r="G401" s="5">
        <f>WORKDAY(G400,1,Feriados!$A$1:$A$24)</f>
        <v>43763</v>
      </c>
      <c r="H401" s="35">
        <f t="shared" si="6"/>
        <v>119439.31319878291</v>
      </c>
    </row>
    <row r="402" spans="7:8" x14ac:dyDescent="0.25">
      <c r="G402" s="5">
        <f>WORKDAY(G401,1,Feriados!$A$1:$A$24)</f>
        <v>43766</v>
      </c>
      <c r="H402" s="35">
        <f t="shared" si="6"/>
        <v>119493.0391688519</v>
      </c>
    </row>
    <row r="403" spans="7:8" x14ac:dyDescent="0.25">
      <c r="G403" s="5">
        <f>WORKDAY(G402,1,Feriados!$A$1:$A$24)</f>
        <v>43767</v>
      </c>
      <c r="H403" s="35">
        <f t="shared" si="6"/>
        <v>119546.78930583698</v>
      </c>
    </row>
    <row r="404" spans="7:8" x14ac:dyDescent="0.25">
      <c r="G404" s="5">
        <f>WORKDAY(G403,1,Feriados!$A$1:$A$24)</f>
        <v>43768</v>
      </c>
      <c r="H404" s="35">
        <f t="shared" si="6"/>
        <v>119600.56362060887</v>
      </c>
    </row>
    <row r="405" spans="7:8" x14ac:dyDescent="0.25">
      <c r="G405" s="5">
        <f>WORKDAY(G404,1,Feriados!$A$1:$A$24)</f>
        <v>43769</v>
      </c>
      <c r="H405" s="35">
        <f t="shared" si="6"/>
        <v>119654.36212404317</v>
      </c>
    </row>
    <row r="406" spans="7:8" x14ac:dyDescent="0.25">
      <c r="G406" s="5">
        <f>WORKDAY(G405,1,Feriados!$A$1:$A$24)</f>
        <v>43770</v>
      </c>
      <c r="H406" s="35">
        <f t="shared" si="6"/>
        <v>119708.18482702038</v>
      </c>
    </row>
    <row r="407" spans="7:8" x14ac:dyDescent="0.25">
      <c r="G407" s="5">
        <f>WORKDAY(G406,1,Feriados!$A$1:$A$24)</f>
        <v>43773</v>
      </c>
      <c r="H407" s="35">
        <f t="shared" si="6"/>
        <v>119762.0317404259</v>
      </c>
    </row>
    <row r="408" spans="7:8" x14ac:dyDescent="0.25">
      <c r="G408" s="5">
        <f>WORKDAY(G407,1,Feriados!$A$1:$A$24)</f>
        <v>43774</v>
      </c>
      <c r="H408" s="35">
        <f t="shared" si="6"/>
        <v>119815.90287515</v>
      </c>
    </row>
    <row r="409" spans="7:8" x14ac:dyDescent="0.25">
      <c r="G409" s="5">
        <f>WORKDAY(G408,1,Feriados!$A$1:$A$24)</f>
        <v>43775</v>
      </c>
      <c r="H409" s="35">
        <f t="shared" si="6"/>
        <v>119869.7982420879</v>
      </c>
    </row>
    <row r="410" spans="7:8" x14ac:dyDescent="0.25">
      <c r="G410" s="5">
        <f>WORKDAY(G409,1,Feriados!$A$1:$A$24)</f>
        <v>43776</v>
      </c>
      <c r="H410" s="35">
        <f t="shared" si="6"/>
        <v>119923.71785213967</v>
      </c>
    </row>
    <row r="411" spans="7:8" x14ac:dyDescent="0.25">
      <c r="G411" s="5">
        <f>WORKDAY(G410,1,Feriados!$A$1:$A$24)</f>
        <v>43777</v>
      </c>
      <c r="H411" s="35">
        <f t="shared" si="6"/>
        <v>119977.66171621031</v>
      </c>
    </row>
    <row r="412" spans="7:8" x14ac:dyDescent="0.25">
      <c r="G412" s="5">
        <f>WORKDAY(G411,1,Feriados!$A$1:$A$24)</f>
        <v>43780</v>
      </c>
      <c r="H412" s="35">
        <f t="shared" si="6"/>
        <v>120031.62984520971</v>
      </c>
    </row>
    <row r="413" spans="7:8" x14ac:dyDescent="0.25">
      <c r="G413" s="5">
        <f>WORKDAY(G412,1,Feriados!$A$1:$A$24)</f>
        <v>43781</v>
      </c>
      <c r="H413" s="35">
        <f t="shared" si="6"/>
        <v>120085.62225005268</v>
      </c>
    </row>
    <row r="414" spans="7:8" x14ac:dyDescent="0.25">
      <c r="G414" s="5">
        <f>WORKDAY(G413,1,Feriados!$A$1:$A$24)</f>
        <v>43782</v>
      </c>
      <c r="H414" s="35">
        <f t="shared" si="6"/>
        <v>120139.63894165894</v>
      </c>
    </row>
    <row r="415" spans="7:8" x14ac:dyDescent="0.25">
      <c r="G415" s="5">
        <f>WORKDAY(G414,1,Feriados!$A$1:$A$24)</f>
        <v>43783</v>
      </c>
      <c r="H415" s="35">
        <f t="shared" si="6"/>
        <v>120193.67993095311</v>
      </c>
    </row>
    <row r="416" spans="7:8" x14ac:dyDescent="0.25">
      <c r="G416" s="5">
        <f>WORKDAY(G415,1,Feriados!$A$1:$A$24)</f>
        <v>43787</v>
      </c>
      <c r="H416" s="35">
        <f t="shared" si="6"/>
        <v>120247.74522886473</v>
      </c>
    </row>
    <row r="417" spans="7:8" x14ac:dyDescent="0.25">
      <c r="G417" s="5">
        <f>WORKDAY(G416,1,Feriados!$A$1:$A$24)</f>
        <v>43788</v>
      </c>
      <c r="H417" s="35">
        <f t="shared" si="6"/>
        <v>120301.83484632826</v>
      </c>
    </row>
    <row r="418" spans="7:8" x14ac:dyDescent="0.25">
      <c r="G418" s="5">
        <f>WORKDAY(G417,1,Feriados!$A$1:$A$24)</f>
        <v>43789</v>
      </c>
      <c r="H418" s="35">
        <f t="shared" si="6"/>
        <v>120355.94879428307</v>
      </c>
    </row>
    <row r="419" spans="7:8" x14ac:dyDescent="0.25">
      <c r="G419" s="5">
        <f>WORKDAY(G418,1,Feriados!$A$1:$A$24)</f>
        <v>43790</v>
      </c>
      <c r="H419" s="35">
        <f t="shared" si="6"/>
        <v>120410.08708367347</v>
      </c>
    </row>
    <row r="420" spans="7:8" x14ac:dyDescent="0.25">
      <c r="G420" s="5">
        <f>WORKDAY(G419,1,Feriados!$A$1:$A$24)</f>
        <v>43791</v>
      </c>
      <c r="H420" s="35">
        <f t="shared" si="6"/>
        <v>120464.24972544867</v>
      </c>
    </row>
    <row r="421" spans="7:8" x14ac:dyDescent="0.25">
      <c r="G421" s="5">
        <f>WORKDAY(G420,1,Feriados!$A$1:$A$24)</f>
        <v>43794</v>
      </c>
      <c r="H421" s="35">
        <f t="shared" si="6"/>
        <v>120518.43673056281</v>
      </c>
    </row>
    <row r="422" spans="7:8" x14ac:dyDescent="0.25">
      <c r="G422" s="5">
        <f>WORKDAY(G421,1,Feriados!$A$1:$A$24)</f>
        <v>43795</v>
      </c>
      <c r="H422" s="35">
        <f t="shared" si="6"/>
        <v>120572.64810997497</v>
      </c>
    </row>
    <row r="423" spans="7:8" x14ac:dyDescent="0.25">
      <c r="G423" s="5">
        <f>WORKDAY(G422,1,Feriados!$A$1:$A$24)</f>
        <v>43796</v>
      </c>
      <c r="H423" s="35">
        <f t="shared" si="6"/>
        <v>120626.88387464914</v>
      </c>
    </row>
    <row r="424" spans="7:8" x14ac:dyDescent="0.25">
      <c r="G424" s="5">
        <f>WORKDAY(G423,1,Feriados!$A$1:$A$24)</f>
        <v>43797</v>
      </c>
      <c r="H424" s="35">
        <f t="shared" si="6"/>
        <v>120681.14403555427</v>
      </c>
    </row>
    <row r="425" spans="7:8" x14ac:dyDescent="0.25">
      <c r="G425" s="5">
        <f>WORKDAY(G424,1,Feriados!$A$1:$A$24)</f>
        <v>43798</v>
      </c>
      <c r="H425" s="35">
        <f t="shared" si="6"/>
        <v>120735.42860366423</v>
      </c>
    </row>
    <row r="426" spans="7:8" x14ac:dyDescent="0.25">
      <c r="G426" s="5">
        <f>WORKDAY(G425,1,Feriados!$A$1:$A$24)</f>
        <v>43801</v>
      </c>
      <c r="H426" s="35">
        <f t="shared" si="6"/>
        <v>120789.7375899578</v>
      </c>
    </row>
    <row r="427" spans="7:8" x14ac:dyDescent="0.25">
      <c r="G427" s="4"/>
    </row>
    <row r="428" spans="7:8" x14ac:dyDescent="0.25">
      <c r="G428" s="4"/>
    </row>
    <row r="429" spans="7:8" x14ac:dyDescent="0.25">
      <c r="G429" s="4"/>
    </row>
    <row r="430" spans="7:8" x14ac:dyDescent="0.25">
      <c r="G430" s="4"/>
    </row>
    <row r="431" spans="7:8" x14ac:dyDescent="0.25">
      <c r="G431" s="4"/>
    </row>
    <row r="432" spans="7:8" x14ac:dyDescent="0.25">
      <c r="G432" s="4"/>
    </row>
    <row r="433" spans="1:12" x14ac:dyDescent="0.25">
      <c r="G433" s="4"/>
    </row>
    <row r="434" spans="1:12" x14ac:dyDescent="0.25">
      <c r="G434" s="4"/>
    </row>
    <row r="435" spans="1:12" x14ac:dyDescent="0.25">
      <c r="G435" s="4"/>
    </row>
    <row r="436" spans="1:12" x14ac:dyDescent="0.25">
      <c r="G436" s="4"/>
    </row>
    <row r="437" spans="1:12" s="1" customFormat="1" x14ac:dyDescent="0.25">
      <c r="A437"/>
      <c r="B437"/>
      <c r="C437"/>
      <c r="D437"/>
      <c r="E437"/>
      <c r="F437"/>
      <c r="G437" s="4"/>
      <c r="I437"/>
      <c r="J437"/>
      <c r="K437"/>
      <c r="L437"/>
    </row>
    <row r="438" spans="1:12" s="1" customFormat="1" x14ac:dyDescent="0.25">
      <c r="A438"/>
      <c r="B438"/>
      <c r="C438"/>
      <c r="D438"/>
      <c r="E438"/>
      <c r="F438"/>
      <c r="G438" s="4"/>
      <c r="I438"/>
      <c r="J438"/>
      <c r="K438"/>
      <c r="L438"/>
    </row>
    <row r="439" spans="1:12" s="1" customFormat="1" x14ac:dyDescent="0.25">
      <c r="A439"/>
      <c r="B439"/>
      <c r="C439"/>
      <c r="D439"/>
      <c r="E439"/>
      <c r="F439"/>
      <c r="G439" s="4"/>
      <c r="I439"/>
      <c r="J439"/>
      <c r="K439"/>
      <c r="L439"/>
    </row>
    <row r="440" spans="1:12" s="1" customFormat="1" x14ac:dyDescent="0.25">
      <c r="A440"/>
      <c r="B440"/>
      <c r="C440"/>
      <c r="D440"/>
      <c r="E440"/>
      <c r="F440"/>
      <c r="G440" s="4"/>
      <c r="I440"/>
      <c r="J440"/>
      <c r="K440"/>
      <c r="L440"/>
    </row>
    <row r="441" spans="1:12" s="1" customFormat="1" x14ac:dyDescent="0.25">
      <c r="A441"/>
      <c r="B441"/>
      <c r="C441"/>
      <c r="D441"/>
      <c r="E441"/>
      <c r="F441"/>
      <c r="G441" s="4"/>
      <c r="I441"/>
      <c r="J441"/>
      <c r="K441"/>
      <c r="L441"/>
    </row>
    <row r="442" spans="1:12" s="1" customFormat="1" x14ac:dyDescent="0.25">
      <c r="A442"/>
      <c r="B442"/>
      <c r="C442"/>
      <c r="D442"/>
      <c r="E442"/>
      <c r="F442"/>
      <c r="G442" s="4"/>
      <c r="I442"/>
      <c r="J442"/>
      <c r="K442"/>
      <c r="L442"/>
    </row>
    <row r="443" spans="1:12" s="1" customFormat="1" x14ac:dyDescent="0.25">
      <c r="A443"/>
      <c r="B443"/>
      <c r="C443"/>
      <c r="D443"/>
      <c r="E443"/>
      <c r="F443"/>
      <c r="G443" s="4"/>
      <c r="I443"/>
      <c r="J443"/>
      <c r="K443"/>
      <c r="L443"/>
    </row>
    <row r="444" spans="1:12" s="1" customFormat="1" x14ac:dyDescent="0.25">
      <c r="A444"/>
      <c r="B444"/>
      <c r="C444"/>
      <c r="D444"/>
      <c r="E444"/>
      <c r="F444"/>
      <c r="G444" s="4"/>
      <c r="I444"/>
      <c r="J444"/>
      <c r="K444"/>
      <c r="L444"/>
    </row>
    <row r="445" spans="1:12" s="1" customFormat="1" x14ac:dyDescent="0.25">
      <c r="A445"/>
      <c r="B445"/>
      <c r="C445"/>
      <c r="D445"/>
      <c r="E445"/>
      <c r="F445"/>
      <c r="G445" s="4"/>
      <c r="I445"/>
      <c r="J445"/>
      <c r="K445"/>
      <c r="L445"/>
    </row>
    <row r="446" spans="1:12" s="1" customFormat="1" x14ac:dyDescent="0.25">
      <c r="A446"/>
      <c r="B446"/>
      <c r="C446"/>
      <c r="D446"/>
      <c r="E446"/>
      <c r="F446"/>
      <c r="G446" s="4"/>
      <c r="I446"/>
      <c r="J446"/>
      <c r="K446"/>
      <c r="L446"/>
    </row>
    <row r="447" spans="1:12" s="1" customFormat="1" x14ac:dyDescent="0.25">
      <c r="A447"/>
      <c r="B447"/>
      <c r="C447"/>
      <c r="D447"/>
      <c r="E447"/>
      <c r="F447"/>
      <c r="G447" s="4"/>
      <c r="I447"/>
      <c r="J447"/>
      <c r="K447"/>
      <c r="L447"/>
    </row>
    <row r="448" spans="1:12" s="1" customFormat="1" x14ac:dyDescent="0.25">
      <c r="A448"/>
      <c r="B448"/>
      <c r="C448"/>
      <c r="D448"/>
      <c r="E448"/>
      <c r="F448"/>
      <c r="G448" s="4"/>
      <c r="I448"/>
      <c r="J448"/>
      <c r="K448"/>
      <c r="L448"/>
    </row>
    <row r="449" spans="1:12" s="1" customFormat="1" x14ac:dyDescent="0.25">
      <c r="A449"/>
      <c r="B449"/>
      <c r="C449"/>
      <c r="D449"/>
      <c r="E449"/>
      <c r="F449"/>
      <c r="G449" s="4"/>
      <c r="I449"/>
      <c r="J449"/>
      <c r="K449"/>
      <c r="L449"/>
    </row>
    <row r="450" spans="1:12" s="1" customFormat="1" x14ac:dyDescent="0.25">
      <c r="A450"/>
      <c r="B450"/>
      <c r="C450"/>
      <c r="D450"/>
      <c r="E450"/>
      <c r="F450"/>
      <c r="G450" s="4"/>
      <c r="I450"/>
      <c r="J450"/>
      <c r="K450"/>
      <c r="L450"/>
    </row>
    <row r="451" spans="1:12" s="1" customFormat="1" x14ac:dyDescent="0.25">
      <c r="A451"/>
      <c r="B451"/>
      <c r="C451"/>
      <c r="D451"/>
      <c r="E451"/>
      <c r="F451"/>
      <c r="G451" s="4"/>
      <c r="I451"/>
      <c r="J451"/>
      <c r="K451"/>
      <c r="L451"/>
    </row>
    <row r="452" spans="1:12" s="1" customFormat="1" x14ac:dyDescent="0.25">
      <c r="A452"/>
      <c r="B452"/>
      <c r="C452"/>
      <c r="D452"/>
      <c r="E452"/>
      <c r="F452"/>
      <c r="G452" s="4"/>
      <c r="I452"/>
      <c r="J452"/>
      <c r="K452"/>
      <c r="L452"/>
    </row>
    <row r="453" spans="1:12" s="1" customFormat="1" x14ac:dyDescent="0.25">
      <c r="A453"/>
      <c r="B453"/>
      <c r="C453"/>
      <c r="D453"/>
      <c r="E453"/>
      <c r="F453"/>
      <c r="G453" s="4"/>
      <c r="I453"/>
      <c r="J453"/>
      <c r="K453"/>
      <c r="L453"/>
    </row>
    <row r="454" spans="1:12" s="1" customFormat="1" x14ac:dyDescent="0.25">
      <c r="A454"/>
      <c r="B454"/>
      <c r="C454"/>
      <c r="D454"/>
      <c r="E454"/>
      <c r="F454"/>
      <c r="G454" s="4"/>
      <c r="I454"/>
      <c r="J454"/>
      <c r="K454"/>
      <c r="L454"/>
    </row>
    <row r="455" spans="1:12" s="1" customFormat="1" x14ac:dyDescent="0.25">
      <c r="A455"/>
      <c r="B455"/>
      <c r="C455"/>
      <c r="D455"/>
      <c r="E455"/>
      <c r="F455"/>
      <c r="G455" s="4"/>
      <c r="I455"/>
      <c r="J455"/>
      <c r="K455"/>
      <c r="L455"/>
    </row>
    <row r="456" spans="1:12" s="1" customFormat="1" x14ac:dyDescent="0.25">
      <c r="A456"/>
      <c r="B456"/>
      <c r="C456"/>
      <c r="D456"/>
      <c r="E456"/>
      <c r="F456"/>
      <c r="G456" s="4"/>
      <c r="I456"/>
      <c r="J456"/>
      <c r="K456"/>
      <c r="L456"/>
    </row>
    <row r="457" spans="1:12" s="1" customFormat="1" x14ac:dyDescent="0.25">
      <c r="A457"/>
      <c r="B457"/>
      <c r="C457"/>
      <c r="D457"/>
      <c r="E457"/>
      <c r="F457"/>
      <c r="G457" s="4"/>
      <c r="I457"/>
      <c r="J457"/>
      <c r="K457"/>
      <c r="L457"/>
    </row>
    <row r="458" spans="1:12" s="1" customFormat="1" x14ac:dyDescent="0.25">
      <c r="A458"/>
      <c r="B458"/>
      <c r="C458"/>
      <c r="D458"/>
      <c r="E458"/>
      <c r="F458"/>
      <c r="G458" s="4"/>
      <c r="I458"/>
      <c r="J458"/>
      <c r="K458"/>
      <c r="L458"/>
    </row>
    <row r="459" spans="1:12" s="1" customFormat="1" x14ac:dyDescent="0.25">
      <c r="A459"/>
      <c r="B459"/>
      <c r="C459"/>
      <c r="D459"/>
      <c r="E459"/>
      <c r="F459"/>
      <c r="G459" s="4"/>
      <c r="I459"/>
      <c r="J459"/>
      <c r="K459"/>
      <c r="L459"/>
    </row>
    <row r="460" spans="1:12" s="1" customFormat="1" x14ac:dyDescent="0.25">
      <c r="A460"/>
      <c r="B460"/>
      <c r="C460"/>
      <c r="D460"/>
      <c r="E460"/>
      <c r="F460"/>
      <c r="G460" s="4"/>
      <c r="I460"/>
      <c r="J460"/>
      <c r="K460"/>
      <c r="L460"/>
    </row>
    <row r="461" spans="1:12" s="1" customFormat="1" x14ac:dyDescent="0.25">
      <c r="A461"/>
      <c r="B461"/>
      <c r="C461"/>
      <c r="D461"/>
      <c r="E461"/>
      <c r="F461"/>
      <c r="G461" s="4"/>
      <c r="I461"/>
      <c r="J461"/>
      <c r="K461"/>
      <c r="L461"/>
    </row>
    <row r="462" spans="1:12" s="1" customFormat="1" x14ac:dyDescent="0.25">
      <c r="A462"/>
      <c r="B462"/>
      <c r="C462"/>
      <c r="D462"/>
      <c r="E462"/>
      <c r="F462"/>
      <c r="G462" s="4"/>
      <c r="I462"/>
      <c r="J462"/>
      <c r="K462"/>
      <c r="L462"/>
    </row>
    <row r="463" spans="1:12" s="1" customFormat="1" x14ac:dyDescent="0.25">
      <c r="A463"/>
      <c r="B463"/>
      <c r="C463"/>
      <c r="D463"/>
      <c r="E463"/>
      <c r="F463"/>
      <c r="G463" s="4"/>
      <c r="I463"/>
      <c r="J463"/>
      <c r="K463"/>
      <c r="L463"/>
    </row>
    <row r="464" spans="1:12" s="1" customFormat="1" x14ac:dyDescent="0.25">
      <c r="A464"/>
      <c r="B464"/>
      <c r="C464"/>
      <c r="D464"/>
      <c r="E464"/>
      <c r="F464"/>
      <c r="G464" s="4"/>
      <c r="I464"/>
      <c r="J464"/>
      <c r="K464"/>
      <c r="L464"/>
    </row>
    <row r="465" spans="1:12" s="1" customFormat="1" x14ac:dyDescent="0.25">
      <c r="A465"/>
      <c r="B465"/>
      <c r="C465"/>
      <c r="D465"/>
      <c r="E465"/>
      <c r="F465"/>
      <c r="G465" s="4"/>
      <c r="I465"/>
      <c r="J465"/>
      <c r="K465"/>
      <c r="L465"/>
    </row>
    <row r="466" spans="1:12" s="1" customFormat="1" x14ac:dyDescent="0.25">
      <c r="A466"/>
      <c r="B466"/>
      <c r="C466"/>
      <c r="D466"/>
      <c r="E466"/>
      <c r="F466"/>
      <c r="G466" s="4"/>
      <c r="I466"/>
      <c r="J466"/>
      <c r="K466"/>
      <c r="L466"/>
    </row>
    <row r="467" spans="1:12" s="1" customFormat="1" x14ac:dyDescent="0.25">
      <c r="A467"/>
      <c r="B467"/>
      <c r="C467"/>
      <c r="D467"/>
      <c r="E467"/>
      <c r="F467"/>
      <c r="G467" s="4"/>
      <c r="I467"/>
      <c r="J467"/>
      <c r="K467"/>
      <c r="L467"/>
    </row>
    <row r="468" spans="1:12" s="1" customFormat="1" x14ac:dyDescent="0.25">
      <c r="A468"/>
      <c r="B468"/>
      <c r="C468"/>
      <c r="D468"/>
      <c r="E468"/>
      <c r="F468"/>
      <c r="G468" s="4"/>
      <c r="I468"/>
      <c r="J468"/>
      <c r="K468"/>
      <c r="L468"/>
    </row>
    <row r="469" spans="1:12" s="1" customFormat="1" x14ac:dyDescent="0.25">
      <c r="A469"/>
      <c r="B469"/>
      <c r="C469"/>
      <c r="D469"/>
      <c r="E469"/>
      <c r="F469"/>
      <c r="G469" s="4"/>
      <c r="I469"/>
      <c r="J469"/>
      <c r="K469"/>
      <c r="L469"/>
    </row>
    <row r="470" spans="1:12" s="1" customFormat="1" x14ac:dyDescent="0.25">
      <c r="A470"/>
      <c r="B470"/>
      <c r="C470"/>
      <c r="D470"/>
      <c r="E470"/>
      <c r="F470"/>
      <c r="G470" s="4"/>
      <c r="I470"/>
      <c r="J470"/>
      <c r="K470"/>
      <c r="L470"/>
    </row>
    <row r="471" spans="1:12" s="1" customFormat="1" x14ac:dyDescent="0.25">
      <c r="A471"/>
      <c r="B471"/>
      <c r="C471"/>
      <c r="D471"/>
      <c r="E471"/>
      <c r="F471"/>
      <c r="G471" s="4"/>
      <c r="I471"/>
      <c r="J471"/>
      <c r="K471"/>
      <c r="L471"/>
    </row>
    <row r="472" spans="1:12" s="1" customFormat="1" x14ac:dyDescent="0.25">
      <c r="A472"/>
      <c r="B472"/>
      <c r="C472"/>
      <c r="D472"/>
      <c r="E472"/>
      <c r="F472"/>
      <c r="G472" s="4"/>
      <c r="I472"/>
      <c r="J472"/>
      <c r="K472"/>
      <c r="L472"/>
    </row>
    <row r="473" spans="1:12" s="1" customFormat="1" x14ac:dyDescent="0.25">
      <c r="A473"/>
      <c r="B473"/>
      <c r="C473"/>
      <c r="D473"/>
      <c r="E473"/>
      <c r="F473"/>
      <c r="G473" s="4"/>
      <c r="I473"/>
      <c r="J473"/>
      <c r="K473"/>
      <c r="L473"/>
    </row>
    <row r="474" spans="1:12" s="1" customFormat="1" x14ac:dyDescent="0.25">
      <c r="A474"/>
      <c r="B474"/>
      <c r="C474"/>
      <c r="D474"/>
      <c r="E474"/>
      <c r="F474"/>
      <c r="G474" s="4"/>
      <c r="I474"/>
      <c r="J474"/>
      <c r="K474"/>
      <c r="L474"/>
    </row>
    <row r="475" spans="1:12" s="1" customFormat="1" x14ac:dyDescent="0.25">
      <c r="A475"/>
      <c r="B475"/>
      <c r="C475"/>
      <c r="D475"/>
      <c r="E475"/>
      <c r="F475"/>
      <c r="G475" s="4"/>
      <c r="I475"/>
      <c r="J475"/>
      <c r="K475"/>
      <c r="L475"/>
    </row>
    <row r="476" spans="1:12" s="1" customFormat="1" x14ac:dyDescent="0.25">
      <c r="A476"/>
      <c r="B476"/>
      <c r="C476"/>
      <c r="D476"/>
      <c r="E476"/>
      <c r="F476"/>
      <c r="G476" s="4"/>
      <c r="I476"/>
      <c r="J476"/>
      <c r="K476"/>
      <c r="L476"/>
    </row>
    <row r="477" spans="1:12" s="1" customFormat="1" x14ac:dyDescent="0.25">
      <c r="A477"/>
      <c r="B477"/>
      <c r="C477"/>
      <c r="D477"/>
      <c r="E477"/>
      <c r="F477"/>
      <c r="G477" s="4"/>
      <c r="I477"/>
      <c r="J477"/>
      <c r="K477"/>
      <c r="L477"/>
    </row>
    <row r="478" spans="1:12" s="1" customFormat="1" x14ac:dyDescent="0.25">
      <c r="A478"/>
      <c r="B478"/>
      <c r="C478"/>
      <c r="D478"/>
      <c r="E478"/>
      <c r="F478"/>
      <c r="G478" s="4"/>
      <c r="I478"/>
      <c r="J478"/>
      <c r="K478"/>
      <c r="L478"/>
    </row>
    <row r="479" spans="1:12" s="1" customFormat="1" x14ac:dyDescent="0.25">
      <c r="A479"/>
      <c r="B479"/>
      <c r="C479"/>
      <c r="D479"/>
      <c r="E479"/>
      <c r="F479"/>
      <c r="G479" s="4"/>
      <c r="I479"/>
      <c r="J479"/>
      <c r="K479"/>
      <c r="L479"/>
    </row>
    <row r="480" spans="1:12" s="1" customFormat="1" x14ac:dyDescent="0.25">
      <c r="A480"/>
      <c r="B480"/>
      <c r="C480"/>
      <c r="D480"/>
      <c r="E480"/>
      <c r="F480"/>
      <c r="G480" s="4"/>
      <c r="I480"/>
      <c r="J480"/>
      <c r="K480"/>
      <c r="L480"/>
    </row>
    <row r="481" spans="1:12" s="1" customFormat="1" x14ac:dyDescent="0.25">
      <c r="A481"/>
      <c r="B481"/>
      <c r="C481"/>
      <c r="D481"/>
      <c r="E481"/>
      <c r="F481"/>
      <c r="G481" s="4"/>
      <c r="I481"/>
      <c r="J481"/>
      <c r="K481"/>
      <c r="L481"/>
    </row>
    <row r="482" spans="1:12" s="1" customFormat="1" x14ac:dyDescent="0.25">
      <c r="A482"/>
      <c r="B482"/>
      <c r="C482"/>
      <c r="D482"/>
      <c r="E482"/>
      <c r="F482"/>
      <c r="G482" s="4"/>
      <c r="I482"/>
      <c r="J482"/>
      <c r="K482"/>
      <c r="L482"/>
    </row>
    <row r="483" spans="1:12" s="1" customFormat="1" x14ac:dyDescent="0.25">
      <c r="A483"/>
      <c r="B483"/>
      <c r="C483"/>
      <c r="D483"/>
      <c r="E483"/>
      <c r="F483"/>
      <c r="G483" s="4"/>
      <c r="I483"/>
      <c r="J483"/>
      <c r="K483"/>
      <c r="L483"/>
    </row>
    <row r="484" spans="1:12" s="1" customFormat="1" x14ac:dyDescent="0.25">
      <c r="A484"/>
      <c r="B484"/>
      <c r="C484"/>
      <c r="D484"/>
      <c r="E484"/>
      <c r="F484"/>
      <c r="G484" s="4"/>
      <c r="I484"/>
      <c r="J484"/>
      <c r="K484"/>
      <c r="L484"/>
    </row>
    <row r="485" spans="1:12" s="1" customFormat="1" x14ac:dyDescent="0.25">
      <c r="A485"/>
      <c r="B485"/>
      <c r="C485"/>
      <c r="D485"/>
      <c r="E485"/>
      <c r="F485"/>
      <c r="G485" s="4"/>
      <c r="I485"/>
      <c r="J485"/>
      <c r="K485"/>
      <c r="L485"/>
    </row>
    <row r="486" spans="1:12" s="1" customFormat="1" x14ac:dyDescent="0.25">
      <c r="A486"/>
      <c r="B486"/>
      <c r="C486"/>
      <c r="D486"/>
      <c r="E486"/>
      <c r="F486"/>
      <c r="G486" s="4"/>
      <c r="I486"/>
      <c r="J486"/>
      <c r="K486"/>
      <c r="L486"/>
    </row>
    <row r="487" spans="1:12" s="1" customFormat="1" x14ac:dyDescent="0.25">
      <c r="A487"/>
      <c r="B487"/>
      <c r="C487"/>
      <c r="D487"/>
      <c r="E487"/>
      <c r="F487"/>
      <c r="G487" s="4"/>
      <c r="I487"/>
      <c r="J487"/>
      <c r="K487"/>
      <c r="L487"/>
    </row>
    <row r="488" spans="1:12" s="1" customFormat="1" x14ac:dyDescent="0.25">
      <c r="A488"/>
      <c r="B488"/>
      <c r="C488"/>
      <c r="D488"/>
      <c r="E488"/>
      <c r="F488"/>
      <c r="G488" s="4"/>
      <c r="I488"/>
      <c r="J488"/>
      <c r="K488"/>
      <c r="L488"/>
    </row>
    <row r="489" spans="1:12" s="1" customFormat="1" x14ac:dyDescent="0.25">
      <c r="A489"/>
      <c r="B489"/>
      <c r="C489"/>
      <c r="D489"/>
      <c r="E489"/>
      <c r="F489"/>
      <c r="G489" s="4"/>
      <c r="I489"/>
      <c r="J489"/>
      <c r="K489"/>
      <c r="L489"/>
    </row>
    <row r="490" spans="1:12" s="1" customFormat="1" x14ac:dyDescent="0.25">
      <c r="A490"/>
      <c r="B490"/>
      <c r="C490"/>
      <c r="D490"/>
      <c r="E490"/>
      <c r="F490"/>
      <c r="G490" s="4"/>
      <c r="I490"/>
      <c r="J490"/>
      <c r="K490"/>
      <c r="L490"/>
    </row>
    <row r="491" spans="1:12" s="1" customFormat="1" x14ac:dyDescent="0.25">
      <c r="A491"/>
      <c r="B491"/>
      <c r="C491"/>
      <c r="D491"/>
      <c r="E491"/>
      <c r="F491"/>
      <c r="G491" s="4"/>
      <c r="I491"/>
      <c r="J491"/>
      <c r="K491"/>
      <c r="L491"/>
    </row>
    <row r="492" spans="1:12" s="1" customFormat="1" x14ac:dyDescent="0.25">
      <c r="A492"/>
      <c r="B492"/>
      <c r="C492"/>
      <c r="D492"/>
      <c r="E492"/>
      <c r="F492"/>
      <c r="G492" s="4"/>
      <c r="I492"/>
      <c r="J492"/>
      <c r="K492"/>
      <c r="L492"/>
    </row>
    <row r="493" spans="1:12" s="1" customFormat="1" x14ac:dyDescent="0.25">
      <c r="A493"/>
      <c r="B493"/>
      <c r="C493"/>
      <c r="D493"/>
      <c r="E493"/>
      <c r="F493"/>
      <c r="G493" s="4"/>
      <c r="I493"/>
      <c r="J493"/>
      <c r="K493"/>
      <c r="L493"/>
    </row>
    <row r="494" spans="1:12" s="1" customFormat="1" x14ac:dyDescent="0.25">
      <c r="A494"/>
      <c r="B494"/>
      <c r="C494"/>
      <c r="D494"/>
      <c r="E494"/>
      <c r="F494"/>
      <c r="G494" s="4"/>
      <c r="I494"/>
      <c r="J494"/>
      <c r="K494"/>
      <c r="L494"/>
    </row>
    <row r="495" spans="1:12" s="1" customFormat="1" x14ac:dyDescent="0.25">
      <c r="A495"/>
      <c r="B495"/>
      <c r="C495"/>
      <c r="D495"/>
      <c r="E495"/>
      <c r="F495"/>
      <c r="G495" s="4"/>
      <c r="I495"/>
      <c r="J495"/>
      <c r="K495"/>
      <c r="L495"/>
    </row>
    <row r="496" spans="1:12" s="1" customFormat="1" x14ac:dyDescent="0.25">
      <c r="A496"/>
      <c r="B496"/>
      <c r="C496"/>
      <c r="D496"/>
      <c r="E496"/>
      <c r="F496"/>
      <c r="G496" s="4"/>
      <c r="I496"/>
      <c r="J496"/>
      <c r="K496"/>
      <c r="L496"/>
    </row>
    <row r="497" spans="1:12" s="1" customFormat="1" x14ac:dyDescent="0.25">
      <c r="A497"/>
      <c r="B497"/>
      <c r="C497"/>
      <c r="D497"/>
      <c r="E497"/>
      <c r="F497"/>
      <c r="G497" s="4"/>
      <c r="I497"/>
      <c r="J497"/>
      <c r="K497"/>
      <c r="L497"/>
    </row>
    <row r="498" spans="1:12" s="1" customFormat="1" x14ac:dyDescent="0.25">
      <c r="A498"/>
      <c r="B498"/>
      <c r="C498"/>
      <c r="D498"/>
      <c r="E498"/>
      <c r="F498"/>
      <c r="G498" s="4"/>
      <c r="I498"/>
      <c r="J498"/>
      <c r="K498"/>
      <c r="L498"/>
    </row>
    <row r="499" spans="1:12" s="1" customFormat="1" x14ac:dyDescent="0.25">
      <c r="A499"/>
      <c r="B499"/>
      <c r="C499"/>
      <c r="D499"/>
      <c r="E499"/>
      <c r="F499"/>
      <c r="G499" s="4"/>
      <c r="I499"/>
      <c r="J499"/>
      <c r="K499"/>
      <c r="L499"/>
    </row>
    <row r="500" spans="1:12" s="1" customFormat="1" x14ac:dyDescent="0.25">
      <c r="A500"/>
      <c r="B500"/>
      <c r="C500"/>
      <c r="D500"/>
      <c r="E500"/>
      <c r="F500"/>
      <c r="G500" s="4"/>
      <c r="I500"/>
      <c r="J500"/>
      <c r="K500"/>
      <c r="L500"/>
    </row>
    <row r="501" spans="1:12" s="1" customFormat="1" x14ac:dyDescent="0.25">
      <c r="A501"/>
      <c r="B501"/>
      <c r="C501"/>
      <c r="D501"/>
      <c r="E501"/>
      <c r="F501"/>
      <c r="G501" s="4"/>
      <c r="I501"/>
      <c r="J501"/>
      <c r="K501"/>
      <c r="L501"/>
    </row>
    <row r="502" spans="1:12" s="1" customFormat="1" x14ac:dyDescent="0.25">
      <c r="A502"/>
      <c r="B502"/>
      <c r="C502"/>
      <c r="D502"/>
      <c r="E502"/>
      <c r="F502"/>
      <c r="G502" s="4"/>
      <c r="I502"/>
      <c r="J502"/>
      <c r="K502"/>
      <c r="L502"/>
    </row>
    <row r="503" spans="1:12" s="1" customFormat="1" x14ac:dyDescent="0.25">
      <c r="A503"/>
      <c r="B503"/>
      <c r="C503"/>
      <c r="D503"/>
      <c r="E503"/>
      <c r="F503"/>
      <c r="G503" s="4"/>
      <c r="I503"/>
      <c r="J503"/>
      <c r="K503"/>
      <c r="L503"/>
    </row>
    <row r="504" spans="1:12" s="1" customFormat="1" x14ac:dyDescent="0.25">
      <c r="A504"/>
      <c r="B504"/>
      <c r="C504"/>
      <c r="D504"/>
      <c r="E504"/>
      <c r="F504"/>
      <c r="G504" s="4"/>
      <c r="I504"/>
      <c r="J504"/>
      <c r="K504"/>
      <c r="L504"/>
    </row>
    <row r="505" spans="1:12" s="1" customFormat="1" x14ac:dyDescent="0.25">
      <c r="A505"/>
      <c r="B505"/>
      <c r="C505"/>
      <c r="D505"/>
      <c r="E505"/>
      <c r="F505"/>
      <c r="G505" s="4"/>
      <c r="I505"/>
      <c r="J505"/>
      <c r="K505"/>
      <c r="L505"/>
    </row>
    <row r="506" spans="1:12" s="1" customFormat="1" x14ac:dyDescent="0.25">
      <c r="A506"/>
      <c r="B506"/>
      <c r="C506"/>
      <c r="D506"/>
      <c r="E506"/>
      <c r="F506"/>
      <c r="G506" s="4"/>
      <c r="I506"/>
      <c r="J506"/>
      <c r="K506"/>
      <c r="L506"/>
    </row>
    <row r="507" spans="1:12" s="1" customFormat="1" x14ac:dyDescent="0.25">
      <c r="A507"/>
      <c r="B507"/>
      <c r="C507"/>
      <c r="D507"/>
      <c r="E507"/>
      <c r="F507"/>
      <c r="G507" s="4"/>
      <c r="I507"/>
      <c r="J507"/>
      <c r="K507"/>
      <c r="L507"/>
    </row>
    <row r="508" spans="1:12" s="1" customFormat="1" x14ac:dyDescent="0.25">
      <c r="A508"/>
      <c r="B508"/>
      <c r="C508"/>
      <c r="D508"/>
      <c r="E508"/>
      <c r="F508"/>
      <c r="G508" s="4"/>
      <c r="I508"/>
      <c r="J508"/>
      <c r="K508"/>
      <c r="L508"/>
    </row>
    <row r="509" spans="1:12" s="1" customFormat="1" x14ac:dyDescent="0.25">
      <c r="A509"/>
      <c r="B509"/>
      <c r="C509"/>
      <c r="D509"/>
      <c r="E509"/>
      <c r="F509"/>
      <c r="G509" s="4"/>
      <c r="I509"/>
      <c r="J509"/>
      <c r="K509"/>
      <c r="L509"/>
    </row>
    <row r="510" spans="1:12" s="1" customFormat="1" x14ac:dyDescent="0.25">
      <c r="A510"/>
      <c r="B510"/>
      <c r="C510"/>
      <c r="D510"/>
      <c r="E510"/>
      <c r="F510"/>
      <c r="G510" s="4"/>
      <c r="I510"/>
      <c r="J510"/>
      <c r="K510"/>
      <c r="L510"/>
    </row>
    <row r="511" spans="1:12" s="1" customFormat="1" x14ac:dyDescent="0.25">
      <c r="A511"/>
      <c r="B511"/>
      <c r="C511"/>
      <c r="D511"/>
      <c r="E511"/>
      <c r="F511"/>
      <c r="G511" s="4"/>
      <c r="I511"/>
      <c r="J511"/>
      <c r="K511"/>
      <c r="L511"/>
    </row>
    <row r="512" spans="1:12" s="1" customFormat="1" x14ac:dyDescent="0.25">
      <c r="A512"/>
      <c r="B512"/>
      <c r="C512"/>
      <c r="D512"/>
      <c r="E512"/>
      <c r="F512"/>
      <c r="G512" s="4"/>
      <c r="I512"/>
      <c r="J512"/>
      <c r="K512"/>
      <c r="L512"/>
    </row>
    <row r="513" spans="1:12" s="1" customFormat="1" x14ac:dyDescent="0.25">
      <c r="A513"/>
      <c r="B513"/>
      <c r="C513"/>
      <c r="D513"/>
      <c r="E513"/>
      <c r="F513"/>
      <c r="G513" s="4"/>
      <c r="I513"/>
      <c r="J513"/>
      <c r="K513"/>
      <c r="L513"/>
    </row>
    <row r="514" spans="1:12" s="1" customFormat="1" x14ac:dyDescent="0.25">
      <c r="A514"/>
      <c r="B514"/>
      <c r="C514"/>
      <c r="D514"/>
      <c r="E514"/>
      <c r="F514"/>
      <c r="G514" s="4"/>
      <c r="I514"/>
      <c r="J514"/>
      <c r="K514"/>
      <c r="L514"/>
    </row>
    <row r="515" spans="1:12" s="1" customFormat="1" x14ac:dyDescent="0.25">
      <c r="A515"/>
      <c r="B515"/>
      <c r="C515"/>
      <c r="D515"/>
      <c r="E515"/>
      <c r="F515"/>
      <c r="G515" s="4"/>
      <c r="I515"/>
      <c r="J515"/>
      <c r="K515"/>
      <c r="L515"/>
    </row>
    <row r="516" spans="1:12" s="1" customFormat="1" x14ac:dyDescent="0.25">
      <c r="A516"/>
      <c r="B516"/>
      <c r="C516"/>
      <c r="D516"/>
      <c r="E516"/>
      <c r="F516"/>
      <c r="G516" s="4"/>
      <c r="I516"/>
      <c r="J516"/>
      <c r="K516"/>
      <c r="L516"/>
    </row>
    <row r="517" spans="1:12" s="1" customFormat="1" x14ac:dyDescent="0.25">
      <c r="A517"/>
      <c r="B517"/>
      <c r="C517"/>
      <c r="D517"/>
      <c r="E517"/>
      <c r="F517"/>
      <c r="G517" s="4"/>
      <c r="I517"/>
      <c r="J517"/>
      <c r="K517"/>
      <c r="L517"/>
    </row>
    <row r="518" spans="1:12" s="1" customFormat="1" x14ac:dyDescent="0.25">
      <c r="A518"/>
      <c r="B518"/>
      <c r="C518"/>
      <c r="D518"/>
      <c r="E518"/>
      <c r="F518"/>
      <c r="G518" s="4"/>
      <c r="I518"/>
      <c r="J518"/>
      <c r="K518"/>
      <c r="L518"/>
    </row>
    <row r="519" spans="1:12" s="1" customFormat="1" x14ac:dyDescent="0.25">
      <c r="A519"/>
      <c r="B519"/>
      <c r="C519"/>
      <c r="D519"/>
      <c r="E519"/>
      <c r="F519"/>
      <c r="G519" s="4"/>
      <c r="I519"/>
      <c r="J519"/>
      <c r="K519"/>
      <c r="L519"/>
    </row>
    <row r="520" spans="1:12" s="1" customFormat="1" x14ac:dyDescent="0.25">
      <c r="A520"/>
      <c r="B520"/>
      <c r="C520"/>
      <c r="D520"/>
      <c r="E520"/>
      <c r="F520"/>
      <c r="G520" s="4"/>
      <c r="I520"/>
      <c r="J520"/>
      <c r="K520"/>
      <c r="L520"/>
    </row>
    <row r="521" spans="1:12" s="1" customFormat="1" x14ac:dyDescent="0.25">
      <c r="A521"/>
      <c r="B521"/>
      <c r="C521"/>
      <c r="D521"/>
      <c r="E521"/>
      <c r="F521"/>
      <c r="G521" s="4"/>
      <c r="I521"/>
      <c r="J521"/>
      <c r="K521"/>
      <c r="L521"/>
    </row>
    <row r="522" spans="1:12" s="1" customFormat="1" x14ac:dyDescent="0.25">
      <c r="A522"/>
      <c r="B522"/>
      <c r="C522"/>
      <c r="D522"/>
      <c r="E522"/>
      <c r="F522"/>
      <c r="G522" s="4"/>
      <c r="I522"/>
      <c r="J522"/>
      <c r="K522"/>
      <c r="L522"/>
    </row>
    <row r="523" spans="1:12" s="1" customFormat="1" x14ac:dyDescent="0.25">
      <c r="A523"/>
      <c r="B523"/>
      <c r="C523"/>
      <c r="D523"/>
      <c r="E523"/>
      <c r="F523"/>
      <c r="G523" s="4"/>
      <c r="I523"/>
      <c r="J523"/>
      <c r="K523"/>
      <c r="L523"/>
    </row>
    <row r="524" spans="1:12" s="1" customFormat="1" x14ac:dyDescent="0.25">
      <c r="A524"/>
      <c r="B524"/>
      <c r="C524"/>
      <c r="D524"/>
      <c r="E524"/>
      <c r="F524"/>
      <c r="G524" s="4"/>
      <c r="I524"/>
      <c r="J524"/>
      <c r="K524"/>
      <c r="L524"/>
    </row>
    <row r="525" spans="1:12" s="1" customFormat="1" x14ac:dyDescent="0.25">
      <c r="A525"/>
      <c r="B525"/>
      <c r="C525"/>
      <c r="D525"/>
      <c r="E525"/>
      <c r="F525"/>
      <c r="G525" s="4"/>
      <c r="I525"/>
      <c r="J525"/>
      <c r="K525"/>
      <c r="L525"/>
    </row>
    <row r="526" spans="1:12" s="1" customFormat="1" x14ac:dyDescent="0.25">
      <c r="A526"/>
      <c r="B526"/>
      <c r="C526"/>
      <c r="D526"/>
      <c r="E526"/>
      <c r="F526"/>
      <c r="G526" s="4"/>
      <c r="I526"/>
      <c r="J526"/>
      <c r="K526"/>
      <c r="L526"/>
    </row>
    <row r="527" spans="1:12" s="1" customFormat="1" x14ac:dyDescent="0.25">
      <c r="A527"/>
      <c r="B527"/>
      <c r="C527"/>
      <c r="D527"/>
      <c r="E527"/>
      <c r="F527"/>
      <c r="G527" s="4"/>
      <c r="I527"/>
      <c r="J527"/>
      <c r="K527"/>
      <c r="L527"/>
    </row>
    <row r="528" spans="1:12" s="1" customFormat="1" x14ac:dyDescent="0.25">
      <c r="A528"/>
      <c r="B528"/>
      <c r="C528"/>
      <c r="D528"/>
      <c r="E528"/>
      <c r="F528"/>
      <c r="G528" s="4"/>
      <c r="I528"/>
      <c r="J528"/>
      <c r="K528"/>
      <c r="L528"/>
    </row>
    <row r="529" spans="1:12" s="1" customFormat="1" x14ac:dyDescent="0.25">
      <c r="A529"/>
      <c r="B529"/>
      <c r="C529"/>
      <c r="D529"/>
      <c r="E529"/>
      <c r="F529"/>
      <c r="G529" s="4"/>
      <c r="I529"/>
      <c r="J529"/>
      <c r="K529"/>
      <c r="L529"/>
    </row>
    <row r="530" spans="1:12" s="1" customFormat="1" x14ac:dyDescent="0.25">
      <c r="A530"/>
      <c r="B530"/>
      <c r="C530"/>
      <c r="D530"/>
      <c r="E530"/>
      <c r="F530"/>
      <c r="G530" s="4"/>
      <c r="I530"/>
      <c r="J530"/>
      <c r="K530"/>
      <c r="L530"/>
    </row>
    <row r="531" spans="1:12" s="1" customFormat="1" x14ac:dyDescent="0.25">
      <c r="A531"/>
      <c r="B531"/>
      <c r="C531"/>
      <c r="D531"/>
      <c r="E531"/>
      <c r="F531"/>
      <c r="G531" s="4"/>
      <c r="I531"/>
      <c r="J531"/>
      <c r="K531"/>
      <c r="L531"/>
    </row>
    <row r="532" spans="1:12" s="1" customFormat="1" x14ac:dyDescent="0.25">
      <c r="A532"/>
      <c r="B532"/>
      <c r="C532"/>
      <c r="D532"/>
      <c r="E532"/>
      <c r="F532"/>
      <c r="G532" s="4"/>
      <c r="I532"/>
      <c r="J532"/>
      <c r="K532"/>
      <c r="L532"/>
    </row>
    <row r="533" spans="1:12" s="1" customFormat="1" x14ac:dyDescent="0.25">
      <c r="A533"/>
      <c r="B533"/>
      <c r="C533"/>
      <c r="D533"/>
      <c r="E533"/>
      <c r="F533"/>
      <c r="G533" s="4"/>
      <c r="I533"/>
      <c r="J533"/>
      <c r="K533"/>
      <c r="L533"/>
    </row>
    <row r="534" spans="1:12" s="1" customFormat="1" x14ac:dyDescent="0.25">
      <c r="A534"/>
      <c r="B534"/>
      <c r="C534"/>
      <c r="D534"/>
      <c r="E534"/>
      <c r="F534"/>
      <c r="G534" s="4"/>
      <c r="I534"/>
      <c r="J534"/>
      <c r="K534"/>
      <c r="L534"/>
    </row>
    <row r="535" spans="1:12" s="1" customFormat="1" x14ac:dyDescent="0.25">
      <c r="A535"/>
      <c r="B535"/>
      <c r="C535"/>
      <c r="D535"/>
      <c r="E535"/>
      <c r="F535"/>
      <c r="G535" s="4"/>
      <c r="I535"/>
      <c r="J535"/>
      <c r="K535"/>
      <c r="L535"/>
    </row>
    <row r="536" spans="1:12" s="1" customFormat="1" x14ac:dyDescent="0.25">
      <c r="A536"/>
      <c r="B536"/>
      <c r="C536"/>
      <c r="D536"/>
      <c r="E536"/>
      <c r="F536"/>
      <c r="G536" s="4"/>
      <c r="I536"/>
      <c r="J536"/>
      <c r="K536"/>
      <c r="L536"/>
    </row>
    <row r="537" spans="1:12" s="1" customFormat="1" x14ac:dyDescent="0.25">
      <c r="A537"/>
      <c r="B537"/>
      <c r="C537"/>
      <c r="D537"/>
      <c r="E537"/>
      <c r="F537"/>
      <c r="G537" s="4"/>
      <c r="I537"/>
      <c r="J537"/>
      <c r="K537"/>
      <c r="L537"/>
    </row>
    <row r="538" spans="1:12" s="1" customFormat="1" x14ac:dyDescent="0.25">
      <c r="A538"/>
      <c r="B538"/>
      <c r="C538"/>
      <c r="D538"/>
      <c r="E538"/>
      <c r="F538"/>
      <c r="G538" s="4"/>
      <c r="I538"/>
      <c r="J538"/>
      <c r="K538"/>
      <c r="L538"/>
    </row>
    <row r="539" spans="1:12" s="1" customFormat="1" x14ac:dyDescent="0.25">
      <c r="A539"/>
      <c r="B539"/>
      <c r="C539"/>
      <c r="D539"/>
      <c r="E539"/>
      <c r="F539"/>
      <c r="G539" s="4"/>
      <c r="I539"/>
      <c r="J539"/>
      <c r="K539"/>
      <c r="L539"/>
    </row>
    <row r="540" spans="1:12" s="1" customFormat="1" x14ac:dyDescent="0.25">
      <c r="A540"/>
      <c r="B540"/>
      <c r="C540"/>
      <c r="D540"/>
      <c r="E540"/>
      <c r="F540"/>
      <c r="G540" s="4"/>
      <c r="I540"/>
      <c r="J540"/>
      <c r="K540"/>
      <c r="L540"/>
    </row>
    <row r="541" spans="1:12" s="1" customFormat="1" x14ac:dyDescent="0.25">
      <c r="A541"/>
      <c r="B541"/>
      <c r="C541"/>
      <c r="D541"/>
      <c r="E541"/>
      <c r="F541"/>
      <c r="G541" s="4"/>
      <c r="I541"/>
      <c r="J541"/>
      <c r="K541"/>
      <c r="L541"/>
    </row>
    <row r="542" spans="1:12" s="1" customFormat="1" x14ac:dyDescent="0.25">
      <c r="A542"/>
      <c r="B542"/>
      <c r="C542"/>
      <c r="D542"/>
      <c r="E542"/>
      <c r="F542"/>
      <c r="G542" s="4"/>
      <c r="I542"/>
      <c r="J542"/>
      <c r="K542"/>
      <c r="L542"/>
    </row>
    <row r="543" spans="1:12" s="1" customFormat="1" x14ac:dyDescent="0.25">
      <c r="A543"/>
      <c r="B543"/>
      <c r="C543"/>
      <c r="D543"/>
      <c r="E543"/>
      <c r="F543"/>
      <c r="G543" s="4"/>
      <c r="I543"/>
      <c r="J543"/>
      <c r="K543"/>
      <c r="L543"/>
    </row>
    <row r="544" spans="1:12" s="1" customFormat="1" x14ac:dyDescent="0.25">
      <c r="A544"/>
      <c r="B544"/>
      <c r="C544"/>
      <c r="D544"/>
      <c r="E544"/>
      <c r="F544"/>
      <c r="G544" s="4"/>
      <c r="I544"/>
      <c r="J544"/>
      <c r="K544"/>
      <c r="L544"/>
    </row>
    <row r="545" spans="1:12" s="1" customFormat="1" x14ac:dyDescent="0.25">
      <c r="A545"/>
      <c r="B545"/>
      <c r="C545"/>
      <c r="D545"/>
      <c r="E545"/>
      <c r="F545"/>
      <c r="G545" s="4"/>
      <c r="I545"/>
      <c r="J545"/>
      <c r="K545"/>
      <c r="L545"/>
    </row>
    <row r="546" spans="1:12" s="1" customFormat="1" x14ac:dyDescent="0.25">
      <c r="A546"/>
      <c r="B546"/>
      <c r="C546"/>
      <c r="D546"/>
      <c r="E546"/>
      <c r="F546"/>
      <c r="G546" s="4"/>
      <c r="I546"/>
      <c r="J546"/>
      <c r="K546"/>
      <c r="L546"/>
    </row>
    <row r="547" spans="1:12" s="1" customFormat="1" x14ac:dyDescent="0.25">
      <c r="A547"/>
      <c r="B547"/>
      <c r="C547"/>
      <c r="D547"/>
      <c r="E547"/>
      <c r="F547"/>
      <c r="G547" s="4"/>
      <c r="I547"/>
      <c r="J547"/>
      <c r="K547"/>
      <c r="L547"/>
    </row>
    <row r="548" spans="1:12" s="1" customFormat="1" x14ac:dyDescent="0.25">
      <c r="A548"/>
      <c r="B548"/>
      <c r="C548"/>
      <c r="D548"/>
      <c r="E548"/>
      <c r="F548"/>
      <c r="G548" s="4"/>
      <c r="I548"/>
      <c r="J548"/>
      <c r="K548"/>
      <c r="L548"/>
    </row>
    <row r="549" spans="1:12" s="1" customFormat="1" x14ac:dyDescent="0.25">
      <c r="A549"/>
      <c r="B549"/>
      <c r="C549"/>
      <c r="D549"/>
      <c r="E549"/>
      <c r="F549"/>
      <c r="G549" s="4"/>
      <c r="I549"/>
      <c r="J549"/>
      <c r="K549"/>
      <c r="L549"/>
    </row>
    <row r="550" spans="1:12" s="1" customFormat="1" x14ac:dyDescent="0.25">
      <c r="A550"/>
      <c r="B550"/>
      <c r="C550"/>
      <c r="D550"/>
      <c r="E550"/>
      <c r="F550"/>
      <c r="G550" s="4"/>
      <c r="I550"/>
      <c r="J550"/>
      <c r="K550"/>
      <c r="L550"/>
    </row>
    <row r="551" spans="1:12" s="1" customFormat="1" x14ac:dyDescent="0.25">
      <c r="A551"/>
      <c r="B551"/>
      <c r="C551"/>
      <c r="D551"/>
      <c r="E551"/>
      <c r="F551"/>
      <c r="G551" s="4"/>
      <c r="I551"/>
      <c r="J551"/>
      <c r="K551"/>
      <c r="L551"/>
    </row>
    <row r="552" spans="1:12" s="1" customFormat="1" x14ac:dyDescent="0.25">
      <c r="A552"/>
      <c r="B552"/>
      <c r="C552"/>
      <c r="D552"/>
      <c r="E552"/>
      <c r="F552"/>
      <c r="G552" s="4"/>
      <c r="I552"/>
      <c r="J552"/>
      <c r="K552"/>
      <c r="L552"/>
    </row>
    <row r="553" spans="1:12" s="1" customFormat="1" x14ac:dyDescent="0.25">
      <c r="A553"/>
      <c r="B553"/>
      <c r="C553"/>
      <c r="D553"/>
      <c r="E553"/>
      <c r="F553"/>
      <c r="G553" s="4"/>
      <c r="I553"/>
      <c r="J553"/>
      <c r="K553"/>
      <c r="L553"/>
    </row>
    <row r="554" spans="1:12" s="1" customFormat="1" x14ac:dyDescent="0.25">
      <c r="A554"/>
      <c r="B554"/>
      <c r="C554"/>
      <c r="D554"/>
      <c r="E554"/>
      <c r="F554"/>
      <c r="G554" s="4"/>
      <c r="I554"/>
      <c r="J554"/>
      <c r="K554"/>
      <c r="L554"/>
    </row>
    <row r="555" spans="1:12" s="1" customFormat="1" x14ac:dyDescent="0.25">
      <c r="A555"/>
      <c r="B555"/>
      <c r="C555"/>
      <c r="D555"/>
      <c r="E555"/>
      <c r="F555"/>
      <c r="G555" s="4"/>
      <c r="I555"/>
      <c r="J555"/>
      <c r="K555"/>
      <c r="L555"/>
    </row>
    <row r="556" spans="1:12" s="1" customFormat="1" x14ac:dyDescent="0.25">
      <c r="A556"/>
      <c r="B556"/>
      <c r="C556"/>
      <c r="D556"/>
      <c r="E556"/>
      <c r="F556"/>
      <c r="G556" s="4"/>
      <c r="I556"/>
      <c r="J556"/>
      <c r="K556"/>
      <c r="L556"/>
    </row>
    <row r="557" spans="1:12" s="1" customFormat="1" x14ac:dyDescent="0.25">
      <c r="A557"/>
      <c r="B557"/>
      <c r="C557"/>
      <c r="D557"/>
      <c r="E557"/>
      <c r="F557"/>
      <c r="G557" s="4"/>
      <c r="I557"/>
      <c r="J557"/>
      <c r="K557"/>
      <c r="L557"/>
    </row>
    <row r="558" spans="1:12" s="1" customFormat="1" x14ac:dyDescent="0.25">
      <c r="A558"/>
      <c r="B558"/>
      <c r="C558"/>
      <c r="D558"/>
      <c r="E558"/>
      <c r="F558"/>
      <c r="G558" s="4"/>
      <c r="I558"/>
      <c r="J558"/>
      <c r="K558"/>
      <c r="L558"/>
    </row>
    <row r="559" spans="1:12" s="1" customFormat="1" x14ac:dyDescent="0.25">
      <c r="A559"/>
      <c r="B559"/>
      <c r="C559"/>
      <c r="D559"/>
      <c r="E559"/>
      <c r="F559"/>
      <c r="G559" s="4"/>
      <c r="I559"/>
      <c r="J559"/>
      <c r="K559"/>
      <c r="L559"/>
    </row>
    <row r="560" spans="1:12" s="1" customFormat="1" x14ac:dyDescent="0.25">
      <c r="A560"/>
      <c r="B560"/>
      <c r="C560"/>
      <c r="D560"/>
      <c r="E560"/>
      <c r="F560"/>
      <c r="G560" s="4"/>
      <c r="I560"/>
      <c r="J560"/>
      <c r="K560"/>
      <c r="L560"/>
    </row>
    <row r="561" spans="1:12" s="1" customFormat="1" x14ac:dyDescent="0.25">
      <c r="A561"/>
      <c r="B561"/>
      <c r="C561"/>
      <c r="D561"/>
      <c r="E561"/>
      <c r="F561"/>
      <c r="G561" s="4"/>
      <c r="I561"/>
      <c r="J561"/>
      <c r="K561"/>
      <c r="L561"/>
    </row>
    <row r="562" spans="1:12" s="1" customFormat="1" x14ac:dyDescent="0.25">
      <c r="A562"/>
      <c r="B562"/>
      <c r="C562"/>
      <c r="D562"/>
      <c r="E562"/>
      <c r="F562"/>
      <c r="G562" s="4"/>
      <c r="I562"/>
      <c r="J562"/>
      <c r="K562"/>
      <c r="L562"/>
    </row>
    <row r="563" spans="1:12" s="1" customFormat="1" x14ac:dyDescent="0.25">
      <c r="A563"/>
      <c r="B563"/>
      <c r="C563"/>
      <c r="D563"/>
      <c r="E563"/>
      <c r="F563"/>
      <c r="G563" s="4"/>
      <c r="I563"/>
      <c r="J563"/>
      <c r="K563"/>
      <c r="L563"/>
    </row>
    <row r="564" spans="1:12" s="1" customFormat="1" x14ac:dyDescent="0.25">
      <c r="A564"/>
      <c r="B564"/>
      <c r="C564"/>
      <c r="D564"/>
      <c r="E564"/>
      <c r="F564"/>
      <c r="G564" s="4"/>
      <c r="I564"/>
      <c r="J564"/>
      <c r="K564"/>
      <c r="L564"/>
    </row>
    <row r="565" spans="1:12" s="1" customFormat="1" x14ac:dyDescent="0.25">
      <c r="A565"/>
      <c r="B565"/>
      <c r="C565"/>
      <c r="D565"/>
      <c r="E565"/>
      <c r="F565"/>
      <c r="G565" s="4"/>
      <c r="I565"/>
      <c r="J565"/>
      <c r="K565"/>
      <c r="L565"/>
    </row>
    <row r="566" spans="1:12" s="1" customFormat="1" x14ac:dyDescent="0.25">
      <c r="A566"/>
      <c r="B566"/>
      <c r="C566"/>
      <c r="D566"/>
      <c r="E566"/>
      <c r="F566"/>
      <c r="G566" s="4"/>
      <c r="I566"/>
      <c r="J566"/>
      <c r="K566"/>
      <c r="L566"/>
    </row>
    <row r="567" spans="1:12" s="1" customFormat="1" x14ac:dyDescent="0.25">
      <c r="A567"/>
      <c r="B567"/>
      <c r="C567"/>
      <c r="D567"/>
      <c r="E567"/>
      <c r="F567"/>
      <c r="G567" s="4"/>
      <c r="I567"/>
      <c r="J567"/>
      <c r="K567"/>
      <c r="L567"/>
    </row>
    <row r="568" spans="1:12" s="1" customFormat="1" x14ac:dyDescent="0.25">
      <c r="A568"/>
      <c r="B568"/>
      <c r="C568"/>
      <c r="D568"/>
      <c r="E568"/>
      <c r="F568"/>
      <c r="G568" s="4"/>
      <c r="I568"/>
      <c r="J568"/>
      <c r="K568"/>
      <c r="L568"/>
    </row>
    <row r="569" spans="1:12" s="1" customFormat="1" x14ac:dyDescent="0.25">
      <c r="A569"/>
      <c r="B569"/>
      <c r="C569"/>
      <c r="D569"/>
      <c r="E569"/>
      <c r="F569"/>
      <c r="G569" s="4"/>
      <c r="I569"/>
      <c r="J569"/>
      <c r="K569"/>
      <c r="L569"/>
    </row>
    <row r="570" spans="1:12" s="1" customFormat="1" x14ac:dyDescent="0.25">
      <c r="A570"/>
      <c r="B570"/>
      <c r="C570"/>
      <c r="D570"/>
      <c r="E570"/>
      <c r="F570"/>
      <c r="G570" s="4"/>
      <c r="I570"/>
      <c r="J570"/>
      <c r="K570"/>
      <c r="L570"/>
    </row>
    <row r="571" spans="1:12" s="1" customFormat="1" x14ac:dyDescent="0.25">
      <c r="A571"/>
      <c r="B571"/>
      <c r="C571"/>
      <c r="D571"/>
      <c r="E571"/>
      <c r="F571"/>
      <c r="G571" s="4"/>
      <c r="I571"/>
      <c r="J571"/>
      <c r="K571"/>
      <c r="L571"/>
    </row>
    <row r="572" spans="1:12" s="1" customFormat="1" x14ac:dyDescent="0.25">
      <c r="A572"/>
      <c r="B572"/>
      <c r="C572"/>
      <c r="D572"/>
      <c r="E572"/>
      <c r="F572"/>
      <c r="G572" s="4"/>
      <c r="I572"/>
      <c r="J572"/>
      <c r="K572"/>
      <c r="L572"/>
    </row>
    <row r="573" spans="1:12" s="1" customFormat="1" x14ac:dyDescent="0.25">
      <c r="A573"/>
      <c r="B573"/>
      <c r="C573"/>
      <c r="D573"/>
      <c r="E573"/>
      <c r="F573"/>
      <c r="G573" s="4"/>
      <c r="I573"/>
      <c r="J573"/>
      <c r="K573"/>
      <c r="L573"/>
    </row>
    <row r="574" spans="1:12" s="1" customFormat="1" x14ac:dyDescent="0.25">
      <c r="A574"/>
      <c r="B574"/>
      <c r="C574"/>
      <c r="D574"/>
      <c r="E574"/>
      <c r="F574"/>
      <c r="G574" s="4"/>
      <c r="I574"/>
      <c r="J574"/>
      <c r="K574"/>
      <c r="L574"/>
    </row>
    <row r="575" spans="1:12" s="1" customFormat="1" x14ac:dyDescent="0.25">
      <c r="A575"/>
      <c r="B575"/>
      <c r="C575"/>
      <c r="D575"/>
      <c r="E575"/>
      <c r="F575"/>
      <c r="G575" s="4"/>
      <c r="I575"/>
      <c r="J575"/>
      <c r="K575"/>
      <c r="L575"/>
    </row>
    <row r="576" spans="1:12" s="1" customFormat="1" x14ac:dyDescent="0.25">
      <c r="A576"/>
      <c r="B576"/>
      <c r="C576"/>
      <c r="D576"/>
      <c r="E576"/>
      <c r="F576"/>
      <c r="G576" s="4"/>
      <c r="I576"/>
      <c r="J576"/>
      <c r="K576"/>
      <c r="L576"/>
    </row>
    <row r="577" spans="1:12" s="1" customFormat="1" x14ac:dyDescent="0.25">
      <c r="A577"/>
      <c r="B577"/>
      <c r="C577"/>
      <c r="D577"/>
      <c r="E577"/>
      <c r="F577"/>
      <c r="G577" s="4"/>
      <c r="I577"/>
      <c r="J577"/>
      <c r="K577"/>
      <c r="L577"/>
    </row>
    <row r="578" spans="1:12" s="1" customFormat="1" x14ac:dyDescent="0.25">
      <c r="A578"/>
      <c r="B578"/>
      <c r="C578"/>
      <c r="D578"/>
      <c r="E578"/>
      <c r="F578"/>
      <c r="G578" s="4"/>
      <c r="I578"/>
      <c r="J578"/>
      <c r="K578"/>
      <c r="L578"/>
    </row>
    <row r="579" spans="1:12" s="1" customFormat="1" x14ac:dyDescent="0.25">
      <c r="A579"/>
      <c r="B579"/>
      <c r="C579"/>
      <c r="D579"/>
      <c r="E579"/>
      <c r="F579"/>
      <c r="G579" s="4"/>
      <c r="I579"/>
      <c r="J579"/>
      <c r="K579"/>
      <c r="L579"/>
    </row>
    <row r="580" spans="1:12" s="1" customFormat="1" x14ac:dyDescent="0.25">
      <c r="A580"/>
      <c r="B580"/>
      <c r="C580"/>
      <c r="D580"/>
      <c r="E580"/>
      <c r="F580"/>
      <c r="G580" s="4"/>
      <c r="I580"/>
      <c r="J580"/>
      <c r="K580"/>
      <c r="L580"/>
    </row>
    <row r="581" spans="1:12" s="1" customFormat="1" x14ac:dyDescent="0.25">
      <c r="A581"/>
      <c r="B581"/>
      <c r="C581"/>
      <c r="D581"/>
      <c r="E581"/>
      <c r="F581"/>
      <c r="G581" s="4"/>
      <c r="I581"/>
      <c r="J581"/>
      <c r="K581"/>
      <c r="L581"/>
    </row>
    <row r="582" spans="1:12" s="1" customFormat="1" x14ac:dyDescent="0.25">
      <c r="A582"/>
      <c r="B582"/>
      <c r="C582"/>
      <c r="D582"/>
      <c r="E582"/>
      <c r="F582"/>
      <c r="G582" s="4"/>
      <c r="I582"/>
      <c r="J582"/>
      <c r="K582"/>
      <c r="L582"/>
    </row>
    <row r="583" spans="1:12" s="1" customFormat="1" x14ac:dyDescent="0.25">
      <c r="A583"/>
      <c r="B583"/>
      <c r="C583"/>
      <c r="D583"/>
      <c r="E583"/>
      <c r="F583"/>
      <c r="G583" s="4"/>
      <c r="I583"/>
      <c r="J583"/>
      <c r="K583"/>
      <c r="L583"/>
    </row>
    <row r="584" spans="1:12" s="1" customFormat="1" x14ac:dyDescent="0.25">
      <c r="A584"/>
      <c r="B584"/>
      <c r="C584"/>
      <c r="D584"/>
      <c r="E584"/>
      <c r="F584"/>
      <c r="G584" s="4"/>
      <c r="I584"/>
      <c r="J584"/>
      <c r="K584"/>
      <c r="L584"/>
    </row>
    <row r="585" spans="1:12" s="1" customFormat="1" x14ac:dyDescent="0.25">
      <c r="A585"/>
      <c r="B585"/>
      <c r="C585"/>
      <c r="D585"/>
      <c r="E585"/>
      <c r="F585"/>
      <c r="G585" s="4"/>
      <c r="I585"/>
      <c r="J585"/>
      <c r="K585"/>
      <c r="L585"/>
    </row>
    <row r="586" spans="1:12" s="1" customFormat="1" x14ac:dyDescent="0.25">
      <c r="A586"/>
      <c r="B586"/>
      <c r="C586"/>
      <c r="D586"/>
      <c r="E586"/>
      <c r="F586"/>
      <c r="G586" s="4"/>
      <c r="I586"/>
      <c r="J586"/>
      <c r="K586"/>
      <c r="L586"/>
    </row>
    <row r="587" spans="1:12" s="1" customFormat="1" x14ac:dyDescent="0.25">
      <c r="A587"/>
      <c r="B587"/>
      <c r="C587"/>
      <c r="D587"/>
      <c r="E587"/>
      <c r="F587"/>
      <c r="G587" s="4"/>
      <c r="I587"/>
      <c r="J587"/>
      <c r="K587"/>
      <c r="L587"/>
    </row>
    <row r="588" spans="1:12" s="1" customFormat="1" x14ac:dyDescent="0.25">
      <c r="A588"/>
      <c r="B588"/>
      <c r="C588"/>
      <c r="D588"/>
      <c r="E588"/>
      <c r="F588"/>
      <c r="G588" s="4"/>
      <c r="I588"/>
      <c r="J588"/>
      <c r="K588"/>
      <c r="L588"/>
    </row>
    <row r="589" spans="1:12" s="1" customFormat="1" x14ac:dyDescent="0.25">
      <c r="A589"/>
      <c r="B589"/>
      <c r="C589"/>
      <c r="D589"/>
      <c r="E589"/>
      <c r="F589"/>
      <c r="G589" s="4"/>
      <c r="I589"/>
      <c r="J589"/>
      <c r="K589"/>
      <c r="L589"/>
    </row>
    <row r="590" spans="1:12" s="1" customFormat="1" x14ac:dyDescent="0.25">
      <c r="A590"/>
      <c r="B590"/>
      <c r="C590"/>
      <c r="D590"/>
      <c r="E590"/>
      <c r="F590"/>
      <c r="G590" s="4"/>
      <c r="I590"/>
      <c r="J590"/>
      <c r="K590"/>
      <c r="L590"/>
    </row>
    <row r="591" spans="1:12" s="1" customFormat="1" x14ac:dyDescent="0.25">
      <c r="A591"/>
      <c r="B591"/>
      <c r="C591"/>
      <c r="D591"/>
      <c r="E591"/>
      <c r="F591"/>
      <c r="G591" s="4"/>
      <c r="I591"/>
      <c r="J591"/>
      <c r="K591"/>
      <c r="L591"/>
    </row>
    <row r="592" spans="1:12" s="1" customFormat="1" x14ac:dyDescent="0.25">
      <c r="A592"/>
      <c r="B592"/>
      <c r="C592"/>
      <c r="D592"/>
      <c r="E592"/>
      <c r="F592"/>
      <c r="G592" s="4"/>
      <c r="I592"/>
      <c r="J592"/>
      <c r="K592"/>
      <c r="L592"/>
    </row>
    <row r="593" spans="1:12" s="1" customFormat="1" x14ac:dyDescent="0.25">
      <c r="A593"/>
      <c r="B593"/>
      <c r="C593"/>
      <c r="D593"/>
      <c r="E593"/>
      <c r="F593"/>
      <c r="G593" s="4"/>
      <c r="I593"/>
      <c r="J593"/>
      <c r="K593"/>
      <c r="L593"/>
    </row>
    <row r="594" spans="1:12" s="1" customFormat="1" x14ac:dyDescent="0.25">
      <c r="A594"/>
      <c r="B594"/>
      <c r="C594"/>
      <c r="D594"/>
      <c r="E594"/>
      <c r="F594"/>
      <c r="G594" s="4"/>
      <c r="I594"/>
      <c r="J594"/>
      <c r="K594"/>
      <c r="L594"/>
    </row>
    <row r="595" spans="1:12" s="1" customFormat="1" x14ac:dyDescent="0.25">
      <c r="A595"/>
      <c r="B595"/>
      <c r="C595"/>
      <c r="D595"/>
      <c r="E595"/>
      <c r="F595"/>
      <c r="G595" s="4"/>
      <c r="I595"/>
      <c r="J595"/>
      <c r="K595"/>
      <c r="L595"/>
    </row>
    <row r="596" spans="1:12" s="1" customFormat="1" x14ac:dyDescent="0.25">
      <c r="A596"/>
      <c r="B596"/>
      <c r="C596"/>
      <c r="D596"/>
      <c r="E596"/>
      <c r="F596"/>
      <c r="G596" s="4"/>
      <c r="I596"/>
      <c r="J596"/>
      <c r="K596"/>
      <c r="L596"/>
    </row>
    <row r="597" spans="1:12" s="1" customFormat="1" x14ac:dyDescent="0.25">
      <c r="A597"/>
      <c r="B597"/>
      <c r="C597"/>
      <c r="D597"/>
      <c r="E597"/>
      <c r="F597"/>
      <c r="G597" s="4"/>
      <c r="I597"/>
      <c r="J597"/>
      <c r="K597"/>
      <c r="L597"/>
    </row>
    <row r="598" spans="1:12" s="1" customFormat="1" x14ac:dyDescent="0.25">
      <c r="A598"/>
      <c r="B598"/>
      <c r="C598"/>
      <c r="D598"/>
      <c r="E598"/>
      <c r="F598"/>
      <c r="G598" s="4"/>
      <c r="I598"/>
      <c r="J598"/>
      <c r="K598"/>
      <c r="L598"/>
    </row>
    <row r="599" spans="1:12" s="1" customFormat="1" x14ac:dyDescent="0.25">
      <c r="A599"/>
      <c r="B599"/>
      <c r="C599"/>
      <c r="D599"/>
      <c r="E599"/>
      <c r="F599"/>
      <c r="G599" s="4"/>
      <c r="I599"/>
      <c r="J599"/>
      <c r="K599"/>
      <c r="L599"/>
    </row>
    <row r="600" spans="1:12" s="1" customFormat="1" x14ac:dyDescent="0.25">
      <c r="A600"/>
      <c r="B600"/>
      <c r="C600"/>
      <c r="D600"/>
      <c r="E600"/>
      <c r="F600"/>
      <c r="G600" s="4"/>
      <c r="I600"/>
      <c r="J600"/>
      <c r="K600"/>
      <c r="L600"/>
    </row>
    <row r="601" spans="1:12" s="1" customFormat="1" x14ac:dyDescent="0.25">
      <c r="A601"/>
      <c r="B601"/>
      <c r="C601"/>
      <c r="D601"/>
      <c r="E601"/>
      <c r="F601"/>
      <c r="G601" s="4"/>
      <c r="I601"/>
      <c r="J601"/>
      <c r="K601"/>
      <c r="L601"/>
    </row>
    <row r="602" spans="1:12" s="1" customFormat="1" x14ac:dyDescent="0.25">
      <c r="A602"/>
      <c r="B602"/>
      <c r="C602"/>
      <c r="D602"/>
      <c r="E602"/>
      <c r="F602"/>
      <c r="G602" s="4"/>
      <c r="I602"/>
      <c r="J602"/>
      <c r="K602"/>
      <c r="L602"/>
    </row>
    <row r="603" spans="1:12" s="1" customFormat="1" x14ac:dyDescent="0.25">
      <c r="A603"/>
      <c r="B603"/>
      <c r="C603"/>
      <c r="D603"/>
      <c r="E603"/>
      <c r="F603"/>
      <c r="G603" s="4"/>
      <c r="I603"/>
      <c r="J603"/>
      <c r="K603"/>
      <c r="L603"/>
    </row>
    <row r="604" spans="1:12" s="1" customFormat="1" x14ac:dyDescent="0.25">
      <c r="A604"/>
      <c r="B604"/>
      <c r="C604"/>
      <c r="D604"/>
      <c r="E604"/>
      <c r="F604"/>
      <c r="G604" s="4"/>
      <c r="I604"/>
      <c r="J604"/>
      <c r="K604"/>
      <c r="L604"/>
    </row>
    <row r="605" spans="1:12" s="1" customFormat="1" x14ac:dyDescent="0.25">
      <c r="A605"/>
      <c r="B605"/>
      <c r="C605"/>
      <c r="D605"/>
      <c r="E605"/>
      <c r="F605"/>
      <c r="G605" s="4"/>
      <c r="I605"/>
      <c r="J605"/>
      <c r="K605"/>
      <c r="L605"/>
    </row>
    <row r="606" spans="1:12" s="1" customFormat="1" x14ac:dyDescent="0.25">
      <c r="A606"/>
      <c r="B606"/>
      <c r="C606"/>
      <c r="D606"/>
      <c r="E606"/>
      <c r="F606"/>
      <c r="G606" s="4"/>
      <c r="I606"/>
      <c r="J606"/>
      <c r="K606"/>
      <c r="L606"/>
    </row>
    <row r="607" spans="1:12" s="1" customFormat="1" x14ac:dyDescent="0.25">
      <c r="A607"/>
      <c r="B607"/>
      <c r="C607"/>
      <c r="D607"/>
      <c r="E607"/>
      <c r="F607"/>
      <c r="G607" s="4"/>
      <c r="I607"/>
      <c r="J607"/>
      <c r="K607"/>
      <c r="L607"/>
    </row>
    <row r="608" spans="1:12" s="1" customFormat="1" x14ac:dyDescent="0.25">
      <c r="A608"/>
      <c r="B608"/>
      <c r="C608"/>
      <c r="D608"/>
      <c r="E608"/>
      <c r="F608"/>
      <c r="G608" s="4"/>
      <c r="I608"/>
      <c r="J608"/>
      <c r="K608"/>
      <c r="L608"/>
    </row>
    <row r="609" spans="1:12" s="1" customFormat="1" x14ac:dyDescent="0.25">
      <c r="A609"/>
      <c r="B609"/>
      <c r="C609"/>
      <c r="D609"/>
      <c r="E609"/>
      <c r="F609"/>
      <c r="G609" s="4"/>
      <c r="I609"/>
      <c r="J609"/>
      <c r="K609"/>
      <c r="L609"/>
    </row>
    <row r="610" spans="1:12" s="1" customFormat="1" x14ac:dyDescent="0.25">
      <c r="A610"/>
      <c r="B610"/>
      <c r="C610"/>
      <c r="D610"/>
      <c r="E610"/>
      <c r="F610"/>
      <c r="G610" s="4"/>
      <c r="I610"/>
      <c r="J610"/>
      <c r="K610"/>
      <c r="L610"/>
    </row>
    <row r="611" spans="1:12" s="1" customFormat="1" x14ac:dyDescent="0.25">
      <c r="A611"/>
      <c r="B611"/>
      <c r="C611"/>
      <c r="D611"/>
      <c r="E611"/>
      <c r="F611"/>
      <c r="G611" s="4"/>
      <c r="I611"/>
      <c r="J611"/>
      <c r="K611"/>
      <c r="L611"/>
    </row>
    <row r="612" spans="1:12" s="1" customFormat="1" x14ac:dyDescent="0.25">
      <c r="A612"/>
      <c r="B612"/>
      <c r="C612"/>
      <c r="D612"/>
      <c r="E612"/>
      <c r="F612"/>
      <c r="G612" s="4"/>
      <c r="I612"/>
      <c r="J612"/>
      <c r="K612"/>
      <c r="L612"/>
    </row>
    <row r="613" spans="1:12" s="1" customFormat="1" x14ac:dyDescent="0.25">
      <c r="A613"/>
      <c r="B613"/>
      <c r="C613"/>
      <c r="D613"/>
      <c r="E613"/>
      <c r="F613"/>
      <c r="G613" s="4"/>
      <c r="I613"/>
      <c r="J613"/>
      <c r="K613"/>
      <c r="L613"/>
    </row>
    <row r="614" spans="1:12" s="1" customFormat="1" x14ac:dyDescent="0.25">
      <c r="A614"/>
      <c r="B614"/>
      <c r="C614"/>
      <c r="D614"/>
      <c r="E614"/>
      <c r="F614"/>
      <c r="G614" s="4"/>
      <c r="I614"/>
      <c r="J614"/>
      <c r="K614"/>
      <c r="L614"/>
    </row>
    <row r="615" spans="1:12" s="1" customFormat="1" x14ac:dyDescent="0.25">
      <c r="A615"/>
      <c r="B615"/>
      <c r="C615"/>
      <c r="D615"/>
      <c r="E615"/>
      <c r="F615"/>
      <c r="G615" s="4"/>
      <c r="I615"/>
      <c r="J615"/>
      <c r="K615"/>
      <c r="L615"/>
    </row>
    <row r="616" spans="1:12" s="1" customFormat="1" x14ac:dyDescent="0.25">
      <c r="A616"/>
      <c r="B616"/>
      <c r="C616"/>
      <c r="D616"/>
      <c r="E616"/>
      <c r="F616"/>
      <c r="G616" s="4"/>
      <c r="I616"/>
      <c r="J616"/>
      <c r="K616"/>
      <c r="L616"/>
    </row>
    <row r="617" spans="1:12" s="1" customFormat="1" x14ac:dyDescent="0.25">
      <c r="A617"/>
      <c r="B617"/>
      <c r="C617"/>
      <c r="D617"/>
      <c r="E617"/>
      <c r="F617"/>
      <c r="G617" s="4"/>
      <c r="I617"/>
      <c r="J617"/>
      <c r="K617"/>
      <c r="L617"/>
    </row>
    <row r="618" spans="1:12" s="1" customFormat="1" x14ac:dyDescent="0.25">
      <c r="A618"/>
      <c r="B618"/>
      <c r="C618"/>
      <c r="D618"/>
      <c r="E618"/>
      <c r="F618"/>
      <c r="G618" s="4"/>
      <c r="I618"/>
      <c r="J618"/>
      <c r="K618"/>
      <c r="L618"/>
    </row>
    <row r="619" spans="1:12" s="1" customFormat="1" x14ac:dyDescent="0.25">
      <c r="A619"/>
      <c r="B619"/>
      <c r="C619"/>
      <c r="D619"/>
      <c r="E619"/>
      <c r="F619"/>
      <c r="G619" s="4"/>
      <c r="I619"/>
      <c r="J619"/>
      <c r="K619"/>
      <c r="L619"/>
    </row>
    <row r="620" spans="1:12" s="1" customFormat="1" x14ac:dyDescent="0.25">
      <c r="A620"/>
      <c r="B620"/>
      <c r="C620"/>
      <c r="D620"/>
      <c r="E620"/>
      <c r="F620"/>
      <c r="G620" s="4"/>
      <c r="I620"/>
      <c r="J620"/>
      <c r="K620"/>
      <c r="L620"/>
    </row>
    <row r="621" spans="1:12" s="1" customFormat="1" x14ac:dyDescent="0.25">
      <c r="A621"/>
      <c r="B621"/>
      <c r="C621"/>
      <c r="D621"/>
      <c r="E621"/>
      <c r="F621"/>
      <c r="G621" s="4"/>
      <c r="I621"/>
      <c r="J621"/>
      <c r="K621"/>
      <c r="L621"/>
    </row>
    <row r="622" spans="1:12" s="1" customFormat="1" x14ac:dyDescent="0.25">
      <c r="A622"/>
      <c r="B622"/>
      <c r="C622"/>
      <c r="D622"/>
      <c r="E622"/>
      <c r="F622"/>
      <c r="G622" s="4"/>
      <c r="I622"/>
      <c r="J622"/>
      <c r="K622"/>
      <c r="L622"/>
    </row>
    <row r="623" spans="1:12" s="1" customFormat="1" x14ac:dyDescent="0.25">
      <c r="A623"/>
      <c r="B623"/>
      <c r="C623"/>
      <c r="D623"/>
      <c r="E623"/>
      <c r="F623"/>
      <c r="G623" s="4"/>
      <c r="I623"/>
      <c r="J623"/>
      <c r="K623"/>
      <c r="L623"/>
    </row>
    <row r="624" spans="1:12" s="1" customFormat="1" x14ac:dyDescent="0.25">
      <c r="A624"/>
      <c r="B624"/>
      <c r="C624"/>
      <c r="D624"/>
      <c r="E624"/>
      <c r="F624"/>
      <c r="G624" s="4"/>
      <c r="I624"/>
      <c r="J624"/>
      <c r="K624"/>
      <c r="L624"/>
    </row>
    <row r="625" spans="1:12" s="1" customFormat="1" x14ac:dyDescent="0.25">
      <c r="A625"/>
      <c r="B625"/>
      <c r="C625"/>
      <c r="D625"/>
      <c r="E625"/>
      <c r="F625"/>
      <c r="G625" s="4"/>
      <c r="I625"/>
      <c r="J625"/>
      <c r="K625"/>
      <c r="L625"/>
    </row>
    <row r="626" spans="1:12" s="1" customFormat="1" x14ac:dyDescent="0.25">
      <c r="A626"/>
      <c r="B626"/>
      <c r="C626"/>
      <c r="D626"/>
      <c r="E626"/>
      <c r="F626"/>
      <c r="G626" s="4"/>
      <c r="I626"/>
      <c r="J626"/>
      <c r="K626"/>
      <c r="L626"/>
    </row>
    <row r="627" spans="1:12" s="1" customFormat="1" x14ac:dyDescent="0.25">
      <c r="A627"/>
      <c r="B627"/>
      <c r="C627"/>
      <c r="D627"/>
      <c r="E627"/>
      <c r="F627"/>
      <c r="G627" s="4"/>
      <c r="I627"/>
      <c r="J627"/>
      <c r="K627"/>
      <c r="L627"/>
    </row>
    <row r="628" spans="1:12" s="1" customFormat="1" x14ac:dyDescent="0.25">
      <c r="A628"/>
      <c r="B628"/>
      <c r="C628"/>
      <c r="D628"/>
      <c r="E628"/>
      <c r="F628"/>
      <c r="G628" s="4"/>
      <c r="I628"/>
      <c r="J628"/>
      <c r="K628"/>
      <c r="L628"/>
    </row>
    <row r="629" spans="1:12" s="1" customFormat="1" x14ac:dyDescent="0.25">
      <c r="A629"/>
      <c r="B629"/>
      <c r="C629"/>
      <c r="D629"/>
      <c r="E629"/>
      <c r="F629"/>
      <c r="G629" s="4"/>
      <c r="I629"/>
      <c r="J629"/>
      <c r="K629"/>
      <c r="L629"/>
    </row>
    <row r="630" spans="1:12" s="1" customFormat="1" x14ac:dyDescent="0.25">
      <c r="A630"/>
      <c r="B630"/>
      <c r="C630"/>
      <c r="D630"/>
      <c r="E630"/>
      <c r="F630"/>
      <c r="G630" s="4"/>
      <c r="I630"/>
      <c r="J630"/>
      <c r="K630"/>
      <c r="L630"/>
    </row>
    <row r="631" spans="1:12" s="1" customFormat="1" x14ac:dyDescent="0.25">
      <c r="A631"/>
      <c r="B631"/>
      <c r="C631"/>
      <c r="D631"/>
      <c r="E631"/>
      <c r="F631"/>
      <c r="G631" s="4"/>
      <c r="I631"/>
      <c r="J631"/>
      <c r="K631"/>
      <c r="L631"/>
    </row>
    <row r="632" spans="1:12" s="1" customFormat="1" x14ac:dyDescent="0.25">
      <c r="A632"/>
      <c r="B632"/>
      <c r="C632"/>
      <c r="D632"/>
      <c r="E632"/>
      <c r="F632"/>
      <c r="G632" s="4"/>
      <c r="I632"/>
      <c r="J632"/>
      <c r="K632"/>
      <c r="L632"/>
    </row>
    <row r="633" spans="1:12" s="1" customFormat="1" x14ac:dyDescent="0.25">
      <c r="A633"/>
      <c r="B633"/>
      <c r="C633"/>
      <c r="D633"/>
      <c r="E633"/>
      <c r="F633"/>
      <c r="G633" s="4"/>
      <c r="I633"/>
      <c r="J633"/>
      <c r="K633"/>
      <c r="L633"/>
    </row>
    <row r="634" spans="1:12" s="1" customFormat="1" x14ac:dyDescent="0.25">
      <c r="A634"/>
      <c r="B634"/>
      <c r="C634"/>
      <c r="D634"/>
      <c r="E634"/>
      <c r="F634"/>
      <c r="G634" s="4"/>
      <c r="I634"/>
      <c r="J634"/>
      <c r="K634"/>
      <c r="L634"/>
    </row>
    <row r="635" spans="1:12" s="1" customFormat="1" x14ac:dyDescent="0.25">
      <c r="A635"/>
      <c r="B635"/>
      <c r="C635"/>
      <c r="D635"/>
      <c r="E635"/>
      <c r="F635"/>
      <c r="G635" s="4"/>
      <c r="I635"/>
      <c r="J635"/>
      <c r="K635"/>
      <c r="L635"/>
    </row>
    <row r="636" spans="1:12" s="1" customFormat="1" x14ac:dyDescent="0.25">
      <c r="A636"/>
      <c r="B636"/>
      <c r="C636"/>
      <c r="D636"/>
      <c r="E636"/>
      <c r="F636"/>
      <c r="G636" s="4"/>
      <c r="I636"/>
      <c r="J636"/>
      <c r="K636"/>
      <c r="L636"/>
    </row>
    <row r="637" spans="1:12" s="1" customFormat="1" x14ac:dyDescent="0.25">
      <c r="A637"/>
      <c r="B637"/>
      <c r="C637"/>
      <c r="D637"/>
      <c r="E637"/>
      <c r="F637"/>
      <c r="G637" s="4"/>
      <c r="I637"/>
      <c r="J637"/>
      <c r="K637"/>
      <c r="L637"/>
    </row>
    <row r="638" spans="1:12" s="1" customFormat="1" x14ac:dyDescent="0.25">
      <c r="A638"/>
      <c r="B638"/>
      <c r="C638"/>
      <c r="D638"/>
      <c r="E638"/>
      <c r="F638"/>
      <c r="G638" s="4"/>
      <c r="I638"/>
      <c r="J638"/>
      <c r="K638"/>
      <c r="L638"/>
    </row>
    <row r="639" spans="1:12" s="1" customFormat="1" x14ac:dyDescent="0.25">
      <c r="A639"/>
      <c r="B639"/>
      <c r="C639"/>
      <c r="D639"/>
      <c r="E639"/>
      <c r="F639"/>
      <c r="G639" s="4"/>
      <c r="I639"/>
      <c r="J639"/>
      <c r="K639"/>
      <c r="L639"/>
    </row>
    <row r="640" spans="1:12" s="1" customFormat="1" x14ac:dyDescent="0.25">
      <c r="A640"/>
      <c r="B640"/>
      <c r="C640"/>
      <c r="D640"/>
      <c r="E640"/>
      <c r="F640"/>
      <c r="G640" s="4"/>
      <c r="I640"/>
      <c r="J640"/>
      <c r="K640"/>
      <c r="L640"/>
    </row>
    <row r="641" spans="1:12" s="1" customFormat="1" x14ac:dyDescent="0.25">
      <c r="A641"/>
      <c r="B641"/>
      <c r="C641"/>
      <c r="D641"/>
      <c r="E641"/>
      <c r="F641"/>
      <c r="G641" s="4"/>
      <c r="I641"/>
      <c r="J641"/>
      <c r="K641"/>
      <c r="L641"/>
    </row>
    <row r="642" spans="1:12" s="1" customFormat="1" x14ac:dyDescent="0.25">
      <c r="A642"/>
      <c r="B642"/>
      <c r="C642"/>
      <c r="D642"/>
      <c r="E642"/>
      <c r="F642"/>
      <c r="G642" s="4"/>
      <c r="I642"/>
      <c r="J642"/>
      <c r="K642"/>
      <c r="L642"/>
    </row>
    <row r="643" spans="1:12" s="1" customFormat="1" x14ac:dyDescent="0.25">
      <c r="A643"/>
      <c r="B643"/>
      <c r="C643"/>
      <c r="D643"/>
      <c r="E643"/>
      <c r="F643"/>
      <c r="G643" s="4"/>
      <c r="I643"/>
      <c r="J643"/>
      <c r="K643"/>
      <c r="L643"/>
    </row>
    <row r="644" spans="1:12" s="1" customFormat="1" x14ac:dyDescent="0.25">
      <c r="A644"/>
      <c r="B644"/>
      <c r="C644"/>
      <c r="D644"/>
      <c r="E644"/>
      <c r="F644"/>
      <c r="G644" s="4"/>
      <c r="I644"/>
      <c r="J644"/>
      <c r="K644"/>
      <c r="L644"/>
    </row>
    <row r="645" spans="1:12" s="1" customFormat="1" x14ac:dyDescent="0.25">
      <c r="A645"/>
      <c r="B645"/>
      <c r="C645"/>
      <c r="D645"/>
      <c r="E645"/>
      <c r="F645"/>
      <c r="G645" s="4"/>
      <c r="I645"/>
      <c r="J645"/>
      <c r="K645"/>
      <c r="L645"/>
    </row>
    <row r="646" spans="1:12" s="1" customFormat="1" x14ac:dyDescent="0.25">
      <c r="A646"/>
      <c r="B646"/>
      <c r="C646"/>
      <c r="D646"/>
      <c r="E646"/>
      <c r="F646"/>
      <c r="G646" s="4"/>
      <c r="I646"/>
      <c r="J646"/>
      <c r="K646"/>
      <c r="L646"/>
    </row>
    <row r="647" spans="1:12" s="1" customFormat="1" x14ac:dyDescent="0.25">
      <c r="A647"/>
      <c r="B647"/>
      <c r="C647"/>
      <c r="D647"/>
      <c r="E647"/>
      <c r="F647"/>
      <c r="G647" s="4"/>
      <c r="I647"/>
      <c r="J647"/>
      <c r="K647"/>
      <c r="L647"/>
    </row>
    <row r="648" spans="1:12" s="1" customFormat="1" x14ac:dyDescent="0.25">
      <c r="A648"/>
      <c r="B648"/>
      <c r="C648"/>
      <c r="D648"/>
      <c r="E648"/>
      <c r="F648"/>
      <c r="G648" s="4"/>
      <c r="I648"/>
      <c r="J648"/>
      <c r="K648"/>
      <c r="L648"/>
    </row>
    <row r="649" spans="1:12" s="1" customFormat="1" x14ac:dyDescent="0.25">
      <c r="A649"/>
      <c r="B649"/>
      <c r="C649"/>
      <c r="D649"/>
      <c r="E649"/>
      <c r="F649"/>
      <c r="G649" s="4"/>
      <c r="I649"/>
      <c r="J649"/>
      <c r="K649"/>
      <c r="L649"/>
    </row>
    <row r="650" spans="1:12" s="1" customFormat="1" x14ac:dyDescent="0.25">
      <c r="A650"/>
      <c r="B650"/>
      <c r="C650"/>
      <c r="D650"/>
      <c r="E650"/>
      <c r="F650"/>
      <c r="G650" s="4"/>
      <c r="I650"/>
      <c r="J650"/>
      <c r="K650"/>
      <c r="L650"/>
    </row>
    <row r="651" spans="1:12" s="1" customFormat="1" x14ac:dyDescent="0.25">
      <c r="A651"/>
      <c r="B651"/>
      <c r="C651"/>
      <c r="D651"/>
      <c r="E651"/>
      <c r="F651"/>
      <c r="G651" s="4"/>
      <c r="I651"/>
      <c r="J651"/>
      <c r="K651"/>
      <c r="L651"/>
    </row>
    <row r="652" spans="1:12" s="1" customFormat="1" x14ac:dyDescent="0.25">
      <c r="A652"/>
      <c r="B652"/>
      <c r="C652"/>
      <c r="D652"/>
      <c r="E652"/>
      <c r="F652"/>
      <c r="G652" s="4"/>
      <c r="I652"/>
      <c r="J652"/>
      <c r="K652"/>
      <c r="L652"/>
    </row>
    <row r="653" spans="1:12" s="1" customFormat="1" x14ac:dyDescent="0.25">
      <c r="A653"/>
      <c r="B653"/>
      <c r="C653"/>
      <c r="D653"/>
      <c r="E653"/>
      <c r="F653"/>
      <c r="G653" s="4"/>
      <c r="I653"/>
      <c r="J653"/>
      <c r="K653"/>
      <c r="L653"/>
    </row>
    <row r="654" spans="1:12" s="1" customFormat="1" x14ac:dyDescent="0.25">
      <c r="A654"/>
      <c r="B654"/>
      <c r="C654"/>
      <c r="D654"/>
      <c r="E654"/>
      <c r="F654"/>
      <c r="G654" s="4"/>
      <c r="I654"/>
      <c r="J654"/>
      <c r="K654"/>
      <c r="L654"/>
    </row>
    <row r="655" spans="1:12" s="1" customFormat="1" x14ac:dyDescent="0.25">
      <c r="A655"/>
      <c r="B655"/>
      <c r="C655"/>
      <c r="D655"/>
      <c r="E655"/>
      <c r="F655"/>
      <c r="G655" s="4"/>
      <c r="I655"/>
      <c r="J655"/>
      <c r="K655"/>
      <c r="L655"/>
    </row>
    <row r="656" spans="1:12" s="1" customFormat="1" x14ac:dyDescent="0.25">
      <c r="A656"/>
      <c r="B656"/>
      <c r="C656"/>
      <c r="D656"/>
      <c r="E656"/>
      <c r="F656"/>
      <c r="G656" s="4"/>
      <c r="I656"/>
      <c r="J656"/>
      <c r="K656"/>
      <c r="L656"/>
    </row>
    <row r="657" spans="1:12" s="1" customFormat="1" x14ac:dyDescent="0.25">
      <c r="A657"/>
      <c r="B657"/>
      <c r="C657"/>
      <c r="D657"/>
      <c r="E657"/>
      <c r="F657"/>
      <c r="G657" s="4"/>
      <c r="I657"/>
      <c r="J657"/>
      <c r="K657"/>
      <c r="L657"/>
    </row>
    <row r="658" spans="1:12" s="1" customFormat="1" x14ac:dyDescent="0.25">
      <c r="A658"/>
      <c r="B658"/>
      <c r="C658"/>
      <c r="D658"/>
      <c r="E658"/>
      <c r="F658"/>
      <c r="G658" s="4"/>
      <c r="I658"/>
      <c r="J658"/>
      <c r="K658"/>
      <c r="L658"/>
    </row>
    <row r="659" spans="1:12" s="1" customFormat="1" x14ac:dyDescent="0.25">
      <c r="A659"/>
      <c r="B659"/>
      <c r="C659"/>
      <c r="D659"/>
      <c r="E659"/>
      <c r="F659"/>
      <c r="G659" s="4"/>
      <c r="I659"/>
      <c r="J659"/>
      <c r="K659"/>
      <c r="L659"/>
    </row>
    <row r="660" spans="1:12" s="1" customFormat="1" x14ac:dyDescent="0.25">
      <c r="A660"/>
      <c r="B660"/>
      <c r="C660"/>
      <c r="D660"/>
      <c r="E660"/>
      <c r="F660"/>
      <c r="G660" s="4"/>
      <c r="I660"/>
      <c r="J660"/>
      <c r="K660"/>
      <c r="L660"/>
    </row>
    <row r="661" spans="1:12" s="1" customFormat="1" x14ac:dyDescent="0.25">
      <c r="A661"/>
      <c r="B661"/>
      <c r="C661"/>
      <c r="D661"/>
      <c r="E661"/>
      <c r="F661"/>
      <c r="G661" s="4"/>
      <c r="I661"/>
      <c r="J661"/>
      <c r="K661"/>
      <c r="L661"/>
    </row>
    <row r="662" spans="1:12" s="1" customFormat="1" x14ac:dyDescent="0.25">
      <c r="A662"/>
      <c r="B662"/>
      <c r="C662"/>
      <c r="D662"/>
      <c r="E662"/>
      <c r="F662"/>
      <c r="G662" s="4"/>
      <c r="I662"/>
      <c r="J662"/>
      <c r="K662"/>
      <c r="L662"/>
    </row>
    <row r="663" spans="1:12" s="1" customFormat="1" x14ac:dyDescent="0.25">
      <c r="A663"/>
      <c r="B663"/>
      <c r="C663"/>
      <c r="D663"/>
      <c r="E663"/>
      <c r="F663"/>
      <c r="G663" s="4"/>
      <c r="I663"/>
      <c r="J663"/>
      <c r="K663"/>
      <c r="L663"/>
    </row>
    <row r="664" spans="1:12" s="1" customFormat="1" x14ac:dyDescent="0.25">
      <c r="A664"/>
      <c r="B664"/>
      <c r="C664"/>
      <c r="D664"/>
      <c r="E664"/>
      <c r="F664"/>
      <c r="G664" s="4"/>
      <c r="I664"/>
      <c r="J664"/>
      <c r="K664"/>
      <c r="L664"/>
    </row>
    <row r="665" spans="1:12" s="1" customFormat="1" x14ac:dyDescent="0.25">
      <c r="A665"/>
      <c r="B665"/>
      <c r="C665"/>
      <c r="D665"/>
      <c r="E665"/>
      <c r="F665"/>
      <c r="G665" s="4"/>
      <c r="I665"/>
      <c r="J665"/>
      <c r="K665"/>
      <c r="L665"/>
    </row>
    <row r="666" spans="1:12" s="1" customFormat="1" x14ac:dyDescent="0.25">
      <c r="A666"/>
      <c r="B666"/>
      <c r="C666"/>
      <c r="D666"/>
      <c r="E666"/>
      <c r="F666"/>
      <c r="G666" s="4"/>
      <c r="I666"/>
      <c r="J666"/>
      <c r="K666"/>
      <c r="L666"/>
    </row>
    <row r="667" spans="1:12" s="1" customFormat="1" x14ac:dyDescent="0.25">
      <c r="A667"/>
      <c r="B667"/>
      <c r="C667"/>
      <c r="D667"/>
      <c r="E667"/>
      <c r="F667"/>
      <c r="G667" s="4"/>
      <c r="I667"/>
      <c r="J667"/>
      <c r="K667"/>
      <c r="L667"/>
    </row>
    <row r="668" spans="1:12" s="1" customFormat="1" x14ac:dyDescent="0.25">
      <c r="A668"/>
      <c r="B668"/>
      <c r="C668"/>
      <c r="D668"/>
      <c r="E668"/>
      <c r="F668"/>
      <c r="G668" s="4"/>
      <c r="I668"/>
      <c r="J668"/>
      <c r="K668"/>
      <c r="L668"/>
    </row>
    <row r="669" spans="1:12" s="1" customFormat="1" x14ac:dyDescent="0.25">
      <c r="A669"/>
      <c r="B669"/>
      <c r="C669"/>
      <c r="D669"/>
      <c r="E669"/>
      <c r="F669"/>
      <c r="G669" s="4"/>
      <c r="I669"/>
      <c r="J669"/>
      <c r="K669"/>
      <c r="L669"/>
    </row>
    <row r="670" spans="1:12" s="1" customFormat="1" x14ac:dyDescent="0.25">
      <c r="A670"/>
      <c r="B670"/>
      <c r="C670"/>
      <c r="D670"/>
      <c r="E670"/>
      <c r="F670"/>
      <c r="G670" s="4"/>
      <c r="I670"/>
      <c r="J670"/>
      <c r="K670"/>
      <c r="L670"/>
    </row>
    <row r="671" spans="1:12" s="1" customFormat="1" x14ac:dyDescent="0.25">
      <c r="A671"/>
      <c r="B671"/>
      <c r="C671"/>
      <c r="D671"/>
      <c r="E671"/>
      <c r="F671"/>
      <c r="G671" s="4"/>
      <c r="I671"/>
      <c r="J671"/>
      <c r="K671"/>
      <c r="L671"/>
    </row>
    <row r="672" spans="1:12" s="1" customFormat="1" x14ac:dyDescent="0.25">
      <c r="A672"/>
      <c r="B672"/>
      <c r="C672"/>
      <c r="D672"/>
      <c r="E672"/>
      <c r="F672"/>
      <c r="G672" s="4"/>
      <c r="I672"/>
      <c r="J672"/>
      <c r="K672"/>
      <c r="L672"/>
    </row>
    <row r="673" spans="1:12" s="1" customFormat="1" x14ac:dyDescent="0.25">
      <c r="A673"/>
      <c r="B673"/>
      <c r="C673"/>
      <c r="D673"/>
      <c r="E673"/>
      <c r="F673"/>
      <c r="G673" s="4"/>
      <c r="I673"/>
      <c r="J673"/>
      <c r="K673"/>
      <c r="L673"/>
    </row>
    <row r="674" spans="1:12" s="1" customFormat="1" x14ac:dyDescent="0.25">
      <c r="A674"/>
      <c r="B674"/>
      <c r="C674"/>
      <c r="D674"/>
      <c r="E674"/>
      <c r="F674"/>
      <c r="G674" s="4"/>
      <c r="I674"/>
      <c r="J674"/>
      <c r="K674"/>
      <c r="L674"/>
    </row>
    <row r="675" spans="1:12" s="1" customFormat="1" x14ac:dyDescent="0.25">
      <c r="A675"/>
      <c r="B675"/>
      <c r="C675"/>
      <c r="D675"/>
      <c r="E675"/>
      <c r="F675"/>
      <c r="G675" s="4"/>
      <c r="I675"/>
      <c r="J675"/>
      <c r="K675"/>
      <c r="L675"/>
    </row>
    <row r="676" spans="1:12" s="1" customFormat="1" x14ac:dyDescent="0.25">
      <c r="A676"/>
      <c r="B676"/>
      <c r="C676"/>
      <c r="D676"/>
      <c r="E676"/>
      <c r="F676"/>
      <c r="G676" s="4"/>
      <c r="I676"/>
      <c r="J676"/>
      <c r="K676"/>
      <c r="L676"/>
    </row>
    <row r="677" spans="1:12" s="1" customFormat="1" x14ac:dyDescent="0.25">
      <c r="A677"/>
      <c r="B677"/>
      <c r="C677"/>
      <c r="D677"/>
      <c r="E677"/>
      <c r="F677"/>
      <c r="G677" s="4"/>
      <c r="I677"/>
      <c r="J677"/>
      <c r="K677"/>
      <c r="L677"/>
    </row>
    <row r="678" spans="1:12" s="1" customFormat="1" x14ac:dyDescent="0.25">
      <c r="A678"/>
      <c r="B678"/>
      <c r="C678"/>
      <c r="D678"/>
      <c r="E678"/>
      <c r="F678"/>
      <c r="G678" s="4"/>
      <c r="I678"/>
      <c r="J678"/>
      <c r="K678"/>
      <c r="L678"/>
    </row>
    <row r="679" spans="1:12" s="1" customFormat="1" x14ac:dyDescent="0.25">
      <c r="A679"/>
      <c r="B679"/>
      <c r="C679"/>
      <c r="D679"/>
      <c r="E679"/>
      <c r="F679"/>
      <c r="G679" s="4"/>
      <c r="I679"/>
      <c r="J679"/>
      <c r="K679"/>
      <c r="L679"/>
    </row>
    <row r="680" spans="1:12" s="1" customFormat="1" x14ac:dyDescent="0.25">
      <c r="A680"/>
      <c r="B680"/>
      <c r="C680"/>
      <c r="D680"/>
      <c r="E680"/>
      <c r="F680"/>
      <c r="G680" s="4"/>
      <c r="I680"/>
      <c r="J680"/>
      <c r="K680"/>
      <c r="L680"/>
    </row>
    <row r="681" spans="1:12" s="1" customFormat="1" x14ac:dyDescent="0.25">
      <c r="A681"/>
      <c r="B681"/>
      <c r="C681"/>
      <c r="D681"/>
      <c r="E681"/>
      <c r="F681"/>
      <c r="G681" s="4"/>
      <c r="I681"/>
      <c r="J681"/>
      <c r="K681"/>
      <c r="L681"/>
    </row>
    <row r="682" spans="1:12" s="1" customFormat="1" x14ac:dyDescent="0.25">
      <c r="A682"/>
      <c r="B682"/>
      <c r="C682"/>
      <c r="D682"/>
      <c r="E682"/>
      <c r="F682"/>
      <c r="G682" s="4"/>
      <c r="I682"/>
      <c r="J682"/>
      <c r="K682"/>
      <c r="L682"/>
    </row>
    <row r="683" spans="1:12" s="1" customFormat="1" x14ac:dyDescent="0.25">
      <c r="A683"/>
      <c r="B683"/>
      <c r="C683"/>
      <c r="D683"/>
      <c r="E683"/>
      <c r="F683"/>
      <c r="G683" s="4"/>
      <c r="I683"/>
      <c r="J683"/>
      <c r="K683"/>
      <c r="L683"/>
    </row>
    <row r="684" spans="1:12" s="1" customFormat="1" x14ac:dyDescent="0.25">
      <c r="A684"/>
      <c r="B684"/>
      <c r="C684"/>
      <c r="D684"/>
      <c r="E684"/>
      <c r="F684"/>
      <c r="G684" s="4"/>
      <c r="I684"/>
      <c r="J684"/>
      <c r="K684"/>
      <c r="L684"/>
    </row>
    <row r="685" spans="1:12" s="1" customFormat="1" x14ac:dyDescent="0.25">
      <c r="A685"/>
      <c r="B685"/>
      <c r="C685"/>
      <c r="D685"/>
      <c r="E685"/>
      <c r="F685"/>
      <c r="G685" s="4"/>
      <c r="I685"/>
      <c r="J685"/>
      <c r="K685"/>
      <c r="L685"/>
    </row>
    <row r="686" spans="1:12" s="1" customFormat="1" x14ac:dyDescent="0.25">
      <c r="A686"/>
      <c r="B686"/>
      <c r="C686"/>
      <c r="D686"/>
      <c r="E686"/>
      <c r="F686"/>
      <c r="G686" s="4"/>
      <c r="I686"/>
      <c r="J686"/>
      <c r="K686"/>
      <c r="L686"/>
    </row>
    <row r="687" spans="1:12" s="1" customFormat="1" x14ac:dyDescent="0.25">
      <c r="A687"/>
      <c r="B687"/>
      <c r="C687"/>
      <c r="D687"/>
      <c r="E687"/>
      <c r="F687"/>
      <c r="G687" s="4"/>
      <c r="I687"/>
      <c r="J687"/>
      <c r="K687"/>
      <c r="L687"/>
    </row>
    <row r="688" spans="1:12" s="1" customFormat="1" x14ac:dyDescent="0.25">
      <c r="A688"/>
      <c r="B688"/>
      <c r="C688"/>
      <c r="D688"/>
      <c r="E688"/>
      <c r="F688"/>
      <c r="G688" s="4"/>
      <c r="I688"/>
      <c r="J688"/>
      <c r="K688"/>
      <c r="L688"/>
    </row>
    <row r="689" spans="1:12" s="1" customFormat="1" x14ac:dyDescent="0.25">
      <c r="A689"/>
      <c r="B689"/>
      <c r="C689"/>
      <c r="D689"/>
      <c r="E689"/>
      <c r="F689"/>
      <c r="G689" s="4"/>
      <c r="I689"/>
      <c r="J689"/>
      <c r="K689"/>
      <c r="L689"/>
    </row>
    <row r="690" spans="1:12" s="1" customFormat="1" x14ac:dyDescent="0.25">
      <c r="A690"/>
      <c r="B690"/>
      <c r="C690"/>
      <c r="D690"/>
      <c r="E690"/>
      <c r="F690"/>
      <c r="G690" s="4"/>
      <c r="I690"/>
      <c r="J690"/>
      <c r="K690"/>
      <c r="L690"/>
    </row>
    <row r="691" spans="1:12" s="1" customFormat="1" x14ac:dyDescent="0.25">
      <c r="A691"/>
      <c r="B691"/>
      <c r="C691"/>
      <c r="D691"/>
      <c r="E691"/>
      <c r="F691"/>
      <c r="G691" s="4"/>
      <c r="I691"/>
      <c r="J691"/>
      <c r="K691"/>
      <c r="L691"/>
    </row>
    <row r="692" spans="1:12" s="1" customFormat="1" x14ac:dyDescent="0.25">
      <c r="A692"/>
      <c r="B692"/>
      <c r="C692"/>
      <c r="D692"/>
      <c r="E692"/>
      <c r="F692"/>
      <c r="G692" s="4"/>
      <c r="I692"/>
      <c r="J692"/>
      <c r="K692"/>
      <c r="L692"/>
    </row>
    <row r="693" spans="1:12" s="1" customFormat="1" x14ac:dyDescent="0.25">
      <c r="A693"/>
      <c r="B693"/>
      <c r="C693"/>
      <c r="D693"/>
      <c r="E693"/>
      <c r="F693"/>
      <c r="G693" s="4"/>
      <c r="I693"/>
      <c r="J693"/>
      <c r="K693"/>
      <c r="L693"/>
    </row>
    <row r="694" spans="1:12" s="1" customFormat="1" x14ac:dyDescent="0.25">
      <c r="A694"/>
      <c r="B694"/>
      <c r="C694"/>
      <c r="D694"/>
      <c r="E694"/>
      <c r="F694"/>
      <c r="G694" s="4"/>
      <c r="I694"/>
      <c r="J694"/>
      <c r="K694"/>
      <c r="L694"/>
    </row>
    <row r="695" spans="1:12" s="1" customFormat="1" x14ac:dyDescent="0.25">
      <c r="A695"/>
      <c r="B695"/>
      <c r="C695"/>
      <c r="D695"/>
      <c r="E695"/>
      <c r="F695"/>
      <c r="G695" s="4"/>
      <c r="I695"/>
      <c r="J695"/>
      <c r="K695"/>
      <c r="L695"/>
    </row>
    <row r="696" spans="1:12" s="1" customFormat="1" x14ac:dyDescent="0.25">
      <c r="A696"/>
      <c r="B696"/>
      <c r="C696"/>
      <c r="D696"/>
      <c r="E696"/>
      <c r="F696"/>
      <c r="G696" s="4"/>
      <c r="I696"/>
      <c r="J696"/>
      <c r="K696"/>
      <c r="L696"/>
    </row>
    <row r="697" spans="1:12" s="1" customFormat="1" x14ac:dyDescent="0.25">
      <c r="A697"/>
      <c r="B697"/>
      <c r="C697"/>
      <c r="D697"/>
      <c r="E697"/>
      <c r="F697"/>
      <c r="G697" s="4"/>
      <c r="I697"/>
      <c r="J697"/>
      <c r="K697"/>
      <c r="L697"/>
    </row>
    <row r="698" spans="1:12" s="1" customFormat="1" x14ac:dyDescent="0.25">
      <c r="A698"/>
      <c r="B698"/>
      <c r="C698"/>
      <c r="D698"/>
      <c r="E698"/>
      <c r="F698"/>
      <c r="G698" s="4"/>
      <c r="I698"/>
      <c r="J698"/>
      <c r="K698"/>
      <c r="L698"/>
    </row>
    <row r="699" spans="1:12" s="1" customFormat="1" x14ac:dyDescent="0.25">
      <c r="A699"/>
      <c r="B699"/>
      <c r="C699"/>
      <c r="D699"/>
      <c r="E699"/>
      <c r="F699"/>
      <c r="G699" s="4"/>
      <c r="I699"/>
      <c r="J699"/>
      <c r="K699"/>
      <c r="L699"/>
    </row>
    <row r="700" spans="1:12" s="1" customFormat="1" x14ac:dyDescent="0.25">
      <c r="A700"/>
      <c r="B700"/>
      <c r="C700"/>
      <c r="D700"/>
      <c r="E700"/>
      <c r="F700"/>
      <c r="G700" s="4"/>
      <c r="I700"/>
      <c r="J700"/>
      <c r="K700"/>
      <c r="L700"/>
    </row>
    <row r="701" spans="1:12" s="1" customFormat="1" x14ac:dyDescent="0.25">
      <c r="A701"/>
      <c r="B701"/>
      <c r="C701"/>
      <c r="D701"/>
      <c r="E701"/>
      <c r="F701"/>
      <c r="G701" s="4"/>
      <c r="I701"/>
      <c r="J701"/>
      <c r="K701"/>
      <c r="L701"/>
    </row>
    <row r="702" spans="1:12" s="1" customFormat="1" x14ac:dyDescent="0.25">
      <c r="A702"/>
      <c r="B702"/>
      <c r="C702"/>
      <c r="D702"/>
      <c r="E702"/>
      <c r="F702"/>
      <c r="G702" s="4"/>
      <c r="I702"/>
      <c r="J702"/>
      <c r="K702"/>
      <c r="L702"/>
    </row>
    <row r="703" spans="1:12" s="1" customFormat="1" x14ac:dyDescent="0.25">
      <c r="A703"/>
      <c r="B703"/>
      <c r="C703"/>
      <c r="D703"/>
      <c r="E703"/>
      <c r="F703"/>
      <c r="G703" s="4"/>
      <c r="I703"/>
      <c r="J703"/>
      <c r="K703"/>
      <c r="L703"/>
    </row>
    <row r="704" spans="1:12" s="1" customFormat="1" x14ac:dyDescent="0.25">
      <c r="A704"/>
      <c r="B704"/>
      <c r="C704"/>
      <c r="D704"/>
      <c r="E704"/>
      <c r="F704"/>
      <c r="G704" s="4"/>
      <c r="I704"/>
      <c r="J704"/>
      <c r="K704"/>
      <c r="L704"/>
    </row>
    <row r="705" spans="1:12" s="1" customFormat="1" x14ac:dyDescent="0.25">
      <c r="A705"/>
      <c r="B705"/>
      <c r="C705"/>
      <c r="D705"/>
      <c r="E705"/>
      <c r="F705"/>
      <c r="G705" s="4"/>
      <c r="I705"/>
      <c r="J705"/>
      <c r="K705"/>
      <c r="L705"/>
    </row>
    <row r="706" spans="1:12" s="1" customFormat="1" x14ac:dyDescent="0.25">
      <c r="A706"/>
      <c r="B706"/>
      <c r="C706"/>
      <c r="D706"/>
      <c r="E706"/>
      <c r="F706"/>
      <c r="G706" s="4"/>
      <c r="I706"/>
      <c r="J706"/>
      <c r="K706"/>
      <c r="L706"/>
    </row>
    <row r="707" spans="1:12" s="1" customFormat="1" x14ac:dyDescent="0.25">
      <c r="A707"/>
      <c r="B707"/>
      <c r="C707"/>
      <c r="D707"/>
      <c r="E707"/>
      <c r="F707"/>
      <c r="G707" s="4"/>
      <c r="I707"/>
      <c r="J707"/>
      <c r="K707"/>
      <c r="L707"/>
    </row>
    <row r="708" spans="1:12" s="1" customFormat="1" x14ac:dyDescent="0.25">
      <c r="A708"/>
      <c r="B708"/>
      <c r="C708"/>
      <c r="D708"/>
      <c r="E708"/>
      <c r="F708"/>
      <c r="G708" s="4"/>
      <c r="I708"/>
      <c r="J708"/>
      <c r="K708"/>
      <c r="L708"/>
    </row>
    <row r="709" spans="1:12" s="1" customFormat="1" x14ac:dyDescent="0.25">
      <c r="A709"/>
      <c r="B709"/>
      <c r="C709"/>
      <c r="D709"/>
      <c r="E709"/>
      <c r="F709"/>
      <c r="G709" s="4"/>
      <c r="I709"/>
      <c r="J709"/>
      <c r="K709"/>
      <c r="L709"/>
    </row>
    <row r="710" spans="1:12" s="1" customFormat="1" x14ac:dyDescent="0.25">
      <c r="A710"/>
      <c r="B710"/>
      <c r="C710"/>
      <c r="D710"/>
      <c r="E710"/>
      <c r="F710"/>
      <c r="G710" s="4"/>
      <c r="I710"/>
      <c r="J710"/>
      <c r="K710"/>
      <c r="L710"/>
    </row>
    <row r="711" spans="1:12" s="1" customFormat="1" x14ac:dyDescent="0.25">
      <c r="A711"/>
      <c r="B711"/>
      <c r="C711"/>
      <c r="D711"/>
      <c r="E711"/>
      <c r="F711"/>
      <c r="G711" s="4"/>
      <c r="I711"/>
      <c r="J711"/>
      <c r="K711"/>
      <c r="L711"/>
    </row>
    <row r="712" spans="1:12" s="1" customFormat="1" x14ac:dyDescent="0.25">
      <c r="A712"/>
      <c r="B712"/>
      <c r="C712"/>
      <c r="D712"/>
      <c r="E712"/>
      <c r="F712"/>
      <c r="G712" s="4"/>
      <c r="I712"/>
      <c r="J712"/>
      <c r="K712"/>
      <c r="L712"/>
    </row>
    <row r="713" spans="1:12" s="1" customFormat="1" x14ac:dyDescent="0.25">
      <c r="A713"/>
      <c r="B713"/>
      <c r="C713"/>
      <c r="D713"/>
      <c r="E713"/>
      <c r="F713"/>
      <c r="G713" s="4"/>
      <c r="I713"/>
      <c r="J713"/>
      <c r="K713"/>
      <c r="L713"/>
    </row>
    <row r="714" spans="1:12" s="1" customFormat="1" x14ac:dyDescent="0.25">
      <c r="A714"/>
      <c r="B714"/>
      <c r="C714"/>
      <c r="D714"/>
      <c r="E714"/>
      <c r="F714"/>
      <c r="G714" s="4"/>
      <c r="I714"/>
      <c r="J714"/>
      <c r="K714"/>
      <c r="L714"/>
    </row>
    <row r="715" spans="1:12" s="1" customFormat="1" x14ac:dyDescent="0.25">
      <c r="A715"/>
      <c r="B715"/>
      <c r="C715"/>
      <c r="D715"/>
      <c r="E715"/>
      <c r="F715"/>
      <c r="G715" s="4"/>
      <c r="I715"/>
      <c r="J715"/>
      <c r="K715"/>
      <c r="L715"/>
    </row>
    <row r="716" spans="1:12" s="1" customFormat="1" x14ac:dyDescent="0.25">
      <c r="A716"/>
      <c r="B716"/>
      <c r="C716"/>
      <c r="D716"/>
      <c r="E716"/>
      <c r="F716"/>
      <c r="G716" s="4"/>
      <c r="I716"/>
      <c r="J716"/>
      <c r="K716"/>
      <c r="L716"/>
    </row>
    <row r="717" spans="1:12" s="1" customFormat="1" x14ac:dyDescent="0.25">
      <c r="A717"/>
      <c r="B717"/>
      <c r="C717"/>
      <c r="D717"/>
      <c r="E717"/>
      <c r="F717"/>
      <c r="G717" s="4"/>
      <c r="I717"/>
      <c r="J717"/>
      <c r="K717"/>
      <c r="L717"/>
    </row>
    <row r="718" spans="1:12" s="1" customFormat="1" x14ac:dyDescent="0.25">
      <c r="A718"/>
      <c r="B718"/>
      <c r="C718"/>
      <c r="D718"/>
      <c r="E718"/>
      <c r="F718"/>
      <c r="G718" s="4"/>
      <c r="I718"/>
      <c r="J718"/>
      <c r="K718"/>
      <c r="L718"/>
    </row>
    <row r="719" spans="1:12" s="1" customFormat="1" x14ac:dyDescent="0.25">
      <c r="A719"/>
      <c r="B719"/>
      <c r="C719"/>
      <c r="D719"/>
      <c r="E719"/>
      <c r="F719"/>
      <c r="G719" s="4"/>
      <c r="I719"/>
      <c r="J719"/>
      <c r="K719"/>
      <c r="L719"/>
    </row>
    <row r="720" spans="1:12" s="1" customFormat="1" x14ac:dyDescent="0.25">
      <c r="A720"/>
      <c r="B720"/>
      <c r="C720"/>
      <c r="D720"/>
      <c r="E720"/>
      <c r="F720"/>
      <c r="G720" s="4"/>
      <c r="I720"/>
      <c r="J720"/>
      <c r="K720"/>
      <c r="L720"/>
    </row>
    <row r="721" spans="1:12" s="1" customFormat="1" x14ac:dyDescent="0.25">
      <c r="A721"/>
      <c r="B721"/>
      <c r="C721"/>
      <c r="D721"/>
      <c r="E721"/>
      <c r="F721"/>
      <c r="G721" s="4"/>
      <c r="I721"/>
      <c r="J721"/>
      <c r="K721"/>
      <c r="L721"/>
    </row>
    <row r="722" spans="1:12" s="1" customFormat="1" x14ac:dyDescent="0.25">
      <c r="A722"/>
      <c r="B722"/>
      <c r="C722"/>
      <c r="D722"/>
      <c r="E722"/>
      <c r="F722"/>
      <c r="G722" s="4"/>
      <c r="I722"/>
      <c r="J722"/>
      <c r="K722"/>
      <c r="L722"/>
    </row>
    <row r="723" spans="1:12" s="1" customFormat="1" x14ac:dyDescent="0.25">
      <c r="A723"/>
      <c r="B723"/>
      <c r="C723"/>
      <c r="D723"/>
      <c r="E723"/>
      <c r="F723"/>
      <c r="G723" s="4"/>
      <c r="I723"/>
      <c r="J723"/>
      <c r="K723"/>
      <c r="L723"/>
    </row>
    <row r="724" spans="1:12" s="1" customFormat="1" x14ac:dyDescent="0.25">
      <c r="A724"/>
      <c r="B724"/>
      <c r="C724"/>
      <c r="D724"/>
      <c r="E724"/>
      <c r="F724"/>
      <c r="G724" s="4"/>
      <c r="I724"/>
      <c r="J724"/>
      <c r="K724"/>
      <c r="L724"/>
    </row>
    <row r="725" spans="1:12" s="1" customFormat="1" x14ac:dyDescent="0.25">
      <c r="A725"/>
      <c r="B725"/>
      <c r="C725"/>
      <c r="D725"/>
      <c r="E725"/>
      <c r="F725"/>
      <c r="G725" s="4"/>
      <c r="I725"/>
      <c r="J725"/>
      <c r="K725"/>
      <c r="L725"/>
    </row>
    <row r="726" spans="1:12" s="1" customFormat="1" x14ac:dyDescent="0.25">
      <c r="A726"/>
      <c r="B726"/>
      <c r="C726"/>
      <c r="D726"/>
      <c r="E726"/>
      <c r="F726"/>
      <c r="G726" s="4"/>
      <c r="I726"/>
      <c r="J726"/>
      <c r="K726"/>
      <c r="L726"/>
    </row>
    <row r="727" spans="1:12" s="1" customFormat="1" x14ac:dyDescent="0.25">
      <c r="A727"/>
      <c r="B727"/>
      <c r="C727"/>
      <c r="D727"/>
      <c r="E727"/>
      <c r="F727"/>
      <c r="G727" s="4"/>
      <c r="I727"/>
      <c r="J727"/>
      <c r="K727"/>
      <c r="L727"/>
    </row>
    <row r="728" spans="1:12" s="1" customFormat="1" x14ac:dyDescent="0.25">
      <c r="A728"/>
      <c r="B728"/>
      <c r="C728"/>
      <c r="D728"/>
      <c r="E728"/>
      <c r="F728"/>
      <c r="G728" s="4"/>
      <c r="I728"/>
      <c r="J728"/>
      <c r="K728"/>
      <c r="L728"/>
    </row>
    <row r="729" spans="1:12" s="1" customFormat="1" x14ac:dyDescent="0.25">
      <c r="A729"/>
      <c r="B729"/>
      <c r="C729"/>
      <c r="D729"/>
      <c r="E729"/>
      <c r="F729"/>
      <c r="G729" s="4"/>
      <c r="I729"/>
      <c r="J729"/>
      <c r="K729"/>
      <c r="L729"/>
    </row>
    <row r="730" spans="1:12" s="1" customFormat="1" x14ac:dyDescent="0.25">
      <c r="A730"/>
      <c r="B730"/>
      <c r="C730"/>
      <c r="D730"/>
      <c r="E730"/>
      <c r="F730"/>
      <c r="G730" s="4"/>
      <c r="I730"/>
      <c r="J730"/>
      <c r="K730"/>
      <c r="L730"/>
    </row>
    <row r="731" spans="1:12" s="1" customFormat="1" x14ac:dyDescent="0.25">
      <c r="A731"/>
      <c r="B731"/>
      <c r="C731"/>
      <c r="D731"/>
      <c r="E731"/>
      <c r="F731"/>
      <c r="G731" s="4"/>
      <c r="I731"/>
      <c r="J731"/>
      <c r="K731"/>
      <c r="L731"/>
    </row>
    <row r="732" spans="1:12" s="1" customFormat="1" x14ac:dyDescent="0.25">
      <c r="A732"/>
      <c r="B732"/>
      <c r="C732"/>
      <c r="D732"/>
      <c r="E732"/>
      <c r="F732"/>
      <c r="G732" s="4"/>
      <c r="I732"/>
      <c r="J732"/>
      <c r="K732"/>
      <c r="L732"/>
    </row>
    <row r="733" spans="1:12" s="1" customFormat="1" x14ac:dyDescent="0.25">
      <c r="A733"/>
      <c r="B733"/>
      <c r="C733"/>
      <c r="D733"/>
      <c r="E733"/>
      <c r="F733"/>
      <c r="G733" s="4"/>
      <c r="I733"/>
      <c r="J733"/>
      <c r="K733"/>
      <c r="L733"/>
    </row>
    <row r="734" spans="1:12" s="1" customFormat="1" x14ac:dyDescent="0.25">
      <c r="A734"/>
      <c r="B734"/>
      <c r="C734"/>
      <c r="D734"/>
      <c r="E734"/>
      <c r="F734"/>
      <c r="G734" s="4"/>
      <c r="I734"/>
      <c r="J734"/>
      <c r="K734"/>
      <c r="L734"/>
    </row>
    <row r="735" spans="1:12" s="1" customFormat="1" x14ac:dyDescent="0.25">
      <c r="A735"/>
      <c r="B735"/>
      <c r="C735"/>
      <c r="D735"/>
      <c r="E735"/>
      <c r="F735"/>
      <c r="G735" s="4"/>
      <c r="I735"/>
      <c r="J735"/>
      <c r="K735"/>
      <c r="L735"/>
    </row>
    <row r="736" spans="1:12" s="1" customFormat="1" x14ac:dyDescent="0.25">
      <c r="A736"/>
      <c r="B736"/>
      <c r="C736"/>
      <c r="D736"/>
      <c r="E736"/>
      <c r="F736"/>
      <c r="G736" s="4"/>
      <c r="I736"/>
      <c r="J736"/>
      <c r="K736"/>
      <c r="L736"/>
    </row>
    <row r="737" spans="1:12" s="1" customFormat="1" x14ac:dyDescent="0.25">
      <c r="A737"/>
      <c r="B737"/>
      <c r="C737"/>
      <c r="D737"/>
      <c r="E737"/>
      <c r="F737"/>
      <c r="G737" s="4"/>
      <c r="I737"/>
      <c r="J737"/>
      <c r="K737"/>
      <c r="L737"/>
    </row>
    <row r="738" spans="1:12" s="1" customFormat="1" x14ac:dyDescent="0.25">
      <c r="A738"/>
      <c r="B738"/>
      <c r="C738"/>
      <c r="D738"/>
      <c r="E738"/>
      <c r="F738"/>
      <c r="G738" s="4"/>
      <c r="I738"/>
      <c r="J738"/>
      <c r="K738"/>
      <c r="L738"/>
    </row>
    <row r="739" spans="1:12" s="1" customFormat="1" x14ac:dyDescent="0.25">
      <c r="A739"/>
      <c r="B739"/>
      <c r="C739"/>
      <c r="D739"/>
      <c r="E739"/>
      <c r="F739"/>
      <c r="G739" s="4"/>
      <c r="I739"/>
      <c r="J739"/>
      <c r="K739"/>
      <c r="L739"/>
    </row>
    <row r="740" spans="1:12" s="1" customFormat="1" x14ac:dyDescent="0.25">
      <c r="A740"/>
      <c r="B740"/>
      <c r="C740"/>
      <c r="D740"/>
      <c r="E740"/>
      <c r="F740"/>
      <c r="G740" s="4"/>
      <c r="I740"/>
      <c r="J740"/>
      <c r="K740"/>
      <c r="L740"/>
    </row>
    <row r="741" spans="1:12" s="1" customFormat="1" x14ac:dyDescent="0.25">
      <c r="A741"/>
      <c r="B741"/>
      <c r="C741"/>
      <c r="D741"/>
      <c r="E741"/>
      <c r="F741"/>
      <c r="G741" s="4"/>
      <c r="I741"/>
      <c r="J741"/>
      <c r="K741"/>
      <c r="L741"/>
    </row>
    <row r="742" spans="1:12" s="1" customFormat="1" x14ac:dyDescent="0.25">
      <c r="A742"/>
      <c r="B742"/>
      <c r="C742"/>
      <c r="D742"/>
      <c r="E742"/>
      <c r="F742"/>
      <c r="G742" s="4"/>
      <c r="I742"/>
      <c r="J742"/>
      <c r="K742"/>
      <c r="L742"/>
    </row>
    <row r="743" spans="1:12" s="1" customFormat="1" x14ac:dyDescent="0.25">
      <c r="A743"/>
      <c r="B743"/>
      <c r="C743"/>
      <c r="D743"/>
      <c r="E743"/>
      <c r="F743"/>
      <c r="G743" s="4"/>
      <c r="I743"/>
      <c r="J743"/>
      <c r="K743"/>
      <c r="L743"/>
    </row>
    <row r="744" spans="1:12" s="1" customFormat="1" x14ac:dyDescent="0.25">
      <c r="A744"/>
      <c r="B744"/>
      <c r="C744"/>
      <c r="D744"/>
      <c r="E744"/>
      <c r="F744"/>
      <c r="G744" s="4"/>
      <c r="I744"/>
      <c r="J744"/>
      <c r="K744"/>
      <c r="L744"/>
    </row>
    <row r="745" spans="1:12" s="1" customFormat="1" x14ac:dyDescent="0.25">
      <c r="A745"/>
      <c r="B745"/>
      <c r="C745"/>
      <c r="D745"/>
      <c r="E745"/>
      <c r="F745"/>
      <c r="G745" s="4"/>
      <c r="I745"/>
      <c r="J745"/>
      <c r="K745"/>
      <c r="L745"/>
    </row>
    <row r="746" spans="1:12" s="1" customFormat="1" x14ac:dyDescent="0.25">
      <c r="A746"/>
      <c r="B746"/>
      <c r="C746"/>
      <c r="D746"/>
      <c r="E746"/>
      <c r="F746"/>
      <c r="G746" s="4"/>
      <c r="I746"/>
      <c r="J746"/>
      <c r="K746"/>
      <c r="L746"/>
    </row>
    <row r="747" spans="1:12" s="1" customFormat="1" x14ac:dyDescent="0.25">
      <c r="A747"/>
      <c r="B747"/>
      <c r="C747"/>
      <c r="D747"/>
      <c r="E747"/>
      <c r="F747"/>
      <c r="G747" s="4"/>
      <c r="I747"/>
      <c r="J747"/>
      <c r="K747"/>
      <c r="L747"/>
    </row>
    <row r="748" spans="1:12" s="1" customFormat="1" x14ac:dyDescent="0.25">
      <c r="A748"/>
      <c r="B748"/>
      <c r="C748"/>
      <c r="D748"/>
      <c r="E748"/>
      <c r="F748"/>
      <c r="G748" s="4"/>
      <c r="I748"/>
      <c r="J748"/>
      <c r="K748"/>
      <c r="L748"/>
    </row>
    <row r="749" spans="1:12" s="1" customFormat="1" x14ac:dyDescent="0.25">
      <c r="A749"/>
      <c r="B749"/>
      <c r="C749"/>
      <c r="D749"/>
      <c r="E749"/>
      <c r="F749"/>
      <c r="G749" s="4"/>
      <c r="I749"/>
      <c r="J749"/>
      <c r="K749"/>
      <c r="L749"/>
    </row>
    <row r="750" spans="1:12" s="1" customFormat="1" x14ac:dyDescent="0.25">
      <c r="A750"/>
      <c r="B750"/>
      <c r="C750"/>
      <c r="D750"/>
      <c r="E750"/>
      <c r="F750"/>
      <c r="G750" s="4"/>
      <c r="I750"/>
      <c r="J750"/>
      <c r="K750"/>
      <c r="L750"/>
    </row>
    <row r="751" spans="1:12" s="1" customFormat="1" x14ac:dyDescent="0.25">
      <c r="A751"/>
      <c r="B751"/>
      <c r="C751"/>
      <c r="D751"/>
      <c r="E751"/>
      <c r="F751"/>
      <c r="G751" s="4"/>
      <c r="I751"/>
      <c r="J751"/>
      <c r="K751"/>
      <c r="L751"/>
    </row>
    <row r="752" spans="1:12" s="1" customFormat="1" x14ac:dyDescent="0.25">
      <c r="A752"/>
      <c r="B752"/>
      <c r="C752"/>
      <c r="D752"/>
      <c r="E752"/>
      <c r="F752"/>
      <c r="G752" s="4"/>
      <c r="I752"/>
      <c r="J752"/>
      <c r="K752"/>
      <c r="L752"/>
    </row>
    <row r="753" spans="1:12" s="1" customFormat="1" x14ac:dyDescent="0.25">
      <c r="A753"/>
      <c r="B753"/>
      <c r="C753"/>
      <c r="D753"/>
      <c r="E753"/>
      <c r="F753"/>
      <c r="G753" s="4"/>
      <c r="I753"/>
      <c r="J753"/>
      <c r="K753"/>
      <c r="L753"/>
    </row>
    <row r="754" spans="1:12" s="1" customFormat="1" x14ac:dyDescent="0.25">
      <c r="A754"/>
      <c r="B754"/>
      <c r="C754"/>
      <c r="D754"/>
      <c r="E754"/>
      <c r="F754"/>
      <c r="G754" s="4"/>
      <c r="I754"/>
      <c r="J754"/>
      <c r="K754"/>
      <c r="L754"/>
    </row>
    <row r="755" spans="1:12" s="1" customFormat="1" x14ac:dyDescent="0.25">
      <c r="A755"/>
      <c r="B755"/>
      <c r="C755"/>
      <c r="D755"/>
      <c r="E755"/>
      <c r="F755"/>
      <c r="G755" s="4"/>
      <c r="I755"/>
      <c r="J755"/>
      <c r="K755"/>
      <c r="L755"/>
    </row>
    <row r="756" spans="1:12" s="1" customFormat="1" x14ac:dyDescent="0.25">
      <c r="A756"/>
      <c r="B756"/>
      <c r="C756"/>
      <c r="D756"/>
      <c r="E756"/>
      <c r="F756"/>
      <c r="G756" s="4"/>
      <c r="I756"/>
      <c r="J756"/>
      <c r="K756"/>
      <c r="L756"/>
    </row>
    <row r="757" spans="1:12" s="1" customFormat="1" x14ac:dyDescent="0.25">
      <c r="A757"/>
      <c r="B757"/>
      <c r="C757"/>
      <c r="D757"/>
      <c r="E757"/>
      <c r="F757"/>
      <c r="G757" s="4"/>
      <c r="I757"/>
      <c r="J757"/>
      <c r="K757"/>
      <c r="L757"/>
    </row>
    <row r="758" spans="1:12" s="1" customFormat="1" x14ac:dyDescent="0.25">
      <c r="A758"/>
      <c r="B758"/>
      <c r="C758"/>
      <c r="D758"/>
      <c r="E758"/>
      <c r="F758"/>
      <c r="G758" s="4"/>
      <c r="I758"/>
      <c r="J758"/>
      <c r="K758"/>
      <c r="L758"/>
    </row>
    <row r="759" spans="1:12" s="1" customFormat="1" x14ac:dyDescent="0.25">
      <c r="A759"/>
      <c r="B759"/>
      <c r="C759"/>
      <c r="D759"/>
      <c r="E759"/>
      <c r="F759"/>
      <c r="G759" s="4"/>
      <c r="I759"/>
      <c r="J759"/>
      <c r="K759"/>
      <c r="L759"/>
    </row>
    <row r="760" spans="1:12" s="1" customFormat="1" x14ac:dyDescent="0.25">
      <c r="A760"/>
      <c r="B760"/>
      <c r="C760"/>
      <c r="D760"/>
      <c r="E760"/>
      <c r="F760"/>
      <c r="G760" s="4"/>
      <c r="I760"/>
      <c r="J760"/>
      <c r="K760"/>
      <c r="L760"/>
    </row>
    <row r="761" spans="1:12" s="1" customFormat="1" x14ac:dyDescent="0.25">
      <c r="A761"/>
      <c r="B761"/>
      <c r="C761"/>
      <c r="D761"/>
      <c r="E761"/>
      <c r="F761"/>
      <c r="G761" s="4"/>
      <c r="I761"/>
      <c r="J761"/>
      <c r="K761"/>
      <c r="L761"/>
    </row>
    <row r="762" spans="1:12" s="1" customFormat="1" x14ac:dyDescent="0.25">
      <c r="A762"/>
      <c r="B762"/>
      <c r="C762"/>
      <c r="D762"/>
      <c r="E762"/>
      <c r="F762"/>
      <c r="G762" s="4"/>
      <c r="I762"/>
      <c r="J762"/>
      <c r="K762"/>
      <c r="L762"/>
    </row>
    <row r="763" spans="1:12" s="1" customFormat="1" x14ac:dyDescent="0.25">
      <c r="A763"/>
      <c r="B763"/>
      <c r="C763"/>
      <c r="D763"/>
      <c r="E763"/>
      <c r="F763"/>
      <c r="G763" s="4"/>
      <c r="I763"/>
      <c r="J763"/>
      <c r="K763"/>
      <c r="L763"/>
    </row>
    <row r="764" spans="1:12" s="1" customFormat="1" x14ac:dyDescent="0.25">
      <c r="A764"/>
      <c r="B764"/>
      <c r="C764"/>
      <c r="D764"/>
      <c r="E764"/>
      <c r="F764"/>
      <c r="G764" s="4"/>
      <c r="I764"/>
      <c r="J764"/>
      <c r="K764"/>
      <c r="L764"/>
    </row>
    <row r="765" spans="1:12" s="1" customFormat="1" x14ac:dyDescent="0.25">
      <c r="A765"/>
      <c r="B765"/>
      <c r="C765"/>
      <c r="D765"/>
      <c r="E765"/>
      <c r="F765"/>
      <c r="G765" s="4"/>
      <c r="I765"/>
      <c r="J765"/>
      <c r="K765"/>
      <c r="L765"/>
    </row>
    <row r="766" spans="1:12" s="1" customFormat="1" x14ac:dyDescent="0.25">
      <c r="A766"/>
      <c r="B766"/>
      <c r="C766"/>
      <c r="D766"/>
      <c r="E766"/>
      <c r="F766"/>
      <c r="G766" s="4"/>
      <c r="I766"/>
      <c r="J766"/>
      <c r="K766"/>
      <c r="L766"/>
    </row>
    <row r="767" spans="1:12" s="1" customFormat="1" x14ac:dyDescent="0.25">
      <c r="A767"/>
      <c r="B767"/>
      <c r="C767"/>
      <c r="D767"/>
      <c r="E767"/>
      <c r="F767"/>
      <c r="G767" s="4"/>
      <c r="I767"/>
      <c r="J767"/>
      <c r="K767"/>
      <c r="L767"/>
    </row>
    <row r="768" spans="1:12" s="1" customFormat="1" x14ac:dyDescent="0.25">
      <c r="A768"/>
      <c r="B768"/>
      <c r="C768"/>
      <c r="D768"/>
      <c r="E768"/>
      <c r="F768"/>
      <c r="G768" s="4"/>
      <c r="I768"/>
      <c r="J768"/>
      <c r="K768"/>
      <c r="L768"/>
    </row>
    <row r="769" spans="1:12" s="1" customFormat="1" x14ac:dyDescent="0.25">
      <c r="A769"/>
      <c r="B769"/>
      <c r="C769"/>
      <c r="D769"/>
      <c r="E769"/>
      <c r="F769"/>
      <c r="G769" s="4"/>
      <c r="I769"/>
      <c r="J769"/>
      <c r="K769"/>
      <c r="L769"/>
    </row>
    <row r="770" spans="1:12" s="1" customFormat="1" x14ac:dyDescent="0.25">
      <c r="A770"/>
      <c r="B770"/>
      <c r="C770"/>
      <c r="D770"/>
      <c r="E770"/>
      <c r="F770"/>
      <c r="G770" s="4"/>
      <c r="I770"/>
      <c r="J770"/>
      <c r="K770"/>
      <c r="L770"/>
    </row>
    <row r="771" spans="1:12" s="1" customFormat="1" x14ac:dyDescent="0.25">
      <c r="A771"/>
      <c r="B771"/>
      <c r="C771"/>
      <c r="D771"/>
      <c r="E771"/>
      <c r="F771"/>
      <c r="G771" s="4"/>
      <c r="I771"/>
      <c r="J771"/>
      <c r="K771"/>
      <c r="L771"/>
    </row>
    <row r="772" spans="1:12" s="1" customFormat="1" x14ac:dyDescent="0.25">
      <c r="A772"/>
      <c r="B772"/>
      <c r="C772"/>
      <c r="D772"/>
      <c r="E772"/>
      <c r="F772"/>
      <c r="G772" s="4"/>
      <c r="I772"/>
      <c r="J772"/>
      <c r="K772"/>
      <c r="L772"/>
    </row>
    <row r="773" spans="1:12" s="1" customFormat="1" x14ac:dyDescent="0.25">
      <c r="A773"/>
      <c r="B773"/>
      <c r="C773"/>
      <c r="D773"/>
      <c r="E773"/>
      <c r="F773"/>
      <c r="G773" s="4"/>
      <c r="I773"/>
      <c r="J773"/>
      <c r="K773"/>
      <c r="L773"/>
    </row>
    <row r="774" spans="1:12" s="1" customFormat="1" x14ac:dyDescent="0.25">
      <c r="A774"/>
      <c r="B774"/>
      <c r="C774"/>
      <c r="D774"/>
      <c r="E774"/>
      <c r="F774"/>
      <c r="G774" s="4"/>
      <c r="I774"/>
      <c r="J774"/>
      <c r="K774"/>
      <c r="L774"/>
    </row>
    <row r="775" spans="1:12" s="1" customFormat="1" x14ac:dyDescent="0.25">
      <c r="A775"/>
      <c r="B775"/>
      <c r="C775"/>
      <c r="D775"/>
      <c r="E775"/>
      <c r="F775"/>
      <c r="G775" s="4"/>
      <c r="I775"/>
      <c r="J775"/>
      <c r="K775"/>
      <c r="L775"/>
    </row>
    <row r="776" spans="1:12" s="1" customFormat="1" x14ac:dyDescent="0.25">
      <c r="A776"/>
      <c r="B776"/>
      <c r="C776"/>
      <c r="D776"/>
      <c r="E776"/>
      <c r="F776"/>
      <c r="G776" s="4"/>
      <c r="I776"/>
      <c r="J776"/>
      <c r="K776"/>
      <c r="L776"/>
    </row>
    <row r="777" spans="1:12" s="1" customFormat="1" x14ac:dyDescent="0.25">
      <c r="A777"/>
      <c r="B777"/>
      <c r="C777"/>
      <c r="D777"/>
      <c r="E777"/>
      <c r="F777"/>
      <c r="G777" s="4"/>
      <c r="I777"/>
      <c r="J777"/>
      <c r="K777"/>
      <c r="L777"/>
    </row>
    <row r="778" spans="1:12" s="1" customFormat="1" x14ac:dyDescent="0.25">
      <c r="A778"/>
      <c r="B778"/>
      <c r="C778"/>
      <c r="D778"/>
      <c r="E778"/>
      <c r="F778"/>
      <c r="G778" s="4"/>
      <c r="I778"/>
      <c r="J778"/>
      <c r="K778"/>
      <c r="L778"/>
    </row>
    <row r="779" spans="1:12" s="1" customFormat="1" x14ac:dyDescent="0.25">
      <c r="A779"/>
      <c r="B779"/>
      <c r="C779"/>
      <c r="D779"/>
      <c r="E779"/>
      <c r="F779"/>
      <c r="G779" s="4"/>
      <c r="I779"/>
      <c r="J779"/>
      <c r="K779"/>
      <c r="L779"/>
    </row>
    <row r="780" spans="1:12" s="1" customFormat="1" x14ac:dyDescent="0.25">
      <c r="A780"/>
      <c r="B780"/>
      <c r="C780"/>
      <c r="D780"/>
      <c r="E780"/>
      <c r="F780"/>
      <c r="G780" s="4"/>
      <c r="I780"/>
      <c r="J780"/>
      <c r="K780"/>
      <c r="L780"/>
    </row>
    <row r="781" spans="1:12" s="1" customFormat="1" x14ac:dyDescent="0.25">
      <c r="A781"/>
      <c r="B781"/>
      <c r="C781"/>
      <c r="D781"/>
      <c r="E781"/>
      <c r="F781"/>
      <c r="G781" s="4"/>
      <c r="I781"/>
      <c r="J781"/>
      <c r="K781"/>
      <c r="L781"/>
    </row>
    <row r="782" spans="1:12" s="1" customFormat="1" x14ac:dyDescent="0.25">
      <c r="A782"/>
      <c r="B782"/>
      <c r="C782"/>
      <c r="D782"/>
      <c r="E782"/>
      <c r="F782"/>
      <c r="G782" s="4"/>
      <c r="I782"/>
      <c r="J782"/>
      <c r="K782"/>
      <c r="L782"/>
    </row>
    <row r="783" spans="1:12" s="1" customFormat="1" x14ac:dyDescent="0.25">
      <c r="A783"/>
      <c r="B783"/>
      <c r="C783"/>
      <c r="D783"/>
      <c r="E783"/>
      <c r="F783"/>
      <c r="G783" s="4"/>
      <c r="I783"/>
      <c r="J783"/>
      <c r="K783"/>
      <c r="L783"/>
    </row>
    <row r="784" spans="1:12" s="1" customFormat="1" x14ac:dyDescent="0.25">
      <c r="A784"/>
      <c r="B784"/>
      <c r="C784"/>
      <c r="D784"/>
      <c r="E784"/>
      <c r="F784"/>
      <c r="G784" s="4"/>
      <c r="I784"/>
      <c r="J784"/>
      <c r="K784"/>
      <c r="L784"/>
    </row>
    <row r="785" spans="1:12" s="1" customFormat="1" x14ac:dyDescent="0.25">
      <c r="A785"/>
      <c r="B785"/>
      <c r="C785"/>
      <c r="D785"/>
      <c r="E785"/>
      <c r="F785"/>
      <c r="G785" s="4"/>
      <c r="I785"/>
      <c r="J785"/>
      <c r="K785"/>
      <c r="L785"/>
    </row>
    <row r="786" spans="1:12" s="1" customFormat="1" x14ac:dyDescent="0.25">
      <c r="A786"/>
      <c r="B786"/>
      <c r="C786"/>
      <c r="D786"/>
      <c r="E786"/>
      <c r="F786"/>
      <c r="G786" s="4"/>
      <c r="I786"/>
      <c r="J786"/>
      <c r="K786"/>
      <c r="L786"/>
    </row>
    <row r="787" spans="1:12" s="1" customFormat="1" x14ac:dyDescent="0.25">
      <c r="A787"/>
      <c r="B787"/>
      <c r="C787"/>
      <c r="D787"/>
      <c r="E787"/>
      <c r="F787"/>
      <c r="G787" s="4"/>
      <c r="I787"/>
      <c r="J787"/>
      <c r="K787"/>
      <c r="L787"/>
    </row>
    <row r="788" spans="1:12" s="1" customFormat="1" x14ac:dyDescent="0.25">
      <c r="A788"/>
      <c r="B788"/>
      <c r="C788"/>
      <c r="D788"/>
      <c r="E788"/>
      <c r="F788"/>
      <c r="G788" s="4"/>
      <c r="I788"/>
      <c r="J788"/>
      <c r="K788"/>
      <c r="L788"/>
    </row>
    <row r="789" spans="1:12" s="1" customFormat="1" x14ac:dyDescent="0.25">
      <c r="A789"/>
      <c r="B789"/>
      <c r="C789"/>
      <c r="D789"/>
      <c r="E789"/>
      <c r="F789"/>
      <c r="G789" s="4"/>
      <c r="I789"/>
      <c r="J789"/>
      <c r="K789"/>
      <c r="L789"/>
    </row>
    <row r="790" spans="1:12" s="1" customFormat="1" x14ac:dyDescent="0.25">
      <c r="A790"/>
      <c r="B790"/>
      <c r="C790"/>
      <c r="D790"/>
      <c r="E790"/>
      <c r="F790"/>
      <c r="G790" s="4"/>
      <c r="I790"/>
      <c r="J790"/>
      <c r="K790"/>
      <c r="L790"/>
    </row>
    <row r="791" spans="1:12" s="1" customFormat="1" x14ac:dyDescent="0.25">
      <c r="A791"/>
      <c r="B791"/>
      <c r="C791"/>
      <c r="D791"/>
      <c r="E791"/>
      <c r="F791"/>
      <c r="G791" s="4"/>
      <c r="I791"/>
      <c r="J791"/>
      <c r="K791"/>
      <c r="L791"/>
    </row>
    <row r="792" spans="1:12" s="1" customFormat="1" x14ac:dyDescent="0.25">
      <c r="A792"/>
      <c r="B792"/>
      <c r="C792"/>
      <c r="D792"/>
      <c r="E792"/>
      <c r="F792"/>
      <c r="G792" s="4"/>
      <c r="I792"/>
      <c r="J792"/>
      <c r="K792"/>
      <c r="L792"/>
    </row>
    <row r="793" spans="1:12" s="1" customFormat="1" x14ac:dyDescent="0.25">
      <c r="A793"/>
      <c r="B793"/>
      <c r="C793"/>
      <c r="D793"/>
      <c r="E793"/>
      <c r="F793"/>
      <c r="G793" s="4"/>
      <c r="I793"/>
      <c r="J793"/>
      <c r="K793"/>
      <c r="L793"/>
    </row>
    <row r="794" spans="1:12" s="1" customFormat="1" x14ac:dyDescent="0.25">
      <c r="A794"/>
      <c r="B794"/>
      <c r="C794"/>
      <c r="D794"/>
      <c r="E794"/>
      <c r="F794"/>
      <c r="G794" s="4"/>
      <c r="I794"/>
      <c r="J794"/>
      <c r="K794"/>
      <c r="L794"/>
    </row>
    <row r="795" spans="1:12" s="1" customFormat="1" x14ac:dyDescent="0.25">
      <c r="A795"/>
      <c r="B795"/>
      <c r="C795"/>
      <c r="D795"/>
      <c r="E795"/>
      <c r="F795"/>
      <c r="G795" s="4"/>
      <c r="I795"/>
      <c r="J795"/>
      <c r="K795"/>
      <c r="L795"/>
    </row>
    <row r="796" spans="1:12" s="1" customFormat="1" x14ac:dyDescent="0.25">
      <c r="A796"/>
      <c r="B796"/>
      <c r="C796"/>
      <c r="D796"/>
      <c r="E796"/>
      <c r="F796"/>
      <c r="G796" s="4"/>
      <c r="I796"/>
      <c r="J796"/>
      <c r="K796"/>
      <c r="L796"/>
    </row>
    <row r="797" spans="1:12" s="1" customFormat="1" x14ac:dyDescent="0.25">
      <c r="A797"/>
      <c r="B797"/>
      <c r="C797"/>
      <c r="D797"/>
      <c r="E797"/>
      <c r="F797"/>
      <c r="G797" s="4"/>
      <c r="I797"/>
      <c r="J797"/>
      <c r="K797"/>
      <c r="L797"/>
    </row>
    <row r="798" spans="1:12" s="1" customFormat="1" x14ac:dyDescent="0.25">
      <c r="A798"/>
      <c r="B798"/>
      <c r="C798"/>
      <c r="D798"/>
      <c r="E798"/>
      <c r="F798"/>
      <c r="G798" s="4"/>
      <c r="I798"/>
      <c r="J798"/>
      <c r="K798"/>
      <c r="L798"/>
    </row>
    <row r="799" spans="1:12" s="1" customFormat="1" x14ac:dyDescent="0.25">
      <c r="A799"/>
      <c r="B799"/>
      <c r="C799"/>
      <c r="D799"/>
      <c r="E799"/>
      <c r="F799"/>
      <c r="G799" s="4"/>
      <c r="I799"/>
      <c r="J799"/>
      <c r="K799"/>
      <c r="L799"/>
    </row>
    <row r="800" spans="1:12" s="1" customFormat="1" x14ac:dyDescent="0.25">
      <c r="A800"/>
      <c r="B800"/>
      <c r="C800"/>
      <c r="D800"/>
      <c r="E800"/>
      <c r="F800"/>
      <c r="G800" s="4"/>
      <c r="I800"/>
      <c r="J800"/>
      <c r="K800"/>
      <c r="L800"/>
    </row>
    <row r="801" spans="1:12" s="1" customFormat="1" x14ac:dyDescent="0.25">
      <c r="A801"/>
      <c r="B801"/>
      <c r="C801"/>
      <c r="D801"/>
      <c r="E801"/>
      <c r="F801"/>
      <c r="G801" s="4"/>
      <c r="I801"/>
      <c r="J801"/>
      <c r="K801"/>
      <c r="L801"/>
    </row>
    <row r="802" spans="1:12" s="1" customFormat="1" x14ac:dyDescent="0.25">
      <c r="A802"/>
      <c r="B802"/>
      <c r="C802"/>
      <c r="D802"/>
      <c r="E802"/>
      <c r="F802"/>
      <c r="G802" s="4"/>
      <c r="I802"/>
      <c r="J802"/>
      <c r="K802"/>
      <c r="L802"/>
    </row>
    <row r="803" spans="1:12" s="1" customFormat="1" x14ac:dyDescent="0.25">
      <c r="A803"/>
      <c r="B803"/>
      <c r="C803"/>
      <c r="D803"/>
      <c r="E803"/>
      <c r="F803"/>
      <c r="G803" s="4"/>
      <c r="I803"/>
      <c r="J803"/>
      <c r="K803"/>
      <c r="L803"/>
    </row>
    <row r="804" spans="1:12" s="1" customFormat="1" x14ac:dyDescent="0.25">
      <c r="A804"/>
      <c r="B804"/>
      <c r="C804"/>
      <c r="D804"/>
      <c r="E804"/>
      <c r="F804"/>
      <c r="G804" s="4"/>
      <c r="I804"/>
      <c r="J804"/>
      <c r="K804"/>
      <c r="L804"/>
    </row>
    <row r="805" spans="1:12" s="1" customFormat="1" x14ac:dyDescent="0.25">
      <c r="A805"/>
      <c r="B805"/>
      <c r="C805"/>
      <c r="D805"/>
      <c r="E805"/>
      <c r="F805"/>
      <c r="G805" s="4"/>
      <c r="I805"/>
      <c r="J805"/>
      <c r="K805"/>
      <c r="L805"/>
    </row>
    <row r="806" spans="1:12" s="1" customFormat="1" x14ac:dyDescent="0.25">
      <c r="A806"/>
      <c r="B806"/>
      <c r="C806"/>
      <c r="D806"/>
      <c r="E806"/>
      <c r="F806"/>
      <c r="G806" s="4"/>
      <c r="I806"/>
      <c r="J806"/>
      <c r="K806"/>
      <c r="L806"/>
    </row>
    <row r="807" spans="1:12" s="1" customFormat="1" x14ac:dyDescent="0.25">
      <c r="A807"/>
      <c r="B807"/>
      <c r="C807"/>
      <c r="D807"/>
      <c r="E807"/>
      <c r="F807"/>
      <c r="G807" s="4"/>
      <c r="I807"/>
      <c r="J807"/>
      <c r="K807"/>
      <c r="L807"/>
    </row>
    <row r="808" spans="1:12" s="1" customFormat="1" x14ac:dyDescent="0.25">
      <c r="A808"/>
      <c r="B808"/>
      <c r="C808"/>
      <c r="D808"/>
      <c r="E808"/>
      <c r="F808"/>
      <c r="G808" s="4"/>
      <c r="I808"/>
      <c r="J808"/>
      <c r="K808"/>
      <c r="L808"/>
    </row>
    <row r="809" spans="1:12" s="1" customFormat="1" x14ac:dyDescent="0.25">
      <c r="A809"/>
      <c r="B809"/>
      <c r="C809"/>
      <c r="D809"/>
      <c r="E809"/>
      <c r="F809"/>
      <c r="G809" s="4"/>
      <c r="I809"/>
      <c r="J809"/>
      <c r="K809"/>
      <c r="L809"/>
    </row>
    <row r="810" spans="1:12" s="1" customFormat="1" x14ac:dyDescent="0.25">
      <c r="A810"/>
      <c r="B810"/>
      <c r="C810"/>
      <c r="D810"/>
      <c r="E810"/>
      <c r="F810"/>
      <c r="G810" s="4"/>
      <c r="I810"/>
      <c r="J810"/>
      <c r="K810"/>
      <c r="L810"/>
    </row>
    <row r="811" spans="1:12" s="1" customFormat="1" x14ac:dyDescent="0.25">
      <c r="A811"/>
      <c r="B811"/>
      <c r="C811"/>
      <c r="D811"/>
      <c r="E811"/>
      <c r="F811"/>
      <c r="G811" s="4"/>
      <c r="I811"/>
      <c r="J811"/>
      <c r="K811"/>
      <c r="L811"/>
    </row>
    <row r="812" spans="1:12" s="1" customFormat="1" x14ac:dyDescent="0.25">
      <c r="A812"/>
      <c r="B812"/>
      <c r="C812"/>
      <c r="D812"/>
      <c r="E812"/>
      <c r="F812"/>
      <c r="G812" s="4"/>
      <c r="I812"/>
      <c r="J812"/>
      <c r="K812"/>
      <c r="L812"/>
    </row>
    <row r="813" spans="1:12" s="1" customFormat="1" x14ac:dyDescent="0.25">
      <c r="A813"/>
      <c r="B813"/>
      <c r="C813"/>
      <c r="D813"/>
      <c r="E813"/>
      <c r="F813"/>
      <c r="G813" s="4"/>
      <c r="I813"/>
      <c r="J813"/>
      <c r="K813"/>
      <c r="L813"/>
    </row>
    <row r="814" spans="1:12" s="1" customFormat="1" x14ac:dyDescent="0.25">
      <c r="A814"/>
      <c r="B814"/>
      <c r="C814"/>
      <c r="D814"/>
      <c r="E814"/>
      <c r="F814"/>
      <c r="G814" s="4"/>
      <c r="I814"/>
      <c r="J814"/>
      <c r="K814"/>
      <c r="L814"/>
    </row>
    <row r="815" spans="1:12" s="1" customFormat="1" x14ac:dyDescent="0.25">
      <c r="A815"/>
      <c r="B815"/>
      <c r="C815"/>
      <c r="D815"/>
      <c r="E815"/>
      <c r="F815"/>
      <c r="G815" s="4"/>
      <c r="I815"/>
      <c r="J815"/>
      <c r="K815"/>
      <c r="L815"/>
    </row>
    <row r="816" spans="1:12" s="1" customFormat="1" x14ac:dyDescent="0.25">
      <c r="A816"/>
      <c r="B816"/>
      <c r="C816"/>
      <c r="D816"/>
      <c r="E816"/>
      <c r="F816"/>
      <c r="G816" s="4"/>
      <c r="I816"/>
      <c r="J816"/>
      <c r="K816"/>
      <c r="L816"/>
    </row>
    <row r="817" spans="1:12" s="1" customFormat="1" x14ac:dyDescent="0.25">
      <c r="A817"/>
      <c r="B817"/>
      <c r="C817"/>
      <c r="D817"/>
      <c r="E817"/>
      <c r="F817"/>
      <c r="G817" s="4"/>
      <c r="I817"/>
      <c r="J817"/>
      <c r="K817"/>
      <c r="L817"/>
    </row>
    <row r="818" spans="1:12" s="1" customFormat="1" x14ac:dyDescent="0.25">
      <c r="A818"/>
      <c r="B818"/>
      <c r="C818"/>
      <c r="D818"/>
      <c r="E818"/>
      <c r="F818"/>
      <c r="G818" s="4"/>
      <c r="I818"/>
      <c r="J818"/>
      <c r="K818"/>
      <c r="L818"/>
    </row>
    <row r="819" spans="1:12" s="1" customFormat="1" x14ac:dyDescent="0.25">
      <c r="A819"/>
      <c r="B819"/>
      <c r="C819"/>
      <c r="D819"/>
      <c r="E819"/>
      <c r="F819"/>
      <c r="G819" s="4"/>
      <c r="I819"/>
      <c r="J819"/>
      <c r="K819"/>
      <c r="L819"/>
    </row>
    <row r="820" spans="1:12" s="1" customFormat="1" x14ac:dyDescent="0.25">
      <c r="A820"/>
      <c r="B820"/>
      <c r="C820"/>
      <c r="D820"/>
      <c r="E820"/>
      <c r="F820"/>
      <c r="G820" s="4"/>
      <c r="I820"/>
      <c r="J820"/>
      <c r="K820"/>
      <c r="L820"/>
    </row>
    <row r="821" spans="1:12" s="1" customFormat="1" x14ac:dyDescent="0.25">
      <c r="A821"/>
      <c r="B821"/>
      <c r="C821"/>
      <c r="D821"/>
      <c r="E821"/>
      <c r="F821"/>
      <c r="G821" s="4"/>
      <c r="I821"/>
      <c r="J821"/>
      <c r="K821"/>
      <c r="L821"/>
    </row>
    <row r="822" spans="1:12" s="1" customFormat="1" x14ac:dyDescent="0.25">
      <c r="A822"/>
      <c r="B822"/>
      <c r="C822"/>
      <c r="D822"/>
      <c r="E822"/>
      <c r="F822"/>
      <c r="G822" s="4"/>
      <c r="I822"/>
      <c r="J822"/>
      <c r="K822"/>
      <c r="L822"/>
    </row>
    <row r="823" spans="1:12" s="1" customFormat="1" x14ac:dyDescent="0.25">
      <c r="A823"/>
      <c r="B823"/>
      <c r="C823"/>
      <c r="D823"/>
      <c r="E823"/>
      <c r="F823"/>
      <c r="G823" s="4"/>
      <c r="I823"/>
      <c r="J823"/>
      <c r="K823"/>
      <c r="L823"/>
    </row>
    <row r="824" spans="1:12" s="1" customFormat="1" x14ac:dyDescent="0.25">
      <c r="A824"/>
      <c r="B824"/>
      <c r="C824"/>
      <c r="D824"/>
      <c r="E824"/>
      <c r="F824"/>
      <c r="G824" s="4"/>
      <c r="I824"/>
      <c r="J824"/>
      <c r="K824"/>
      <c r="L824"/>
    </row>
    <row r="825" spans="1:12" s="1" customFormat="1" x14ac:dyDescent="0.25">
      <c r="A825"/>
      <c r="B825"/>
      <c r="C825"/>
      <c r="D825"/>
      <c r="E825"/>
      <c r="F825"/>
      <c r="G825" s="4"/>
      <c r="I825"/>
      <c r="J825"/>
      <c r="K825"/>
      <c r="L825"/>
    </row>
    <row r="826" spans="1:12" s="1" customFormat="1" x14ac:dyDescent="0.25">
      <c r="A826"/>
      <c r="B826"/>
      <c r="C826"/>
      <c r="D826"/>
      <c r="E826"/>
      <c r="F826"/>
      <c r="G826" s="4"/>
      <c r="I826"/>
      <c r="J826"/>
      <c r="K826"/>
      <c r="L826"/>
    </row>
    <row r="827" spans="1:12" s="1" customFormat="1" x14ac:dyDescent="0.25">
      <c r="A827"/>
      <c r="B827"/>
      <c r="C827"/>
      <c r="D827"/>
      <c r="E827"/>
      <c r="F827"/>
      <c r="G827" s="4"/>
      <c r="I827"/>
      <c r="J827"/>
      <c r="K827"/>
      <c r="L827"/>
    </row>
    <row r="828" spans="1:12" s="1" customFormat="1" x14ac:dyDescent="0.25">
      <c r="A828"/>
      <c r="B828"/>
      <c r="C828"/>
      <c r="D828"/>
      <c r="E828"/>
      <c r="F828"/>
      <c r="G828" s="4"/>
      <c r="I828"/>
      <c r="J828"/>
      <c r="K828"/>
      <c r="L828"/>
    </row>
    <row r="829" spans="1:12" s="1" customFormat="1" x14ac:dyDescent="0.25">
      <c r="A829"/>
      <c r="B829"/>
      <c r="C829"/>
      <c r="D829"/>
      <c r="E829"/>
      <c r="F829"/>
      <c r="G829" s="4"/>
      <c r="I829"/>
      <c r="J829"/>
      <c r="K829"/>
      <c r="L829"/>
    </row>
    <row r="830" spans="1:12" s="1" customFormat="1" x14ac:dyDescent="0.25">
      <c r="A830"/>
      <c r="B830"/>
      <c r="C830"/>
      <c r="D830"/>
      <c r="E830"/>
      <c r="F830"/>
      <c r="G830" s="4"/>
      <c r="I830"/>
      <c r="J830"/>
      <c r="K830"/>
      <c r="L830"/>
    </row>
    <row r="831" spans="1:12" s="1" customFormat="1" x14ac:dyDescent="0.25">
      <c r="A831"/>
      <c r="B831"/>
      <c r="C831"/>
      <c r="D831"/>
      <c r="E831"/>
      <c r="F831"/>
      <c r="G831" s="4"/>
      <c r="I831"/>
      <c r="J831"/>
      <c r="K831"/>
      <c r="L831"/>
    </row>
    <row r="832" spans="1:12" s="1" customFormat="1" x14ac:dyDescent="0.25">
      <c r="A832"/>
      <c r="B832"/>
      <c r="C832"/>
      <c r="D832"/>
      <c r="E832"/>
      <c r="F832"/>
      <c r="G832" s="4"/>
      <c r="I832"/>
      <c r="J832"/>
      <c r="K832"/>
      <c r="L832"/>
    </row>
    <row r="833" spans="1:12" s="1" customFormat="1" x14ac:dyDescent="0.25">
      <c r="A833"/>
      <c r="B833"/>
      <c r="C833"/>
      <c r="D833"/>
      <c r="E833"/>
      <c r="F833"/>
      <c r="G833" s="4"/>
      <c r="I833"/>
      <c r="J833"/>
      <c r="K833"/>
      <c r="L833"/>
    </row>
    <row r="834" spans="1:12" s="1" customFormat="1" x14ac:dyDescent="0.25">
      <c r="A834"/>
      <c r="B834"/>
      <c r="C834"/>
      <c r="D834"/>
      <c r="E834"/>
      <c r="F834"/>
      <c r="G834" s="4"/>
      <c r="I834"/>
      <c r="J834"/>
      <c r="K834"/>
      <c r="L834"/>
    </row>
    <row r="835" spans="1:12" s="1" customFormat="1" x14ac:dyDescent="0.25">
      <c r="A835"/>
      <c r="B835"/>
      <c r="C835"/>
      <c r="D835"/>
      <c r="E835"/>
      <c r="F835"/>
      <c r="G835" s="4"/>
      <c r="I835"/>
      <c r="J835"/>
      <c r="K835"/>
      <c r="L835"/>
    </row>
    <row r="836" spans="1:12" s="1" customFormat="1" x14ac:dyDescent="0.25">
      <c r="A836"/>
      <c r="B836"/>
      <c r="C836"/>
      <c r="D836"/>
      <c r="E836"/>
      <c r="F836"/>
      <c r="G836" s="4"/>
      <c r="I836"/>
      <c r="J836"/>
      <c r="K836"/>
      <c r="L836"/>
    </row>
    <row r="837" spans="1:12" s="1" customFormat="1" x14ac:dyDescent="0.25">
      <c r="A837"/>
      <c r="B837"/>
      <c r="C837"/>
      <c r="D837"/>
      <c r="E837"/>
      <c r="F837"/>
      <c r="G837" s="4"/>
      <c r="I837"/>
      <c r="J837"/>
      <c r="K837"/>
      <c r="L837"/>
    </row>
    <row r="838" spans="1:12" s="1" customFormat="1" x14ac:dyDescent="0.25">
      <c r="A838"/>
      <c r="B838"/>
      <c r="C838"/>
      <c r="D838"/>
      <c r="E838"/>
      <c r="F838"/>
      <c r="G838" s="4"/>
      <c r="I838"/>
      <c r="J838"/>
      <c r="K838"/>
      <c r="L838"/>
    </row>
    <row r="839" spans="1:12" s="1" customFormat="1" x14ac:dyDescent="0.25">
      <c r="A839"/>
      <c r="B839"/>
      <c r="C839"/>
      <c r="D839"/>
      <c r="E839"/>
      <c r="F839"/>
      <c r="G839" s="4"/>
      <c r="I839"/>
      <c r="J839"/>
      <c r="K839"/>
      <c r="L839"/>
    </row>
    <row r="840" spans="1:12" s="1" customFormat="1" x14ac:dyDescent="0.25">
      <c r="A840"/>
      <c r="B840"/>
      <c r="C840"/>
      <c r="D840"/>
      <c r="E840"/>
      <c r="F840"/>
      <c r="G840" s="4"/>
      <c r="I840"/>
      <c r="J840"/>
      <c r="K840"/>
      <c r="L840"/>
    </row>
    <row r="841" spans="1:12" s="1" customFormat="1" x14ac:dyDescent="0.25">
      <c r="A841"/>
      <c r="B841"/>
      <c r="C841"/>
      <c r="D841"/>
      <c r="E841"/>
      <c r="F841"/>
      <c r="G841" s="4"/>
      <c r="I841"/>
      <c r="J841"/>
      <c r="K841"/>
      <c r="L841"/>
    </row>
    <row r="842" spans="1:12" s="1" customFormat="1" x14ac:dyDescent="0.25">
      <c r="A842"/>
      <c r="B842"/>
      <c r="C842"/>
      <c r="D842"/>
      <c r="E842"/>
      <c r="F842"/>
      <c r="G842" s="4"/>
      <c r="I842"/>
      <c r="J842"/>
      <c r="K842"/>
      <c r="L842"/>
    </row>
    <row r="843" spans="1:12" s="1" customFormat="1" x14ac:dyDescent="0.25">
      <c r="A843"/>
      <c r="B843"/>
      <c r="C843"/>
      <c r="D843"/>
      <c r="E843"/>
      <c r="F843"/>
      <c r="G843" s="4"/>
      <c r="I843"/>
      <c r="J843"/>
      <c r="K843"/>
      <c r="L843"/>
    </row>
    <row r="844" spans="1:12" s="1" customFormat="1" x14ac:dyDescent="0.25">
      <c r="A844"/>
      <c r="B844"/>
      <c r="C844"/>
      <c r="D844"/>
      <c r="E844"/>
      <c r="F844"/>
      <c r="G844" s="4"/>
      <c r="I844"/>
      <c r="J844"/>
      <c r="K844"/>
      <c r="L844"/>
    </row>
    <row r="845" spans="1:12" s="1" customFormat="1" x14ac:dyDescent="0.25">
      <c r="A845"/>
      <c r="B845"/>
      <c r="C845"/>
      <c r="D845"/>
      <c r="E845"/>
      <c r="F845"/>
      <c r="G845" s="4"/>
      <c r="I845"/>
      <c r="J845"/>
      <c r="K845"/>
      <c r="L845"/>
    </row>
    <row r="846" spans="1:12" s="1" customFormat="1" x14ac:dyDescent="0.25">
      <c r="A846"/>
      <c r="B846"/>
      <c r="C846"/>
      <c r="D846"/>
      <c r="E846"/>
      <c r="F846"/>
      <c r="G846" s="4"/>
      <c r="I846"/>
      <c r="J846"/>
      <c r="K846"/>
      <c r="L846"/>
    </row>
    <row r="847" spans="1:12" s="1" customFormat="1" x14ac:dyDescent="0.25">
      <c r="A847"/>
      <c r="B847"/>
      <c r="C847"/>
      <c r="D847"/>
      <c r="E847"/>
      <c r="F847"/>
      <c r="G847" s="4"/>
      <c r="I847"/>
      <c r="J847"/>
      <c r="K847"/>
      <c r="L847"/>
    </row>
    <row r="848" spans="1:12" s="1" customFormat="1" x14ac:dyDescent="0.25">
      <c r="A848"/>
      <c r="B848"/>
      <c r="C848"/>
      <c r="D848"/>
      <c r="E848"/>
      <c r="F848"/>
      <c r="G848" s="4"/>
      <c r="I848"/>
      <c r="J848"/>
      <c r="K848"/>
      <c r="L848"/>
    </row>
    <row r="849" spans="1:12" s="1" customFormat="1" x14ac:dyDescent="0.25">
      <c r="A849"/>
      <c r="B849"/>
      <c r="C849"/>
      <c r="D849"/>
      <c r="E849"/>
      <c r="F849"/>
      <c r="G849" s="4"/>
      <c r="I849"/>
      <c r="J849"/>
      <c r="K849"/>
      <c r="L849"/>
    </row>
    <row r="850" spans="1:12" s="1" customFormat="1" x14ac:dyDescent="0.25">
      <c r="A850"/>
      <c r="B850"/>
      <c r="C850"/>
      <c r="D850"/>
      <c r="E850"/>
      <c r="F850"/>
      <c r="G850" s="4"/>
      <c r="I850"/>
      <c r="J850"/>
      <c r="K850"/>
      <c r="L850"/>
    </row>
    <row r="851" spans="1:12" s="1" customFormat="1" x14ac:dyDescent="0.25">
      <c r="A851"/>
      <c r="B851"/>
      <c r="C851"/>
      <c r="D851"/>
      <c r="E851"/>
      <c r="F851"/>
      <c r="G851" s="4"/>
      <c r="I851"/>
      <c r="J851"/>
      <c r="K851"/>
      <c r="L851"/>
    </row>
    <row r="852" spans="1:12" s="1" customFormat="1" x14ac:dyDescent="0.25">
      <c r="A852"/>
      <c r="B852"/>
      <c r="C852"/>
      <c r="D852"/>
      <c r="E852"/>
      <c r="F852"/>
      <c r="G852" s="4"/>
      <c r="I852"/>
      <c r="J852"/>
      <c r="K852"/>
      <c r="L852"/>
    </row>
    <row r="853" spans="1:12" s="1" customFormat="1" x14ac:dyDescent="0.25">
      <c r="A853"/>
      <c r="B853"/>
      <c r="C853"/>
      <c r="D853"/>
      <c r="E853"/>
      <c r="F853"/>
      <c r="G853" s="4"/>
      <c r="I853"/>
      <c r="J853"/>
      <c r="K853"/>
      <c r="L853"/>
    </row>
    <row r="854" spans="1:12" s="1" customFormat="1" x14ac:dyDescent="0.25">
      <c r="A854"/>
      <c r="B854"/>
      <c r="C854"/>
      <c r="D854"/>
      <c r="E854"/>
      <c r="F854"/>
      <c r="G854" s="4"/>
      <c r="I854"/>
      <c r="J854"/>
      <c r="K854"/>
      <c r="L854"/>
    </row>
    <row r="855" spans="1:12" s="1" customFormat="1" x14ac:dyDescent="0.25">
      <c r="A855"/>
      <c r="B855"/>
      <c r="C855"/>
      <c r="D855"/>
      <c r="E855"/>
      <c r="F855"/>
      <c r="G855" s="4"/>
      <c r="I855"/>
      <c r="J855"/>
      <c r="K855"/>
      <c r="L855"/>
    </row>
    <row r="856" spans="1:12" s="1" customFormat="1" x14ac:dyDescent="0.25">
      <c r="A856"/>
      <c r="B856"/>
      <c r="C856"/>
      <c r="D856"/>
      <c r="E856"/>
      <c r="F856"/>
      <c r="G856" s="4"/>
      <c r="I856"/>
      <c r="J856"/>
      <c r="K856"/>
      <c r="L856"/>
    </row>
    <row r="857" spans="1:12" s="1" customFormat="1" x14ac:dyDescent="0.25">
      <c r="A857"/>
      <c r="B857"/>
      <c r="C857"/>
      <c r="D857"/>
      <c r="E857"/>
      <c r="F857"/>
      <c r="G857" s="4"/>
      <c r="I857"/>
      <c r="J857"/>
      <c r="K857"/>
      <c r="L857"/>
    </row>
    <row r="858" spans="1:12" s="1" customFormat="1" x14ac:dyDescent="0.25">
      <c r="A858"/>
      <c r="B858"/>
      <c r="C858"/>
      <c r="D858"/>
      <c r="E858"/>
      <c r="F858"/>
      <c r="G858" s="4"/>
      <c r="I858"/>
      <c r="J858"/>
      <c r="K858"/>
      <c r="L858"/>
    </row>
    <row r="859" spans="1:12" s="1" customFormat="1" x14ac:dyDescent="0.25">
      <c r="A859"/>
      <c r="B859"/>
      <c r="C859"/>
      <c r="D859"/>
      <c r="E859"/>
      <c r="F859"/>
      <c r="G859" s="4"/>
      <c r="I859"/>
      <c r="J859"/>
      <c r="K859"/>
      <c r="L859"/>
    </row>
    <row r="860" spans="1:12" s="1" customFormat="1" x14ac:dyDescent="0.25">
      <c r="A860"/>
      <c r="B860"/>
      <c r="C860"/>
      <c r="D860"/>
      <c r="E860"/>
      <c r="F860"/>
      <c r="G860" s="4"/>
      <c r="I860"/>
      <c r="J860"/>
      <c r="K860"/>
      <c r="L860"/>
    </row>
    <row r="861" spans="1:12" s="1" customFormat="1" x14ac:dyDescent="0.25">
      <c r="A861"/>
      <c r="B861"/>
      <c r="C861"/>
      <c r="D861"/>
      <c r="E861"/>
      <c r="F861"/>
      <c r="G861" s="4"/>
      <c r="I861"/>
      <c r="J861"/>
      <c r="K861"/>
      <c r="L861"/>
    </row>
    <row r="862" spans="1:12" s="1" customFormat="1" x14ac:dyDescent="0.25">
      <c r="A862"/>
      <c r="B862"/>
      <c r="C862"/>
      <c r="D862"/>
      <c r="E862"/>
      <c r="F862"/>
      <c r="G862" s="4"/>
      <c r="I862"/>
      <c r="J862"/>
      <c r="K862"/>
      <c r="L862"/>
    </row>
    <row r="863" spans="1:12" s="1" customFormat="1" x14ac:dyDescent="0.25">
      <c r="A863"/>
      <c r="B863"/>
      <c r="C863"/>
      <c r="D863"/>
      <c r="E863"/>
      <c r="F863"/>
      <c r="G863" s="4"/>
      <c r="I863"/>
      <c r="J863"/>
      <c r="K863"/>
      <c r="L863"/>
    </row>
    <row r="864" spans="1:12" s="1" customFormat="1" x14ac:dyDescent="0.25">
      <c r="A864"/>
      <c r="B864"/>
      <c r="C864"/>
      <c r="D864"/>
      <c r="E864"/>
      <c r="F864"/>
      <c r="G864" s="4"/>
      <c r="I864"/>
      <c r="J864"/>
      <c r="K864"/>
      <c r="L864"/>
    </row>
    <row r="865" spans="1:12" s="1" customFormat="1" x14ac:dyDescent="0.25">
      <c r="A865"/>
      <c r="B865"/>
      <c r="C865"/>
      <c r="D865"/>
      <c r="E865"/>
      <c r="F865"/>
      <c r="G865" s="4"/>
      <c r="I865"/>
      <c r="J865"/>
      <c r="K865"/>
      <c r="L865"/>
    </row>
    <row r="866" spans="1:12" s="1" customFormat="1" x14ac:dyDescent="0.25">
      <c r="A866"/>
      <c r="B866"/>
      <c r="C866"/>
      <c r="D866"/>
      <c r="E866"/>
      <c r="F866"/>
      <c r="G866" s="4"/>
      <c r="I866"/>
      <c r="J866"/>
      <c r="K866"/>
      <c r="L866"/>
    </row>
    <row r="867" spans="1:12" s="1" customFormat="1" x14ac:dyDescent="0.25">
      <c r="A867"/>
      <c r="B867"/>
      <c r="C867"/>
      <c r="D867"/>
      <c r="E867"/>
      <c r="F867"/>
      <c r="G867" s="4"/>
      <c r="I867"/>
      <c r="J867"/>
      <c r="K867"/>
      <c r="L867"/>
    </row>
    <row r="868" spans="1:12" s="1" customFormat="1" x14ac:dyDescent="0.25">
      <c r="A868"/>
      <c r="B868"/>
      <c r="C868"/>
      <c r="D868"/>
      <c r="E868"/>
      <c r="F868"/>
      <c r="G868" s="4"/>
      <c r="I868"/>
      <c r="J868"/>
      <c r="K868"/>
      <c r="L868"/>
    </row>
    <row r="869" spans="1:12" s="1" customFormat="1" x14ac:dyDescent="0.25">
      <c r="A869"/>
      <c r="B869"/>
      <c r="C869"/>
      <c r="D869"/>
      <c r="E869"/>
      <c r="F869"/>
      <c r="G869" s="4"/>
      <c r="I869"/>
      <c r="J869"/>
      <c r="K869"/>
      <c r="L869"/>
    </row>
    <row r="870" spans="1:12" s="1" customFormat="1" x14ac:dyDescent="0.25">
      <c r="A870"/>
      <c r="B870"/>
      <c r="C870"/>
      <c r="D870"/>
      <c r="E870"/>
      <c r="F870"/>
      <c r="G870" s="4"/>
      <c r="I870"/>
      <c r="J870"/>
      <c r="K870"/>
      <c r="L870"/>
    </row>
    <row r="871" spans="1:12" s="1" customFormat="1" x14ac:dyDescent="0.25">
      <c r="A871"/>
      <c r="B871"/>
      <c r="C871"/>
      <c r="D871"/>
      <c r="E871"/>
      <c r="F871"/>
      <c r="G871" s="4"/>
      <c r="I871"/>
      <c r="J871"/>
      <c r="K871"/>
      <c r="L871"/>
    </row>
    <row r="872" spans="1:12" s="1" customFormat="1" x14ac:dyDescent="0.25">
      <c r="A872"/>
      <c r="B872"/>
      <c r="C872"/>
      <c r="D872"/>
      <c r="E872"/>
      <c r="F872"/>
      <c r="G872" s="4"/>
      <c r="I872"/>
      <c r="J872"/>
      <c r="K872"/>
      <c r="L872"/>
    </row>
    <row r="873" spans="1:12" s="1" customFormat="1" x14ac:dyDescent="0.25">
      <c r="A873"/>
      <c r="B873"/>
      <c r="C873"/>
      <c r="D873"/>
      <c r="E873"/>
      <c r="F873"/>
      <c r="G873" s="4"/>
      <c r="I873"/>
      <c r="J873"/>
      <c r="K873"/>
      <c r="L873"/>
    </row>
    <row r="874" spans="1:12" s="1" customFormat="1" x14ac:dyDescent="0.25">
      <c r="A874"/>
      <c r="B874"/>
      <c r="C874"/>
      <c r="D874"/>
      <c r="E874"/>
      <c r="F874"/>
      <c r="G874" s="4"/>
      <c r="I874"/>
      <c r="J874"/>
      <c r="K874"/>
      <c r="L874"/>
    </row>
    <row r="875" spans="1:12" s="1" customFormat="1" x14ac:dyDescent="0.25">
      <c r="A875"/>
      <c r="B875"/>
      <c r="C875"/>
      <c r="D875"/>
      <c r="E875"/>
      <c r="F875"/>
      <c r="G875" s="4"/>
      <c r="I875"/>
      <c r="J875"/>
      <c r="K875"/>
      <c r="L875"/>
    </row>
    <row r="876" spans="1:12" s="1" customFormat="1" x14ac:dyDescent="0.25">
      <c r="A876"/>
      <c r="B876"/>
      <c r="C876"/>
      <c r="D876"/>
      <c r="E876"/>
      <c r="F876"/>
      <c r="G876" s="4"/>
      <c r="I876"/>
      <c r="J876"/>
      <c r="K876"/>
      <c r="L876"/>
    </row>
    <row r="877" spans="1:12" s="1" customFormat="1" x14ac:dyDescent="0.25">
      <c r="A877"/>
      <c r="B877"/>
      <c r="C877"/>
      <c r="D877"/>
      <c r="E877"/>
      <c r="F877"/>
      <c r="G877" s="4"/>
      <c r="I877"/>
      <c r="J877"/>
      <c r="K877"/>
      <c r="L877"/>
    </row>
    <row r="878" spans="1:12" s="1" customFormat="1" x14ac:dyDescent="0.25">
      <c r="A878"/>
      <c r="B878"/>
      <c r="C878"/>
      <c r="D878"/>
      <c r="E878"/>
      <c r="F878"/>
      <c r="G878" s="4"/>
      <c r="I878"/>
      <c r="J878"/>
      <c r="K878"/>
      <c r="L878"/>
    </row>
    <row r="879" spans="1:12" s="1" customFormat="1" x14ac:dyDescent="0.25">
      <c r="A879"/>
      <c r="B879"/>
      <c r="C879"/>
      <c r="D879"/>
      <c r="E879"/>
      <c r="F879"/>
      <c r="G879" s="4"/>
      <c r="I879"/>
      <c r="J879"/>
      <c r="K879"/>
      <c r="L879"/>
    </row>
    <row r="880" spans="1:12" s="1" customFormat="1" x14ac:dyDescent="0.25">
      <c r="A880"/>
      <c r="B880"/>
      <c r="C880"/>
      <c r="D880"/>
      <c r="E880"/>
      <c r="F880"/>
      <c r="G880" s="4"/>
      <c r="I880"/>
      <c r="J880"/>
      <c r="K880"/>
      <c r="L880"/>
    </row>
    <row r="881" spans="1:12" s="1" customFormat="1" x14ac:dyDescent="0.25">
      <c r="A881"/>
      <c r="B881"/>
      <c r="C881"/>
      <c r="D881"/>
      <c r="E881"/>
      <c r="F881"/>
      <c r="G881" s="4"/>
      <c r="I881"/>
      <c r="J881"/>
      <c r="K881"/>
      <c r="L881"/>
    </row>
    <row r="882" spans="1:12" s="1" customFormat="1" x14ac:dyDescent="0.25">
      <c r="A882"/>
      <c r="B882"/>
      <c r="C882"/>
      <c r="D882"/>
      <c r="E882"/>
      <c r="F882"/>
      <c r="G882" s="4"/>
      <c r="I882"/>
      <c r="J882"/>
      <c r="K882"/>
      <c r="L882"/>
    </row>
    <row r="883" spans="1:12" s="1" customFormat="1" x14ac:dyDescent="0.25">
      <c r="A883"/>
      <c r="B883"/>
      <c r="C883"/>
      <c r="D883"/>
      <c r="E883"/>
      <c r="F883"/>
      <c r="G883" s="4"/>
      <c r="I883"/>
      <c r="J883"/>
      <c r="K883"/>
      <c r="L883"/>
    </row>
    <row r="884" spans="1:12" s="1" customFormat="1" x14ac:dyDescent="0.25">
      <c r="A884"/>
      <c r="B884"/>
      <c r="C884"/>
      <c r="D884"/>
      <c r="E884"/>
      <c r="F884"/>
      <c r="G884" s="4"/>
      <c r="I884"/>
      <c r="J884"/>
      <c r="K884"/>
      <c r="L884"/>
    </row>
    <row r="885" spans="1:12" s="1" customFormat="1" x14ac:dyDescent="0.25">
      <c r="A885"/>
      <c r="B885"/>
      <c r="C885"/>
      <c r="D885"/>
      <c r="E885"/>
      <c r="F885"/>
      <c r="G885" s="4"/>
      <c r="I885"/>
      <c r="J885"/>
      <c r="K885"/>
      <c r="L885"/>
    </row>
    <row r="886" spans="1:12" s="1" customFormat="1" x14ac:dyDescent="0.25">
      <c r="A886"/>
      <c r="B886"/>
      <c r="C886"/>
      <c r="D886"/>
      <c r="E886"/>
      <c r="F886"/>
      <c r="G886" s="4"/>
      <c r="I886"/>
      <c r="J886"/>
      <c r="K886"/>
      <c r="L886"/>
    </row>
    <row r="887" spans="1:12" s="1" customFormat="1" x14ac:dyDescent="0.25">
      <c r="A887"/>
      <c r="B887"/>
      <c r="C887"/>
      <c r="D887"/>
      <c r="E887"/>
      <c r="F887"/>
      <c r="G887" s="4"/>
      <c r="I887"/>
      <c r="J887"/>
      <c r="K887"/>
      <c r="L887"/>
    </row>
    <row r="888" spans="1:12" s="1" customFormat="1" x14ac:dyDescent="0.25">
      <c r="A888"/>
      <c r="B888"/>
      <c r="C888"/>
      <c r="D888"/>
      <c r="E888"/>
      <c r="F888"/>
      <c r="G888" s="4"/>
      <c r="I888"/>
      <c r="J888"/>
      <c r="K888"/>
      <c r="L888"/>
    </row>
    <row r="889" spans="1:12" s="1" customFormat="1" x14ac:dyDescent="0.25">
      <c r="A889"/>
      <c r="B889"/>
      <c r="C889"/>
      <c r="D889"/>
      <c r="E889"/>
      <c r="F889"/>
      <c r="G889" s="4"/>
      <c r="I889"/>
      <c r="J889"/>
      <c r="K889"/>
      <c r="L889"/>
    </row>
    <row r="890" spans="1:12" s="1" customFormat="1" x14ac:dyDescent="0.25">
      <c r="A890"/>
      <c r="B890"/>
      <c r="C890"/>
      <c r="D890"/>
      <c r="E890"/>
      <c r="F890"/>
      <c r="G890" s="4"/>
      <c r="I890"/>
      <c r="J890"/>
      <c r="K890"/>
      <c r="L890"/>
    </row>
    <row r="891" spans="1:12" s="1" customFormat="1" x14ac:dyDescent="0.25">
      <c r="A891"/>
      <c r="B891"/>
      <c r="C891"/>
      <c r="D891"/>
      <c r="E891"/>
      <c r="F891"/>
      <c r="G891" s="4"/>
      <c r="I891"/>
      <c r="J891"/>
      <c r="K891"/>
      <c r="L891"/>
    </row>
    <row r="892" spans="1:12" s="1" customFormat="1" x14ac:dyDescent="0.25">
      <c r="A892"/>
      <c r="B892"/>
      <c r="C892"/>
      <c r="D892"/>
      <c r="E892"/>
      <c r="F892"/>
      <c r="G892" s="4"/>
      <c r="I892"/>
      <c r="J892"/>
      <c r="K892"/>
      <c r="L892"/>
    </row>
    <row r="893" spans="1:12" s="1" customFormat="1" x14ac:dyDescent="0.25">
      <c r="A893"/>
      <c r="B893"/>
      <c r="C893"/>
      <c r="D893"/>
      <c r="E893"/>
      <c r="F893"/>
      <c r="G893" s="4"/>
      <c r="I893"/>
      <c r="J893"/>
      <c r="K893"/>
      <c r="L893"/>
    </row>
    <row r="894" spans="1:12" s="1" customFormat="1" x14ac:dyDescent="0.25">
      <c r="A894"/>
      <c r="B894"/>
      <c r="C894"/>
      <c r="D894"/>
      <c r="E894"/>
      <c r="F894"/>
      <c r="G894" s="4"/>
      <c r="I894"/>
      <c r="J894"/>
      <c r="K894"/>
      <c r="L894"/>
    </row>
    <row r="895" spans="1:12" s="1" customFormat="1" x14ac:dyDescent="0.25">
      <c r="A895"/>
      <c r="B895"/>
      <c r="C895"/>
      <c r="D895"/>
      <c r="E895"/>
      <c r="F895"/>
      <c r="G895" s="4"/>
      <c r="I895"/>
      <c r="J895"/>
      <c r="K895"/>
      <c r="L895"/>
    </row>
    <row r="896" spans="1:12" s="1" customFormat="1" x14ac:dyDescent="0.25">
      <c r="A896"/>
      <c r="B896"/>
      <c r="C896"/>
      <c r="D896"/>
      <c r="E896"/>
      <c r="F896"/>
      <c r="G896" s="4"/>
      <c r="I896"/>
      <c r="J896"/>
      <c r="K896"/>
      <c r="L896"/>
    </row>
    <row r="897" spans="1:12" s="1" customFormat="1" x14ac:dyDescent="0.25">
      <c r="A897"/>
      <c r="B897"/>
      <c r="C897"/>
      <c r="D897"/>
      <c r="E897"/>
      <c r="F897"/>
      <c r="G897" s="4"/>
      <c r="I897"/>
      <c r="J897"/>
      <c r="K897"/>
      <c r="L897"/>
    </row>
    <row r="898" spans="1:12" s="1" customFormat="1" x14ac:dyDescent="0.25">
      <c r="A898"/>
      <c r="B898"/>
      <c r="C898"/>
      <c r="D898"/>
      <c r="E898"/>
      <c r="F898"/>
      <c r="G898" s="4"/>
      <c r="I898"/>
      <c r="J898"/>
      <c r="K898"/>
      <c r="L898"/>
    </row>
    <row r="899" spans="1:12" s="1" customFormat="1" x14ac:dyDescent="0.25">
      <c r="A899"/>
      <c r="B899"/>
      <c r="C899"/>
      <c r="D899"/>
      <c r="E899"/>
      <c r="F899"/>
      <c r="G899" s="4"/>
      <c r="I899"/>
      <c r="J899"/>
      <c r="K899"/>
      <c r="L899"/>
    </row>
    <row r="900" spans="1:12" s="1" customFormat="1" x14ac:dyDescent="0.25">
      <c r="A900"/>
      <c r="B900"/>
      <c r="C900"/>
      <c r="D900"/>
      <c r="E900"/>
      <c r="F900"/>
      <c r="G900" s="4"/>
      <c r="I900"/>
      <c r="J900"/>
      <c r="K900"/>
      <c r="L900"/>
    </row>
    <row r="901" spans="1:12" s="1" customFormat="1" x14ac:dyDescent="0.25">
      <c r="A901"/>
      <c r="B901"/>
      <c r="C901"/>
      <c r="D901"/>
      <c r="E901"/>
      <c r="F901"/>
      <c r="G901" s="4"/>
      <c r="I901"/>
      <c r="J901"/>
      <c r="K901"/>
      <c r="L901"/>
    </row>
    <row r="902" spans="1:12" s="1" customFormat="1" x14ac:dyDescent="0.25">
      <c r="A902"/>
      <c r="B902"/>
      <c r="C902"/>
      <c r="D902"/>
      <c r="E902"/>
      <c r="F902"/>
      <c r="G902" s="4"/>
      <c r="I902"/>
      <c r="J902"/>
      <c r="K902"/>
      <c r="L902"/>
    </row>
    <row r="903" spans="1:12" s="1" customFormat="1" x14ac:dyDescent="0.25">
      <c r="A903"/>
      <c r="B903"/>
      <c r="C903"/>
      <c r="D903"/>
      <c r="E903"/>
      <c r="F903"/>
      <c r="G903" s="4"/>
      <c r="I903"/>
      <c r="J903"/>
      <c r="K903"/>
      <c r="L903"/>
    </row>
    <row r="904" spans="1:12" s="1" customFormat="1" x14ac:dyDescent="0.25">
      <c r="A904"/>
      <c r="B904"/>
      <c r="C904"/>
      <c r="D904"/>
      <c r="E904"/>
      <c r="F904"/>
      <c r="G904" s="4"/>
      <c r="I904"/>
      <c r="J904"/>
      <c r="K904"/>
      <c r="L904"/>
    </row>
    <row r="905" spans="1:12" s="1" customFormat="1" x14ac:dyDescent="0.25">
      <c r="A905"/>
      <c r="B905"/>
      <c r="C905"/>
      <c r="D905"/>
      <c r="E905"/>
      <c r="F905"/>
      <c r="G905" s="4"/>
      <c r="I905"/>
      <c r="J905"/>
      <c r="K905"/>
      <c r="L905"/>
    </row>
    <row r="906" spans="1:12" s="1" customFormat="1" x14ac:dyDescent="0.25">
      <c r="A906"/>
      <c r="B906"/>
      <c r="C906"/>
      <c r="D906"/>
      <c r="E906"/>
      <c r="F906"/>
      <c r="G906" s="4"/>
      <c r="I906"/>
      <c r="J906"/>
      <c r="K906"/>
      <c r="L906"/>
    </row>
    <row r="907" spans="1:12" s="1" customFormat="1" x14ac:dyDescent="0.25">
      <c r="A907"/>
      <c r="B907"/>
      <c r="C907"/>
      <c r="D907"/>
      <c r="E907"/>
      <c r="F907"/>
      <c r="G907" s="4"/>
      <c r="I907"/>
      <c r="J907"/>
      <c r="K907"/>
      <c r="L907"/>
    </row>
    <row r="908" spans="1:12" s="1" customFormat="1" x14ac:dyDescent="0.25">
      <c r="A908"/>
      <c r="B908"/>
      <c r="C908"/>
      <c r="D908"/>
      <c r="E908"/>
      <c r="F908"/>
      <c r="G908" s="4"/>
      <c r="I908"/>
      <c r="J908"/>
      <c r="K908"/>
      <c r="L908"/>
    </row>
    <row r="909" spans="1:12" s="1" customFormat="1" x14ac:dyDescent="0.25">
      <c r="A909"/>
      <c r="B909"/>
      <c r="C909"/>
      <c r="D909"/>
      <c r="E909"/>
      <c r="F909"/>
      <c r="G909" s="4"/>
      <c r="I909"/>
      <c r="J909"/>
      <c r="K909"/>
      <c r="L909"/>
    </row>
    <row r="910" spans="1:12" s="1" customFormat="1" x14ac:dyDescent="0.25">
      <c r="A910"/>
      <c r="B910"/>
      <c r="C910"/>
      <c r="D910"/>
      <c r="E910"/>
      <c r="F910"/>
      <c r="G910" s="4"/>
      <c r="I910"/>
      <c r="J910"/>
      <c r="K910"/>
      <c r="L910"/>
    </row>
    <row r="911" spans="1:12" s="1" customFormat="1" x14ac:dyDescent="0.25">
      <c r="A911"/>
      <c r="B911"/>
      <c r="C911"/>
      <c r="D911"/>
      <c r="E911"/>
      <c r="F911"/>
      <c r="G911" s="4"/>
      <c r="I911"/>
      <c r="J911"/>
      <c r="K911"/>
      <c r="L911"/>
    </row>
    <row r="912" spans="1:12" s="1" customFormat="1" x14ac:dyDescent="0.25">
      <c r="A912"/>
      <c r="B912"/>
      <c r="C912"/>
      <c r="D912"/>
      <c r="E912"/>
      <c r="F912"/>
      <c r="G912" s="4"/>
      <c r="I912"/>
      <c r="J912"/>
      <c r="K912"/>
      <c r="L912"/>
    </row>
    <row r="913" spans="1:12" s="1" customFormat="1" x14ac:dyDescent="0.25">
      <c r="A913"/>
      <c r="B913"/>
      <c r="C913"/>
      <c r="D913"/>
      <c r="E913"/>
      <c r="F913"/>
      <c r="G913" s="4"/>
      <c r="I913"/>
      <c r="J913"/>
      <c r="K913"/>
      <c r="L913"/>
    </row>
    <row r="914" spans="1:12" s="1" customFormat="1" x14ac:dyDescent="0.25">
      <c r="A914"/>
      <c r="B914"/>
      <c r="C914"/>
      <c r="D914"/>
      <c r="E914"/>
      <c r="F914"/>
      <c r="G914" s="4"/>
      <c r="I914"/>
      <c r="J914"/>
      <c r="K914"/>
      <c r="L914"/>
    </row>
    <row r="915" spans="1:12" s="1" customFormat="1" x14ac:dyDescent="0.25">
      <c r="A915"/>
      <c r="B915"/>
      <c r="C915"/>
      <c r="D915"/>
      <c r="E915"/>
      <c r="F915"/>
      <c r="G915" s="4"/>
      <c r="I915"/>
      <c r="J915"/>
      <c r="K915"/>
      <c r="L915"/>
    </row>
    <row r="916" spans="1:12" s="1" customFormat="1" x14ac:dyDescent="0.25">
      <c r="A916"/>
      <c r="B916"/>
      <c r="C916"/>
      <c r="D916"/>
      <c r="E916"/>
      <c r="F916"/>
      <c r="G916" s="4"/>
      <c r="I916"/>
      <c r="J916"/>
      <c r="K916"/>
      <c r="L916"/>
    </row>
    <row r="917" spans="1:12" s="1" customFormat="1" x14ac:dyDescent="0.25">
      <c r="A917"/>
      <c r="B917"/>
      <c r="C917"/>
      <c r="D917"/>
      <c r="E917"/>
      <c r="F917"/>
      <c r="G917" s="4"/>
      <c r="I917"/>
      <c r="J917"/>
      <c r="K917"/>
      <c r="L917"/>
    </row>
    <row r="918" spans="1:12" s="1" customFormat="1" x14ac:dyDescent="0.25">
      <c r="A918"/>
      <c r="B918"/>
      <c r="C918"/>
      <c r="D918"/>
      <c r="E918"/>
      <c r="F918"/>
      <c r="G918" s="4"/>
      <c r="I918"/>
      <c r="J918"/>
      <c r="K918"/>
      <c r="L918"/>
    </row>
    <row r="919" spans="1:12" s="1" customFormat="1" x14ac:dyDescent="0.25">
      <c r="A919"/>
      <c r="B919"/>
      <c r="C919"/>
      <c r="D919"/>
      <c r="E919"/>
      <c r="F919"/>
      <c r="G919" s="4"/>
      <c r="I919"/>
      <c r="J919"/>
      <c r="K919"/>
      <c r="L919"/>
    </row>
    <row r="920" spans="1:12" s="1" customFormat="1" x14ac:dyDescent="0.25">
      <c r="A920"/>
      <c r="B920"/>
      <c r="C920"/>
      <c r="D920"/>
      <c r="E920"/>
      <c r="F920"/>
      <c r="G920" s="4"/>
      <c r="I920"/>
      <c r="J920"/>
      <c r="K920"/>
      <c r="L920"/>
    </row>
    <row r="921" spans="1:12" s="1" customFormat="1" x14ac:dyDescent="0.25">
      <c r="A921"/>
      <c r="B921"/>
      <c r="C921"/>
      <c r="D921"/>
      <c r="E921"/>
      <c r="F921"/>
      <c r="G921" s="4"/>
      <c r="I921"/>
      <c r="J921"/>
      <c r="K921"/>
      <c r="L921"/>
    </row>
    <row r="922" spans="1:12" s="1" customFormat="1" x14ac:dyDescent="0.25">
      <c r="A922"/>
      <c r="B922"/>
      <c r="C922"/>
      <c r="D922"/>
      <c r="E922"/>
      <c r="F922"/>
      <c r="G922" s="4"/>
      <c r="I922"/>
      <c r="J922"/>
      <c r="K922"/>
      <c r="L922"/>
    </row>
    <row r="923" spans="1:12" s="1" customFormat="1" x14ac:dyDescent="0.25">
      <c r="A923"/>
      <c r="B923"/>
      <c r="C923"/>
      <c r="D923"/>
      <c r="E923"/>
      <c r="F923"/>
      <c r="G923" s="4"/>
      <c r="I923"/>
      <c r="J923"/>
      <c r="K923"/>
      <c r="L923"/>
    </row>
    <row r="924" spans="1:12" s="1" customFormat="1" x14ac:dyDescent="0.25">
      <c r="A924"/>
      <c r="B924"/>
      <c r="C924"/>
      <c r="D924"/>
      <c r="E924"/>
      <c r="F924"/>
      <c r="G924" s="4"/>
      <c r="I924"/>
      <c r="J924"/>
      <c r="K924"/>
      <c r="L924"/>
    </row>
    <row r="925" spans="1:12" s="1" customFormat="1" x14ac:dyDescent="0.25">
      <c r="A925"/>
      <c r="B925"/>
      <c r="C925"/>
      <c r="D925"/>
      <c r="E925"/>
      <c r="F925"/>
      <c r="G925" s="4"/>
      <c r="I925"/>
      <c r="J925"/>
      <c r="K925"/>
      <c r="L925"/>
    </row>
    <row r="926" spans="1:12" s="1" customFormat="1" x14ac:dyDescent="0.25">
      <c r="A926"/>
      <c r="B926"/>
      <c r="C926"/>
      <c r="D926"/>
      <c r="E926"/>
      <c r="F926"/>
      <c r="G926" s="4"/>
      <c r="I926"/>
      <c r="J926"/>
      <c r="K926"/>
      <c r="L926"/>
    </row>
    <row r="927" spans="1:12" s="1" customFormat="1" x14ac:dyDescent="0.25">
      <c r="A927"/>
      <c r="B927"/>
      <c r="C927"/>
      <c r="D927"/>
      <c r="E927"/>
      <c r="F927"/>
      <c r="G927" s="4"/>
      <c r="I927"/>
      <c r="J927"/>
      <c r="K927"/>
      <c r="L927"/>
    </row>
    <row r="928" spans="1:12" s="1" customFormat="1" x14ac:dyDescent="0.25">
      <c r="A928"/>
      <c r="B928"/>
      <c r="C928"/>
      <c r="D928"/>
      <c r="E928"/>
      <c r="F928"/>
      <c r="G928" s="4"/>
      <c r="I928"/>
      <c r="J928"/>
      <c r="K928"/>
      <c r="L928"/>
    </row>
    <row r="929" spans="1:12" s="1" customFormat="1" x14ac:dyDescent="0.25">
      <c r="A929"/>
      <c r="B929"/>
      <c r="C929"/>
      <c r="D929"/>
      <c r="E929"/>
      <c r="F929"/>
      <c r="G929" s="4"/>
      <c r="I929"/>
      <c r="J929"/>
      <c r="K929"/>
      <c r="L929"/>
    </row>
    <row r="930" spans="1:12" s="1" customFormat="1" x14ac:dyDescent="0.25">
      <c r="A930"/>
      <c r="B930"/>
      <c r="C930"/>
      <c r="D930"/>
      <c r="E930"/>
      <c r="F930"/>
      <c r="G930" s="4"/>
      <c r="I930"/>
      <c r="J930"/>
      <c r="K930"/>
      <c r="L930"/>
    </row>
    <row r="931" spans="1:12" s="1" customFormat="1" x14ac:dyDescent="0.25">
      <c r="A931"/>
      <c r="B931"/>
      <c r="C931"/>
      <c r="D931"/>
      <c r="E931"/>
      <c r="F931"/>
      <c r="G931" s="4"/>
      <c r="I931"/>
      <c r="J931"/>
      <c r="K931"/>
      <c r="L931"/>
    </row>
    <row r="932" spans="1:12" s="1" customFormat="1" x14ac:dyDescent="0.25">
      <c r="A932"/>
      <c r="B932"/>
      <c r="C932"/>
      <c r="D932"/>
      <c r="E932"/>
      <c r="F932"/>
      <c r="G932" s="4"/>
      <c r="I932"/>
      <c r="J932"/>
      <c r="K932"/>
      <c r="L932"/>
    </row>
    <row r="933" spans="1:12" s="1" customFormat="1" x14ac:dyDescent="0.25">
      <c r="A933"/>
      <c r="B933"/>
      <c r="C933"/>
      <c r="D933"/>
      <c r="E933"/>
      <c r="F933"/>
      <c r="G933" s="4"/>
      <c r="I933"/>
      <c r="J933"/>
      <c r="K933"/>
      <c r="L933"/>
    </row>
    <row r="934" spans="1:12" s="1" customFormat="1" x14ac:dyDescent="0.25">
      <c r="A934"/>
      <c r="B934"/>
      <c r="C934"/>
      <c r="D934"/>
      <c r="E934"/>
      <c r="F934"/>
      <c r="G934" s="4"/>
      <c r="I934"/>
      <c r="J934"/>
      <c r="K934"/>
      <c r="L934"/>
    </row>
    <row r="935" spans="1:12" s="1" customFormat="1" x14ac:dyDescent="0.25">
      <c r="A935"/>
      <c r="B935"/>
      <c r="C935"/>
      <c r="D935"/>
      <c r="E935"/>
      <c r="F935"/>
      <c r="G935" s="4"/>
      <c r="I935"/>
      <c r="J935"/>
      <c r="K935"/>
      <c r="L935"/>
    </row>
    <row r="936" spans="1:12" s="1" customFormat="1" x14ac:dyDescent="0.25">
      <c r="A936"/>
      <c r="B936"/>
      <c r="C936"/>
      <c r="D936"/>
      <c r="E936"/>
      <c r="F936"/>
      <c r="G936" s="4"/>
      <c r="I936"/>
      <c r="J936"/>
      <c r="K936"/>
      <c r="L936"/>
    </row>
    <row r="937" spans="1:12" s="1" customFormat="1" x14ac:dyDescent="0.25">
      <c r="A937"/>
      <c r="B937"/>
      <c r="C937"/>
      <c r="D937"/>
      <c r="E937"/>
      <c r="F937"/>
      <c r="G937" s="4"/>
      <c r="I937"/>
      <c r="J937"/>
      <c r="K937"/>
      <c r="L937"/>
    </row>
    <row r="938" spans="1:12" s="1" customFormat="1" x14ac:dyDescent="0.25">
      <c r="A938"/>
      <c r="B938"/>
      <c r="C938"/>
      <c r="D938"/>
      <c r="E938"/>
      <c r="F938"/>
      <c r="G938" s="4"/>
      <c r="I938"/>
      <c r="J938"/>
      <c r="K938"/>
      <c r="L938"/>
    </row>
    <row r="939" spans="1:12" s="1" customFormat="1" x14ac:dyDescent="0.25">
      <c r="A939"/>
      <c r="B939"/>
      <c r="C939"/>
      <c r="D939"/>
      <c r="E939"/>
      <c r="F939"/>
      <c r="G939" s="4"/>
      <c r="I939"/>
      <c r="J939"/>
      <c r="K939"/>
      <c r="L939"/>
    </row>
    <row r="940" spans="1:12" s="1" customFormat="1" x14ac:dyDescent="0.25">
      <c r="A940"/>
      <c r="B940"/>
      <c r="C940"/>
      <c r="D940"/>
      <c r="E940"/>
      <c r="F940"/>
      <c r="G940" s="4"/>
      <c r="I940"/>
      <c r="J940"/>
      <c r="K940"/>
      <c r="L940"/>
    </row>
    <row r="941" spans="1:12" s="1" customFormat="1" x14ac:dyDescent="0.25">
      <c r="A941"/>
      <c r="B941"/>
      <c r="C941"/>
      <c r="D941"/>
      <c r="E941"/>
      <c r="F941"/>
      <c r="G941" s="4"/>
      <c r="I941"/>
      <c r="J941"/>
      <c r="K941"/>
      <c r="L941"/>
    </row>
    <row r="942" spans="1:12" s="1" customFormat="1" x14ac:dyDescent="0.25">
      <c r="A942"/>
      <c r="B942"/>
      <c r="C942"/>
      <c r="D942"/>
      <c r="E942"/>
      <c r="F942"/>
      <c r="G942" s="4"/>
      <c r="I942"/>
      <c r="J942"/>
      <c r="K942"/>
      <c r="L942"/>
    </row>
    <row r="943" spans="1:12" s="1" customFormat="1" x14ac:dyDescent="0.25">
      <c r="A943"/>
      <c r="B943"/>
      <c r="C943"/>
      <c r="D943"/>
      <c r="E943"/>
      <c r="F943"/>
      <c r="G943" s="4"/>
      <c r="I943"/>
      <c r="J943"/>
      <c r="K943"/>
      <c r="L943"/>
    </row>
    <row r="944" spans="1:12" s="1" customFormat="1" x14ac:dyDescent="0.25">
      <c r="A944"/>
      <c r="B944"/>
      <c r="C944"/>
      <c r="D944"/>
      <c r="E944"/>
      <c r="F944"/>
      <c r="G944" s="4"/>
      <c r="I944"/>
      <c r="J944"/>
      <c r="K944"/>
      <c r="L944"/>
    </row>
    <row r="945" spans="1:12" s="1" customFormat="1" x14ac:dyDescent="0.25">
      <c r="A945"/>
      <c r="B945"/>
      <c r="C945"/>
      <c r="D945"/>
      <c r="E945"/>
      <c r="F945"/>
      <c r="G945" s="4"/>
      <c r="I945"/>
      <c r="J945"/>
      <c r="K945"/>
      <c r="L945"/>
    </row>
    <row r="946" spans="1:12" s="1" customFormat="1" x14ac:dyDescent="0.25">
      <c r="A946"/>
      <c r="B946"/>
      <c r="C946"/>
      <c r="D946"/>
      <c r="E946"/>
      <c r="F946"/>
      <c r="G946" s="4"/>
      <c r="I946"/>
      <c r="J946"/>
      <c r="K946"/>
      <c r="L946"/>
    </row>
    <row r="947" spans="1:12" s="1" customFormat="1" x14ac:dyDescent="0.25">
      <c r="A947"/>
      <c r="B947"/>
      <c r="C947"/>
      <c r="D947"/>
      <c r="E947"/>
      <c r="F947"/>
      <c r="G947" s="4"/>
      <c r="I947"/>
      <c r="J947"/>
      <c r="K947"/>
      <c r="L947"/>
    </row>
    <row r="948" spans="1:12" s="1" customFormat="1" x14ac:dyDescent="0.25">
      <c r="A948"/>
      <c r="B948"/>
      <c r="C948"/>
      <c r="D948"/>
      <c r="E948"/>
      <c r="F948"/>
      <c r="G948" s="4"/>
      <c r="I948"/>
      <c r="J948"/>
      <c r="K948"/>
      <c r="L948"/>
    </row>
    <row r="949" spans="1:12" s="1" customFormat="1" x14ac:dyDescent="0.25">
      <c r="A949"/>
      <c r="B949"/>
      <c r="C949"/>
      <c r="D949"/>
      <c r="E949"/>
      <c r="F949"/>
      <c r="G949" s="4"/>
      <c r="I949"/>
      <c r="J949"/>
      <c r="K949"/>
      <c r="L949"/>
    </row>
    <row r="950" spans="1:12" s="1" customFormat="1" x14ac:dyDescent="0.25">
      <c r="A950"/>
      <c r="B950"/>
      <c r="C950"/>
      <c r="D950"/>
      <c r="E950"/>
      <c r="F950"/>
      <c r="G950" s="4"/>
      <c r="I950"/>
      <c r="J950"/>
      <c r="K950"/>
      <c r="L950"/>
    </row>
    <row r="951" spans="1:12" s="1" customFormat="1" x14ac:dyDescent="0.25">
      <c r="A951"/>
      <c r="B951"/>
      <c r="C951"/>
      <c r="D951"/>
      <c r="E951"/>
      <c r="F951"/>
      <c r="G951" s="4"/>
      <c r="I951"/>
      <c r="J951"/>
      <c r="K951"/>
      <c r="L951"/>
    </row>
    <row r="952" spans="1:12" s="1" customFormat="1" x14ac:dyDescent="0.25">
      <c r="A952"/>
      <c r="B952"/>
      <c r="C952"/>
      <c r="D952"/>
      <c r="E952"/>
      <c r="F952"/>
      <c r="G952" s="4"/>
      <c r="I952"/>
      <c r="J952"/>
      <c r="K952"/>
      <c r="L952"/>
    </row>
    <row r="953" spans="1:12" s="1" customFormat="1" x14ac:dyDescent="0.25">
      <c r="A953"/>
      <c r="B953"/>
      <c r="C953"/>
      <c r="D953"/>
      <c r="E953"/>
      <c r="F953"/>
      <c r="G953" s="4"/>
      <c r="I953"/>
      <c r="J953"/>
      <c r="K953"/>
      <c r="L953"/>
    </row>
    <row r="954" spans="1:12" s="1" customFormat="1" x14ac:dyDescent="0.25">
      <c r="A954"/>
      <c r="B954"/>
      <c r="C954"/>
      <c r="D954"/>
      <c r="E954"/>
      <c r="F954"/>
      <c r="G954" s="4"/>
      <c r="I954"/>
      <c r="J954"/>
      <c r="K954"/>
      <c r="L954"/>
    </row>
    <row r="955" spans="1:12" s="1" customFormat="1" x14ac:dyDescent="0.25">
      <c r="A955"/>
      <c r="B955"/>
      <c r="C955"/>
      <c r="D955"/>
      <c r="E955"/>
      <c r="F955"/>
      <c r="G955" s="4"/>
      <c r="I955"/>
      <c r="J955"/>
      <c r="K955"/>
      <c r="L955"/>
    </row>
    <row r="956" spans="1:12" s="1" customFormat="1" x14ac:dyDescent="0.25">
      <c r="A956"/>
      <c r="B956"/>
      <c r="C956"/>
      <c r="D956"/>
      <c r="E956"/>
      <c r="F956"/>
      <c r="G956" s="4"/>
      <c r="I956"/>
      <c r="J956"/>
      <c r="K956"/>
      <c r="L956"/>
    </row>
    <row r="957" spans="1:12" s="1" customFormat="1" x14ac:dyDescent="0.25">
      <c r="A957"/>
      <c r="B957"/>
      <c r="C957"/>
      <c r="D957"/>
      <c r="E957"/>
      <c r="F957"/>
      <c r="G957" s="4"/>
      <c r="I957"/>
      <c r="J957"/>
      <c r="K957"/>
      <c r="L957"/>
    </row>
    <row r="958" spans="1:12" s="1" customFormat="1" x14ac:dyDescent="0.25">
      <c r="A958"/>
      <c r="B958"/>
      <c r="C958"/>
      <c r="D958"/>
      <c r="E958"/>
      <c r="F958"/>
      <c r="G958" s="4"/>
      <c r="I958"/>
      <c r="J958"/>
      <c r="K958"/>
      <c r="L958"/>
    </row>
    <row r="959" spans="1:12" s="1" customFormat="1" x14ac:dyDescent="0.25">
      <c r="A959"/>
      <c r="B959"/>
      <c r="C959"/>
      <c r="D959"/>
      <c r="E959"/>
      <c r="F959"/>
      <c r="G959" s="4"/>
      <c r="I959"/>
      <c r="J959"/>
      <c r="K959"/>
      <c r="L959"/>
    </row>
    <row r="960" spans="1:12" s="1" customFormat="1" x14ac:dyDescent="0.25">
      <c r="A960"/>
      <c r="B960"/>
      <c r="C960"/>
      <c r="D960"/>
      <c r="E960"/>
      <c r="F960"/>
      <c r="G960" s="4"/>
      <c r="I960"/>
      <c r="J960"/>
      <c r="K960"/>
      <c r="L960"/>
    </row>
    <row r="961" spans="1:12" s="1" customFormat="1" x14ac:dyDescent="0.25">
      <c r="A961"/>
      <c r="B961"/>
      <c r="C961"/>
      <c r="D961"/>
      <c r="E961"/>
      <c r="F961"/>
      <c r="G961" s="4"/>
      <c r="I961"/>
      <c r="J961"/>
      <c r="K961"/>
      <c r="L961"/>
    </row>
    <row r="962" spans="1:12" s="1" customFormat="1" x14ac:dyDescent="0.25">
      <c r="A962"/>
      <c r="B962"/>
      <c r="C962"/>
      <c r="D962"/>
      <c r="E962"/>
      <c r="F962"/>
      <c r="G962" s="4"/>
      <c r="I962"/>
      <c r="J962"/>
      <c r="K962"/>
      <c r="L962"/>
    </row>
    <row r="963" spans="1:12" s="1" customFormat="1" x14ac:dyDescent="0.25">
      <c r="A963"/>
      <c r="B963"/>
      <c r="C963"/>
      <c r="D963"/>
      <c r="E963"/>
      <c r="F963"/>
      <c r="G963" s="4"/>
      <c r="I963"/>
      <c r="J963"/>
      <c r="K963"/>
      <c r="L963"/>
    </row>
    <row r="964" spans="1:12" s="1" customFormat="1" x14ac:dyDescent="0.25">
      <c r="A964"/>
      <c r="B964"/>
      <c r="C964"/>
      <c r="D964"/>
      <c r="E964"/>
      <c r="F964"/>
      <c r="G964" s="4"/>
      <c r="I964"/>
      <c r="J964"/>
      <c r="K964"/>
      <c r="L964"/>
    </row>
    <row r="965" spans="1:12" s="1" customFormat="1" x14ac:dyDescent="0.25">
      <c r="A965"/>
      <c r="B965"/>
      <c r="C965"/>
      <c r="D965"/>
      <c r="E965"/>
      <c r="F965"/>
      <c r="G965" s="4"/>
      <c r="I965"/>
      <c r="J965"/>
      <c r="K965"/>
      <c r="L965"/>
    </row>
    <row r="966" spans="1:12" s="1" customFormat="1" x14ac:dyDescent="0.25">
      <c r="A966"/>
      <c r="B966"/>
      <c r="C966"/>
      <c r="D966"/>
      <c r="E966"/>
      <c r="F966"/>
      <c r="G966" s="4"/>
      <c r="I966"/>
      <c r="J966"/>
      <c r="K966"/>
      <c r="L966"/>
    </row>
    <row r="967" spans="1:12" s="1" customFormat="1" x14ac:dyDescent="0.25">
      <c r="A967"/>
      <c r="B967"/>
      <c r="C967"/>
      <c r="D967"/>
      <c r="E967"/>
      <c r="F967"/>
      <c r="G967" s="4"/>
      <c r="I967"/>
      <c r="J967"/>
      <c r="K967"/>
      <c r="L967"/>
    </row>
    <row r="968" spans="1:12" s="1" customFormat="1" x14ac:dyDescent="0.25">
      <c r="A968"/>
      <c r="B968"/>
      <c r="C968"/>
      <c r="D968"/>
      <c r="E968"/>
      <c r="F968"/>
      <c r="G968" s="4"/>
      <c r="I968"/>
      <c r="J968"/>
      <c r="K968"/>
      <c r="L968"/>
    </row>
    <row r="969" spans="1:12" s="1" customFormat="1" x14ac:dyDescent="0.25">
      <c r="A969"/>
      <c r="B969"/>
      <c r="C969"/>
      <c r="D969"/>
      <c r="E969"/>
      <c r="F969"/>
      <c r="G969" s="4"/>
      <c r="I969"/>
      <c r="J969"/>
      <c r="K969"/>
      <c r="L969"/>
    </row>
    <row r="970" spans="1:12" s="1" customFormat="1" x14ac:dyDescent="0.25">
      <c r="A970"/>
      <c r="B970"/>
      <c r="C970"/>
      <c r="D970"/>
      <c r="E970"/>
      <c r="F970"/>
      <c r="G970" s="4"/>
      <c r="I970"/>
      <c r="J970"/>
      <c r="K970"/>
      <c r="L970"/>
    </row>
    <row r="971" spans="1:12" s="1" customFormat="1" x14ac:dyDescent="0.25">
      <c r="A971"/>
      <c r="B971"/>
      <c r="C971"/>
      <c r="D971"/>
      <c r="E971"/>
      <c r="F971"/>
      <c r="G971" s="4"/>
      <c r="I971"/>
      <c r="J971"/>
      <c r="K971"/>
      <c r="L971"/>
    </row>
    <row r="972" spans="1:12" s="1" customFormat="1" x14ac:dyDescent="0.25">
      <c r="A972"/>
      <c r="B972"/>
      <c r="C972"/>
      <c r="D972"/>
      <c r="E972"/>
      <c r="F972"/>
      <c r="G972" s="4"/>
      <c r="I972"/>
      <c r="J972"/>
      <c r="K972"/>
      <c r="L972"/>
    </row>
    <row r="973" spans="1:12" s="1" customFormat="1" x14ac:dyDescent="0.25">
      <c r="A973"/>
      <c r="B973"/>
      <c r="C973"/>
      <c r="D973"/>
      <c r="E973"/>
      <c r="F973"/>
      <c r="G973" s="4"/>
      <c r="I973"/>
      <c r="J973"/>
      <c r="K973"/>
      <c r="L973"/>
    </row>
    <row r="974" spans="1:12" s="1" customFormat="1" x14ac:dyDescent="0.25">
      <c r="A974"/>
      <c r="B974"/>
      <c r="C974"/>
      <c r="D974"/>
      <c r="E974"/>
      <c r="F974"/>
      <c r="G974" s="4"/>
      <c r="I974"/>
      <c r="J974"/>
      <c r="K974"/>
      <c r="L974"/>
    </row>
    <row r="975" spans="1:12" s="1" customFormat="1" x14ac:dyDescent="0.25">
      <c r="A975"/>
      <c r="B975"/>
      <c r="C975"/>
      <c r="D975"/>
      <c r="E975"/>
      <c r="F975"/>
      <c r="G975" s="4"/>
      <c r="I975"/>
      <c r="J975"/>
      <c r="K975"/>
      <c r="L975"/>
    </row>
    <row r="976" spans="1:12" s="1" customFormat="1" x14ac:dyDescent="0.25">
      <c r="A976"/>
      <c r="B976"/>
      <c r="C976"/>
      <c r="D976"/>
      <c r="E976"/>
      <c r="F976"/>
      <c r="G976" s="4"/>
      <c r="I976"/>
      <c r="J976"/>
      <c r="K976"/>
      <c r="L976"/>
    </row>
    <row r="977" spans="1:12" s="1" customFormat="1" x14ac:dyDescent="0.25">
      <c r="A977"/>
      <c r="B977"/>
      <c r="C977"/>
      <c r="D977"/>
      <c r="E977"/>
      <c r="F977"/>
      <c r="G977" s="4"/>
      <c r="I977"/>
      <c r="J977"/>
      <c r="K977"/>
      <c r="L977"/>
    </row>
    <row r="978" spans="1:12" s="1" customFormat="1" x14ac:dyDescent="0.25">
      <c r="A978"/>
      <c r="B978"/>
      <c r="C978"/>
      <c r="D978"/>
      <c r="E978"/>
      <c r="F978"/>
      <c r="G978" s="4"/>
      <c r="I978"/>
      <c r="J978"/>
      <c r="K978"/>
      <c r="L978"/>
    </row>
    <row r="979" spans="1:12" s="1" customFormat="1" x14ac:dyDescent="0.25">
      <c r="A979"/>
      <c r="B979"/>
      <c r="C979"/>
      <c r="D979"/>
      <c r="E979"/>
      <c r="F979"/>
      <c r="G979" s="4"/>
      <c r="I979"/>
      <c r="J979"/>
      <c r="K979"/>
      <c r="L979"/>
    </row>
    <row r="980" spans="1:12" s="1" customFormat="1" x14ac:dyDescent="0.25">
      <c r="A980"/>
      <c r="B980"/>
      <c r="C980"/>
      <c r="D980"/>
      <c r="E980"/>
      <c r="F980"/>
      <c r="G980" s="4"/>
      <c r="I980"/>
      <c r="J980"/>
      <c r="K980"/>
      <c r="L980"/>
    </row>
    <row r="981" spans="1:12" s="1" customFormat="1" x14ac:dyDescent="0.25">
      <c r="A981"/>
      <c r="B981"/>
      <c r="C981"/>
      <c r="D981"/>
      <c r="E981"/>
      <c r="F981"/>
      <c r="G981" s="4"/>
      <c r="I981"/>
      <c r="J981"/>
      <c r="K981"/>
      <c r="L981"/>
    </row>
    <row r="982" spans="1:12" s="1" customFormat="1" x14ac:dyDescent="0.25">
      <c r="A982"/>
      <c r="B982"/>
      <c r="C982"/>
      <c r="D982"/>
      <c r="E982"/>
      <c r="F982"/>
      <c r="G982" s="4"/>
      <c r="I982"/>
      <c r="J982"/>
      <c r="K982"/>
      <c r="L982"/>
    </row>
    <row r="983" spans="1:12" s="1" customFormat="1" x14ac:dyDescent="0.25">
      <c r="A983"/>
      <c r="B983"/>
      <c r="C983"/>
      <c r="D983"/>
      <c r="E983"/>
      <c r="F983"/>
      <c r="G983" s="4"/>
      <c r="I983"/>
      <c r="J983"/>
      <c r="K983"/>
      <c r="L983"/>
    </row>
    <row r="984" spans="1:12" s="1" customFormat="1" x14ac:dyDescent="0.25">
      <c r="A984"/>
      <c r="B984"/>
      <c r="C984"/>
      <c r="D984"/>
      <c r="E984"/>
      <c r="F984"/>
      <c r="G984" s="4"/>
      <c r="I984"/>
      <c r="J984"/>
      <c r="K984"/>
      <c r="L984"/>
    </row>
    <row r="985" spans="1:12" s="1" customFormat="1" x14ac:dyDescent="0.25">
      <c r="A985"/>
      <c r="B985"/>
      <c r="C985"/>
      <c r="D985"/>
      <c r="E985"/>
      <c r="F985"/>
      <c r="G985" s="4"/>
      <c r="I985"/>
      <c r="J985"/>
      <c r="K985"/>
      <c r="L985"/>
    </row>
    <row r="986" spans="1:12" s="1" customFormat="1" x14ac:dyDescent="0.25">
      <c r="A986"/>
      <c r="B986"/>
      <c r="C986"/>
      <c r="D986"/>
      <c r="E986"/>
      <c r="F986"/>
      <c r="G986" s="4"/>
      <c r="I986"/>
      <c r="J986"/>
      <c r="K986"/>
      <c r="L986"/>
    </row>
    <row r="987" spans="1:12" s="1" customFormat="1" x14ac:dyDescent="0.25">
      <c r="A987"/>
      <c r="B987"/>
      <c r="C987"/>
      <c r="D987"/>
      <c r="E987"/>
      <c r="F987"/>
      <c r="G987" s="4"/>
      <c r="I987"/>
      <c r="J987"/>
      <c r="K987"/>
      <c r="L987"/>
    </row>
    <row r="988" spans="1:12" s="1" customFormat="1" x14ac:dyDescent="0.25">
      <c r="A988"/>
      <c r="B988"/>
      <c r="C988"/>
      <c r="D988"/>
      <c r="E988"/>
      <c r="F988"/>
      <c r="G988" s="4"/>
      <c r="I988"/>
      <c r="J988"/>
      <c r="K988"/>
      <c r="L988"/>
    </row>
    <row r="989" spans="1:12" s="1" customFormat="1" x14ac:dyDescent="0.25">
      <c r="A989"/>
      <c r="B989"/>
      <c r="C989"/>
      <c r="D989"/>
      <c r="E989"/>
      <c r="F989"/>
      <c r="G989" s="4"/>
      <c r="I989"/>
      <c r="J989"/>
      <c r="K989"/>
      <c r="L989"/>
    </row>
    <row r="990" spans="1:12" s="1" customFormat="1" x14ac:dyDescent="0.25">
      <c r="A990"/>
      <c r="B990"/>
      <c r="C990"/>
      <c r="D990"/>
      <c r="E990"/>
      <c r="F990"/>
      <c r="G990" s="4"/>
      <c r="I990"/>
      <c r="J990"/>
      <c r="K990"/>
      <c r="L990"/>
    </row>
    <row r="991" spans="1:12" s="1" customFormat="1" x14ac:dyDescent="0.25">
      <c r="A991"/>
      <c r="B991"/>
      <c r="C991"/>
      <c r="D991"/>
      <c r="E991"/>
      <c r="F991"/>
      <c r="G991" s="4"/>
      <c r="I991"/>
      <c r="J991"/>
      <c r="K991"/>
      <c r="L991"/>
    </row>
    <row r="992" spans="1:12" s="1" customFormat="1" x14ac:dyDescent="0.25">
      <c r="A992"/>
      <c r="B992"/>
      <c r="C992"/>
      <c r="D992"/>
      <c r="E992"/>
      <c r="F992"/>
      <c r="G992" s="4"/>
      <c r="I992"/>
      <c r="J992"/>
      <c r="K992"/>
      <c r="L992"/>
    </row>
    <row r="993" spans="1:12" s="1" customFormat="1" x14ac:dyDescent="0.25">
      <c r="A993"/>
      <c r="B993"/>
      <c r="C993"/>
      <c r="D993"/>
      <c r="E993"/>
      <c r="F993"/>
      <c r="G993" s="4"/>
      <c r="I993"/>
      <c r="J993"/>
      <c r="K993"/>
      <c r="L993"/>
    </row>
    <row r="994" spans="1:12" s="1" customFormat="1" x14ac:dyDescent="0.25">
      <c r="A994"/>
      <c r="B994"/>
      <c r="C994"/>
      <c r="D994"/>
      <c r="E994"/>
      <c r="F994"/>
      <c r="G994" s="4"/>
      <c r="I994"/>
      <c r="J994"/>
      <c r="K994"/>
      <c r="L994"/>
    </row>
    <row r="995" spans="1:12" s="1" customFormat="1" x14ac:dyDescent="0.25">
      <c r="A995"/>
      <c r="B995"/>
      <c r="C995"/>
      <c r="D995"/>
      <c r="E995"/>
      <c r="F995"/>
      <c r="G995" s="4"/>
      <c r="I995"/>
      <c r="J995"/>
      <c r="K995"/>
      <c r="L995"/>
    </row>
    <row r="996" spans="1:12" s="1" customFormat="1" x14ac:dyDescent="0.25">
      <c r="A996"/>
      <c r="B996"/>
      <c r="C996"/>
      <c r="D996"/>
      <c r="E996"/>
      <c r="F996"/>
      <c r="G996" s="4"/>
      <c r="I996"/>
      <c r="J996"/>
      <c r="K996"/>
      <c r="L996"/>
    </row>
    <row r="997" spans="1:12" s="1" customFormat="1" x14ac:dyDescent="0.25">
      <c r="A997"/>
      <c r="B997"/>
      <c r="C997"/>
      <c r="D997"/>
      <c r="E997"/>
      <c r="F997"/>
      <c r="G997" s="4"/>
      <c r="I997"/>
      <c r="J997"/>
      <c r="K997"/>
      <c r="L997"/>
    </row>
    <row r="998" spans="1:12" s="1" customFormat="1" x14ac:dyDescent="0.25">
      <c r="A998"/>
      <c r="B998"/>
      <c r="C998"/>
      <c r="D998"/>
      <c r="E998"/>
      <c r="F998"/>
      <c r="G998" s="4"/>
      <c r="I998"/>
      <c r="J998"/>
      <c r="K998"/>
      <c r="L998"/>
    </row>
    <row r="999" spans="1:12" s="1" customFormat="1" x14ac:dyDescent="0.25">
      <c r="A999"/>
      <c r="B999"/>
      <c r="C999"/>
      <c r="D999"/>
      <c r="E999"/>
      <c r="F999"/>
      <c r="G999" s="4"/>
      <c r="I999"/>
      <c r="J999"/>
      <c r="K999"/>
      <c r="L999"/>
    </row>
    <row r="1000" spans="1:12" s="1" customFormat="1" x14ac:dyDescent="0.25">
      <c r="A1000"/>
      <c r="B1000"/>
      <c r="C1000"/>
      <c r="D1000"/>
      <c r="E1000"/>
      <c r="F1000"/>
      <c r="G1000" s="4"/>
      <c r="I1000"/>
      <c r="J1000"/>
      <c r="K1000"/>
      <c r="L1000"/>
    </row>
    <row r="1001" spans="1:12" s="1" customFormat="1" x14ac:dyDescent="0.25">
      <c r="A1001"/>
      <c r="B1001"/>
      <c r="C1001"/>
      <c r="D1001"/>
      <c r="E1001"/>
      <c r="F1001"/>
      <c r="G1001" s="4"/>
      <c r="I1001"/>
      <c r="J1001"/>
      <c r="K1001"/>
      <c r="L1001"/>
    </row>
    <row r="1002" spans="1:12" s="1" customFormat="1" x14ac:dyDescent="0.25">
      <c r="A1002"/>
      <c r="B1002"/>
      <c r="C1002"/>
      <c r="D1002"/>
      <c r="E1002"/>
      <c r="F1002"/>
      <c r="G1002" s="4"/>
      <c r="I1002"/>
      <c r="J1002"/>
      <c r="K1002"/>
      <c r="L1002"/>
    </row>
    <row r="1003" spans="1:12" s="1" customFormat="1" x14ac:dyDescent="0.25">
      <c r="A1003"/>
      <c r="B1003"/>
      <c r="C1003"/>
      <c r="D1003"/>
      <c r="E1003"/>
      <c r="F1003"/>
      <c r="G1003" s="4"/>
      <c r="I1003"/>
      <c r="J1003"/>
      <c r="K1003"/>
      <c r="L1003"/>
    </row>
    <row r="1004" spans="1:12" s="1" customFormat="1" x14ac:dyDescent="0.25">
      <c r="A1004"/>
      <c r="B1004"/>
      <c r="C1004"/>
      <c r="D1004"/>
      <c r="E1004"/>
      <c r="F1004"/>
      <c r="G1004" s="4"/>
      <c r="I1004"/>
      <c r="J1004"/>
      <c r="K1004"/>
      <c r="L1004"/>
    </row>
    <row r="1005" spans="1:12" s="1" customFormat="1" x14ac:dyDescent="0.25">
      <c r="A1005"/>
      <c r="B1005"/>
      <c r="C1005"/>
      <c r="D1005"/>
      <c r="E1005"/>
      <c r="F1005"/>
      <c r="G1005" s="4"/>
      <c r="I1005"/>
      <c r="J1005"/>
      <c r="K1005"/>
      <c r="L1005"/>
    </row>
    <row r="1006" spans="1:12" s="1" customFormat="1" x14ac:dyDescent="0.25">
      <c r="A1006"/>
      <c r="B1006"/>
      <c r="C1006"/>
      <c r="D1006"/>
      <c r="E1006"/>
      <c r="F1006"/>
      <c r="G1006" s="4"/>
      <c r="I1006"/>
      <c r="J1006"/>
      <c r="K1006"/>
      <c r="L1006"/>
    </row>
    <row r="1007" spans="1:12" s="1" customFormat="1" x14ac:dyDescent="0.25">
      <c r="A1007"/>
      <c r="B1007"/>
      <c r="C1007"/>
      <c r="D1007"/>
      <c r="E1007"/>
      <c r="F1007"/>
      <c r="G1007" s="4"/>
      <c r="I1007"/>
      <c r="J1007"/>
      <c r="K1007"/>
      <c r="L1007"/>
    </row>
    <row r="1008" spans="1:12" s="1" customFormat="1" x14ac:dyDescent="0.25">
      <c r="A1008"/>
      <c r="B1008"/>
      <c r="C1008"/>
      <c r="D1008"/>
      <c r="E1008"/>
      <c r="F1008"/>
      <c r="G1008" s="4"/>
      <c r="I1008"/>
      <c r="J1008"/>
      <c r="K1008"/>
      <c r="L1008"/>
    </row>
    <row r="1009" spans="1:12" s="1" customFormat="1" x14ac:dyDescent="0.25">
      <c r="A1009"/>
      <c r="B1009"/>
      <c r="C1009"/>
      <c r="D1009"/>
      <c r="E1009"/>
      <c r="F1009"/>
      <c r="G1009" s="4"/>
      <c r="I1009"/>
      <c r="J1009"/>
      <c r="K1009"/>
      <c r="L1009"/>
    </row>
    <row r="1010" spans="1:12" s="1" customFormat="1" x14ac:dyDescent="0.25">
      <c r="A1010"/>
      <c r="B1010"/>
      <c r="C1010"/>
      <c r="D1010"/>
      <c r="E1010"/>
      <c r="F1010"/>
      <c r="G1010" s="4"/>
      <c r="I1010"/>
      <c r="J1010"/>
      <c r="K1010"/>
      <c r="L1010"/>
    </row>
    <row r="1011" spans="1:12" s="1" customFormat="1" x14ac:dyDescent="0.25">
      <c r="A1011"/>
      <c r="B1011"/>
      <c r="C1011"/>
      <c r="D1011"/>
      <c r="E1011"/>
      <c r="F1011"/>
      <c r="G1011" s="4"/>
      <c r="I1011"/>
      <c r="J1011"/>
      <c r="K1011"/>
      <c r="L1011"/>
    </row>
    <row r="1012" spans="1:12" s="1" customFormat="1" x14ac:dyDescent="0.25">
      <c r="A1012"/>
      <c r="B1012"/>
      <c r="C1012"/>
      <c r="D1012"/>
      <c r="E1012"/>
      <c r="F1012"/>
      <c r="G1012" s="4"/>
      <c r="I1012"/>
      <c r="J1012"/>
      <c r="K1012"/>
      <c r="L1012"/>
    </row>
    <row r="1013" spans="1:12" s="1" customFormat="1" x14ac:dyDescent="0.25">
      <c r="A1013"/>
      <c r="B1013"/>
      <c r="C1013"/>
      <c r="D1013"/>
      <c r="E1013"/>
      <c r="F1013"/>
      <c r="G1013" s="4"/>
      <c r="I1013"/>
      <c r="J1013"/>
      <c r="K1013"/>
      <c r="L1013"/>
    </row>
    <row r="1014" spans="1:12" s="1" customFormat="1" x14ac:dyDescent="0.25">
      <c r="A1014"/>
      <c r="B1014"/>
      <c r="C1014"/>
      <c r="D1014"/>
      <c r="E1014"/>
      <c r="F1014"/>
      <c r="G1014" s="4"/>
      <c r="I1014"/>
      <c r="J1014"/>
      <c r="K1014"/>
      <c r="L1014"/>
    </row>
    <row r="1015" spans="1:12" s="1" customFormat="1" x14ac:dyDescent="0.25">
      <c r="A1015"/>
      <c r="B1015"/>
      <c r="C1015"/>
      <c r="D1015"/>
      <c r="E1015"/>
      <c r="F1015"/>
      <c r="G1015" s="4"/>
      <c r="I1015"/>
      <c r="J1015"/>
      <c r="K1015"/>
      <c r="L1015"/>
    </row>
    <row r="1016" spans="1:12" s="1" customFormat="1" x14ac:dyDescent="0.25">
      <c r="A1016"/>
      <c r="B1016"/>
      <c r="C1016"/>
      <c r="D1016"/>
      <c r="E1016"/>
      <c r="F1016"/>
      <c r="G1016" s="4"/>
      <c r="I1016"/>
      <c r="J1016"/>
      <c r="K1016"/>
      <c r="L1016"/>
    </row>
    <row r="1017" spans="1:12" s="1" customFormat="1" x14ac:dyDescent="0.25">
      <c r="A1017"/>
      <c r="B1017"/>
      <c r="C1017"/>
      <c r="D1017"/>
      <c r="E1017"/>
      <c r="F1017"/>
      <c r="G1017" s="4"/>
      <c r="I1017"/>
      <c r="J1017"/>
      <c r="K1017"/>
      <c r="L1017"/>
    </row>
    <row r="1018" spans="1:12" s="1" customFormat="1" x14ac:dyDescent="0.25">
      <c r="A1018"/>
      <c r="B1018"/>
      <c r="C1018"/>
      <c r="D1018"/>
      <c r="E1018"/>
      <c r="F1018"/>
      <c r="G1018" s="4"/>
      <c r="I1018"/>
      <c r="J1018"/>
      <c r="K1018"/>
      <c r="L1018"/>
    </row>
    <row r="1019" spans="1:12" s="1" customFormat="1" x14ac:dyDescent="0.25">
      <c r="A1019"/>
      <c r="B1019"/>
      <c r="C1019"/>
      <c r="D1019"/>
      <c r="E1019"/>
      <c r="F1019"/>
      <c r="G1019" s="4"/>
      <c r="I1019"/>
      <c r="J1019"/>
      <c r="K1019"/>
      <c r="L1019"/>
    </row>
    <row r="1020" spans="1:12" s="1" customFormat="1" x14ac:dyDescent="0.25">
      <c r="A1020"/>
      <c r="B1020"/>
      <c r="C1020"/>
      <c r="D1020"/>
      <c r="E1020"/>
      <c r="F1020"/>
      <c r="G1020" s="4"/>
      <c r="I1020"/>
      <c r="J1020"/>
      <c r="K1020"/>
      <c r="L1020"/>
    </row>
    <row r="1021" spans="1:12" s="1" customFormat="1" x14ac:dyDescent="0.25">
      <c r="A1021"/>
      <c r="B1021"/>
      <c r="C1021"/>
      <c r="D1021"/>
      <c r="E1021"/>
      <c r="F1021"/>
      <c r="G1021" s="4"/>
      <c r="I1021"/>
      <c r="J1021"/>
      <c r="K1021"/>
      <c r="L1021"/>
    </row>
    <row r="1022" spans="1:12" s="1" customFormat="1" x14ac:dyDescent="0.25">
      <c r="A1022"/>
      <c r="B1022"/>
      <c r="C1022"/>
      <c r="D1022"/>
      <c r="E1022"/>
      <c r="F1022"/>
      <c r="G1022" s="4"/>
      <c r="I1022"/>
      <c r="J1022"/>
      <c r="K1022"/>
      <c r="L1022"/>
    </row>
    <row r="1023" spans="1:12" s="1" customFormat="1" x14ac:dyDescent="0.25">
      <c r="A1023"/>
      <c r="B1023"/>
      <c r="C1023"/>
      <c r="D1023"/>
      <c r="E1023"/>
      <c r="F1023"/>
      <c r="G1023" s="4"/>
      <c r="I1023"/>
      <c r="J1023"/>
      <c r="K1023"/>
      <c r="L1023"/>
    </row>
    <row r="1024" spans="1:12" s="1" customFormat="1" x14ac:dyDescent="0.25">
      <c r="A1024"/>
      <c r="B1024"/>
      <c r="C1024"/>
      <c r="D1024"/>
      <c r="E1024"/>
      <c r="F1024"/>
      <c r="G1024" s="4"/>
      <c r="I1024"/>
      <c r="J1024"/>
      <c r="K1024"/>
      <c r="L1024"/>
    </row>
    <row r="1025" spans="1:12" s="1" customFormat="1" x14ac:dyDescent="0.25">
      <c r="A1025"/>
      <c r="B1025"/>
      <c r="C1025"/>
      <c r="D1025"/>
      <c r="E1025"/>
      <c r="F1025"/>
      <c r="G1025" s="4"/>
      <c r="I1025"/>
      <c r="J1025"/>
      <c r="K1025"/>
      <c r="L1025"/>
    </row>
    <row r="1026" spans="1:12" s="1" customFormat="1" x14ac:dyDescent="0.25">
      <c r="A1026"/>
      <c r="B1026"/>
      <c r="C1026"/>
      <c r="D1026"/>
      <c r="E1026"/>
      <c r="F1026"/>
      <c r="G1026" s="4"/>
      <c r="I1026"/>
      <c r="J1026"/>
      <c r="K1026"/>
      <c r="L1026"/>
    </row>
    <row r="1027" spans="1:12" s="1" customFormat="1" x14ac:dyDescent="0.25">
      <c r="A1027"/>
      <c r="B1027"/>
      <c r="C1027"/>
      <c r="D1027"/>
      <c r="E1027"/>
      <c r="F1027"/>
      <c r="G1027" s="4"/>
      <c r="I1027"/>
      <c r="J1027"/>
      <c r="K1027"/>
      <c r="L1027"/>
    </row>
    <row r="1028" spans="1:12" s="1" customFormat="1" x14ac:dyDescent="0.25">
      <c r="A1028"/>
      <c r="B1028"/>
      <c r="C1028"/>
      <c r="D1028"/>
      <c r="E1028"/>
      <c r="F1028"/>
      <c r="G1028" s="4"/>
      <c r="I1028"/>
      <c r="J1028"/>
      <c r="K1028"/>
      <c r="L1028"/>
    </row>
    <row r="1029" spans="1:12" s="1" customFormat="1" x14ac:dyDescent="0.25">
      <c r="A1029"/>
      <c r="B1029"/>
      <c r="C1029"/>
      <c r="D1029"/>
      <c r="E1029"/>
      <c r="F1029"/>
      <c r="G1029" s="4"/>
      <c r="I1029"/>
      <c r="J1029"/>
      <c r="K1029"/>
      <c r="L1029"/>
    </row>
    <row r="1030" spans="1:12" s="1" customFormat="1" x14ac:dyDescent="0.25">
      <c r="A1030"/>
      <c r="B1030"/>
      <c r="C1030"/>
      <c r="D1030"/>
      <c r="E1030"/>
      <c r="F1030"/>
      <c r="G1030" s="4"/>
      <c r="I1030"/>
      <c r="J1030"/>
      <c r="K1030"/>
      <c r="L1030"/>
    </row>
    <row r="1031" spans="1:12" s="1" customFormat="1" x14ac:dyDescent="0.25">
      <c r="A1031"/>
      <c r="B1031"/>
      <c r="C1031"/>
      <c r="D1031"/>
      <c r="E1031"/>
      <c r="F1031"/>
      <c r="G1031" s="4"/>
      <c r="I1031"/>
      <c r="J1031"/>
      <c r="K1031"/>
      <c r="L1031"/>
    </row>
    <row r="1032" spans="1:12" s="1" customFormat="1" x14ac:dyDescent="0.25">
      <c r="A1032"/>
      <c r="B1032"/>
      <c r="C1032"/>
      <c r="D1032"/>
      <c r="E1032"/>
      <c r="F1032"/>
      <c r="G1032" s="4"/>
      <c r="I1032"/>
      <c r="J1032"/>
      <c r="K1032"/>
      <c r="L1032"/>
    </row>
    <row r="1033" spans="1:12" s="1" customFormat="1" x14ac:dyDescent="0.25">
      <c r="A1033"/>
      <c r="B1033"/>
      <c r="C1033"/>
      <c r="D1033"/>
      <c r="E1033"/>
      <c r="F1033"/>
      <c r="G1033" s="4"/>
      <c r="I1033"/>
      <c r="J1033"/>
      <c r="K1033"/>
      <c r="L1033"/>
    </row>
    <row r="1034" spans="1:12" s="1" customFormat="1" x14ac:dyDescent="0.25">
      <c r="A1034"/>
      <c r="B1034"/>
      <c r="C1034"/>
      <c r="D1034"/>
      <c r="E1034"/>
      <c r="F1034"/>
      <c r="G1034" s="4"/>
      <c r="I1034"/>
      <c r="J1034"/>
      <c r="K1034"/>
      <c r="L1034"/>
    </row>
    <row r="1035" spans="1:12" s="1" customFormat="1" x14ac:dyDescent="0.25">
      <c r="A1035"/>
      <c r="B1035"/>
      <c r="C1035"/>
      <c r="D1035"/>
      <c r="E1035"/>
      <c r="F1035"/>
      <c r="G1035" s="4"/>
      <c r="I1035"/>
      <c r="J1035"/>
      <c r="K1035"/>
      <c r="L1035"/>
    </row>
    <row r="1036" spans="1:12" s="1" customFormat="1" x14ac:dyDescent="0.25">
      <c r="A1036"/>
      <c r="B1036"/>
      <c r="C1036"/>
      <c r="D1036"/>
      <c r="E1036"/>
      <c r="F1036"/>
      <c r="G1036" s="4"/>
      <c r="I1036"/>
      <c r="J1036"/>
      <c r="K1036"/>
      <c r="L1036"/>
    </row>
    <row r="1037" spans="1:12" s="1" customFormat="1" x14ac:dyDescent="0.25">
      <c r="A1037"/>
      <c r="B1037"/>
      <c r="C1037"/>
      <c r="D1037"/>
      <c r="E1037"/>
      <c r="F1037"/>
      <c r="G1037" s="4"/>
      <c r="I1037"/>
      <c r="J1037"/>
      <c r="K1037"/>
      <c r="L1037"/>
    </row>
    <row r="1038" spans="1:12" s="1" customFormat="1" x14ac:dyDescent="0.25">
      <c r="A1038"/>
      <c r="B1038"/>
      <c r="C1038"/>
      <c r="D1038"/>
      <c r="E1038"/>
      <c r="F1038"/>
      <c r="G1038" s="4"/>
      <c r="I1038"/>
      <c r="J1038"/>
      <c r="K1038"/>
      <c r="L1038"/>
    </row>
    <row r="1039" spans="1:12" s="1" customFormat="1" x14ac:dyDescent="0.25">
      <c r="A1039"/>
      <c r="B1039"/>
      <c r="C1039"/>
      <c r="D1039"/>
      <c r="E1039"/>
      <c r="F1039"/>
      <c r="G1039" s="4"/>
      <c r="I1039"/>
      <c r="J1039"/>
      <c r="K1039"/>
      <c r="L1039"/>
    </row>
    <row r="1040" spans="1:12" s="1" customFormat="1" x14ac:dyDescent="0.25">
      <c r="A1040"/>
      <c r="B1040"/>
      <c r="C1040"/>
      <c r="D1040"/>
      <c r="E1040"/>
      <c r="F1040"/>
      <c r="G1040" s="4"/>
      <c r="I1040"/>
      <c r="J1040"/>
      <c r="K1040"/>
      <c r="L1040"/>
    </row>
    <row r="1041" spans="1:12" s="1" customFormat="1" x14ac:dyDescent="0.25">
      <c r="A1041"/>
      <c r="B1041"/>
      <c r="C1041"/>
      <c r="D1041"/>
      <c r="E1041"/>
      <c r="F1041"/>
      <c r="G1041" s="4"/>
      <c r="I1041"/>
      <c r="J1041"/>
      <c r="K1041"/>
      <c r="L1041"/>
    </row>
    <row r="1042" spans="1:12" s="1" customFormat="1" x14ac:dyDescent="0.25">
      <c r="A1042"/>
      <c r="B1042"/>
      <c r="C1042"/>
      <c r="D1042"/>
      <c r="E1042"/>
      <c r="F1042"/>
      <c r="G1042" s="4"/>
      <c r="I1042"/>
      <c r="J1042"/>
      <c r="K1042"/>
      <c r="L1042"/>
    </row>
    <row r="1043" spans="1:12" s="1" customFormat="1" x14ac:dyDescent="0.25">
      <c r="A1043"/>
      <c r="B1043"/>
      <c r="C1043"/>
      <c r="D1043"/>
      <c r="E1043"/>
      <c r="F1043"/>
      <c r="G1043" s="4"/>
      <c r="I1043"/>
      <c r="J1043"/>
      <c r="K1043"/>
      <c r="L1043"/>
    </row>
    <row r="1044" spans="1:12" s="1" customFormat="1" x14ac:dyDescent="0.25">
      <c r="A1044"/>
      <c r="B1044"/>
      <c r="C1044"/>
      <c r="D1044"/>
      <c r="E1044"/>
      <c r="F1044"/>
      <c r="G1044" s="4"/>
      <c r="I1044"/>
      <c r="J1044"/>
      <c r="K1044"/>
      <c r="L1044"/>
    </row>
    <row r="1045" spans="1:12" s="1" customFormat="1" x14ac:dyDescent="0.25">
      <c r="A1045"/>
      <c r="B1045"/>
      <c r="C1045"/>
      <c r="D1045"/>
      <c r="E1045"/>
      <c r="F1045"/>
      <c r="G1045" s="4"/>
      <c r="I1045"/>
      <c r="J1045"/>
      <c r="K1045"/>
      <c r="L1045"/>
    </row>
    <row r="1046" spans="1:12" s="1" customFormat="1" x14ac:dyDescent="0.25">
      <c r="A1046"/>
      <c r="B1046"/>
      <c r="C1046"/>
      <c r="D1046"/>
      <c r="E1046"/>
      <c r="F1046"/>
      <c r="G1046" s="4"/>
      <c r="I1046"/>
      <c r="J1046"/>
      <c r="K1046"/>
      <c r="L1046"/>
    </row>
    <row r="1047" spans="1:12" s="1" customFormat="1" x14ac:dyDescent="0.25">
      <c r="A1047"/>
      <c r="B1047"/>
      <c r="C1047"/>
      <c r="D1047"/>
      <c r="E1047"/>
      <c r="F1047"/>
      <c r="G1047" s="4"/>
      <c r="I1047"/>
      <c r="J1047"/>
      <c r="K1047"/>
      <c r="L1047"/>
    </row>
    <row r="1048" spans="1:12" s="1" customFormat="1" x14ac:dyDescent="0.25">
      <c r="A1048"/>
      <c r="B1048"/>
      <c r="C1048"/>
      <c r="D1048"/>
      <c r="E1048"/>
      <c r="F1048"/>
      <c r="G1048" s="4"/>
      <c r="I1048"/>
      <c r="J1048"/>
      <c r="K1048"/>
      <c r="L1048"/>
    </row>
    <row r="1049" spans="1:12" s="1" customFormat="1" x14ac:dyDescent="0.25">
      <c r="A1049"/>
      <c r="B1049"/>
      <c r="C1049"/>
      <c r="D1049"/>
      <c r="E1049"/>
      <c r="F1049"/>
      <c r="G1049" s="4"/>
      <c r="I1049"/>
      <c r="J1049"/>
      <c r="K1049"/>
      <c r="L1049"/>
    </row>
    <row r="1050" spans="1:12" s="1" customFormat="1" x14ac:dyDescent="0.25">
      <c r="A1050"/>
      <c r="B1050"/>
      <c r="C1050"/>
      <c r="D1050"/>
      <c r="E1050"/>
      <c r="F1050"/>
      <c r="G1050" s="4"/>
      <c r="I1050"/>
      <c r="J1050"/>
      <c r="K1050"/>
      <c r="L1050"/>
    </row>
    <row r="1051" spans="1:12" s="1" customFormat="1" x14ac:dyDescent="0.25">
      <c r="A1051"/>
      <c r="B1051"/>
      <c r="C1051"/>
      <c r="D1051"/>
      <c r="E1051"/>
      <c r="F1051"/>
      <c r="G1051" s="4"/>
      <c r="I1051"/>
      <c r="J1051"/>
      <c r="K1051"/>
      <c r="L1051"/>
    </row>
    <row r="1052" spans="1:12" s="1" customFormat="1" x14ac:dyDescent="0.25">
      <c r="A1052"/>
      <c r="B1052"/>
      <c r="C1052"/>
      <c r="D1052"/>
      <c r="E1052"/>
      <c r="F1052"/>
      <c r="G1052" s="4"/>
      <c r="I1052"/>
      <c r="J1052"/>
      <c r="K1052"/>
      <c r="L1052"/>
    </row>
    <row r="1053" spans="1:12" s="1" customFormat="1" x14ac:dyDescent="0.25">
      <c r="A1053"/>
      <c r="B1053"/>
      <c r="C1053"/>
      <c r="D1053"/>
      <c r="E1053"/>
      <c r="F1053"/>
      <c r="G1053" s="4"/>
      <c r="I1053"/>
      <c r="J1053"/>
      <c r="K1053"/>
      <c r="L1053"/>
    </row>
    <row r="1054" spans="1:12" s="1" customFormat="1" x14ac:dyDescent="0.25">
      <c r="A1054"/>
      <c r="B1054"/>
      <c r="C1054"/>
      <c r="D1054"/>
      <c r="E1054"/>
      <c r="F1054"/>
      <c r="G1054" s="4"/>
      <c r="I1054"/>
      <c r="J1054"/>
      <c r="K1054"/>
      <c r="L1054"/>
    </row>
    <row r="1055" spans="1:12" s="1" customFormat="1" x14ac:dyDescent="0.25">
      <c r="A1055"/>
      <c r="B1055"/>
      <c r="C1055"/>
      <c r="D1055"/>
      <c r="E1055"/>
      <c r="F1055"/>
      <c r="G1055" s="4"/>
      <c r="I1055"/>
      <c r="J1055"/>
      <c r="K1055"/>
      <c r="L1055"/>
    </row>
    <row r="1056" spans="1:12" s="1" customFormat="1" x14ac:dyDescent="0.25">
      <c r="A1056"/>
      <c r="B1056"/>
      <c r="C1056"/>
      <c r="D1056"/>
      <c r="E1056"/>
      <c r="F1056"/>
      <c r="G1056" s="4"/>
      <c r="I1056"/>
      <c r="J1056"/>
      <c r="K1056"/>
      <c r="L1056"/>
    </row>
    <row r="1057" spans="1:12" s="1" customFormat="1" x14ac:dyDescent="0.25">
      <c r="A1057"/>
      <c r="B1057"/>
      <c r="C1057"/>
      <c r="D1057"/>
      <c r="E1057"/>
      <c r="F1057"/>
      <c r="G1057" s="4"/>
      <c r="I1057"/>
      <c r="J1057"/>
      <c r="K1057"/>
      <c r="L1057"/>
    </row>
    <row r="1058" spans="1:12" s="1" customFormat="1" x14ac:dyDescent="0.25">
      <c r="A1058"/>
      <c r="B1058"/>
      <c r="C1058"/>
      <c r="D1058"/>
      <c r="E1058"/>
      <c r="F1058"/>
      <c r="G1058" s="4"/>
      <c r="I1058"/>
      <c r="J1058"/>
      <c r="K1058"/>
      <c r="L1058"/>
    </row>
    <row r="1059" spans="1:12" s="1" customFormat="1" x14ac:dyDescent="0.25">
      <c r="A1059"/>
      <c r="B1059"/>
      <c r="C1059"/>
      <c r="D1059"/>
      <c r="E1059"/>
      <c r="F1059"/>
      <c r="G1059" s="4"/>
      <c r="I1059"/>
      <c r="J1059"/>
      <c r="K1059"/>
      <c r="L1059"/>
    </row>
    <row r="1060" spans="1:12" s="1" customFormat="1" x14ac:dyDescent="0.25">
      <c r="A1060"/>
      <c r="B1060"/>
      <c r="C1060"/>
      <c r="D1060"/>
      <c r="E1060"/>
      <c r="F1060"/>
      <c r="G1060" s="4"/>
      <c r="I1060"/>
      <c r="J1060"/>
      <c r="K1060"/>
      <c r="L1060"/>
    </row>
    <row r="1061" spans="1:12" s="1" customFormat="1" x14ac:dyDescent="0.25">
      <c r="A1061"/>
      <c r="B1061"/>
      <c r="C1061"/>
      <c r="D1061"/>
      <c r="E1061"/>
      <c r="F1061"/>
      <c r="G1061" s="4"/>
      <c r="I1061"/>
      <c r="J1061"/>
      <c r="K1061"/>
      <c r="L1061"/>
    </row>
    <row r="1062" spans="1:12" s="1" customFormat="1" x14ac:dyDescent="0.25">
      <c r="A1062"/>
      <c r="B1062"/>
      <c r="C1062"/>
      <c r="D1062"/>
      <c r="E1062"/>
      <c r="F1062"/>
      <c r="G1062" s="4"/>
      <c r="I1062"/>
      <c r="J1062"/>
      <c r="K1062"/>
      <c r="L1062"/>
    </row>
    <row r="1063" spans="1:12" s="1" customFormat="1" x14ac:dyDescent="0.25">
      <c r="A1063"/>
      <c r="B1063"/>
      <c r="C1063"/>
      <c r="D1063"/>
      <c r="E1063"/>
      <c r="F1063"/>
      <c r="G1063" s="4"/>
      <c r="I1063"/>
      <c r="J1063"/>
      <c r="K1063"/>
      <c r="L1063"/>
    </row>
    <row r="1064" spans="1:12" s="1" customFormat="1" x14ac:dyDescent="0.25">
      <c r="A1064"/>
      <c r="B1064"/>
      <c r="C1064"/>
      <c r="D1064"/>
      <c r="E1064"/>
      <c r="F1064"/>
      <c r="G1064" s="4"/>
      <c r="I1064"/>
      <c r="J1064"/>
      <c r="K1064"/>
      <c r="L1064"/>
    </row>
    <row r="1065" spans="1:12" s="1" customFormat="1" x14ac:dyDescent="0.25">
      <c r="A1065"/>
      <c r="B1065"/>
      <c r="C1065"/>
      <c r="D1065"/>
      <c r="E1065"/>
      <c r="F1065"/>
      <c r="G1065" s="4"/>
      <c r="I1065"/>
      <c r="J1065"/>
      <c r="K1065"/>
      <c r="L1065"/>
    </row>
    <row r="1066" spans="1:12" s="1" customFormat="1" x14ac:dyDescent="0.25">
      <c r="A1066"/>
      <c r="B1066"/>
      <c r="C1066"/>
      <c r="D1066"/>
      <c r="E1066"/>
      <c r="F1066"/>
      <c r="G1066" s="4"/>
      <c r="I1066"/>
      <c r="J1066"/>
      <c r="K1066"/>
      <c r="L1066"/>
    </row>
    <row r="1067" spans="1:12" s="1" customFormat="1" x14ac:dyDescent="0.25">
      <c r="A1067"/>
      <c r="B1067"/>
      <c r="C1067"/>
      <c r="D1067"/>
      <c r="E1067"/>
      <c r="F1067"/>
      <c r="G1067" s="4"/>
      <c r="I1067"/>
      <c r="J1067"/>
      <c r="K1067"/>
      <c r="L1067"/>
    </row>
    <row r="1068" spans="1:12" s="1" customFormat="1" x14ac:dyDescent="0.25">
      <c r="A1068"/>
      <c r="B1068"/>
      <c r="C1068"/>
      <c r="D1068"/>
      <c r="E1068"/>
      <c r="F1068"/>
      <c r="G1068" s="4"/>
      <c r="I1068"/>
      <c r="J1068"/>
      <c r="K1068"/>
      <c r="L1068"/>
    </row>
    <row r="1069" spans="1:12" s="1" customFormat="1" x14ac:dyDescent="0.25">
      <c r="A1069"/>
      <c r="B1069"/>
      <c r="C1069"/>
      <c r="D1069"/>
      <c r="E1069"/>
      <c r="F1069"/>
      <c r="G1069" s="4"/>
      <c r="I1069"/>
      <c r="J1069"/>
      <c r="K1069"/>
      <c r="L1069"/>
    </row>
    <row r="1070" spans="1:12" s="1" customFormat="1" x14ac:dyDescent="0.25">
      <c r="A1070"/>
      <c r="B1070"/>
      <c r="C1070"/>
      <c r="D1070"/>
      <c r="E1070"/>
      <c r="F1070"/>
      <c r="G1070" s="4"/>
      <c r="I1070"/>
      <c r="J1070"/>
      <c r="K1070"/>
      <c r="L1070"/>
    </row>
    <row r="1071" spans="1:12" s="1" customFormat="1" x14ac:dyDescent="0.25">
      <c r="A1071"/>
      <c r="B1071"/>
      <c r="C1071"/>
      <c r="D1071"/>
      <c r="E1071"/>
      <c r="F1071"/>
      <c r="G1071" s="4"/>
      <c r="I1071"/>
      <c r="J1071"/>
      <c r="K1071"/>
      <c r="L1071"/>
    </row>
    <row r="1072" spans="1:12" s="1" customFormat="1" x14ac:dyDescent="0.25">
      <c r="A1072"/>
      <c r="B1072"/>
      <c r="C1072"/>
      <c r="D1072"/>
      <c r="E1072"/>
      <c r="F1072"/>
      <c r="G1072" s="4"/>
      <c r="I1072"/>
      <c r="J1072"/>
      <c r="K1072"/>
      <c r="L1072"/>
    </row>
    <row r="1073" spans="1:12" s="1" customFormat="1" x14ac:dyDescent="0.25">
      <c r="A1073"/>
      <c r="B1073"/>
      <c r="C1073"/>
      <c r="D1073"/>
      <c r="E1073"/>
      <c r="F1073"/>
      <c r="G1073" s="4"/>
      <c r="I1073"/>
      <c r="J1073"/>
      <c r="K1073"/>
      <c r="L1073"/>
    </row>
    <row r="1074" spans="1:12" s="1" customFormat="1" x14ac:dyDescent="0.25">
      <c r="A1074"/>
      <c r="B1074"/>
      <c r="C1074"/>
      <c r="D1074"/>
      <c r="E1074"/>
      <c r="F1074"/>
      <c r="G1074" s="4"/>
      <c r="I1074"/>
      <c r="J1074"/>
      <c r="K1074"/>
      <c r="L1074"/>
    </row>
    <row r="1075" spans="1:12" s="1" customFormat="1" x14ac:dyDescent="0.25">
      <c r="A1075"/>
      <c r="B1075"/>
      <c r="C1075"/>
      <c r="D1075"/>
      <c r="E1075"/>
      <c r="F1075"/>
      <c r="G1075" s="4"/>
      <c r="I1075"/>
      <c r="J1075"/>
      <c r="K1075"/>
      <c r="L1075"/>
    </row>
    <row r="1076" spans="1:12" s="1" customFormat="1" x14ac:dyDescent="0.25">
      <c r="A1076"/>
      <c r="B1076"/>
      <c r="C1076"/>
      <c r="D1076"/>
      <c r="E1076"/>
      <c r="F1076"/>
      <c r="G1076" s="4"/>
      <c r="I1076"/>
      <c r="J1076"/>
      <c r="K1076"/>
      <c r="L1076"/>
    </row>
    <row r="1077" spans="1:12" s="1" customFormat="1" x14ac:dyDescent="0.25">
      <c r="A1077"/>
      <c r="B1077"/>
      <c r="C1077"/>
      <c r="D1077"/>
      <c r="E1077"/>
      <c r="F1077"/>
      <c r="G1077" s="4"/>
      <c r="I1077"/>
      <c r="J1077"/>
      <c r="K1077"/>
      <c r="L1077"/>
    </row>
    <row r="1078" spans="1:12" s="1" customFormat="1" x14ac:dyDescent="0.25">
      <c r="A1078"/>
      <c r="B1078"/>
      <c r="C1078"/>
      <c r="D1078"/>
      <c r="E1078"/>
      <c r="F1078"/>
      <c r="G1078" s="4"/>
      <c r="I1078"/>
      <c r="J1078"/>
      <c r="K1078"/>
      <c r="L1078"/>
    </row>
    <row r="1079" spans="1:12" s="1" customFormat="1" x14ac:dyDescent="0.25">
      <c r="A1079"/>
      <c r="B1079"/>
      <c r="C1079"/>
      <c r="D1079"/>
      <c r="E1079"/>
      <c r="F1079"/>
      <c r="G1079" s="4"/>
      <c r="I1079"/>
      <c r="J1079"/>
      <c r="K1079"/>
      <c r="L1079"/>
    </row>
    <row r="1080" spans="1:12" s="1" customFormat="1" x14ac:dyDescent="0.25">
      <c r="A1080"/>
      <c r="B1080"/>
      <c r="C1080"/>
      <c r="D1080"/>
      <c r="E1080"/>
      <c r="F1080"/>
      <c r="G1080" s="4"/>
      <c r="I1080"/>
      <c r="J1080"/>
      <c r="K1080"/>
      <c r="L1080"/>
    </row>
    <row r="1081" spans="1:12" s="1" customFormat="1" x14ac:dyDescent="0.25">
      <c r="A1081"/>
      <c r="B1081"/>
      <c r="C1081"/>
      <c r="D1081"/>
      <c r="E1081"/>
      <c r="F1081"/>
      <c r="G1081" s="4"/>
      <c r="I1081"/>
      <c r="J1081"/>
      <c r="K1081"/>
      <c r="L1081"/>
    </row>
    <row r="1082" spans="1:12" s="1" customFormat="1" x14ac:dyDescent="0.25">
      <c r="A1082"/>
      <c r="B1082"/>
      <c r="C1082"/>
      <c r="D1082"/>
      <c r="E1082"/>
      <c r="F1082"/>
      <c r="G1082" s="4"/>
      <c r="I1082"/>
      <c r="J1082"/>
      <c r="K1082"/>
      <c r="L1082"/>
    </row>
    <row r="1083" spans="1:12" s="1" customFormat="1" x14ac:dyDescent="0.25">
      <c r="A1083"/>
      <c r="B1083"/>
      <c r="C1083"/>
      <c r="D1083"/>
      <c r="E1083"/>
      <c r="F1083"/>
      <c r="G1083" s="4"/>
      <c r="I1083"/>
      <c r="J1083"/>
      <c r="K1083"/>
      <c r="L1083"/>
    </row>
    <row r="1084" spans="1:12" s="1" customFormat="1" x14ac:dyDescent="0.25">
      <c r="A1084"/>
      <c r="B1084"/>
      <c r="C1084"/>
      <c r="D1084"/>
      <c r="E1084"/>
      <c r="F1084"/>
      <c r="G1084" s="4"/>
      <c r="I1084"/>
      <c r="J1084"/>
      <c r="K1084"/>
      <c r="L1084"/>
    </row>
    <row r="1085" spans="1:12" s="1" customFormat="1" x14ac:dyDescent="0.25">
      <c r="A1085"/>
      <c r="B1085"/>
      <c r="C1085"/>
      <c r="D1085"/>
      <c r="E1085"/>
      <c r="F1085"/>
      <c r="G1085" s="4"/>
      <c r="I1085"/>
      <c r="J1085"/>
      <c r="K1085"/>
      <c r="L1085"/>
    </row>
    <row r="1086" spans="1:12" s="1" customFormat="1" x14ac:dyDescent="0.25">
      <c r="A1086"/>
      <c r="B1086"/>
      <c r="C1086"/>
      <c r="D1086"/>
      <c r="E1086"/>
      <c r="F1086"/>
      <c r="G1086" s="4"/>
      <c r="I1086"/>
      <c r="J1086"/>
      <c r="K1086"/>
      <c r="L1086"/>
    </row>
    <row r="1087" spans="1:12" s="1" customFormat="1" x14ac:dyDescent="0.25">
      <c r="A1087"/>
      <c r="B1087"/>
      <c r="C1087"/>
      <c r="D1087"/>
      <c r="E1087"/>
      <c r="F1087"/>
      <c r="G1087" s="4"/>
      <c r="I1087"/>
      <c r="J1087"/>
      <c r="K1087"/>
      <c r="L1087"/>
    </row>
    <row r="1088" spans="1:12" s="1" customFormat="1" x14ac:dyDescent="0.25">
      <c r="A1088"/>
      <c r="B1088"/>
      <c r="C1088"/>
      <c r="D1088"/>
      <c r="E1088"/>
      <c r="F1088"/>
      <c r="G1088" s="4"/>
      <c r="I1088"/>
      <c r="J1088"/>
      <c r="K1088"/>
      <c r="L1088"/>
    </row>
    <row r="1089" spans="1:12" s="1" customFormat="1" x14ac:dyDescent="0.25">
      <c r="A1089"/>
      <c r="B1089"/>
      <c r="C1089"/>
      <c r="D1089"/>
      <c r="E1089"/>
      <c r="F1089"/>
      <c r="G1089" s="4"/>
      <c r="I1089"/>
      <c r="J1089"/>
      <c r="K1089"/>
      <c r="L1089"/>
    </row>
    <row r="1090" spans="1:12" s="1" customFormat="1" x14ac:dyDescent="0.25">
      <c r="A1090"/>
      <c r="B1090"/>
      <c r="C1090"/>
      <c r="D1090"/>
      <c r="E1090"/>
      <c r="F1090"/>
      <c r="G1090" s="4"/>
      <c r="I1090"/>
      <c r="J1090"/>
      <c r="K1090"/>
      <c r="L1090"/>
    </row>
    <row r="1091" spans="1:12" s="1" customFormat="1" x14ac:dyDescent="0.25">
      <c r="A1091"/>
      <c r="B1091"/>
      <c r="C1091"/>
      <c r="D1091"/>
      <c r="E1091"/>
      <c r="F1091"/>
      <c r="G1091" s="4"/>
      <c r="I1091"/>
      <c r="J1091"/>
      <c r="K1091"/>
      <c r="L1091"/>
    </row>
    <row r="1092" spans="1:12" s="1" customFormat="1" x14ac:dyDescent="0.25">
      <c r="A1092"/>
      <c r="B1092"/>
      <c r="C1092"/>
      <c r="D1092"/>
      <c r="E1092"/>
      <c r="F1092"/>
      <c r="G1092" s="4"/>
      <c r="I1092"/>
      <c r="J1092"/>
      <c r="K1092"/>
      <c r="L1092"/>
    </row>
    <row r="1093" spans="1:12" s="1" customFormat="1" x14ac:dyDescent="0.25">
      <c r="A1093"/>
      <c r="B1093"/>
      <c r="C1093"/>
      <c r="D1093"/>
      <c r="E1093"/>
      <c r="F1093"/>
      <c r="G1093" s="4"/>
      <c r="I1093"/>
      <c r="J1093"/>
      <c r="K1093"/>
      <c r="L1093"/>
    </row>
    <row r="1094" spans="1:12" s="1" customFormat="1" x14ac:dyDescent="0.25">
      <c r="A1094"/>
      <c r="B1094"/>
      <c r="C1094"/>
      <c r="D1094"/>
      <c r="E1094"/>
      <c r="F1094"/>
      <c r="G1094" s="4"/>
      <c r="I1094"/>
      <c r="J1094"/>
      <c r="K1094"/>
      <c r="L1094"/>
    </row>
    <row r="1095" spans="1:12" s="1" customFormat="1" x14ac:dyDescent="0.25">
      <c r="A1095"/>
      <c r="B1095"/>
      <c r="C1095"/>
      <c r="D1095"/>
      <c r="E1095"/>
      <c r="F1095"/>
      <c r="G1095" s="4"/>
      <c r="I1095"/>
      <c r="J1095"/>
      <c r="K1095"/>
      <c r="L1095"/>
    </row>
    <row r="1096" spans="1:12" s="1" customFormat="1" x14ac:dyDescent="0.25">
      <c r="A1096"/>
      <c r="B1096"/>
      <c r="C1096"/>
      <c r="D1096"/>
      <c r="E1096"/>
      <c r="F1096"/>
      <c r="G1096" s="4"/>
      <c r="I1096"/>
      <c r="J1096"/>
      <c r="K1096"/>
      <c r="L1096"/>
    </row>
    <row r="1097" spans="1:12" s="1" customFormat="1" x14ac:dyDescent="0.25">
      <c r="A1097"/>
      <c r="B1097"/>
      <c r="C1097"/>
      <c r="D1097"/>
      <c r="E1097"/>
      <c r="F1097"/>
      <c r="G1097" s="4"/>
      <c r="I1097"/>
      <c r="J1097"/>
      <c r="K1097"/>
      <c r="L1097"/>
    </row>
    <row r="1098" spans="1:12" s="1" customFormat="1" x14ac:dyDescent="0.25">
      <c r="A1098"/>
      <c r="B1098"/>
      <c r="C1098"/>
      <c r="D1098"/>
      <c r="E1098"/>
      <c r="F1098"/>
      <c r="G1098" s="4"/>
      <c r="I1098"/>
      <c r="J1098"/>
      <c r="K1098"/>
      <c r="L1098"/>
    </row>
    <row r="1099" spans="1:12" s="1" customFormat="1" x14ac:dyDescent="0.25">
      <c r="A1099"/>
      <c r="B1099"/>
      <c r="C1099"/>
      <c r="D1099"/>
      <c r="E1099"/>
      <c r="F1099"/>
      <c r="G1099" s="4"/>
      <c r="I1099"/>
      <c r="J1099"/>
      <c r="K1099"/>
      <c r="L1099"/>
    </row>
    <row r="1100" spans="1:12" s="1" customFormat="1" x14ac:dyDescent="0.25">
      <c r="A1100"/>
      <c r="B1100"/>
      <c r="C1100"/>
      <c r="D1100"/>
      <c r="E1100"/>
      <c r="F1100"/>
      <c r="G1100" s="4"/>
      <c r="I1100"/>
      <c r="J1100"/>
      <c r="K1100"/>
      <c r="L1100"/>
    </row>
    <row r="1101" spans="1:12" s="1" customFormat="1" x14ac:dyDescent="0.25">
      <c r="A1101"/>
      <c r="B1101"/>
      <c r="C1101"/>
      <c r="D1101"/>
      <c r="E1101"/>
      <c r="F1101"/>
      <c r="G1101" s="4"/>
      <c r="I1101"/>
      <c r="J1101"/>
      <c r="K1101"/>
      <c r="L1101"/>
    </row>
    <row r="1102" spans="1:12" s="1" customFormat="1" x14ac:dyDescent="0.25">
      <c r="A1102"/>
      <c r="B1102"/>
      <c r="C1102"/>
      <c r="D1102"/>
      <c r="E1102"/>
      <c r="F1102"/>
      <c r="G1102" s="4"/>
      <c r="I1102"/>
      <c r="J1102"/>
      <c r="K1102"/>
      <c r="L1102"/>
    </row>
    <row r="1103" spans="1:12" s="1" customFormat="1" x14ac:dyDescent="0.25">
      <c r="A1103"/>
      <c r="B1103"/>
      <c r="C1103"/>
      <c r="D1103"/>
      <c r="E1103"/>
      <c r="F1103"/>
      <c r="G1103" s="4"/>
      <c r="I1103"/>
      <c r="J1103"/>
      <c r="K1103"/>
      <c r="L1103"/>
    </row>
    <row r="1104" spans="1:12" s="1" customFormat="1" x14ac:dyDescent="0.25">
      <c r="A1104"/>
      <c r="B1104"/>
      <c r="C1104"/>
      <c r="D1104"/>
      <c r="E1104"/>
      <c r="F1104"/>
      <c r="G1104" s="4"/>
      <c r="I1104"/>
      <c r="J1104"/>
      <c r="K1104"/>
      <c r="L1104"/>
    </row>
    <row r="1105" spans="1:12" s="1" customFormat="1" x14ac:dyDescent="0.25">
      <c r="A1105"/>
      <c r="B1105"/>
      <c r="C1105"/>
      <c r="D1105"/>
      <c r="E1105"/>
      <c r="F1105"/>
      <c r="G1105" s="4"/>
      <c r="I1105"/>
      <c r="J1105"/>
      <c r="K1105"/>
      <c r="L1105"/>
    </row>
    <row r="1106" spans="1:12" s="1" customFormat="1" x14ac:dyDescent="0.25">
      <c r="A1106"/>
      <c r="B1106"/>
      <c r="C1106"/>
      <c r="D1106"/>
      <c r="E1106"/>
      <c r="F1106"/>
      <c r="G1106" s="4"/>
      <c r="I1106"/>
      <c r="J1106"/>
      <c r="K1106"/>
      <c r="L1106"/>
    </row>
    <row r="1107" spans="1:12" s="1" customFormat="1" x14ac:dyDescent="0.25">
      <c r="A1107"/>
      <c r="B1107"/>
      <c r="C1107"/>
      <c r="D1107"/>
      <c r="E1107"/>
      <c r="F1107"/>
      <c r="G1107" s="4"/>
      <c r="I1107"/>
      <c r="J1107"/>
      <c r="K1107"/>
      <c r="L1107"/>
    </row>
    <row r="1108" spans="1:12" s="1" customFormat="1" x14ac:dyDescent="0.25">
      <c r="A1108"/>
      <c r="B1108"/>
      <c r="C1108"/>
      <c r="D1108"/>
      <c r="E1108"/>
      <c r="F1108"/>
      <c r="G1108" s="4"/>
      <c r="I1108"/>
      <c r="J1108"/>
      <c r="K1108"/>
      <c r="L1108"/>
    </row>
    <row r="1109" spans="1:12" s="1" customFormat="1" x14ac:dyDescent="0.25">
      <c r="A1109"/>
      <c r="B1109"/>
      <c r="C1109"/>
      <c r="D1109"/>
      <c r="E1109"/>
      <c r="F1109"/>
      <c r="G1109" s="4"/>
      <c r="I1109"/>
      <c r="J1109"/>
      <c r="K1109"/>
      <c r="L1109"/>
    </row>
    <row r="1110" spans="1:12" s="1" customFormat="1" x14ac:dyDescent="0.25">
      <c r="A1110"/>
      <c r="B1110"/>
      <c r="C1110"/>
      <c r="D1110"/>
      <c r="E1110"/>
      <c r="F1110"/>
      <c r="G1110" s="4"/>
      <c r="I1110"/>
      <c r="J1110"/>
      <c r="K1110"/>
      <c r="L1110"/>
    </row>
    <row r="1111" spans="1:12" s="1" customFormat="1" x14ac:dyDescent="0.25">
      <c r="A1111"/>
      <c r="B1111"/>
      <c r="C1111"/>
      <c r="D1111"/>
      <c r="E1111"/>
      <c r="F1111"/>
      <c r="G1111" s="4"/>
      <c r="I1111"/>
      <c r="J1111"/>
      <c r="K1111"/>
      <c r="L1111"/>
    </row>
    <row r="1112" spans="1:12" s="1" customFormat="1" x14ac:dyDescent="0.25">
      <c r="A1112"/>
      <c r="B1112"/>
      <c r="C1112"/>
      <c r="D1112"/>
      <c r="E1112"/>
      <c r="F1112"/>
      <c r="G1112" s="4"/>
      <c r="I1112"/>
      <c r="J1112"/>
      <c r="K1112"/>
      <c r="L1112"/>
    </row>
    <row r="1113" spans="1:12" s="1" customFormat="1" x14ac:dyDescent="0.25">
      <c r="A1113"/>
      <c r="B1113"/>
      <c r="C1113"/>
      <c r="D1113"/>
      <c r="E1113"/>
      <c r="F1113"/>
      <c r="G1113" s="4"/>
      <c r="I1113"/>
      <c r="J1113"/>
      <c r="K1113"/>
      <c r="L1113"/>
    </row>
    <row r="1114" spans="1:12" s="1" customFormat="1" x14ac:dyDescent="0.25">
      <c r="A1114"/>
      <c r="B1114"/>
      <c r="C1114"/>
      <c r="D1114"/>
      <c r="E1114"/>
      <c r="F1114"/>
      <c r="G1114" s="4"/>
      <c r="I1114"/>
      <c r="J1114"/>
      <c r="K1114"/>
      <c r="L1114"/>
    </row>
    <row r="1115" spans="1:12" s="1" customFormat="1" x14ac:dyDescent="0.25">
      <c r="A1115"/>
      <c r="B1115"/>
      <c r="C1115"/>
      <c r="D1115"/>
      <c r="E1115"/>
      <c r="F1115"/>
      <c r="G1115" s="4"/>
      <c r="I1115"/>
      <c r="J1115"/>
      <c r="K1115"/>
      <c r="L1115"/>
    </row>
    <row r="1116" spans="1:12" s="1" customFormat="1" x14ac:dyDescent="0.25">
      <c r="A1116"/>
      <c r="B1116"/>
      <c r="C1116"/>
      <c r="D1116"/>
      <c r="E1116"/>
      <c r="F1116"/>
      <c r="G1116" s="4"/>
      <c r="I1116"/>
      <c r="J1116"/>
      <c r="K1116"/>
      <c r="L1116"/>
    </row>
    <row r="1117" spans="1:12" s="1" customFormat="1" x14ac:dyDescent="0.25">
      <c r="A1117"/>
      <c r="B1117"/>
      <c r="C1117"/>
      <c r="D1117"/>
      <c r="E1117"/>
      <c r="F1117"/>
      <c r="G1117" s="4"/>
      <c r="I1117"/>
      <c r="J1117"/>
      <c r="K1117"/>
      <c r="L1117"/>
    </row>
    <row r="1118" spans="1:12" s="1" customFormat="1" x14ac:dyDescent="0.25">
      <c r="A1118"/>
      <c r="B1118"/>
      <c r="C1118"/>
      <c r="D1118"/>
      <c r="E1118"/>
      <c r="F1118"/>
      <c r="G1118" s="4"/>
      <c r="I1118"/>
      <c r="J1118"/>
      <c r="K1118"/>
      <c r="L1118"/>
    </row>
    <row r="1119" spans="1:12" s="1" customFormat="1" x14ac:dyDescent="0.25">
      <c r="A1119"/>
      <c r="B1119"/>
      <c r="C1119"/>
      <c r="D1119"/>
      <c r="E1119"/>
      <c r="F1119"/>
      <c r="G1119" s="4"/>
      <c r="I1119"/>
      <c r="J1119"/>
      <c r="K1119"/>
      <c r="L1119"/>
    </row>
    <row r="1120" spans="1:12" s="1" customFormat="1" x14ac:dyDescent="0.25">
      <c r="A1120"/>
      <c r="B1120"/>
      <c r="C1120"/>
      <c r="D1120"/>
      <c r="E1120"/>
      <c r="F1120"/>
      <c r="G1120" s="4"/>
      <c r="I1120"/>
      <c r="J1120"/>
      <c r="K1120"/>
      <c r="L1120"/>
    </row>
    <row r="1121" spans="1:12" s="1" customFormat="1" x14ac:dyDescent="0.25">
      <c r="A1121"/>
      <c r="B1121"/>
      <c r="C1121"/>
      <c r="D1121"/>
      <c r="E1121"/>
      <c r="F1121"/>
      <c r="G1121" s="4"/>
      <c r="I1121"/>
      <c r="J1121"/>
      <c r="K1121"/>
      <c r="L1121"/>
    </row>
    <row r="1122" spans="1:12" s="1" customFormat="1" x14ac:dyDescent="0.25">
      <c r="A1122"/>
      <c r="B1122"/>
      <c r="C1122"/>
      <c r="D1122"/>
      <c r="E1122"/>
      <c r="F1122"/>
      <c r="G1122" s="4"/>
      <c r="I1122"/>
      <c r="J1122"/>
      <c r="K1122"/>
      <c r="L1122"/>
    </row>
    <row r="1123" spans="1:12" s="1" customFormat="1" x14ac:dyDescent="0.25">
      <c r="A1123"/>
      <c r="B1123"/>
      <c r="C1123"/>
      <c r="D1123"/>
      <c r="E1123"/>
      <c r="F1123"/>
      <c r="G1123" s="4"/>
      <c r="I1123"/>
      <c r="J1123"/>
      <c r="K1123"/>
      <c r="L1123"/>
    </row>
    <row r="1124" spans="1:12" s="1" customFormat="1" x14ac:dyDescent="0.25">
      <c r="A1124"/>
      <c r="B1124"/>
      <c r="C1124"/>
      <c r="D1124"/>
      <c r="E1124"/>
      <c r="F1124"/>
      <c r="G1124" s="4"/>
      <c r="I1124"/>
      <c r="J1124"/>
      <c r="K1124"/>
      <c r="L1124"/>
    </row>
    <row r="1125" spans="1:12" s="1" customFormat="1" x14ac:dyDescent="0.25">
      <c r="A1125"/>
      <c r="B1125"/>
      <c r="C1125"/>
      <c r="D1125"/>
      <c r="E1125"/>
      <c r="F1125"/>
      <c r="G1125" s="4"/>
      <c r="I1125"/>
      <c r="J1125"/>
      <c r="K1125"/>
      <c r="L1125"/>
    </row>
    <row r="1126" spans="1:12" s="1" customFormat="1" x14ac:dyDescent="0.25">
      <c r="A1126"/>
      <c r="B1126"/>
      <c r="C1126"/>
      <c r="D1126"/>
      <c r="E1126"/>
      <c r="F1126"/>
      <c r="G1126" s="4"/>
      <c r="I1126"/>
      <c r="J1126"/>
      <c r="K1126"/>
      <c r="L1126"/>
    </row>
    <row r="1127" spans="1:12" s="1" customFormat="1" x14ac:dyDescent="0.25">
      <c r="A1127"/>
      <c r="B1127"/>
      <c r="C1127"/>
      <c r="D1127"/>
      <c r="E1127"/>
      <c r="F1127"/>
      <c r="G1127" s="4"/>
      <c r="I1127"/>
      <c r="J1127"/>
      <c r="K1127"/>
      <c r="L1127"/>
    </row>
    <row r="1128" spans="1:12" s="1" customFormat="1" x14ac:dyDescent="0.25">
      <c r="A1128"/>
      <c r="B1128"/>
      <c r="C1128"/>
      <c r="D1128"/>
      <c r="E1128"/>
      <c r="F1128"/>
      <c r="G1128" s="4"/>
      <c r="I1128"/>
      <c r="J1128"/>
      <c r="K1128"/>
      <c r="L1128"/>
    </row>
    <row r="1129" spans="1:12" s="1" customFormat="1" x14ac:dyDescent="0.25">
      <c r="A1129"/>
      <c r="B1129"/>
      <c r="C1129"/>
      <c r="D1129"/>
      <c r="E1129"/>
      <c r="F1129"/>
      <c r="G1129" s="4"/>
      <c r="I1129"/>
      <c r="J1129"/>
      <c r="K1129"/>
      <c r="L1129"/>
    </row>
    <row r="1130" spans="1:12" s="1" customFormat="1" x14ac:dyDescent="0.25">
      <c r="A1130"/>
      <c r="B1130"/>
      <c r="C1130"/>
      <c r="D1130"/>
      <c r="E1130"/>
      <c r="F1130"/>
      <c r="G1130" s="4"/>
      <c r="I1130"/>
      <c r="J1130"/>
      <c r="K1130"/>
      <c r="L1130"/>
    </row>
    <row r="1131" spans="1:12" s="1" customFormat="1" x14ac:dyDescent="0.25">
      <c r="A1131"/>
      <c r="B1131"/>
      <c r="C1131"/>
      <c r="D1131"/>
      <c r="E1131"/>
      <c r="F1131"/>
      <c r="G1131" s="4"/>
      <c r="I1131"/>
      <c r="J1131"/>
      <c r="K1131"/>
      <c r="L1131"/>
    </row>
    <row r="1132" spans="1:12" s="1" customFormat="1" x14ac:dyDescent="0.25">
      <c r="A1132"/>
      <c r="B1132"/>
      <c r="C1132"/>
      <c r="D1132"/>
      <c r="E1132"/>
      <c r="F1132"/>
      <c r="G1132" s="4"/>
      <c r="I1132"/>
      <c r="J1132"/>
      <c r="K1132"/>
      <c r="L1132"/>
    </row>
    <row r="1133" spans="1:12" s="1" customFormat="1" x14ac:dyDescent="0.25">
      <c r="A1133"/>
      <c r="B1133"/>
      <c r="C1133"/>
      <c r="D1133"/>
      <c r="E1133"/>
      <c r="F1133"/>
      <c r="G1133" s="4"/>
      <c r="I1133"/>
      <c r="J1133"/>
      <c r="K1133"/>
      <c r="L1133"/>
    </row>
    <row r="1134" spans="1:12" s="1" customFormat="1" x14ac:dyDescent="0.25">
      <c r="A1134"/>
      <c r="B1134"/>
      <c r="C1134"/>
      <c r="D1134"/>
      <c r="E1134"/>
      <c r="F1134"/>
      <c r="G1134" s="4"/>
      <c r="I1134"/>
      <c r="J1134"/>
      <c r="K1134"/>
      <c r="L1134"/>
    </row>
    <row r="1135" spans="1:12" s="1" customFormat="1" x14ac:dyDescent="0.25">
      <c r="A1135"/>
      <c r="B1135"/>
      <c r="C1135"/>
      <c r="D1135"/>
      <c r="E1135"/>
      <c r="F1135"/>
      <c r="G1135" s="4"/>
      <c r="I1135"/>
      <c r="J1135"/>
      <c r="K1135"/>
      <c r="L1135"/>
    </row>
    <row r="1136" spans="1:12" s="1" customFormat="1" x14ac:dyDescent="0.25">
      <c r="A1136"/>
      <c r="B1136"/>
      <c r="C1136"/>
      <c r="D1136"/>
      <c r="E1136"/>
      <c r="F1136"/>
      <c r="G1136" s="4"/>
      <c r="I1136"/>
      <c r="J1136"/>
      <c r="K1136"/>
      <c r="L1136"/>
    </row>
    <row r="1137" spans="1:12" s="1" customFormat="1" x14ac:dyDescent="0.25">
      <c r="A1137"/>
      <c r="B1137"/>
      <c r="C1137"/>
      <c r="D1137"/>
      <c r="E1137"/>
      <c r="F1137"/>
      <c r="G1137" s="4"/>
      <c r="I1137"/>
      <c r="J1137"/>
      <c r="K1137"/>
      <c r="L1137"/>
    </row>
    <row r="1138" spans="1:12" s="1" customFormat="1" x14ac:dyDescent="0.25">
      <c r="A1138"/>
      <c r="B1138"/>
      <c r="C1138"/>
      <c r="D1138"/>
      <c r="E1138"/>
      <c r="F1138"/>
      <c r="G1138" s="4"/>
      <c r="I1138"/>
      <c r="J1138"/>
      <c r="K1138"/>
      <c r="L1138"/>
    </row>
    <row r="1139" spans="1:12" s="1" customFormat="1" x14ac:dyDescent="0.25">
      <c r="A1139"/>
      <c r="B1139"/>
      <c r="C1139"/>
      <c r="D1139"/>
      <c r="E1139"/>
      <c r="F1139"/>
      <c r="G1139" s="4"/>
      <c r="I1139"/>
      <c r="J1139"/>
      <c r="K1139"/>
      <c r="L1139"/>
    </row>
    <row r="1140" spans="1:12" s="1" customFormat="1" x14ac:dyDescent="0.25">
      <c r="A1140"/>
      <c r="B1140"/>
      <c r="C1140"/>
      <c r="D1140"/>
      <c r="E1140"/>
      <c r="F1140"/>
      <c r="G1140" s="4"/>
      <c r="I1140"/>
      <c r="J1140"/>
      <c r="K1140"/>
      <c r="L1140"/>
    </row>
    <row r="1141" spans="1:12" s="1" customFormat="1" x14ac:dyDescent="0.25">
      <c r="A1141"/>
      <c r="B1141"/>
      <c r="C1141"/>
      <c r="D1141"/>
      <c r="E1141"/>
      <c r="F1141"/>
      <c r="G1141" s="4"/>
      <c r="I1141"/>
      <c r="J1141"/>
      <c r="K1141"/>
      <c r="L1141"/>
    </row>
    <row r="1142" spans="1:12" s="1" customFormat="1" x14ac:dyDescent="0.25">
      <c r="A1142"/>
      <c r="B1142"/>
      <c r="C1142"/>
      <c r="D1142"/>
      <c r="E1142"/>
      <c r="F1142"/>
      <c r="G1142" s="4"/>
      <c r="I1142"/>
      <c r="J1142"/>
      <c r="K1142"/>
      <c r="L1142"/>
    </row>
    <row r="1143" spans="1:12" s="1" customFormat="1" x14ac:dyDescent="0.25">
      <c r="A1143"/>
      <c r="B1143"/>
      <c r="C1143"/>
      <c r="D1143"/>
      <c r="E1143"/>
      <c r="F1143"/>
      <c r="G1143" s="4"/>
      <c r="I1143"/>
      <c r="J1143"/>
      <c r="K1143"/>
      <c r="L1143"/>
    </row>
    <row r="1144" spans="1:12" s="1" customFormat="1" x14ac:dyDescent="0.25">
      <c r="A1144"/>
      <c r="B1144"/>
      <c r="C1144"/>
      <c r="D1144"/>
      <c r="E1144"/>
      <c r="F1144"/>
      <c r="G1144" s="4"/>
      <c r="I1144"/>
      <c r="J1144"/>
      <c r="K1144"/>
      <c r="L1144"/>
    </row>
    <row r="1145" spans="1:12" s="1" customFormat="1" x14ac:dyDescent="0.25">
      <c r="A1145"/>
      <c r="B1145"/>
      <c r="C1145"/>
      <c r="D1145"/>
      <c r="E1145"/>
      <c r="F1145"/>
      <c r="G1145" s="4"/>
      <c r="I1145"/>
      <c r="J1145"/>
      <c r="K1145"/>
      <c r="L1145"/>
    </row>
    <row r="1146" spans="1:12" s="1" customFormat="1" x14ac:dyDescent="0.25">
      <c r="A1146"/>
      <c r="B1146"/>
      <c r="C1146"/>
      <c r="D1146"/>
      <c r="E1146"/>
      <c r="F1146"/>
      <c r="G1146" s="4"/>
      <c r="I1146"/>
      <c r="J1146"/>
      <c r="K1146"/>
      <c r="L1146"/>
    </row>
    <row r="1147" spans="1:12" s="1" customFormat="1" x14ac:dyDescent="0.25">
      <c r="A1147"/>
      <c r="B1147"/>
      <c r="C1147"/>
      <c r="D1147"/>
      <c r="E1147"/>
      <c r="F1147"/>
      <c r="G1147" s="4"/>
      <c r="I1147"/>
      <c r="J1147"/>
      <c r="K1147"/>
      <c r="L1147"/>
    </row>
    <row r="1148" spans="1:12" s="1" customFormat="1" x14ac:dyDescent="0.25">
      <c r="A1148"/>
      <c r="B1148"/>
      <c r="C1148"/>
      <c r="D1148"/>
      <c r="E1148"/>
      <c r="F1148"/>
      <c r="G1148" s="4"/>
      <c r="I1148"/>
      <c r="J1148"/>
      <c r="K1148"/>
      <c r="L1148"/>
    </row>
    <row r="1149" spans="1:12" s="1" customFormat="1" x14ac:dyDescent="0.25">
      <c r="A1149"/>
      <c r="B1149"/>
      <c r="C1149"/>
      <c r="D1149"/>
      <c r="E1149"/>
      <c r="F1149"/>
      <c r="G1149" s="4"/>
      <c r="I1149"/>
      <c r="J1149"/>
      <c r="K1149"/>
      <c r="L1149"/>
    </row>
    <row r="1150" spans="1:12" s="1" customFormat="1" x14ac:dyDescent="0.25">
      <c r="A1150"/>
      <c r="B1150"/>
      <c r="C1150"/>
      <c r="D1150"/>
      <c r="E1150"/>
      <c r="F1150"/>
      <c r="G1150" s="4"/>
      <c r="I1150"/>
      <c r="J1150"/>
      <c r="K1150"/>
      <c r="L1150"/>
    </row>
    <row r="1151" spans="1:12" s="1" customFormat="1" x14ac:dyDescent="0.25">
      <c r="A1151"/>
      <c r="B1151"/>
      <c r="C1151"/>
      <c r="D1151"/>
      <c r="E1151"/>
      <c r="F1151"/>
      <c r="G1151" s="4"/>
      <c r="I1151"/>
      <c r="J1151"/>
      <c r="K1151"/>
      <c r="L1151"/>
    </row>
    <row r="1152" spans="1:12" s="1" customFormat="1" x14ac:dyDescent="0.25">
      <c r="A1152"/>
      <c r="B1152"/>
      <c r="C1152"/>
      <c r="D1152"/>
      <c r="E1152"/>
      <c r="F1152"/>
      <c r="G1152" s="4"/>
      <c r="I1152"/>
      <c r="J1152"/>
      <c r="K1152"/>
      <c r="L1152"/>
    </row>
    <row r="1153" spans="1:12" s="1" customFormat="1" x14ac:dyDescent="0.25">
      <c r="A1153"/>
      <c r="B1153"/>
      <c r="C1153"/>
      <c r="D1153"/>
      <c r="E1153"/>
      <c r="F1153"/>
      <c r="G1153" s="4"/>
      <c r="I1153"/>
      <c r="J1153"/>
      <c r="K1153"/>
      <c r="L1153"/>
    </row>
    <row r="1154" spans="1:12" s="1" customFormat="1" x14ac:dyDescent="0.25">
      <c r="A1154"/>
      <c r="B1154"/>
      <c r="C1154"/>
      <c r="D1154"/>
      <c r="E1154"/>
      <c r="F1154"/>
      <c r="G1154" s="4"/>
      <c r="I1154"/>
      <c r="J1154"/>
      <c r="K1154"/>
      <c r="L1154"/>
    </row>
    <row r="1155" spans="1:12" s="1" customFormat="1" x14ac:dyDescent="0.25">
      <c r="A1155"/>
      <c r="B1155"/>
      <c r="C1155"/>
      <c r="D1155"/>
      <c r="E1155"/>
      <c r="F1155"/>
      <c r="G1155" s="4"/>
      <c r="I1155"/>
      <c r="J1155"/>
      <c r="K1155"/>
      <c r="L1155"/>
    </row>
    <row r="1156" spans="1:12" s="1" customFormat="1" x14ac:dyDescent="0.25">
      <c r="A1156"/>
      <c r="B1156"/>
      <c r="C1156"/>
      <c r="D1156"/>
      <c r="E1156"/>
      <c r="F1156"/>
      <c r="G1156" s="4"/>
      <c r="I1156"/>
      <c r="J1156"/>
      <c r="K1156"/>
      <c r="L1156"/>
    </row>
    <row r="1157" spans="1:12" s="1" customFormat="1" x14ac:dyDescent="0.25">
      <c r="A1157"/>
      <c r="B1157"/>
      <c r="C1157"/>
      <c r="D1157"/>
      <c r="E1157"/>
      <c r="F1157"/>
      <c r="G1157" s="4"/>
      <c r="I1157"/>
      <c r="J1157"/>
      <c r="K1157"/>
      <c r="L1157"/>
    </row>
    <row r="1158" spans="1:12" s="1" customFormat="1" x14ac:dyDescent="0.25">
      <c r="A1158"/>
      <c r="B1158"/>
      <c r="C1158"/>
      <c r="D1158"/>
      <c r="E1158"/>
      <c r="F1158"/>
      <c r="G1158" s="4"/>
      <c r="I1158"/>
      <c r="J1158"/>
      <c r="K1158"/>
      <c r="L1158"/>
    </row>
    <row r="1159" spans="1:12" s="1" customFormat="1" x14ac:dyDescent="0.25">
      <c r="A1159"/>
      <c r="B1159"/>
      <c r="C1159"/>
      <c r="D1159"/>
      <c r="E1159"/>
      <c r="F1159"/>
      <c r="G1159" s="4"/>
      <c r="I1159"/>
      <c r="J1159"/>
      <c r="K1159"/>
      <c r="L1159"/>
    </row>
    <row r="1160" spans="1:12" s="1" customFormat="1" x14ac:dyDescent="0.25">
      <c r="A1160"/>
      <c r="B1160"/>
      <c r="C1160"/>
      <c r="D1160"/>
      <c r="E1160"/>
      <c r="F1160"/>
      <c r="G1160" s="4"/>
      <c r="I1160"/>
      <c r="J1160"/>
      <c r="K1160"/>
      <c r="L1160"/>
    </row>
    <row r="1161" spans="1:12" s="1" customFormat="1" x14ac:dyDescent="0.25">
      <c r="A1161"/>
      <c r="B1161"/>
      <c r="C1161"/>
      <c r="D1161"/>
      <c r="E1161"/>
      <c r="F1161"/>
      <c r="G1161" s="4"/>
      <c r="I1161"/>
      <c r="J1161"/>
      <c r="K1161"/>
      <c r="L1161"/>
    </row>
    <row r="1162" spans="1:12" s="1" customFormat="1" x14ac:dyDescent="0.25">
      <c r="A1162"/>
      <c r="B1162"/>
      <c r="C1162"/>
      <c r="D1162"/>
      <c r="E1162"/>
      <c r="F1162"/>
      <c r="G1162" s="4"/>
      <c r="I1162"/>
      <c r="J1162"/>
      <c r="K1162"/>
      <c r="L1162"/>
    </row>
    <row r="1163" spans="1:12" s="1" customFormat="1" x14ac:dyDescent="0.25">
      <c r="A1163"/>
      <c r="B1163"/>
      <c r="C1163"/>
      <c r="D1163"/>
      <c r="E1163"/>
      <c r="F1163"/>
      <c r="G1163" s="4"/>
      <c r="I1163"/>
      <c r="J1163"/>
      <c r="K1163"/>
      <c r="L1163"/>
    </row>
    <row r="1164" spans="1:12" s="1" customFormat="1" x14ac:dyDescent="0.25">
      <c r="A1164"/>
      <c r="B1164"/>
      <c r="C1164"/>
      <c r="D1164"/>
      <c r="E1164"/>
      <c r="F1164"/>
      <c r="G1164" s="4"/>
      <c r="I1164"/>
      <c r="J1164"/>
      <c r="K1164"/>
      <c r="L1164"/>
    </row>
    <row r="1165" spans="1:12" s="1" customFormat="1" x14ac:dyDescent="0.25">
      <c r="A1165"/>
      <c r="B1165"/>
      <c r="C1165"/>
      <c r="D1165"/>
      <c r="E1165"/>
      <c r="F1165"/>
      <c r="G1165" s="4"/>
      <c r="I1165"/>
      <c r="J1165"/>
      <c r="K1165"/>
      <c r="L1165"/>
    </row>
    <row r="1166" spans="1:12" s="1" customFormat="1" x14ac:dyDescent="0.25">
      <c r="A1166"/>
      <c r="B1166"/>
      <c r="C1166"/>
      <c r="D1166"/>
      <c r="E1166"/>
      <c r="F1166"/>
      <c r="G1166" s="4"/>
      <c r="I1166"/>
      <c r="J1166"/>
      <c r="K1166"/>
      <c r="L1166"/>
    </row>
    <row r="1167" spans="1:12" s="1" customFormat="1" x14ac:dyDescent="0.25">
      <c r="A1167"/>
      <c r="B1167"/>
      <c r="C1167"/>
      <c r="D1167"/>
      <c r="E1167"/>
      <c r="F1167"/>
      <c r="G1167" s="4"/>
      <c r="I1167"/>
      <c r="J1167"/>
      <c r="K1167"/>
      <c r="L1167"/>
    </row>
    <row r="1168" spans="1:12" s="1" customFormat="1" x14ac:dyDescent="0.25">
      <c r="A1168"/>
      <c r="B1168"/>
      <c r="C1168"/>
      <c r="D1168"/>
      <c r="E1168"/>
      <c r="F1168"/>
      <c r="G1168" s="4"/>
      <c r="I1168"/>
      <c r="J1168"/>
      <c r="K1168"/>
      <c r="L1168"/>
    </row>
    <row r="1169" spans="1:12" s="1" customFormat="1" x14ac:dyDescent="0.25">
      <c r="A1169"/>
      <c r="B1169"/>
      <c r="C1169"/>
      <c r="D1169"/>
      <c r="E1169"/>
      <c r="F1169"/>
      <c r="G1169" s="4"/>
      <c r="I1169"/>
      <c r="J1169"/>
      <c r="K1169"/>
      <c r="L1169"/>
    </row>
    <row r="1170" spans="1:12" s="1" customFormat="1" x14ac:dyDescent="0.25">
      <c r="A1170"/>
      <c r="B1170"/>
      <c r="C1170"/>
      <c r="D1170"/>
      <c r="E1170"/>
      <c r="F1170"/>
      <c r="G1170" s="4"/>
      <c r="I1170"/>
      <c r="J1170"/>
      <c r="K1170"/>
      <c r="L1170"/>
    </row>
    <row r="1171" spans="1:12" s="1" customFormat="1" x14ac:dyDescent="0.25">
      <c r="A1171"/>
      <c r="B1171"/>
      <c r="C1171"/>
      <c r="D1171"/>
      <c r="E1171"/>
      <c r="F1171"/>
      <c r="G1171" s="4"/>
      <c r="I1171"/>
      <c r="J1171"/>
      <c r="K1171"/>
      <c r="L1171"/>
    </row>
    <row r="1172" spans="1:12" s="1" customFormat="1" x14ac:dyDescent="0.25">
      <c r="A1172"/>
      <c r="B1172"/>
      <c r="C1172"/>
      <c r="D1172"/>
      <c r="E1172"/>
      <c r="F1172"/>
      <c r="G1172" s="4"/>
      <c r="I1172"/>
      <c r="J1172"/>
      <c r="K1172"/>
      <c r="L1172"/>
    </row>
    <row r="1173" spans="1:12" s="1" customFormat="1" x14ac:dyDescent="0.25">
      <c r="A1173"/>
      <c r="B1173"/>
      <c r="C1173"/>
      <c r="D1173"/>
      <c r="E1173"/>
      <c r="F1173"/>
      <c r="G1173" s="4"/>
      <c r="I1173"/>
      <c r="J1173"/>
      <c r="K1173"/>
      <c r="L1173"/>
    </row>
    <row r="1174" spans="1:12" s="1" customFormat="1" x14ac:dyDescent="0.25">
      <c r="A1174"/>
      <c r="B1174"/>
      <c r="C1174"/>
      <c r="D1174"/>
      <c r="E1174"/>
      <c r="F1174"/>
      <c r="G1174" s="4"/>
      <c r="I1174"/>
      <c r="J1174"/>
      <c r="K1174"/>
      <c r="L1174"/>
    </row>
    <row r="1175" spans="1:12" s="1" customFormat="1" x14ac:dyDescent="0.25">
      <c r="A1175"/>
      <c r="B1175"/>
      <c r="C1175"/>
      <c r="D1175"/>
      <c r="E1175"/>
      <c r="F1175"/>
      <c r="G1175" s="4"/>
      <c r="I1175"/>
      <c r="J1175"/>
      <c r="K1175"/>
      <c r="L1175"/>
    </row>
    <row r="1176" spans="1:12" s="1" customFormat="1" x14ac:dyDescent="0.25">
      <c r="A1176"/>
      <c r="B1176"/>
      <c r="C1176"/>
      <c r="D1176"/>
      <c r="E1176"/>
      <c r="F1176"/>
      <c r="G1176" s="4"/>
      <c r="I1176"/>
      <c r="J1176"/>
      <c r="K1176"/>
      <c r="L1176"/>
    </row>
    <row r="1177" spans="1:12" s="1" customFormat="1" x14ac:dyDescent="0.25">
      <c r="A1177"/>
      <c r="B1177"/>
      <c r="C1177"/>
      <c r="D1177"/>
      <c r="E1177"/>
      <c r="F1177"/>
      <c r="G1177" s="4"/>
      <c r="I1177"/>
      <c r="J1177"/>
      <c r="K1177"/>
      <c r="L1177"/>
    </row>
    <row r="1178" spans="1:12" s="1" customFormat="1" x14ac:dyDescent="0.25">
      <c r="A1178"/>
      <c r="B1178"/>
      <c r="C1178"/>
      <c r="D1178"/>
      <c r="E1178"/>
      <c r="F1178"/>
      <c r="G1178" s="4"/>
      <c r="I1178"/>
      <c r="J1178"/>
      <c r="K1178"/>
      <c r="L1178"/>
    </row>
    <row r="1179" spans="1:12" s="1" customFormat="1" x14ac:dyDescent="0.25">
      <c r="A1179"/>
      <c r="B1179"/>
      <c r="C1179"/>
      <c r="D1179"/>
      <c r="E1179"/>
      <c r="F1179"/>
      <c r="G1179" s="4"/>
      <c r="I1179"/>
      <c r="J1179"/>
      <c r="K1179"/>
      <c r="L1179"/>
    </row>
    <row r="1180" spans="1:12" s="1" customFormat="1" x14ac:dyDescent="0.25">
      <c r="A1180"/>
      <c r="B1180"/>
      <c r="C1180"/>
      <c r="D1180"/>
      <c r="E1180"/>
      <c r="F1180"/>
      <c r="G1180" s="4"/>
      <c r="I1180"/>
      <c r="J1180"/>
      <c r="K1180"/>
      <c r="L1180"/>
    </row>
    <row r="1181" spans="1:12" s="1" customFormat="1" x14ac:dyDescent="0.25">
      <c r="A1181"/>
      <c r="B1181"/>
      <c r="C1181"/>
      <c r="D1181"/>
      <c r="E1181"/>
      <c r="F1181"/>
      <c r="G1181" s="4"/>
      <c r="I1181"/>
      <c r="J1181"/>
      <c r="K1181"/>
      <c r="L1181"/>
    </row>
    <row r="1182" spans="1:12" s="1" customFormat="1" x14ac:dyDescent="0.25">
      <c r="A1182"/>
      <c r="B1182"/>
      <c r="C1182"/>
      <c r="D1182"/>
      <c r="E1182"/>
      <c r="F1182"/>
      <c r="G1182" s="4"/>
      <c r="I1182"/>
      <c r="J1182"/>
      <c r="K1182"/>
      <c r="L1182"/>
    </row>
    <row r="1183" spans="1:12" s="1" customFormat="1" x14ac:dyDescent="0.25">
      <c r="A1183"/>
      <c r="B1183"/>
      <c r="C1183"/>
      <c r="D1183"/>
      <c r="E1183"/>
      <c r="F1183"/>
      <c r="G1183" s="4"/>
      <c r="I1183"/>
      <c r="J1183"/>
      <c r="K1183"/>
      <c r="L1183"/>
    </row>
    <row r="1184" spans="1:12" s="1" customFormat="1" x14ac:dyDescent="0.25">
      <c r="A1184"/>
      <c r="B1184"/>
      <c r="C1184"/>
      <c r="D1184"/>
      <c r="E1184"/>
      <c r="F1184"/>
      <c r="G1184" s="4"/>
      <c r="I1184"/>
      <c r="J1184"/>
      <c r="K1184"/>
      <c r="L1184"/>
    </row>
    <row r="1185" spans="1:12" s="1" customFormat="1" x14ac:dyDescent="0.25">
      <c r="A1185"/>
      <c r="B1185"/>
      <c r="C1185"/>
      <c r="D1185"/>
      <c r="E1185"/>
      <c r="F1185"/>
      <c r="G1185" s="4"/>
      <c r="I1185"/>
      <c r="J1185"/>
      <c r="K1185"/>
      <c r="L1185"/>
    </row>
    <row r="1186" spans="1:12" s="1" customFormat="1" x14ac:dyDescent="0.25">
      <c r="A1186"/>
      <c r="B1186"/>
      <c r="C1186"/>
      <c r="D1186"/>
      <c r="E1186"/>
      <c r="F1186"/>
      <c r="G1186" s="4"/>
      <c r="I1186"/>
      <c r="J1186"/>
      <c r="K1186"/>
      <c r="L1186"/>
    </row>
    <row r="1187" spans="1:12" s="1" customFormat="1" x14ac:dyDescent="0.25">
      <c r="A1187"/>
      <c r="B1187"/>
      <c r="C1187"/>
      <c r="D1187"/>
      <c r="E1187"/>
      <c r="F1187"/>
      <c r="G1187" s="4"/>
      <c r="I1187"/>
      <c r="J1187"/>
      <c r="K1187"/>
      <c r="L1187"/>
    </row>
    <row r="1188" spans="1:12" s="1" customFormat="1" x14ac:dyDescent="0.25">
      <c r="A1188"/>
      <c r="B1188"/>
      <c r="C1188"/>
      <c r="D1188"/>
      <c r="E1188"/>
      <c r="F1188"/>
      <c r="G1188" s="4"/>
      <c r="I1188"/>
      <c r="J1188"/>
      <c r="K1188"/>
      <c r="L1188"/>
    </row>
    <row r="1189" spans="1:12" s="1" customFormat="1" x14ac:dyDescent="0.25">
      <c r="A1189"/>
      <c r="B1189"/>
      <c r="C1189"/>
      <c r="D1189"/>
      <c r="E1189"/>
      <c r="F1189"/>
      <c r="G1189" s="4"/>
      <c r="I1189"/>
      <c r="J1189"/>
      <c r="K1189"/>
      <c r="L1189"/>
    </row>
    <row r="1190" spans="1:12" s="1" customFormat="1" x14ac:dyDescent="0.25">
      <c r="A1190"/>
      <c r="B1190"/>
      <c r="C1190"/>
      <c r="D1190"/>
      <c r="E1190"/>
      <c r="F1190"/>
      <c r="G1190" s="4"/>
      <c r="I1190"/>
      <c r="J1190"/>
      <c r="K1190"/>
      <c r="L1190"/>
    </row>
    <row r="1191" spans="1:12" s="1" customFormat="1" x14ac:dyDescent="0.25">
      <c r="A1191"/>
      <c r="B1191"/>
      <c r="C1191"/>
      <c r="D1191"/>
      <c r="E1191"/>
      <c r="F1191"/>
      <c r="G1191" s="4"/>
      <c r="I1191"/>
      <c r="J1191"/>
      <c r="K1191"/>
      <c r="L1191"/>
    </row>
    <row r="1192" spans="1:12" s="1" customFormat="1" x14ac:dyDescent="0.25">
      <c r="A1192"/>
      <c r="B1192"/>
      <c r="C1192"/>
      <c r="D1192"/>
      <c r="E1192"/>
      <c r="F1192"/>
      <c r="G1192" s="4"/>
      <c r="I1192"/>
      <c r="J1192"/>
      <c r="K1192"/>
      <c r="L1192"/>
    </row>
    <row r="1193" spans="1:12" s="1" customFormat="1" x14ac:dyDescent="0.25">
      <c r="A1193"/>
      <c r="B1193"/>
      <c r="C1193"/>
      <c r="D1193"/>
      <c r="E1193"/>
      <c r="F1193"/>
      <c r="G1193" s="4"/>
      <c r="I1193"/>
      <c r="J1193"/>
      <c r="K1193"/>
      <c r="L1193"/>
    </row>
    <row r="1194" spans="1:12" s="1" customFormat="1" x14ac:dyDescent="0.25">
      <c r="A1194"/>
      <c r="B1194"/>
      <c r="C1194"/>
      <c r="D1194"/>
      <c r="E1194"/>
      <c r="F1194"/>
      <c r="G1194" s="4"/>
      <c r="I1194"/>
      <c r="J1194"/>
      <c r="K1194"/>
      <c r="L1194"/>
    </row>
    <row r="1195" spans="1:12" s="1" customFormat="1" x14ac:dyDescent="0.25">
      <c r="A1195"/>
      <c r="B1195"/>
      <c r="C1195"/>
      <c r="D1195"/>
      <c r="E1195"/>
      <c r="F1195"/>
      <c r="G1195" s="4"/>
      <c r="I1195"/>
      <c r="J1195"/>
      <c r="K1195"/>
      <c r="L1195"/>
    </row>
    <row r="1196" spans="1:12" s="1" customFormat="1" x14ac:dyDescent="0.25">
      <c r="A1196"/>
      <c r="B1196"/>
      <c r="C1196"/>
      <c r="D1196"/>
      <c r="E1196"/>
      <c r="F1196"/>
      <c r="G1196" s="4"/>
      <c r="I1196"/>
      <c r="J1196"/>
      <c r="K1196"/>
      <c r="L1196"/>
    </row>
    <row r="1197" spans="1:12" s="1" customFormat="1" x14ac:dyDescent="0.25">
      <c r="A1197"/>
      <c r="B1197"/>
      <c r="C1197"/>
      <c r="D1197"/>
      <c r="E1197"/>
      <c r="F1197"/>
      <c r="G1197" s="4"/>
      <c r="I1197"/>
      <c r="J1197"/>
      <c r="K1197"/>
      <c r="L1197"/>
    </row>
    <row r="1198" spans="1:12" s="1" customFormat="1" x14ac:dyDescent="0.25">
      <c r="A1198"/>
      <c r="B1198"/>
      <c r="C1198"/>
      <c r="D1198"/>
      <c r="E1198"/>
      <c r="F1198"/>
      <c r="G1198" s="4"/>
      <c r="I1198"/>
      <c r="J1198"/>
      <c r="K1198"/>
      <c r="L1198"/>
    </row>
    <row r="1199" spans="1:12" s="1" customFormat="1" x14ac:dyDescent="0.25">
      <c r="A1199"/>
      <c r="B1199"/>
      <c r="C1199"/>
      <c r="D1199"/>
      <c r="E1199"/>
      <c r="F1199"/>
      <c r="G1199" s="4"/>
      <c r="I1199"/>
      <c r="J1199"/>
      <c r="K1199"/>
      <c r="L1199"/>
    </row>
    <row r="1200" spans="1:12" s="1" customFormat="1" x14ac:dyDescent="0.25">
      <c r="A1200"/>
      <c r="B1200"/>
      <c r="C1200"/>
      <c r="D1200"/>
      <c r="E1200"/>
      <c r="F1200"/>
      <c r="G1200" s="4"/>
      <c r="I1200"/>
      <c r="J1200"/>
      <c r="K1200"/>
      <c r="L1200"/>
    </row>
    <row r="1201" spans="1:12" s="1" customFormat="1" x14ac:dyDescent="0.25">
      <c r="A1201"/>
      <c r="B1201"/>
      <c r="C1201"/>
      <c r="D1201"/>
      <c r="E1201"/>
      <c r="F1201"/>
      <c r="G1201" s="4"/>
      <c r="I1201"/>
      <c r="J1201"/>
      <c r="K1201"/>
      <c r="L1201"/>
    </row>
    <row r="1202" spans="1:12" s="1" customFormat="1" x14ac:dyDescent="0.25">
      <c r="A1202"/>
      <c r="B1202"/>
      <c r="C1202"/>
      <c r="D1202"/>
      <c r="E1202"/>
      <c r="F1202"/>
      <c r="G1202" s="4"/>
      <c r="I1202"/>
      <c r="J1202"/>
      <c r="K1202"/>
      <c r="L1202"/>
    </row>
    <row r="1203" spans="1:12" s="1" customFormat="1" x14ac:dyDescent="0.25">
      <c r="A1203"/>
      <c r="B1203"/>
      <c r="C1203"/>
      <c r="D1203"/>
      <c r="E1203"/>
      <c r="F1203"/>
      <c r="G1203" s="4"/>
      <c r="I1203"/>
      <c r="J1203"/>
      <c r="K1203"/>
      <c r="L1203"/>
    </row>
    <row r="1204" spans="1:12" s="1" customFormat="1" x14ac:dyDescent="0.25">
      <c r="A1204"/>
      <c r="B1204"/>
      <c r="C1204"/>
      <c r="D1204"/>
      <c r="E1204"/>
      <c r="F1204"/>
      <c r="G1204" s="4"/>
      <c r="I1204"/>
      <c r="J1204"/>
      <c r="K1204"/>
      <c r="L1204"/>
    </row>
    <row r="1205" spans="1:12" s="1" customFormat="1" x14ac:dyDescent="0.25">
      <c r="A1205"/>
      <c r="B1205"/>
      <c r="C1205"/>
      <c r="D1205"/>
      <c r="E1205"/>
      <c r="F1205"/>
      <c r="G1205" s="4"/>
      <c r="I1205"/>
      <c r="J1205"/>
      <c r="K1205"/>
      <c r="L1205"/>
    </row>
    <row r="1206" spans="1:12" s="1" customFormat="1" x14ac:dyDescent="0.25">
      <c r="A1206"/>
      <c r="B1206"/>
      <c r="C1206"/>
      <c r="D1206"/>
      <c r="E1206"/>
      <c r="F1206"/>
      <c r="G1206" s="4"/>
      <c r="I1206"/>
      <c r="J1206"/>
      <c r="K1206"/>
      <c r="L1206"/>
    </row>
    <row r="1207" spans="1:12" s="1" customFormat="1" x14ac:dyDescent="0.25">
      <c r="A1207"/>
      <c r="B1207"/>
      <c r="C1207"/>
      <c r="D1207"/>
      <c r="E1207"/>
      <c r="F1207"/>
      <c r="G1207" s="4"/>
      <c r="I1207"/>
      <c r="J1207"/>
      <c r="K1207"/>
      <c r="L1207"/>
    </row>
    <row r="1208" spans="1:12" s="1" customFormat="1" x14ac:dyDescent="0.25">
      <c r="A1208"/>
      <c r="B1208"/>
      <c r="C1208"/>
      <c r="D1208"/>
      <c r="E1208"/>
      <c r="F1208"/>
      <c r="G1208" s="4"/>
      <c r="I1208"/>
      <c r="J1208"/>
      <c r="K1208"/>
      <c r="L1208"/>
    </row>
    <row r="1209" spans="1:12" s="1" customFormat="1" x14ac:dyDescent="0.25">
      <c r="A1209"/>
      <c r="B1209"/>
      <c r="C1209"/>
      <c r="D1209"/>
      <c r="E1209"/>
      <c r="F1209"/>
      <c r="G1209" s="4"/>
      <c r="I1209"/>
      <c r="J1209"/>
      <c r="K1209"/>
      <c r="L1209"/>
    </row>
    <row r="1210" spans="1:12" s="1" customFormat="1" x14ac:dyDescent="0.25">
      <c r="A1210"/>
      <c r="B1210"/>
      <c r="C1210"/>
      <c r="D1210"/>
      <c r="E1210"/>
      <c r="F1210"/>
      <c r="G1210" s="4"/>
      <c r="I1210"/>
      <c r="J1210"/>
      <c r="K1210"/>
      <c r="L1210"/>
    </row>
    <row r="1211" spans="1:12" s="1" customFormat="1" x14ac:dyDescent="0.25">
      <c r="A1211"/>
      <c r="B1211"/>
      <c r="C1211"/>
      <c r="D1211"/>
      <c r="E1211"/>
      <c r="F1211"/>
      <c r="G1211" s="4"/>
      <c r="I1211"/>
      <c r="J1211"/>
      <c r="K1211"/>
      <c r="L1211"/>
    </row>
    <row r="1212" spans="1:12" s="1" customFormat="1" x14ac:dyDescent="0.25">
      <c r="A1212"/>
      <c r="B1212"/>
      <c r="C1212"/>
      <c r="D1212"/>
      <c r="E1212"/>
      <c r="F1212"/>
      <c r="G1212" s="4"/>
      <c r="I1212"/>
      <c r="J1212"/>
      <c r="K1212"/>
      <c r="L1212"/>
    </row>
    <row r="1213" spans="1:12" s="1" customFormat="1" x14ac:dyDescent="0.25">
      <c r="A1213"/>
      <c r="B1213"/>
      <c r="C1213"/>
      <c r="D1213"/>
      <c r="E1213"/>
      <c r="F1213"/>
      <c r="G1213" s="4"/>
      <c r="I1213"/>
      <c r="J1213"/>
      <c r="K1213"/>
      <c r="L1213"/>
    </row>
    <row r="1214" spans="1:12" s="1" customFormat="1" x14ac:dyDescent="0.25">
      <c r="A1214"/>
      <c r="B1214"/>
      <c r="C1214"/>
      <c r="D1214"/>
      <c r="E1214"/>
      <c r="F1214"/>
      <c r="G1214" s="4"/>
      <c r="I1214"/>
      <c r="J1214"/>
      <c r="K1214"/>
      <c r="L1214"/>
    </row>
    <row r="1215" spans="1:12" s="1" customFormat="1" x14ac:dyDescent="0.25">
      <c r="A1215"/>
      <c r="B1215"/>
      <c r="C1215"/>
      <c r="D1215"/>
      <c r="E1215"/>
      <c r="F1215"/>
      <c r="G1215" s="4"/>
      <c r="I1215"/>
      <c r="J1215"/>
      <c r="K1215"/>
      <c r="L1215"/>
    </row>
    <row r="1216" spans="1:12" s="1" customFormat="1" x14ac:dyDescent="0.25">
      <c r="A1216"/>
      <c r="B1216"/>
      <c r="C1216"/>
      <c r="D1216"/>
      <c r="E1216"/>
      <c r="F1216"/>
      <c r="G1216" s="4"/>
      <c r="I1216"/>
      <c r="J1216"/>
      <c r="K1216"/>
      <c r="L1216"/>
    </row>
    <row r="1217" spans="1:12" s="1" customFormat="1" x14ac:dyDescent="0.25">
      <c r="A1217"/>
      <c r="B1217"/>
      <c r="C1217"/>
      <c r="D1217"/>
      <c r="E1217"/>
      <c r="F1217"/>
      <c r="G1217" s="4"/>
      <c r="I1217"/>
      <c r="J1217"/>
      <c r="K1217"/>
      <c r="L1217"/>
    </row>
    <row r="1218" spans="1:12" s="1" customFormat="1" x14ac:dyDescent="0.25">
      <c r="A1218"/>
      <c r="B1218"/>
      <c r="C1218"/>
      <c r="D1218"/>
      <c r="E1218"/>
      <c r="F1218"/>
      <c r="G1218" s="4"/>
      <c r="I1218"/>
      <c r="J1218"/>
      <c r="K1218"/>
      <c r="L1218"/>
    </row>
    <row r="1219" spans="1:12" s="1" customFormat="1" x14ac:dyDescent="0.25">
      <c r="A1219"/>
      <c r="B1219"/>
      <c r="C1219"/>
      <c r="D1219"/>
      <c r="E1219"/>
      <c r="F1219"/>
      <c r="G1219" s="4"/>
      <c r="I1219"/>
      <c r="J1219"/>
      <c r="K1219"/>
      <c r="L1219"/>
    </row>
    <row r="1220" spans="1:12" s="1" customFormat="1" x14ac:dyDescent="0.25">
      <c r="A1220"/>
      <c r="B1220"/>
      <c r="C1220"/>
      <c r="D1220"/>
      <c r="E1220"/>
      <c r="F1220"/>
      <c r="G1220" s="4"/>
      <c r="I1220"/>
      <c r="J1220"/>
      <c r="K1220"/>
      <c r="L1220"/>
    </row>
    <row r="1221" spans="1:12" s="1" customFormat="1" x14ac:dyDescent="0.25">
      <c r="A1221"/>
      <c r="B1221"/>
      <c r="C1221"/>
      <c r="D1221"/>
      <c r="E1221"/>
      <c r="F1221"/>
      <c r="G1221" s="4"/>
      <c r="I1221"/>
      <c r="J1221"/>
      <c r="K1221"/>
      <c r="L1221"/>
    </row>
    <row r="1222" spans="1:12" s="1" customFormat="1" x14ac:dyDescent="0.25">
      <c r="A1222"/>
      <c r="B1222"/>
      <c r="C1222"/>
      <c r="D1222"/>
      <c r="E1222"/>
      <c r="F1222"/>
      <c r="G1222" s="4"/>
      <c r="I1222"/>
      <c r="J1222"/>
      <c r="K1222"/>
      <c r="L1222"/>
    </row>
    <row r="1223" spans="1:12" s="1" customFormat="1" x14ac:dyDescent="0.25">
      <c r="A1223"/>
      <c r="B1223"/>
      <c r="C1223"/>
      <c r="D1223"/>
      <c r="E1223"/>
      <c r="F1223"/>
      <c r="G1223" s="4"/>
      <c r="I1223"/>
      <c r="J1223"/>
      <c r="K1223"/>
      <c r="L1223"/>
    </row>
    <row r="1224" spans="1:12" s="1" customFormat="1" x14ac:dyDescent="0.25">
      <c r="A1224"/>
      <c r="B1224"/>
      <c r="C1224"/>
      <c r="D1224"/>
      <c r="E1224"/>
      <c r="F1224"/>
      <c r="G1224" s="4"/>
      <c r="I1224"/>
      <c r="J1224"/>
      <c r="K1224"/>
      <c r="L1224"/>
    </row>
    <row r="1225" spans="1:12" s="1" customFormat="1" x14ac:dyDescent="0.25">
      <c r="A1225"/>
      <c r="B1225"/>
      <c r="C1225"/>
      <c r="D1225"/>
      <c r="E1225"/>
      <c r="F1225"/>
      <c r="G1225" s="4"/>
      <c r="I1225"/>
      <c r="J1225"/>
      <c r="K1225"/>
      <c r="L1225"/>
    </row>
    <row r="1226" spans="1:12" s="1" customFormat="1" x14ac:dyDescent="0.25">
      <c r="A1226"/>
      <c r="B1226"/>
      <c r="C1226"/>
      <c r="D1226"/>
      <c r="E1226"/>
      <c r="F1226"/>
      <c r="G1226" s="4"/>
      <c r="I1226"/>
      <c r="J1226"/>
      <c r="K1226"/>
      <c r="L1226"/>
    </row>
    <row r="1227" spans="1:12" s="1" customFormat="1" x14ac:dyDescent="0.25">
      <c r="A1227"/>
      <c r="B1227"/>
      <c r="C1227"/>
      <c r="D1227"/>
      <c r="E1227"/>
      <c r="F1227"/>
      <c r="G1227" s="4"/>
      <c r="I1227"/>
      <c r="J1227"/>
      <c r="K1227"/>
      <c r="L1227"/>
    </row>
    <row r="1228" spans="1:12" s="1" customFormat="1" x14ac:dyDescent="0.25">
      <c r="A1228"/>
      <c r="B1228"/>
      <c r="C1228"/>
      <c r="D1228"/>
      <c r="E1228"/>
      <c r="F1228"/>
      <c r="G1228" s="4"/>
      <c r="I1228"/>
      <c r="J1228"/>
      <c r="K1228"/>
      <c r="L1228"/>
    </row>
    <row r="1229" spans="1:12" s="1" customFormat="1" x14ac:dyDescent="0.25">
      <c r="A1229"/>
      <c r="B1229"/>
      <c r="C1229"/>
      <c r="D1229"/>
      <c r="E1229"/>
      <c r="F1229"/>
      <c r="G1229" s="4"/>
      <c r="I1229"/>
      <c r="J1229"/>
      <c r="K1229"/>
      <c r="L1229"/>
    </row>
    <row r="1230" spans="1:12" s="1" customFormat="1" x14ac:dyDescent="0.25">
      <c r="A1230"/>
      <c r="B1230"/>
      <c r="C1230"/>
      <c r="D1230"/>
      <c r="E1230"/>
      <c r="F1230"/>
      <c r="G1230" s="4"/>
      <c r="I1230"/>
      <c r="J1230"/>
      <c r="K1230"/>
      <c r="L1230"/>
    </row>
    <row r="1231" spans="1:12" s="1" customFormat="1" x14ac:dyDescent="0.25">
      <c r="A1231"/>
      <c r="B1231"/>
      <c r="C1231"/>
      <c r="D1231"/>
      <c r="E1231"/>
      <c r="F1231"/>
      <c r="G1231" s="4"/>
      <c r="I1231"/>
      <c r="J1231"/>
      <c r="K1231"/>
      <c r="L1231"/>
    </row>
    <row r="1232" spans="1:12" s="1" customFormat="1" x14ac:dyDescent="0.25">
      <c r="A1232"/>
      <c r="B1232"/>
      <c r="C1232"/>
      <c r="D1232"/>
      <c r="E1232"/>
      <c r="F1232"/>
      <c r="G1232" s="4"/>
      <c r="I1232"/>
      <c r="J1232"/>
      <c r="K1232"/>
      <c r="L1232"/>
    </row>
    <row r="1233" spans="1:12" s="1" customFormat="1" x14ac:dyDescent="0.25">
      <c r="A1233"/>
      <c r="B1233"/>
      <c r="C1233"/>
      <c r="D1233"/>
      <c r="E1233"/>
      <c r="F1233"/>
      <c r="G1233" s="4"/>
      <c r="I1233"/>
      <c r="J1233"/>
      <c r="K1233"/>
      <c r="L1233"/>
    </row>
    <row r="1234" spans="1:12" s="1" customFormat="1" x14ac:dyDescent="0.25">
      <c r="A1234"/>
      <c r="B1234"/>
      <c r="C1234"/>
      <c r="D1234"/>
      <c r="E1234"/>
      <c r="F1234"/>
      <c r="G1234" s="4"/>
      <c r="I1234"/>
      <c r="J1234"/>
      <c r="K1234"/>
      <c r="L1234"/>
    </row>
    <row r="1235" spans="1:12" s="1" customFormat="1" x14ac:dyDescent="0.25">
      <c r="A1235"/>
      <c r="B1235"/>
      <c r="C1235"/>
      <c r="D1235"/>
      <c r="E1235"/>
      <c r="F1235"/>
      <c r="G1235" s="4"/>
      <c r="I1235"/>
      <c r="J1235"/>
      <c r="K1235"/>
      <c r="L1235"/>
    </row>
    <row r="1236" spans="1:12" s="1" customFormat="1" x14ac:dyDescent="0.25">
      <c r="A1236"/>
      <c r="B1236"/>
      <c r="C1236"/>
      <c r="D1236"/>
      <c r="E1236"/>
      <c r="F1236"/>
      <c r="G1236" s="4"/>
      <c r="I1236"/>
      <c r="J1236"/>
      <c r="K1236"/>
      <c r="L1236"/>
    </row>
    <row r="1237" spans="1:12" s="1" customFormat="1" x14ac:dyDescent="0.25">
      <c r="A1237"/>
      <c r="B1237"/>
      <c r="C1237"/>
      <c r="D1237"/>
      <c r="E1237"/>
      <c r="F1237"/>
      <c r="G1237" s="4"/>
      <c r="I1237"/>
      <c r="J1237"/>
      <c r="K1237"/>
      <c r="L1237"/>
    </row>
    <row r="1238" spans="1:12" s="1" customFormat="1" x14ac:dyDescent="0.25">
      <c r="A1238"/>
      <c r="B1238"/>
      <c r="C1238"/>
      <c r="D1238"/>
      <c r="E1238"/>
      <c r="F1238"/>
      <c r="G1238" s="4"/>
      <c r="I1238"/>
      <c r="J1238"/>
      <c r="K1238"/>
      <c r="L1238"/>
    </row>
    <row r="1239" spans="1:12" s="1" customFormat="1" x14ac:dyDescent="0.25">
      <c r="A1239"/>
      <c r="B1239"/>
      <c r="C1239"/>
      <c r="D1239"/>
      <c r="E1239"/>
      <c r="F1239"/>
      <c r="G1239" s="4"/>
      <c r="I1239"/>
      <c r="J1239"/>
      <c r="K1239"/>
      <c r="L1239"/>
    </row>
    <row r="1240" spans="1:12" s="1" customFormat="1" x14ac:dyDescent="0.25">
      <c r="A1240"/>
      <c r="B1240"/>
      <c r="C1240"/>
      <c r="D1240"/>
      <c r="E1240"/>
      <c r="F1240"/>
      <c r="G1240" s="4"/>
      <c r="I1240"/>
      <c r="J1240"/>
      <c r="K1240"/>
      <c r="L1240"/>
    </row>
    <row r="1241" spans="1:12" s="1" customFormat="1" x14ac:dyDescent="0.25">
      <c r="A1241"/>
      <c r="B1241"/>
      <c r="C1241"/>
      <c r="D1241"/>
      <c r="E1241"/>
      <c r="F1241"/>
      <c r="G1241" s="4"/>
      <c r="I1241"/>
      <c r="J1241"/>
      <c r="K1241"/>
      <c r="L1241"/>
    </row>
    <row r="1242" spans="1:12" s="1" customFormat="1" x14ac:dyDescent="0.25">
      <c r="A1242"/>
      <c r="B1242"/>
      <c r="C1242"/>
      <c r="D1242"/>
      <c r="E1242"/>
      <c r="F1242"/>
      <c r="G1242" s="4"/>
      <c r="I1242"/>
      <c r="J1242"/>
      <c r="K1242"/>
      <c r="L1242"/>
    </row>
    <row r="1243" spans="1:12" s="1" customFormat="1" x14ac:dyDescent="0.25">
      <c r="A1243"/>
      <c r="B1243"/>
      <c r="C1243"/>
      <c r="D1243"/>
      <c r="E1243"/>
      <c r="F1243"/>
      <c r="G1243" s="4"/>
      <c r="I1243"/>
      <c r="J1243"/>
      <c r="K1243"/>
      <c r="L1243"/>
    </row>
    <row r="1244" spans="1:12" s="1" customFormat="1" x14ac:dyDescent="0.25">
      <c r="A1244"/>
      <c r="B1244"/>
      <c r="C1244"/>
      <c r="D1244"/>
      <c r="E1244"/>
      <c r="F1244"/>
      <c r="G1244" s="4"/>
      <c r="I1244"/>
      <c r="J1244"/>
      <c r="K1244"/>
      <c r="L1244"/>
    </row>
    <row r="1245" spans="1:12" s="1" customFormat="1" x14ac:dyDescent="0.25">
      <c r="A1245"/>
      <c r="B1245"/>
      <c r="C1245"/>
      <c r="D1245"/>
      <c r="E1245"/>
      <c r="F1245"/>
      <c r="G1245" s="4"/>
      <c r="I1245"/>
      <c r="J1245"/>
      <c r="K1245"/>
      <c r="L1245"/>
    </row>
    <row r="1246" spans="1:12" s="1" customFormat="1" x14ac:dyDescent="0.25">
      <c r="A1246"/>
      <c r="B1246"/>
      <c r="C1246"/>
      <c r="D1246"/>
      <c r="E1246"/>
      <c r="F1246"/>
      <c r="G1246" s="4"/>
      <c r="I1246"/>
      <c r="J1246"/>
      <c r="K1246"/>
      <c r="L1246"/>
    </row>
    <row r="1247" spans="1:12" s="1" customFormat="1" x14ac:dyDescent="0.25">
      <c r="A1247"/>
      <c r="B1247"/>
      <c r="C1247"/>
      <c r="D1247"/>
      <c r="E1247"/>
      <c r="F1247"/>
      <c r="G1247" s="4"/>
      <c r="I1247"/>
      <c r="J1247"/>
      <c r="K1247"/>
      <c r="L1247"/>
    </row>
    <row r="1248" spans="1:12" s="1" customFormat="1" x14ac:dyDescent="0.25">
      <c r="A1248"/>
      <c r="B1248"/>
      <c r="C1248"/>
      <c r="D1248"/>
      <c r="E1248"/>
      <c r="F1248"/>
      <c r="G1248" s="4"/>
      <c r="I1248"/>
      <c r="J1248"/>
      <c r="K1248"/>
      <c r="L1248"/>
    </row>
    <row r="1249" spans="1:12" s="1" customFormat="1" x14ac:dyDescent="0.25">
      <c r="A1249"/>
      <c r="B1249"/>
      <c r="C1249"/>
      <c r="D1249"/>
      <c r="E1249"/>
      <c r="F1249"/>
      <c r="G1249" s="4"/>
      <c r="I1249"/>
      <c r="J1249"/>
      <c r="K1249"/>
      <c r="L1249"/>
    </row>
    <row r="1250" spans="1:12" s="1" customFormat="1" x14ac:dyDescent="0.25">
      <c r="A1250"/>
      <c r="B1250"/>
      <c r="C1250"/>
      <c r="D1250"/>
      <c r="E1250"/>
      <c r="F1250"/>
      <c r="G1250" s="4"/>
      <c r="I1250"/>
      <c r="J1250"/>
      <c r="K1250"/>
      <c r="L1250"/>
    </row>
    <row r="1251" spans="1:12" s="1" customFormat="1" x14ac:dyDescent="0.25">
      <c r="A1251"/>
      <c r="B1251"/>
      <c r="C1251"/>
      <c r="D1251"/>
      <c r="E1251"/>
      <c r="F1251"/>
      <c r="G1251" s="4"/>
      <c r="I1251"/>
      <c r="J1251"/>
      <c r="K1251"/>
      <c r="L1251"/>
    </row>
    <row r="1252" spans="1:12" s="1" customFormat="1" x14ac:dyDescent="0.25">
      <c r="A1252"/>
      <c r="B1252"/>
      <c r="C1252"/>
      <c r="D1252"/>
      <c r="E1252"/>
      <c r="F1252"/>
      <c r="G1252" s="4"/>
      <c r="I1252"/>
      <c r="J1252"/>
      <c r="K1252"/>
      <c r="L1252"/>
    </row>
    <row r="1253" spans="1:12" s="1" customFormat="1" x14ac:dyDescent="0.25">
      <c r="A1253"/>
      <c r="B1253"/>
      <c r="C1253"/>
      <c r="D1253"/>
      <c r="E1253"/>
      <c r="F1253"/>
      <c r="G1253" s="4"/>
      <c r="I1253"/>
      <c r="J1253"/>
      <c r="K1253"/>
      <c r="L1253"/>
    </row>
    <row r="1254" spans="1:12" s="1" customFormat="1" x14ac:dyDescent="0.25">
      <c r="A1254"/>
      <c r="B1254"/>
      <c r="C1254"/>
      <c r="D1254"/>
      <c r="E1254"/>
      <c r="F1254"/>
      <c r="G1254" s="4"/>
      <c r="I1254"/>
      <c r="J1254"/>
      <c r="K1254"/>
      <c r="L1254"/>
    </row>
    <row r="1255" spans="1:12" s="1" customFormat="1" x14ac:dyDescent="0.25">
      <c r="A1255"/>
      <c r="B1255"/>
      <c r="C1255"/>
      <c r="D1255"/>
      <c r="E1255"/>
      <c r="F1255"/>
      <c r="G1255" s="4"/>
      <c r="I1255"/>
      <c r="J1255"/>
      <c r="K1255"/>
      <c r="L1255"/>
    </row>
    <row r="1256" spans="1:12" s="1" customFormat="1" x14ac:dyDescent="0.25">
      <c r="A1256"/>
      <c r="B1256"/>
      <c r="C1256"/>
      <c r="D1256"/>
      <c r="E1256"/>
      <c r="F1256"/>
      <c r="G1256" s="4"/>
      <c r="I1256"/>
      <c r="J1256"/>
      <c r="K1256"/>
      <c r="L1256"/>
    </row>
    <row r="1257" spans="1:12" s="1" customFormat="1" x14ac:dyDescent="0.25">
      <c r="A1257"/>
      <c r="B1257"/>
      <c r="C1257"/>
      <c r="D1257"/>
      <c r="E1257"/>
      <c r="F1257"/>
      <c r="G1257" s="4"/>
      <c r="I1257"/>
      <c r="J1257"/>
      <c r="K1257"/>
      <c r="L1257"/>
    </row>
    <row r="1258" spans="1:12" s="1" customFormat="1" x14ac:dyDescent="0.25">
      <c r="A1258"/>
      <c r="B1258"/>
      <c r="C1258"/>
      <c r="D1258"/>
      <c r="E1258"/>
      <c r="F1258"/>
      <c r="G1258" s="4"/>
      <c r="I1258"/>
      <c r="J1258"/>
      <c r="K1258"/>
      <c r="L1258"/>
    </row>
    <row r="1259" spans="1:12" s="1" customFormat="1" x14ac:dyDescent="0.25">
      <c r="A1259"/>
      <c r="B1259"/>
      <c r="C1259"/>
      <c r="D1259"/>
      <c r="E1259"/>
      <c r="F1259"/>
      <c r="G1259" s="4"/>
      <c r="I1259"/>
      <c r="J1259"/>
      <c r="K1259"/>
      <c r="L1259"/>
    </row>
    <row r="1260" spans="1:12" s="1" customFormat="1" x14ac:dyDescent="0.25">
      <c r="A1260"/>
      <c r="B1260"/>
      <c r="C1260"/>
      <c r="D1260"/>
      <c r="E1260"/>
      <c r="F1260"/>
      <c r="G1260" s="4"/>
      <c r="I1260"/>
      <c r="J1260"/>
      <c r="K1260"/>
      <c r="L1260"/>
    </row>
    <row r="1261" spans="1:12" s="1" customFormat="1" x14ac:dyDescent="0.25">
      <c r="A1261"/>
      <c r="B1261"/>
      <c r="C1261"/>
      <c r="D1261"/>
      <c r="E1261"/>
      <c r="F1261"/>
      <c r="G1261" s="4"/>
      <c r="I1261"/>
      <c r="J1261"/>
      <c r="K1261"/>
      <c r="L1261"/>
    </row>
    <row r="1262" spans="1:12" s="1" customFormat="1" x14ac:dyDescent="0.25">
      <c r="A1262"/>
      <c r="B1262"/>
      <c r="C1262"/>
      <c r="D1262"/>
      <c r="E1262"/>
      <c r="F1262"/>
      <c r="G1262" s="4"/>
      <c r="I1262"/>
      <c r="J1262"/>
      <c r="K1262"/>
      <c r="L1262"/>
    </row>
    <row r="1263" spans="1:12" s="1" customFormat="1" x14ac:dyDescent="0.25">
      <c r="A1263"/>
      <c r="B1263"/>
      <c r="C1263"/>
      <c r="D1263"/>
      <c r="E1263"/>
      <c r="F1263"/>
      <c r="G1263" s="4"/>
      <c r="I1263"/>
      <c r="J1263"/>
      <c r="K1263"/>
      <c r="L1263"/>
    </row>
    <row r="1264" spans="1:12" s="1" customFormat="1" x14ac:dyDescent="0.25">
      <c r="A1264"/>
      <c r="B1264"/>
      <c r="C1264"/>
      <c r="D1264"/>
      <c r="E1264"/>
      <c r="F1264"/>
      <c r="G1264" s="4"/>
      <c r="I1264"/>
      <c r="J1264"/>
      <c r="K1264"/>
      <c r="L1264"/>
    </row>
    <row r="1265" spans="1:12" s="1" customFormat="1" x14ac:dyDescent="0.25">
      <c r="A1265"/>
      <c r="B1265"/>
      <c r="C1265"/>
      <c r="D1265"/>
      <c r="E1265"/>
      <c r="F1265"/>
      <c r="G1265" s="4"/>
      <c r="I1265"/>
      <c r="J1265"/>
      <c r="K1265"/>
      <c r="L1265"/>
    </row>
    <row r="1266" spans="1:12" s="1" customFormat="1" x14ac:dyDescent="0.25">
      <c r="A1266"/>
      <c r="B1266"/>
      <c r="C1266"/>
      <c r="D1266"/>
      <c r="E1266"/>
      <c r="F1266"/>
      <c r="G1266" s="4"/>
      <c r="I1266"/>
      <c r="J1266"/>
      <c r="K1266"/>
      <c r="L1266"/>
    </row>
    <row r="1267" spans="1:12" s="1" customFormat="1" x14ac:dyDescent="0.25">
      <c r="A1267"/>
      <c r="B1267"/>
      <c r="C1267"/>
      <c r="D1267"/>
      <c r="E1267"/>
      <c r="F1267"/>
      <c r="G1267" s="4"/>
      <c r="I1267"/>
      <c r="J1267"/>
      <c r="K1267"/>
      <c r="L1267"/>
    </row>
    <row r="1268" spans="1:12" s="1" customFormat="1" x14ac:dyDescent="0.25">
      <c r="A1268"/>
      <c r="B1268"/>
      <c r="C1268"/>
      <c r="D1268"/>
      <c r="E1268"/>
      <c r="F1268"/>
      <c r="G1268" s="4"/>
      <c r="I1268"/>
      <c r="J1268"/>
      <c r="K1268"/>
      <c r="L1268"/>
    </row>
    <row r="1269" spans="1:12" s="1" customFormat="1" x14ac:dyDescent="0.25">
      <c r="A1269"/>
      <c r="B1269"/>
      <c r="C1269"/>
      <c r="D1269"/>
      <c r="E1269"/>
      <c r="F1269"/>
      <c r="G1269" s="4"/>
      <c r="I1269"/>
      <c r="J1269"/>
      <c r="K1269"/>
      <c r="L1269"/>
    </row>
    <row r="1270" spans="1:12" s="1" customFormat="1" x14ac:dyDescent="0.25">
      <c r="A1270"/>
      <c r="B1270"/>
      <c r="C1270"/>
      <c r="D1270"/>
      <c r="E1270"/>
      <c r="F1270"/>
      <c r="G1270" s="4"/>
      <c r="I1270"/>
      <c r="J1270"/>
      <c r="K1270"/>
      <c r="L1270"/>
    </row>
    <row r="1271" spans="1:12" s="1" customFormat="1" x14ac:dyDescent="0.25">
      <c r="A1271"/>
      <c r="B1271"/>
      <c r="C1271"/>
      <c r="D1271"/>
      <c r="E1271"/>
      <c r="F1271"/>
      <c r="G1271" s="4"/>
      <c r="I1271"/>
      <c r="J1271"/>
      <c r="K1271"/>
      <c r="L1271"/>
    </row>
    <row r="1272" spans="1:12" s="1" customFormat="1" x14ac:dyDescent="0.25">
      <c r="A1272"/>
      <c r="B1272"/>
      <c r="C1272"/>
      <c r="D1272"/>
      <c r="E1272"/>
      <c r="F1272"/>
      <c r="G1272" s="4"/>
      <c r="I1272"/>
      <c r="J1272"/>
      <c r="K1272"/>
      <c r="L1272"/>
    </row>
    <row r="1273" spans="1:12" s="1" customFormat="1" x14ac:dyDescent="0.25">
      <c r="A1273"/>
      <c r="B1273"/>
      <c r="C1273"/>
      <c r="D1273"/>
      <c r="E1273"/>
      <c r="F1273"/>
      <c r="G1273" s="4"/>
      <c r="I1273"/>
      <c r="J1273"/>
      <c r="K1273"/>
      <c r="L1273"/>
    </row>
    <row r="1274" spans="1:12" s="1" customFormat="1" x14ac:dyDescent="0.25">
      <c r="A1274"/>
      <c r="B1274"/>
      <c r="C1274"/>
      <c r="D1274"/>
      <c r="E1274"/>
      <c r="F1274"/>
      <c r="G1274" s="4"/>
      <c r="I1274"/>
      <c r="J1274"/>
      <c r="K1274"/>
      <c r="L1274"/>
    </row>
    <row r="1275" spans="1:12" s="1" customFormat="1" x14ac:dyDescent="0.25">
      <c r="A1275"/>
      <c r="B1275"/>
      <c r="C1275"/>
      <c r="D1275"/>
      <c r="E1275"/>
      <c r="F1275"/>
      <c r="G1275" s="4"/>
      <c r="I1275"/>
      <c r="J1275"/>
      <c r="K1275"/>
      <c r="L1275"/>
    </row>
    <row r="1276" spans="1:12" s="1" customFormat="1" x14ac:dyDescent="0.25">
      <c r="A1276"/>
      <c r="B1276"/>
      <c r="C1276"/>
      <c r="D1276"/>
      <c r="E1276"/>
      <c r="F1276"/>
      <c r="G1276" s="4"/>
      <c r="I1276"/>
      <c r="J1276"/>
      <c r="K1276"/>
      <c r="L1276"/>
    </row>
    <row r="1277" spans="1:12" s="1" customFormat="1" x14ac:dyDescent="0.25">
      <c r="A1277"/>
      <c r="B1277"/>
      <c r="C1277"/>
      <c r="D1277"/>
      <c r="E1277"/>
      <c r="F1277"/>
      <c r="G1277" s="4"/>
      <c r="I1277"/>
      <c r="J1277"/>
      <c r="K1277"/>
      <c r="L1277"/>
    </row>
    <row r="1278" spans="1:12" s="1" customFormat="1" x14ac:dyDescent="0.25">
      <c r="A1278"/>
      <c r="B1278"/>
      <c r="C1278"/>
      <c r="D1278"/>
      <c r="E1278"/>
      <c r="F1278"/>
      <c r="G1278" s="4"/>
      <c r="I1278"/>
      <c r="J1278"/>
      <c r="K1278"/>
      <c r="L1278"/>
    </row>
    <row r="1279" spans="1:12" s="1" customFormat="1" x14ac:dyDescent="0.25">
      <c r="A1279"/>
      <c r="B1279"/>
      <c r="C1279"/>
      <c r="D1279"/>
      <c r="E1279"/>
      <c r="F1279"/>
      <c r="G1279" s="4"/>
      <c r="I1279"/>
      <c r="J1279"/>
      <c r="K1279"/>
      <c r="L1279"/>
    </row>
    <row r="1280" spans="1:12" s="1" customFormat="1" x14ac:dyDescent="0.25">
      <c r="A1280"/>
      <c r="B1280"/>
      <c r="C1280"/>
      <c r="D1280"/>
      <c r="E1280"/>
      <c r="F1280"/>
      <c r="G1280" s="4"/>
      <c r="I1280"/>
      <c r="J1280"/>
      <c r="K1280"/>
      <c r="L1280"/>
    </row>
    <row r="1281" spans="1:12" s="1" customFormat="1" x14ac:dyDescent="0.25">
      <c r="A1281"/>
      <c r="B1281"/>
      <c r="C1281"/>
      <c r="D1281"/>
      <c r="E1281"/>
      <c r="F1281"/>
      <c r="G1281" s="4"/>
      <c r="I1281"/>
      <c r="J1281"/>
      <c r="K1281"/>
      <c r="L1281"/>
    </row>
    <row r="1282" spans="1:12" s="1" customFormat="1" x14ac:dyDescent="0.25">
      <c r="A1282"/>
      <c r="B1282"/>
      <c r="C1282"/>
      <c r="D1282"/>
      <c r="E1282"/>
      <c r="F1282"/>
      <c r="G1282" s="4"/>
      <c r="I1282"/>
      <c r="J1282"/>
      <c r="K1282"/>
      <c r="L1282"/>
    </row>
    <row r="1283" spans="1:12" s="1" customFormat="1" x14ac:dyDescent="0.25">
      <c r="A1283"/>
      <c r="B1283"/>
      <c r="C1283"/>
      <c r="D1283"/>
      <c r="E1283"/>
      <c r="F1283"/>
      <c r="G1283" s="4"/>
      <c r="I1283"/>
      <c r="J1283"/>
      <c r="K1283"/>
      <c r="L1283"/>
    </row>
    <row r="1284" spans="1:12" s="1" customFormat="1" x14ac:dyDescent="0.25">
      <c r="A1284"/>
      <c r="B1284"/>
      <c r="C1284"/>
      <c r="D1284"/>
      <c r="E1284"/>
      <c r="F1284"/>
      <c r="G1284" s="4"/>
      <c r="I1284"/>
      <c r="J1284"/>
      <c r="K1284"/>
      <c r="L1284"/>
    </row>
    <row r="1285" spans="1:12" s="1" customFormat="1" x14ac:dyDescent="0.25">
      <c r="A1285"/>
      <c r="B1285"/>
      <c r="C1285"/>
      <c r="D1285"/>
      <c r="E1285"/>
      <c r="F1285"/>
      <c r="G1285" s="4"/>
      <c r="I1285"/>
      <c r="J1285"/>
      <c r="K1285"/>
      <c r="L1285"/>
    </row>
    <row r="1286" spans="1:12" s="1" customFormat="1" x14ac:dyDescent="0.25">
      <c r="A1286"/>
      <c r="B1286"/>
      <c r="C1286"/>
      <c r="D1286"/>
      <c r="E1286"/>
      <c r="F1286"/>
      <c r="G1286" s="4"/>
      <c r="I1286"/>
      <c r="J1286"/>
      <c r="K1286"/>
      <c r="L1286"/>
    </row>
    <row r="1287" spans="1:12" s="1" customFormat="1" x14ac:dyDescent="0.25">
      <c r="A1287"/>
      <c r="B1287"/>
      <c r="C1287"/>
      <c r="D1287"/>
      <c r="E1287"/>
      <c r="F1287"/>
      <c r="G1287" s="4"/>
      <c r="I1287"/>
      <c r="J1287"/>
      <c r="K1287"/>
      <c r="L1287"/>
    </row>
    <row r="1288" spans="1:12" s="1" customFormat="1" x14ac:dyDescent="0.25">
      <c r="A1288"/>
      <c r="B1288"/>
      <c r="C1288"/>
      <c r="D1288"/>
      <c r="E1288"/>
      <c r="F1288"/>
      <c r="G1288" s="4"/>
      <c r="I1288"/>
      <c r="J1288"/>
      <c r="K1288"/>
      <c r="L1288"/>
    </row>
    <row r="1289" spans="1:12" s="1" customFormat="1" x14ac:dyDescent="0.25">
      <c r="A1289"/>
      <c r="B1289"/>
      <c r="C1289"/>
      <c r="D1289"/>
      <c r="E1289"/>
      <c r="F1289"/>
      <c r="G1289" s="4"/>
      <c r="I1289"/>
      <c r="J1289"/>
      <c r="K1289"/>
      <c r="L1289"/>
    </row>
    <row r="1290" spans="1:12" s="1" customFormat="1" x14ac:dyDescent="0.25">
      <c r="A1290"/>
      <c r="B1290"/>
      <c r="C1290"/>
      <c r="D1290"/>
      <c r="E1290"/>
      <c r="F1290"/>
      <c r="G1290" s="4"/>
      <c r="I1290"/>
      <c r="J1290"/>
      <c r="K1290"/>
      <c r="L1290"/>
    </row>
    <row r="1291" spans="1:12" s="1" customFormat="1" x14ac:dyDescent="0.25">
      <c r="A1291"/>
      <c r="B1291"/>
      <c r="C1291"/>
      <c r="D1291"/>
      <c r="E1291"/>
      <c r="F1291"/>
      <c r="G1291" s="4"/>
      <c r="I1291"/>
      <c r="J1291"/>
      <c r="K1291"/>
      <c r="L1291"/>
    </row>
    <row r="1292" spans="1:12" s="1" customFormat="1" x14ac:dyDescent="0.25">
      <c r="A1292"/>
      <c r="B1292"/>
      <c r="C1292"/>
      <c r="D1292"/>
      <c r="E1292"/>
      <c r="F1292"/>
      <c r="G1292" s="4"/>
      <c r="I1292"/>
      <c r="J1292"/>
      <c r="K1292"/>
      <c r="L1292"/>
    </row>
    <row r="1293" spans="1:12" s="1" customFormat="1" x14ac:dyDescent="0.25">
      <c r="A1293"/>
      <c r="B1293"/>
      <c r="C1293"/>
      <c r="D1293"/>
      <c r="E1293"/>
      <c r="F1293"/>
      <c r="G1293" s="4"/>
      <c r="I1293"/>
      <c r="J1293"/>
      <c r="K1293"/>
      <c r="L1293"/>
    </row>
    <row r="1294" spans="1:12" s="1" customFormat="1" x14ac:dyDescent="0.25">
      <c r="A1294"/>
      <c r="B1294"/>
      <c r="C1294"/>
      <c r="D1294"/>
      <c r="E1294"/>
      <c r="F1294"/>
      <c r="G1294" s="4"/>
      <c r="I1294"/>
      <c r="J1294"/>
      <c r="K1294"/>
      <c r="L1294"/>
    </row>
    <row r="1295" spans="1:12" s="1" customFormat="1" x14ac:dyDescent="0.25">
      <c r="A1295"/>
      <c r="B1295"/>
      <c r="C1295"/>
      <c r="D1295"/>
      <c r="E1295"/>
      <c r="F1295"/>
      <c r="G1295" s="4"/>
      <c r="I1295"/>
      <c r="J1295"/>
      <c r="K1295"/>
      <c r="L1295"/>
    </row>
    <row r="1296" spans="1:12" s="1" customFormat="1" x14ac:dyDescent="0.25">
      <c r="A1296"/>
      <c r="B1296"/>
      <c r="C1296"/>
      <c r="D1296"/>
      <c r="E1296"/>
      <c r="F1296"/>
      <c r="G1296" s="4"/>
      <c r="I1296"/>
      <c r="J1296"/>
      <c r="K1296"/>
      <c r="L1296"/>
    </row>
    <row r="1297" spans="1:12" s="1" customFormat="1" x14ac:dyDescent="0.25">
      <c r="A1297"/>
      <c r="B1297"/>
      <c r="C1297"/>
      <c r="D1297"/>
      <c r="E1297"/>
      <c r="F1297"/>
      <c r="G1297" s="4"/>
      <c r="I1297"/>
      <c r="J1297"/>
      <c r="K1297"/>
      <c r="L1297"/>
    </row>
    <row r="1298" spans="1:12" s="1" customFormat="1" x14ac:dyDescent="0.25">
      <c r="A1298"/>
      <c r="B1298"/>
      <c r="C1298"/>
      <c r="D1298"/>
      <c r="E1298"/>
      <c r="F1298"/>
      <c r="G1298" s="4"/>
      <c r="I1298"/>
      <c r="J1298"/>
      <c r="K1298"/>
      <c r="L1298"/>
    </row>
    <row r="1299" spans="1:12" s="1" customFormat="1" x14ac:dyDescent="0.25">
      <c r="A1299"/>
      <c r="B1299"/>
      <c r="C1299"/>
      <c r="D1299"/>
      <c r="E1299"/>
      <c r="F1299"/>
      <c r="G1299" s="4"/>
      <c r="I1299"/>
      <c r="J1299"/>
      <c r="K1299"/>
      <c r="L1299"/>
    </row>
    <row r="1300" spans="1:12" s="1" customFormat="1" x14ac:dyDescent="0.25">
      <c r="A1300"/>
      <c r="B1300"/>
      <c r="C1300"/>
      <c r="D1300"/>
      <c r="E1300"/>
      <c r="F1300"/>
      <c r="G1300" s="4"/>
      <c r="I1300"/>
      <c r="J1300"/>
      <c r="K1300"/>
      <c r="L1300"/>
    </row>
    <row r="1301" spans="1:12" s="1" customFormat="1" x14ac:dyDescent="0.25">
      <c r="A1301"/>
      <c r="B1301"/>
      <c r="C1301"/>
      <c r="D1301"/>
      <c r="E1301"/>
      <c r="F1301"/>
      <c r="G1301" s="4"/>
      <c r="I1301"/>
      <c r="J1301"/>
      <c r="K1301"/>
      <c r="L1301"/>
    </row>
    <row r="1302" spans="1:12" s="1" customFormat="1" x14ac:dyDescent="0.25">
      <c r="A1302"/>
      <c r="B1302"/>
      <c r="C1302"/>
      <c r="D1302"/>
      <c r="E1302"/>
      <c r="F1302"/>
      <c r="G1302" s="4"/>
      <c r="I1302"/>
      <c r="J1302"/>
      <c r="K1302"/>
      <c r="L1302"/>
    </row>
    <row r="1303" spans="1:12" s="1" customFormat="1" x14ac:dyDescent="0.25">
      <c r="A1303"/>
      <c r="B1303"/>
      <c r="C1303"/>
      <c r="D1303"/>
      <c r="E1303"/>
      <c r="F1303"/>
      <c r="G1303" s="4"/>
      <c r="I1303"/>
      <c r="J1303"/>
      <c r="K1303"/>
      <c r="L1303"/>
    </row>
    <row r="1304" spans="1:12" s="1" customFormat="1" x14ac:dyDescent="0.25">
      <c r="A1304"/>
      <c r="B1304"/>
      <c r="C1304"/>
      <c r="D1304"/>
      <c r="E1304"/>
      <c r="F1304"/>
      <c r="G1304" s="4"/>
      <c r="I1304"/>
      <c r="J1304"/>
      <c r="K1304"/>
      <c r="L1304"/>
    </row>
    <row r="1305" spans="1:12" s="1" customFormat="1" x14ac:dyDescent="0.25">
      <c r="A1305"/>
      <c r="B1305"/>
      <c r="C1305"/>
      <c r="D1305"/>
      <c r="E1305"/>
      <c r="F1305"/>
      <c r="G1305" s="4"/>
      <c r="I1305"/>
      <c r="J1305"/>
      <c r="K1305"/>
      <c r="L1305"/>
    </row>
    <row r="1306" spans="1:12" s="1" customFormat="1" x14ac:dyDescent="0.25">
      <c r="A1306"/>
      <c r="B1306"/>
      <c r="C1306"/>
      <c r="D1306"/>
      <c r="E1306"/>
      <c r="F1306"/>
      <c r="G1306" s="4"/>
      <c r="I1306"/>
      <c r="J1306"/>
      <c r="K1306"/>
      <c r="L1306"/>
    </row>
    <row r="1307" spans="1:12" s="1" customFormat="1" x14ac:dyDescent="0.25">
      <c r="A1307"/>
      <c r="B1307"/>
      <c r="C1307"/>
      <c r="D1307"/>
      <c r="E1307"/>
      <c r="F1307"/>
      <c r="G1307" s="4"/>
      <c r="I1307"/>
      <c r="J1307"/>
      <c r="K1307"/>
      <c r="L1307"/>
    </row>
    <row r="1308" spans="1:12" s="1" customFormat="1" x14ac:dyDescent="0.25">
      <c r="A1308"/>
      <c r="B1308"/>
      <c r="C1308"/>
      <c r="D1308"/>
      <c r="E1308"/>
      <c r="F1308"/>
      <c r="G1308" s="4"/>
      <c r="I1308"/>
      <c r="J1308"/>
      <c r="K1308"/>
      <c r="L1308"/>
    </row>
    <row r="1309" spans="1:12" s="1" customFormat="1" x14ac:dyDescent="0.25">
      <c r="A1309"/>
      <c r="B1309"/>
      <c r="C1309"/>
      <c r="D1309"/>
      <c r="E1309"/>
      <c r="F1309"/>
      <c r="G1309" s="4"/>
      <c r="I1309"/>
      <c r="J1309"/>
      <c r="K1309"/>
      <c r="L1309"/>
    </row>
    <row r="1310" spans="1:12" s="1" customFormat="1" x14ac:dyDescent="0.25">
      <c r="A1310"/>
      <c r="B1310"/>
      <c r="C1310"/>
      <c r="D1310"/>
      <c r="E1310"/>
      <c r="F1310"/>
      <c r="G1310" s="4"/>
      <c r="I1310"/>
      <c r="J1310"/>
      <c r="K1310"/>
      <c r="L1310"/>
    </row>
    <row r="1311" spans="1:12" s="1" customFormat="1" x14ac:dyDescent="0.25">
      <c r="A1311"/>
      <c r="B1311"/>
      <c r="C1311"/>
      <c r="D1311"/>
      <c r="E1311"/>
      <c r="F1311"/>
      <c r="G1311" s="4"/>
      <c r="I1311"/>
      <c r="J1311"/>
      <c r="K1311"/>
      <c r="L1311"/>
    </row>
    <row r="1312" spans="1:12" s="1" customFormat="1" x14ac:dyDescent="0.25">
      <c r="A1312"/>
      <c r="B1312"/>
      <c r="C1312"/>
      <c r="D1312"/>
      <c r="E1312"/>
      <c r="F1312"/>
      <c r="G1312" s="4"/>
      <c r="I1312"/>
      <c r="J1312"/>
      <c r="K1312"/>
      <c r="L1312"/>
    </row>
    <row r="1313" spans="1:12" s="1" customFormat="1" x14ac:dyDescent="0.25">
      <c r="A1313"/>
      <c r="B1313"/>
      <c r="C1313"/>
      <c r="D1313"/>
      <c r="E1313"/>
      <c r="F1313"/>
      <c r="G1313" s="4"/>
      <c r="I1313"/>
      <c r="J1313"/>
      <c r="K1313"/>
      <c r="L1313"/>
    </row>
    <row r="1314" spans="1:12" s="1" customFormat="1" x14ac:dyDescent="0.25">
      <c r="A1314"/>
      <c r="B1314"/>
      <c r="C1314"/>
      <c r="D1314"/>
      <c r="E1314"/>
      <c r="F1314"/>
      <c r="G1314" s="4"/>
      <c r="I1314"/>
      <c r="J1314"/>
      <c r="K1314"/>
      <c r="L1314"/>
    </row>
    <row r="1315" spans="1:12" s="1" customFormat="1" x14ac:dyDescent="0.25">
      <c r="A1315"/>
      <c r="B1315"/>
      <c r="C1315"/>
      <c r="D1315"/>
      <c r="E1315"/>
      <c r="F1315"/>
      <c r="G1315" s="4"/>
      <c r="I1315"/>
      <c r="J1315"/>
      <c r="K1315"/>
      <c r="L1315"/>
    </row>
    <row r="1316" spans="1:12" s="1" customFormat="1" x14ac:dyDescent="0.25">
      <c r="A1316"/>
      <c r="B1316"/>
      <c r="C1316"/>
      <c r="D1316"/>
      <c r="E1316"/>
      <c r="F1316"/>
      <c r="G1316" s="4"/>
      <c r="I1316"/>
      <c r="J1316"/>
      <c r="K1316"/>
      <c r="L1316"/>
    </row>
    <row r="1317" spans="1:12" s="1" customFormat="1" x14ac:dyDescent="0.25">
      <c r="A1317"/>
      <c r="B1317"/>
      <c r="C1317"/>
      <c r="D1317"/>
      <c r="E1317"/>
      <c r="F1317"/>
      <c r="G1317" s="4"/>
      <c r="I1317"/>
      <c r="J1317"/>
      <c r="K1317"/>
      <c r="L1317"/>
    </row>
    <row r="1318" spans="1:12" s="1" customFormat="1" x14ac:dyDescent="0.25">
      <c r="A1318"/>
      <c r="B1318"/>
      <c r="C1318"/>
      <c r="D1318"/>
      <c r="E1318"/>
      <c r="F1318"/>
      <c r="G1318" s="4"/>
      <c r="I1318"/>
      <c r="J1318"/>
      <c r="K1318"/>
      <c r="L1318"/>
    </row>
    <row r="1319" spans="1:12" s="1" customFormat="1" x14ac:dyDescent="0.25">
      <c r="A1319"/>
      <c r="B1319"/>
      <c r="C1319"/>
      <c r="D1319"/>
      <c r="E1319"/>
      <c r="F1319"/>
      <c r="G1319" s="4"/>
      <c r="I1319"/>
      <c r="J1319"/>
      <c r="K1319"/>
      <c r="L1319"/>
    </row>
    <row r="1320" spans="1:12" s="1" customFormat="1" x14ac:dyDescent="0.25">
      <c r="A1320"/>
      <c r="B1320"/>
      <c r="C1320"/>
      <c r="D1320"/>
      <c r="E1320"/>
      <c r="F1320"/>
      <c r="G1320" s="4"/>
      <c r="I1320"/>
      <c r="J1320"/>
      <c r="K1320"/>
      <c r="L1320"/>
    </row>
    <row r="1321" spans="1:12" s="1" customFormat="1" x14ac:dyDescent="0.25">
      <c r="A1321"/>
      <c r="B1321"/>
      <c r="C1321"/>
      <c r="D1321"/>
      <c r="E1321"/>
      <c r="F1321"/>
      <c r="G1321" s="4"/>
      <c r="I1321"/>
      <c r="J1321"/>
      <c r="K1321"/>
      <c r="L1321"/>
    </row>
    <row r="1322" spans="1:12" s="1" customFormat="1" x14ac:dyDescent="0.25">
      <c r="A1322"/>
      <c r="B1322"/>
      <c r="C1322"/>
      <c r="D1322"/>
      <c r="E1322"/>
      <c r="F1322"/>
      <c r="G1322" s="4"/>
      <c r="I1322"/>
      <c r="J1322"/>
      <c r="K1322"/>
      <c r="L1322"/>
    </row>
    <row r="1323" spans="1:12" s="1" customFormat="1" x14ac:dyDescent="0.25">
      <c r="A1323"/>
      <c r="B1323"/>
      <c r="C1323"/>
      <c r="D1323"/>
      <c r="E1323"/>
      <c r="F1323"/>
      <c r="G1323" s="4"/>
      <c r="I1323"/>
      <c r="J1323"/>
      <c r="K1323"/>
      <c r="L1323"/>
    </row>
    <row r="1324" spans="1:12" s="1" customFormat="1" x14ac:dyDescent="0.25">
      <c r="A1324"/>
      <c r="B1324"/>
      <c r="C1324"/>
      <c r="D1324"/>
      <c r="E1324"/>
      <c r="F1324"/>
      <c r="G1324" s="4"/>
      <c r="I1324"/>
      <c r="J1324"/>
      <c r="K1324"/>
      <c r="L1324"/>
    </row>
    <row r="1325" spans="1:12" s="1" customFormat="1" x14ac:dyDescent="0.25">
      <c r="A1325"/>
      <c r="B1325"/>
      <c r="C1325"/>
      <c r="D1325"/>
      <c r="E1325"/>
      <c r="F1325"/>
      <c r="G1325" s="4"/>
      <c r="I1325"/>
      <c r="J1325"/>
      <c r="K1325"/>
      <c r="L1325"/>
    </row>
    <row r="1326" spans="1:12" s="1" customFormat="1" x14ac:dyDescent="0.25">
      <c r="A1326"/>
      <c r="B1326"/>
      <c r="C1326"/>
      <c r="D1326"/>
      <c r="E1326"/>
      <c r="F1326"/>
      <c r="G1326" s="4"/>
      <c r="I1326"/>
      <c r="J1326"/>
      <c r="K1326"/>
      <c r="L1326"/>
    </row>
    <row r="1327" spans="1:12" s="1" customFormat="1" x14ac:dyDescent="0.25">
      <c r="A1327"/>
      <c r="B1327"/>
      <c r="C1327"/>
      <c r="D1327"/>
      <c r="E1327"/>
      <c r="F1327"/>
      <c r="G1327" s="4"/>
      <c r="I1327"/>
      <c r="J1327"/>
      <c r="K1327"/>
      <c r="L1327"/>
    </row>
    <row r="1328" spans="1:12" s="1" customFormat="1" x14ac:dyDescent="0.25">
      <c r="A1328"/>
      <c r="B1328"/>
      <c r="C1328"/>
      <c r="D1328"/>
      <c r="E1328"/>
      <c r="F1328"/>
      <c r="G1328" s="4"/>
      <c r="I1328"/>
      <c r="J1328"/>
      <c r="K1328"/>
      <c r="L1328"/>
    </row>
    <row r="1329" spans="1:12" s="1" customFormat="1" x14ac:dyDescent="0.25">
      <c r="A1329"/>
      <c r="B1329"/>
      <c r="C1329"/>
      <c r="D1329"/>
      <c r="E1329"/>
      <c r="F1329"/>
      <c r="G1329" s="4"/>
      <c r="I1329"/>
      <c r="J1329"/>
      <c r="K1329"/>
      <c r="L1329"/>
    </row>
    <row r="1330" spans="1:12" s="1" customFormat="1" x14ac:dyDescent="0.25">
      <c r="A1330"/>
      <c r="B1330"/>
      <c r="C1330"/>
      <c r="D1330"/>
      <c r="E1330"/>
      <c r="F1330"/>
      <c r="G1330" s="4"/>
      <c r="I1330"/>
      <c r="J1330"/>
      <c r="K1330"/>
      <c r="L1330"/>
    </row>
    <row r="1331" spans="1:12" s="1" customFormat="1" x14ac:dyDescent="0.25">
      <c r="A1331"/>
      <c r="B1331"/>
      <c r="C1331"/>
      <c r="D1331"/>
      <c r="E1331"/>
      <c r="F1331"/>
      <c r="G1331" s="4"/>
      <c r="I1331"/>
      <c r="J1331"/>
      <c r="K1331"/>
      <c r="L1331"/>
    </row>
    <row r="1332" spans="1:12" s="1" customFormat="1" x14ac:dyDescent="0.25">
      <c r="A1332"/>
      <c r="B1332"/>
      <c r="C1332"/>
      <c r="D1332"/>
      <c r="E1332"/>
      <c r="F1332"/>
      <c r="G1332" s="4"/>
      <c r="I1332"/>
      <c r="J1332"/>
      <c r="K1332"/>
      <c r="L1332"/>
    </row>
    <row r="1333" spans="1:12" s="1" customFormat="1" x14ac:dyDescent="0.25">
      <c r="A1333"/>
      <c r="B1333"/>
      <c r="C1333"/>
      <c r="D1333"/>
      <c r="E1333"/>
      <c r="F1333"/>
      <c r="G1333" s="4"/>
      <c r="I1333"/>
      <c r="J1333"/>
      <c r="K1333"/>
      <c r="L1333"/>
    </row>
    <row r="1334" spans="1:12" s="1" customFormat="1" x14ac:dyDescent="0.25">
      <c r="A1334"/>
      <c r="B1334"/>
      <c r="C1334"/>
      <c r="D1334"/>
      <c r="E1334"/>
      <c r="F1334"/>
      <c r="G1334" s="4"/>
      <c r="I1334"/>
      <c r="J1334"/>
      <c r="K1334"/>
      <c r="L1334"/>
    </row>
    <row r="1335" spans="1:12" s="1" customFormat="1" x14ac:dyDescent="0.25">
      <c r="A1335"/>
      <c r="B1335"/>
      <c r="C1335"/>
      <c r="D1335"/>
      <c r="E1335"/>
      <c r="F1335"/>
      <c r="G1335" s="4"/>
      <c r="I1335"/>
      <c r="J1335"/>
      <c r="K1335"/>
      <c r="L1335"/>
    </row>
    <row r="1336" spans="1:12" s="1" customFormat="1" x14ac:dyDescent="0.25">
      <c r="A1336"/>
      <c r="B1336"/>
      <c r="C1336"/>
      <c r="D1336"/>
      <c r="E1336"/>
      <c r="F1336"/>
      <c r="G1336" s="4"/>
      <c r="I1336"/>
      <c r="J1336"/>
      <c r="K1336"/>
      <c r="L1336"/>
    </row>
    <row r="1337" spans="1:12" s="1" customFormat="1" x14ac:dyDescent="0.25">
      <c r="A1337"/>
      <c r="B1337"/>
      <c r="C1337"/>
      <c r="D1337"/>
      <c r="E1337"/>
      <c r="F1337"/>
      <c r="G1337" s="4"/>
      <c r="I1337"/>
      <c r="J1337"/>
      <c r="K1337"/>
      <c r="L1337"/>
    </row>
    <row r="1338" spans="1:12" s="1" customFormat="1" x14ac:dyDescent="0.25">
      <c r="A1338"/>
      <c r="B1338"/>
      <c r="C1338"/>
      <c r="D1338"/>
      <c r="E1338"/>
      <c r="F1338"/>
      <c r="G1338" s="4"/>
      <c r="I1338"/>
      <c r="J1338"/>
      <c r="K1338"/>
      <c r="L1338"/>
    </row>
    <row r="1339" spans="1:12" s="1" customFormat="1" x14ac:dyDescent="0.25">
      <c r="A1339"/>
      <c r="B1339"/>
      <c r="C1339"/>
      <c r="D1339"/>
      <c r="E1339"/>
      <c r="F1339"/>
      <c r="G1339" s="4"/>
      <c r="I1339"/>
      <c r="J1339"/>
      <c r="K1339"/>
      <c r="L1339"/>
    </row>
    <row r="1340" spans="1:12" s="1" customFormat="1" x14ac:dyDescent="0.25">
      <c r="A1340"/>
      <c r="B1340"/>
      <c r="C1340"/>
      <c r="D1340"/>
      <c r="E1340"/>
      <c r="F1340"/>
      <c r="G1340" s="4"/>
      <c r="I1340"/>
      <c r="J1340"/>
      <c r="K1340"/>
      <c r="L1340"/>
    </row>
    <row r="1341" spans="1:12" s="1" customFormat="1" x14ac:dyDescent="0.25">
      <c r="A1341"/>
      <c r="B1341"/>
      <c r="C1341"/>
      <c r="D1341"/>
      <c r="E1341"/>
      <c r="F1341"/>
      <c r="G1341" s="4"/>
      <c r="I1341"/>
      <c r="J1341"/>
      <c r="K1341"/>
      <c r="L1341"/>
    </row>
    <row r="1342" spans="1:12" s="1" customFormat="1" x14ac:dyDescent="0.25">
      <c r="A1342"/>
      <c r="B1342"/>
      <c r="C1342"/>
      <c r="D1342"/>
      <c r="E1342"/>
      <c r="F1342"/>
      <c r="G1342" s="4"/>
      <c r="I1342"/>
      <c r="J1342"/>
      <c r="K1342"/>
      <c r="L1342"/>
    </row>
    <row r="1343" spans="1:12" s="1" customFormat="1" x14ac:dyDescent="0.25">
      <c r="A1343"/>
      <c r="B1343"/>
      <c r="C1343"/>
      <c r="D1343"/>
      <c r="E1343"/>
      <c r="F1343"/>
      <c r="G1343" s="4"/>
      <c r="I1343"/>
      <c r="J1343"/>
      <c r="K1343"/>
      <c r="L1343"/>
    </row>
    <row r="1344" spans="1:12" s="1" customFormat="1" x14ac:dyDescent="0.25">
      <c r="A1344"/>
      <c r="B1344"/>
      <c r="C1344"/>
      <c r="D1344"/>
      <c r="E1344"/>
      <c r="F1344"/>
      <c r="G1344" s="4"/>
      <c r="I1344"/>
      <c r="J1344"/>
      <c r="K1344"/>
      <c r="L1344"/>
    </row>
    <row r="1345" spans="1:12" s="1" customFormat="1" x14ac:dyDescent="0.25">
      <c r="A1345"/>
      <c r="B1345"/>
      <c r="C1345"/>
      <c r="D1345"/>
      <c r="E1345"/>
      <c r="F1345"/>
      <c r="G1345" s="4"/>
      <c r="I1345"/>
      <c r="J1345"/>
      <c r="K1345"/>
      <c r="L1345"/>
    </row>
    <row r="1346" spans="1:12" s="1" customFormat="1" x14ac:dyDescent="0.25">
      <c r="A1346"/>
      <c r="B1346"/>
      <c r="C1346"/>
      <c r="D1346"/>
      <c r="E1346"/>
      <c r="F1346"/>
      <c r="G1346" s="4"/>
      <c r="I1346"/>
      <c r="J1346"/>
      <c r="K1346"/>
      <c r="L1346"/>
    </row>
    <row r="1347" spans="1:12" s="1" customFormat="1" x14ac:dyDescent="0.25">
      <c r="A1347"/>
      <c r="B1347"/>
      <c r="C1347"/>
      <c r="D1347"/>
      <c r="E1347"/>
      <c r="F1347"/>
      <c r="G1347" s="4"/>
      <c r="I1347"/>
      <c r="J1347"/>
      <c r="K1347"/>
      <c r="L1347"/>
    </row>
    <row r="1348" spans="1:12" s="1" customFormat="1" x14ac:dyDescent="0.25">
      <c r="A1348"/>
      <c r="B1348"/>
      <c r="C1348"/>
      <c r="D1348"/>
      <c r="E1348"/>
      <c r="F1348"/>
      <c r="G1348" s="4"/>
      <c r="I1348"/>
      <c r="J1348"/>
      <c r="K1348"/>
      <c r="L1348"/>
    </row>
    <row r="1349" spans="1:12" s="1" customFormat="1" x14ac:dyDescent="0.25">
      <c r="A1349"/>
      <c r="B1349"/>
      <c r="C1349"/>
      <c r="D1349"/>
      <c r="E1349"/>
      <c r="F1349"/>
      <c r="G1349" s="4"/>
      <c r="I1349"/>
      <c r="J1349"/>
      <c r="K1349"/>
      <c r="L1349"/>
    </row>
    <row r="1350" spans="1:12" s="1" customFormat="1" x14ac:dyDescent="0.25">
      <c r="A1350"/>
      <c r="B1350"/>
      <c r="C1350"/>
      <c r="D1350"/>
      <c r="E1350"/>
      <c r="F1350"/>
      <c r="G1350" s="4"/>
      <c r="I1350"/>
      <c r="J1350"/>
      <c r="K1350"/>
      <c r="L1350"/>
    </row>
    <row r="1351" spans="1:12" s="1" customFormat="1" x14ac:dyDescent="0.25">
      <c r="A1351"/>
      <c r="B1351"/>
      <c r="C1351"/>
      <c r="D1351"/>
      <c r="E1351"/>
      <c r="F1351"/>
      <c r="G1351" s="4"/>
      <c r="I1351"/>
      <c r="J1351"/>
      <c r="K1351"/>
      <c r="L1351"/>
    </row>
    <row r="1352" spans="1:12" s="1" customFormat="1" x14ac:dyDescent="0.25">
      <c r="A1352"/>
      <c r="B1352"/>
      <c r="C1352"/>
      <c r="D1352"/>
      <c r="E1352"/>
      <c r="F1352"/>
      <c r="G1352" s="4"/>
      <c r="I1352"/>
      <c r="J1352"/>
      <c r="K1352"/>
      <c r="L1352"/>
    </row>
    <row r="1353" spans="1:12" s="1" customFormat="1" x14ac:dyDescent="0.25">
      <c r="A1353"/>
      <c r="B1353"/>
      <c r="C1353"/>
      <c r="D1353"/>
      <c r="E1353"/>
      <c r="F1353"/>
      <c r="G1353" s="4"/>
      <c r="I1353"/>
      <c r="J1353"/>
      <c r="K1353"/>
      <c r="L1353"/>
    </row>
    <row r="1354" spans="1:12" s="1" customFormat="1" x14ac:dyDescent="0.25">
      <c r="A1354"/>
      <c r="B1354"/>
      <c r="C1354"/>
      <c r="D1354"/>
      <c r="E1354"/>
      <c r="F1354"/>
      <c r="G1354" s="4"/>
      <c r="I1354"/>
      <c r="J1354"/>
      <c r="K1354"/>
      <c r="L1354"/>
    </row>
    <row r="1355" spans="1:12" s="1" customFormat="1" x14ac:dyDescent="0.25">
      <c r="A1355"/>
      <c r="B1355"/>
      <c r="C1355"/>
      <c r="D1355"/>
      <c r="E1355"/>
      <c r="F1355"/>
      <c r="G1355" s="4"/>
      <c r="I1355"/>
      <c r="J1355"/>
      <c r="K1355"/>
      <c r="L1355"/>
    </row>
    <row r="1356" spans="1:12" s="1" customFormat="1" x14ac:dyDescent="0.25">
      <c r="A1356"/>
      <c r="B1356"/>
      <c r="C1356"/>
      <c r="D1356"/>
      <c r="E1356"/>
      <c r="F1356"/>
      <c r="G1356" s="4"/>
      <c r="I1356"/>
      <c r="J1356"/>
      <c r="K1356"/>
      <c r="L1356"/>
    </row>
    <row r="1357" spans="1:12" s="1" customFormat="1" x14ac:dyDescent="0.25">
      <c r="A1357"/>
      <c r="B1357"/>
      <c r="C1357"/>
      <c r="D1357"/>
      <c r="E1357"/>
      <c r="F1357"/>
      <c r="G1357" s="4"/>
      <c r="I1357"/>
      <c r="J1357"/>
      <c r="K1357"/>
      <c r="L1357"/>
    </row>
    <row r="1358" spans="1:12" s="1" customFormat="1" x14ac:dyDescent="0.25">
      <c r="A1358"/>
      <c r="B1358"/>
      <c r="C1358"/>
      <c r="D1358"/>
      <c r="E1358"/>
      <c r="F1358"/>
      <c r="G1358" s="4"/>
      <c r="I1358"/>
      <c r="J1358"/>
      <c r="K1358"/>
      <c r="L1358"/>
    </row>
    <row r="1359" spans="1:12" s="1" customFormat="1" x14ac:dyDescent="0.25">
      <c r="A1359"/>
      <c r="B1359"/>
      <c r="C1359"/>
      <c r="D1359"/>
      <c r="E1359"/>
      <c r="F1359"/>
      <c r="G1359" s="4"/>
      <c r="I1359"/>
      <c r="J1359"/>
      <c r="K1359"/>
      <c r="L1359"/>
    </row>
    <row r="1360" spans="1:12" s="1" customFormat="1" x14ac:dyDescent="0.25">
      <c r="A1360"/>
      <c r="B1360"/>
      <c r="C1360"/>
      <c r="D1360"/>
      <c r="E1360"/>
      <c r="F1360"/>
      <c r="G1360" s="4"/>
      <c r="I1360"/>
      <c r="J1360"/>
      <c r="K1360"/>
      <c r="L1360"/>
    </row>
    <row r="1361" spans="1:12" s="1" customFormat="1" x14ac:dyDescent="0.25">
      <c r="A1361"/>
      <c r="B1361"/>
      <c r="C1361"/>
      <c r="D1361"/>
      <c r="E1361"/>
      <c r="F1361"/>
      <c r="G1361" s="4"/>
      <c r="I1361"/>
      <c r="J1361"/>
      <c r="K1361"/>
      <c r="L1361"/>
    </row>
    <row r="1362" spans="1:12" s="1" customFormat="1" x14ac:dyDescent="0.25">
      <c r="A1362"/>
      <c r="B1362"/>
      <c r="C1362"/>
      <c r="D1362"/>
      <c r="E1362"/>
      <c r="F1362"/>
      <c r="G1362" s="4"/>
      <c r="I1362"/>
      <c r="J1362"/>
      <c r="K1362"/>
      <c r="L1362"/>
    </row>
    <row r="1363" spans="1:12" s="1" customFormat="1" x14ac:dyDescent="0.25">
      <c r="A1363"/>
      <c r="B1363"/>
      <c r="C1363"/>
      <c r="D1363"/>
      <c r="E1363"/>
      <c r="F1363"/>
      <c r="G1363" s="4"/>
      <c r="I1363"/>
      <c r="J1363"/>
      <c r="K1363"/>
      <c r="L1363"/>
    </row>
    <row r="1364" spans="1:12" s="1" customFormat="1" x14ac:dyDescent="0.25">
      <c r="A1364"/>
      <c r="B1364"/>
      <c r="C1364"/>
      <c r="D1364"/>
      <c r="E1364"/>
      <c r="F1364"/>
      <c r="G1364" s="4"/>
      <c r="I1364"/>
      <c r="J1364"/>
      <c r="K1364"/>
      <c r="L1364"/>
    </row>
    <row r="1365" spans="1:12" s="1" customFormat="1" x14ac:dyDescent="0.25">
      <c r="A1365"/>
      <c r="B1365"/>
      <c r="C1365"/>
      <c r="D1365"/>
      <c r="E1365"/>
      <c r="F1365"/>
      <c r="G1365" s="4"/>
      <c r="I1365"/>
      <c r="J1365"/>
      <c r="K1365"/>
      <c r="L1365"/>
    </row>
    <row r="1366" spans="1:12" s="1" customFormat="1" x14ac:dyDescent="0.25">
      <c r="A1366"/>
      <c r="B1366"/>
      <c r="C1366"/>
      <c r="D1366"/>
      <c r="E1366"/>
      <c r="F1366"/>
      <c r="G1366" s="4"/>
      <c r="I1366"/>
      <c r="J1366"/>
      <c r="K1366"/>
      <c r="L1366"/>
    </row>
    <row r="1367" spans="1:12" s="1" customFormat="1" x14ac:dyDescent="0.25">
      <c r="A1367"/>
      <c r="B1367"/>
      <c r="C1367"/>
      <c r="D1367"/>
      <c r="E1367"/>
      <c r="F1367"/>
      <c r="G1367" s="4"/>
      <c r="I1367"/>
      <c r="J1367"/>
      <c r="K1367"/>
      <c r="L1367"/>
    </row>
    <row r="1368" spans="1:12" s="1" customFormat="1" x14ac:dyDescent="0.25">
      <c r="A1368"/>
      <c r="B1368"/>
      <c r="C1368"/>
      <c r="D1368"/>
      <c r="E1368"/>
      <c r="F1368"/>
      <c r="G1368" s="4"/>
      <c r="I1368"/>
      <c r="J1368"/>
      <c r="K1368"/>
      <c r="L1368"/>
    </row>
    <row r="1369" spans="1:12" s="1" customFormat="1" x14ac:dyDescent="0.25">
      <c r="A1369"/>
      <c r="B1369"/>
      <c r="C1369"/>
      <c r="D1369"/>
      <c r="E1369"/>
      <c r="F1369"/>
      <c r="G1369" s="4"/>
      <c r="I1369"/>
      <c r="J1369"/>
      <c r="K1369"/>
      <c r="L1369"/>
    </row>
    <row r="1370" spans="1:12" s="1" customFormat="1" x14ac:dyDescent="0.25">
      <c r="A1370"/>
      <c r="B1370"/>
      <c r="C1370"/>
      <c r="D1370"/>
      <c r="E1370"/>
      <c r="F1370"/>
      <c r="G1370" s="4"/>
      <c r="I1370"/>
      <c r="J1370"/>
      <c r="K1370"/>
      <c r="L1370"/>
    </row>
    <row r="1371" spans="1:12" s="1" customFormat="1" x14ac:dyDescent="0.25">
      <c r="A1371"/>
      <c r="B1371"/>
      <c r="C1371"/>
      <c r="D1371"/>
      <c r="E1371"/>
      <c r="F1371"/>
      <c r="G1371" s="4"/>
      <c r="I1371"/>
      <c r="J1371"/>
      <c r="K1371"/>
      <c r="L1371"/>
    </row>
    <row r="1372" spans="1:12" s="1" customFormat="1" x14ac:dyDescent="0.25">
      <c r="A1372"/>
      <c r="B1372"/>
      <c r="C1372"/>
      <c r="D1372"/>
      <c r="E1372"/>
      <c r="F1372"/>
      <c r="G1372" s="4"/>
      <c r="I1372"/>
      <c r="J1372"/>
      <c r="K1372"/>
      <c r="L1372"/>
    </row>
    <row r="1373" spans="1:12" s="1" customFormat="1" x14ac:dyDescent="0.25">
      <c r="A1373"/>
      <c r="B1373"/>
      <c r="C1373"/>
      <c r="D1373"/>
      <c r="E1373"/>
      <c r="F1373"/>
      <c r="G1373" s="4"/>
      <c r="I1373"/>
      <c r="J1373"/>
      <c r="K1373"/>
      <c r="L1373"/>
    </row>
    <row r="1374" spans="1:12" s="1" customFormat="1" x14ac:dyDescent="0.25">
      <c r="A1374"/>
      <c r="B1374"/>
      <c r="C1374"/>
      <c r="D1374"/>
      <c r="E1374"/>
      <c r="F1374"/>
      <c r="G1374" s="4"/>
      <c r="I1374"/>
      <c r="J1374"/>
      <c r="K1374"/>
      <c r="L1374"/>
    </row>
    <row r="1375" spans="1:12" s="1" customFormat="1" x14ac:dyDescent="0.25">
      <c r="A1375"/>
      <c r="B1375"/>
      <c r="C1375"/>
      <c r="D1375"/>
      <c r="E1375"/>
      <c r="F1375"/>
      <c r="G1375" s="4"/>
      <c r="I1375"/>
      <c r="J1375"/>
      <c r="K1375"/>
      <c r="L1375"/>
    </row>
    <row r="1376" spans="1:12" s="1" customFormat="1" x14ac:dyDescent="0.25">
      <c r="A1376"/>
      <c r="B1376"/>
      <c r="C1376"/>
      <c r="D1376"/>
      <c r="E1376"/>
      <c r="F1376"/>
      <c r="G1376" s="4"/>
      <c r="I1376"/>
      <c r="J1376"/>
      <c r="K1376"/>
      <c r="L1376"/>
    </row>
    <row r="1377" spans="1:12" s="1" customFormat="1" x14ac:dyDescent="0.25">
      <c r="A1377"/>
      <c r="B1377"/>
      <c r="C1377"/>
      <c r="D1377"/>
      <c r="E1377"/>
      <c r="F1377"/>
      <c r="G1377" s="4"/>
      <c r="I1377"/>
      <c r="J1377"/>
      <c r="K1377"/>
      <c r="L1377"/>
    </row>
    <row r="1378" spans="1:12" s="1" customFormat="1" x14ac:dyDescent="0.25">
      <c r="A1378"/>
      <c r="B1378"/>
      <c r="C1378"/>
      <c r="D1378"/>
      <c r="E1378"/>
      <c r="F1378"/>
      <c r="G1378" s="4"/>
      <c r="I1378"/>
      <c r="J1378"/>
      <c r="K1378"/>
      <c r="L1378"/>
    </row>
    <row r="1379" spans="1:12" s="1" customFormat="1" x14ac:dyDescent="0.25">
      <c r="A1379"/>
      <c r="B1379"/>
      <c r="C1379"/>
      <c r="D1379"/>
      <c r="E1379"/>
      <c r="F1379"/>
      <c r="G1379" s="4"/>
      <c r="I1379"/>
      <c r="J1379"/>
      <c r="K1379"/>
      <c r="L1379"/>
    </row>
    <row r="1380" spans="1:12" s="1" customFormat="1" x14ac:dyDescent="0.25">
      <c r="A1380"/>
      <c r="B1380"/>
      <c r="C1380"/>
      <c r="D1380"/>
      <c r="E1380"/>
      <c r="F1380"/>
      <c r="G1380" s="4"/>
      <c r="I1380"/>
      <c r="J1380"/>
      <c r="K1380"/>
      <c r="L1380"/>
    </row>
    <row r="1381" spans="1:12" s="1" customFormat="1" x14ac:dyDescent="0.25">
      <c r="A1381"/>
      <c r="B1381"/>
      <c r="C1381"/>
      <c r="D1381"/>
      <c r="E1381"/>
      <c r="F1381"/>
      <c r="G1381" s="4"/>
      <c r="I1381"/>
      <c r="J1381"/>
      <c r="K1381"/>
      <c r="L1381"/>
    </row>
    <row r="1382" spans="1:12" s="1" customFormat="1" x14ac:dyDescent="0.25">
      <c r="A1382"/>
      <c r="B1382"/>
      <c r="C1382"/>
      <c r="D1382"/>
      <c r="E1382"/>
      <c r="F1382"/>
      <c r="G1382" s="4"/>
      <c r="I1382"/>
      <c r="J1382"/>
      <c r="K1382"/>
      <c r="L1382"/>
    </row>
    <row r="1383" spans="1:12" s="1" customFormat="1" x14ac:dyDescent="0.25">
      <c r="A1383"/>
      <c r="B1383"/>
      <c r="C1383"/>
      <c r="D1383"/>
      <c r="E1383"/>
      <c r="F1383"/>
      <c r="G1383" s="4"/>
      <c r="I1383"/>
      <c r="J1383"/>
      <c r="K1383"/>
      <c r="L1383"/>
    </row>
    <row r="1384" spans="1:12" s="1" customFormat="1" x14ac:dyDescent="0.25">
      <c r="A1384"/>
      <c r="B1384"/>
      <c r="C1384"/>
      <c r="D1384"/>
      <c r="E1384"/>
      <c r="F1384"/>
      <c r="G1384" s="4"/>
      <c r="I1384"/>
      <c r="J1384"/>
      <c r="K1384"/>
      <c r="L1384"/>
    </row>
    <row r="1385" spans="1:12" s="1" customFormat="1" x14ac:dyDescent="0.25">
      <c r="A1385"/>
      <c r="B1385"/>
      <c r="C1385"/>
      <c r="D1385"/>
      <c r="E1385"/>
      <c r="F1385"/>
      <c r="G1385" s="4"/>
      <c r="I1385"/>
      <c r="J1385"/>
      <c r="K1385"/>
      <c r="L1385"/>
    </row>
    <row r="1386" spans="1:12" s="1" customFormat="1" x14ac:dyDescent="0.25">
      <c r="A1386"/>
      <c r="B1386"/>
      <c r="C1386"/>
      <c r="D1386"/>
      <c r="E1386"/>
      <c r="F1386"/>
      <c r="G1386" s="4"/>
      <c r="I1386"/>
      <c r="J1386"/>
      <c r="K1386"/>
      <c r="L1386"/>
    </row>
    <row r="1387" spans="1:12" s="1" customFormat="1" x14ac:dyDescent="0.25">
      <c r="A1387"/>
      <c r="B1387"/>
      <c r="C1387"/>
      <c r="D1387"/>
      <c r="E1387"/>
      <c r="F1387"/>
      <c r="G1387" s="4"/>
      <c r="I1387"/>
      <c r="J1387"/>
      <c r="K1387"/>
      <c r="L1387"/>
    </row>
    <row r="1388" spans="1:12" s="1" customFormat="1" x14ac:dyDescent="0.25">
      <c r="A1388"/>
      <c r="B1388"/>
      <c r="C1388"/>
      <c r="D1388"/>
      <c r="E1388"/>
      <c r="F1388"/>
      <c r="G1388" s="4"/>
      <c r="I1388"/>
      <c r="J1388"/>
      <c r="K1388"/>
      <c r="L1388"/>
    </row>
    <row r="1389" spans="1:12" s="1" customFormat="1" x14ac:dyDescent="0.25">
      <c r="A1389"/>
      <c r="B1389"/>
      <c r="C1389"/>
      <c r="D1389"/>
      <c r="E1389"/>
      <c r="F1389"/>
      <c r="G1389" s="4"/>
      <c r="I1389"/>
      <c r="J1389"/>
      <c r="K1389"/>
      <c r="L1389"/>
    </row>
    <row r="1390" spans="1:12" s="1" customFormat="1" x14ac:dyDescent="0.25">
      <c r="A1390"/>
      <c r="B1390"/>
      <c r="C1390"/>
      <c r="D1390"/>
      <c r="E1390"/>
      <c r="F1390"/>
      <c r="G1390" s="4"/>
      <c r="I1390"/>
      <c r="J1390"/>
      <c r="K1390"/>
      <c r="L1390"/>
    </row>
    <row r="1391" spans="1:12" s="1" customFormat="1" x14ac:dyDescent="0.25">
      <c r="A1391"/>
      <c r="B1391"/>
      <c r="C1391"/>
      <c r="D1391"/>
      <c r="E1391"/>
      <c r="F1391"/>
      <c r="G1391" s="4"/>
      <c r="I1391"/>
      <c r="J1391"/>
      <c r="K1391"/>
      <c r="L1391"/>
    </row>
    <row r="1392" spans="1:12" s="1" customFormat="1" x14ac:dyDescent="0.25">
      <c r="A1392"/>
      <c r="B1392"/>
      <c r="C1392"/>
      <c r="D1392"/>
      <c r="E1392"/>
      <c r="F1392"/>
      <c r="G1392" s="4"/>
      <c r="I1392"/>
      <c r="J1392"/>
      <c r="K1392"/>
      <c r="L1392"/>
    </row>
    <row r="1393" spans="1:12" s="1" customFormat="1" x14ac:dyDescent="0.25">
      <c r="A1393"/>
      <c r="B1393"/>
      <c r="C1393"/>
      <c r="D1393"/>
      <c r="E1393"/>
      <c r="F1393"/>
      <c r="G1393" s="4"/>
      <c r="I1393"/>
      <c r="J1393"/>
      <c r="K1393"/>
      <c r="L1393"/>
    </row>
    <row r="1394" spans="1:12" s="1" customFormat="1" x14ac:dyDescent="0.25">
      <c r="A1394"/>
      <c r="B1394"/>
      <c r="C1394"/>
      <c r="D1394"/>
      <c r="E1394"/>
      <c r="F1394"/>
      <c r="G1394" s="4"/>
      <c r="I1394"/>
      <c r="J1394"/>
      <c r="K1394"/>
      <c r="L1394"/>
    </row>
    <row r="1395" spans="1:12" s="1" customFormat="1" x14ac:dyDescent="0.25">
      <c r="A1395"/>
      <c r="B1395"/>
      <c r="C1395"/>
      <c r="D1395"/>
      <c r="E1395"/>
      <c r="F1395"/>
      <c r="G1395" s="4"/>
      <c r="I1395"/>
      <c r="J1395"/>
      <c r="K1395"/>
      <c r="L1395"/>
    </row>
    <row r="1396" spans="1:12" s="1" customFormat="1" x14ac:dyDescent="0.25">
      <c r="A1396"/>
      <c r="B1396"/>
      <c r="C1396"/>
      <c r="D1396"/>
      <c r="E1396"/>
      <c r="F1396"/>
      <c r="G1396" s="4"/>
      <c r="I1396"/>
      <c r="J1396"/>
      <c r="K1396"/>
      <c r="L1396"/>
    </row>
    <row r="1397" spans="1:12" s="1" customFormat="1" x14ac:dyDescent="0.25">
      <c r="A1397"/>
      <c r="B1397"/>
      <c r="C1397"/>
      <c r="D1397"/>
      <c r="E1397"/>
      <c r="F1397"/>
      <c r="G1397" s="4"/>
      <c r="I1397"/>
      <c r="J1397"/>
      <c r="K1397"/>
      <c r="L1397"/>
    </row>
    <row r="1398" spans="1:12" s="1" customFormat="1" x14ac:dyDescent="0.25">
      <c r="A1398"/>
      <c r="B1398"/>
      <c r="C1398"/>
      <c r="D1398"/>
      <c r="E1398"/>
      <c r="F1398"/>
      <c r="G1398" s="4"/>
      <c r="I1398"/>
      <c r="J1398"/>
      <c r="K1398"/>
      <c r="L1398"/>
    </row>
    <row r="1399" spans="1:12" s="1" customFormat="1" x14ac:dyDescent="0.25">
      <c r="A1399"/>
      <c r="B1399"/>
      <c r="C1399"/>
      <c r="D1399"/>
      <c r="E1399"/>
      <c r="F1399"/>
      <c r="G1399" s="4"/>
      <c r="I1399"/>
      <c r="J1399"/>
      <c r="K1399"/>
      <c r="L1399"/>
    </row>
    <row r="1400" spans="1:12" s="1" customFormat="1" x14ac:dyDescent="0.25">
      <c r="A1400"/>
      <c r="B1400"/>
      <c r="C1400"/>
      <c r="D1400"/>
      <c r="E1400"/>
      <c r="F1400"/>
      <c r="G1400" s="4"/>
      <c r="I1400"/>
      <c r="J1400"/>
      <c r="K1400"/>
      <c r="L1400"/>
    </row>
    <row r="1401" spans="1:12" s="1" customFormat="1" x14ac:dyDescent="0.25">
      <c r="A1401"/>
      <c r="B1401"/>
      <c r="C1401"/>
      <c r="D1401"/>
      <c r="E1401"/>
      <c r="F1401"/>
      <c r="G1401" s="4"/>
      <c r="I1401"/>
      <c r="J1401"/>
      <c r="K1401"/>
      <c r="L1401"/>
    </row>
    <row r="1402" spans="1:12" s="1" customFormat="1" x14ac:dyDescent="0.25">
      <c r="A1402"/>
      <c r="B1402"/>
      <c r="C1402"/>
      <c r="D1402"/>
      <c r="E1402"/>
      <c r="F1402"/>
      <c r="G1402" s="4"/>
      <c r="I1402"/>
      <c r="J1402"/>
      <c r="K1402"/>
      <c r="L1402"/>
    </row>
    <row r="1403" spans="1:12" s="1" customFormat="1" x14ac:dyDescent="0.25">
      <c r="A1403"/>
      <c r="B1403"/>
      <c r="C1403"/>
      <c r="D1403"/>
      <c r="E1403"/>
      <c r="F1403"/>
      <c r="G1403" s="4"/>
      <c r="I1403"/>
      <c r="J1403"/>
      <c r="K1403"/>
      <c r="L1403"/>
    </row>
    <row r="1404" spans="1:12" s="1" customFormat="1" x14ac:dyDescent="0.25">
      <c r="A1404"/>
      <c r="B1404"/>
      <c r="C1404"/>
      <c r="D1404"/>
      <c r="E1404"/>
      <c r="F1404"/>
      <c r="G1404" s="4"/>
      <c r="I1404"/>
      <c r="J1404"/>
      <c r="K1404"/>
      <c r="L1404"/>
    </row>
    <row r="1405" spans="1:12" s="1" customFormat="1" x14ac:dyDescent="0.25">
      <c r="A1405"/>
      <c r="B1405"/>
      <c r="C1405"/>
      <c r="D1405"/>
      <c r="E1405"/>
      <c r="F1405"/>
      <c r="G1405" s="4"/>
      <c r="I1405"/>
      <c r="J1405"/>
      <c r="K1405"/>
      <c r="L1405"/>
    </row>
    <row r="1406" spans="1:12" s="1" customFormat="1" x14ac:dyDescent="0.25">
      <c r="A1406"/>
      <c r="B1406"/>
      <c r="C1406"/>
      <c r="D1406"/>
      <c r="E1406"/>
      <c r="F1406"/>
      <c r="G1406" s="4"/>
      <c r="I1406"/>
      <c r="J1406"/>
      <c r="K1406"/>
      <c r="L1406"/>
    </row>
    <row r="1407" spans="1:12" s="1" customFormat="1" x14ac:dyDescent="0.25">
      <c r="A1407"/>
      <c r="B1407"/>
      <c r="C1407"/>
      <c r="D1407"/>
      <c r="E1407"/>
      <c r="F1407"/>
      <c r="G1407" s="4"/>
      <c r="I1407"/>
      <c r="J1407"/>
      <c r="K1407"/>
      <c r="L1407"/>
    </row>
    <row r="1408" spans="1:12" s="1" customFormat="1" x14ac:dyDescent="0.25">
      <c r="A1408"/>
      <c r="B1408"/>
      <c r="C1408"/>
      <c r="D1408"/>
      <c r="E1408"/>
      <c r="F1408"/>
      <c r="G1408" s="4"/>
      <c r="I1408"/>
      <c r="J1408"/>
      <c r="K1408"/>
      <c r="L1408"/>
    </row>
    <row r="1409" spans="1:12" s="1" customFormat="1" x14ac:dyDescent="0.25">
      <c r="A1409"/>
      <c r="B1409"/>
      <c r="C1409"/>
      <c r="D1409"/>
      <c r="E1409"/>
      <c r="F1409"/>
      <c r="G1409" s="4"/>
      <c r="I1409"/>
      <c r="J1409"/>
      <c r="K1409"/>
      <c r="L1409"/>
    </row>
    <row r="1410" spans="1:12" s="1" customFormat="1" x14ac:dyDescent="0.25">
      <c r="A1410"/>
      <c r="B1410"/>
      <c r="C1410"/>
      <c r="D1410"/>
      <c r="E1410"/>
      <c r="F1410"/>
      <c r="G1410" s="4"/>
      <c r="I1410"/>
      <c r="J1410"/>
      <c r="K1410"/>
      <c r="L1410"/>
    </row>
    <row r="1411" spans="1:12" s="1" customFormat="1" x14ac:dyDescent="0.25">
      <c r="A1411"/>
      <c r="B1411"/>
      <c r="C1411"/>
      <c r="D1411"/>
      <c r="E1411"/>
      <c r="F1411"/>
      <c r="G1411" s="4"/>
      <c r="I1411"/>
      <c r="J1411"/>
      <c r="K1411"/>
      <c r="L1411"/>
    </row>
    <row r="1412" spans="1:12" s="1" customFormat="1" x14ac:dyDescent="0.25">
      <c r="A1412"/>
      <c r="B1412"/>
      <c r="C1412"/>
      <c r="D1412"/>
      <c r="E1412"/>
      <c r="F1412"/>
      <c r="G1412" s="4"/>
      <c r="I1412"/>
      <c r="J1412"/>
      <c r="K1412"/>
      <c r="L1412"/>
    </row>
    <row r="1413" spans="1:12" s="1" customFormat="1" x14ac:dyDescent="0.25">
      <c r="A1413"/>
      <c r="B1413"/>
      <c r="C1413"/>
      <c r="D1413"/>
      <c r="E1413"/>
      <c r="F1413"/>
      <c r="G1413" s="4"/>
      <c r="I1413"/>
      <c r="J1413"/>
      <c r="K1413"/>
      <c r="L1413"/>
    </row>
    <row r="1414" spans="1:12" s="1" customFormat="1" x14ac:dyDescent="0.25">
      <c r="A1414"/>
      <c r="B1414"/>
      <c r="C1414"/>
      <c r="D1414"/>
      <c r="E1414"/>
      <c r="F1414"/>
      <c r="G1414" s="4"/>
      <c r="I1414"/>
      <c r="J1414"/>
      <c r="K1414"/>
      <c r="L1414"/>
    </row>
    <row r="1415" spans="1:12" s="1" customFormat="1" x14ac:dyDescent="0.25">
      <c r="A1415"/>
      <c r="B1415"/>
      <c r="C1415"/>
      <c r="D1415"/>
      <c r="E1415"/>
      <c r="F1415"/>
      <c r="G1415" s="4"/>
      <c r="I1415"/>
      <c r="J1415"/>
      <c r="K1415"/>
      <c r="L1415"/>
    </row>
    <row r="1416" spans="1:12" s="1" customFormat="1" x14ac:dyDescent="0.25">
      <c r="A1416"/>
      <c r="B1416"/>
      <c r="C1416"/>
      <c r="D1416"/>
      <c r="E1416"/>
      <c r="F1416"/>
      <c r="G1416" s="4"/>
      <c r="I1416"/>
      <c r="J1416"/>
      <c r="K1416"/>
      <c r="L1416"/>
    </row>
    <row r="1417" spans="1:12" s="1" customFormat="1" x14ac:dyDescent="0.25">
      <c r="A1417"/>
      <c r="B1417"/>
      <c r="C1417"/>
      <c r="D1417"/>
      <c r="E1417"/>
      <c r="F1417"/>
      <c r="G1417" s="4"/>
      <c r="I1417"/>
      <c r="J1417"/>
      <c r="K1417"/>
      <c r="L1417"/>
    </row>
    <row r="1418" spans="1:12" s="1" customFormat="1" x14ac:dyDescent="0.25">
      <c r="A1418"/>
      <c r="B1418"/>
      <c r="C1418"/>
      <c r="D1418"/>
      <c r="E1418"/>
      <c r="F1418"/>
      <c r="G1418" s="4"/>
      <c r="I1418"/>
      <c r="J1418"/>
      <c r="K1418"/>
      <c r="L1418"/>
    </row>
    <row r="1419" spans="1:12" s="1" customFormat="1" x14ac:dyDescent="0.25">
      <c r="A1419"/>
      <c r="B1419"/>
      <c r="C1419"/>
      <c r="D1419"/>
      <c r="E1419"/>
      <c r="F1419"/>
      <c r="G1419" s="4"/>
      <c r="I1419"/>
      <c r="J1419"/>
      <c r="K1419"/>
      <c r="L1419"/>
    </row>
    <row r="1420" spans="1:12" s="1" customFormat="1" x14ac:dyDescent="0.25">
      <c r="A1420"/>
      <c r="B1420"/>
      <c r="C1420"/>
      <c r="D1420"/>
      <c r="E1420"/>
      <c r="F1420"/>
      <c r="G1420" s="4"/>
      <c r="I1420"/>
      <c r="J1420"/>
      <c r="K1420"/>
      <c r="L1420"/>
    </row>
    <row r="1421" spans="1:12" s="1" customFormat="1" x14ac:dyDescent="0.25">
      <c r="A1421"/>
      <c r="B1421"/>
      <c r="C1421"/>
      <c r="D1421"/>
      <c r="E1421"/>
      <c r="F1421"/>
      <c r="G1421" s="4"/>
      <c r="I1421"/>
      <c r="J1421"/>
      <c r="K1421"/>
      <c r="L1421"/>
    </row>
    <row r="1422" spans="1:12" s="1" customFormat="1" x14ac:dyDescent="0.25">
      <c r="A1422"/>
      <c r="B1422"/>
      <c r="C1422"/>
      <c r="D1422"/>
      <c r="E1422"/>
      <c r="F1422"/>
      <c r="G1422" s="4"/>
      <c r="I1422"/>
      <c r="J1422"/>
      <c r="K1422"/>
      <c r="L1422"/>
    </row>
    <row r="1423" spans="1:12" s="1" customFormat="1" x14ac:dyDescent="0.25">
      <c r="A1423"/>
      <c r="B1423"/>
      <c r="C1423"/>
      <c r="D1423"/>
      <c r="E1423"/>
      <c r="F1423"/>
      <c r="G1423" s="4"/>
      <c r="I1423"/>
      <c r="J1423"/>
      <c r="K1423"/>
      <c r="L1423"/>
    </row>
    <row r="1424" spans="1:12" s="1" customFormat="1" x14ac:dyDescent="0.25">
      <c r="A1424"/>
      <c r="B1424"/>
      <c r="C1424"/>
      <c r="D1424"/>
      <c r="E1424"/>
      <c r="F1424"/>
      <c r="G1424" s="4"/>
      <c r="I1424"/>
      <c r="J1424"/>
      <c r="K1424"/>
      <c r="L1424"/>
    </row>
    <row r="1425" spans="1:12" s="1" customFormat="1" x14ac:dyDescent="0.25">
      <c r="A1425"/>
      <c r="B1425"/>
      <c r="C1425"/>
      <c r="D1425"/>
      <c r="E1425"/>
      <c r="F1425"/>
      <c r="G1425" s="4"/>
      <c r="I1425"/>
      <c r="J1425"/>
      <c r="K1425"/>
      <c r="L1425"/>
    </row>
    <row r="1426" spans="1:12" s="1" customFormat="1" x14ac:dyDescent="0.25">
      <c r="A1426"/>
      <c r="B1426"/>
      <c r="C1426"/>
      <c r="D1426"/>
      <c r="E1426"/>
      <c r="F1426"/>
      <c r="G1426" s="4"/>
      <c r="I1426"/>
      <c r="J1426"/>
      <c r="K1426"/>
      <c r="L1426"/>
    </row>
    <row r="1427" spans="1:12" s="1" customFormat="1" x14ac:dyDescent="0.25">
      <c r="A1427"/>
      <c r="B1427"/>
      <c r="C1427"/>
      <c r="D1427"/>
      <c r="E1427"/>
      <c r="F1427"/>
      <c r="G1427" s="4"/>
      <c r="I1427"/>
      <c r="J1427"/>
      <c r="K1427"/>
      <c r="L1427"/>
    </row>
    <row r="1428" spans="1:12" s="1" customFormat="1" x14ac:dyDescent="0.25">
      <c r="A1428"/>
      <c r="B1428"/>
      <c r="C1428"/>
      <c r="D1428"/>
      <c r="E1428"/>
      <c r="F1428"/>
      <c r="G1428" s="4"/>
      <c r="I1428"/>
      <c r="J1428"/>
      <c r="K1428"/>
      <c r="L1428"/>
    </row>
    <row r="1429" spans="1:12" s="1" customFormat="1" x14ac:dyDescent="0.25">
      <c r="A1429"/>
      <c r="B1429"/>
      <c r="C1429"/>
      <c r="D1429"/>
      <c r="E1429"/>
      <c r="F1429"/>
      <c r="G1429" s="4"/>
      <c r="I1429"/>
      <c r="J1429"/>
      <c r="K1429"/>
      <c r="L1429"/>
    </row>
    <row r="1430" spans="1:12" s="1" customFormat="1" x14ac:dyDescent="0.25">
      <c r="A1430"/>
      <c r="B1430"/>
      <c r="C1430"/>
      <c r="D1430"/>
      <c r="E1430"/>
      <c r="F1430"/>
      <c r="G1430" s="4"/>
      <c r="I1430"/>
      <c r="J1430"/>
      <c r="K1430"/>
      <c r="L1430"/>
    </row>
    <row r="1431" spans="1:12" s="1" customFormat="1" x14ac:dyDescent="0.25">
      <c r="A1431"/>
      <c r="B1431"/>
      <c r="C1431"/>
      <c r="D1431"/>
      <c r="E1431"/>
      <c r="F1431"/>
      <c r="G1431" s="4"/>
      <c r="I1431"/>
      <c r="J1431"/>
      <c r="K1431"/>
      <c r="L1431"/>
    </row>
    <row r="1432" spans="1:12" s="1" customFormat="1" x14ac:dyDescent="0.25">
      <c r="A1432"/>
      <c r="B1432"/>
      <c r="C1432"/>
      <c r="D1432"/>
      <c r="E1432"/>
      <c r="F1432"/>
      <c r="G1432" s="4"/>
      <c r="I1432"/>
      <c r="J1432"/>
      <c r="K1432"/>
      <c r="L1432"/>
    </row>
    <row r="1433" spans="1:12" s="1" customFormat="1" x14ac:dyDescent="0.25">
      <c r="A1433"/>
      <c r="B1433"/>
      <c r="C1433"/>
      <c r="D1433"/>
      <c r="E1433"/>
      <c r="F1433"/>
      <c r="G1433" s="4"/>
      <c r="I1433"/>
      <c r="J1433"/>
      <c r="K1433"/>
      <c r="L1433"/>
    </row>
    <row r="1434" spans="1:12" s="1" customFormat="1" x14ac:dyDescent="0.25">
      <c r="A1434"/>
      <c r="B1434"/>
      <c r="C1434"/>
      <c r="D1434"/>
      <c r="E1434"/>
      <c r="F1434"/>
      <c r="G1434" s="4"/>
      <c r="I1434"/>
      <c r="J1434"/>
      <c r="K1434"/>
      <c r="L1434"/>
    </row>
    <row r="1435" spans="1:12" s="1" customFormat="1" x14ac:dyDescent="0.25">
      <c r="A1435"/>
      <c r="B1435"/>
      <c r="C1435"/>
      <c r="D1435"/>
      <c r="E1435"/>
      <c r="F1435"/>
      <c r="G1435" s="4"/>
      <c r="I1435"/>
      <c r="J1435"/>
      <c r="K1435"/>
      <c r="L1435"/>
    </row>
    <row r="1436" spans="1:12" s="1" customFormat="1" x14ac:dyDescent="0.25">
      <c r="A1436"/>
      <c r="B1436"/>
      <c r="C1436"/>
      <c r="D1436"/>
      <c r="E1436"/>
      <c r="F1436"/>
      <c r="G1436" s="4"/>
      <c r="I1436"/>
      <c r="J1436"/>
      <c r="K1436"/>
      <c r="L1436"/>
    </row>
    <row r="1437" spans="1:12" s="1" customFormat="1" x14ac:dyDescent="0.25">
      <c r="A1437"/>
      <c r="B1437"/>
      <c r="C1437"/>
      <c r="D1437"/>
      <c r="E1437"/>
      <c r="F1437"/>
      <c r="G1437" s="4"/>
      <c r="I1437"/>
      <c r="J1437"/>
      <c r="K1437"/>
      <c r="L1437"/>
    </row>
    <row r="1438" spans="1:12" s="1" customFormat="1" x14ac:dyDescent="0.25">
      <c r="A1438"/>
      <c r="B1438"/>
      <c r="C1438"/>
      <c r="D1438"/>
      <c r="E1438"/>
      <c r="F1438"/>
      <c r="G1438" s="4"/>
      <c r="I1438"/>
      <c r="J1438"/>
      <c r="K1438"/>
      <c r="L1438"/>
    </row>
    <row r="1439" spans="1:12" s="1" customFormat="1" x14ac:dyDescent="0.25">
      <c r="A1439"/>
      <c r="B1439"/>
      <c r="C1439"/>
      <c r="D1439"/>
      <c r="E1439"/>
      <c r="F1439"/>
      <c r="G1439" s="4"/>
      <c r="I1439"/>
      <c r="J1439"/>
      <c r="K1439"/>
      <c r="L1439"/>
    </row>
    <row r="1440" spans="1:12" s="1" customFormat="1" x14ac:dyDescent="0.25">
      <c r="A1440"/>
      <c r="B1440"/>
      <c r="C1440"/>
      <c r="D1440"/>
      <c r="E1440"/>
      <c r="F1440"/>
      <c r="G1440" s="4"/>
      <c r="I1440"/>
      <c r="J1440"/>
      <c r="K1440"/>
      <c r="L1440"/>
    </row>
    <row r="1441" spans="1:12" s="1" customFormat="1" x14ac:dyDescent="0.25">
      <c r="A1441"/>
      <c r="B1441"/>
      <c r="C1441"/>
      <c r="D1441"/>
      <c r="E1441"/>
      <c r="F1441"/>
      <c r="G1441" s="4"/>
      <c r="I1441"/>
      <c r="J1441"/>
      <c r="K1441"/>
      <c r="L1441"/>
    </row>
    <row r="1442" spans="1:12" s="1" customFormat="1" x14ac:dyDescent="0.25">
      <c r="A1442"/>
      <c r="B1442"/>
      <c r="C1442"/>
      <c r="D1442"/>
      <c r="E1442"/>
      <c r="F1442"/>
      <c r="G1442" s="4"/>
      <c r="I1442"/>
      <c r="J1442"/>
      <c r="K1442"/>
      <c r="L1442"/>
    </row>
    <row r="1443" spans="1:12" s="1" customFormat="1" x14ac:dyDescent="0.25">
      <c r="A1443"/>
      <c r="B1443"/>
      <c r="C1443"/>
      <c r="D1443"/>
      <c r="E1443"/>
      <c r="F1443"/>
      <c r="G1443" s="4"/>
      <c r="I1443"/>
      <c r="J1443"/>
      <c r="K1443"/>
      <c r="L1443"/>
    </row>
    <row r="1444" spans="1:12" s="1" customFormat="1" x14ac:dyDescent="0.25">
      <c r="A1444"/>
      <c r="B1444"/>
      <c r="C1444"/>
      <c r="D1444"/>
      <c r="E1444"/>
      <c r="F1444"/>
      <c r="G1444" s="4"/>
      <c r="I1444"/>
      <c r="J1444"/>
      <c r="K1444"/>
      <c r="L1444"/>
    </row>
    <row r="1445" spans="1:12" s="1" customFormat="1" x14ac:dyDescent="0.25">
      <c r="A1445"/>
      <c r="B1445"/>
      <c r="C1445"/>
      <c r="D1445"/>
      <c r="E1445"/>
      <c r="F1445"/>
      <c r="G1445" s="4"/>
      <c r="I1445"/>
      <c r="J1445"/>
      <c r="K1445"/>
      <c r="L1445"/>
    </row>
    <row r="1446" spans="1:12" s="1" customFormat="1" x14ac:dyDescent="0.25">
      <c r="A1446"/>
      <c r="B1446"/>
      <c r="C1446"/>
      <c r="D1446"/>
      <c r="E1446"/>
      <c r="F1446"/>
      <c r="G1446" s="4"/>
      <c r="I1446"/>
      <c r="J1446"/>
      <c r="K1446"/>
      <c r="L1446"/>
    </row>
    <row r="1447" spans="1:12" s="1" customFormat="1" x14ac:dyDescent="0.25">
      <c r="A1447"/>
      <c r="B1447"/>
      <c r="C1447"/>
      <c r="D1447"/>
      <c r="E1447"/>
      <c r="F1447"/>
      <c r="G1447" s="4"/>
      <c r="I1447"/>
      <c r="J1447"/>
      <c r="K1447"/>
      <c r="L1447"/>
    </row>
    <row r="1448" spans="1:12" s="1" customFormat="1" x14ac:dyDescent="0.25">
      <c r="A1448"/>
      <c r="B1448"/>
      <c r="C1448"/>
      <c r="D1448"/>
      <c r="E1448"/>
      <c r="F1448"/>
      <c r="G1448" s="4"/>
      <c r="I1448"/>
      <c r="J1448"/>
      <c r="K1448"/>
      <c r="L1448"/>
    </row>
    <row r="1449" spans="1:12" s="1" customFormat="1" x14ac:dyDescent="0.25">
      <c r="A1449"/>
      <c r="B1449"/>
      <c r="C1449"/>
      <c r="D1449"/>
      <c r="E1449"/>
      <c r="F1449"/>
      <c r="G1449" s="4"/>
      <c r="I1449"/>
      <c r="J1449"/>
      <c r="K1449"/>
      <c r="L1449"/>
    </row>
    <row r="1450" spans="1:12" s="1" customFormat="1" x14ac:dyDescent="0.25">
      <c r="A1450"/>
      <c r="B1450"/>
      <c r="C1450"/>
      <c r="D1450"/>
      <c r="E1450"/>
      <c r="F1450"/>
      <c r="G1450" s="4"/>
      <c r="I1450"/>
      <c r="J1450"/>
      <c r="K1450"/>
      <c r="L1450"/>
    </row>
    <row r="1451" spans="1:12" s="1" customFormat="1" x14ac:dyDescent="0.25">
      <c r="A1451"/>
      <c r="B1451"/>
      <c r="C1451"/>
      <c r="D1451"/>
      <c r="E1451"/>
      <c r="F1451"/>
      <c r="G1451" s="4"/>
      <c r="I1451"/>
      <c r="J1451"/>
      <c r="K1451"/>
      <c r="L1451"/>
    </row>
    <row r="1452" spans="1:12" s="1" customFormat="1" x14ac:dyDescent="0.25">
      <c r="A1452"/>
      <c r="B1452"/>
      <c r="C1452"/>
      <c r="D1452"/>
      <c r="E1452"/>
      <c r="F1452"/>
      <c r="G1452" s="4"/>
      <c r="I1452"/>
      <c r="J1452"/>
      <c r="K1452"/>
      <c r="L1452"/>
    </row>
    <row r="1453" spans="1:12" s="1" customFormat="1" x14ac:dyDescent="0.25">
      <c r="A1453"/>
      <c r="B1453"/>
      <c r="C1453"/>
      <c r="D1453"/>
      <c r="E1453"/>
      <c r="F1453"/>
      <c r="G1453" s="4"/>
      <c r="I1453"/>
      <c r="J1453"/>
      <c r="K1453"/>
      <c r="L1453"/>
    </row>
    <row r="1454" spans="1:12" s="1" customFormat="1" x14ac:dyDescent="0.25">
      <c r="A1454"/>
      <c r="B1454"/>
      <c r="C1454"/>
      <c r="D1454"/>
      <c r="E1454"/>
      <c r="F1454"/>
      <c r="G1454" s="4"/>
      <c r="I1454"/>
      <c r="J1454"/>
      <c r="K1454"/>
      <c r="L1454"/>
    </row>
    <row r="1455" spans="1:12" s="1" customFormat="1" x14ac:dyDescent="0.25">
      <c r="A1455"/>
      <c r="B1455"/>
      <c r="C1455"/>
      <c r="D1455"/>
      <c r="E1455"/>
      <c r="F1455"/>
      <c r="G1455" s="4"/>
      <c r="I1455"/>
      <c r="J1455"/>
      <c r="K1455"/>
      <c r="L1455"/>
    </row>
    <row r="1456" spans="1:12" s="1" customFormat="1" x14ac:dyDescent="0.25">
      <c r="A1456"/>
      <c r="B1456"/>
      <c r="C1456"/>
      <c r="D1456"/>
      <c r="E1456"/>
      <c r="F1456"/>
      <c r="G1456" s="4"/>
      <c r="I1456"/>
      <c r="J1456"/>
      <c r="K1456"/>
      <c r="L1456"/>
    </row>
    <row r="1457" spans="1:12" s="1" customFormat="1" x14ac:dyDescent="0.25">
      <c r="A1457"/>
      <c r="B1457"/>
      <c r="C1457"/>
      <c r="D1457"/>
      <c r="E1457"/>
      <c r="F1457"/>
      <c r="G1457" s="4"/>
      <c r="I1457"/>
      <c r="J1457"/>
      <c r="K1457"/>
      <c r="L1457"/>
    </row>
    <row r="1458" spans="1:12" s="1" customFormat="1" x14ac:dyDescent="0.25">
      <c r="A1458"/>
      <c r="B1458"/>
      <c r="C1458"/>
      <c r="D1458"/>
      <c r="E1458"/>
      <c r="F1458"/>
      <c r="G1458" s="4"/>
      <c r="I1458"/>
      <c r="J1458"/>
      <c r="K1458"/>
      <c r="L1458"/>
    </row>
    <row r="1459" spans="1:12" s="1" customFormat="1" x14ac:dyDescent="0.25">
      <c r="A1459"/>
      <c r="B1459"/>
      <c r="C1459"/>
      <c r="D1459"/>
      <c r="E1459"/>
      <c r="F1459"/>
      <c r="G1459" s="4"/>
      <c r="I1459"/>
      <c r="J1459"/>
      <c r="K1459"/>
      <c r="L1459"/>
    </row>
    <row r="1460" spans="1:12" s="1" customFormat="1" x14ac:dyDescent="0.25">
      <c r="A1460"/>
      <c r="B1460"/>
      <c r="C1460"/>
      <c r="D1460"/>
      <c r="E1460"/>
      <c r="F1460"/>
      <c r="G1460" s="4"/>
      <c r="I1460"/>
      <c r="J1460"/>
      <c r="K1460"/>
      <c r="L1460"/>
    </row>
    <row r="1461" spans="1:12" s="1" customFormat="1" x14ac:dyDescent="0.25">
      <c r="A1461"/>
      <c r="B1461"/>
      <c r="C1461"/>
      <c r="D1461"/>
      <c r="E1461"/>
      <c r="F1461"/>
      <c r="G1461" s="4"/>
      <c r="I1461"/>
      <c r="J1461"/>
      <c r="K1461"/>
      <c r="L1461"/>
    </row>
    <row r="1462" spans="1:12" s="1" customFormat="1" x14ac:dyDescent="0.25">
      <c r="A1462"/>
      <c r="B1462"/>
      <c r="C1462"/>
      <c r="D1462"/>
      <c r="E1462"/>
      <c r="F1462"/>
      <c r="G1462" s="4"/>
      <c r="I1462"/>
      <c r="J1462"/>
      <c r="K1462"/>
      <c r="L1462"/>
    </row>
    <row r="1463" spans="1:12" s="1" customFormat="1" x14ac:dyDescent="0.25">
      <c r="A1463"/>
      <c r="B1463"/>
      <c r="C1463"/>
      <c r="D1463"/>
      <c r="E1463"/>
      <c r="F1463"/>
      <c r="G1463" s="4"/>
      <c r="I1463"/>
      <c r="J1463"/>
      <c r="K1463"/>
      <c r="L1463"/>
    </row>
    <row r="1464" spans="1:12" s="1" customFormat="1" x14ac:dyDescent="0.25">
      <c r="A1464"/>
      <c r="B1464"/>
      <c r="C1464"/>
      <c r="D1464"/>
      <c r="E1464"/>
      <c r="F1464"/>
      <c r="G1464" s="4"/>
      <c r="I1464"/>
      <c r="J1464"/>
      <c r="K1464"/>
      <c r="L1464"/>
    </row>
    <row r="1465" spans="1:12" s="1" customFormat="1" x14ac:dyDescent="0.25">
      <c r="A1465"/>
      <c r="B1465"/>
      <c r="C1465"/>
      <c r="D1465"/>
      <c r="E1465"/>
      <c r="F1465"/>
      <c r="G1465" s="4"/>
      <c r="I1465"/>
      <c r="J1465"/>
      <c r="K1465"/>
      <c r="L1465"/>
    </row>
    <row r="1466" spans="1:12" s="1" customFormat="1" x14ac:dyDescent="0.25">
      <c r="A1466"/>
      <c r="B1466"/>
      <c r="C1466"/>
      <c r="D1466"/>
      <c r="E1466"/>
      <c r="F1466"/>
      <c r="G1466" s="4"/>
      <c r="I1466"/>
      <c r="J1466"/>
      <c r="K1466"/>
      <c r="L1466"/>
    </row>
    <row r="1467" spans="1:12" s="1" customFormat="1" x14ac:dyDescent="0.25">
      <c r="A1467"/>
      <c r="B1467"/>
      <c r="C1467"/>
      <c r="D1467"/>
      <c r="E1467"/>
      <c r="F1467"/>
      <c r="G1467" s="4"/>
      <c r="I1467"/>
      <c r="J1467"/>
      <c r="K1467"/>
      <c r="L1467"/>
    </row>
    <row r="1468" spans="1:12" s="1" customFormat="1" x14ac:dyDescent="0.25">
      <c r="A1468"/>
      <c r="B1468"/>
      <c r="C1468"/>
      <c r="D1468"/>
      <c r="E1468"/>
      <c r="F1468"/>
      <c r="G1468" s="4"/>
      <c r="I1468"/>
      <c r="J1468"/>
      <c r="K1468"/>
      <c r="L1468"/>
    </row>
    <row r="1469" spans="1:12" s="1" customFormat="1" x14ac:dyDescent="0.25">
      <c r="A1469"/>
      <c r="B1469"/>
      <c r="C1469"/>
      <c r="D1469"/>
      <c r="E1469"/>
      <c r="F1469"/>
      <c r="G1469" s="4"/>
      <c r="I1469"/>
      <c r="J1469"/>
      <c r="K1469"/>
      <c r="L1469"/>
    </row>
    <row r="1470" spans="1:12" s="1" customFormat="1" x14ac:dyDescent="0.25">
      <c r="A1470"/>
      <c r="B1470"/>
      <c r="C1470"/>
      <c r="D1470"/>
      <c r="E1470"/>
      <c r="F1470"/>
      <c r="G1470" s="4"/>
      <c r="I1470"/>
      <c r="J1470"/>
      <c r="K1470"/>
      <c r="L1470"/>
    </row>
    <row r="1471" spans="1:12" s="1" customFormat="1" x14ac:dyDescent="0.25">
      <c r="A1471"/>
      <c r="B1471"/>
      <c r="C1471"/>
      <c r="D1471"/>
      <c r="E1471"/>
      <c r="F1471"/>
      <c r="G1471" s="4"/>
      <c r="I1471"/>
      <c r="J1471"/>
      <c r="K1471"/>
      <c r="L1471"/>
    </row>
    <row r="1472" spans="1:12" s="1" customFormat="1" x14ac:dyDescent="0.25">
      <c r="A1472"/>
      <c r="B1472"/>
      <c r="C1472"/>
      <c r="D1472"/>
      <c r="E1472"/>
      <c r="F1472"/>
      <c r="G1472" s="4"/>
      <c r="I1472"/>
      <c r="J1472"/>
      <c r="K1472"/>
      <c r="L1472"/>
    </row>
    <row r="1473" spans="1:12" s="1" customFormat="1" x14ac:dyDescent="0.25">
      <c r="A1473"/>
      <c r="B1473"/>
      <c r="C1473"/>
      <c r="D1473"/>
      <c r="E1473"/>
      <c r="F1473"/>
      <c r="G1473" s="4"/>
      <c r="I1473"/>
      <c r="J1473"/>
      <c r="K1473"/>
      <c r="L1473"/>
    </row>
    <row r="1474" spans="1:12" s="1" customFormat="1" x14ac:dyDescent="0.25">
      <c r="A1474"/>
      <c r="B1474"/>
      <c r="C1474"/>
      <c r="D1474"/>
      <c r="E1474"/>
      <c r="F1474"/>
      <c r="G1474" s="4"/>
      <c r="I1474"/>
      <c r="J1474"/>
      <c r="K1474"/>
      <c r="L1474"/>
    </row>
    <row r="1475" spans="1:12" s="1" customFormat="1" x14ac:dyDescent="0.25">
      <c r="A1475"/>
      <c r="B1475"/>
      <c r="C1475"/>
      <c r="D1475"/>
      <c r="E1475"/>
      <c r="F1475"/>
      <c r="G1475" s="4"/>
      <c r="I1475"/>
      <c r="J1475"/>
      <c r="K1475"/>
      <c r="L1475"/>
    </row>
    <row r="1476" spans="1:12" s="1" customFormat="1" x14ac:dyDescent="0.25">
      <c r="A1476"/>
      <c r="B1476"/>
      <c r="C1476"/>
      <c r="D1476"/>
      <c r="E1476"/>
      <c r="F1476"/>
      <c r="G1476" s="4"/>
      <c r="I1476"/>
      <c r="J1476"/>
      <c r="K1476"/>
      <c r="L1476"/>
    </row>
    <row r="1477" spans="1:12" s="1" customFormat="1" x14ac:dyDescent="0.25">
      <c r="A1477"/>
      <c r="B1477"/>
      <c r="C1477"/>
      <c r="D1477"/>
      <c r="E1477"/>
      <c r="F1477"/>
      <c r="G1477" s="4"/>
      <c r="I1477"/>
      <c r="J1477"/>
      <c r="K1477"/>
      <c r="L1477"/>
    </row>
    <row r="1478" spans="1:12" s="1" customFormat="1" x14ac:dyDescent="0.25">
      <c r="A1478"/>
      <c r="B1478"/>
      <c r="C1478"/>
      <c r="D1478"/>
      <c r="E1478"/>
      <c r="F1478"/>
      <c r="G1478" s="4"/>
      <c r="I1478"/>
      <c r="J1478"/>
      <c r="K1478"/>
      <c r="L1478"/>
    </row>
    <row r="1479" spans="1:12" s="1" customFormat="1" x14ac:dyDescent="0.25">
      <c r="A1479"/>
      <c r="B1479"/>
      <c r="C1479"/>
      <c r="D1479"/>
      <c r="E1479"/>
      <c r="F1479"/>
      <c r="G1479" s="4"/>
      <c r="I1479"/>
      <c r="J1479"/>
      <c r="K1479"/>
      <c r="L1479"/>
    </row>
    <row r="1480" spans="1:12" s="1" customFormat="1" x14ac:dyDescent="0.25">
      <c r="A1480"/>
      <c r="B1480"/>
      <c r="C1480"/>
      <c r="D1480"/>
      <c r="E1480"/>
      <c r="F1480"/>
      <c r="G1480" s="4"/>
      <c r="I1480"/>
      <c r="J1480"/>
      <c r="K1480"/>
      <c r="L1480"/>
    </row>
    <row r="1481" spans="1:12" s="1" customFormat="1" x14ac:dyDescent="0.25">
      <c r="A1481"/>
      <c r="B1481"/>
      <c r="C1481"/>
      <c r="D1481"/>
      <c r="E1481"/>
      <c r="F1481"/>
      <c r="G1481" s="4"/>
      <c r="I1481"/>
      <c r="J1481"/>
      <c r="K1481"/>
      <c r="L1481"/>
    </row>
    <row r="1482" spans="1:12" s="1" customFormat="1" x14ac:dyDescent="0.25">
      <c r="A1482"/>
      <c r="B1482"/>
      <c r="C1482"/>
      <c r="D1482"/>
      <c r="E1482"/>
      <c r="F1482"/>
      <c r="G1482" s="4"/>
      <c r="I1482"/>
      <c r="J1482"/>
      <c r="K1482"/>
      <c r="L1482"/>
    </row>
    <row r="1483" spans="1:12" s="1" customFormat="1" x14ac:dyDescent="0.25">
      <c r="A1483"/>
      <c r="B1483"/>
      <c r="C1483"/>
      <c r="D1483"/>
      <c r="E1483"/>
      <c r="F1483"/>
      <c r="G1483" s="4"/>
      <c r="I1483"/>
      <c r="J1483"/>
      <c r="K1483"/>
      <c r="L1483"/>
    </row>
    <row r="1484" spans="1:12" s="1" customFormat="1" x14ac:dyDescent="0.25">
      <c r="A1484"/>
      <c r="B1484"/>
      <c r="C1484"/>
      <c r="D1484"/>
      <c r="E1484"/>
      <c r="F1484"/>
      <c r="G1484" s="4"/>
      <c r="I1484"/>
      <c r="J1484"/>
      <c r="K1484"/>
      <c r="L1484"/>
    </row>
    <row r="1485" spans="1:12" s="1" customFormat="1" x14ac:dyDescent="0.25">
      <c r="A1485"/>
      <c r="B1485"/>
      <c r="C1485"/>
      <c r="D1485"/>
      <c r="E1485"/>
      <c r="F1485"/>
      <c r="G1485" s="4"/>
      <c r="I1485"/>
      <c r="J1485"/>
      <c r="K1485"/>
      <c r="L1485"/>
    </row>
    <row r="1486" spans="1:12" s="1" customFormat="1" x14ac:dyDescent="0.25">
      <c r="A1486"/>
      <c r="B1486"/>
      <c r="C1486"/>
      <c r="D1486"/>
      <c r="E1486"/>
      <c r="F1486"/>
      <c r="G1486" s="4"/>
      <c r="I1486"/>
      <c r="J1486"/>
      <c r="K1486"/>
      <c r="L1486"/>
    </row>
    <row r="1487" spans="1:12" s="1" customFormat="1" x14ac:dyDescent="0.25">
      <c r="A1487"/>
      <c r="B1487"/>
      <c r="C1487"/>
      <c r="D1487"/>
      <c r="E1487"/>
      <c r="F1487"/>
      <c r="G1487" s="4"/>
      <c r="I1487"/>
      <c r="J1487"/>
      <c r="K1487"/>
      <c r="L1487"/>
    </row>
    <row r="1488" spans="1:12" s="1" customFormat="1" x14ac:dyDescent="0.25">
      <c r="A1488"/>
      <c r="B1488"/>
      <c r="C1488"/>
      <c r="D1488"/>
      <c r="E1488"/>
      <c r="F1488"/>
      <c r="G1488" s="4"/>
      <c r="I1488"/>
      <c r="J1488"/>
      <c r="K1488"/>
      <c r="L1488"/>
    </row>
    <row r="1489" spans="1:12" s="1" customFormat="1" x14ac:dyDescent="0.25">
      <c r="A1489"/>
      <c r="B1489"/>
      <c r="C1489"/>
      <c r="D1489"/>
      <c r="E1489"/>
      <c r="F1489"/>
      <c r="G1489" s="4"/>
      <c r="I1489"/>
      <c r="J1489"/>
      <c r="K1489"/>
      <c r="L1489"/>
    </row>
    <row r="1490" spans="1:12" s="1" customFormat="1" x14ac:dyDescent="0.25">
      <c r="A1490"/>
      <c r="B1490"/>
      <c r="C1490"/>
      <c r="D1490"/>
      <c r="E1490"/>
      <c r="F1490"/>
      <c r="G1490" s="4"/>
      <c r="I1490"/>
      <c r="J1490"/>
      <c r="K1490"/>
      <c r="L1490"/>
    </row>
    <row r="1491" spans="1:12" s="1" customFormat="1" x14ac:dyDescent="0.25">
      <c r="A1491"/>
      <c r="B1491"/>
      <c r="C1491"/>
      <c r="D1491"/>
      <c r="E1491"/>
      <c r="F1491"/>
      <c r="G1491" s="4"/>
      <c r="I1491"/>
      <c r="J1491"/>
      <c r="K1491"/>
      <c r="L1491"/>
    </row>
    <row r="1492" spans="1:12" s="1" customFormat="1" x14ac:dyDescent="0.25">
      <c r="A1492"/>
      <c r="B1492"/>
      <c r="C1492"/>
      <c r="D1492"/>
      <c r="E1492"/>
      <c r="F1492"/>
      <c r="G1492" s="4"/>
      <c r="I1492"/>
      <c r="J1492"/>
      <c r="K1492"/>
      <c r="L1492"/>
    </row>
    <row r="1493" spans="1:12" s="1" customFormat="1" x14ac:dyDescent="0.25">
      <c r="A1493"/>
      <c r="B1493"/>
      <c r="C1493"/>
      <c r="D1493"/>
      <c r="E1493"/>
      <c r="F1493"/>
      <c r="G1493" s="4"/>
      <c r="I1493"/>
      <c r="J1493"/>
      <c r="K1493"/>
      <c r="L1493"/>
    </row>
    <row r="1494" spans="1:12" s="1" customFormat="1" x14ac:dyDescent="0.25">
      <c r="A1494"/>
      <c r="B1494"/>
      <c r="C1494"/>
      <c r="D1494"/>
      <c r="E1494"/>
      <c r="F1494"/>
      <c r="G1494" s="4"/>
      <c r="I1494"/>
      <c r="J1494"/>
      <c r="K1494"/>
      <c r="L1494"/>
    </row>
    <row r="1495" spans="1:12" s="1" customFormat="1" x14ac:dyDescent="0.25">
      <c r="A1495"/>
      <c r="B1495"/>
      <c r="C1495"/>
      <c r="D1495"/>
      <c r="E1495"/>
      <c r="F1495"/>
      <c r="G1495" s="4"/>
      <c r="I1495"/>
      <c r="J1495"/>
      <c r="K1495"/>
      <c r="L1495"/>
    </row>
    <row r="1496" spans="1:12" s="1" customFormat="1" x14ac:dyDescent="0.25">
      <c r="A1496"/>
      <c r="B1496"/>
      <c r="C1496"/>
      <c r="D1496"/>
      <c r="E1496"/>
      <c r="F1496"/>
      <c r="G1496" s="4"/>
      <c r="I1496"/>
      <c r="J1496"/>
      <c r="K1496"/>
      <c r="L1496"/>
    </row>
    <row r="1497" spans="1:12" s="1" customFormat="1" x14ac:dyDescent="0.25">
      <c r="A1497"/>
      <c r="B1497"/>
      <c r="C1497"/>
      <c r="D1497"/>
      <c r="E1497"/>
      <c r="F1497"/>
      <c r="G1497" s="4"/>
      <c r="I1497"/>
      <c r="J1497"/>
      <c r="K1497"/>
      <c r="L1497"/>
    </row>
    <row r="1498" spans="1:12" s="1" customFormat="1" x14ac:dyDescent="0.25">
      <c r="A1498"/>
      <c r="B1498"/>
      <c r="C1498"/>
      <c r="D1498"/>
      <c r="E1498"/>
      <c r="F1498"/>
      <c r="G1498" s="4"/>
      <c r="I1498"/>
      <c r="J1498"/>
      <c r="K1498"/>
      <c r="L1498"/>
    </row>
    <row r="1499" spans="1:12" s="1" customFormat="1" x14ac:dyDescent="0.25">
      <c r="A1499"/>
      <c r="B1499"/>
      <c r="C1499"/>
      <c r="D1499"/>
      <c r="E1499"/>
      <c r="F1499"/>
      <c r="G1499" s="4"/>
      <c r="I1499"/>
      <c r="J1499"/>
      <c r="K1499"/>
      <c r="L1499"/>
    </row>
    <row r="1500" spans="1:12" s="1" customFormat="1" x14ac:dyDescent="0.25">
      <c r="A1500"/>
      <c r="B1500"/>
      <c r="C1500"/>
      <c r="D1500"/>
      <c r="E1500"/>
      <c r="F1500"/>
      <c r="G1500" s="4"/>
      <c r="I1500"/>
      <c r="J1500"/>
      <c r="K1500"/>
      <c r="L1500"/>
    </row>
    <row r="1501" spans="1:12" s="1" customFormat="1" x14ac:dyDescent="0.25">
      <c r="A1501"/>
      <c r="B1501"/>
      <c r="C1501"/>
      <c r="D1501"/>
      <c r="E1501"/>
      <c r="F1501"/>
      <c r="G1501" s="4"/>
      <c r="I1501"/>
      <c r="J1501"/>
      <c r="K1501"/>
      <c r="L1501"/>
    </row>
    <row r="1502" spans="1:12" s="1" customFormat="1" x14ac:dyDescent="0.25">
      <c r="A1502"/>
      <c r="B1502"/>
      <c r="C1502"/>
      <c r="D1502"/>
      <c r="E1502"/>
      <c r="F1502"/>
      <c r="G1502" s="4"/>
      <c r="I1502"/>
      <c r="J1502"/>
      <c r="K1502"/>
      <c r="L1502"/>
    </row>
    <row r="1503" spans="1:12" s="1" customFormat="1" x14ac:dyDescent="0.25">
      <c r="A1503"/>
      <c r="B1503"/>
      <c r="C1503"/>
      <c r="D1503"/>
      <c r="E1503"/>
      <c r="F1503"/>
      <c r="G1503" s="4"/>
      <c r="I1503"/>
      <c r="J1503"/>
      <c r="K1503"/>
      <c r="L1503"/>
    </row>
    <row r="1504" spans="1:12" s="1" customFormat="1" x14ac:dyDescent="0.25">
      <c r="A1504"/>
      <c r="B1504"/>
      <c r="C1504"/>
      <c r="D1504"/>
      <c r="E1504"/>
      <c r="F1504"/>
      <c r="G1504" s="4"/>
      <c r="I1504"/>
      <c r="J1504"/>
      <c r="K1504"/>
      <c r="L1504"/>
    </row>
    <row r="1505" spans="1:12" s="1" customFormat="1" x14ac:dyDescent="0.25">
      <c r="A1505"/>
      <c r="B1505"/>
      <c r="C1505"/>
      <c r="D1505"/>
      <c r="E1505"/>
      <c r="F1505"/>
      <c r="G1505" s="4"/>
      <c r="I1505"/>
      <c r="J1505"/>
      <c r="K1505"/>
      <c r="L1505"/>
    </row>
    <row r="1506" spans="1:12" s="1" customFormat="1" x14ac:dyDescent="0.25">
      <c r="A1506"/>
      <c r="B1506"/>
      <c r="C1506"/>
      <c r="D1506"/>
      <c r="E1506"/>
      <c r="F1506"/>
      <c r="G1506" s="4"/>
      <c r="I1506"/>
      <c r="J1506"/>
      <c r="K1506"/>
      <c r="L1506"/>
    </row>
    <row r="1507" spans="1:12" s="1" customFormat="1" x14ac:dyDescent="0.25">
      <c r="A1507"/>
      <c r="B1507"/>
      <c r="C1507"/>
      <c r="D1507"/>
      <c r="E1507"/>
      <c r="F1507"/>
      <c r="G1507" s="4"/>
      <c r="I1507"/>
      <c r="J1507"/>
      <c r="K1507"/>
      <c r="L1507"/>
    </row>
    <row r="1508" spans="1:12" s="1" customFormat="1" x14ac:dyDescent="0.25">
      <c r="A1508"/>
      <c r="B1508"/>
      <c r="C1508"/>
      <c r="D1508"/>
      <c r="E1508"/>
      <c r="F1508"/>
      <c r="G1508" s="4"/>
      <c r="I1508"/>
      <c r="J1508"/>
      <c r="K1508"/>
      <c r="L1508"/>
    </row>
    <row r="1509" spans="1:12" s="1" customFormat="1" x14ac:dyDescent="0.25">
      <c r="A1509"/>
      <c r="B1509"/>
      <c r="C1509"/>
      <c r="D1509"/>
      <c r="E1509"/>
      <c r="F1509"/>
      <c r="G1509" s="4"/>
      <c r="I1509"/>
      <c r="J1509"/>
      <c r="K1509"/>
      <c r="L1509"/>
    </row>
    <row r="1510" spans="1:12" s="1" customFormat="1" x14ac:dyDescent="0.25">
      <c r="A1510"/>
      <c r="B1510"/>
      <c r="C1510"/>
      <c r="D1510"/>
      <c r="E1510"/>
      <c r="F1510"/>
      <c r="G1510" s="4"/>
      <c r="I1510"/>
      <c r="J1510"/>
      <c r="K1510"/>
      <c r="L1510"/>
    </row>
    <row r="1511" spans="1:12" s="1" customFormat="1" x14ac:dyDescent="0.25">
      <c r="A1511"/>
      <c r="B1511"/>
      <c r="C1511"/>
      <c r="D1511"/>
      <c r="E1511"/>
      <c r="F1511"/>
      <c r="G1511" s="4"/>
      <c r="I1511"/>
      <c r="J1511"/>
      <c r="K1511"/>
      <c r="L1511"/>
    </row>
    <row r="1512" spans="1:12" s="1" customFormat="1" x14ac:dyDescent="0.25">
      <c r="A1512"/>
      <c r="B1512"/>
      <c r="C1512"/>
      <c r="D1512"/>
      <c r="E1512"/>
      <c r="F1512"/>
      <c r="G1512" s="4"/>
      <c r="I1512"/>
      <c r="J1512"/>
      <c r="K1512"/>
      <c r="L1512"/>
    </row>
    <row r="1513" spans="1:12" s="1" customFormat="1" x14ac:dyDescent="0.25">
      <c r="A1513"/>
      <c r="B1513"/>
      <c r="C1513"/>
      <c r="D1513"/>
      <c r="E1513"/>
      <c r="F1513"/>
      <c r="G1513" s="4"/>
      <c r="I1513"/>
      <c r="J1513"/>
      <c r="K1513"/>
      <c r="L1513"/>
    </row>
    <row r="1514" spans="1:12" s="1" customFormat="1" x14ac:dyDescent="0.25">
      <c r="A1514"/>
      <c r="B1514"/>
      <c r="C1514"/>
      <c r="D1514"/>
      <c r="E1514"/>
      <c r="F1514"/>
      <c r="G1514" s="4"/>
      <c r="I1514"/>
      <c r="J1514"/>
      <c r="K1514"/>
      <c r="L1514"/>
    </row>
    <row r="1515" spans="1:12" s="1" customFormat="1" x14ac:dyDescent="0.25">
      <c r="A1515"/>
      <c r="B1515"/>
      <c r="C1515"/>
      <c r="D1515"/>
      <c r="E1515"/>
      <c r="F1515"/>
      <c r="G1515" s="4"/>
      <c r="I1515"/>
      <c r="J1515"/>
      <c r="K1515"/>
      <c r="L1515"/>
    </row>
    <row r="1516" spans="1:12" s="1" customFormat="1" x14ac:dyDescent="0.25">
      <c r="A1516"/>
      <c r="B1516"/>
      <c r="C1516"/>
      <c r="D1516"/>
      <c r="E1516"/>
      <c r="F1516"/>
      <c r="G1516" s="4"/>
      <c r="I1516"/>
      <c r="J1516"/>
      <c r="K1516"/>
      <c r="L1516"/>
    </row>
    <row r="1517" spans="1:12" s="1" customFormat="1" x14ac:dyDescent="0.25">
      <c r="A1517"/>
      <c r="B1517"/>
      <c r="C1517"/>
      <c r="D1517"/>
      <c r="E1517"/>
      <c r="F1517"/>
      <c r="G1517" s="4"/>
      <c r="I1517"/>
      <c r="J1517"/>
      <c r="K1517"/>
      <c r="L1517"/>
    </row>
    <row r="1518" spans="1:12" s="1" customFormat="1" x14ac:dyDescent="0.25">
      <c r="A1518"/>
      <c r="B1518"/>
      <c r="C1518"/>
      <c r="D1518"/>
      <c r="E1518"/>
      <c r="F1518"/>
      <c r="G1518" s="4"/>
      <c r="I1518"/>
      <c r="J1518"/>
      <c r="K1518"/>
      <c r="L1518"/>
    </row>
    <row r="1519" spans="1:12" s="1" customFormat="1" x14ac:dyDescent="0.25">
      <c r="A1519"/>
      <c r="B1519"/>
      <c r="C1519"/>
      <c r="D1519"/>
      <c r="E1519"/>
      <c r="F1519"/>
      <c r="G1519" s="4"/>
      <c r="I1519"/>
      <c r="J1519"/>
      <c r="K1519"/>
      <c r="L1519"/>
    </row>
    <row r="1520" spans="1:12" s="1" customFormat="1" x14ac:dyDescent="0.25">
      <c r="A1520"/>
      <c r="B1520"/>
      <c r="C1520"/>
      <c r="D1520"/>
      <c r="E1520"/>
      <c r="F1520"/>
      <c r="G1520" s="4"/>
      <c r="I1520"/>
      <c r="J1520"/>
      <c r="K1520"/>
      <c r="L1520"/>
    </row>
    <row r="1521" spans="1:12" s="1" customFormat="1" x14ac:dyDescent="0.25">
      <c r="A1521"/>
      <c r="B1521"/>
      <c r="C1521"/>
      <c r="D1521"/>
      <c r="E1521"/>
      <c r="F1521"/>
      <c r="G1521" s="4"/>
      <c r="I1521"/>
      <c r="J1521"/>
      <c r="K1521"/>
      <c r="L1521"/>
    </row>
    <row r="1522" spans="1:12" s="1" customFormat="1" x14ac:dyDescent="0.25">
      <c r="A1522"/>
      <c r="B1522"/>
      <c r="C1522"/>
      <c r="D1522"/>
      <c r="E1522"/>
      <c r="F1522"/>
      <c r="G1522" s="4"/>
      <c r="I1522"/>
      <c r="J1522"/>
      <c r="K1522"/>
      <c r="L1522"/>
    </row>
    <row r="1523" spans="1:12" s="1" customFormat="1" x14ac:dyDescent="0.25">
      <c r="A1523"/>
      <c r="B1523"/>
      <c r="C1523"/>
      <c r="D1523"/>
      <c r="E1523"/>
      <c r="F1523"/>
      <c r="G1523" s="4"/>
      <c r="I1523"/>
      <c r="J1523"/>
      <c r="K1523"/>
      <c r="L1523"/>
    </row>
    <row r="1524" spans="1:12" s="1" customFormat="1" x14ac:dyDescent="0.25">
      <c r="A1524"/>
      <c r="B1524"/>
      <c r="C1524"/>
      <c r="D1524"/>
      <c r="E1524"/>
      <c r="F1524"/>
      <c r="G1524" s="4"/>
      <c r="I1524"/>
      <c r="J1524"/>
      <c r="K1524"/>
      <c r="L1524"/>
    </row>
    <row r="1525" spans="1:12" s="1" customFormat="1" x14ac:dyDescent="0.25">
      <c r="A1525"/>
      <c r="B1525"/>
      <c r="C1525"/>
      <c r="D1525"/>
      <c r="E1525"/>
      <c r="F1525"/>
      <c r="G1525" s="4"/>
      <c r="I1525"/>
      <c r="J1525"/>
      <c r="K1525"/>
      <c r="L1525"/>
    </row>
    <row r="1526" spans="1:12" s="1" customFormat="1" x14ac:dyDescent="0.25">
      <c r="A1526"/>
      <c r="B1526"/>
      <c r="C1526"/>
      <c r="D1526"/>
      <c r="E1526"/>
      <c r="F1526"/>
      <c r="G1526" s="4"/>
      <c r="I1526"/>
      <c r="J1526"/>
      <c r="K1526"/>
      <c r="L1526"/>
    </row>
    <row r="1527" spans="1:12" s="1" customFormat="1" x14ac:dyDescent="0.25">
      <c r="A1527"/>
      <c r="B1527"/>
      <c r="C1527"/>
      <c r="D1527"/>
      <c r="E1527"/>
      <c r="F1527"/>
      <c r="G1527" s="4"/>
      <c r="I1527"/>
      <c r="J1527"/>
      <c r="K1527"/>
      <c r="L1527"/>
    </row>
    <row r="1528" spans="1:12" s="1" customFormat="1" x14ac:dyDescent="0.25">
      <c r="A1528"/>
      <c r="B1528"/>
      <c r="C1528"/>
      <c r="D1528"/>
      <c r="E1528"/>
      <c r="F1528"/>
      <c r="G1528" s="4"/>
      <c r="I1528"/>
      <c r="J1528"/>
      <c r="K1528"/>
      <c r="L1528"/>
    </row>
    <row r="1529" spans="1:12" s="1" customFormat="1" x14ac:dyDescent="0.25">
      <c r="A1529"/>
      <c r="B1529"/>
      <c r="C1529"/>
      <c r="D1529"/>
      <c r="E1529"/>
      <c r="F1529"/>
      <c r="G1529" s="4"/>
      <c r="I1529"/>
      <c r="J1529"/>
      <c r="K1529"/>
      <c r="L1529"/>
    </row>
    <row r="1530" spans="1:12" s="1" customFormat="1" x14ac:dyDescent="0.25">
      <c r="A1530"/>
      <c r="B1530"/>
      <c r="C1530"/>
      <c r="D1530"/>
      <c r="E1530"/>
      <c r="F1530"/>
      <c r="G1530" s="4"/>
      <c r="I1530"/>
      <c r="J1530"/>
      <c r="K1530"/>
      <c r="L1530"/>
    </row>
    <row r="1531" spans="1:12" s="1" customFormat="1" x14ac:dyDescent="0.25">
      <c r="A1531"/>
      <c r="B1531"/>
      <c r="C1531"/>
      <c r="D1531"/>
      <c r="E1531"/>
      <c r="F1531"/>
      <c r="G1531" s="4"/>
      <c r="I1531"/>
      <c r="J1531"/>
      <c r="K1531"/>
      <c r="L1531"/>
    </row>
    <row r="1532" spans="1:12" s="1" customFormat="1" x14ac:dyDescent="0.25">
      <c r="A1532"/>
      <c r="B1532"/>
      <c r="C1532"/>
      <c r="D1532"/>
      <c r="E1532"/>
      <c r="F1532"/>
      <c r="G1532" s="4"/>
      <c r="I1532"/>
      <c r="J1532"/>
      <c r="K1532"/>
      <c r="L1532"/>
    </row>
    <row r="1533" spans="1:12" s="1" customFormat="1" x14ac:dyDescent="0.25">
      <c r="A1533"/>
      <c r="B1533"/>
      <c r="C1533"/>
      <c r="D1533"/>
      <c r="E1533"/>
      <c r="F1533"/>
      <c r="G1533" s="4"/>
      <c r="I1533"/>
      <c r="J1533"/>
      <c r="K1533"/>
      <c r="L1533"/>
    </row>
    <row r="1534" spans="1:12" s="1" customFormat="1" x14ac:dyDescent="0.25">
      <c r="A1534"/>
      <c r="B1534"/>
      <c r="C1534"/>
      <c r="D1534"/>
      <c r="E1534"/>
      <c r="F1534"/>
      <c r="G1534" s="4"/>
      <c r="I1534"/>
      <c r="J1534"/>
      <c r="K1534"/>
      <c r="L1534"/>
    </row>
    <row r="1535" spans="1:12" s="1" customFormat="1" x14ac:dyDescent="0.25">
      <c r="A1535"/>
      <c r="B1535"/>
      <c r="C1535"/>
      <c r="D1535"/>
      <c r="E1535"/>
      <c r="F1535"/>
      <c r="G1535" s="4"/>
      <c r="I1535"/>
      <c r="J1535"/>
      <c r="K1535"/>
      <c r="L1535"/>
    </row>
    <row r="1536" spans="1:12" s="1" customFormat="1" x14ac:dyDescent="0.25">
      <c r="A1536"/>
      <c r="B1536"/>
      <c r="C1536"/>
      <c r="D1536"/>
      <c r="E1536"/>
      <c r="F1536"/>
      <c r="G1536" s="4"/>
      <c r="I1536"/>
      <c r="J1536"/>
      <c r="K1536"/>
      <c r="L1536"/>
    </row>
    <row r="1537" spans="1:12" s="1" customFormat="1" x14ac:dyDescent="0.25">
      <c r="A1537"/>
      <c r="B1537"/>
      <c r="C1537"/>
      <c r="D1537"/>
      <c r="E1537"/>
      <c r="F1537"/>
      <c r="G1537" s="4"/>
      <c r="I1537"/>
      <c r="J1537"/>
      <c r="K1537"/>
      <c r="L1537"/>
    </row>
    <row r="1538" spans="1:12" s="1" customFormat="1" x14ac:dyDescent="0.25">
      <c r="A1538"/>
      <c r="B1538"/>
      <c r="C1538"/>
      <c r="D1538"/>
      <c r="E1538"/>
      <c r="F1538"/>
      <c r="G1538" s="4"/>
      <c r="I1538"/>
      <c r="J1538"/>
      <c r="K1538"/>
      <c r="L1538"/>
    </row>
    <row r="1539" spans="1:12" s="1" customFormat="1" x14ac:dyDescent="0.25">
      <c r="A1539"/>
      <c r="B1539"/>
      <c r="C1539"/>
      <c r="D1539"/>
      <c r="E1539"/>
      <c r="F1539"/>
      <c r="G1539" s="4"/>
      <c r="I1539"/>
      <c r="J1539"/>
      <c r="K1539"/>
      <c r="L1539"/>
    </row>
    <row r="1540" spans="1:12" s="1" customFormat="1" x14ac:dyDescent="0.25">
      <c r="A1540"/>
      <c r="B1540"/>
      <c r="C1540"/>
      <c r="D1540"/>
      <c r="E1540"/>
      <c r="F1540"/>
      <c r="G1540" s="4"/>
      <c r="I1540"/>
      <c r="J1540"/>
      <c r="K1540"/>
      <c r="L1540"/>
    </row>
    <row r="1541" spans="1:12" s="1" customFormat="1" x14ac:dyDescent="0.25">
      <c r="A1541"/>
      <c r="B1541"/>
      <c r="C1541"/>
      <c r="D1541"/>
      <c r="E1541"/>
      <c r="F1541"/>
      <c r="G1541" s="4"/>
      <c r="I1541"/>
      <c r="J1541"/>
      <c r="K1541"/>
      <c r="L1541"/>
    </row>
    <row r="1542" spans="1:12" s="1" customFormat="1" x14ac:dyDescent="0.25">
      <c r="A1542"/>
      <c r="B1542"/>
      <c r="C1542"/>
      <c r="D1542"/>
      <c r="E1542"/>
      <c r="F1542"/>
      <c r="G1542" s="4"/>
      <c r="I1542"/>
      <c r="J1542"/>
      <c r="K1542"/>
      <c r="L1542"/>
    </row>
    <row r="1543" spans="1:12" s="1" customFormat="1" x14ac:dyDescent="0.25">
      <c r="A1543"/>
      <c r="B1543"/>
      <c r="C1543"/>
      <c r="D1543"/>
      <c r="E1543"/>
      <c r="F1543"/>
      <c r="G1543" s="4"/>
      <c r="I1543"/>
      <c r="J1543"/>
      <c r="K1543"/>
      <c r="L1543"/>
    </row>
    <row r="1544" spans="1:12" s="1" customFormat="1" x14ac:dyDescent="0.25">
      <c r="A1544"/>
      <c r="B1544"/>
      <c r="C1544"/>
      <c r="D1544"/>
      <c r="E1544"/>
      <c r="F1544"/>
      <c r="G1544" s="4"/>
      <c r="I1544"/>
      <c r="J1544"/>
      <c r="K1544"/>
      <c r="L1544"/>
    </row>
    <row r="1545" spans="1:12" s="1" customFormat="1" x14ac:dyDescent="0.25">
      <c r="A1545"/>
      <c r="B1545"/>
      <c r="C1545"/>
      <c r="D1545"/>
      <c r="E1545"/>
      <c r="F1545"/>
      <c r="G1545" s="4"/>
      <c r="I1545"/>
      <c r="J1545"/>
      <c r="K1545"/>
      <c r="L1545"/>
    </row>
    <row r="1546" spans="1:12" s="1" customFormat="1" x14ac:dyDescent="0.25">
      <c r="A1546"/>
      <c r="B1546"/>
      <c r="C1546"/>
      <c r="D1546"/>
      <c r="E1546"/>
      <c r="F1546"/>
      <c r="G1546" s="4"/>
      <c r="I1546"/>
      <c r="J1546"/>
      <c r="K1546"/>
      <c r="L1546"/>
    </row>
    <row r="1547" spans="1:12" s="1" customFormat="1" x14ac:dyDescent="0.25">
      <c r="A1547"/>
      <c r="B1547"/>
      <c r="C1547"/>
      <c r="D1547"/>
      <c r="E1547"/>
      <c r="F1547"/>
      <c r="G1547" s="4"/>
      <c r="I1547"/>
      <c r="J1547"/>
      <c r="K1547"/>
      <c r="L1547"/>
    </row>
    <row r="1548" spans="1:12" s="1" customFormat="1" x14ac:dyDescent="0.25">
      <c r="A1548"/>
      <c r="B1548"/>
      <c r="C1548"/>
      <c r="D1548"/>
      <c r="E1548"/>
      <c r="F1548"/>
      <c r="G1548" s="4"/>
      <c r="I1548"/>
      <c r="J1548"/>
      <c r="K1548"/>
      <c r="L1548"/>
    </row>
    <row r="1549" spans="1:12" s="1" customFormat="1" x14ac:dyDescent="0.25">
      <c r="A1549"/>
      <c r="B1549"/>
      <c r="C1549"/>
      <c r="D1549"/>
      <c r="E1549"/>
      <c r="F1549"/>
      <c r="G1549" s="4"/>
      <c r="I1549"/>
      <c r="J1549"/>
      <c r="K1549"/>
      <c r="L1549"/>
    </row>
    <row r="1550" spans="1:12" s="1" customFormat="1" x14ac:dyDescent="0.25">
      <c r="A1550"/>
      <c r="B1550"/>
      <c r="C1550"/>
      <c r="D1550"/>
      <c r="E1550"/>
      <c r="F1550"/>
      <c r="G1550" s="4"/>
      <c r="I1550"/>
      <c r="J1550"/>
      <c r="K1550"/>
      <c r="L1550"/>
    </row>
    <row r="1551" spans="1:12" s="1" customFormat="1" x14ac:dyDescent="0.25">
      <c r="A1551"/>
      <c r="B1551"/>
      <c r="C1551"/>
      <c r="D1551"/>
      <c r="E1551"/>
      <c r="F1551"/>
      <c r="G1551" s="4"/>
      <c r="I1551"/>
      <c r="J1551"/>
      <c r="K1551"/>
      <c r="L1551"/>
    </row>
    <row r="1552" spans="1:12" s="1" customFormat="1" x14ac:dyDescent="0.25">
      <c r="A1552"/>
      <c r="B1552"/>
      <c r="C1552"/>
      <c r="D1552"/>
      <c r="E1552"/>
      <c r="F1552"/>
      <c r="G1552" s="4"/>
      <c r="I1552"/>
      <c r="J1552"/>
      <c r="K1552"/>
      <c r="L1552"/>
    </row>
    <row r="1553" spans="1:12" s="1" customFormat="1" x14ac:dyDescent="0.25">
      <c r="A1553"/>
      <c r="B1553"/>
      <c r="C1553"/>
      <c r="D1553"/>
      <c r="E1553"/>
      <c r="F1553"/>
      <c r="G1553" s="4"/>
      <c r="I1553"/>
      <c r="J1553"/>
      <c r="K1553"/>
      <c r="L1553"/>
    </row>
    <row r="1554" spans="1:12" s="1" customFormat="1" x14ac:dyDescent="0.25">
      <c r="A1554"/>
      <c r="B1554"/>
      <c r="C1554"/>
      <c r="D1554"/>
      <c r="E1554"/>
      <c r="F1554"/>
      <c r="G1554" s="4"/>
      <c r="I1554"/>
      <c r="J1554"/>
      <c r="K1554"/>
      <c r="L1554"/>
    </row>
    <row r="1555" spans="1:12" s="1" customFormat="1" x14ac:dyDescent="0.25">
      <c r="A1555"/>
      <c r="B1555"/>
      <c r="C1555"/>
      <c r="D1555"/>
      <c r="E1555"/>
      <c r="F1555"/>
      <c r="G1555" s="4"/>
      <c r="I1555"/>
      <c r="J1555"/>
      <c r="K1555"/>
      <c r="L1555"/>
    </row>
    <row r="1556" spans="1:12" s="1" customFormat="1" x14ac:dyDescent="0.25">
      <c r="A1556"/>
      <c r="B1556"/>
      <c r="C1556"/>
      <c r="D1556"/>
      <c r="E1556"/>
      <c r="F1556"/>
      <c r="G1556" s="4"/>
      <c r="I1556"/>
      <c r="J1556"/>
      <c r="K1556"/>
      <c r="L1556"/>
    </row>
    <row r="1557" spans="1:12" s="1" customFormat="1" x14ac:dyDescent="0.25">
      <c r="A1557"/>
      <c r="B1557"/>
      <c r="C1557"/>
      <c r="D1557"/>
      <c r="E1557"/>
      <c r="F1557"/>
      <c r="G1557" s="4"/>
      <c r="I1557"/>
      <c r="J1557"/>
      <c r="K1557"/>
      <c r="L1557"/>
    </row>
    <row r="1558" spans="1:12" s="1" customFormat="1" x14ac:dyDescent="0.25">
      <c r="A1558"/>
      <c r="B1558"/>
      <c r="C1558"/>
      <c r="D1558"/>
      <c r="E1558"/>
      <c r="F1558"/>
      <c r="G1558" s="4"/>
      <c r="I1558"/>
      <c r="J1558"/>
      <c r="K1558"/>
      <c r="L1558"/>
    </row>
    <row r="1559" spans="1:12" s="1" customFormat="1" x14ac:dyDescent="0.25">
      <c r="A1559"/>
      <c r="B1559"/>
      <c r="C1559"/>
      <c r="D1559"/>
      <c r="E1559"/>
      <c r="F1559"/>
      <c r="G1559" s="4"/>
      <c r="I1559"/>
      <c r="J1559"/>
      <c r="K1559"/>
      <c r="L1559"/>
    </row>
    <row r="1560" spans="1:12" s="1" customFormat="1" x14ac:dyDescent="0.25">
      <c r="A1560"/>
      <c r="B1560"/>
      <c r="C1560"/>
      <c r="D1560"/>
      <c r="E1560"/>
      <c r="F1560"/>
      <c r="G1560" s="4"/>
      <c r="I1560"/>
      <c r="J1560"/>
      <c r="K1560"/>
      <c r="L1560"/>
    </row>
    <row r="1561" spans="1:12" s="1" customFormat="1" x14ac:dyDescent="0.25">
      <c r="A1561"/>
      <c r="B1561"/>
      <c r="C1561"/>
      <c r="D1561"/>
      <c r="E1561"/>
      <c r="F1561"/>
      <c r="G1561" s="4"/>
      <c r="I1561"/>
      <c r="J1561"/>
      <c r="K1561"/>
      <c r="L1561"/>
    </row>
    <row r="1562" spans="1:12" s="1" customFormat="1" x14ac:dyDescent="0.25">
      <c r="A1562"/>
      <c r="B1562"/>
      <c r="C1562"/>
      <c r="D1562"/>
      <c r="E1562"/>
      <c r="F1562"/>
      <c r="G1562" s="4"/>
      <c r="I1562"/>
      <c r="J1562"/>
      <c r="K1562"/>
      <c r="L1562"/>
    </row>
    <row r="1563" spans="1:12" s="1" customFormat="1" x14ac:dyDescent="0.25">
      <c r="A1563"/>
      <c r="B1563"/>
      <c r="C1563"/>
      <c r="D1563"/>
      <c r="E1563"/>
      <c r="F1563"/>
      <c r="G1563" s="4"/>
      <c r="I1563"/>
      <c r="J1563"/>
      <c r="K1563"/>
      <c r="L1563"/>
    </row>
    <row r="1564" spans="1:12" s="1" customFormat="1" x14ac:dyDescent="0.25">
      <c r="A1564"/>
      <c r="B1564"/>
      <c r="C1564"/>
      <c r="D1564"/>
      <c r="E1564"/>
      <c r="F1564"/>
      <c r="G1564" s="4"/>
      <c r="I1564"/>
      <c r="J1564"/>
      <c r="K1564"/>
      <c r="L1564"/>
    </row>
    <row r="1565" spans="1:12" s="1" customFormat="1" x14ac:dyDescent="0.25">
      <c r="A1565"/>
      <c r="B1565"/>
      <c r="C1565"/>
      <c r="D1565"/>
      <c r="E1565"/>
      <c r="F1565"/>
      <c r="G1565" s="4"/>
      <c r="I1565"/>
      <c r="J1565"/>
      <c r="K1565"/>
      <c r="L1565"/>
    </row>
    <row r="1566" spans="1:12" s="1" customFormat="1" x14ac:dyDescent="0.25">
      <c r="A1566"/>
      <c r="B1566"/>
      <c r="C1566"/>
      <c r="D1566"/>
      <c r="E1566"/>
      <c r="F1566"/>
      <c r="G1566" s="4"/>
      <c r="I1566"/>
      <c r="J1566"/>
      <c r="K1566"/>
      <c r="L1566"/>
    </row>
    <row r="1567" spans="1:12" s="1" customFormat="1" x14ac:dyDescent="0.25">
      <c r="A1567"/>
      <c r="B1567"/>
      <c r="C1567"/>
      <c r="D1567"/>
      <c r="E1567"/>
      <c r="F1567"/>
      <c r="G1567" s="4"/>
      <c r="I1567"/>
      <c r="J1567"/>
      <c r="K1567"/>
      <c r="L1567"/>
    </row>
    <row r="1568" spans="1:12" s="1" customFormat="1" x14ac:dyDescent="0.25">
      <c r="A1568"/>
      <c r="B1568"/>
      <c r="C1568"/>
      <c r="D1568"/>
      <c r="E1568"/>
      <c r="F1568"/>
      <c r="G1568" s="4"/>
      <c r="I1568"/>
      <c r="J1568"/>
      <c r="K1568"/>
      <c r="L1568"/>
    </row>
    <row r="1569" spans="1:12" s="1" customFormat="1" x14ac:dyDescent="0.25">
      <c r="A1569"/>
      <c r="B1569"/>
      <c r="C1569"/>
      <c r="D1569"/>
      <c r="E1569"/>
      <c r="F1569"/>
      <c r="G1569" s="4"/>
      <c r="I1569"/>
      <c r="J1569"/>
      <c r="K1569"/>
      <c r="L1569"/>
    </row>
    <row r="1570" spans="1:12" s="1" customFormat="1" x14ac:dyDescent="0.25">
      <c r="A1570"/>
      <c r="B1570"/>
      <c r="C1570"/>
      <c r="D1570"/>
      <c r="E1570"/>
      <c r="F1570"/>
      <c r="G1570" s="4"/>
      <c r="I1570"/>
      <c r="J1570"/>
      <c r="K1570"/>
      <c r="L1570"/>
    </row>
    <row r="1571" spans="1:12" s="1" customFormat="1" x14ac:dyDescent="0.25">
      <c r="A1571"/>
      <c r="B1571"/>
      <c r="C1571"/>
      <c r="D1571"/>
      <c r="E1571"/>
      <c r="F1571"/>
      <c r="G1571" s="4"/>
      <c r="I1571"/>
      <c r="J1571"/>
      <c r="K1571"/>
      <c r="L1571"/>
    </row>
    <row r="1572" spans="1:12" s="1" customFormat="1" x14ac:dyDescent="0.25">
      <c r="A1572"/>
      <c r="B1572"/>
      <c r="C1572"/>
      <c r="D1572"/>
      <c r="E1572"/>
      <c r="F1572"/>
      <c r="G1572" s="4"/>
      <c r="I1572"/>
      <c r="J1572"/>
      <c r="K1572"/>
      <c r="L1572"/>
    </row>
    <row r="1573" spans="1:12" s="1" customFormat="1" x14ac:dyDescent="0.25">
      <c r="A1573"/>
      <c r="B1573"/>
      <c r="C1573"/>
      <c r="D1573"/>
      <c r="E1573"/>
      <c r="F1573"/>
      <c r="G1573" s="4"/>
      <c r="I1573"/>
      <c r="J1573"/>
      <c r="K1573"/>
      <c r="L1573"/>
    </row>
    <row r="1574" spans="1:12" s="1" customFormat="1" x14ac:dyDescent="0.25">
      <c r="A1574"/>
      <c r="B1574"/>
      <c r="C1574"/>
      <c r="D1574"/>
      <c r="E1574"/>
      <c r="F1574"/>
      <c r="G1574" s="4"/>
      <c r="I1574"/>
      <c r="J1574"/>
      <c r="K1574"/>
      <c r="L1574"/>
    </row>
    <row r="1575" spans="1:12" s="1" customFormat="1" x14ac:dyDescent="0.25">
      <c r="A1575"/>
      <c r="B1575"/>
      <c r="C1575"/>
      <c r="D1575"/>
      <c r="E1575"/>
      <c r="F1575"/>
      <c r="G1575" s="4"/>
      <c r="I1575"/>
      <c r="J1575"/>
      <c r="K1575"/>
      <c r="L1575"/>
    </row>
    <row r="1576" spans="1:12" s="1" customFormat="1" x14ac:dyDescent="0.25">
      <c r="A1576"/>
      <c r="B1576"/>
      <c r="C1576"/>
      <c r="D1576"/>
      <c r="E1576"/>
      <c r="F1576"/>
      <c r="G1576" s="4"/>
      <c r="I1576"/>
      <c r="J1576"/>
      <c r="K1576"/>
      <c r="L1576"/>
    </row>
    <row r="1577" spans="1:12" s="1" customFormat="1" x14ac:dyDescent="0.25">
      <c r="A1577"/>
      <c r="B1577"/>
      <c r="C1577"/>
      <c r="D1577"/>
      <c r="E1577"/>
      <c r="F1577"/>
      <c r="G1577" s="4"/>
      <c r="I1577"/>
      <c r="J1577"/>
      <c r="K1577"/>
      <c r="L1577"/>
    </row>
    <row r="1578" spans="1:12" s="1" customFormat="1" x14ac:dyDescent="0.25">
      <c r="A1578"/>
      <c r="B1578"/>
      <c r="C1578"/>
      <c r="D1578"/>
      <c r="E1578"/>
      <c r="F1578"/>
      <c r="G1578" s="4"/>
      <c r="I1578"/>
      <c r="J1578"/>
      <c r="K1578"/>
      <c r="L1578"/>
    </row>
    <row r="1579" spans="1:12" s="1" customFormat="1" x14ac:dyDescent="0.25">
      <c r="A1579"/>
      <c r="B1579"/>
      <c r="C1579"/>
      <c r="D1579"/>
      <c r="E1579"/>
      <c r="F1579"/>
      <c r="G1579" s="4"/>
      <c r="I1579"/>
      <c r="J1579"/>
      <c r="K1579"/>
      <c r="L1579"/>
    </row>
    <row r="1580" spans="1:12" s="1" customFormat="1" x14ac:dyDescent="0.25">
      <c r="A1580"/>
      <c r="B1580"/>
      <c r="C1580"/>
      <c r="D1580"/>
      <c r="E1580"/>
      <c r="F1580"/>
      <c r="G1580" s="4"/>
      <c r="I1580"/>
      <c r="J1580"/>
      <c r="K1580"/>
      <c r="L1580"/>
    </row>
    <row r="1581" spans="1:12" s="1" customFormat="1" x14ac:dyDescent="0.25">
      <c r="A1581"/>
      <c r="B1581"/>
      <c r="C1581"/>
      <c r="D1581"/>
      <c r="E1581"/>
      <c r="F1581"/>
      <c r="G1581" s="4"/>
      <c r="I1581"/>
      <c r="J1581"/>
      <c r="K1581"/>
      <c r="L1581"/>
    </row>
    <row r="1582" spans="1:12" s="1" customFormat="1" x14ac:dyDescent="0.25">
      <c r="A1582"/>
      <c r="B1582"/>
      <c r="C1582"/>
      <c r="D1582"/>
      <c r="E1582"/>
      <c r="F1582"/>
      <c r="G1582" s="4"/>
      <c r="I1582"/>
      <c r="J1582"/>
      <c r="K1582"/>
      <c r="L1582"/>
    </row>
    <row r="1583" spans="1:12" s="1" customFormat="1" x14ac:dyDescent="0.25">
      <c r="A1583"/>
      <c r="B1583"/>
      <c r="C1583"/>
      <c r="D1583"/>
      <c r="E1583"/>
      <c r="F1583"/>
      <c r="G1583" s="4"/>
      <c r="I1583"/>
      <c r="J1583"/>
      <c r="K1583"/>
      <c r="L1583"/>
    </row>
    <row r="1584" spans="1:12" s="1" customFormat="1" x14ac:dyDescent="0.25">
      <c r="A1584"/>
      <c r="B1584"/>
      <c r="C1584"/>
      <c r="D1584"/>
      <c r="E1584"/>
      <c r="F1584"/>
      <c r="G1584" s="4"/>
      <c r="I1584"/>
      <c r="J1584"/>
      <c r="K1584"/>
      <c r="L1584"/>
    </row>
    <row r="1585" spans="1:12" s="1" customFormat="1" x14ac:dyDescent="0.25">
      <c r="A1585"/>
      <c r="B1585"/>
      <c r="C1585"/>
      <c r="D1585"/>
      <c r="E1585"/>
      <c r="F1585"/>
      <c r="G1585" s="4"/>
      <c r="I1585"/>
      <c r="J1585"/>
      <c r="K1585"/>
      <c r="L1585"/>
    </row>
    <row r="1586" spans="1:12" s="1" customFormat="1" x14ac:dyDescent="0.25">
      <c r="A1586"/>
      <c r="B1586"/>
      <c r="C1586"/>
      <c r="D1586"/>
      <c r="E1586"/>
      <c r="F1586"/>
      <c r="G1586" s="4"/>
      <c r="I1586"/>
      <c r="J1586"/>
      <c r="K1586"/>
      <c r="L1586"/>
    </row>
    <row r="1587" spans="1:12" s="1" customFormat="1" x14ac:dyDescent="0.25">
      <c r="A1587"/>
      <c r="B1587"/>
      <c r="C1587"/>
      <c r="D1587"/>
      <c r="E1587"/>
      <c r="F1587"/>
      <c r="G1587" s="4"/>
      <c r="I1587"/>
      <c r="J1587"/>
      <c r="K1587"/>
      <c r="L1587"/>
    </row>
    <row r="1588" spans="1:12" s="1" customFormat="1" x14ac:dyDescent="0.25">
      <c r="A1588"/>
      <c r="B1588"/>
      <c r="C1588"/>
      <c r="D1588"/>
      <c r="E1588"/>
      <c r="F1588"/>
      <c r="G1588" s="4"/>
      <c r="I1588"/>
      <c r="J1588"/>
      <c r="K1588"/>
      <c r="L1588"/>
    </row>
    <row r="1589" spans="1:12" s="1" customFormat="1" x14ac:dyDescent="0.25">
      <c r="A1589"/>
      <c r="B1589"/>
      <c r="C1589"/>
      <c r="D1589"/>
      <c r="E1589"/>
      <c r="F1589"/>
      <c r="G1589" s="4"/>
      <c r="I1589"/>
      <c r="J1589"/>
      <c r="K1589"/>
      <c r="L1589"/>
    </row>
    <row r="1590" spans="1:12" s="1" customFormat="1" x14ac:dyDescent="0.25">
      <c r="A1590"/>
      <c r="B1590"/>
      <c r="C1590"/>
      <c r="D1590"/>
      <c r="E1590"/>
      <c r="F1590"/>
      <c r="G1590" s="4"/>
      <c r="I1590"/>
      <c r="J1590"/>
      <c r="K1590"/>
      <c r="L1590"/>
    </row>
    <row r="1591" spans="1:12" s="1" customFormat="1" x14ac:dyDescent="0.25">
      <c r="A1591"/>
      <c r="B1591"/>
      <c r="C1591"/>
      <c r="D1591"/>
      <c r="E1591"/>
      <c r="F1591"/>
      <c r="G1591" s="4"/>
      <c r="I1591"/>
      <c r="J1591"/>
      <c r="K1591"/>
      <c r="L1591"/>
    </row>
    <row r="1592" spans="1:12" s="1" customFormat="1" x14ac:dyDescent="0.25">
      <c r="A1592"/>
      <c r="B1592"/>
      <c r="C1592"/>
      <c r="D1592"/>
      <c r="E1592"/>
      <c r="F1592"/>
      <c r="G1592" s="4"/>
      <c r="I1592"/>
      <c r="J1592"/>
      <c r="K1592"/>
      <c r="L1592"/>
    </row>
    <row r="1593" spans="1:12" s="1" customFormat="1" x14ac:dyDescent="0.25">
      <c r="A1593"/>
      <c r="B1593"/>
      <c r="C1593"/>
      <c r="D1593"/>
      <c r="E1593"/>
      <c r="F1593"/>
      <c r="G1593" s="4"/>
      <c r="I1593"/>
      <c r="J1593"/>
      <c r="K1593"/>
      <c r="L1593"/>
    </row>
    <row r="1594" spans="1:12" s="1" customFormat="1" x14ac:dyDescent="0.25">
      <c r="A1594"/>
      <c r="B1594"/>
      <c r="C1594"/>
      <c r="D1594"/>
      <c r="E1594"/>
      <c r="F1594"/>
      <c r="G1594" s="4"/>
      <c r="I1594"/>
      <c r="J1594"/>
      <c r="K1594"/>
      <c r="L1594"/>
    </row>
    <row r="1595" spans="1:12" s="1" customFormat="1" x14ac:dyDescent="0.25">
      <c r="A1595"/>
      <c r="B1595"/>
      <c r="C1595"/>
      <c r="D1595"/>
      <c r="E1595"/>
      <c r="F1595"/>
      <c r="G1595" s="4"/>
      <c r="I1595"/>
      <c r="J1595"/>
      <c r="K1595"/>
      <c r="L1595"/>
    </row>
    <row r="1596" spans="1:12" s="1" customFormat="1" x14ac:dyDescent="0.25">
      <c r="A1596"/>
      <c r="B1596"/>
      <c r="C1596"/>
      <c r="D1596"/>
      <c r="E1596"/>
      <c r="F1596"/>
      <c r="G1596" s="4"/>
      <c r="I1596"/>
      <c r="J1596"/>
      <c r="K1596"/>
      <c r="L1596"/>
    </row>
    <row r="1597" spans="1:12" s="1" customFormat="1" x14ac:dyDescent="0.25">
      <c r="A1597"/>
      <c r="B1597"/>
      <c r="C1597"/>
      <c r="D1597"/>
      <c r="E1597"/>
      <c r="F1597"/>
      <c r="G1597" s="4"/>
      <c r="I1597"/>
      <c r="J1597"/>
      <c r="K1597"/>
      <c r="L1597"/>
    </row>
    <row r="1598" spans="1:12" s="1" customFormat="1" x14ac:dyDescent="0.25">
      <c r="A1598"/>
      <c r="B1598"/>
      <c r="C1598"/>
      <c r="D1598"/>
      <c r="E1598"/>
      <c r="F1598"/>
      <c r="G1598" s="4"/>
      <c r="I1598"/>
      <c r="J1598"/>
      <c r="K1598"/>
      <c r="L1598"/>
    </row>
    <row r="1599" spans="1:12" s="1" customFormat="1" x14ac:dyDescent="0.25">
      <c r="A1599"/>
      <c r="B1599"/>
      <c r="C1599"/>
      <c r="D1599"/>
      <c r="E1599"/>
      <c r="F1599"/>
      <c r="G1599" s="4"/>
      <c r="I1599"/>
      <c r="J1599"/>
      <c r="K1599"/>
      <c r="L1599"/>
    </row>
    <row r="1600" spans="1:12" s="1" customFormat="1" x14ac:dyDescent="0.25">
      <c r="A1600"/>
      <c r="B1600"/>
      <c r="C1600"/>
      <c r="D1600"/>
      <c r="E1600"/>
      <c r="F1600"/>
      <c r="G1600" s="4"/>
      <c r="I1600"/>
      <c r="J1600"/>
      <c r="K1600"/>
      <c r="L1600"/>
    </row>
    <row r="1601" spans="1:12" s="1" customFormat="1" x14ac:dyDescent="0.25">
      <c r="A1601"/>
      <c r="B1601"/>
      <c r="C1601"/>
      <c r="D1601"/>
      <c r="E1601"/>
      <c r="F1601"/>
      <c r="G1601" s="4"/>
      <c r="I1601"/>
      <c r="J1601"/>
      <c r="K1601"/>
      <c r="L1601"/>
    </row>
    <row r="1602" spans="1:12" s="1" customFormat="1" x14ac:dyDescent="0.25">
      <c r="A1602"/>
      <c r="B1602"/>
      <c r="C1602"/>
      <c r="D1602"/>
      <c r="E1602"/>
      <c r="F1602"/>
      <c r="G1602" s="4"/>
      <c r="I1602"/>
      <c r="J1602"/>
      <c r="K1602"/>
      <c r="L1602"/>
    </row>
    <row r="1603" spans="1:12" s="1" customFormat="1" x14ac:dyDescent="0.25">
      <c r="A1603"/>
      <c r="B1603"/>
      <c r="C1603"/>
      <c r="D1603"/>
      <c r="E1603"/>
      <c r="F1603"/>
      <c r="G1603" s="4"/>
      <c r="I1603"/>
      <c r="J1603"/>
      <c r="K1603"/>
      <c r="L1603"/>
    </row>
    <row r="1604" spans="1:12" s="1" customFormat="1" x14ac:dyDescent="0.25">
      <c r="A1604"/>
      <c r="B1604"/>
      <c r="C1604"/>
      <c r="D1604"/>
      <c r="E1604"/>
      <c r="F1604"/>
      <c r="G1604" s="4"/>
      <c r="I1604"/>
      <c r="J1604"/>
      <c r="K1604"/>
      <c r="L1604"/>
    </row>
    <row r="1605" spans="1:12" s="1" customFormat="1" x14ac:dyDescent="0.25">
      <c r="A1605"/>
      <c r="B1605"/>
      <c r="C1605"/>
      <c r="D1605"/>
      <c r="E1605"/>
      <c r="F1605"/>
      <c r="G1605" s="4"/>
      <c r="I1605"/>
      <c r="J1605"/>
      <c r="K1605"/>
      <c r="L1605"/>
    </row>
    <row r="1606" spans="1:12" s="1" customFormat="1" x14ac:dyDescent="0.25">
      <c r="A1606"/>
      <c r="B1606"/>
      <c r="C1606"/>
      <c r="D1606"/>
      <c r="E1606"/>
      <c r="F1606"/>
      <c r="G1606" s="4"/>
      <c r="I1606"/>
      <c r="J1606"/>
      <c r="K1606"/>
      <c r="L1606"/>
    </row>
    <row r="1607" spans="1:12" s="1" customFormat="1" x14ac:dyDescent="0.25">
      <c r="A1607"/>
      <c r="B1607"/>
      <c r="C1607"/>
      <c r="D1607"/>
      <c r="E1607"/>
      <c r="F1607"/>
      <c r="G1607" s="4"/>
      <c r="I1607"/>
      <c r="J1607"/>
      <c r="K1607"/>
      <c r="L1607"/>
    </row>
    <row r="1608" spans="1:12" s="1" customFormat="1" x14ac:dyDescent="0.25">
      <c r="A1608"/>
      <c r="B1608"/>
      <c r="C1608"/>
      <c r="D1608"/>
      <c r="E1608"/>
      <c r="F1608"/>
      <c r="G1608" s="4"/>
      <c r="I1608"/>
      <c r="J1608"/>
      <c r="K1608"/>
      <c r="L1608"/>
    </row>
    <row r="1609" spans="1:12" s="1" customFormat="1" x14ac:dyDescent="0.25">
      <c r="A1609"/>
      <c r="B1609"/>
      <c r="C1609"/>
      <c r="D1609"/>
      <c r="E1609"/>
      <c r="F1609"/>
      <c r="G1609" s="4"/>
      <c r="I1609"/>
      <c r="J1609"/>
      <c r="K1609"/>
      <c r="L1609"/>
    </row>
    <row r="1610" spans="1:12" s="1" customFormat="1" x14ac:dyDescent="0.25">
      <c r="A1610"/>
      <c r="B1610"/>
      <c r="C1610"/>
      <c r="D1610"/>
      <c r="E1610"/>
      <c r="F1610"/>
      <c r="G1610" s="4"/>
      <c r="I1610"/>
      <c r="J1610"/>
      <c r="K1610"/>
      <c r="L1610"/>
    </row>
    <row r="1611" spans="1:12" s="1" customFormat="1" x14ac:dyDescent="0.25">
      <c r="A1611"/>
      <c r="B1611"/>
      <c r="C1611"/>
      <c r="D1611"/>
      <c r="E1611"/>
      <c r="F1611"/>
      <c r="G1611" s="4"/>
      <c r="I1611"/>
      <c r="J1611"/>
      <c r="K1611"/>
      <c r="L1611"/>
    </row>
    <row r="1612" spans="1:12" s="1" customFormat="1" x14ac:dyDescent="0.25">
      <c r="A1612"/>
      <c r="B1612"/>
      <c r="C1612"/>
      <c r="D1612"/>
      <c r="E1612"/>
      <c r="F1612"/>
      <c r="G1612" s="4"/>
      <c r="I1612"/>
      <c r="J1612"/>
      <c r="K1612"/>
      <c r="L1612"/>
    </row>
    <row r="1613" spans="1:12" s="1" customFormat="1" x14ac:dyDescent="0.25">
      <c r="A1613"/>
      <c r="B1613"/>
      <c r="C1613"/>
      <c r="D1613"/>
      <c r="E1613"/>
      <c r="F1613"/>
      <c r="G1613" s="4"/>
      <c r="I1613"/>
      <c r="J1613"/>
      <c r="K1613"/>
      <c r="L1613"/>
    </row>
    <row r="1614" spans="1:12" s="1" customFormat="1" x14ac:dyDescent="0.25">
      <c r="A1614"/>
      <c r="B1614"/>
      <c r="C1614"/>
      <c r="D1614"/>
      <c r="E1614"/>
      <c r="F1614"/>
      <c r="G1614" s="4"/>
      <c r="I1614"/>
      <c r="J1614"/>
      <c r="K1614"/>
      <c r="L1614"/>
    </row>
    <row r="1615" spans="1:12" s="1" customFormat="1" x14ac:dyDescent="0.25">
      <c r="A1615"/>
      <c r="B1615"/>
      <c r="C1615"/>
      <c r="D1615"/>
      <c r="E1615"/>
      <c r="F1615"/>
      <c r="G1615" s="4"/>
      <c r="I1615"/>
      <c r="J1615"/>
      <c r="K1615"/>
      <c r="L1615"/>
    </row>
    <row r="1616" spans="1:12" s="1" customFormat="1" x14ac:dyDescent="0.25">
      <c r="A1616"/>
      <c r="B1616"/>
      <c r="C1616"/>
      <c r="D1616"/>
      <c r="E1616"/>
      <c r="F1616"/>
      <c r="G1616" s="4"/>
      <c r="I1616"/>
      <c r="J1616"/>
      <c r="K1616"/>
      <c r="L1616"/>
    </row>
    <row r="1617" spans="1:12" s="1" customFormat="1" x14ac:dyDescent="0.25">
      <c r="A1617"/>
      <c r="B1617"/>
      <c r="C1617"/>
      <c r="D1617"/>
      <c r="E1617"/>
      <c r="F1617"/>
      <c r="G1617" s="4"/>
      <c r="I1617"/>
      <c r="J1617"/>
      <c r="K1617"/>
      <c r="L1617"/>
    </row>
    <row r="1618" spans="1:12" s="1" customFormat="1" x14ac:dyDescent="0.25">
      <c r="A1618"/>
      <c r="B1618"/>
      <c r="C1618"/>
      <c r="D1618"/>
      <c r="E1618"/>
      <c r="F1618"/>
      <c r="G1618" s="4"/>
      <c r="I1618"/>
      <c r="J1618"/>
      <c r="K1618"/>
      <c r="L1618"/>
    </row>
    <row r="1619" spans="1:12" s="1" customFormat="1" x14ac:dyDescent="0.25">
      <c r="A1619"/>
      <c r="B1619"/>
      <c r="C1619"/>
      <c r="D1619"/>
      <c r="E1619"/>
      <c r="F1619"/>
      <c r="G1619" s="4"/>
      <c r="I1619"/>
      <c r="J1619"/>
      <c r="K1619"/>
      <c r="L1619"/>
    </row>
    <row r="1620" spans="1:12" s="1" customFormat="1" x14ac:dyDescent="0.25">
      <c r="A1620"/>
      <c r="B1620"/>
      <c r="C1620"/>
      <c r="D1620"/>
      <c r="E1620"/>
      <c r="F1620"/>
      <c r="G1620" s="4"/>
      <c r="I1620"/>
      <c r="J1620"/>
      <c r="K1620"/>
      <c r="L1620"/>
    </row>
    <row r="1621" spans="1:12" s="1" customFormat="1" x14ac:dyDescent="0.25">
      <c r="A1621"/>
      <c r="B1621"/>
      <c r="C1621"/>
      <c r="D1621"/>
      <c r="E1621"/>
      <c r="F1621"/>
      <c r="G1621" s="4"/>
      <c r="I1621"/>
      <c r="J1621"/>
      <c r="K1621"/>
      <c r="L1621"/>
    </row>
    <row r="1622" spans="1:12" s="1" customFormat="1" x14ac:dyDescent="0.25">
      <c r="A1622"/>
      <c r="B1622"/>
      <c r="C1622"/>
      <c r="D1622"/>
      <c r="E1622"/>
      <c r="F1622"/>
      <c r="G1622" s="4"/>
      <c r="I1622"/>
      <c r="J1622"/>
      <c r="K1622"/>
      <c r="L1622"/>
    </row>
    <row r="1623" spans="1:12" s="1" customFormat="1" x14ac:dyDescent="0.25">
      <c r="A1623"/>
      <c r="B1623"/>
      <c r="C1623"/>
      <c r="D1623"/>
      <c r="E1623"/>
      <c r="F1623"/>
      <c r="G1623" s="4"/>
      <c r="I1623"/>
      <c r="J1623"/>
      <c r="K1623"/>
      <c r="L1623"/>
    </row>
    <row r="1624" spans="1:12" s="1" customFormat="1" x14ac:dyDescent="0.25">
      <c r="A1624"/>
      <c r="B1624"/>
      <c r="C1624"/>
      <c r="D1624"/>
      <c r="E1624"/>
      <c r="F1624"/>
      <c r="G1624" s="4"/>
      <c r="I1624"/>
      <c r="J1624"/>
      <c r="K1624"/>
      <c r="L1624"/>
    </row>
  </sheetData>
  <mergeCells count="8">
    <mergeCell ref="A11:B11"/>
    <mergeCell ref="A12:B12"/>
    <mergeCell ref="A5:B5"/>
    <mergeCell ref="A6:B6"/>
    <mergeCell ref="A7:B7"/>
    <mergeCell ref="A8:B8"/>
    <mergeCell ref="A9:B9"/>
    <mergeCell ref="A10:B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841A0-2FEC-4416-9311-009640099267}">
  <dimension ref="A1:C25"/>
  <sheetViews>
    <sheetView zoomScale="115" zoomScaleNormal="115" workbookViewId="0">
      <selection activeCell="L1" sqref="L1"/>
    </sheetView>
  </sheetViews>
  <sheetFormatPr defaultRowHeight="15" customHeight="1" x14ac:dyDescent="0.25"/>
  <cols>
    <col min="1" max="1" width="11.7109375" bestFit="1" customWidth="1"/>
    <col min="2" max="2" width="13.7109375" bestFit="1" customWidth="1"/>
    <col min="3" max="3" width="37.7109375" bestFit="1" customWidth="1"/>
  </cols>
  <sheetData>
    <row r="1" spans="1:3" ht="15" customHeight="1" x14ac:dyDescent="0.25">
      <c r="A1" s="27">
        <v>43101</v>
      </c>
      <c r="B1" s="28" t="s">
        <v>11</v>
      </c>
      <c r="C1" s="28" t="s">
        <v>12</v>
      </c>
    </row>
    <row r="2" spans="1:3" ht="15" customHeight="1" x14ac:dyDescent="0.25">
      <c r="A2" s="29">
        <v>43143</v>
      </c>
      <c r="B2" s="30" t="s">
        <v>11</v>
      </c>
      <c r="C2" s="30" t="s">
        <v>13</v>
      </c>
    </row>
    <row r="3" spans="1:3" ht="15" customHeight="1" x14ac:dyDescent="0.25">
      <c r="A3" s="27">
        <v>43144</v>
      </c>
      <c r="B3" s="28" t="s">
        <v>14</v>
      </c>
      <c r="C3" s="28" t="s">
        <v>13</v>
      </c>
    </row>
    <row r="4" spans="1:3" ht="15" customHeight="1" x14ac:dyDescent="0.25">
      <c r="A4" s="29">
        <v>43189</v>
      </c>
      <c r="B4" s="30" t="s">
        <v>15</v>
      </c>
      <c r="C4" s="30" t="s">
        <v>16</v>
      </c>
    </row>
    <row r="5" spans="1:3" ht="15" customHeight="1" x14ac:dyDescent="0.25">
      <c r="A5" s="27">
        <v>43211</v>
      </c>
      <c r="B5" s="28" t="s">
        <v>17</v>
      </c>
      <c r="C5" s="28" t="s">
        <v>18</v>
      </c>
    </row>
    <row r="6" spans="1:3" ht="15" customHeight="1" x14ac:dyDescent="0.25">
      <c r="A6" s="29">
        <v>43221</v>
      </c>
      <c r="B6" s="30" t="s">
        <v>14</v>
      </c>
      <c r="C6" s="30" t="s">
        <v>19</v>
      </c>
    </row>
    <row r="7" spans="1:3" ht="15" customHeight="1" x14ac:dyDescent="0.25">
      <c r="A7" s="27">
        <v>43251</v>
      </c>
      <c r="B7" s="28" t="s">
        <v>20</v>
      </c>
      <c r="C7" s="28" t="s">
        <v>21</v>
      </c>
    </row>
    <row r="8" spans="1:3" ht="15" customHeight="1" x14ac:dyDescent="0.25">
      <c r="A8" s="29">
        <v>43350</v>
      </c>
      <c r="B8" s="30" t="s">
        <v>15</v>
      </c>
      <c r="C8" s="30" t="s">
        <v>22</v>
      </c>
    </row>
    <row r="9" spans="1:3" ht="15" customHeight="1" x14ac:dyDescent="0.25">
      <c r="A9" s="27">
        <v>43385</v>
      </c>
      <c r="B9" s="28" t="s">
        <v>15</v>
      </c>
      <c r="C9" s="28" t="s">
        <v>23</v>
      </c>
    </row>
    <row r="10" spans="1:3" ht="15" customHeight="1" x14ac:dyDescent="0.25">
      <c r="A10" s="29">
        <v>43406</v>
      </c>
      <c r="B10" s="30" t="s">
        <v>15</v>
      </c>
      <c r="C10" s="30" t="s">
        <v>24</v>
      </c>
    </row>
    <row r="11" spans="1:3" ht="15" customHeight="1" x14ac:dyDescent="0.25">
      <c r="A11" s="27">
        <v>43419</v>
      </c>
      <c r="B11" s="28" t="s">
        <v>20</v>
      </c>
      <c r="C11" s="28" t="s">
        <v>25</v>
      </c>
    </row>
    <row r="12" spans="1:3" ht="15" customHeight="1" x14ac:dyDescent="0.25">
      <c r="A12" s="29">
        <v>43459</v>
      </c>
      <c r="B12" s="30" t="s">
        <v>14</v>
      </c>
      <c r="C12" s="30" t="s">
        <v>26</v>
      </c>
    </row>
    <row r="13" spans="1:3" ht="15" customHeight="1" x14ac:dyDescent="0.25">
      <c r="A13" s="27">
        <v>43466</v>
      </c>
      <c r="B13" s="28" t="s">
        <v>14</v>
      </c>
      <c r="C13" s="28" t="s">
        <v>12</v>
      </c>
    </row>
    <row r="14" spans="1:3" ht="15" customHeight="1" x14ac:dyDescent="0.25">
      <c r="A14" s="29">
        <v>43528</v>
      </c>
      <c r="B14" s="30" t="s">
        <v>11</v>
      </c>
      <c r="C14" s="30" t="s">
        <v>13</v>
      </c>
    </row>
    <row r="15" spans="1:3" ht="15" customHeight="1" x14ac:dyDescent="0.25">
      <c r="A15" s="27">
        <v>43529</v>
      </c>
      <c r="B15" s="28" t="s">
        <v>14</v>
      </c>
      <c r="C15" s="28" t="s">
        <v>13</v>
      </c>
    </row>
    <row r="16" spans="1:3" ht="15" customHeight="1" x14ac:dyDescent="0.25">
      <c r="A16" s="29">
        <v>43574</v>
      </c>
      <c r="B16" s="30" t="s">
        <v>15</v>
      </c>
      <c r="C16" s="30" t="s">
        <v>16</v>
      </c>
    </row>
    <row r="17" spans="1:3" ht="15" customHeight="1" x14ac:dyDescent="0.25">
      <c r="A17" s="27">
        <v>43576</v>
      </c>
      <c r="B17" s="28" t="s">
        <v>27</v>
      </c>
      <c r="C17" s="28" t="s">
        <v>18</v>
      </c>
    </row>
    <row r="18" spans="1:3" ht="15" customHeight="1" x14ac:dyDescent="0.25">
      <c r="A18" s="29">
        <v>43586</v>
      </c>
      <c r="B18" s="30" t="s">
        <v>28</v>
      </c>
      <c r="C18" s="30" t="s">
        <v>19</v>
      </c>
    </row>
    <row r="19" spans="1:3" ht="15" customHeight="1" x14ac:dyDescent="0.25">
      <c r="A19" s="27">
        <v>43636</v>
      </c>
      <c r="B19" s="28" t="s">
        <v>20</v>
      </c>
      <c r="C19" s="28" t="s">
        <v>21</v>
      </c>
    </row>
    <row r="20" spans="1:3" ht="15" customHeight="1" x14ac:dyDescent="0.25">
      <c r="A20" s="29">
        <v>43715</v>
      </c>
      <c r="B20" s="30" t="s">
        <v>17</v>
      </c>
      <c r="C20" s="30" t="s">
        <v>22</v>
      </c>
    </row>
    <row r="21" spans="1:3" ht="15" customHeight="1" x14ac:dyDescent="0.25">
      <c r="A21" s="27">
        <v>43750</v>
      </c>
      <c r="B21" s="28" t="s">
        <v>17</v>
      </c>
      <c r="C21" s="28" t="s">
        <v>29</v>
      </c>
    </row>
    <row r="22" spans="1:3" ht="15" customHeight="1" x14ac:dyDescent="0.25">
      <c r="A22" s="29">
        <v>43771</v>
      </c>
      <c r="B22" s="30" t="s">
        <v>17</v>
      </c>
      <c r="C22" s="30" t="s">
        <v>24</v>
      </c>
    </row>
    <row r="23" spans="1:3" ht="15" customHeight="1" x14ac:dyDescent="0.25">
      <c r="A23" s="27">
        <v>43784</v>
      </c>
      <c r="B23" s="28" t="s">
        <v>15</v>
      </c>
      <c r="C23" s="28" t="s">
        <v>25</v>
      </c>
    </row>
    <row r="24" spans="1:3" ht="15" customHeight="1" x14ac:dyDescent="0.25">
      <c r="A24" s="29">
        <v>43824</v>
      </c>
      <c r="B24" s="30" t="s">
        <v>28</v>
      </c>
      <c r="C24" s="30" t="s">
        <v>26</v>
      </c>
    </row>
    <row r="25" spans="1:3" ht="15" customHeight="1" x14ac:dyDescent="0.25">
      <c r="A25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Conversão_Taxas</vt:lpstr>
      <vt:lpstr>Emprestimo</vt:lpstr>
      <vt:lpstr>Feriados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Lavrado</dc:creator>
  <cp:lastModifiedBy>Rafael Lavrado</cp:lastModifiedBy>
  <dcterms:created xsi:type="dcterms:W3CDTF">2017-05-08T17:22:23Z</dcterms:created>
  <dcterms:modified xsi:type="dcterms:W3CDTF">2018-10-24T17:19:45Z</dcterms:modified>
</cp:coreProperties>
</file>