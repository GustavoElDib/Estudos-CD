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blog_new\10- Markovitz\"/>
    </mc:Choice>
  </mc:AlternateContent>
  <xr:revisionPtr revIDLastSave="0" documentId="13_ncr:1_{508668C0-90EC-4091-BE67-88003D5E679E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Portfolio" sheetId="5" r:id="rId1"/>
    <sheet name="Fronteira_Eficiente" sheetId="6" r:id="rId2"/>
  </sheets>
  <definedNames>
    <definedName name="Ret_Esp">Portfolio!$E$11</definedName>
    <definedName name="solver_adj" localSheetId="0" hidden="1">Portfolio!$C$7:$C$10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Portfolio!$C$11</definedName>
    <definedName name="solver_lhs2" localSheetId="0" hidden="1">Portfolio!$C$7:$C$10</definedName>
    <definedName name="solver_lhs3" localSheetId="0" hidden="1">Portfolio!$D$11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Portfolio!$E$11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3</definedName>
    <definedName name="solver_rel3" localSheetId="0" hidden="1">2</definedName>
    <definedName name="solver_rhs1" localSheetId="0" hidden="1">1</definedName>
    <definedName name="solver_rhs2" localSheetId="0" hidden="1">0</definedName>
    <definedName name="solver_rhs3" localSheetId="0" hidden="1">Target_Vol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Target_Vol">Portfolio!$E$14</definedName>
    <definedName name="Total_Port">Portfolio!$C$11</definedName>
    <definedName name="Vol">Portfolio!$D$11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6" l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C11" i="5" l="1"/>
  <c r="M8" i="5"/>
  <c r="M9" i="5"/>
  <c r="M7" i="5"/>
  <c r="E11" i="5" l="1"/>
  <c r="M10" i="5"/>
  <c r="D11" i="5" s="1" a="1"/>
  <c r="D11" i="5" s="1"/>
</calcChain>
</file>

<file path=xl/sharedStrings.xml><?xml version="1.0" encoding="utf-8"?>
<sst xmlns="http://schemas.openxmlformats.org/spreadsheetml/2006/main" count="27" uniqueCount="14">
  <si>
    <t>Valor Esperado</t>
  </si>
  <si>
    <t>Peso</t>
  </si>
  <si>
    <t>Volatilidade</t>
  </si>
  <si>
    <t>Retorno Esperado</t>
  </si>
  <si>
    <t>Juros Longos</t>
  </si>
  <si>
    <t>Total</t>
  </si>
  <si>
    <t>Bolsa</t>
  </si>
  <si>
    <r>
      <t>w</t>
    </r>
    <r>
      <rPr>
        <vertAlign val="subscript"/>
        <sz val="11"/>
        <color indexed="8"/>
        <rFont val="Calibri"/>
        <family val="2"/>
      </rPr>
      <t>n</t>
    </r>
    <r>
      <rPr>
        <sz val="11"/>
        <color theme="1"/>
        <rFont val="Calibri"/>
        <family val="2"/>
        <scheme val="minor"/>
      </rPr>
      <t>σ</t>
    </r>
    <r>
      <rPr>
        <vertAlign val="subscript"/>
        <sz val="11"/>
        <color indexed="8"/>
        <rFont val="Calibri"/>
        <family val="2"/>
      </rPr>
      <t>n</t>
    </r>
  </si>
  <si>
    <t>Target Vol:</t>
  </si>
  <si>
    <t>Matriz de Correlação</t>
  </si>
  <si>
    <t>Dólar</t>
  </si>
  <si>
    <t>Imobiliário</t>
  </si>
  <si>
    <t>100% Investido em cada ativo</t>
  </si>
  <si>
    <t>Auxiliar para a conta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</si>
</sst>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%"/>
    <numFmt numFmtId="167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vertAlign val="subscript"/>
      <sz val="11"/>
      <color indexed="8"/>
      <name val="Calibri"/>
      <family val="2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A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26B0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2"/>
    <xf numFmtId="0" fontId="0" fillId="4" borderId="3" xfId="0" applyFill="1" applyBorder="1"/>
    <xf numFmtId="0" fontId="0" fillId="4" borderId="3" xfId="0" applyFill="1" applyBorder="1" applyAlignment="1">
      <alignment horizontal="center"/>
    </xf>
    <xf numFmtId="0" fontId="0" fillId="0" borderId="0" xfId="0" applyAlignment="1">
      <alignment vertical="center"/>
    </xf>
    <xf numFmtId="10" fontId="0" fillId="0" borderId="0" xfId="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6" xfId="0" applyBorder="1"/>
    <xf numFmtId="10" fontId="0" fillId="0" borderId="12" xfId="0" applyNumberFormat="1" applyBorder="1" applyAlignment="1">
      <alignment horizontal="center"/>
    </xf>
    <xf numFmtId="165" fontId="2" fillId="2" borderId="5" xfId="0" applyNumberFormat="1" applyFont="1" applyFill="1" applyBorder="1" applyAlignment="1">
      <alignment horizontal="center" vertical="center"/>
    </xf>
    <xf numFmtId="165" fontId="0" fillId="3" borderId="3" xfId="1" applyNumberFormat="1" applyFont="1" applyFill="1" applyBorder="1" applyAlignment="1">
      <alignment horizontal="center"/>
    </xf>
    <xf numFmtId="165" fontId="0" fillId="3" borderId="1" xfId="1" applyNumberFormat="1" applyFont="1" applyFill="1" applyBorder="1" applyAlignment="1">
      <alignment horizontal="center"/>
    </xf>
    <xf numFmtId="0" fontId="3" fillId="5" borderId="0" xfId="0" applyFont="1" applyFill="1" applyAlignment="1">
      <alignment horizontal="center" vertical="center" wrapText="1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164" fontId="5" fillId="0" borderId="4" xfId="0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9" fontId="8" fillId="6" borderId="0" xfId="0" applyNumberFormat="1" applyFont="1" applyFill="1" applyAlignment="1">
      <alignment horizontal="center"/>
    </xf>
    <xf numFmtId="165" fontId="0" fillId="7" borderId="0" xfId="0" applyNumberFormat="1" applyFill="1" applyAlignment="1">
      <alignment horizontal="center" vertical="center"/>
    </xf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wrapText="1"/>
    </xf>
    <xf numFmtId="167" fontId="0" fillId="0" borderId="0" xfId="3" applyNumberFormat="1" applyFont="1"/>
    <xf numFmtId="9" fontId="0" fillId="0" borderId="0" xfId="1" applyNumberFormat="1" applyFont="1"/>
  </cellXfs>
  <cellStyles count="4">
    <cellStyle name="Comma" xfId="3" builtinId="3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5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9"/>
            <c:spPr>
              <a:solidFill>
                <a:schemeClr val="accent2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3"/>
            <c:marker>
              <c:symbol val="circle"/>
              <c:size val="9"/>
              <c:spPr>
                <a:solidFill>
                  <a:srgbClr val="FF0000"/>
                </a:solidFill>
                <a:ln w="9525" cap="rnd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334-40E5-A157-34FDA5D37525}"/>
              </c:ext>
            </c:extLst>
          </c:dPt>
          <c:dPt>
            <c:idx val="34"/>
            <c:marker>
              <c:symbol val="circle"/>
              <c:size val="9"/>
              <c:spPr>
                <a:solidFill>
                  <a:srgbClr val="FF0000"/>
                </a:solidFill>
                <a:ln w="9525" cap="rnd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334-40E5-A157-34FDA5D37525}"/>
              </c:ext>
            </c:extLst>
          </c:dPt>
          <c:dPt>
            <c:idx val="35"/>
            <c:marker>
              <c:symbol val="circle"/>
              <c:size val="9"/>
              <c:spPr>
                <a:solidFill>
                  <a:srgbClr val="FF0000"/>
                </a:solidFill>
                <a:ln w="9525" cap="rnd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334-40E5-A157-34FDA5D37525}"/>
              </c:ext>
            </c:extLst>
          </c:dPt>
          <c:dPt>
            <c:idx val="36"/>
            <c:marker>
              <c:symbol val="circle"/>
              <c:size val="9"/>
              <c:spPr>
                <a:solidFill>
                  <a:srgbClr val="FF0000"/>
                </a:solidFill>
                <a:ln w="9525" cap="rnd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334-40E5-A157-34FDA5D37525}"/>
              </c:ext>
            </c:extLst>
          </c:dPt>
          <c:dLbls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Bolsa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34-40E5-A157-34FDA5D37525}"/>
                </c:ext>
              </c:extLst>
            </c:dLbl>
            <c:dLbl>
              <c:idx val="34"/>
              <c:layout>
                <c:manualLayout>
                  <c:x val="5.2521008403360707E-3"/>
                  <c:y val="3.2552083333333335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Juros Longos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34-40E5-A157-34FDA5D37525}"/>
                </c:ext>
              </c:extLst>
            </c:dLbl>
            <c:dLbl>
              <c:idx val="35"/>
              <c:layout>
                <c:manualLayout>
                  <c:x val="9.2695587690024596E-3"/>
                  <c:y val="-4.11522633744855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Dolar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34-40E5-A157-34FDA5D375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Imobiliário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34-40E5-A157-34FDA5D375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Fronteira_Eficiente!$E$5:$E$41</c:f>
              <c:numCache>
                <c:formatCode>0.00%</c:formatCode>
                <c:ptCount val="37"/>
                <c:pt idx="0">
                  <c:v>4.6328449205651635E-2</c:v>
                </c:pt>
                <c:pt idx="1">
                  <c:v>5.1328449205651633E-2</c:v>
                </c:pt>
                <c:pt idx="2">
                  <c:v>5.632844920565163E-2</c:v>
                </c:pt>
                <c:pt idx="3">
                  <c:v>6.1328449205651628E-2</c:v>
                </c:pt>
                <c:pt idx="4">
                  <c:v>6.6328449205651632E-2</c:v>
                </c:pt>
                <c:pt idx="5">
                  <c:v>7.1328449205651637E-2</c:v>
                </c:pt>
                <c:pt idx="6">
                  <c:v>7.6328449205651641E-2</c:v>
                </c:pt>
                <c:pt idx="7">
                  <c:v>8.1328449205651646E-2</c:v>
                </c:pt>
                <c:pt idx="8">
                  <c:v>8.632844920565165E-2</c:v>
                </c:pt>
                <c:pt idx="9">
                  <c:v>9.1328449205651654E-2</c:v>
                </c:pt>
                <c:pt idx="10">
                  <c:v>9.6328449205651659E-2</c:v>
                </c:pt>
                <c:pt idx="11">
                  <c:v>0.10132844920565166</c:v>
                </c:pt>
                <c:pt idx="12">
                  <c:v>0.10632844920565167</c:v>
                </c:pt>
                <c:pt idx="13">
                  <c:v>0.11132844920565167</c:v>
                </c:pt>
                <c:pt idx="14">
                  <c:v>0.11632844920565168</c:v>
                </c:pt>
                <c:pt idx="15">
                  <c:v>0.12132844920565168</c:v>
                </c:pt>
                <c:pt idx="16">
                  <c:v>0.12632844920565167</c:v>
                </c:pt>
                <c:pt idx="17">
                  <c:v>0.13132844920565168</c:v>
                </c:pt>
                <c:pt idx="18">
                  <c:v>0.13632844920565168</c:v>
                </c:pt>
                <c:pt idx="19">
                  <c:v>0.14132844920565169</c:v>
                </c:pt>
                <c:pt idx="20">
                  <c:v>0.14632844920565169</c:v>
                </c:pt>
                <c:pt idx="21">
                  <c:v>0.15132844920565169</c:v>
                </c:pt>
                <c:pt idx="22">
                  <c:v>0.1563284492056517</c:v>
                </c:pt>
                <c:pt idx="23">
                  <c:v>0.1613284492056517</c:v>
                </c:pt>
                <c:pt idx="24">
                  <c:v>0.16632844920565171</c:v>
                </c:pt>
                <c:pt idx="25">
                  <c:v>0.17132844920565171</c:v>
                </c:pt>
                <c:pt idx="26">
                  <c:v>0.17632844920565172</c:v>
                </c:pt>
                <c:pt idx="27">
                  <c:v>0.18132844920565172</c:v>
                </c:pt>
                <c:pt idx="28">
                  <c:v>0.18632844920565172</c:v>
                </c:pt>
                <c:pt idx="29">
                  <c:v>0.19132844920565173</c:v>
                </c:pt>
                <c:pt idx="30">
                  <c:v>0.19632844920565173</c:v>
                </c:pt>
                <c:pt idx="31">
                  <c:v>0.20132844920565174</c:v>
                </c:pt>
                <c:pt idx="32">
                  <c:v>0.20632844920565174</c:v>
                </c:pt>
                <c:pt idx="33">
                  <c:v>0.2109</c:v>
                </c:pt>
                <c:pt idx="34">
                  <c:v>0.11348647494443459</c:v>
                </c:pt>
                <c:pt idx="35">
                  <c:v>0.15676176900052247</c:v>
                </c:pt>
                <c:pt idx="36">
                  <c:v>6.4639529649441793E-2</c:v>
                </c:pt>
              </c:numCache>
            </c:numRef>
          </c:xVal>
          <c:yVal>
            <c:numRef>
              <c:f>Fronteira_Eficiente!$F$5:$F$41</c:f>
              <c:numCache>
                <c:formatCode>0.00%</c:formatCode>
                <c:ptCount val="37"/>
                <c:pt idx="0">
                  <c:v>8.0002628532503617E-2</c:v>
                </c:pt>
                <c:pt idx="1">
                  <c:v>8.5004977915143526E-2</c:v>
                </c:pt>
                <c:pt idx="2">
                  <c:v>8.7287312681527313E-2</c:v>
                </c:pt>
                <c:pt idx="3">
                  <c:v>8.9156763698866062E-2</c:v>
                </c:pt>
                <c:pt idx="4">
                  <c:v>9.0828205881410148E-2</c:v>
                </c:pt>
                <c:pt idx="5">
                  <c:v>9.2381511888617762E-2</c:v>
                </c:pt>
                <c:pt idx="6">
                  <c:v>9.3856310530496936E-2</c:v>
                </c:pt>
                <c:pt idx="7">
                  <c:v>9.5275576017365693E-2</c:v>
                </c:pt>
                <c:pt idx="8">
                  <c:v>9.6652943403816513E-2</c:v>
                </c:pt>
                <c:pt idx="9">
                  <c:v>9.7998350586009156E-2</c:v>
                </c:pt>
                <c:pt idx="10">
                  <c:v>9.9318287433668898E-2</c:v>
                </c:pt>
                <c:pt idx="11">
                  <c:v>0.10061764009586391</c:v>
                </c:pt>
                <c:pt idx="12">
                  <c:v>0.10190015233455595</c:v>
                </c:pt>
                <c:pt idx="13">
                  <c:v>0.10316868362363549</c:v>
                </c:pt>
                <c:pt idx="14">
                  <c:v>0.10442376423420237</c:v>
                </c:pt>
                <c:pt idx="15">
                  <c:v>0.10565936836796549</c:v>
                </c:pt>
                <c:pt idx="16">
                  <c:v>0.10686582807096139</c:v>
                </c:pt>
                <c:pt idx="17">
                  <c:v>0.10795260780358043</c:v>
                </c:pt>
                <c:pt idx="18">
                  <c:v>0.108939985350994</c:v>
                </c:pt>
                <c:pt idx="19">
                  <c:v>0.10985844477065734</c:v>
                </c:pt>
                <c:pt idx="20">
                  <c:v>0.11072598121398672</c:v>
                </c:pt>
                <c:pt idx="21">
                  <c:v>0.11155424736707599</c:v>
                </c:pt>
                <c:pt idx="22">
                  <c:v>0.11235126118877324</c:v>
                </c:pt>
                <c:pt idx="23">
                  <c:v>0.11312295110851174</c:v>
                </c:pt>
                <c:pt idx="24">
                  <c:v>0.1138732806371356</c:v>
                </c:pt>
                <c:pt idx="25">
                  <c:v>0.11460575029156332</c:v>
                </c:pt>
                <c:pt idx="26">
                  <c:v>0.1153229505734138</c:v>
                </c:pt>
                <c:pt idx="27">
                  <c:v>0.11602695370746072</c:v>
                </c:pt>
                <c:pt idx="28">
                  <c:v>0.11671944414980354</c:v>
                </c:pt>
                <c:pt idx="29">
                  <c:v>0.11740181008579154</c:v>
                </c:pt>
                <c:pt idx="30">
                  <c:v>0.11807520922911829</c:v>
                </c:pt>
                <c:pt idx="31">
                  <c:v>0.11874061718816797</c:v>
                </c:pt>
                <c:pt idx="32">
                  <c:v>0.11939886370033997</c:v>
                </c:pt>
                <c:pt idx="33">
                  <c:v>0.11999513442847438</c:v>
                </c:pt>
                <c:pt idx="34">
                  <c:v>9.7500000000000003E-2</c:v>
                </c:pt>
                <c:pt idx="35">
                  <c:v>5.5E-2</c:v>
                </c:pt>
                <c:pt idx="36">
                  <c:v>7.9000000000000001E-2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34-40E5-A157-34FDA5D37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866560"/>
        <c:axId val="518803456"/>
      </c:scatterChart>
      <c:valAx>
        <c:axId val="35986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/>
                  <a:t>RISCO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8803456"/>
        <c:crosses val="autoZero"/>
        <c:crossBetween val="midCat"/>
      </c:valAx>
      <c:valAx>
        <c:axId val="51880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/>
                  <a:t>Retorno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986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ferramentasdoinvestidor.com.br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ferramentasdoinvestidor.com.br/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</xdr:colOff>
      <xdr:row>0</xdr:row>
      <xdr:rowOff>413555</xdr:rowOff>
    </xdr:from>
    <xdr:ext cx="2707857" cy="142875"/>
    <xdr:sp macro="" textlink="">
      <xdr:nvSpPr>
        <xdr:cNvPr id="3" name="Text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92530" y="413555"/>
          <a:ext cx="2707857" cy="14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sz="1200"/>
            <a:t>http://ferramentasdoinvestidor.com.br/</a:t>
          </a:r>
        </a:p>
      </xdr:txBody>
    </xdr:sp>
    <xdr:clientData/>
  </xdr:oneCellAnchor>
  <xdr:twoCellAnchor editAs="oneCell">
    <xdr:from>
      <xdr:col>0</xdr:col>
      <xdr:colOff>76201</xdr:colOff>
      <xdr:row>0</xdr:row>
      <xdr:rowOff>0</xdr:rowOff>
    </xdr:from>
    <xdr:to>
      <xdr:col>1</xdr:col>
      <xdr:colOff>1143000</xdr:colOff>
      <xdr:row>0</xdr:row>
      <xdr:rowOff>557907</xdr:rowOff>
    </xdr:to>
    <xdr:pic>
      <xdr:nvPicPr>
        <xdr:cNvPr id="4" name="Picture 3" descr="logo_fi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43000" cy="557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14</xdr:row>
          <xdr:rowOff>76200</xdr:rowOff>
        </xdr:from>
        <xdr:to>
          <xdr:col>5</xdr:col>
          <xdr:colOff>22860</xdr:colOff>
          <xdr:row>17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Solver!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274320</xdr:colOff>
      <xdr:row>3</xdr:row>
      <xdr:rowOff>22860</xdr:rowOff>
    </xdr:from>
    <xdr:to>
      <xdr:col>18</xdr:col>
      <xdr:colOff>213360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3810</xdr:colOff>
      <xdr:row>0</xdr:row>
      <xdr:rowOff>413555</xdr:rowOff>
    </xdr:from>
    <xdr:ext cx="2707857" cy="142875"/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192530" y="413555"/>
          <a:ext cx="2707857" cy="14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sz="1200"/>
            <a:t>http://ferramentasdoinvestidor.com.br/</a:t>
          </a:r>
        </a:p>
      </xdr:txBody>
    </xdr:sp>
    <xdr:clientData/>
  </xdr:oneCellAnchor>
  <xdr:twoCellAnchor editAs="oneCell">
    <xdr:from>
      <xdr:col>0</xdr:col>
      <xdr:colOff>68581</xdr:colOff>
      <xdr:row>0</xdr:row>
      <xdr:rowOff>45721</xdr:rowOff>
    </xdr:from>
    <xdr:to>
      <xdr:col>1</xdr:col>
      <xdr:colOff>495300</xdr:colOff>
      <xdr:row>0</xdr:row>
      <xdr:rowOff>553445</xdr:rowOff>
    </xdr:to>
    <xdr:pic>
      <xdr:nvPicPr>
        <xdr:cNvPr id="4" name="Picture 3" descr="logo_fi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1" y="45721"/>
          <a:ext cx="1249679" cy="5077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AF790-8388-4EBA-806B-16F51CF32827}">
  <sheetPr codeName="Sheet5"/>
  <dimension ref="A1:M30"/>
  <sheetViews>
    <sheetView showGridLines="0" tabSelected="1" topLeftCell="B1" zoomScale="115" zoomScaleNormal="115" workbookViewId="0">
      <selection activeCell="C18" sqref="C18"/>
    </sheetView>
  </sheetViews>
  <sheetFormatPr defaultRowHeight="14.4" x14ac:dyDescent="0.3"/>
  <cols>
    <col min="1" max="1" width="1.88671875" hidden="1" customWidth="1"/>
    <col min="2" max="2" width="17.33203125" customWidth="1"/>
    <col min="3" max="3" width="16.6640625" bestFit="1" customWidth="1"/>
    <col min="4" max="4" width="14.6640625" customWidth="1"/>
    <col min="5" max="5" width="22.44140625" style="2" bestFit="1" customWidth="1"/>
    <col min="6" max="6" width="5.33203125" style="2" customWidth="1"/>
    <col min="7" max="7" width="16.77734375" bestFit="1" customWidth="1"/>
    <col min="9" max="9" width="15.109375" bestFit="1" customWidth="1"/>
  </cols>
  <sheetData>
    <row r="1" spans="2:13" ht="48" customHeight="1" thickBot="1" x14ac:dyDescent="0.35">
      <c r="C1" s="4"/>
      <c r="E1"/>
    </row>
    <row r="2" spans="2:13" s="5" customFormat="1" ht="6.75" customHeight="1" thickBot="1" x14ac:dyDescent="0.35">
      <c r="F2" s="6"/>
    </row>
    <row r="5" spans="2:13" x14ac:dyDescent="0.3">
      <c r="H5" s="29" t="s">
        <v>9</v>
      </c>
      <c r="I5" s="29"/>
      <c r="J5" s="29"/>
      <c r="K5" s="29"/>
      <c r="M5" t="s">
        <v>13</v>
      </c>
    </row>
    <row r="6" spans="2:13" ht="39" customHeight="1" thickBot="1" x14ac:dyDescent="0.4">
      <c r="C6" s="15" t="s">
        <v>1</v>
      </c>
      <c r="D6" s="15" t="s">
        <v>2</v>
      </c>
      <c r="E6" s="15" t="s">
        <v>3</v>
      </c>
      <c r="G6" s="10"/>
      <c r="H6" s="16" t="s">
        <v>6</v>
      </c>
      <c r="I6" s="16" t="s">
        <v>4</v>
      </c>
      <c r="J6" s="16" t="s">
        <v>10</v>
      </c>
      <c r="K6" s="17" t="s">
        <v>11</v>
      </c>
      <c r="M6" s="2" t="s">
        <v>7</v>
      </c>
    </row>
    <row r="7" spans="2:13" ht="19.2" thickTop="1" thickBot="1" x14ac:dyDescent="0.35">
      <c r="B7" s="7" t="s">
        <v>6</v>
      </c>
      <c r="C7" s="26">
        <v>7.3399330842722543E-2</v>
      </c>
      <c r="D7" s="8">
        <v>0.2109383106161179</v>
      </c>
      <c r="E7" s="9">
        <v>0.12</v>
      </c>
      <c r="G7" s="18" t="s">
        <v>6</v>
      </c>
      <c r="H7" s="20">
        <v>1</v>
      </c>
      <c r="I7" s="21">
        <v>0.33184314778847229</v>
      </c>
      <c r="J7" s="21">
        <v>-0.4360902691931437</v>
      </c>
      <c r="K7" s="22">
        <v>0.20167191665578116</v>
      </c>
      <c r="M7" s="11">
        <f>C7*D7</f>
        <v>1.5482730848317411E-2</v>
      </c>
    </row>
    <row r="8" spans="2:13" ht="18.600000000000001" thickBot="1" x14ac:dyDescent="0.35">
      <c r="B8" s="7" t="s">
        <v>4</v>
      </c>
      <c r="C8" s="26">
        <v>0.27379112458998278</v>
      </c>
      <c r="D8" s="8">
        <v>0.11348647494443459</v>
      </c>
      <c r="E8" s="9">
        <v>9.7500000000000003E-2</v>
      </c>
      <c r="G8" s="18" t="s">
        <v>4</v>
      </c>
      <c r="H8" s="21">
        <v>0.33184314778847229</v>
      </c>
      <c r="I8" s="20">
        <v>1</v>
      </c>
      <c r="J8" s="21">
        <v>-0.47623115375279235</v>
      </c>
      <c r="K8" s="22">
        <v>0.18188468479011116</v>
      </c>
      <c r="M8" s="11">
        <f t="shared" ref="M8:M10" si="0">C8*D8</f>
        <v>3.1071589600789651E-2</v>
      </c>
    </row>
    <row r="9" spans="2:13" ht="18.600000000000001" thickBot="1" x14ac:dyDescent="0.35">
      <c r="B9" s="7" t="s">
        <v>10</v>
      </c>
      <c r="C9" s="26">
        <v>0.23179233266967902</v>
      </c>
      <c r="D9" s="8">
        <v>0.15676176900052247</v>
      </c>
      <c r="E9" s="9">
        <v>5.5E-2</v>
      </c>
      <c r="G9" s="18" t="s">
        <v>10</v>
      </c>
      <c r="H9" s="21">
        <v>-0.4360902691931437</v>
      </c>
      <c r="I9" s="21">
        <v>-0.47623115375279235</v>
      </c>
      <c r="J9" s="20">
        <v>1</v>
      </c>
      <c r="K9" s="22">
        <v>-0.14838256494766111</v>
      </c>
      <c r="M9" s="11">
        <f t="shared" si="0"/>
        <v>3.6336176110056483E-2</v>
      </c>
    </row>
    <row r="10" spans="2:13" ht="18.600000000000001" thickBot="1" x14ac:dyDescent="0.35">
      <c r="B10" s="7" t="s">
        <v>11</v>
      </c>
      <c r="C10" s="26">
        <v>0.4908601512410426</v>
      </c>
      <c r="D10" s="8">
        <v>6.4639529649441793E-2</v>
      </c>
      <c r="E10" s="9">
        <v>7.9000000000000001E-2</v>
      </c>
      <c r="G10" s="19" t="s">
        <v>11</v>
      </c>
      <c r="H10" s="23">
        <v>0.20167191665578116</v>
      </c>
      <c r="I10" s="23">
        <v>0.18188468479011116</v>
      </c>
      <c r="J10" s="23">
        <v>-0.14838256494766111</v>
      </c>
      <c r="K10" s="24">
        <v>1</v>
      </c>
      <c r="M10" s="11">
        <f t="shared" si="0"/>
        <v>3.1728969299874857E-2</v>
      </c>
    </row>
    <row r="11" spans="2:13" ht="15" thickBot="1" x14ac:dyDescent="0.35">
      <c r="B11" s="7" t="s">
        <v>5</v>
      </c>
      <c r="C11" s="12">
        <f>IF(C10&lt;0,0,1)</f>
        <v>1</v>
      </c>
      <c r="D11" s="13">
        <f t="array" ref="D11">SQRT(MMULT(MMULT(TRANSPOSE(M7:M10),H7:K10),M7:M10))</f>
        <v>5.00008857040906E-2</v>
      </c>
      <c r="E11" s="14">
        <f>SUMPRODUCT(C7:C10,E7:E10)</f>
        <v>8.7029084593524736E-2</v>
      </c>
    </row>
    <row r="14" spans="2:13" x14ac:dyDescent="0.3">
      <c r="D14" t="s">
        <v>8</v>
      </c>
      <c r="E14" s="25">
        <v>0.05</v>
      </c>
    </row>
    <row r="27" spans="4:4" x14ac:dyDescent="0.3">
      <c r="D27" s="31"/>
    </row>
    <row r="28" spans="4:4" x14ac:dyDescent="0.3">
      <c r="D28" s="31"/>
    </row>
    <row r="30" spans="4:4" x14ac:dyDescent="0.3">
      <c r="D30" s="32"/>
    </row>
  </sheetData>
  <mergeCells count="1">
    <mergeCell ref="H5: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Run_Solver">
                <anchor moveWithCells="1" sizeWithCells="1">
                  <from>
                    <xdr:col>4</xdr:col>
                    <xdr:colOff>60960</xdr:colOff>
                    <xdr:row>14</xdr:row>
                    <xdr:rowOff>76200</xdr:rowOff>
                  </from>
                  <to>
                    <xdr:col>5</xdr:col>
                    <xdr:colOff>22860</xdr:colOff>
                    <xdr:row>17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E8BB5-63FC-449E-AD9A-0D9D027F4DDA}">
  <sheetPr codeName="Sheet1"/>
  <dimension ref="A1:G41"/>
  <sheetViews>
    <sheetView showGridLines="0" workbookViewId="0">
      <selection activeCell="G38" sqref="G38:G42"/>
    </sheetView>
  </sheetViews>
  <sheetFormatPr defaultRowHeight="14.4" x14ac:dyDescent="0.3"/>
  <cols>
    <col min="1" max="1" width="12" style="1" bestFit="1" customWidth="1"/>
    <col min="2" max="4" width="12" style="1" customWidth="1"/>
    <col min="5" max="5" width="12" style="1" bestFit="1" customWidth="1"/>
    <col min="6" max="6" width="13.77734375" style="1" customWidth="1"/>
  </cols>
  <sheetData>
    <row r="1" spans="1:6" ht="48" customHeight="1" thickBot="1" x14ac:dyDescent="0.35">
      <c r="A1"/>
      <c r="B1"/>
      <c r="C1" s="4"/>
      <c r="D1"/>
      <c r="E1"/>
      <c r="F1" s="3"/>
    </row>
    <row r="2" spans="1:6" s="5" customFormat="1" ht="6.75" customHeight="1" thickBot="1" x14ac:dyDescent="0.35">
      <c r="F2" s="6"/>
    </row>
    <row r="3" spans="1:6" s="27" customFormat="1" ht="6.75" customHeight="1" x14ac:dyDescent="0.3">
      <c r="F3" s="28"/>
    </row>
    <row r="4" spans="1:6" ht="21" customHeight="1" x14ac:dyDescent="0.3">
      <c r="A4" s="15" t="s">
        <v>6</v>
      </c>
      <c r="B4" s="15" t="s">
        <v>4</v>
      </c>
      <c r="C4" s="15" t="s">
        <v>10</v>
      </c>
      <c r="D4" s="15" t="s">
        <v>11</v>
      </c>
      <c r="E4" s="15" t="s">
        <v>2</v>
      </c>
      <c r="F4" s="15" t="s">
        <v>0</v>
      </c>
    </row>
    <row r="5" spans="1:6" x14ac:dyDescent="0.3">
      <c r="A5" s="1">
        <v>5.0790473210631855E-2</v>
      </c>
      <c r="B5" s="1">
        <v>0.23608326823590614</v>
      </c>
      <c r="C5" s="1">
        <v>0.22697172214569059</v>
      </c>
      <c r="D5" s="1">
        <v>0.48615453640777162</v>
      </c>
      <c r="E5" s="1">
        <v>4.6328449205651635E-2</v>
      </c>
      <c r="F5" s="1">
        <v>8.0002628532503617E-2</v>
      </c>
    </row>
    <row r="6" spans="1:6" x14ac:dyDescent="0.3">
      <c r="A6" s="1">
        <v>0.11695020371261164</v>
      </c>
      <c r="B6" s="1">
        <v>0.31029399789234346</v>
      </c>
      <c r="C6" s="1">
        <v>0.18876747492008025</v>
      </c>
      <c r="D6" s="1">
        <v>0.38398832347496481</v>
      </c>
      <c r="E6" s="1">
        <f>E5+0.5%</f>
        <v>5.1328449205651633E-2</v>
      </c>
      <c r="F6" s="1">
        <v>8.5004977915143526E-2</v>
      </c>
    </row>
    <row r="7" spans="1:6" x14ac:dyDescent="0.3">
      <c r="A7" s="1">
        <v>0.14740128845976627</v>
      </c>
      <c r="B7" s="1">
        <v>0.34358606516533041</v>
      </c>
      <c r="C7" s="1">
        <v>0.1713534312867388</v>
      </c>
      <c r="D7" s="1">
        <v>0.33765921508816465</v>
      </c>
      <c r="E7" s="1">
        <f t="shared" ref="E7:E37" si="0">E6+0.5%</f>
        <v>5.632844920565163E-2</v>
      </c>
      <c r="F7" s="1">
        <v>8.7287312681527313E-2</v>
      </c>
    </row>
    <row r="8" spans="1:6" x14ac:dyDescent="0.3">
      <c r="A8" s="1">
        <v>0.17179543451675591</v>
      </c>
      <c r="B8" s="1">
        <v>0.37189744488369963</v>
      </c>
      <c r="C8" s="1">
        <v>0.15695632694455697</v>
      </c>
      <c r="D8" s="1">
        <v>0.2993507936549874</v>
      </c>
      <c r="E8" s="1">
        <f t="shared" si="0"/>
        <v>6.1328449205651628E-2</v>
      </c>
      <c r="F8" s="1">
        <v>8.9156763698866062E-2</v>
      </c>
    </row>
    <row r="9" spans="1:6" x14ac:dyDescent="0.3">
      <c r="A9" s="1">
        <v>0.19404165982449761</v>
      </c>
      <c r="B9" s="1">
        <v>0.39725911544598419</v>
      </c>
      <c r="C9" s="1">
        <v>0.14486649196437387</v>
      </c>
      <c r="D9" s="1">
        <v>0.26383273276514446</v>
      </c>
      <c r="E9" s="1">
        <f t="shared" si="0"/>
        <v>6.6328449205651632E-2</v>
      </c>
      <c r="F9" s="1">
        <v>9.0828205881410148E-2</v>
      </c>
    </row>
    <row r="10" spans="1:6" x14ac:dyDescent="0.3">
      <c r="A10" s="1">
        <v>0.21528265009213293</v>
      </c>
      <c r="B10" s="1">
        <v>0.41963104673082957</v>
      </c>
      <c r="C10" s="1">
        <v>0.13367713040333512</v>
      </c>
      <c r="D10" s="1">
        <v>0.23140917277370249</v>
      </c>
      <c r="E10" s="1">
        <f t="shared" si="0"/>
        <v>7.1328449205651637E-2</v>
      </c>
      <c r="F10" s="1">
        <v>9.2381511888617762E-2</v>
      </c>
    </row>
    <row r="11" spans="1:6" x14ac:dyDescent="0.3">
      <c r="A11" s="1">
        <v>0.23336313395618694</v>
      </c>
      <c r="B11" s="1">
        <v>0.44225830327439392</v>
      </c>
      <c r="C11" s="1">
        <v>0.12055652384512534</v>
      </c>
      <c r="D11" s="1">
        <v>0.20382203892429371</v>
      </c>
      <c r="E11" s="1">
        <f t="shared" si="0"/>
        <v>7.6328449205651641E-2</v>
      </c>
      <c r="F11" s="1">
        <v>9.3856310530496936E-2</v>
      </c>
    </row>
    <row r="12" spans="1:6" x14ac:dyDescent="0.3">
      <c r="A12" s="1">
        <v>0.25253364567470515</v>
      </c>
      <c r="B12" s="1">
        <v>0.46315268594992642</v>
      </c>
      <c r="C12" s="1">
        <v>0.11027617272378508</v>
      </c>
      <c r="D12" s="1">
        <v>0.17403749565158327</v>
      </c>
      <c r="E12" s="1">
        <f t="shared" si="0"/>
        <v>8.1328449205651646E-2</v>
      </c>
      <c r="F12" s="1">
        <v>9.5275576017365693E-2</v>
      </c>
    </row>
    <row r="13" spans="1:6" x14ac:dyDescent="0.3">
      <c r="A13" s="1">
        <v>0.27013835327162433</v>
      </c>
      <c r="B13" s="1">
        <v>0.484426938962777</v>
      </c>
      <c r="C13" s="1">
        <v>9.9359477130477797E-2</v>
      </c>
      <c r="D13" s="1">
        <v>0.14607523063512096</v>
      </c>
      <c r="E13" s="1">
        <f t="shared" si="0"/>
        <v>8.632844920565165E-2</v>
      </c>
      <c r="F13" s="1">
        <v>9.6652943403816513E-2</v>
      </c>
    </row>
    <row r="14" spans="1:6" x14ac:dyDescent="0.3">
      <c r="A14" s="1">
        <v>0.28790131932737945</v>
      </c>
      <c r="B14" s="1">
        <v>0.50426216764263299</v>
      </c>
      <c r="C14" s="1">
        <v>8.8935566991754297E-2</v>
      </c>
      <c r="D14" s="1">
        <v>0.11890094603823322</v>
      </c>
      <c r="E14" s="1">
        <f t="shared" si="0"/>
        <v>9.1328449205651654E-2</v>
      </c>
      <c r="F14" s="1">
        <v>9.7998350586009156E-2</v>
      </c>
    </row>
    <row r="15" spans="1:6" x14ac:dyDescent="0.3">
      <c r="A15" s="1">
        <v>0.3053318465601001</v>
      </c>
      <c r="B15" s="1">
        <v>0.5239960828461474</v>
      </c>
      <c r="C15" s="1">
        <v>7.8926908664539608E-2</v>
      </c>
      <c r="D15" s="1">
        <v>9.1745161929212921E-2</v>
      </c>
      <c r="E15" s="1">
        <f t="shared" si="0"/>
        <v>9.6328449205651659E-2</v>
      </c>
      <c r="F15" s="1">
        <v>9.9318287433668898E-2</v>
      </c>
    </row>
    <row r="16" spans="1:6" x14ac:dyDescent="0.3">
      <c r="A16" s="1">
        <v>0.32270977637316506</v>
      </c>
      <c r="B16" s="1">
        <v>0.54291210630284148</v>
      </c>
      <c r="C16" s="1">
        <v>6.9055612584933576E-2</v>
      </c>
      <c r="D16" s="1">
        <v>6.5322504739059872E-2</v>
      </c>
      <c r="E16" s="1">
        <f t="shared" si="0"/>
        <v>0.10132844920565166</v>
      </c>
      <c r="F16" s="1">
        <v>0.10061764009586391</v>
      </c>
    </row>
    <row r="17" spans="1:6" x14ac:dyDescent="0.3">
      <c r="A17" s="1">
        <v>0.33945740592294921</v>
      </c>
      <c r="B17" s="1">
        <v>0.56235712496961543</v>
      </c>
      <c r="C17" s="1">
        <v>5.9217005009285756E-2</v>
      </c>
      <c r="D17" s="1">
        <v>3.8968464098149712E-2</v>
      </c>
      <c r="E17" s="1">
        <f t="shared" si="0"/>
        <v>0.10632844920565167</v>
      </c>
      <c r="F17" s="1">
        <v>0.10190015233455595</v>
      </c>
    </row>
    <row r="18" spans="1:6" x14ac:dyDescent="0.3">
      <c r="A18" s="1">
        <v>0.35713620539150814</v>
      </c>
      <c r="B18" s="1">
        <v>0.58034724630248291</v>
      </c>
      <c r="C18" s="1">
        <v>5.0430202250511633E-2</v>
      </c>
      <c r="D18" s="1">
        <v>1.208634605549727E-2</v>
      </c>
      <c r="E18" s="1">
        <f t="shared" si="0"/>
        <v>0.11132844920565167</v>
      </c>
      <c r="F18" s="1">
        <v>0.10316868362363549</v>
      </c>
    </row>
    <row r="19" spans="1:6" x14ac:dyDescent="0.3">
      <c r="A19" s="1">
        <v>0.37319741667739559</v>
      </c>
      <c r="B19" s="1">
        <v>0.59213958000403899</v>
      </c>
      <c r="C19" s="1">
        <v>3.4663003318565415E-2</v>
      </c>
      <c r="D19" s="1">
        <v>0</v>
      </c>
      <c r="E19" s="1">
        <f t="shared" si="0"/>
        <v>0.11632844920565168</v>
      </c>
      <c r="F19" s="1">
        <v>0.10442376423420237</v>
      </c>
    </row>
    <row r="20" spans="1:6" x14ac:dyDescent="0.3">
      <c r="A20" s="1">
        <v>0.38708187258600946</v>
      </c>
      <c r="B20" s="1">
        <v>0.59997756823235038</v>
      </c>
      <c r="C20" s="1">
        <v>1.294055918164015E-2</v>
      </c>
      <c r="D20" s="1">
        <v>0</v>
      </c>
      <c r="E20" s="1">
        <f t="shared" si="0"/>
        <v>0.12132844920565168</v>
      </c>
      <c r="F20" s="1">
        <v>0.10565936836796549</v>
      </c>
    </row>
    <row r="21" spans="1:6" x14ac:dyDescent="0.3">
      <c r="A21" s="1">
        <v>0.41625902537606135</v>
      </c>
      <c r="B21" s="1">
        <v>0.5837409746239387</v>
      </c>
      <c r="C21" s="1">
        <v>0</v>
      </c>
      <c r="D21" s="1">
        <v>0</v>
      </c>
      <c r="E21" s="1">
        <f t="shared" si="0"/>
        <v>0.12632844920565167</v>
      </c>
      <c r="F21" s="1">
        <v>0.10686582807096139</v>
      </c>
    </row>
    <row r="22" spans="1:6" x14ac:dyDescent="0.3">
      <c r="A22" s="1">
        <v>0.46456034682579672</v>
      </c>
      <c r="B22" s="1">
        <v>0.53543965317420328</v>
      </c>
      <c r="C22" s="1">
        <v>0</v>
      </c>
      <c r="D22" s="1">
        <v>0</v>
      </c>
      <c r="E22" s="1">
        <f t="shared" si="0"/>
        <v>0.13132844920565168</v>
      </c>
      <c r="F22" s="1">
        <v>0.10795260780358043</v>
      </c>
    </row>
    <row r="23" spans="1:6" x14ac:dyDescent="0.3">
      <c r="A23" s="1">
        <v>0.508443793377511</v>
      </c>
      <c r="B23" s="1">
        <v>0.49155620662248906</v>
      </c>
      <c r="C23" s="1">
        <v>0</v>
      </c>
      <c r="D23" s="1">
        <v>0</v>
      </c>
      <c r="E23" s="1">
        <f t="shared" si="0"/>
        <v>0.13632844920565168</v>
      </c>
      <c r="F23" s="1">
        <v>0.108939985350994</v>
      </c>
    </row>
    <row r="24" spans="1:6" x14ac:dyDescent="0.3">
      <c r="A24" s="1">
        <v>0.54926421202921505</v>
      </c>
      <c r="B24" s="1">
        <v>0.45073578797078495</v>
      </c>
      <c r="C24" s="1">
        <v>0</v>
      </c>
      <c r="D24" s="1">
        <v>0</v>
      </c>
      <c r="E24" s="1">
        <f t="shared" si="0"/>
        <v>0.14132844920565169</v>
      </c>
      <c r="F24" s="1">
        <v>0.10985844477065734</v>
      </c>
    </row>
    <row r="25" spans="1:6" x14ac:dyDescent="0.3">
      <c r="A25" s="1">
        <v>0.58782138728829902</v>
      </c>
      <c r="B25" s="1">
        <v>0.41217861271170098</v>
      </c>
      <c r="C25" s="1">
        <v>0</v>
      </c>
      <c r="D25" s="1">
        <v>0</v>
      </c>
      <c r="E25" s="1">
        <f t="shared" si="0"/>
        <v>0.14632844920565169</v>
      </c>
      <c r="F25" s="1">
        <v>0.11072598121398672</v>
      </c>
    </row>
    <row r="26" spans="1:6" x14ac:dyDescent="0.3">
      <c r="A26" s="1">
        <v>0.62463321631448832</v>
      </c>
      <c r="B26" s="1">
        <v>0.37536678368551168</v>
      </c>
      <c r="C26" s="1">
        <v>0</v>
      </c>
      <c r="D26" s="1">
        <v>0</v>
      </c>
      <c r="E26" s="1">
        <f t="shared" si="0"/>
        <v>0.15132844920565169</v>
      </c>
      <c r="F26" s="1">
        <v>0.11155424736707599</v>
      </c>
    </row>
    <row r="27" spans="1:6" x14ac:dyDescent="0.3">
      <c r="A27" s="1">
        <v>0.66005605283436641</v>
      </c>
      <c r="B27" s="1">
        <v>0.33994394716563359</v>
      </c>
      <c r="C27" s="1">
        <v>0</v>
      </c>
      <c r="D27" s="1">
        <v>0</v>
      </c>
      <c r="E27" s="1">
        <f t="shared" si="0"/>
        <v>0.1563284492056517</v>
      </c>
      <c r="F27" s="1">
        <v>0.11235126118877324</v>
      </c>
    </row>
    <row r="28" spans="1:6" x14ac:dyDescent="0.3">
      <c r="A28" s="1">
        <v>0.69435338260052204</v>
      </c>
      <c r="B28" s="1">
        <v>0.30564661739947802</v>
      </c>
      <c r="C28" s="1">
        <v>0</v>
      </c>
      <c r="D28" s="1">
        <v>0</v>
      </c>
      <c r="E28" s="1">
        <f t="shared" si="0"/>
        <v>0.1613284492056517</v>
      </c>
      <c r="F28" s="1">
        <v>0.11312295110851174</v>
      </c>
    </row>
    <row r="29" spans="1:6" x14ac:dyDescent="0.3">
      <c r="A29" s="1">
        <v>0.72770136165047083</v>
      </c>
      <c r="B29" s="1">
        <v>0.27229863834952928</v>
      </c>
      <c r="C29" s="1">
        <v>0</v>
      </c>
      <c r="D29" s="1">
        <v>0</v>
      </c>
      <c r="E29" s="1">
        <f t="shared" si="0"/>
        <v>0.16632844920565171</v>
      </c>
      <c r="F29" s="1">
        <v>0.1138732806371356</v>
      </c>
    </row>
    <row r="30" spans="1:6" x14ac:dyDescent="0.3">
      <c r="A30" s="1">
        <v>0.76025556851392573</v>
      </c>
      <c r="B30" s="1">
        <v>0.23974443148607416</v>
      </c>
      <c r="C30" s="1">
        <v>0</v>
      </c>
      <c r="D30" s="1">
        <v>0</v>
      </c>
      <c r="E30" s="1">
        <f t="shared" si="0"/>
        <v>0.17132844920565171</v>
      </c>
      <c r="F30" s="1">
        <v>0.11460575029156332</v>
      </c>
    </row>
    <row r="31" spans="1:6" x14ac:dyDescent="0.3">
      <c r="A31" s="1">
        <v>0.79213113659616896</v>
      </c>
      <c r="B31" s="1">
        <v>0.20786886340383101</v>
      </c>
      <c r="C31" s="1">
        <v>0</v>
      </c>
      <c r="D31" s="1">
        <v>0</v>
      </c>
      <c r="E31" s="1">
        <f t="shared" si="0"/>
        <v>0.17632844920565172</v>
      </c>
      <c r="F31" s="1">
        <v>0.1153229505734138</v>
      </c>
    </row>
    <row r="32" spans="1:6" x14ac:dyDescent="0.3">
      <c r="A32" s="1">
        <v>0.82342016477603197</v>
      </c>
      <c r="B32" s="1">
        <v>0.17657983522396803</v>
      </c>
      <c r="C32" s="1">
        <v>0</v>
      </c>
      <c r="D32" s="1">
        <v>0</v>
      </c>
      <c r="E32" s="1">
        <f t="shared" si="0"/>
        <v>0.18132844920565172</v>
      </c>
      <c r="F32" s="1">
        <v>0.11602695370746072</v>
      </c>
    </row>
    <row r="33" spans="1:7" x14ac:dyDescent="0.3">
      <c r="A33" s="1">
        <v>0.85419751776904562</v>
      </c>
      <c r="B33" s="1">
        <v>0.14580248223095449</v>
      </c>
      <c r="C33" s="1">
        <v>0</v>
      </c>
      <c r="D33" s="1">
        <v>0</v>
      </c>
      <c r="E33" s="1">
        <f t="shared" si="0"/>
        <v>0.18632844920565172</v>
      </c>
      <c r="F33" s="1">
        <v>0.11671944414980354</v>
      </c>
    </row>
    <row r="34" spans="1:7" x14ac:dyDescent="0.3">
      <c r="A34" s="1">
        <v>0.88452489270184642</v>
      </c>
      <c r="B34" s="1">
        <v>0.1154751072981535</v>
      </c>
      <c r="C34" s="1">
        <v>0</v>
      </c>
      <c r="D34" s="1">
        <v>0</v>
      </c>
      <c r="E34" s="1">
        <f t="shared" si="0"/>
        <v>0.19132844920565173</v>
      </c>
      <c r="F34" s="1">
        <v>0.11740181008579154</v>
      </c>
    </row>
    <row r="35" spans="1:7" x14ac:dyDescent="0.3">
      <c r="A35" s="1">
        <v>0.91445374351636866</v>
      </c>
      <c r="B35" s="1">
        <v>8.55462564836314E-2</v>
      </c>
      <c r="C35" s="1">
        <v>0</v>
      </c>
      <c r="D35" s="1">
        <v>0</v>
      </c>
      <c r="E35" s="1">
        <f t="shared" si="0"/>
        <v>0.19632844920565173</v>
      </c>
      <c r="F35" s="1">
        <v>0.11807520922911829</v>
      </c>
    </row>
    <row r="36" spans="1:7" x14ac:dyDescent="0.3">
      <c r="A36" s="1">
        <v>0.9440274305852433</v>
      </c>
      <c r="B36" s="1">
        <v>5.5972569414756826E-2</v>
      </c>
      <c r="C36" s="1">
        <v>0</v>
      </c>
      <c r="D36" s="1">
        <v>0</v>
      </c>
      <c r="E36" s="1">
        <f t="shared" si="0"/>
        <v>0.20132844920565174</v>
      </c>
      <c r="F36" s="1">
        <v>0.11874061718816797</v>
      </c>
    </row>
    <row r="37" spans="1:7" x14ac:dyDescent="0.3">
      <c r="A37" s="1">
        <v>0.9732828311262216</v>
      </c>
      <c r="B37" s="1">
        <v>2.6717168873778369E-2</v>
      </c>
      <c r="C37" s="1">
        <v>0</v>
      </c>
      <c r="D37" s="1">
        <v>0</v>
      </c>
      <c r="E37" s="1">
        <f t="shared" si="0"/>
        <v>0.20632844920565174</v>
      </c>
      <c r="F37" s="1">
        <v>0.11939886370033997</v>
      </c>
    </row>
    <row r="38" spans="1:7" x14ac:dyDescent="0.3">
      <c r="A38" s="1">
        <v>1</v>
      </c>
      <c r="B38" s="1">
        <v>2.1624762336042852E-4</v>
      </c>
      <c r="C38" s="1">
        <v>0</v>
      </c>
      <c r="D38" s="1">
        <v>0</v>
      </c>
      <c r="E38" s="1">
        <v>0.2109</v>
      </c>
      <c r="F38" s="1">
        <v>0.11999513442847438</v>
      </c>
      <c r="G38" s="30" t="s">
        <v>12</v>
      </c>
    </row>
    <row r="39" spans="1:7" x14ac:dyDescent="0.3">
      <c r="A39" s="1">
        <v>0</v>
      </c>
      <c r="B39" s="1">
        <v>1</v>
      </c>
      <c r="C39" s="1">
        <v>0</v>
      </c>
      <c r="D39" s="1">
        <v>0</v>
      </c>
      <c r="E39" s="1">
        <v>0.11348647494443459</v>
      </c>
      <c r="F39" s="1">
        <v>9.7500000000000003E-2</v>
      </c>
      <c r="G39" s="30"/>
    </row>
    <row r="40" spans="1:7" x14ac:dyDescent="0.3">
      <c r="A40" s="1">
        <v>0</v>
      </c>
      <c r="B40" s="1">
        <v>0</v>
      </c>
      <c r="C40" s="1">
        <v>1</v>
      </c>
      <c r="D40" s="1">
        <v>0</v>
      </c>
      <c r="E40" s="1">
        <v>0.15676176900052247</v>
      </c>
      <c r="F40" s="1">
        <v>5.5E-2</v>
      </c>
      <c r="G40" s="30"/>
    </row>
    <row r="41" spans="1:7" x14ac:dyDescent="0.3">
      <c r="A41" s="1">
        <v>0</v>
      </c>
      <c r="B41" s="1">
        <v>0</v>
      </c>
      <c r="C41" s="1">
        <v>0</v>
      </c>
      <c r="D41" s="1">
        <v>1</v>
      </c>
      <c r="E41" s="1">
        <v>6.4639529649441793E-2</v>
      </c>
      <c r="F41" s="1">
        <v>7.9000000000000001E-2</v>
      </c>
      <c r="G41" s="30"/>
    </row>
  </sheetData>
  <mergeCells count="1">
    <mergeCell ref="G38:G4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Portfolio</vt:lpstr>
      <vt:lpstr>Fronteira_Eficiente</vt:lpstr>
      <vt:lpstr>Ret_Esp</vt:lpstr>
      <vt:lpstr>Target_Vol</vt:lpstr>
      <vt:lpstr>Total_Port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Coelho Lavrado</dc:creator>
  <cp:lastModifiedBy>USER</cp:lastModifiedBy>
  <dcterms:created xsi:type="dcterms:W3CDTF">2018-03-22T19:40:25Z</dcterms:created>
  <dcterms:modified xsi:type="dcterms:W3CDTF">2019-02-20T14:40:34Z</dcterms:modified>
</cp:coreProperties>
</file>