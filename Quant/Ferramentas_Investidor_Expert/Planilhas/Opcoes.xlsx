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rafae\Desktop\blog_new\Opcoes\"/>
    </mc:Choice>
  </mc:AlternateContent>
  <xr:revisionPtr revIDLastSave="0" documentId="13_ncr:1_{8C8A5E10-38D5-4FBF-A9EC-E3D540903607}" xr6:coauthVersionLast="38" xr6:coauthVersionMax="38" xr10:uidLastSave="{00000000-0000-0000-0000-000000000000}"/>
  <bookViews>
    <workbookView xWindow="0" yWindow="0" windowWidth="15435" windowHeight="11910" xr2:uid="{00000000-000D-0000-FFFF-FFFF00000000}"/>
  </bookViews>
  <sheets>
    <sheet name="Payoff" sheetId="5" r:id="rId1"/>
  </sheets>
  <definedNames>
    <definedName name="Range_Comprador">OFFSET(Payoff!$G$5,0,0,Payoff!$B$12)</definedName>
    <definedName name="Range_Lancador">OFFSET(Payoff!$H$5,0,0,Payoff!$B$12)</definedName>
    <definedName name="Range_Preco">OFFSET(Payoff!$E$5,0,0,Payoff!$B$12)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4" i="5" l="1"/>
  <c r="E35" i="5"/>
  <c r="F35" i="5" s="1"/>
  <c r="E36" i="5"/>
  <c r="F36" i="5" s="1"/>
  <c r="E37" i="5"/>
  <c r="F37" i="5" s="1"/>
  <c r="E38" i="5"/>
  <c r="G38" i="5" s="1"/>
  <c r="E39" i="5"/>
  <c r="F39" i="5" s="1"/>
  <c r="E40" i="5"/>
  <c r="F40" i="5" s="1"/>
  <c r="E41" i="5"/>
  <c r="F41" i="5" s="1"/>
  <c r="E42" i="5"/>
  <c r="G42" i="5" s="1"/>
  <c r="E43" i="5"/>
  <c r="F43" i="5" s="1"/>
  <c r="E44" i="5"/>
  <c r="F44" i="5" s="1"/>
  <c r="E45" i="5"/>
  <c r="F45" i="5" s="1"/>
  <c r="E46" i="5"/>
  <c r="G46" i="5" s="1"/>
  <c r="E47" i="5"/>
  <c r="F47" i="5" s="1"/>
  <c r="E48" i="5"/>
  <c r="F48" i="5" s="1"/>
  <c r="E49" i="5"/>
  <c r="F49" i="5" s="1"/>
  <c r="E50" i="5"/>
  <c r="G50" i="5" s="1"/>
  <c r="E51" i="5"/>
  <c r="F51" i="5" s="1"/>
  <c r="E52" i="5"/>
  <c r="F52" i="5" s="1"/>
  <c r="E53" i="5"/>
  <c r="F53" i="5" s="1"/>
  <c r="E54" i="5"/>
  <c r="G54" i="5" s="1"/>
  <c r="E55" i="5"/>
  <c r="F55" i="5" s="1"/>
  <c r="E56" i="5"/>
  <c r="F56" i="5" s="1"/>
  <c r="E57" i="5"/>
  <c r="F57" i="5" s="1"/>
  <c r="E58" i="5"/>
  <c r="G58" i="5" s="1"/>
  <c r="E59" i="5"/>
  <c r="F59" i="5" s="1"/>
  <c r="E60" i="5"/>
  <c r="F60" i="5" s="1"/>
  <c r="E61" i="5"/>
  <c r="F61" i="5" s="1"/>
  <c r="E62" i="5"/>
  <c r="G62" i="5" s="1"/>
  <c r="E63" i="5"/>
  <c r="F63" i="5" s="1"/>
  <c r="E64" i="5"/>
  <c r="F64" i="5" s="1"/>
  <c r="E65" i="5"/>
  <c r="F65" i="5" s="1"/>
  <c r="E66" i="5"/>
  <c r="G66" i="5" s="1"/>
  <c r="E67" i="5"/>
  <c r="F67" i="5" s="1"/>
  <c r="E68" i="5"/>
  <c r="F68" i="5" s="1"/>
  <c r="E69" i="5"/>
  <c r="F69" i="5" s="1"/>
  <c r="E70" i="5"/>
  <c r="G70" i="5" s="1"/>
  <c r="E71" i="5"/>
  <c r="F71" i="5" s="1"/>
  <c r="E72" i="5"/>
  <c r="F72" i="5" s="1"/>
  <c r="E73" i="5"/>
  <c r="F73" i="5" s="1"/>
  <c r="E74" i="5"/>
  <c r="G74" i="5" s="1"/>
  <c r="E75" i="5"/>
  <c r="F75" i="5" s="1"/>
  <c r="E76" i="5"/>
  <c r="F76" i="5" s="1"/>
  <c r="E77" i="5"/>
  <c r="F77" i="5" s="1"/>
  <c r="E78" i="5"/>
  <c r="G78" i="5" s="1"/>
  <c r="E79" i="5"/>
  <c r="F79" i="5" s="1"/>
  <c r="E80" i="5"/>
  <c r="F80" i="5" s="1"/>
  <c r="E81" i="5"/>
  <c r="F81" i="5" s="1"/>
  <c r="E82" i="5"/>
  <c r="G82" i="5" s="1"/>
  <c r="E83" i="5"/>
  <c r="F83" i="5" s="1"/>
  <c r="E84" i="5"/>
  <c r="F84" i="5" s="1"/>
  <c r="E85" i="5"/>
  <c r="F85" i="5" s="1"/>
  <c r="E86" i="5"/>
  <c r="G86" i="5" s="1"/>
  <c r="E87" i="5"/>
  <c r="F87" i="5" s="1"/>
  <c r="E88" i="5"/>
  <c r="F88" i="5" s="1"/>
  <c r="E89" i="5"/>
  <c r="F89" i="5" s="1"/>
  <c r="E90" i="5"/>
  <c r="G90" i="5" s="1"/>
  <c r="E91" i="5"/>
  <c r="F91" i="5" s="1"/>
  <c r="E92" i="5"/>
  <c r="F92" i="5" s="1"/>
  <c r="E93" i="5"/>
  <c r="F93" i="5" s="1"/>
  <c r="E94" i="5"/>
  <c r="G94" i="5" s="1"/>
  <c r="E95" i="5"/>
  <c r="F95" i="5" s="1"/>
  <c r="E96" i="5"/>
  <c r="F96" i="5" s="1"/>
  <c r="E97" i="5"/>
  <c r="F97" i="5" s="1"/>
  <c r="E98" i="5"/>
  <c r="G98" i="5" s="1"/>
  <c r="E99" i="5"/>
  <c r="F99" i="5" s="1"/>
  <c r="E100" i="5"/>
  <c r="F100" i="5" s="1"/>
  <c r="E101" i="5"/>
  <c r="F101" i="5" s="1"/>
  <c r="E102" i="5"/>
  <c r="G102" i="5" s="1"/>
  <c r="E103" i="5"/>
  <c r="F103" i="5" s="1"/>
  <c r="E104" i="5"/>
  <c r="F104" i="5" s="1"/>
  <c r="E105" i="5"/>
  <c r="F105" i="5" s="1"/>
  <c r="E106" i="5"/>
  <c r="G106" i="5" s="1"/>
  <c r="E107" i="5"/>
  <c r="F107" i="5" s="1"/>
  <c r="E108" i="5"/>
  <c r="F108" i="5" s="1"/>
  <c r="E109" i="5"/>
  <c r="F109" i="5" s="1"/>
  <c r="E110" i="5"/>
  <c r="G110" i="5" s="1"/>
  <c r="E111" i="5"/>
  <c r="F111" i="5" s="1"/>
  <c r="E112" i="5"/>
  <c r="F112" i="5" s="1"/>
  <c r="E113" i="5"/>
  <c r="F113" i="5" s="1"/>
  <c r="E114" i="5"/>
  <c r="G114" i="5" s="1"/>
  <c r="E115" i="5"/>
  <c r="F115" i="5" s="1"/>
  <c r="E116" i="5"/>
  <c r="F116" i="5" s="1"/>
  <c r="E117" i="5"/>
  <c r="F117" i="5" s="1"/>
  <c r="E118" i="5"/>
  <c r="G118" i="5" s="1"/>
  <c r="E119" i="5"/>
  <c r="F119" i="5" s="1"/>
  <c r="E120" i="5"/>
  <c r="F120" i="5" s="1"/>
  <c r="E121" i="5"/>
  <c r="F121" i="5" s="1"/>
  <c r="E122" i="5"/>
  <c r="G122" i="5" s="1"/>
  <c r="E123" i="5"/>
  <c r="F123" i="5" s="1"/>
  <c r="E124" i="5"/>
  <c r="F124" i="5" s="1"/>
  <c r="E125" i="5"/>
  <c r="F125" i="5" s="1"/>
  <c r="E126" i="5"/>
  <c r="G126" i="5" s="1"/>
  <c r="E127" i="5"/>
  <c r="F127" i="5" s="1"/>
  <c r="E128" i="5"/>
  <c r="F128" i="5" s="1"/>
  <c r="E129" i="5"/>
  <c r="F129" i="5" s="1"/>
  <c r="E130" i="5"/>
  <c r="G130" i="5" s="1"/>
  <c r="E131" i="5"/>
  <c r="F131" i="5" s="1"/>
  <c r="E132" i="5"/>
  <c r="F132" i="5" s="1"/>
  <c r="E133" i="5"/>
  <c r="F133" i="5" s="1"/>
  <c r="E134" i="5"/>
  <c r="G134" i="5" s="1"/>
  <c r="E135" i="5"/>
  <c r="F135" i="5" s="1"/>
  <c r="E136" i="5"/>
  <c r="F136" i="5" s="1"/>
  <c r="E137" i="5"/>
  <c r="F137" i="5" s="1"/>
  <c r="E138" i="5"/>
  <c r="G138" i="5" s="1"/>
  <c r="E139" i="5"/>
  <c r="F139" i="5" s="1"/>
  <c r="E140" i="5"/>
  <c r="F140" i="5" s="1"/>
  <c r="E141" i="5"/>
  <c r="F141" i="5" s="1"/>
  <c r="E142" i="5"/>
  <c r="G142" i="5" s="1"/>
  <c r="E143" i="5"/>
  <c r="F143" i="5" s="1"/>
  <c r="E144" i="5"/>
  <c r="F144" i="5" s="1"/>
  <c r="E145" i="5"/>
  <c r="F145" i="5" s="1"/>
  <c r="E146" i="5"/>
  <c r="G146" i="5" s="1"/>
  <c r="E147" i="5"/>
  <c r="F147" i="5" s="1"/>
  <c r="E148" i="5"/>
  <c r="F148" i="5" s="1"/>
  <c r="E149" i="5"/>
  <c r="F149" i="5" s="1"/>
  <c r="E150" i="5"/>
  <c r="E151" i="5"/>
  <c r="F151" i="5" s="1"/>
  <c r="E152" i="5"/>
  <c r="F152" i="5" s="1"/>
  <c r="E153" i="5"/>
  <c r="F153" i="5" s="1"/>
  <c r="E154" i="5"/>
  <c r="E155" i="5"/>
  <c r="F155" i="5" s="1"/>
  <c r="E156" i="5"/>
  <c r="F156" i="5" s="1"/>
  <c r="E157" i="5"/>
  <c r="F157" i="5" s="1"/>
  <c r="E158" i="5"/>
  <c r="G158" i="5" s="1"/>
  <c r="E159" i="5"/>
  <c r="F159" i="5" s="1"/>
  <c r="E160" i="5"/>
  <c r="F160" i="5" s="1"/>
  <c r="E161" i="5"/>
  <c r="F161" i="5" s="1"/>
  <c r="E162" i="5"/>
  <c r="G162" i="5" s="1"/>
  <c r="E163" i="5"/>
  <c r="G163" i="5" s="1"/>
  <c r="E164" i="5"/>
  <c r="F164" i="5" s="1"/>
  <c r="E165" i="5"/>
  <c r="F165" i="5" s="1"/>
  <c r="E166" i="5"/>
  <c r="E167" i="5"/>
  <c r="G167" i="5" s="1"/>
  <c r="E168" i="5"/>
  <c r="F168" i="5" s="1"/>
  <c r="E169" i="5"/>
  <c r="F169" i="5" s="1"/>
  <c r="E170" i="5"/>
  <c r="F170" i="5" s="1"/>
  <c r="H170" i="5" s="1"/>
  <c r="E171" i="5"/>
  <c r="G171" i="5" s="1"/>
  <c r="E172" i="5"/>
  <c r="F172" i="5" s="1"/>
  <c r="E173" i="5"/>
  <c r="F173" i="5" s="1"/>
  <c r="E174" i="5"/>
  <c r="G174" i="5" s="1"/>
  <c r="E175" i="5"/>
  <c r="G175" i="5" s="1"/>
  <c r="E176" i="5"/>
  <c r="F176" i="5" s="1"/>
  <c r="E177" i="5"/>
  <c r="F177" i="5" s="1"/>
  <c r="E178" i="5"/>
  <c r="G178" i="5" s="1"/>
  <c r="E179" i="5"/>
  <c r="G179" i="5" s="1"/>
  <c r="E180" i="5"/>
  <c r="F180" i="5" s="1"/>
  <c r="E181" i="5"/>
  <c r="F181" i="5" s="1"/>
  <c r="E182" i="5"/>
  <c r="E183" i="5"/>
  <c r="G183" i="5" s="1"/>
  <c r="E184" i="5"/>
  <c r="F184" i="5" s="1"/>
  <c r="E185" i="5"/>
  <c r="F185" i="5" s="1"/>
  <c r="E186" i="5"/>
  <c r="F186" i="5" s="1"/>
  <c r="H186" i="5" s="1"/>
  <c r="E187" i="5"/>
  <c r="G187" i="5" s="1"/>
  <c r="E188" i="5"/>
  <c r="F188" i="5" s="1"/>
  <c r="E189" i="5"/>
  <c r="F189" i="5" s="1"/>
  <c r="E190" i="5"/>
  <c r="G190" i="5" s="1"/>
  <c r="E191" i="5"/>
  <c r="G191" i="5" s="1"/>
  <c r="E192" i="5"/>
  <c r="F192" i="5" s="1"/>
  <c r="E193" i="5"/>
  <c r="F193" i="5" s="1"/>
  <c r="E194" i="5"/>
  <c r="G194" i="5" s="1"/>
  <c r="E195" i="5"/>
  <c r="G195" i="5" s="1"/>
  <c r="E196" i="5"/>
  <c r="F196" i="5" s="1"/>
  <c r="E197" i="5"/>
  <c r="F197" i="5" s="1"/>
  <c r="E198" i="5"/>
  <c r="F198" i="5" s="1"/>
  <c r="E199" i="5"/>
  <c r="G199" i="5" s="1"/>
  <c r="E200" i="5"/>
  <c r="G200" i="5" s="1"/>
  <c r="E201" i="5"/>
  <c r="G201" i="5" s="1"/>
  <c r="E202" i="5"/>
  <c r="F202" i="5" s="1"/>
  <c r="E203" i="5"/>
  <c r="G203" i="5" s="1"/>
  <c r="E204" i="5"/>
  <c r="G204" i="5" s="1"/>
  <c r="E5" i="5"/>
  <c r="F5" i="5" s="1"/>
  <c r="G202" i="5" l="1"/>
  <c r="G125" i="5"/>
  <c r="F204" i="5"/>
  <c r="H204" i="5" s="1"/>
  <c r="F200" i="5"/>
  <c r="H200" i="5" s="1"/>
  <c r="G186" i="5"/>
  <c r="G61" i="5"/>
  <c r="F203" i="5"/>
  <c r="H203" i="5" s="1"/>
  <c r="F199" i="5"/>
  <c r="F195" i="5"/>
  <c r="F191" i="5"/>
  <c r="F187" i="5"/>
  <c r="F183" i="5"/>
  <c r="H183" i="5" s="1"/>
  <c r="F179" i="5"/>
  <c r="F175" i="5"/>
  <c r="F171" i="5"/>
  <c r="H171" i="5" s="1"/>
  <c r="F167" i="5"/>
  <c r="H167" i="5" s="1"/>
  <c r="F163" i="5"/>
  <c r="G170" i="5"/>
  <c r="F194" i="5"/>
  <c r="H194" i="5" s="1"/>
  <c r="F190" i="5"/>
  <c r="H190" i="5" s="1"/>
  <c r="F182" i="5"/>
  <c r="H182" i="5" s="1"/>
  <c r="F178" i="5"/>
  <c r="H178" i="5" s="1"/>
  <c r="F174" i="5"/>
  <c r="H174" i="5" s="1"/>
  <c r="F166" i="5"/>
  <c r="H166" i="5" s="1"/>
  <c r="F162" i="5"/>
  <c r="H162" i="5" s="1"/>
  <c r="F158" i="5"/>
  <c r="F154" i="5"/>
  <c r="H154" i="5" s="1"/>
  <c r="F150" i="5"/>
  <c r="H150" i="5" s="1"/>
  <c r="F146" i="5"/>
  <c r="H146" i="5" s="1"/>
  <c r="F142" i="5"/>
  <c r="F138" i="5"/>
  <c r="H138" i="5" s="1"/>
  <c r="F134" i="5"/>
  <c r="H134" i="5" s="1"/>
  <c r="F130" i="5"/>
  <c r="H130" i="5" s="1"/>
  <c r="F126" i="5"/>
  <c r="F122" i="5"/>
  <c r="F118" i="5"/>
  <c r="H118" i="5" s="1"/>
  <c r="F114" i="5"/>
  <c r="H114" i="5" s="1"/>
  <c r="F110" i="5"/>
  <c r="F106" i="5"/>
  <c r="H106" i="5" s="1"/>
  <c r="F102" i="5"/>
  <c r="H102" i="5" s="1"/>
  <c r="F98" i="5"/>
  <c r="H98" i="5" s="1"/>
  <c r="F94" i="5"/>
  <c r="F90" i="5"/>
  <c r="H90" i="5" s="1"/>
  <c r="F86" i="5"/>
  <c r="H86" i="5" s="1"/>
  <c r="F82" i="5"/>
  <c r="H82" i="5" s="1"/>
  <c r="F78" i="5"/>
  <c r="F74" i="5"/>
  <c r="F70" i="5"/>
  <c r="H70" i="5" s="1"/>
  <c r="F66" i="5"/>
  <c r="H66" i="5" s="1"/>
  <c r="F62" i="5"/>
  <c r="F58" i="5"/>
  <c r="H58" i="5" s="1"/>
  <c r="F54" i="5"/>
  <c r="H54" i="5" s="1"/>
  <c r="F50" i="5"/>
  <c r="H50" i="5" s="1"/>
  <c r="F46" i="5"/>
  <c r="F42" i="5"/>
  <c r="H42" i="5" s="1"/>
  <c r="F38" i="5"/>
  <c r="H38" i="5" s="1"/>
  <c r="G154" i="5"/>
  <c r="F201" i="5"/>
  <c r="H202" i="5"/>
  <c r="H198" i="5"/>
  <c r="H139" i="5"/>
  <c r="H109" i="5"/>
  <c r="H93" i="5"/>
  <c r="H77" i="5"/>
  <c r="H61" i="5"/>
  <c r="H45" i="5"/>
  <c r="H125" i="5"/>
  <c r="G159" i="5"/>
  <c r="H159" i="5"/>
  <c r="G151" i="5"/>
  <c r="H151" i="5"/>
  <c r="H143" i="5"/>
  <c r="G143" i="5"/>
  <c r="G135" i="5"/>
  <c r="H135" i="5"/>
  <c r="G119" i="5"/>
  <c r="H119" i="5"/>
  <c r="G111" i="5"/>
  <c r="H111" i="5"/>
  <c r="G99" i="5"/>
  <c r="H99" i="5"/>
  <c r="G87" i="5"/>
  <c r="H87" i="5"/>
  <c r="G79" i="5"/>
  <c r="H79" i="5"/>
  <c r="G67" i="5"/>
  <c r="H67" i="5"/>
  <c r="G55" i="5"/>
  <c r="H55" i="5"/>
  <c r="G43" i="5"/>
  <c r="H43" i="5"/>
  <c r="H199" i="5"/>
  <c r="H191" i="5"/>
  <c r="H175" i="5"/>
  <c r="H158" i="5"/>
  <c r="H142" i="5"/>
  <c r="H126" i="5"/>
  <c r="H110" i="5"/>
  <c r="H94" i="5"/>
  <c r="H78" i="5"/>
  <c r="H62" i="5"/>
  <c r="H46" i="5"/>
  <c r="G198" i="5"/>
  <c r="G182" i="5"/>
  <c r="G166" i="5"/>
  <c r="G150" i="5"/>
  <c r="G109" i="5"/>
  <c r="G45" i="5"/>
  <c r="G127" i="5"/>
  <c r="H127" i="5"/>
  <c r="G115" i="5"/>
  <c r="H115" i="5"/>
  <c r="G103" i="5"/>
  <c r="H103" i="5"/>
  <c r="G91" i="5"/>
  <c r="H91" i="5"/>
  <c r="G75" i="5"/>
  <c r="H75" i="5"/>
  <c r="G63" i="5"/>
  <c r="H63" i="5"/>
  <c r="G47" i="5"/>
  <c r="H47" i="5"/>
  <c r="G35" i="5"/>
  <c r="H35" i="5"/>
  <c r="E6" i="5"/>
  <c r="F6" i="5" s="1"/>
  <c r="G197" i="5"/>
  <c r="H197" i="5"/>
  <c r="G185" i="5"/>
  <c r="H185" i="5"/>
  <c r="G177" i="5"/>
  <c r="H177" i="5"/>
  <c r="G169" i="5"/>
  <c r="H169" i="5"/>
  <c r="G161" i="5"/>
  <c r="H161" i="5"/>
  <c r="G153" i="5"/>
  <c r="H153" i="5"/>
  <c r="G145" i="5"/>
  <c r="H145" i="5"/>
  <c r="G137" i="5"/>
  <c r="H137" i="5"/>
  <c r="G129" i="5"/>
  <c r="H129" i="5"/>
  <c r="G121" i="5"/>
  <c r="H121" i="5"/>
  <c r="G117" i="5"/>
  <c r="H117" i="5"/>
  <c r="G113" i="5"/>
  <c r="H113" i="5"/>
  <c r="G105" i="5"/>
  <c r="H105" i="5"/>
  <c r="G101" i="5"/>
  <c r="H101" i="5"/>
  <c r="G97" i="5"/>
  <c r="H97" i="5"/>
  <c r="G89" i="5"/>
  <c r="H89" i="5"/>
  <c r="G85" i="5"/>
  <c r="H85" i="5"/>
  <c r="G81" i="5"/>
  <c r="H81" i="5"/>
  <c r="G73" i="5"/>
  <c r="H73" i="5"/>
  <c r="G69" i="5"/>
  <c r="H69" i="5"/>
  <c r="G65" i="5"/>
  <c r="H65" i="5"/>
  <c r="G57" i="5"/>
  <c r="H57" i="5"/>
  <c r="G53" i="5"/>
  <c r="H53" i="5"/>
  <c r="G49" i="5"/>
  <c r="H49" i="5"/>
  <c r="G41" i="5"/>
  <c r="H41" i="5"/>
  <c r="G37" i="5"/>
  <c r="H37" i="5"/>
  <c r="H122" i="5"/>
  <c r="H74" i="5"/>
  <c r="G93" i="5"/>
  <c r="G155" i="5"/>
  <c r="H155" i="5"/>
  <c r="G147" i="5"/>
  <c r="H147" i="5"/>
  <c r="G131" i="5"/>
  <c r="H131" i="5"/>
  <c r="G123" i="5"/>
  <c r="H123" i="5"/>
  <c r="G107" i="5"/>
  <c r="H107" i="5"/>
  <c r="G95" i="5"/>
  <c r="H95" i="5"/>
  <c r="G83" i="5"/>
  <c r="H83" i="5"/>
  <c r="G71" i="5"/>
  <c r="H71" i="5"/>
  <c r="G59" i="5"/>
  <c r="H59" i="5"/>
  <c r="G51" i="5"/>
  <c r="H51" i="5"/>
  <c r="G39" i="5"/>
  <c r="H39" i="5"/>
  <c r="G193" i="5"/>
  <c r="H193" i="5"/>
  <c r="G189" i="5"/>
  <c r="H189" i="5"/>
  <c r="G181" i="5"/>
  <c r="H181" i="5"/>
  <c r="G173" i="5"/>
  <c r="H173" i="5"/>
  <c r="G165" i="5"/>
  <c r="H165" i="5"/>
  <c r="G157" i="5"/>
  <c r="H157" i="5"/>
  <c r="G149" i="5"/>
  <c r="H149" i="5"/>
  <c r="G141" i="5"/>
  <c r="H141" i="5"/>
  <c r="G133" i="5"/>
  <c r="H133" i="5"/>
  <c r="G196" i="5"/>
  <c r="H196" i="5"/>
  <c r="G192" i="5"/>
  <c r="H192" i="5"/>
  <c r="G188" i="5"/>
  <c r="H188" i="5"/>
  <c r="G184" i="5"/>
  <c r="H184" i="5"/>
  <c r="G180" i="5"/>
  <c r="H180" i="5"/>
  <c r="G176" i="5"/>
  <c r="H176" i="5"/>
  <c r="G172" i="5"/>
  <c r="H172" i="5"/>
  <c r="G168" i="5"/>
  <c r="H168" i="5"/>
  <c r="G164" i="5"/>
  <c r="H164" i="5"/>
  <c r="G160" i="5"/>
  <c r="H160" i="5"/>
  <c r="G156" i="5"/>
  <c r="H156" i="5"/>
  <c r="G152" i="5"/>
  <c r="H152" i="5"/>
  <c r="G148" i="5"/>
  <c r="H148" i="5"/>
  <c r="G144" i="5"/>
  <c r="H144" i="5"/>
  <c r="G140" i="5"/>
  <c r="H140" i="5"/>
  <c r="G136" i="5"/>
  <c r="H136" i="5"/>
  <c r="G132" i="5"/>
  <c r="H132" i="5"/>
  <c r="G128" i="5"/>
  <c r="H128" i="5"/>
  <c r="G124" i="5"/>
  <c r="H124" i="5"/>
  <c r="G120" i="5"/>
  <c r="H120" i="5"/>
  <c r="G116" i="5"/>
  <c r="H116" i="5"/>
  <c r="G112" i="5"/>
  <c r="H112" i="5"/>
  <c r="G108" i="5"/>
  <c r="H108" i="5"/>
  <c r="G104" i="5"/>
  <c r="H104" i="5"/>
  <c r="G100" i="5"/>
  <c r="H100" i="5"/>
  <c r="G96" i="5"/>
  <c r="H96" i="5"/>
  <c r="G92" i="5"/>
  <c r="H92" i="5"/>
  <c r="G88" i="5"/>
  <c r="H88" i="5"/>
  <c r="G84" i="5"/>
  <c r="H84" i="5"/>
  <c r="G80" i="5"/>
  <c r="H80" i="5"/>
  <c r="G76" i="5"/>
  <c r="H76" i="5"/>
  <c r="G72" i="5"/>
  <c r="H72" i="5"/>
  <c r="G68" i="5"/>
  <c r="H68" i="5"/>
  <c r="G64" i="5"/>
  <c r="H64" i="5"/>
  <c r="G60" i="5"/>
  <c r="H60" i="5"/>
  <c r="G56" i="5"/>
  <c r="H56" i="5"/>
  <c r="G52" i="5"/>
  <c r="H52" i="5"/>
  <c r="G48" i="5"/>
  <c r="H48" i="5"/>
  <c r="G44" i="5"/>
  <c r="H44" i="5"/>
  <c r="G40" i="5"/>
  <c r="H40" i="5"/>
  <c r="G36" i="5"/>
  <c r="H36" i="5"/>
  <c r="H5" i="5"/>
  <c r="H201" i="5"/>
  <c r="H195" i="5"/>
  <c r="H187" i="5"/>
  <c r="H179" i="5"/>
  <c r="H163" i="5"/>
  <c r="G139" i="5"/>
  <c r="G77" i="5"/>
  <c r="E7" i="5" l="1"/>
  <c r="F7" i="5" s="1"/>
  <c r="H6" i="5"/>
  <c r="G5" i="5"/>
  <c r="G6" i="5" l="1"/>
  <c r="E8" i="5"/>
  <c r="F8" i="5" s="1"/>
  <c r="H7" i="5"/>
  <c r="G7" i="5" l="1"/>
  <c r="E9" i="5"/>
  <c r="F9" i="5" s="1"/>
  <c r="H8" i="5"/>
  <c r="G8" i="5" l="1"/>
  <c r="E10" i="5"/>
  <c r="F10" i="5" s="1"/>
  <c r="H9" i="5"/>
  <c r="G9" i="5" l="1"/>
  <c r="E11" i="5"/>
  <c r="F11" i="5" s="1"/>
  <c r="H10" i="5"/>
  <c r="G10" i="5" l="1"/>
  <c r="E12" i="5"/>
  <c r="F12" i="5" s="1"/>
  <c r="H11" i="5"/>
  <c r="G11" i="5" l="1"/>
  <c r="E13" i="5"/>
  <c r="F13" i="5" s="1"/>
  <c r="H12" i="5"/>
  <c r="G12" i="5" l="1"/>
  <c r="E14" i="5"/>
  <c r="F14" i="5" s="1"/>
  <c r="H13" i="5"/>
  <c r="G13" i="5"/>
  <c r="E15" i="5" l="1"/>
  <c r="F15" i="5" s="1"/>
  <c r="H14" i="5"/>
  <c r="G14" i="5" l="1"/>
  <c r="E16" i="5"/>
  <c r="F16" i="5" s="1"/>
  <c r="H15" i="5"/>
  <c r="G15" i="5" l="1"/>
  <c r="E17" i="5"/>
  <c r="F17" i="5" s="1"/>
  <c r="H16" i="5"/>
  <c r="E18" i="5" l="1"/>
  <c r="F18" i="5" s="1"/>
  <c r="H17" i="5"/>
  <c r="G16" i="5"/>
  <c r="G17" i="5" l="1"/>
  <c r="E19" i="5"/>
  <c r="F19" i="5" s="1"/>
  <c r="H18" i="5"/>
  <c r="G18" i="5" l="1"/>
  <c r="E20" i="5"/>
  <c r="F20" i="5" s="1"/>
  <c r="H19" i="5"/>
  <c r="E21" i="5" l="1"/>
  <c r="F21" i="5" s="1"/>
  <c r="H20" i="5"/>
  <c r="G19" i="5"/>
  <c r="G20" i="5" l="1"/>
  <c r="E22" i="5"/>
  <c r="F22" i="5" s="1"/>
  <c r="H21" i="5"/>
  <c r="G21" i="5" l="1"/>
  <c r="E23" i="5"/>
  <c r="F23" i="5" s="1"/>
  <c r="H22" i="5"/>
  <c r="G22" i="5" l="1"/>
  <c r="E24" i="5"/>
  <c r="H23" i="5"/>
  <c r="E25" i="5" l="1"/>
  <c r="F24" i="5"/>
  <c r="H24" i="5" s="1"/>
  <c r="G23" i="5"/>
  <c r="F25" i="5" l="1"/>
  <c r="H25" i="5" s="1"/>
  <c r="E26" i="5"/>
  <c r="G25" i="5"/>
  <c r="G24" i="5"/>
  <c r="F26" i="5" l="1"/>
  <c r="H26" i="5" s="1"/>
  <c r="E27" i="5"/>
  <c r="F27" i="5" l="1"/>
  <c r="H27" i="5" s="1"/>
  <c r="E28" i="5"/>
  <c r="G27" i="5"/>
  <c r="G26" i="5"/>
  <c r="E29" i="5" l="1"/>
  <c r="F28" i="5"/>
  <c r="H28" i="5" s="1"/>
  <c r="G28" i="5"/>
  <c r="F29" i="5" l="1"/>
  <c r="H29" i="5" s="1"/>
  <c r="E30" i="5"/>
  <c r="G29" i="5"/>
  <c r="G30" i="5" l="1"/>
  <c r="F30" i="5"/>
  <c r="H30" i="5" s="1"/>
  <c r="E31" i="5"/>
  <c r="F31" i="5" l="1"/>
  <c r="H31" i="5" s="1"/>
  <c r="E32" i="5"/>
  <c r="G31" i="5" l="1"/>
  <c r="E33" i="5"/>
  <c r="F32" i="5"/>
  <c r="H32" i="5" s="1"/>
  <c r="F33" i="5" l="1"/>
  <c r="H33" i="5" s="1"/>
  <c r="E34" i="5"/>
  <c r="G32" i="5"/>
  <c r="G33" i="5" l="1"/>
  <c r="F34" i="5"/>
  <c r="H34" i="5" s="1"/>
  <c r="G34" i="5" l="1"/>
</calcChain>
</file>

<file path=xl/sharedStrings.xml><?xml version="1.0" encoding="utf-8"?>
<sst xmlns="http://schemas.openxmlformats.org/spreadsheetml/2006/main" count="13" uniqueCount="13">
  <si>
    <t>STRIKE:</t>
  </si>
  <si>
    <t>Prêmio:</t>
  </si>
  <si>
    <t>Para o Gráfico</t>
  </si>
  <si>
    <t>Valor Inicial</t>
  </si>
  <si>
    <t>Passo Gráfico</t>
  </si>
  <si>
    <t>Número de Passos</t>
  </si>
  <si>
    <t>Preço Ativo Objeto</t>
  </si>
  <si>
    <t>Valor Call Vencimento</t>
  </si>
  <si>
    <t>Payoff Comprador</t>
  </si>
  <si>
    <t>Payoff Lançador</t>
  </si>
  <si>
    <t>Call</t>
  </si>
  <si>
    <t>Call / Put</t>
  </si>
  <si>
    <t>Titulo 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</si>
</sst>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7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3" xfId="0" applyBorder="1"/>
    <xf numFmtId="164" fontId="0" fillId="4" borderId="3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3" fontId="0" fillId="3" borderId="3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Payoff!$B$14</c:f>
          <c:strCache>
            <c:ptCount val="1"/>
            <c:pt idx="0">
              <c:v>Payoff Call Strike 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[0]!Range_Preco</c:f>
              <c:numCache>
                <c:formatCode>"R$"#,##0.00</c:formatCode>
                <c:ptCount val="15"/>
                <c:pt idx="0">
                  <c:v>18</c:v>
                </c:pt>
                <c:pt idx="1">
                  <c:v>18.5</c:v>
                </c:pt>
                <c:pt idx="2">
                  <c:v>19</c:v>
                </c:pt>
                <c:pt idx="3">
                  <c:v>19.5</c:v>
                </c:pt>
                <c:pt idx="4">
                  <c:v>20</c:v>
                </c:pt>
                <c:pt idx="5">
                  <c:v>20.5</c:v>
                </c:pt>
                <c:pt idx="6">
                  <c:v>21</c:v>
                </c:pt>
                <c:pt idx="7">
                  <c:v>21.5</c:v>
                </c:pt>
                <c:pt idx="8">
                  <c:v>22</c:v>
                </c:pt>
                <c:pt idx="9">
                  <c:v>22.5</c:v>
                </c:pt>
                <c:pt idx="10">
                  <c:v>23</c:v>
                </c:pt>
                <c:pt idx="11">
                  <c:v>23.5</c:v>
                </c:pt>
                <c:pt idx="12">
                  <c:v>24</c:v>
                </c:pt>
                <c:pt idx="13">
                  <c:v>24.5</c:v>
                </c:pt>
                <c:pt idx="14">
                  <c:v>25</c:v>
                </c:pt>
              </c:numCache>
            </c:numRef>
          </c:cat>
          <c:val>
            <c:numRef>
              <c:f>[0]!Range_Comprador</c:f>
              <c:numCache>
                <c:formatCode>"R$"#,##0.00</c:formatCode>
                <c:ptCount val="1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2-4E88-8263-D5859045F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748112"/>
        <c:axId val="591750032"/>
      </c:lineChart>
      <c:catAx>
        <c:axId val="5917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chemeClr val="bg2">
                        <a:lumMod val="25000"/>
                      </a:schemeClr>
                    </a:solidFill>
                  </a:rPr>
                  <a:t>Ativo Objeto no Vencimento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750032"/>
        <c:crosses val="autoZero"/>
        <c:auto val="1"/>
        <c:lblAlgn val="ctr"/>
        <c:lblOffset val="100"/>
        <c:noMultiLvlLbl val="0"/>
      </c:catAx>
      <c:valAx>
        <c:axId val="5917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chemeClr val="bg2">
                        <a:lumMod val="25000"/>
                      </a:schemeClr>
                    </a:solidFill>
                  </a:rPr>
                  <a:t>Payoff Estratégia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74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Payoff!$B$14</c:f>
          <c:strCache>
            <c:ptCount val="1"/>
            <c:pt idx="0">
              <c:v>Payoff Call Strike 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321129178679004"/>
          <c:y val="0.12251283129668139"/>
          <c:w val="0.85556343083742603"/>
          <c:h val="0.58762899444691064"/>
        </c:manualLayout>
      </c:layout>
      <c:lineChart>
        <c:grouping val="standard"/>
        <c:varyColors val="0"/>
        <c:ser>
          <c:idx val="0"/>
          <c:order val="0"/>
          <c:tx>
            <c:v>Comprador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[0]!Range_Preco</c:f>
              <c:numCache>
                <c:formatCode>"R$"#,##0.00</c:formatCode>
                <c:ptCount val="15"/>
                <c:pt idx="0">
                  <c:v>18</c:v>
                </c:pt>
                <c:pt idx="1">
                  <c:v>18.5</c:v>
                </c:pt>
                <c:pt idx="2">
                  <c:v>19</c:v>
                </c:pt>
                <c:pt idx="3">
                  <c:v>19.5</c:v>
                </c:pt>
                <c:pt idx="4">
                  <c:v>20</c:v>
                </c:pt>
                <c:pt idx="5">
                  <c:v>20.5</c:v>
                </c:pt>
                <c:pt idx="6">
                  <c:v>21</c:v>
                </c:pt>
                <c:pt idx="7">
                  <c:v>21.5</c:v>
                </c:pt>
                <c:pt idx="8">
                  <c:v>22</c:v>
                </c:pt>
                <c:pt idx="9">
                  <c:v>22.5</c:v>
                </c:pt>
                <c:pt idx="10">
                  <c:v>23</c:v>
                </c:pt>
                <c:pt idx="11">
                  <c:v>23.5</c:v>
                </c:pt>
                <c:pt idx="12">
                  <c:v>24</c:v>
                </c:pt>
                <c:pt idx="13">
                  <c:v>24.5</c:v>
                </c:pt>
                <c:pt idx="14">
                  <c:v>25</c:v>
                </c:pt>
              </c:numCache>
            </c:numRef>
          </c:cat>
          <c:val>
            <c:numRef>
              <c:f>[0]!Range_Comprador</c:f>
              <c:numCache>
                <c:formatCode>"R$"#,##0.00</c:formatCode>
                <c:ptCount val="1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0-4289-BFC7-E30B6DB801E5}"/>
            </c:ext>
          </c:extLst>
        </c:ser>
        <c:ser>
          <c:idx val="1"/>
          <c:order val="1"/>
          <c:tx>
            <c:v>Lançador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[0]!Range_Preco</c:f>
              <c:numCache>
                <c:formatCode>"R$"#,##0.00</c:formatCode>
                <c:ptCount val="15"/>
                <c:pt idx="0">
                  <c:v>18</c:v>
                </c:pt>
                <c:pt idx="1">
                  <c:v>18.5</c:v>
                </c:pt>
                <c:pt idx="2">
                  <c:v>19</c:v>
                </c:pt>
                <c:pt idx="3">
                  <c:v>19.5</c:v>
                </c:pt>
                <c:pt idx="4">
                  <c:v>20</c:v>
                </c:pt>
                <c:pt idx="5">
                  <c:v>20.5</c:v>
                </c:pt>
                <c:pt idx="6">
                  <c:v>21</c:v>
                </c:pt>
                <c:pt idx="7">
                  <c:v>21.5</c:v>
                </c:pt>
                <c:pt idx="8">
                  <c:v>22</c:v>
                </c:pt>
                <c:pt idx="9">
                  <c:v>22.5</c:v>
                </c:pt>
                <c:pt idx="10">
                  <c:v>23</c:v>
                </c:pt>
                <c:pt idx="11">
                  <c:v>23.5</c:v>
                </c:pt>
                <c:pt idx="12">
                  <c:v>24</c:v>
                </c:pt>
                <c:pt idx="13">
                  <c:v>24.5</c:v>
                </c:pt>
                <c:pt idx="14">
                  <c:v>25</c:v>
                </c:pt>
              </c:numCache>
            </c:numRef>
          </c:cat>
          <c:val>
            <c:numRef>
              <c:f>[0]!Range_Lancador</c:f>
              <c:numCache>
                <c:formatCode>"R$"#,##0.00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-0.5</c:v>
                </c:pt>
                <c:pt idx="8">
                  <c:v>-1</c:v>
                </c:pt>
                <c:pt idx="9">
                  <c:v>-1.5</c:v>
                </c:pt>
                <c:pt idx="10">
                  <c:v>-2</c:v>
                </c:pt>
                <c:pt idx="11">
                  <c:v>-2.5</c:v>
                </c:pt>
                <c:pt idx="12">
                  <c:v>-3</c:v>
                </c:pt>
                <c:pt idx="13">
                  <c:v>-3.5</c:v>
                </c:pt>
                <c:pt idx="14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0-4289-BFC7-E30B6DB80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748112"/>
        <c:axId val="591750032"/>
      </c:lineChart>
      <c:catAx>
        <c:axId val="5917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chemeClr val="bg2">
                        <a:lumMod val="25000"/>
                      </a:schemeClr>
                    </a:solidFill>
                  </a:rPr>
                  <a:t>Ativo Objeto no Vencimento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750032"/>
        <c:crosses val="autoZero"/>
        <c:auto val="1"/>
        <c:lblAlgn val="ctr"/>
        <c:lblOffset val="100"/>
        <c:noMultiLvlLbl val="0"/>
      </c:catAx>
      <c:valAx>
        <c:axId val="5917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bg2">
                        <a:lumMod val="25000"/>
                      </a:schemeClr>
                    </a:solidFill>
                  </a:rPr>
                  <a:t>Payoff Estratégia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7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851202753056737"/>
          <c:y val="2.0138476755687442E-2"/>
          <c:w val="0.3236127032601388"/>
          <c:h val="7.6342905208065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3D850-FEA8-4A79-83D2-4E00775B3262}"/>
            </a:ext>
          </a:extLst>
        </xdr:cNvPr>
        <xdr:cNvSpPr txBox="1"/>
      </xdr:nvSpPr>
      <xdr:spPr>
        <a:xfrm>
          <a:off x="21812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1</xdr:col>
      <xdr:colOff>190500</xdr:colOff>
      <xdr:row>0</xdr:row>
      <xdr:rowOff>567289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5C84DEEB-211E-451E-8C12-A6E81750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476249</xdr:colOff>
      <xdr:row>3</xdr:row>
      <xdr:rowOff>114299</xdr:rowOff>
    </xdr:from>
    <xdr:to>
      <xdr:col>17</xdr:col>
      <xdr:colOff>323849</xdr:colOff>
      <xdr:row>17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5200EA-6124-4B81-B834-249CE590E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18</xdr:row>
      <xdr:rowOff>161925</xdr:rowOff>
    </xdr:from>
    <xdr:to>
      <xdr:col>17</xdr:col>
      <xdr:colOff>333375</xdr:colOff>
      <xdr:row>35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7852EE-FA71-42C7-AD6E-2A9998E8D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7945-69B5-4CC7-A41A-97603CD7A7C9}">
  <dimension ref="A1:I204"/>
  <sheetViews>
    <sheetView showGridLines="0" tabSelected="1" workbookViewId="0">
      <selection activeCell="B13" sqref="B13"/>
    </sheetView>
  </sheetViews>
  <sheetFormatPr defaultRowHeight="15" x14ac:dyDescent="0.25"/>
  <cols>
    <col min="1" max="1" width="18.28515625" customWidth="1"/>
    <col min="2" max="2" width="9.28515625" customWidth="1"/>
    <col min="3" max="3" width="1.7109375" customWidth="1"/>
    <col min="4" max="4" width="4.42578125" customWidth="1"/>
    <col min="5" max="5" width="10.7109375" customWidth="1"/>
    <col min="6" max="6" width="13.85546875" customWidth="1"/>
    <col min="7" max="7" width="13.85546875" style="1" bestFit="1" customWidth="1"/>
    <col min="8" max="8" width="13" style="1" customWidth="1"/>
    <col min="9" max="9" width="6.85546875" customWidth="1"/>
    <col min="10" max="10" width="16" customWidth="1"/>
    <col min="11" max="11" width="11.28515625" customWidth="1"/>
    <col min="12" max="12" width="20.85546875" bestFit="1" customWidth="1"/>
  </cols>
  <sheetData>
    <row r="1" spans="1:9" ht="48" customHeight="1" thickBot="1" x14ac:dyDescent="0.3">
      <c r="G1"/>
      <c r="I1" s="1"/>
    </row>
    <row r="2" spans="1:9" s="2" customFormat="1" ht="6.75" customHeight="1" thickBot="1" x14ac:dyDescent="0.3">
      <c r="H2" s="3"/>
      <c r="I2" s="3"/>
    </row>
    <row r="3" spans="1:9" ht="6.75" customHeight="1" x14ac:dyDescent="0.25">
      <c r="G3"/>
      <c r="I3" s="1"/>
    </row>
    <row r="4" spans="1:9" ht="45.75" thickBot="1" x14ac:dyDescent="0.3">
      <c r="D4" s="1"/>
      <c r="E4" s="9" t="s">
        <v>6</v>
      </c>
      <c r="F4" s="9" t="s">
        <v>7</v>
      </c>
      <c r="G4" s="9" t="s">
        <v>8</v>
      </c>
      <c r="H4" s="9" t="s">
        <v>9</v>
      </c>
      <c r="I4" s="1"/>
    </row>
    <row r="5" spans="1:9" ht="16.5" thickTop="1" thickBot="1" x14ac:dyDescent="0.3">
      <c r="A5" s="4" t="s">
        <v>0</v>
      </c>
      <c r="B5" s="5">
        <v>20</v>
      </c>
      <c r="D5" s="1">
        <v>1</v>
      </c>
      <c r="E5" s="8">
        <f>B10</f>
        <v>18</v>
      </c>
      <c r="F5" s="8">
        <f>IF(ISNUMBER(E5),IF($B$7="Call",MAX(E5-$B$5,0),MAX($B$5-E5,0)),"")</f>
        <v>0</v>
      </c>
      <c r="G5" s="8">
        <f>IF(ISNUMBER(E5),F5-$B$6,"")</f>
        <v>-1</v>
      </c>
      <c r="H5" s="8">
        <f>IF(ISNUMBER(F5),$B$6-F5,"")</f>
        <v>1</v>
      </c>
    </row>
    <row r="6" spans="1:9" ht="15.75" thickBot="1" x14ac:dyDescent="0.3">
      <c r="A6" s="4" t="s">
        <v>1</v>
      </c>
      <c r="B6" s="5">
        <v>1</v>
      </c>
      <c r="D6" s="1">
        <v>2</v>
      </c>
      <c r="E6" s="7">
        <f t="shared" ref="E6:E37" si="0">IF(D6&lt;=$B$12,E5+$B$11,"")</f>
        <v>18.5</v>
      </c>
      <c r="F6" s="8">
        <f t="shared" ref="F6:F69" si="1">IF(ISNUMBER(E6),IF($B$7="Call",MAX(E6-$B$5,0),MAX($B$5-E6,0)),"")</f>
        <v>0</v>
      </c>
      <c r="G6" s="8">
        <f t="shared" ref="G6:G69" si="2">IF(ISNUMBER(E6),F6-$B$6,"")</f>
        <v>-1</v>
      </c>
      <c r="H6" s="8">
        <f t="shared" ref="H6:H69" si="3">IF(ISNUMBER(F6),$B$6-F6,"")</f>
        <v>1</v>
      </c>
    </row>
    <row r="7" spans="1:9" ht="15.75" thickBot="1" x14ac:dyDescent="0.3">
      <c r="A7" s="4" t="s">
        <v>11</v>
      </c>
      <c r="B7" s="5" t="s">
        <v>10</v>
      </c>
      <c r="D7" s="1">
        <v>3</v>
      </c>
      <c r="E7" s="7">
        <f t="shared" si="0"/>
        <v>19</v>
      </c>
      <c r="F7" s="8">
        <f t="shared" si="1"/>
        <v>0</v>
      </c>
      <c r="G7" s="8">
        <f t="shared" si="2"/>
        <v>-1</v>
      </c>
      <c r="H7" s="8">
        <f t="shared" si="3"/>
        <v>1</v>
      </c>
    </row>
    <row r="8" spans="1:9" x14ac:dyDescent="0.25">
      <c r="D8" s="1">
        <v>4</v>
      </c>
      <c r="E8" s="7">
        <f t="shared" si="0"/>
        <v>19.5</v>
      </c>
      <c r="F8" s="8">
        <f t="shared" si="1"/>
        <v>0</v>
      </c>
      <c r="G8" s="8">
        <f t="shared" si="2"/>
        <v>-1</v>
      </c>
      <c r="H8" s="8">
        <f t="shared" si="3"/>
        <v>1</v>
      </c>
    </row>
    <row r="9" spans="1:9" ht="15.75" thickBot="1" x14ac:dyDescent="0.3">
      <c r="A9" t="s">
        <v>2</v>
      </c>
      <c r="D9" s="1">
        <v>5</v>
      </c>
      <c r="E9" s="7">
        <f t="shared" si="0"/>
        <v>20</v>
      </c>
      <c r="F9" s="8">
        <f t="shared" si="1"/>
        <v>0</v>
      </c>
      <c r="G9" s="8">
        <f t="shared" si="2"/>
        <v>-1</v>
      </c>
      <c r="H9" s="8">
        <f t="shared" si="3"/>
        <v>1</v>
      </c>
    </row>
    <row r="10" spans="1:9" ht="15.75" thickBot="1" x14ac:dyDescent="0.3">
      <c r="A10" s="4" t="s">
        <v>3</v>
      </c>
      <c r="B10" s="5">
        <v>18</v>
      </c>
      <c r="D10" s="1">
        <v>6</v>
      </c>
      <c r="E10" s="7">
        <f t="shared" si="0"/>
        <v>20.5</v>
      </c>
      <c r="F10" s="8">
        <f t="shared" si="1"/>
        <v>0.5</v>
      </c>
      <c r="G10" s="8">
        <f t="shared" si="2"/>
        <v>-0.5</v>
      </c>
      <c r="H10" s="8">
        <f t="shared" si="3"/>
        <v>0.5</v>
      </c>
    </row>
    <row r="11" spans="1:9" ht="15.75" thickBot="1" x14ac:dyDescent="0.3">
      <c r="A11" s="4" t="s">
        <v>4</v>
      </c>
      <c r="B11" s="5">
        <v>0.5</v>
      </c>
      <c r="D11" s="1">
        <v>7</v>
      </c>
      <c r="E11" s="7">
        <f t="shared" si="0"/>
        <v>21</v>
      </c>
      <c r="F11" s="8">
        <f t="shared" si="1"/>
        <v>1</v>
      </c>
      <c r="G11" s="8">
        <f t="shared" si="2"/>
        <v>0</v>
      </c>
      <c r="H11" s="8">
        <f t="shared" si="3"/>
        <v>0</v>
      </c>
    </row>
    <row r="12" spans="1:9" ht="15.75" thickBot="1" x14ac:dyDescent="0.3">
      <c r="A12" s="4" t="s">
        <v>5</v>
      </c>
      <c r="B12" s="6">
        <v>15</v>
      </c>
      <c r="D12" s="1">
        <v>8</v>
      </c>
      <c r="E12" s="7">
        <f t="shared" si="0"/>
        <v>21.5</v>
      </c>
      <c r="F12" s="8">
        <f t="shared" si="1"/>
        <v>1.5</v>
      </c>
      <c r="G12" s="8">
        <f t="shared" si="2"/>
        <v>0.5</v>
      </c>
      <c r="H12" s="8">
        <f t="shared" si="3"/>
        <v>-0.5</v>
      </c>
    </row>
    <row r="13" spans="1:9" ht="15.75" thickBot="1" x14ac:dyDescent="0.3">
      <c r="D13" s="1">
        <v>9</v>
      </c>
      <c r="E13" s="7">
        <f t="shared" si="0"/>
        <v>22</v>
      </c>
      <c r="F13" s="8">
        <f t="shared" si="1"/>
        <v>2</v>
      </c>
      <c r="G13" s="8">
        <f t="shared" si="2"/>
        <v>1</v>
      </c>
      <c r="H13" s="8">
        <f t="shared" si="3"/>
        <v>-1</v>
      </c>
    </row>
    <row r="14" spans="1:9" ht="17.25" customHeight="1" thickBot="1" x14ac:dyDescent="0.3">
      <c r="A14" s="4" t="s">
        <v>12</v>
      </c>
      <c r="B14" s="10" t="str">
        <f>"Payoff " &amp;B7 &amp; " Strike " &amp; TEXT(B5,0)</f>
        <v>Payoff Call Strike 20</v>
      </c>
      <c r="D14" s="1">
        <v>10</v>
      </c>
      <c r="E14" s="7">
        <f t="shared" si="0"/>
        <v>22.5</v>
      </c>
      <c r="F14" s="8">
        <f t="shared" si="1"/>
        <v>2.5</v>
      </c>
      <c r="G14" s="8">
        <f t="shared" si="2"/>
        <v>1.5</v>
      </c>
      <c r="H14" s="8">
        <f t="shared" si="3"/>
        <v>-1.5</v>
      </c>
    </row>
    <row r="15" spans="1:9" x14ac:dyDescent="0.25">
      <c r="D15" s="1">
        <v>11</v>
      </c>
      <c r="E15" s="7">
        <f t="shared" si="0"/>
        <v>23</v>
      </c>
      <c r="F15" s="8">
        <f t="shared" si="1"/>
        <v>3</v>
      </c>
      <c r="G15" s="8">
        <f t="shared" si="2"/>
        <v>2</v>
      </c>
      <c r="H15" s="8">
        <f t="shared" si="3"/>
        <v>-2</v>
      </c>
    </row>
    <row r="16" spans="1:9" x14ac:dyDescent="0.25">
      <c r="D16" s="1">
        <v>12</v>
      </c>
      <c r="E16" s="7">
        <f t="shared" si="0"/>
        <v>23.5</v>
      </c>
      <c r="F16" s="8">
        <f t="shared" si="1"/>
        <v>3.5</v>
      </c>
      <c r="G16" s="8">
        <f t="shared" si="2"/>
        <v>2.5</v>
      </c>
      <c r="H16" s="8">
        <f t="shared" si="3"/>
        <v>-2.5</v>
      </c>
    </row>
    <row r="17" spans="4:8" x14ac:dyDescent="0.25">
      <c r="D17" s="1">
        <v>13</v>
      </c>
      <c r="E17" s="7">
        <f t="shared" si="0"/>
        <v>24</v>
      </c>
      <c r="F17" s="8">
        <f t="shared" si="1"/>
        <v>4</v>
      </c>
      <c r="G17" s="8">
        <f t="shared" si="2"/>
        <v>3</v>
      </c>
      <c r="H17" s="8">
        <f t="shared" si="3"/>
        <v>-3</v>
      </c>
    </row>
    <row r="18" spans="4:8" x14ac:dyDescent="0.25">
      <c r="D18" s="1">
        <v>14</v>
      </c>
      <c r="E18" s="7">
        <f t="shared" si="0"/>
        <v>24.5</v>
      </c>
      <c r="F18" s="8">
        <f t="shared" si="1"/>
        <v>4.5</v>
      </c>
      <c r="G18" s="8">
        <f t="shared" si="2"/>
        <v>3.5</v>
      </c>
      <c r="H18" s="8">
        <f t="shared" si="3"/>
        <v>-3.5</v>
      </c>
    </row>
    <row r="19" spans="4:8" x14ac:dyDescent="0.25">
      <c r="D19" s="1">
        <v>15</v>
      </c>
      <c r="E19" s="7">
        <f t="shared" si="0"/>
        <v>25</v>
      </c>
      <c r="F19" s="8">
        <f t="shared" si="1"/>
        <v>5</v>
      </c>
      <c r="G19" s="8">
        <f t="shared" si="2"/>
        <v>4</v>
      </c>
      <c r="H19" s="8">
        <f t="shared" si="3"/>
        <v>-4</v>
      </c>
    </row>
    <row r="20" spans="4:8" x14ac:dyDescent="0.25">
      <c r="D20" s="1">
        <v>16</v>
      </c>
      <c r="E20" s="7" t="str">
        <f t="shared" si="0"/>
        <v/>
      </c>
      <c r="F20" s="8" t="str">
        <f t="shared" si="1"/>
        <v/>
      </c>
      <c r="G20" s="8" t="str">
        <f t="shared" si="2"/>
        <v/>
      </c>
      <c r="H20" s="8" t="str">
        <f t="shared" si="3"/>
        <v/>
      </c>
    </row>
    <row r="21" spans="4:8" x14ac:dyDescent="0.25">
      <c r="D21" s="1">
        <v>17</v>
      </c>
      <c r="E21" s="7" t="str">
        <f t="shared" si="0"/>
        <v/>
      </c>
      <c r="F21" s="8" t="str">
        <f t="shared" si="1"/>
        <v/>
      </c>
      <c r="G21" s="8" t="str">
        <f t="shared" si="2"/>
        <v/>
      </c>
      <c r="H21" s="8" t="str">
        <f t="shared" si="3"/>
        <v/>
      </c>
    </row>
    <row r="22" spans="4:8" x14ac:dyDescent="0.25">
      <c r="D22" s="1">
        <v>18</v>
      </c>
      <c r="E22" s="7" t="str">
        <f t="shared" si="0"/>
        <v/>
      </c>
      <c r="F22" s="8" t="str">
        <f t="shared" si="1"/>
        <v/>
      </c>
      <c r="G22" s="8" t="str">
        <f t="shared" si="2"/>
        <v/>
      </c>
      <c r="H22" s="8" t="str">
        <f t="shared" si="3"/>
        <v/>
      </c>
    </row>
    <row r="23" spans="4:8" x14ac:dyDescent="0.25">
      <c r="D23" s="1">
        <v>19</v>
      </c>
      <c r="E23" s="7" t="str">
        <f t="shared" si="0"/>
        <v/>
      </c>
      <c r="F23" s="8" t="str">
        <f t="shared" si="1"/>
        <v/>
      </c>
      <c r="G23" s="8" t="str">
        <f t="shared" si="2"/>
        <v/>
      </c>
      <c r="H23" s="8" t="str">
        <f t="shared" si="3"/>
        <v/>
      </c>
    </row>
    <row r="24" spans="4:8" x14ac:dyDescent="0.25">
      <c r="D24" s="1">
        <v>20</v>
      </c>
      <c r="E24" s="7" t="str">
        <f t="shared" si="0"/>
        <v/>
      </c>
      <c r="F24" s="8" t="str">
        <f t="shared" si="1"/>
        <v/>
      </c>
      <c r="G24" s="8" t="str">
        <f t="shared" si="2"/>
        <v/>
      </c>
      <c r="H24" s="8" t="str">
        <f t="shared" si="3"/>
        <v/>
      </c>
    </row>
    <row r="25" spans="4:8" x14ac:dyDescent="0.25">
      <c r="D25" s="1">
        <v>21</v>
      </c>
      <c r="E25" s="7" t="str">
        <f t="shared" si="0"/>
        <v/>
      </c>
      <c r="F25" s="8" t="str">
        <f t="shared" si="1"/>
        <v/>
      </c>
      <c r="G25" s="8" t="str">
        <f t="shared" si="2"/>
        <v/>
      </c>
      <c r="H25" s="8" t="str">
        <f t="shared" si="3"/>
        <v/>
      </c>
    </row>
    <row r="26" spans="4:8" x14ac:dyDescent="0.25">
      <c r="D26" s="1">
        <v>22</v>
      </c>
      <c r="E26" s="7" t="str">
        <f t="shared" si="0"/>
        <v/>
      </c>
      <c r="F26" s="8" t="str">
        <f t="shared" si="1"/>
        <v/>
      </c>
      <c r="G26" s="8" t="str">
        <f t="shared" si="2"/>
        <v/>
      </c>
      <c r="H26" s="8" t="str">
        <f t="shared" si="3"/>
        <v/>
      </c>
    </row>
    <row r="27" spans="4:8" x14ac:dyDescent="0.25">
      <c r="D27" s="1">
        <v>23</v>
      </c>
      <c r="E27" s="7" t="str">
        <f t="shared" si="0"/>
        <v/>
      </c>
      <c r="F27" s="8" t="str">
        <f t="shared" si="1"/>
        <v/>
      </c>
      <c r="G27" s="8" t="str">
        <f t="shared" si="2"/>
        <v/>
      </c>
      <c r="H27" s="8" t="str">
        <f t="shared" si="3"/>
        <v/>
      </c>
    </row>
    <row r="28" spans="4:8" x14ac:dyDescent="0.25">
      <c r="D28" s="1">
        <v>24</v>
      </c>
      <c r="E28" s="7" t="str">
        <f t="shared" si="0"/>
        <v/>
      </c>
      <c r="F28" s="8" t="str">
        <f t="shared" si="1"/>
        <v/>
      </c>
      <c r="G28" s="8" t="str">
        <f t="shared" si="2"/>
        <v/>
      </c>
      <c r="H28" s="8" t="str">
        <f t="shared" si="3"/>
        <v/>
      </c>
    </row>
    <row r="29" spans="4:8" x14ac:dyDescent="0.25">
      <c r="D29" s="1">
        <v>25</v>
      </c>
      <c r="E29" s="7" t="str">
        <f t="shared" si="0"/>
        <v/>
      </c>
      <c r="F29" s="8" t="str">
        <f t="shared" si="1"/>
        <v/>
      </c>
      <c r="G29" s="8" t="str">
        <f t="shared" si="2"/>
        <v/>
      </c>
      <c r="H29" s="8" t="str">
        <f t="shared" si="3"/>
        <v/>
      </c>
    </row>
    <row r="30" spans="4:8" x14ac:dyDescent="0.25">
      <c r="D30" s="1">
        <v>26</v>
      </c>
      <c r="E30" s="7" t="str">
        <f t="shared" si="0"/>
        <v/>
      </c>
      <c r="F30" s="8" t="str">
        <f t="shared" si="1"/>
        <v/>
      </c>
      <c r="G30" s="8" t="str">
        <f t="shared" si="2"/>
        <v/>
      </c>
      <c r="H30" s="8" t="str">
        <f t="shared" si="3"/>
        <v/>
      </c>
    </row>
    <row r="31" spans="4:8" x14ac:dyDescent="0.25">
      <c r="D31" s="1">
        <v>27</v>
      </c>
      <c r="E31" s="7" t="str">
        <f t="shared" si="0"/>
        <v/>
      </c>
      <c r="F31" s="8" t="str">
        <f t="shared" si="1"/>
        <v/>
      </c>
      <c r="G31" s="8" t="str">
        <f t="shared" si="2"/>
        <v/>
      </c>
      <c r="H31" s="8" t="str">
        <f t="shared" si="3"/>
        <v/>
      </c>
    </row>
    <row r="32" spans="4:8" x14ac:dyDescent="0.25">
      <c r="D32" s="1">
        <v>28</v>
      </c>
      <c r="E32" s="7" t="str">
        <f t="shared" si="0"/>
        <v/>
      </c>
      <c r="F32" s="8" t="str">
        <f t="shared" si="1"/>
        <v/>
      </c>
      <c r="G32" s="8" t="str">
        <f t="shared" si="2"/>
        <v/>
      </c>
      <c r="H32" s="8" t="str">
        <f t="shared" si="3"/>
        <v/>
      </c>
    </row>
    <row r="33" spans="4:8" x14ac:dyDescent="0.25">
      <c r="D33" s="1">
        <v>29</v>
      </c>
      <c r="E33" s="7" t="str">
        <f t="shared" si="0"/>
        <v/>
      </c>
      <c r="F33" s="8" t="str">
        <f t="shared" si="1"/>
        <v/>
      </c>
      <c r="G33" s="8" t="str">
        <f t="shared" si="2"/>
        <v/>
      </c>
      <c r="H33" s="8" t="str">
        <f t="shared" si="3"/>
        <v/>
      </c>
    </row>
    <row r="34" spans="4:8" x14ac:dyDescent="0.25">
      <c r="D34" s="1">
        <v>30</v>
      </c>
      <c r="E34" s="7" t="str">
        <f t="shared" si="0"/>
        <v/>
      </c>
      <c r="F34" s="8" t="str">
        <f t="shared" si="1"/>
        <v/>
      </c>
      <c r="G34" s="8" t="str">
        <f t="shared" si="2"/>
        <v/>
      </c>
      <c r="H34" s="8" t="str">
        <f t="shared" si="3"/>
        <v/>
      </c>
    </row>
    <row r="35" spans="4:8" x14ac:dyDescent="0.25">
      <c r="D35" s="1">
        <v>31</v>
      </c>
      <c r="E35" s="7" t="str">
        <f t="shared" si="0"/>
        <v/>
      </c>
      <c r="F35" s="8" t="str">
        <f t="shared" si="1"/>
        <v/>
      </c>
      <c r="G35" s="8" t="str">
        <f t="shared" si="2"/>
        <v/>
      </c>
      <c r="H35" s="8" t="str">
        <f t="shared" si="3"/>
        <v/>
      </c>
    </row>
    <row r="36" spans="4:8" x14ac:dyDescent="0.25">
      <c r="D36" s="1">
        <v>32</v>
      </c>
      <c r="E36" s="7" t="str">
        <f t="shared" si="0"/>
        <v/>
      </c>
      <c r="F36" s="8" t="str">
        <f t="shared" si="1"/>
        <v/>
      </c>
      <c r="G36" s="8" t="str">
        <f t="shared" si="2"/>
        <v/>
      </c>
      <c r="H36" s="8" t="str">
        <f t="shared" si="3"/>
        <v/>
      </c>
    </row>
    <row r="37" spans="4:8" x14ac:dyDescent="0.25">
      <c r="D37" s="1">
        <v>33</v>
      </c>
      <c r="E37" s="7" t="str">
        <f t="shared" si="0"/>
        <v/>
      </c>
      <c r="F37" s="8" t="str">
        <f t="shared" si="1"/>
        <v/>
      </c>
      <c r="G37" s="8" t="str">
        <f t="shared" si="2"/>
        <v/>
      </c>
      <c r="H37" s="8" t="str">
        <f t="shared" si="3"/>
        <v/>
      </c>
    </row>
    <row r="38" spans="4:8" x14ac:dyDescent="0.25">
      <c r="D38" s="1">
        <v>34</v>
      </c>
      <c r="E38" s="7" t="str">
        <f t="shared" ref="E38:E69" si="4">IF(D38&lt;=$B$12,E37+$B$11,"")</f>
        <v/>
      </c>
      <c r="F38" s="8" t="str">
        <f t="shared" si="1"/>
        <v/>
      </c>
      <c r="G38" s="8" t="str">
        <f t="shared" si="2"/>
        <v/>
      </c>
      <c r="H38" s="8" t="str">
        <f t="shared" si="3"/>
        <v/>
      </c>
    </row>
    <row r="39" spans="4:8" x14ac:dyDescent="0.25">
      <c r="D39" s="1">
        <v>35</v>
      </c>
      <c r="E39" s="7" t="str">
        <f t="shared" si="4"/>
        <v/>
      </c>
      <c r="F39" s="8" t="str">
        <f t="shared" si="1"/>
        <v/>
      </c>
      <c r="G39" s="8" t="str">
        <f t="shared" si="2"/>
        <v/>
      </c>
      <c r="H39" s="8" t="str">
        <f t="shared" si="3"/>
        <v/>
      </c>
    </row>
    <row r="40" spans="4:8" x14ac:dyDescent="0.25">
      <c r="D40" s="1">
        <v>36</v>
      </c>
      <c r="E40" s="7" t="str">
        <f t="shared" si="4"/>
        <v/>
      </c>
      <c r="F40" s="8" t="str">
        <f t="shared" si="1"/>
        <v/>
      </c>
      <c r="G40" s="8" t="str">
        <f t="shared" si="2"/>
        <v/>
      </c>
      <c r="H40" s="8" t="str">
        <f t="shared" si="3"/>
        <v/>
      </c>
    </row>
    <row r="41" spans="4:8" x14ac:dyDescent="0.25">
      <c r="D41" s="1">
        <v>37</v>
      </c>
      <c r="E41" s="7" t="str">
        <f t="shared" si="4"/>
        <v/>
      </c>
      <c r="F41" s="8" t="str">
        <f t="shared" si="1"/>
        <v/>
      </c>
      <c r="G41" s="8" t="str">
        <f t="shared" si="2"/>
        <v/>
      </c>
      <c r="H41" s="8" t="str">
        <f t="shared" si="3"/>
        <v/>
      </c>
    </row>
    <row r="42" spans="4:8" x14ac:dyDescent="0.25">
      <c r="D42" s="1">
        <v>38</v>
      </c>
      <c r="E42" s="7" t="str">
        <f t="shared" si="4"/>
        <v/>
      </c>
      <c r="F42" s="8" t="str">
        <f t="shared" si="1"/>
        <v/>
      </c>
      <c r="G42" s="8" t="str">
        <f t="shared" si="2"/>
        <v/>
      </c>
      <c r="H42" s="8" t="str">
        <f t="shared" si="3"/>
        <v/>
      </c>
    </row>
    <row r="43" spans="4:8" x14ac:dyDescent="0.25">
      <c r="D43" s="1">
        <v>39</v>
      </c>
      <c r="E43" s="7" t="str">
        <f t="shared" si="4"/>
        <v/>
      </c>
      <c r="F43" s="8" t="str">
        <f t="shared" si="1"/>
        <v/>
      </c>
      <c r="G43" s="8" t="str">
        <f t="shared" si="2"/>
        <v/>
      </c>
      <c r="H43" s="8" t="str">
        <f t="shared" si="3"/>
        <v/>
      </c>
    </row>
    <row r="44" spans="4:8" x14ac:dyDescent="0.25">
      <c r="D44" s="1">
        <v>40</v>
      </c>
      <c r="E44" s="7" t="str">
        <f t="shared" si="4"/>
        <v/>
      </c>
      <c r="F44" s="8" t="str">
        <f t="shared" si="1"/>
        <v/>
      </c>
      <c r="G44" s="8" t="str">
        <f t="shared" si="2"/>
        <v/>
      </c>
      <c r="H44" s="8" t="str">
        <f t="shared" si="3"/>
        <v/>
      </c>
    </row>
    <row r="45" spans="4:8" x14ac:dyDescent="0.25">
      <c r="D45" s="1">
        <v>41</v>
      </c>
      <c r="E45" s="7" t="str">
        <f t="shared" si="4"/>
        <v/>
      </c>
      <c r="F45" s="8" t="str">
        <f t="shared" si="1"/>
        <v/>
      </c>
      <c r="G45" s="8" t="str">
        <f t="shared" si="2"/>
        <v/>
      </c>
      <c r="H45" s="8" t="str">
        <f t="shared" si="3"/>
        <v/>
      </c>
    </row>
    <row r="46" spans="4:8" x14ac:dyDescent="0.25">
      <c r="D46" s="1">
        <v>42</v>
      </c>
      <c r="E46" s="7" t="str">
        <f t="shared" si="4"/>
        <v/>
      </c>
      <c r="F46" s="8" t="str">
        <f t="shared" si="1"/>
        <v/>
      </c>
      <c r="G46" s="8" t="str">
        <f t="shared" si="2"/>
        <v/>
      </c>
      <c r="H46" s="8" t="str">
        <f t="shared" si="3"/>
        <v/>
      </c>
    </row>
    <row r="47" spans="4:8" x14ac:dyDescent="0.25">
      <c r="D47" s="1">
        <v>43</v>
      </c>
      <c r="E47" s="7" t="str">
        <f t="shared" si="4"/>
        <v/>
      </c>
      <c r="F47" s="8" t="str">
        <f t="shared" si="1"/>
        <v/>
      </c>
      <c r="G47" s="8" t="str">
        <f t="shared" si="2"/>
        <v/>
      </c>
      <c r="H47" s="8" t="str">
        <f t="shared" si="3"/>
        <v/>
      </c>
    </row>
    <row r="48" spans="4:8" x14ac:dyDescent="0.25">
      <c r="D48" s="1">
        <v>44</v>
      </c>
      <c r="E48" s="7" t="str">
        <f t="shared" si="4"/>
        <v/>
      </c>
      <c r="F48" s="8" t="str">
        <f t="shared" si="1"/>
        <v/>
      </c>
      <c r="G48" s="8" t="str">
        <f t="shared" si="2"/>
        <v/>
      </c>
      <c r="H48" s="8" t="str">
        <f t="shared" si="3"/>
        <v/>
      </c>
    </row>
    <row r="49" spans="4:8" x14ac:dyDescent="0.25">
      <c r="D49" s="1">
        <v>45</v>
      </c>
      <c r="E49" s="7" t="str">
        <f t="shared" si="4"/>
        <v/>
      </c>
      <c r="F49" s="8" t="str">
        <f t="shared" si="1"/>
        <v/>
      </c>
      <c r="G49" s="8" t="str">
        <f t="shared" si="2"/>
        <v/>
      </c>
      <c r="H49" s="8" t="str">
        <f t="shared" si="3"/>
        <v/>
      </c>
    </row>
    <row r="50" spans="4:8" x14ac:dyDescent="0.25">
      <c r="D50" s="1">
        <v>46</v>
      </c>
      <c r="E50" s="7" t="str">
        <f t="shared" si="4"/>
        <v/>
      </c>
      <c r="F50" s="8" t="str">
        <f t="shared" si="1"/>
        <v/>
      </c>
      <c r="G50" s="8" t="str">
        <f t="shared" si="2"/>
        <v/>
      </c>
      <c r="H50" s="8" t="str">
        <f t="shared" si="3"/>
        <v/>
      </c>
    </row>
    <row r="51" spans="4:8" x14ac:dyDescent="0.25">
      <c r="D51" s="1">
        <v>47</v>
      </c>
      <c r="E51" s="7" t="str">
        <f t="shared" si="4"/>
        <v/>
      </c>
      <c r="F51" s="8" t="str">
        <f t="shared" si="1"/>
        <v/>
      </c>
      <c r="G51" s="8" t="str">
        <f t="shared" si="2"/>
        <v/>
      </c>
      <c r="H51" s="8" t="str">
        <f t="shared" si="3"/>
        <v/>
      </c>
    </row>
    <row r="52" spans="4:8" x14ac:dyDescent="0.25">
      <c r="D52" s="1">
        <v>48</v>
      </c>
      <c r="E52" s="7" t="str">
        <f t="shared" si="4"/>
        <v/>
      </c>
      <c r="F52" s="8" t="str">
        <f t="shared" si="1"/>
        <v/>
      </c>
      <c r="G52" s="8" t="str">
        <f t="shared" si="2"/>
        <v/>
      </c>
      <c r="H52" s="8" t="str">
        <f t="shared" si="3"/>
        <v/>
      </c>
    </row>
    <row r="53" spans="4:8" x14ac:dyDescent="0.25">
      <c r="D53" s="1">
        <v>49</v>
      </c>
      <c r="E53" s="7" t="str">
        <f t="shared" si="4"/>
        <v/>
      </c>
      <c r="F53" s="8" t="str">
        <f t="shared" si="1"/>
        <v/>
      </c>
      <c r="G53" s="8" t="str">
        <f t="shared" si="2"/>
        <v/>
      </c>
      <c r="H53" s="8" t="str">
        <f t="shared" si="3"/>
        <v/>
      </c>
    </row>
    <row r="54" spans="4:8" x14ac:dyDescent="0.25">
      <c r="D54" s="1">
        <v>50</v>
      </c>
      <c r="E54" s="7" t="str">
        <f t="shared" si="4"/>
        <v/>
      </c>
      <c r="F54" s="8" t="str">
        <f t="shared" si="1"/>
        <v/>
      </c>
      <c r="G54" s="8" t="str">
        <f t="shared" si="2"/>
        <v/>
      </c>
      <c r="H54" s="8" t="str">
        <f t="shared" si="3"/>
        <v/>
      </c>
    </row>
    <row r="55" spans="4:8" x14ac:dyDescent="0.25">
      <c r="D55" s="1">
        <v>51</v>
      </c>
      <c r="E55" s="7" t="str">
        <f t="shared" si="4"/>
        <v/>
      </c>
      <c r="F55" s="8" t="str">
        <f t="shared" si="1"/>
        <v/>
      </c>
      <c r="G55" s="8" t="str">
        <f t="shared" si="2"/>
        <v/>
      </c>
      <c r="H55" s="8" t="str">
        <f t="shared" si="3"/>
        <v/>
      </c>
    </row>
    <row r="56" spans="4:8" x14ac:dyDescent="0.25">
      <c r="D56" s="1">
        <v>52</v>
      </c>
      <c r="E56" s="7" t="str">
        <f t="shared" si="4"/>
        <v/>
      </c>
      <c r="F56" s="8" t="str">
        <f t="shared" si="1"/>
        <v/>
      </c>
      <c r="G56" s="8" t="str">
        <f t="shared" si="2"/>
        <v/>
      </c>
      <c r="H56" s="8" t="str">
        <f t="shared" si="3"/>
        <v/>
      </c>
    </row>
    <row r="57" spans="4:8" x14ac:dyDescent="0.25">
      <c r="D57" s="1">
        <v>53</v>
      </c>
      <c r="E57" s="7" t="str">
        <f t="shared" si="4"/>
        <v/>
      </c>
      <c r="F57" s="8" t="str">
        <f t="shared" si="1"/>
        <v/>
      </c>
      <c r="G57" s="8" t="str">
        <f t="shared" si="2"/>
        <v/>
      </c>
      <c r="H57" s="8" t="str">
        <f t="shared" si="3"/>
        <v/>
      </c>
    </row>
    <row r="58" spans="4:8" x14ac:dyDescent="0.25">
      <c r="D58" s="1">
        <v>54</v>
      </c>
      <c r="E58" s="7" t="str">
        <f t="shared" si="4"/>
        <v/>
      </c>
      <c r="F58" s="8" t="str">
        <f t="shared" si="1"/>
        <v/>
      </c>
      <c r="G58" s="8" t="str">
        <f t="shared" si="2"/>
        <v/>
      </c>
      <c r="H58" s="8" t="str">
        <f t="shared" si="3"/>
        <v/>
      </c>
    </row>
    <row r="59" spans="4:8" x14ac:dyDescent="0.25">
      <c r="D59" s="1">
        <v>55</v>
      </c>
      <c r="E59" s="7" t="str">
        <f t="shared" si="4"/>
        <v/>
      </c>
      <c r="F59" s="8" t="str">
        <f t="shared" si="1"/>
        <v/>
      </c>
      <c r="G59" s="8" t="str">
        <f t="shared" si="2"/>
        <v/>
      </c>
      <c r="H59" s="8" t="str">
        <f t="shared" si="3"/>
        <v/>
      </c>
    </row>
    <row r="60" spans="4:8" x14ac:dyDescent="0.25">
      <c r="D60" s="1">
        <v>56</v>
      </c>
      <c r="E60" s="7" t="str">
        <f t="shared" si="4"/>
        <v/>
      </c>
      <c r="F60" s="8" t="str">
        <f t="shared" si="1"/>
        <v/>
      </c>
      <c r="G60" s="8" t="str">
        <f t="shared" si="2"/>
        <v/>
      </c>
      <c r="H60" s="8" t="str">
        <f t="shared" si="3"/>
        <v/>
      </c>
    </row>
    <row r="61" spans="4:8" x14ac:dyDescent="0.25">
      <c r="D61" s="1">
        <v>57</v>
      </c>
      <c r="E61" s="7" t="str">
        <f t="shared" si="4"/>
        <v/>
      </c>
      <c r="F61" s="8" t="str">
        <f t="shared" si="1"/>
        <v/>
      </c>
      <c r="G61" s="8" t="str">
        <f t="shared" si="2"/>
        <v/>
      </c>
      <c r="H61" s="8" t="str">
        <f t="shared" si="3"/>
        <v/>
      </c>
    </row>
    <row r="62" spans="4:8" x14ac:dyDescent="0.25">
      <c r="D62" s="1">
        <v>58</v>
      </c>
      <c r="E62" s="7" t="str">
        <f t="shared" si="4"/>
        <v/>
      </c>
      <c r="F62" s="8" t="str">
        <f t="shared" si="1"/>
        <v/>
      </c>
      <c r="G62" s="8" t="str">
        <f t="shared" si="2"/>
        <v/>
      </c>
      <c r="H62" s="8" t="str">
        <f t="shared" si="3"/>
        <v/>
      </c>
    </row>
    <row r="63" spans="4:8" x14ac:dyDescent="0.25">
      <c r="D63" s="1">
        <v>59</v>
      </c>
      <c r="E63" s="7" t="str">
        <f t="shared" si="4"/>
        <v/>
      </c>
      <c r="F63" s="8" t="str">
        <f t="shared" si="1"/>
        <v/>
      </c>
      <c r="G63" s="8" t="str">
        <f t="shared" si="2"/>
        <v/>
      </c>
      <c r="H63" s="8" t="str">
        <f t="shared" si="3"/>
        <v/>
      </c>
    </row>
    <row r="64" spans="4:8" x14ac:dyDescent="0.25">
      <c r="D64" s="1">
        <v>60</v>
      </c>
      <c r="E64" s="7" t="str">
        <f t="shared" si="4"/>
        <v/>
      </c>
      <c r="F64" s="8" t="str">
        <f t="shared" si="1"/>
        <v/>
      </c>
      <c r="G64" s="8" t="str">
        <f t="shared" si="2"/>
        <v/>
      </c>
      <c r="H64" s="8" t="str">
        <f t="shared" si="3"/>
        <v/>
      </c>
    </row>
    <row r="65" spans="4:8" x14ac:dyDescent="0.25">
      <c r="D65" s="1">
        <v>61</v>
      </c>
      <c r="E65" s="7" t="str">
        <f t="shared" si="4"/>
        <v/>
      </c>
      <c r="F65" s="8" t="str">
        <f t="shared" si="1"/>
        <v/>
      </c>
      <c r="G65" s="8" t="str">
        <f t="shared" si="2"/>
        <v/>
      </c>
      <c r="H65" s="8" t="str">
        <f t="shared" si="3"/>
        <v/>
      </c>
    </row>
    <row r="66" spans="4:8" x14ac:dyDescent="0.25">
      <c r="D66" s="1">
        <v>62</v>
      </c>
      <c r="E66" s="7" t="str">
        <f t="shared" si="4"/>
        <v/>
      </c>
      <c r="F66" s="8" t="str">
        <f t="shared" si="1"/>
        <v/>
      </c>
      <c r="G66" s="8" t="str">
        <f t="shared" si="2"/>
        <v/>
      </c>
      <c r="H66" s="8" t="str">
        <f t="shared" si="3"/>
        <v/>
      </c>
    </row>
    <row r="67" spans="4:8" x14ac:dyDescent="0.25">
      <c r="D67" s="1">
        <v>63</v>
      </c>
      <c r="E67" s="7" t="str">
        <f t="shared" si="4"/>
        <v/>
      </c>
      <c r="F67" s="8" t="str">
        <f t="shared" si="1"/>
        <v/>
      </c>
      <c r="G67" s="8" t="str">
        <f t="shared" si="2"/>
        <v/>
      </c>
      <c r="H67" s="8" t="str">
        <f t="shared" si="3"/>
        <v/>
      </c>
    </row>
    <row r="68" spans="4:8" x14ac:dyDescent="0.25">
      <c r="D68" s="1">
        <v>64</v>
      </c>
      <c r="E68" s="7" t="str">
        <f t="shared" si="4"/>
        <v/>
      </c>
      <c r="F68" s="8" t="str">
        <f t="shared" si="1"/>
        <v/>
      </c>
      <c r="G68" s="8" t="str">
        <f t="shared" si="2"/>
        <v/>
      </c>
      <c r="H68" s="8" t="str">
        <f t="shared" si="3"/>
        <v/>
      </c>
    </row>
    <row r="69" spans="4:8" x14ac:dyDescent="0.25">
      <c r="D69" s="1">
        <v>65</v>
      </c>
      <c r="E69" s="7" t="str">
        <f t="shared" si="4"/>
        <v/>
      </c>
      <c r="F69" s="8" t="str">
        <f t="shared" si="1"/>
        <v/>
      </c>
      <c r="G69" s="8" t="str">
        <f t="shared" si="2"/>
        <v/>
      </c>
      <c r="H69" s="8" t="str">
        <f t="shared" si="3"/>
        <v/>
      </c>
    </row>
    <row r="70" spans="4:8" x14ac:dyDescent="0.25">
      <c r="D70" s="1">
        <v>66</v>
      </c>
      <c r="E70" s="7" t="str">
        <f t="shared" ref="E70:E101" si="5">IF(D70&lt;=$B$12,E69+$B$11,"")</f>
        <v/>
      </c>
      <c r="F70" s="8" t="str">
        <f t="shared" ref="F70:F133" si="6">IF(ISNUMBER(E70),IF($B$7="Call",MAX(E70-$B$5,0),MAX($B$5-E70,0)),"")</f>
        <v/>
      </c>
      <c r="G70" s="8" t="str">
        <f t="shared" ref="G70:G133" si="7">IF(ISNUMBER(E70),F70-$B$6,"")</f>
        <v/>
      </c>
      <c r="H70" s="8" t="str">
        <f t="shared" ref="H70:H133" si="8">IF(ISNUMBER(F70),$B$6-F70,"")</f>
        <v/>
      </c>
    </row>
    <row r="71" spans="4:8" x14ac:dyDescent="0.25">
      <c r="D71" s="1">
        <v>67</v>
      </c>
      <c r="E71" s="7" t="str">
        <f t="shared" si="5"/>
        <v/>
      </c>
      <c r="F71" s="8" t="str">
        <f t="shared" si="6"/>
        <v/>
      </c>
      <c r="G71" s="8" t="str">
        <f t="shared" si="7"/>
        <v/>
      </c>
      <c r="H71" s="8" t="str">
        <f t="shared" si="8"/>
        <v/>
      </c>
    </row>
    <row r="72" spans="4:8" x14ac:dyDescent="0.25">
      <c r="D72" s="1">
        <v>68</v>
      </c>
      <c r="E72" s="7" t="str">
        <f t="shared" si="5"/>
        <v/>
      </c>
      <c r="F72" s="8" t="str">
        <f t="shared" si="6"/>
        <v/>
      </c>
      <c r="G72" s="8" t="str">
        <f t="shared" si="7"/>
        <v/>
      </c>
      <c r="H72" s="8" t="str">
        <f t="shared" si="8"/>
        <v/>
      </c>
    </row>
    <row r="73" spans="4:8" x14ac:dyDescent="0.25">
      <c r="D73" s="1">
        <v>69</v>
      </c>
      <c r="E73" s="7" t="str">
        <f t="shared" si="5"/>
        <v/>
      </c>
      <c r="F73" s="8" t="str">
        <f t="shared" si="6"/>
        <v/>
      </c>
      <c r="G73" s="8" t="str">
        <f t="shared" si="7"/>
        <v/>
      </c>
      <c r="H73" s="8" t="str">
        <f t="shared" si="8"/>
        <v/>
      </c>
    </row>
    <row r="74" spans="4:8" x14ac:dyDescent="0.25">
      <c r="D74" s="1">
        <v>70</v>
      </c>
      <c r="E74" s="7" t="str">
        <f t="shared" si="5"/>
        <v/>
      </c>
      <c r="F74" s="8" t="str">
        <f t="shared" si="6"/>
        <v/>
      </c>
      <c r="G74" s="8" t="str">
        <f t="shared" si="7"/>
        <v/>
      </c>
      <c r="H74" s="8" t="str">
        <f t="shared" si="8"/>
        <v/>
      </c>
    </row>
    <row r="75" spans="4:8" x14ac:dyDescent="0.25">
      <c r="D75" s="1">
        <v>71</v>
      </c>
      <c r="E75" s="7" t="str">
        <f t="shared" si="5"/>
        <v/>
      </c>
      <c r="F75" s="8" t="str">
        <f t="shared" si="6"/>
        <v/>
      </c>
      <c r="G75" s="8" t="str">
        <f t="shared" si="7"/>
        <v/>
      </c>
      <c r="H75" s="8" t="str">
        <f t="shared" si="8"/>
        <v/>
      </c>
    </row>
    <row r="76" spans="4:8" x14ac:dyDescent="0.25">
      <c r="D76" s="1">
        <v>72</v>
      </c>
      <c r="E76" s="7" t="str">
        <f t="shared" si="5"/>
        <v/>
      </c>
      <c r="F76" s="8" t="str">
        <f t="shared" si="6"/>
        <v/>
      </c>
      <c r="G76" s="8" t="str">
        <f t="shared" si="7"/>
        <v/>
      </c>
      <c r="H76" s="8" t="str">
        <f t="shared" si="8"/>
        <v/>
      </c>
    </row>
    <row r="77" spans="4:8" x14ac:dyDescent="0.25">
      <c r="D77" s="1">
        <v>73</v>
      </c>
      <c r="E77" s="7" t="str">
        <f t="shared" si="5"/>
        <v/>
      </c>
      <c r="F77" s="8" t="str">
        <f t="shared" si="6"/>
        <v/>
      </c>
      <c r="G77" s="8" t="str">
        <f t="shared" si="7"/>
        <v/>
      </c>
      <c r="H77" s="8" t="str">
        <f t="shared" si="8"/>
        <v/>
      </c>
    </row>
    <row r="78" spans="4:8" x14ac:dyDescent="0.25">
      <c r="D78" s="1">
        <v>74</v>
      </c>
      <c r="E78" s="7" t="str">
        <f t="shared" si="5"/>
        <v/>
      </c>
      <c r="F78" s="8" t="str">
        <f t="shared" si="6"/>
        <v/>
      </c>
      <c r="G78" s="8" t="str">
        <f t="shared" si="7"/>
        <v/>
      </c>
      <c r="H78" s="8" t="str">
        <f t="shared" si="8"/>
        <v/>
      </c>
    </row>
    <row r="79" spans="4:8" x14ac:dyDescent="0.25">
      <c r="D79" s="1">
        <v>75</v>
      </c>
      <c r="E79" s="7" t="str">
        <f t="shared" si="5"/>
        <v/>
      </c>
      <c r="F79" s="8" t="str">
        <f t="shared" si="6"/>
        <v/>
      </c>
      <c r="G79" s="8" t="str">
        <f t="shared" si="7"/>
        <v/>
      </c>
      <c r="H79" s="8" t="str">
        <f t="shared" si="8"/>
        <v/>
      </c>
    </row>
    <row r="80" spans="4:8" x14ac:dyDescent="0.25">
      <c r="D80" s="1">
        <v>76</v>
      </c>
      <c r="E80" s="7" t="str">
        <f t="shared" si="5"/>
        <v/>
      </c>
      <c r="F80" s="8" t="str">
        <f t="shared" si="6"/>
        <v/>
      </c>
      <c r="G80" s="8" t="str">
        <f t="shared" si="7"/>
        <v/>
      </c>
      <c r="H80" s="8" t="str">
        <f t="shared" si="8"/>
        <v/>
      </c>
    </row>
    <row r="81" spans="4:8" x14ac:dyDescent="0.25">
      <c r="D81" s="1">
        <v>77</v>
      </c>
      <c r="E81" s="7" t="str">
        <f t="shared" si="5"/>
        <v/>
      </c>
      <c r="F81" s="8" t="str">
        <f t="shared" si="6"/>
        <v/>
      </c>
      <c r="G81" s="8" t="str">
        <f t="shared" si="7"/>
        <v/>
      </c>
      <c r="H81" s="8" t="str">
        <f t="shared" si="8"/>
        <v/>
      </c>
    </row>
    <row r="82" spans="4:8" x14ac:dyDescent="0.25">
      <c r="D82" s="1">
        <v>78</v>
      </c>
      <c r="E82" s="7" t="str">
        <f t="shared" si="5"/>
        <v/>
      </c>
      <c r="F82" s="8" t="str">
        <f t="shared" si="6"/>
        <v/>
      </c>
      <c r="G82" s="8" t="str">
        <f t="shared" si="7"/>
        <v/>
      </c>
      <c r="H82" s="8" t="str">
        <f t="shared" si="8"/>
        <v/>
      </c>
    </row>
    <row r="83" spans="4:8" x14ac:dyDescent="0.25">
      <c r="D83" s="1">
        <v>79</v>
      </c>
      <c r="E83" s="7" t="str">
        <f t="shared" si="5"/>
        <v/>
      </c>
      <c r="F83" s="8" t="str">
        <f t="shared" si="6"/>
        <v/>
      </c>
      <c r="G83" s="8" t="str">
        <f t="shared" si="7"/>
        <v/>
      </c>
      <c r="H83" s="8" t="str">
        <f t="shared" si="8"/>
        <v/>
      </c>
    </row>
    <row r="84" spans="4:8" x14ac:dyDescent="0.25">
      <c r="D84" s="1">
        <v>80</v>
      </c>
      <c r="E84" s="7" t="str">
        <f t="shared" si="5"/>
        <v/>
      </c>
      <c r="F84" s="8" t="str">
        <f t="shared" si="6"/>
        <v/>
      </c>
      <c r="G84" s="8" t="str">
        <f t="shared" si="7"/>
        <v/>
      </c>
      <c r="H84" s="8" t="str">
        <f t="shared" si="8"/>
        <v/>
      </c>
    </row>
    <row r="85" spans="4:8" x14ac:dyDescent="0.25">
      <c r="D85" s="1">
        <v>81</v>
      </c>
      <c r="E85" s="7" t="str">
        <f t="shared" si="5"/>
        <v/>
      </c>
      <c r="F85" s="8" t="str">
        <f t="shared" si="6"/>
        <v/>
      </c>
      <c r="G85" s="8" t="str">
        <f t="shared" si="7"/>
        <v/>
      </c>
      <c r="H85" s="8" t="str">
        <f t="shared" si="8"/>
        <v/>
      </c>
    </row>
    <row r="86" spans="4:8" x14ac:dyDescent="0.25">
      <c r="D86" s="1">
        <v>82</v>
      </c>
      <c r="E86" s="7" t="str">
        <f t="shared" si="5"/>
        <v/>
      </c>
      <c r="F86" s="8" t="str">
        <f t="shared" si="6"/>
        <v/>
      </c>
      <c r="G86" s="8" t="str">
        <f t="shared" si="7"/>
        <v/>
      </c>
      <c r="H86" s="8" t="str">
        <f t="shared" si="8"/>
        <v/>
      </c>
    </row>
    <row r="87" spans="4:8" x14ac:dyDescent="0.25">
      <c r="D87" s="1">
        <v>83</v>
      </c>
      <c r="E87" s="7" t="str">
        <f t="shared" si="5"/>
        <v/>
      </c>
      <c r="F87" s="8" t="str">
        <f t="shared" si="6"/>
        <v/>
      </c>
      <c r="G87" s="8" t="str">
        <f t="shared" si="7"/>
        <v/>
      </c>
      <c r="H87" s="8" t="str">
        <f t="shared" si="8"/>
        <v/>
      </c>
    </row>
    <row r="88" spans="4:8" x14ac:dyDescent="0.25">
      <c r="D88" s="1">
        <v>84</v>
      </c>
      <c r="E88" s="7" t="str">
        <f t="shared" si="5"/>
        <v/>
      </c>
      <c r="F88" s="8" t="str">
        <f t="shared" si="6"/>
        <v/>
      </c>
      <c r="G88" s="8" t="str">
        <f t="shared" si="7"/>
        <v/>
      </c>
      <c r="H88" s="8" t="str">
        <f t="shared" si="8"/>
        <v/>
      </c>
    </row>
    <row r="89" spans="4:8" x14ac:dyDescent="0.25">
      <c r="D89" s="1">
        <v>85</v>
      </c>
      <c r="E89" s="7" t="str">
        <f t="shared" si="5"/>
        <v/>
      </c>
      <c r="F89" s="8" t="str">
        <f t="shared" si="6"/>
        <v/>
      </c>
      <c r="G89" s="8" t="str">
        <f t="shared" si="7"/>
        <v/>
      </c>
      <c r="H89" s="8" t="str">
        <f t="shared" si="8"/>
        <v/>
      </c>
    </row>
    <row r="90" spans="4:8" x14ac:dyDescent="0.25">
      <c r="D90" s="1">
        <v>86</v>
      </c>
      <c r="E90" s="7" t="str">
        <f t="shared" si="5"/>
        <v/>
      </c>
      <c r="F90" s="8" t="str">
        <f t="shared" si="6"/>
        <v/>
      </c>
      <c r="G90" s="8" t="str">
        <f t="shared" si="7"/>
        <v/>
      </c>
      <c r="H90" s="8" t="str">
        <f t="shared" si="8"/>
        <v/>
      </c>
    </row>
    <row r="91" spans="4:8" x14ac:dyDescent="0.25">
      <c r="D91" s="1">
        <v>87</v>
      </c>
      <c r="E91" s="7" t="str">
        <f t="shared" si="5"/>
        <v/>
      </c>
      <c r="F91" s="8" t="str">
        <f t="shared" si="6"/>
        <v/>
      </c>
      <c r="G91" s="8" t="str">
        <f t="shared" si="7"/>
        <v/>
      </c>
      <c r="H91" s="8" t="str">
        <f t="shared" si="8"/>
        <v/>
      </c>
    </row>
    <row r="92" spans="4:8" x14ac:dyDescent="0.25">
      <c r="D92" s="1">
        <v>88</v>
      </c>
      <c r="E92" s="7" t="str">
        <f t="shared" si="5"/>
        <v/>
      </c>
      <c r="F92" s="8" t="str">
        <f t="shared" si="6"/>
        <v/>
      </c>
      <c r="G92" s="8" t="str">
        <f t="shared" si="7"/>
        <v/>
      </c>
      <c r="H92" s="8" t="str">
        <f t="shared" si="8"/>
        <v/>
      </c>
    </row>
    <row r="93" spans="4:8" x14ac:dyDescent="0.25">
      <c r="D93" s="1">
        <v>89</v>
      </c>
      <c r="E93" s="7" t="str">
        <f t="shared" si="5"/>
        <v/>
      </c>
      <c r="F93" s="8" t="str">
        <f t="shared" si="6"/>
        <v/>
      </c>
      <c r="G93" s="8" t="str">
        <f t="shared" si="7"/>
        <v/>
      </c>
      <c r="H93" s="8" t="str">
        <f t="shared" si="8"/>
        <v/>
      </c>
    </row>
    <row r="94" spans="4:8" x14ac:dyDescent="0.25">
      <c r="D94" s="1">
        <v>90</v>
      </c>
      <c r="E94" s="7" t="str">
        <f t="shared" si="5"/>
        <v/>
      </c>
      <c r="F94" s="8" t="str">
        <f t="shared" si="6"/>
        <v/>
      </c>
      <c r="G94" s="8" t="str">
        <f t="shared" si="7"/>
        <v/>
      </c>
      <c r="H94" s="8" t="str">
        <f t="shared" si="8"/>
        <v/>
      </c>
    </row>
    <row r="95" spans="4:8" x14ac:dyDescent="0.25">
      <c r="D95" s="1">
        <v>91</v>
      </c>
      <c r="E95" s="7" t="str">
        <f t="shared" si="5"/>
        <v/>
      </c>
      <c r="F95" s="8" t="str">
        <f t="shared" si="6"/>
        <v/>
      </c>
      <c r="G95" s="8" t="str">
        <f t="shared" si="7"/>
        <v/>
      </c>
      <c r="H95" s="8" t="str">
        <f t="shared" si="8"/>
        <v/>
      </c>
    </row>
    <row r="96" spans="4:8" x14ac:dyDescent="0.25">
      <c r="D96" s="1">
        <v>92</v>
      </c>
      <c r="E96" s="7" t="str">
        <f t="shared" si="5"/>
        <v/>
      </c>
      <c r="F96" s="8" t="str">
        <f t="shared" si="6"/>
        <v/>
      </c>
      <c r="G96" s="8" t="str">
        <f t="shared" si="7"/>
        <v/>
      </c>
      <c r="H96" s="8" t="str">
        <f t="shared" si="8"/>
        <v/>
      </c>
    </row>
    <row r="97" spans="4:8" x14ac:dyDescent="0.25">
      <c r="D97" s="1">
        <v>93</v>
      </c>
      <c r="E97" s="7" t="str">
        <f t="shared" si="5"/>
        <v/>
      </c>
      <c r="F97" s="8" t="str">
        <f t="shared" si="6"/>
        <v/>
      </c>
      <c r="G97" s="8" t="str">
        <f t="shared" si="7"/>
        <v/>
      </c>
      <c r="H97" s="8" t="str">
        <f t="shared" si="8"/>
        <v/>
      </c>
    </row>
    <row r="98" spans="4:8" x14ac:dyDescent="0.25">
      <c r="D98" s="1">
        <v>94</v>
      </c>
      <c r="E98" s="7" t="str">
        <f t="shared" si="5"/>
        <v/>
      </c>
      <c r="F98" s="8" t="str">
        <f t="shared" si="6"/>
        <v/>
      </c>
      <c r="G98" s="8" t="str">
        <f t="shared" si="7"/>
        <v/>
      </c>
      <c r="H98" s="8" t="str">
        <f t="shared" si="8"/>
        <v/>
      </c>
    </row>
    <row r="99" spans="4:8" x14ac:dyDescent="0.25">
      <c r="D99" s="1">
        <v>95</v>
      </c>
      <c r="E99" s="7" t="str">
        <f t="shared" si="5"/>
        <v/>
      </c>
      <c r="F99" s="8" t="str">
        <f t="shared" si="6"/>
        <v/>
      </c>
      <c r="G99" s="8" t="str">
        <f t="shared" si="7"/>
        <v/>
      </c>
      <c r="H99" s="8" t="str">
        <f t="shared" si="8"/>
        <v/>
      </c>
    </row>
    <row r="100" spans="4:8" x14ac:dyDescent="0.25">
      <c r="D100" s="1">
        <v>96</v>
      </c>
      <c r="E100" s="7" t="str">
        <f t="shared" si="5"/>
        <v/>
      </c>
      <c r="F100" s="8" t="str">
        <f t="shared" si="6"/>
        <v/>
      </c>
      <c r="G100" s="8" t="str">
        <f t="shared" si="7"/>
        <v/>
      </c>
      <c r="H100" s="8" t="str">
        <f t="shared" si="8"/>
        <v/>
      </c>
    </row>
    <row r="101" spans="4:8" x14ac:dyDescent="0.25">
      <c r="D101" s="1">
        <v>97</v>
      </c>
      <c r="E101" s="7" t="str">
        <f t="shared" si="5"/>
        <v/>
      </c>
      <c r="F101" s="8" t="str">
        <f t="shared" si="6"/>
        <v/>
      </c>
      <c r="G101" s="8" t="str">
        <f t="shared" si="7"/>
        <v/>
      </c>
      <c r="H101" s="8" t="str">
        <f t="shared" si="8"/>
        <v/>
      </c>
    </row>
    <row r="102" spans="4:8" x14ac:dyDescent="0.25">
      <c r="D102" s="1">
        <v>98</v>
      </c>
      <c r="E102" s="7" t="str">
        <f t="shared" ref="E102:E133" si="9">IF(D102&lt;=$B$12,E101+$B$11,"")</f>
        <v/>
      </c>
      <c r="F102" s="8" t="str">
        <f t="shared" si="6"/>
        <v/>
      </c>
      <c r="G102" s="8" t="str">
        <f t="shared" si="7"/>
        <v/>
      </c>
      <c r="H102" s="8" t="str">
        <f t="shared" si="8"/>
        <v/>
      </c>
    </row>
    <row r="103" spans="4:8" x14ac:dyDescent="0.25">
      <c r="D103" s="1">
        <v>99</v>
      </c>
      <c r="E103" s="7" t="str">
        <f t="shared" si="9"/>
        <v/>
      </c>
      <c r="F103" s="8" t="str">
        <f t="shared" si="6"/>
        <v/>
      </c>
      <c r="G103" s="8" t="str">
        <f t="shared" si="7"/>
        <v/>
      </c>
      <c r="H103" s="8" t="str">
        <f t="shared" si="8"/>
        <v/>
      </c>
    </row>
    <row r="104" spans="4:8" x14ac:dyDescent="0.25">
      <c r="D104" s="1">
        <v>100</v>
      </c>
      <c r="E104" s="7" t="str">
        <f t="shared" si="9"/>
        <v/>
      </c>
      <c r="F104" s="8" t="str">
        <f t="shared" si="6"/>
        <v/>
      </c>
      <c r="G104" s="8" t="str">
        <f t="shared" si="7"/>
        <v/>
      </c>
      <c r="H104" s="8" t="str">
        <f t="shared" si="8"/>
        <v/>
      </c>
    </row>
    <row r="105" spans="4:8" x14ac:dyDescent="0.25">
      <c r="D105" s="1">
        <v>101</v>
      </c>
      <c r="E105" s="7" t="str">
        <f t="shared" si="9"/>
        <v/>
      </c>
      <c r="F105" s="8" t="str">
        <f t="shared" si="6"/>
        <v/>
      </c>
      <c r="G105" s="8" t="str">
        <f t="shared" si="7"/>
        <v/>
      </c>
      <c r="H105" s="8" t="str">
        <f t="shared" si="8"/>
        <v/>
      </c>
    </row>
    <row r="106" spans="4:8" x14ac:dyDescent="0.25">
      <c r="D106" s="1">
        <v>102</v>
      </c>
      <c r="E106" s="7" t="str">
        <f t="shared" si="9"/>
        <v/>
      </c>
      <c r="F106" s="8" t="str">
        <f t="shared" si="6"/>
        <v/>
      </c>
      <c r="G106" s="8" t="str">
        <f t="shared" si="7"/>
        <v/>
      </c>
      <c r="H106" s="8" t="str">
        <f t="shared" si="8"/>
        <v/>
      </c>
    </row>
    <row r="107" spans="4:8" x14ac:dyDescent="0.25">
      <c r="D107" s="1">
        <v>103</v>
      </c>
      <c r="E107" s="7" t="str">
        <f t="shared" si="9"/>
        <v/>
      </c>
      <c r="F107" s="8" t="str">
        <f t="shared" si="6"/>
        <v/>
      </c>
      <c r="G107" s="8" t="str">
        <f t="shared" si="7"/>
        <v/>
      </c>
      <c r="H107" s="8" t="str">
        <f t="shared" si="8"/>
        <v/>
      </c>
    </row>
    <row r="108" spans="4:8" x14ac:dyDescent="0.25">
      <c r="D108" s="1">
        <v>104</v>
      </c>
      <c r="E108" s="7" t="str">
        <f t="shared" si="9"/>
        <v/>
      </c>
      <c r="F108" s="8" t="str">
        <f t="shared" si="6"/>
        <v/>
      </c>
      <c r="G108" s="8" t="str">
        <f t="shared" si="7"/>
        <v/>
      </c>
      <c r="H108" s="8" t="str">
        <f t="shared" si="8"/>
        <v/>
      </c>
    </row>
    <row r="109" spans="4:8" x14ac:dyDescent="0.25">
      <c r="D109" s="1">
        <v>105</v>
      </c>
      <c r="E109" s="7" t="str">
        <f t="shared" si="9"/>
        <v/>
      </c>
      <c r="F109" s="8" t="str">
        <f t="shared" si="6"/>
        <v/>
      </c>
      <c r="G109" s="8" t="str">
        <f t="shared" si="7"/>
        <v/>
      </c>
      <c r="H109" s="8" t="str">
        <f t="shared" si="8"/>
        <v/>
      </c>
    </row>
    <row r="110" spans="4:8" x14ac:dyDescent="0.25">
      <c r="D110" s="1">
        <v>106</v>
      </c>
      <c r="E110" s="7" t="str">
        <f t="shared" si="9"/>
        <v/>
      </c>
      <c r="F110" s="8" t="str">
        <f t="shared" si="6"/>
        <v/>
      </c>
      <c r="G110" s="8" t="str">
        <f t="shared" si="7"/>
        <v/>
      </c>
      <c r="H110" s="8" t="str">
        <f t="shared" si="8"/>
        <v/>
      </c>
    </row>
    <row r="111" spans="4:8" x14ac:dyDescent="0.25">
      <c r="D111" s="1">
        <v>107</v>
      </c>
      <c r="E111" s="7" t="str">
        <f t="shared" si="9"/>
        <v/>
      </c>
      <c r="F111" s="8" t="str">
        <f t="shared" si="6"/>
        <v/>
      </c>
      <c r="G111" s="8" t="str">
        <f t="shared" si="7"/>
        <v/>
      </c>
      <c r="H111" s="8" t="str">
        <f t="shared" si="8"/>
        <v/>
      </c>
    </row>
    <row r="112" spans="4:8" x14ac:dyDescent="0.25">
      <c r="D112" s="1">
        <v>108</v>
      </c>
      <c r="E112" s="7" t="str">
        <f t="shared" si="9"/>
        <v/>
      </c>
      <c r="F112" s="8" t="str">
        <f t="shared" si="6"/>
        <v/>
      </c>
      <c r="G112" s="8" t="str">
        <f t="shared" si="7"/>
        <v/>
      </c>
      <c r="H112" s="8" t="str">
        <f t="shared" si="8"/>
        <v/>
      </c>
    </row>
    <row r="113" spans="4:8" x14ac:dyDescent="0.25">
      <c r="D113" s="1">
        <v>109</v>
      </c>
      <c r="E113" s="7" t="str">
        <f t="shared" si="9"/>
        <v/>
      </c>
      <c r="F113" s="8" t="str">
        <f t="shared" si="6"/>
        <v/>
      </c>
      <c r="G113" s="8" t="str">
        <f t="shared" si="7"/>
        <v/>
      </c>
      <c r="H113" s="8" t="str">
        <f t="shared" si="8"/>
        <v/>
      </c>
    </row>
    <row r="114" spans="4:8" x14ac:dyDescent="0.25">
      <c r="D114" s="1">
        <v>110</v>
      </c>
      <c r="E114" s="7" t="str">
        <f t="shared" si="9"/>
        <v/>
      </c>
      <c r="F114" s="8" t="str">
        <f t="shared" si="6"/>
        <v/>
      </c>
      <c r="G114" s="8" t="str">
        <f t="shared" si="7"/>
        <v/>
      </c>
      <c r="H114" s="8" t="str">
        <f t="shared" si="8"/>
        <v/>
      </c>
    </row>
    <row r="115" spans="4:8" x14ac:dyDescent="0.25">
      <c r="D115" s="1">
        <v>111</v>
      </c>
      <c r="E115" s="7" t="str">
        <f t="shared" si="9"/>
        <v/>
      </c>
      <c r="F115" s="8" t="str">
        <f t="shared" si="6"/>
        <v/>
      </c>
      <c r="G115" s="8" t="str">
        <f t="shared" si="7"/>
        <v/>
      </c>
      <c r="H115" s="8" t="str">
        <f t="shared" si="8"/>
        <v/>
      </c>
    </row>
    <row r="116" spans="4:8" x14ac:dyDescent="0.25">
      <c r="D116" s="1">
        <v>112</v>
      </c>
      <c r="E116" s="7" t="str">
        <f t="shared" si="9"/>
        <v/>
      </c>
      <c r="F116" s="8" t="str">
        <f t="shared" si="6"/>
        <v/>
      </c>
      <c r="G116" s="8" t="str">
        <f t="shared" si="7"/>
        <v/>
      </c>
      <c r="H116" s="8" t="str">
        <f t="shared" si="8"/>
        <v/>
      </c>
    </row>
    <row r="117" spans="4:8" x14ac:dyDescent="0.25">
      <c r="D117" s="1">
        <v>113</v>
      </c>
      <c r="E117" s="7" t="str">
        <f t="shared" si="9"/>
        <v/>
      </c>
      <c r="F117" s="8" t="str">
        <f t="shared" si="6"/>
        <v/>
      </c>
      <c r="G117" s="8" t="str">
        <f t="shared" si="7"/>
        <v/>
      </c>
      <c r="H117" s="8" t="str">
        <f t="shared" si="8"/>
        <v/>
      </c>
    </row>
    <row r="118" spans="4:8" x14ac:dyDescent="0.25">
      <c r="D118" s="1">
        <v>114</v>
      </c>
      <c r="E118" s="7" t="str">
        <f t="shared" si="9"/>
        <v/>
      </c>
      <c r="F118" s="8" t="str">
        <f t="shared" si="6"/>
        <v/>
      </c>
      <c r="G118" s="8" t="str">
        <f t="shared" si="7"/>
        <v/>
      </c>
      <c r="H118" s="8" t="str">
        <f t="shared" si="8"/>
        <v/>
      </c>
    </row>
    <row r="119" spans="4:8" x14ac:dyDescent="0.25">
      <c r="D119" s="1">
        <v>115</v>
      </c>
      <c r="E119" s="7" t="str">
        <f t="shared" si="9"/>
        <v/>
      </c>
      <c r="F119" s="8" t="str">
        <f t="shared" si="6"/>
        <v/>
      </c>
      <c r="G119" s="8" t="str">
        <f t="shared" si="7"/>
        <v/>
      </c>
      <c r="H119" s="8" t="str">
        <f t="shared" si="8"/>
        <v/>
      </c>
    </row>
    <row r="120" spans="4:8" x14ac:dyDescent="0.25">
      <c r="D120" s="1">
        <v>116</v>
      </c>
      <c r="E120" s="7" t="str">
        <f t="shared" si="9"/>
        <v/>
      </c>
      <c r="F120" s="8" t="str">
        <f t="shared" si="6"/>
        <v/>
      </c>
      <c r="G120" s="8" t="str">
        <f t="shared" si="7"/>
        <v/>
      </c>
      <c r="H120" s="8" t="str">
        <f t="shared" si="8"/>
        <v/>
      </c>
    </row>
    <row r="121" spans="4:8" x14ac:dyDescent="0.25">
      <c r="D121" s="1">
        <v>117</v>
      </c>
      <c r="E121" s="7" t="str">
        <f t="shared" si="9"/>
        <v/>
      </c>
      <c r="F121" s="8" t="str">
        <f t="shared" si="6"/>
        <v/>
      </c>
      <c r="G121" s="8" t="str">
        <f t="shared" si="7"/>
        <v/>
      </c>
      <c r="H121" s="8" t="str">
        <f t="shared" si="8"/>
        <v/>
      </c>
    </row>
    <row r="122" spans="4:8" x14ac:dyDescent="0.25">
      <c r="D122" s="1">
        <v>118</v>
      </c>
      <c r="E122" s="7" t="str">
        <f t="shared" si="9"/>
        <v/>
      </c>
      <c r="F122" s="8" t="str">
        <f t="shared" si="6"/>
        <v/>
      </c>
      <c r="G122" s="8" t="str">
        <f t="shared" si="7"/>
        <v/>
      </c>
      <c r="H122" s="8" t="str">
        <f t="shared" si="8"/>
        <v/>
      </c>
    </row>
    <row r="123" spans="4:8" x14ac:dyDescent="0.25">
      <c r="D123" s="1">
        <v>119</v>
      </c>
      <c r="E123" s="7" t="str">
        <f t="shared" si="9"/>
        <v/>
      </c>
      <c r="F123" s="8" t="str">
        <f t="shared" si="6"/>
        <v/>
      </c>
      <c r="G123" s="8" t="str">
        <f t="shared" si="7"/>
        <v/>
      </c>
      <c r="H123" s="8" t="str">
        <f t="shared" si="8"/>
        <v/>
      </c>
    </row>
    <row r="124" spans="4:8" x14ac:dyDescent="0.25">
      <c r="D124" s="1">
        <v>120</v>
      </c>
      <c r="E124" s="7" t="str">
        <f t="shared" si="9"/>
        <v/>
      </c>
      <c r="F124" s="8" t="str">
        <f t="shared" si="6"/>
        <v/>
      </c>
      <c r="G124" s="8" t="str">
        <f t="shared" si="7"/>
        <v/>
      </c>
      <c r="H124" s="8" t="str">
        <f t="shared" si="8"/>
        <v/>
      </c>
    </row>
    <row r="125" spans="4:8" x14ac:dyDescent="0.25">
      <c r="D125" s="1">
        <v>121</v>
      </c>
      <c r="E125" s="7" t="str">
        <f t="shared" si="9"/>
        <v/>
      </c>
      <c r="F125" s="8" t="str">
        <f t="shared" si="6"/>
        <v/>
      </c>
      <c r="G125" s="8" t="str">
        <f t="shared" si="7"/>
        <v/>
      </c>
      <c r="H125" s="8" t="str">
        <f t="shared" si="8"/>
        <v/>
      </c>
    </row>
    <row r="126" spans="4:8" x14ac:dyDescent="0.25">
      <c r="D126" s="1">
        <v>122</v>
      </c>
      <c r="E126" s="7" t="str">
        <f t="shared" si="9"/>
        <v/>
      </c>
      <c r="F126" s="8" t="str">
        <f t="shared" si="6"/>
        <v/>
      </c>
      <c r="G126" s="8" t="str">
        <f t="shared" si="7"/>
        <v/>
      </c>
      <c r="H126" s="8" t="str">
        <f t="shared" si="8"/>
        <v/>
      </c>
    </row>
    <row r="127" spans="4:8" x14ac:dyDescent="0.25">
      <c r="D127" s="1">
        <v>123</v>
      </c>
      <c r="E127" s="7" t="str">
        <f t="shared" si="9"/>
        <v/>
      </c>
      <c r="F127" s="8" t="str">
        <f t="shared" si="6"/>
        <v/>
      </c>
      <c r="G127" s="8" t="str">
        <f t="shared" si="7"/>
        <v/>
      </c>
      <c r="H127" s="8" t="str">
        <f t="shared" si="8"/>
        <v/>
      </c>
    </row>
    <row r="128" spans="4:8" x14ac:dyDescent="0.25">
      <c r="D128" s="1">
        <v>124</v>
      </c>
      <c r="E128" s="7" t="str">
        <f t="shared" si="9"/>
        <v/>
      </c>
      <c r="F128" s="8" t="str">
        <f t="shared" si="6"/>
        <v/>
      </c>
      <c r="G128" s="8" t="str">
        <f t="shared" si="7"/>
        <v/>
      </c>
      <c r="H128" s="8" t="str">
        <f t="shared" si="8"/>
        <v/>
      </c>
    </row>
    <row r="129" spans="4:8" x14ac:dyDescent="0.25">
      <c r="D129" s="1">
        <v>125</v>
      </c>
      <c r="E129" s="7" t="str">
        <f t="shared" si="9"/>
        <v/>
      </c>
      <c r="F129" s="8" t="str">
        <f t="shared" si="6"/>
        <v/>
      </c>
      <c r="G129" s="8" t="str">
        <f t="shared" si="7"/>
        <v/>
      </c>
      <c r="H129" s="8" t="str">
        <f t="shared" si="8"/>
        <v/>
      </c>
    </row>
    <row r="130" spans="4:8" x14ac:dyDescent="0.25">
      <c r="D130" s="1">
        <v>126</v>
      </c>
      <c r="E130" s="7" t="str">
        <f t="shared" si="9"/>
        <v/>
      </c>
      <c r="F130" s="8" t="str">
        <f t="shared" si="6"/>
        <v/>
      </c>
      <c r="G130" s="8" t="str">
        <f t="shared" si="7"/>
        <v/>
      </c>
      <c r="H130" s="8" t="str">
        <f t="shared" si="8"/>
        <v/>
      </c>
    </row>
    <row r="131" spans="4:8" x14ac:dyDescent="0.25">
      <c r="D131" s="1">
        <v>127</v>
      </c>
      <c r="E131" s="7" t="str">
        <f t="shared" si="9"/>
        <v/>
      </c>
      <c r="F131" s="8" t="str">
        <f t="shared" si="6"/>
        <v/>
      </c>
      <c r="G131" s="8" t="str">
        <f t="shared" si="7"/>
        <v/>
      </c>
      <c r="H131" s="8" t="str">
        <f t="shared" si="8"/>
        <v/>
      </c>
    </row>
    <row r="132" spans="4:8" x14ac:dyDescent="0.25">
      <c r="D132" s="1">
        <v>128</v>
      </c>
      <c r="E132" s="7" t="str">
        <f t="shared" si="9"/>
        <v/>
      </c>
      <c r="F132" s="8" t="str">
        <f t="shared" si="6"/>
        <v/>
      </c>
      <c r="G132" s="8" t="str">
        <f t="shared" si="7"/>
        <v/>
      </c>
      <c r="H132" s="8" t="str">
        <f t="shared" si="8"/>
        <v/>
      </c>
    </row>
    <row r="133" spans="4:8" x14ac:dyDescent="0.25">
      <c r="D133" s="1">
        <v>129</v>
      </c>
      <c r="E133" s="7" t="str">
        <f t="shared" si="9"/>
        <v/>
      </c>
      <c r="F133" s="8" t="str">
        <f t="shared" si="6"/>
        <v/>
      </c>
      <c r="G133" s="8" t="str">
        <f t="shared" si="7"/>
        <v/>
      </c>
      <c r="H133" s="8" t="str">
        <f t="shared" si="8"/>
        <v/>
      </c>
    </row>
    <row r="134" spans="4:8" x14ac:dyDescent="0.25">
      <c r="D134" s="1">
        <v>130</v>
      </c>
      <c r="E134" s="7" t="str">
        <f t="shared" ref="E134:E165" si="10">IF(D134&lt;=$B$12,E133+$B$11,"")</f>
        <v/>
      </c>
      <c r="F134" s="8" t="str">
        <f t="shared" ref="F134:F197" si="11">IF(ISNUMBER(E134),IF($B$7="Call",MAX(E134-$B$5,0),MAX($B$5-E134,0)),"")</f>
        <v/>
      </c>
      <c r="G134" s="8" t="str">
        <f t="shared" ref="G134:G197" si="12">IF(ISNUMBER(E134),F134-$B$6,"")</f>
        <v/>
      </c>
      <c r="H134" s="8" t="str">
        <f t="shared" ref="H134:H197" si="13">IF(ISNUMBER(F134),$B$6-F134,"")</f>
        <v/>
      </c>
    </row>
    <row r="135" spans="4:8" x14ac:dyDescent="0.25">
      <c r="D135" s="1">
        <v>131</v>
      </c>
      <c r="E135" s="7" t="str">
        <f t="shared" si="10"/>
        <v/>
      </c>
      <c r="F135" s="8" t="str">
        <f t="shared" si="11"/>
        <v/>
      </c>
      <c r="G135" s="8" t="str">
        <f t="shared" si="12"/>
        <v/>
      </c>
      <c r="H135" s="8" t="str">
        <f t="shared" si="13"/>
        <v/>
      </c>
    </row>
    <row r="136" spans="4:8" x14ac:dyDescent="0.25">
      <c r="D136" s="1">
        <v>132</v>
      </c>
      <c r="E136" s="7" t="str">
        <f t="shared" si="10"/>
        <v/>
      </c>
      <c r="F136" s="8" t="str">
        <f t="shared" si="11"/>
        <v/>
      </c>
      <c r="G136" s="8" t="str">
        <f t="shared" si="12"/>
        <v/>
      </c>
      <c r="H136" s="8" t="str">
        <f t="shared" si="13"/>
        <v/>
      </c>
    </row>
    <row r="137" spans="4:8" x14ac:dyDescent="0.25">
      <c r="D137" s="1">
        <v>133</v>
      </c>
      <c r="E137" s="7" t="str">
        <f t="shared" si="10"/>
        <v/>
      </c>
      <c r="F137" s="8" t="str">
        <f t="shared" si="11"/>
        <v/>
      </c>
      <c r="G137" s="8" t="str">
        <f t="shared" si="12"/>
        <v/>
      </c>
      <c r="H137" s="8" t="str">
        <f t="shared" si="13"/>
        <v/>
      </c>
    </row>
    <row r="138" spans="4:8" x14ac:dyDescent="0.25">
      <c r="D138" s="1">
        <v>134</v>
      </c>
      <c r="E138" s="7" t="str">
        <f t="shared" si="10"/>
        <v/>
      </c>
      <c r="F138" s="8" t="str">
        <f t="shared" si="11"/>
        <v/>
      </c>
      <c r="G138" s="8" t="str">
        <f t="shared" si="12"/>
        <v/>
      </c>
      <c r="H138" s="8" t="str">
        <f t="shared" si="13"/>
        <v/>
      </c>
    </row>
    <row r="139" spans="4:8" x14ac:dyDescent="0.25">
      <c r="D139" s="1">
        <v>135</v>
      </c>
      <c r="E139" s="7" t="str">
        <f t="shared" si="10"/>
        <v/>
      </c>
      <c r="F139" s="8" t="str">
        <f t="shared" si="11"/>
        <v/>
      </c>
      <c r="G139" s="8" t="str">
        <f t="shared" si="12"/>
        <v/>
      </c>
      <c r="H139" s="8" t="str">
        <f t="shared" si="13"/>
        <v/>
      </c>
    </row>
    <row r="140" spans="4:8" x14ac:dyDescent="0.25">
      <c r="D140" s="1">
        <v>136</v>
      </c>
      <c r="E140" s="7" t="str">
        <f t="shared" si="10"/>
        <v/>
      </c>
      <c r="F140" s="8" t="str">
        <f t="shared" si="11"/>
        <v/>
      </c>
      <c r="G140" s="8" t="str">
        <f t="shared" si="12"/>
        <v/>
      </c>
      <c r="H140" s="8" t="str">
        <f t="shared" si="13"/>
        <v/>
      </c>
    </row>
    <row r="141" spans="4:8" x14ac:dyDescent="0.25">
      <c r="D141" s="1">
        <v>137</v>
      </c>
      <c r="E141" s="7" t="str">
        <f t="shared" si="10"/>
        <v/>
      </c>
      <c r="F141" s="8" t="str">
        <f t="shared" si="11"/>
        <v/>
      </c>
      <c r="G141" s="8" t="str">
        <f t="shared" si="12"/>
        <v/>
      </c>
      <c r="H141" s="8" t="str">
        <f t="shared" si="13"/>
        <v/>
      </c>
    </row>
    <row r="142" spans="4:8" x14ac:dyDescent="0.25">
      <c r="D142" s="1">
        <v>138</v>
      </c>
      <c r="E142" s="7" t="str">
        <f t="shared" si="10"/>
        <v/>
      </c>
      <c r="F142" s="8" t="str">
        <f t="shared" si="11"/>
        <v/>
      </c>
      <c r="G142" s="8" t="str">
        <f t="shared" si="12"/>
        <v/>
      </c>
      <c r="H142" s="8" t="str">
        <f t="shared" si="13"/>
        <v/>
      </c>
    </row>
    <row r="143" spans="4:8" x14ac:dyDescent="0.25">
      <c r="D143" s="1">
        <v>139</v>
      </c>
      <c r="E143" s="7" t="str">
        <f t="shared" si="10"/>
        <v/>
      </c>
      <c r="F143" s="8" t="str">
        <f t="shared" si="11"/>
        <v/>
      </c>
      <c r="G143" s="8" t="str">
        <f t="shared" si="12"/>
        <v/>
      </c>
      <c r="H143" s="8" t="str">
        <f t="shared" si="13"/>
        <v/>
      </c>
    </row>
    <row r="144" spans="4:8" x14ac:dyDescent="0.25">
      <c r="D144" s="1">
        <v>140</v>
      </c>
      <c r="E144" s="7" t="str">
        <f t="shared" si="10"/>
        <v/>
      </c>
      <c r="F144" s="8" t="str">
        <f t="shared" si="11"/>
        <v/>
      </c>
      <c r="G144" s="8" t="str">
        <f t="shared" si="12"/>
        <v/>
      </c>
      <c r="H144" s="8" t="str">
        <f t="shared" si="13"/>
        <v/>
      </c>
    </row>
    <row r="145" spans="4:8" x14ac:dyDescent="0.25">
      <c r="D145" s="1">
        <v>141</v>
      </c>
      <c r="E145" s="7" t="str">
        <f t="shared" si="10"/>
        <v/>
      </c>
      <c r="F145" s="8" t="str">
        <f t="shared" si="11"/>
        <v/>
      </c>
      <c r="G145" s="8" t="str">
        <f t="shared" si="12"/>
        <v/>
      </c>
      <c r="H145" s="8" t="str">
        <f t="shared" si="13"/>
        <v/>
      </c>
    </row>
    <row r="146" spans="4:8" x14ac:dyDescent="0.25">
      <c r="D146" s="1">
        <v>142</v>
      </c>
      <c r="E146" s="7" t="str">
        <f t="shared" si="10"/>
        <v/>
      </c>
      <c r="F146" s="8" t="str">
        <f t="shared" si="11"/>
        <v/>
      </c>
      <c r="G146" s="8" t="str">
        <f t="shared" si="12"/>
        <v/>
      </c>
      <c r="H146" s="8" t="str">
        <f t="shared" si="13"/>
        <v/>
      </c>
    </row>
    <row r="147" spans="4:8" x14ac:dyDescent="0.25">
      <c r="D147" s="1">
        <v>143</v>
      </c>
      <c r="E147" s="7" t="str">
        <f t="shared" si="10"/>
        <v/>
      </c>
      <c r="F147" s="8" t="str">
        <f t="shared" si="11"/>
        <v/>
      </c>
      <c r="G147" s="8" t="str">
        <f t="shared" si="12"/>
        <v/>
      </c>
      <c r="H147" s="8" t="str">
        <f t="shared" si="13"/>
        <v/>
      </c>
    </row>
    <row r="148" spans="4:8" x14ac:dyDescent="0.25">
      <c r="D148" s="1">
        <v>144</v>
      </c>
      <c r="E148" s="7" t="str">
        <f t="shared" si="10"/>
        <v/>
      </c>
      <c r="F148" s="8" t="str">
        <f t="shared" si="11"/>
        <v/>
      </c>
      <c r="G148" s="8" t="str">
        <f t="shared" si="12"/>
        <v/>
      </c>
      <c r="H148" s="8" t="str">
        <f t="shared" si="13"/>
        <v/>
      </c>
    </row>
    <row r="149" spans="4:8" x14ac:dyDescent="0.25">
      <c r="D149" s="1">
        <v>145</v>
      </c>
      <c r="E149" s="7" t="str">
        <f t="shared" si="10"/>
        <v/>
      </c>
      <c r="F149" s="8" t="str">
        <f t="shared" si="11"/>
        <v/>
      </c>
      <c r="G149" s="8" t="str">
        <f t="shared" si="12"/>
        <v/>
      </c>
      <c r="H149" s="8" t="str">
        <f t="shared" si="13"/>
        <v/>
      </c>
    </row>
    <row r="150" spans="4:8" x14ac:dyDescent="0.25">
      <c r="D150" s="1">
        <v>146</v>
      </c>
      <c r="E150" s="7" t="str">
        <f t="shared" si="10"/>
        <v/>
      </c>
      <c r="F150" s="8" t="str">
        <f t="shared" si="11"/>
        <v/>
      </c>
      <c r="G150" s="8" t="str">
        <f t="shared" si="12"/>
        <v/>
      </c>
      <c r="H150" s="8" t="str">
        <f t="shared" si="13"/>
        <v/>
      </c>
    </row>
    <row r="151" spans="4:8" x14ac:dyDescent="0.25">
      <c r="D151" s="1">
        <v>147</v>
      </c>
      <c r="E151" s="7" t="str">
        <f t="shared" si="10"/>
        <v/>
      </c>
      <c r="F151" s="8" t="str">
        <f t="shared" si="11"/>
        <v/>
      </c>
      <c r="G151" s="8" t="str">
        <f t="shared" si="12"/>
        <v/>
      </c>
      <c r="H151" s="8" t="str">
        <f t="shared" si="13"/>
        <v/>
      </c>
    </row>
    <row r="152" spans="4:8" x14ac:dyDescent="0.25">
      <c r="D152" s="1">
        <v>148</v>
      </c>
      <c r="E152" s="7" t="str">
        <f t="shared" si="10"/>
        <v/>
      </c>
      <c r="F152" s="8" t="str">
        <f t="shared" si="11"/>
        <v/>
      </c>
      <c r="G152" s="8" t="str">
        <f t="shared" si="12"/>
        <v/>
      </c>
      <c r="H152" s="8" t="str">
        <f t="shared" si="13"/>
        <v/>
      </c>
    </row>
    <row r="153" spans="4:8" x14ac:dyDescent="0.25">
      <c r="D153" s="1">
        <v>149</v>
      </c>
      <c r="E153" s="7" t="str">
        <f t="shared" si="10"/>
        <v/>
      </c>
      <c r="F153" s="8" t="str">
        <f t="shared" si="11"/>
        <v/>
      </c>
      <c r="G153" s="8" t="str">
        <f t="shared" si="12"/>
        <v/>
      </c>
      <c r="H153" s="8" t="str">
        <f t="shared" si="13"/>
        <v/>
      </c>
    </row>
    <row r="154" spans="4:8" x14ac:dyDescent="0.25">
      <c r="D154" s="1">
        <v>150</v>
      </c>
      <c r="E154" s="7" t="str">
        <f t="shared" si="10"/>
        <v/>
      </c>
      <c r="F154" s="8" t="str">
        <f t="shared" si="11"/>
        <v/>
      </c>
      <c r="G154" s="8" t="str">
        <f t="shared" si="12"/>
        <v/>
      </c>
      <c r="H154" s="8" t="str">
        <f t="shared" si="13"/>
        <v/>
      </c>
    </row>
    <row r="155" spans="4:8" x14ac:dyDescent="0.25">
      <c r="D155" s="1">
        <v>151</v>
      </c>
      <c r="E155" s="7" t="str">
        <f t="shared" si="10"/>
        <v/>
      </c>
      <c r="F155" s="8" t="str">
        <f t="shared" si="11"/>
        <v/>
      </c>
      <c r="G155" s="8" t="str">
        <f t="shared" si="12"/>
        <v/>
      </c>
      <c r="H155" s="8" t="str">
        <f t="shared" si="13"/>
        <v/>
      </c>
    </row>
    <row r="156" spans="4:8" x14ac:dyDescent="0.25">
      <c r="D156" s="1">
        <v>152</v>
      </c>
      <c r="E156" s="7" t="str">
        <f t="shared" si="10"/>
        <v/>
      </c>
      <c r="F156" s="8" t="str">
        <f t="shared" si="11"/>
        <v/>
      </c>
      <c r="G156" s="8" t="str">
        <f t="shared" si="12"/>
        <v/>
      </c>
      <c r="H156" s="8" t="str">
        <f t="shared" si="13"/>
        <v/>
      </c>
    </row>
    <row r="157" spans="4:8" x14ac:dyDescent="0.25">
      <c r="D157" s="1">
        <v>153</v>
      </c>
      <c r="E157" s="7" t="str">
        <f t="shared" si="10"/>
        <v/>
      </c>
      <c r="F157" s="8" t="str">
        <f t="shared" si="11"/>
        <v/>
      </c>
      <c r="G157" s="8" t="str">
        <f t="shared" si="12"/>
        <v/>
      </c>
      <c r="H157" s="8" t="str">
        <f t="shared" si="13"/>
        <v/>
      </c>
    </row>
    <row r="158" spans="4:8" x14ac:dyDescent="0.25">
      <c r="D158" s="1">
        <v>154</v>
      </c>
      <c r="E158" s="7" t="str">
        <f t="shared" si="10"/>
        <v/>
      </c>
      <c r="F158" s="8" t="str">
        <f t="shared" si="11"/>
        <v/>
      </c>
      <c r="G158" s="8" t="str">
        <f t="shared" si="12"/>
        <v/>
      </c>
      <c r="H158" s="8" t="str">
        <f t="shared" si="13"/>
        <v/>
      </c>
    </row>
    <row r="159" spans="4:8" x14ac:dyDescent="0.25">
      <c r="D159" s="1">
        <v>155</v>
      </c>
      <c r="E159" s="7" t="str">
        <f t="shared" si="10"/>
        <v/>
      </c>
      <c r="F159" s="8" t="str">
        <f t="shared" si="11"/>
        <v/>
      </c>
      <c r="G159" s="8" t="str">
        <f t="shared" si="12"/>
        <v/>
      </c>
      <c r="H159" s="8" t="str">
        <f t="shared" si="13"/>
        <v/>
      </c>
    </row>
    <row r="160" spans="4:8" x14ac:dyDescent="0.25">
      <c r="D160" s="1">
        <v>156</v>
      </c>
      <c r="E160" s="7" t="str">
        <f t="shared" si="10"/>
        <v/>
      </c>
      <c r="F160" s="8" t="str">
        <f t="shared" si="11"/>
        <v/>
      </c>
      <c r="G160" s="8" t="str">
        <f t="shared" si="12"/>
        <v/>
      </c>
      <c r="H160" s="8" t="str">
        <f t="shared" si="13"/>
        <v/>
      </c>
    </row>
    <row r="161" spans="4:8" x14ac:dyDescent="0.25">
      <c r="D161" s="1">
        <v>157</v>
      </c>
      <c r="E161" s="7" t="str">
        <f t="shared" si="10"/>
        <v/>
      </c>
      <c r="F161" s="8" t="str">
        <f t="shared" si="11"/>
        <v/>
      </c>
      <c r="G161" s="8" t="str">
        <f t="shared" si="12"/>
        <v/>
      </c>
      <c r="H161" s="8" t="str">
        <f t="shared" si="13"/>
        <v/>
      </c>
    </row>
    <row r="162" spans="4:8" x14ac:dyDescent="0.25">
      <c r="D162" s="1">
        <v>158</v>
      </c>
      <c r="E162" s="7" t="str">
        <f t="shared" si="10"/>
        <v/>
      </c>
      <c r="F162" s="8" t="str">
        <f t="shared" si="11"/>
        <v/>
      </c>
      <c r="G162" s="8" t="str">
        <f t="shared" si="12"/>
        <v/>
      </c>
      <c r="H162" s="8" t="str">
        <f t="shared" si="13"/>
        <v/>
      </c>
    </row>
    <row r="163" spans="4:8" x14ac:dyDescent="0.25">
      <c r="D163" s="1">
        <v>159</v>
      </c>
      <c r="E163" s="7" t="str">
        <f t="shared" si="10"/>
        <v/>
      </c>
      <c r="F163" s="8" t="str">
        <f t="shared" si="11"/>
        <v/>
      </c>
      <c r="G163" s="8" t="str">
        <f t="shared" si="12"/>
        <v/>
      </c>
      <c r="H163" s="8" t="str">
        <f t="shared" si="13"/>
        <v/>
      </c>
    </row>
    <row r="164" spans="4:8" x14ac:dyDescent="0.25">
      <c r="D164" s="1">
        <v>160</v>
      </c>
      <c r="E164" s="7" t="str">
        <f t="shared" si="10"/>
        <v/>
      </c>
      <c r="F164" s="8" t="str">
        <f t="shared" si="11"/>
        <v/>
      </c>
      <c r="G164" s="8" t="str">
        <f t="shared" si="12"/>
        <v/>
      </c>
      <c r="H164" s="8" t="str">
        <f t="shared" si="13"/>
        <v/>
      </c>
    </row>
    <row r="165" spans="4:8" x14ac:dyDescent="0.25">
      <c r="D165" s="1">
        <v>161</v>
      </c>
      <c r="E165" s="7" t="str">
        <f t="shared" si="10"/>
        <v/>
      </c>
      <c r="F165" s="8" t="str">
        <f t="shared" si="11"/>
        <v/>
      </c>
      <c r="G165" s="8" t="str">
        <f t="shared" si="12"/>
        <v/>
      </c>
      <c r="H165" s="8" t="str">
        <f t="shared" si="13"/>
        <v/>
      </c>
    </row>
    <row r="166" spans="4:8" x14ac:dyDescent="0.25">
      <c r="D166" s="1">
        <v>162</v>
      </c>
      <c r="E166" s="7" t="str">
        <f t="shared" ref="E166:E197" si="14">IF(D166&lt;=$B$12,E165+$B$11,"")</f>
        <v/>
      </c>
      <c r="F166" s="8" t="str">
        <f t="shared" si="11"/>
        <v/>
      </c>
      <c r="G166" s="8" t="str">
        <f t="shared" si="12"/>
        <v/>
      </c>
      <c r="H166" s="8" t="str">
        <f t="shared" si="13"/>
        <v/>
      </c>
    </row>
    <row r="167" spans="4:8" x14ac:dyDescent="0.25">
      <c r="D167" s="1">
        <v>163</v>
      </c>
      <c r="E167" s="7" t="str">
        <f t="shared" si="14"/>
        <v/>
      </c>
      <c r="F167" s="8" t="str">
        <f t="shared" si="11"/>
        <v/>
      </c>
      <c r="G167" s="8" t="str">
        <f t="shared" si="12"/>
        <v/>
      </c>
      <c r="H167" s="8" t="str">
        <f t="shared" si="13"/>
        <v/>
      </c>
    </row>
    <row r="168" spans="4:8" x14ac:dyDescent="0.25">
      <c r="D168" s="1">
        <v>164</v>
      </c>
      <c r="E168" s="7" t="str">
        <f t="shared" si="14"/>
        <v/>
      </c>
      <c r="F168" s="8" t="str">
        <f t="shared" si="11"/>
        <v/>
      </c>
      <c r="G168" s="8" t="str">
        <f t="shared" si="12"/>
        <v/>
      </c>
      <c r="H168" s="8" t="str">
        <f t="shared" si="13"/>
        <v/>
      </c>
    </row>
    <row r="169" spans="4:8" x14ac:dyDescent="0.25">
      <c r="D169" s="1">
        <v>165</v>
      </c>
      <c r="E169" s="7" t="str">
        <f t="shared" si="14"/>
        <v/>
      </c>
      <c r="F169" s="8" t="str">
        <f t="shared" si="11"/>
        <v/>
      </c>
      <c r="G169" s="8" t="str">
        <f t="shared" si="12"/>
        <v/>
      </c>
      <c r="H169" s="8" t="str">
        <f t="shared" si="13"/>
        <v/>
      </c>
    </row>
    <row r="170" spans="4:8" x14ac:dyDescent="0.25">
      <c r="D170" s="1">
        <v>166</v>
      </c>
      <c r="E170" s="7" t="str">
        <f t="shared" si="14"/>
        <v/>
      </c>
      <c r="F170" s="8" t="str">
        <f t="shared" si="11"/>
        <v/>
      </c>
      <c r="G170" s="8" t="str">
        <f t="shared" si="12"/>
        <v/>
      </c>
      <c r="H170" s="8" t="str">
        <f t="shared" si="13"/>
        <v/>
      </c>
    </row>
    <row r="171" spans="4:8" x14ac:dyDescent="0.25">
      <c r="D171" s="1">
        <v>167</v>
      </c>
      <c r="E171" s="7" t="str">
        <f t="shared" si="14"/>
        <v/>
      </c>
      <c r="F171" s="8" t="str">
        <f t="shared" si="11"/>
        <v/>
      </c>
      <c r="G171" s="8" t="str">
        <f t="shared" si="12"/>
        <v/>
      </c>
      <c r="H171" s="8" t="str">
        <f t="shared" si="13"/>
        <v/>
      </c>
    </row>
    <row r="172" spans="4:8" x14ac:dyDescent="0.25">
      <c r="D172" s="1">
        <v>168</v>
      </c>
      <c r="E172" s="7" t="str">
        <f t="shared" si="14"/>
        <v/>
      </c>
      <c r="F172" s="8" t="str">
        <f t="shared" si="11"/>
        <v/>
      </c>
      <c r="G172" s="8" t="str">
        <f t="shared" si="12"/>
        <v/>
      </c>
      <c r="H172" s="8" t="str">
        <f t="shared" si="13"/>
        <v/>
      </c>
    </row>
    <row r="173" spans="4:8" x14ac:dyDescent="0.25">
      <c r="D173" s="1">
        <v>169</v>
      </c>
      <c r="E173" s="7" t="str">
        <f t="shared" si="14"/>
        <v/>
      </c>
      <c r="F173" s="8" t="str">
        <f t="shared" si="11"/>
        <v/>
      </c>
      <c r="G173" s="8" t="str">
        <f t="shared" si="12"/>
        <v/>
      </c>
      <c r="H173" s="8" t="str">
        <f t="shared" si="13"/>
        <v/>
      </c>
    </row>
    <row r="174" spans="4:8" x14ac:dyDescent="0.25">
      <c r="D174" s="1">
        <v>170</v>
      </c>
      <c r="E174" s="7" t="str">
        <f t="shared" si="14"/>
        <v/>
      </c>
      <c r="F174" s="8" t="str">
        <f t="shared" si="11"/>
        <v/>
      </c>
      <c r="G174" s="8" t="str">
        <f t="shared" si="12"/>
        <v/>
      </c>
      <c r="H174" s="8" t="str">
        <f t="shared" si="13"/>
        <v/>
      </c>
    </row>
    <row r="175" spans="4:8" x14ac:dyDescent="0.25">
      <c r="D175" s="1">
        <v>171</v>
      </c>
      <c r="E175" s="7" t="str">
        <f t="shared" si="14"/>
        <v/>
      </c>
      <c r="F175" s="8" t="str">
        <f t="shared" si="11"/>
        <v/>
      </c>
      <c r="G175" s="8" t="str">
        <f t="shared" si="12"/>
        <v/>
      </c>
      <c r="H175" s="8" t="str">
        <f t="shared" si="13"/>
        <v/>
      </c>
    </row>
    <row r="176" spans="4:8" x14ac:dyDescent="0.25">
      <c r="D176" s="1">
        <v>172</v>
      </c>
      <c r="E176" s="7" t="str">
        <f t="shared" si="14"/>
        <v/>
      </c>
      <c r="F176" s="8" t="str">
        <f t="shared" si="11"/>
        <v/>
      </c>
      <c r="G176" s="8" t="str">
        <f t="shared" si="12"/>
        <v/>
      </c>
      <c r="H176" s="8" t="str">
        <f t="shared" si="13"/>
        <v/>
      </c>
    </row>
    <row r="177" spans="4:8" x14ac:dyDescent="0.25">
      <c r="D177" s="1">
        <v>173</v>
      </c>
      <c r="E177" s="7" t="str">
        <f t="shared" si="14"/>
        <v/>
      </c>
      <c r="F177" s="8" t="str">
        <f t="shared" si="11"/>
        <v/>
      </c>
      <c r="G177" s="8" t="str">
        <f t="shared" si="12"/>
        <v/>
      </c>
      <c r="H177" s="8" t="str">
        <f t="shared" si="13"/>
        <v/>
      </c>
    </row>
    <row r="178" spans="4:8" x14ac:dyDescent="0.25">
      <c r="D178" s="1">
        <v>174</v>
      </c>
      <c r="E178" s="7" t="str">
        <f t="shared" si="14"/>
        <v/>
      </c>
      <c r="F178" s="8" t="str">
        <f t="shared" si="11"/>
        <v/>
      </c>
      <c r="G178" s="8" t="str">
        <f t="shared" si="12"/>
        <v/>
      </c>
      <c r="H178" s="8" t="str">
        <f t="shared" si="13"/>
        <v/>
      </c>
    </row>
    <row r="179" spans="4:8" x14ac:dyDescent="0.25">
      <c r="D179" s="1">
        <v>175</v>
      </c>
      <c r="E179" s="7" t="str">
        <f t="shared" si="14"/>
        <v/>
      </c>
      <c r="F179" s="8" t="str">
        <f t="shared" si="11"/>
        <v/>
      </c>
      <c r="G179" s="8" t="str">
        <f t="shared" si="12"/>
        <v/>
      </c>
      <c r="H179" s="8" t="str">
        <f t="shared" si="13"/>
        <v/>
      </c>
    </row>
    <row r="180" spans="4:8" x14ac:dyDescent="0.25">
      <c r="D180" s="1">
        <v>176</v>
      </c>
      <c r="E180" s="7" t="str">
        <f t="shared" si="14"/>
        <v/>
      </c>
      <c r="F180" s="8" t="str">
        <f t="shared" si="11"/>
        <v/>
      </c>
      <c r="G180" s="8" t="str">
        <f t="shared" si="12"/>
        <v/>
      </c>
      <c r="H180" s="8" t="str">
        <f t="shared" si="13"/>
        <v/>
      </c>
    </row>
    <row r="181" spans="4:8" x14ac:dyDescent="0.25">
      <c r="D181" s="1">
        <v>177</v>
      </c>
      <c r="E181" s="7" t="str">
        <f t="shared" si="14"/>
        <v/>
      </c>
      <c r="F181" s="8" t="str">
        <f t="shared" si="11"/>
        <v/>
      </c>
      <c r="G181" s="8" t="str">
        <f t="shared" si="12"/>
        <v/>
      </c>
      <c r="H181" s="8" t="str">
        <f t="shared" si="13"/>
        <v/>
      </c>
    </row>
    <row r="182" spans="4:8" x14ac:dyDescent="0.25">
      <c r="D182" s="1">
        <v>178</v>
      </c>
      <c r="E182" s="7" t="str">
        <f t="shared" si="14"/>
        <v/>
      </c>
      <c r="F182" s="8" t="str">
        <f t="shared" si="11"/>
        <v/>
      </c>
      <c r="G182" s="8" t="str">
        <f t="shared" si="12"/>
        <v/>
      </c>
      <c r="H182" s="8" t="str">
        <f t="shared" si="13"/>
        <v/>
      </c>
    </row>
    <row r="183" spans="4:8" x14ac:dyDescent="0.25">
      <c r="D183" s="1">
        <v>179</v>
      </c>
      <c r="E183" s="7" t="str">
        <f t="shared" si="14"/>
        <v/>
      </c>
      <c r="F183" s="8" t="str">
        <f t="shared" si="11"/>
        <v/>
      </c>
      <c r="G183" s="8" t="str">
        <f t="shared" si="12"/>
        <v/>
      </c>
      <c r="H183" s="8" t="str">
        <f t="shared" si="13"/>
        <v/>
      </c>
    </row>
    <row r="184" spans="4:8" x14ac:dyDescent="0.25">
      <c r="D184" s="1">
        <v>180</v>
      </c>
      <c r="E184" s="7" t="str">
        <f t="shared" si="14"/>
        <v/>
      </c>
      <c r="F184" s="8" t="str">
        <f t="shared" si="11"/>
        <v/>
      </c>
      <c r="G184" s="8" t="str">
        <f t="shared" si="12"/>
        <v/>
      </c>
      <c r="H184" s="8" t="str">
        <f t="shared" si="13"/>
        <v/>
      </c>
    </row>
    <row r="185" spans="4:8" x14ac:dyDescent="0.25">
      <c r="D185" s="1">
        <v>181</v>
      </c>
      <c r="E185" s="7" t="str">
        <f t="shared" si="14"/>
        <v/>
      </c>
      <c r="F185" s="8" t="str">
        <f t="shared" si="11"/>
        <v/>
      </c>
      <c r="G185" s="8" t="str">
        <f t="shared" si="12"/>
        <v/>
      </c>
      <c r="H185" s="8" t="str">
        <f t="shared" si="13"/>
        <v/>
      </c>
    </row>
    <row r="186" spans="4:8" x14ac:dyDescent="0.25">
      <c r="D186" s="1">
        <v>182</v>
      </c>
      <c r="E186" s="7" t="str">
        <f t="shared" si="14"/>
        <v/>
      </c>
      <c r="F186" s="8" t="str">
        <f t="shared" si="11"/>
        <v/>
      </c>
      <c r="G186" s="8" t="str">
        <f t="shared" si="12"/>
        <v/>
      </c>
      <c r="H186" s="8" t="str">
        <f t="shared" si="13"/>
        <v/>
      </c>
    </row>
    <row r="187" spans="4:8" x14ac:dyDescent="0.25">
      <c r="D187" s="1">
        <v>183</v>
      </c>
      <c r="E187" s="7" t="str">
        <f t="shared" si="14"/>
        <v/>
      </c>
      <c r="F187" s="8" t="str">
        <f t="shared" si="11"/>
        <v/>
      </c>
      <c r="G187" s="8" t="str">
        <f t="shared" si="12"/>
        <v/>
      </c>
      <c r="H187" s="8" t="str">
        <f t="shared" si="13"/>
        <v/>
      </c>
    </row>
    <row r="188" spans="4:8" x14ac:dyDescent="0.25">
      <c r="D188" s="1">
        <v>184</v>
      </c>
      <c r="E188" s="7" t="str">
        <f t="shared" si="14"/>
        <v/>
      </c>
      <c r="F188" s="8" t="str">
        <f t="shared" si="11"/>
        <v/>
      </c>
      <c r="G188" s="8" t="str">
        <f t="shared" si="12"/>
        <v/>
      </c>
      <c r="H188" s="8" t="str">
        <f t="shared" si="13"/>
        <v/>
      </c>
    </row>
    <row r="189" spans="4:8" x14ac:dyDescent="0.25">
      <c r="D189" s="1">
        <v>185</v>
      </c>
      <c r="E189" s="7" t="str">
        <f t="shared" si="14"/>
        <v/>
      </c>
      <c r="F189" s="8" t="str">
        <f t="shared" si="11"/>
        <v/>
      </c>
      <c r="G189" s="8" t="str">
        <f t="shared" si="12"/>
        <v/>
      </c>
      <c r="H189" s="8" t="str">
        <f t="shared" si="13"/>
        <v/>
      </c>
    </row>
    <row r="190" spans="4:8" x14ac:dyDescent="0.25">
      <c r="D190" s="1">
        <v>186</v>
      </c>
      <c r="E190" s="7" t="str">
        <f t="shared" si="14"/>
        <v/>
      </c>
      <c r="F190" s="8" t="str">
        <f t="shared" si="11"/>
        <v/>
      </c>
      <c r="G190" s="8" t="str">
        <f t="shared" si="12"/>
        <v/>
      </c>
      <c r="H190" s="8" t="str">
        <f t="shared" si="13"/>
        <v/>
      </c>
    </row>
    <row r="191" spans="4:8" x14ac:dyDescent="0.25">
      <c r="D191" s="1">
        <v>187</v>
      </c>
      <c r="E191" s="7" t="str">
        <f t="shared" si="14"/>
        <v/>
      </c>
      <c r="F191" s="8" t="str">
        <f t="shared" si="11"/>
        <v/>
      </c>
      <c r="G191" s="8" t="str">
        <f t="shared" si="12"/>
        <v/>
      </c>
      <c r="H191" s="8" t="str">
        <f t="shared" si="13"/>
        <v/>
      </c>
    </row>
    <row r="192" spans="4:8" x14ac:dyDescent="0.25">
      <c r="D192" s="1">
        <v>188</v>
      </c>
      <c r="E192" s="7" t="str">
        <f t="shared" si="14"/>
        <v/>
      </c>
      <c r="F192" s="8" t="str">
        <f t="shared" si="11"/>
        <v/>
      </c>
      <c r="G192" s="8" t="str">
        <f t="shared" si="12"/>
        <v/>
      </c>
      <c r="H192" s="8" t="str">
        <f t="shared" si="13"/>
        <v/>
      </c>
    </row>
    <row r="193" spans="4:8" x14ac:dyDescent="0.25">
      <c r="D193" s="1">
        <v>189</v>
      </c>
      <c r="E193" s="7" t="str">
        <f t="shared" si="14"/>
        <v/>
      </c>
      <c r="F193" s="8" t="str">
        <f t="shared" si="11"/>
        <v/>
      </c>
      <c r="G193" s="8" t="str">
        <f t="shared" si="12"/>
        <v/>
      </c>
      <c r="H193" s="8" t="str">
        <f t="shared" si="13"/>
        <v/>
      </c>
    </row>
    <row r="194" spans="4:8" x14ac:dyDescent="0.25">
      <c r="D194" s="1">
        <v>190</v>
      </c>
      <c r="E194" s="7" t="str">
        <f t="shared" si="14"/>
        <v/>
      </c>
      <c r="F194" s="8" t="str">
        <f t="shared" si="11"/>
        <v/>
      </c>
      <c r="G194" s="8" t="str">
        <f t="shared" si="12"/>
        <v/>
      </c>
      <c r="H194" s="8" t="str">
        <f t="shared" si="13"/>
        <v/>
      </c>
    </row>
    <row r="195" spans="4:8" x14ac:dyDescent="0.25">
      <c r="D195" s="1">
        <v>191</v>
      </c>
      <c r="E195" s="7" t="str">
        <f t="shared" si="14"/>
        <v/>
      </c>
      <c r="F195" s="8" t="str">
        <f t="shared" si="11"/>
        <v/>
      </c>
      <c r="G195" s="8" t="str">
        <f t="shared" si="12"/>
        <v/>
      </c>
      <c r="H195" s="8" t="str">
        <f t="shared" si="13"/>
        <v/>
      </c>
    </row>
    <row r="196" spans="4:8" x14ac:dyDescent="0.25">
      <c r="D196" s="1">
        <v>192</v>
      </c>
      <c r="E196" s="7" t="str">
        <f t="shared" si="14"/>
        <v/>
      </c>
      <c r="F196" s="8" t="str">
        <f t="shared" si="11"/>
        <v/>
      </c>
      <c r="G196" s="8" t="str">
        <f t="shared" si="12"/>
        <v/>
      </c>
      <c r="H196" s="8" t="str">
        <f t="shared" si="13"/>
        <v/>
      </c>
    </row>
    <row r="197" spans="4:8" x14ac:dyDescent="0.25">
      <c r="D197" s="1">
        <v>193</v>
      </c>
      <c r="E197" s="7" t="str">
        <f t="shared" si="14"/>
        <v/>
      </c>
      <c r="F197" s="8" t="str">
        <f t="shared" si="11"/>
        <v/>
      </c>
      <c r="G197" s="8" t="str">
        <f t="shared" si="12"/>
        <v/>
      </c>
      <c r="H197" s="8" t="str">
        <f t="shared" si="13"/>
        <v/>
      </c>
    </row>
    <row r="198" spans="4:8" x14ac:dyDescent="0.25">
      <c r="D198" s="1">
        <v>194</v>
      </c>
      <c r="E198" s="7" t="str">
        <f t="shared" ref="E198:E204" si="15">IF(D198&lt;=$B$12,E197+$B$11,"")</f>
        <v/>
      </c>
      <c r="F198" s="8" t="str">
        <f t="shared" ref="F198:F204" si="16">IF(ISNUMBER(E198),IF($B$7="Call",MAX(E198-$B$5,0),MAX($B$5-E198,0)),"")</f>
        <v/>
      </c>
      <c r="G198" s="8" t="str">
        <f t="shared" ref="G198:G204" si="17">IF(ISNUMBER(E198),F198-$B$6,"")</f>
        <v/>
      </c>
      <c r="H198" s="8" t="str">
        <f t="shared" ref="H198:H204" si="18">IF(ISNUMBER(F198),$B$6-F198,"")</f>
        <v/>
      </c>
    </row>
    <row r="199" spans="4:8" x14ac:dyDescent="0.25">
      <c r="D199" s="1">
        <v>195</v>
      </c>
      <c r="E199" s="7" t="str">
        <f t="shared" si="15"/>
        <v/>
      </c>
      <c r="F199" s="8" t="str">
        <f t="shared" si="16"/>
        <v/>
      </c>
      <c r="G199" s="8" t="str">
        <f t="shared" si="17"/>
        <v/>
      </c>
      <c r="H199" s="8" t="str">
        <f t="shared" si="18"/>
        <v/>
      </c>
    </row>
    <row r="200" spans="4:8" x14ac:dyDescent="0.25">
      <c r="D200" s="1">
        <v>196</v>
      </c>
      <c r="E200" s="7" t="str">
        <f t="shared" si="15"/>
        <v/>
      </c>
      <c r="F200" s="8" t="str">
        <f t="shared" si="16"/>
        <v/>
      </c>
      <c r="G200" s="8" t="str">
        <f t="shared" si="17"/>
        <v/>
      </c>
      <c r="H200" s="8" t="str">
        <f t="shared" si="18"/>
        <v/>
      </c>
    </row>
    <row r="201" spans="4:8" x14ac:dyDescent="0.25">
      <c r="D201" s="1">
        <v>197</v>
      </c>
      <c r="E201" s="7" t="str">
        <f t="shared" si="15"/>
        <v/>
      </c>
      <c r="F201" s="8" t="str">
        <f t="shared" si="16"/>
        <v/>
      </c>
      <c r="G201" s="8" t="str">
        <f t="shared" si="17"/>
        <v/>
      </c>
      <c r="H201" s="8" t="str">
        <f t="shared" si="18"/>
        <v/>
      </c>
    </row>
    <row r="202" spans="4:8" x14ac:dyDescent="0.25">
      <c r="D202" s="1">
        <v>198</v>
      </c>
      <c r="E202" s="7" t="str">
        <f t="shared" si="15"/>
        <v/>
      </c>
      <c r="F202" s="8" t="str">
        <f t="shared" si="16"/>
        <v/>
      </c>
      <c r="G202" s="8" t="str">
        <f t="shared" si="17"/>
        <v/>
      </c>
      <c r="H202" s="8" t="str">
        <f t="shared" si="18"/>
        <v/>
      </c>
    </row>
    <row r="203" spans="4:8" x14ac:dyDescent="0.25">
      <c r="D203" s="1">
        <v>199</v>
      </c>
      <c r="E203" s="7" t="str">
        <f t="shared" si="15"/>
        <v/>
      </c>
      <c r="F203" s="8" t="str">
        <f t="shared" si="16"/>
        <v/>
      </c>
      <c r="G203" s="8" t="str">
        <f t="shared" si="17"/>
        <v/>
      </c>
      <c r="H203" s="8" t="str">
        <f t="shared" si="18"/>
        <v/>
      </c>
    </row>
    <row r="204" spans="4:8" x14ac:dyDescent="0.25">
      <c r="D204" s="1">
        <v>200</v>
      </c>
      <c r="E204" s="7" t="str">
        <f t="shared" si="15"/>
        <v/>
      </c>
      <c r="F204" s="8" t="str">
        <f t="shared" si="16"/>
        <v/>
      </c>
      <c r="G204" s="8" t="str">
        <f t="shared" si="17"/>
        <v/>
      </c>
      <c r="H204" s="8" t="str">
        <f t="shared" si="18"/>
        <v/>
      </c>
    </row>
  </sheetData>
  <dataValidations count="1">
    <dataValidation type="list" allowBlank="1" showInputMessage="1" showErrorMessage="1" sqref="B7" xr:uid="{7397A058-DB78-4B49-9A0C-CC1654399D03}">
      <formula1>"Call,Put"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2017-05-08T17:22:23Z</dcterms:created>
  <dcterms:modified xsi:type="dcterms:W3CDTF">2018-10-31T13:25:01Z</dcterms:modified>
</cp:coreProperties>
</file>