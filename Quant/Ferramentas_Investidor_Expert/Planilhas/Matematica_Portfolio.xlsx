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D:\Rafael\blog_new\Matematica_Portfolio\"/>
    </mc:Choice>
  </mc:AlternateContent>
  <xr:revisionPtr revIDLastSave="0" documentId="13_ncr:1_{816DB9BB-C2AF-4225-A9A1-1796418125A0}" xr6:coauthVersionLast="34" xr6:coauthVersionMax="34" xr10:uidLastSave="{00000000-0000-0000-0000-000000000000}"/>
  <bookViews>
    <workbookView xWindow="0" yWindow="0" windowWidth="28800" windowHeight="12435" xr2:uid="{00000000-000D-0000-FFFF-FFFF00000000}"/>
  </bookViews>
  <sheets>
    <sheet name="Caso 2 Ativos" sheetId="2" r:id="rId1"/>
    <sheet name="Caso N Ativos" sheetId="4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4" l="1" a="1"/>
  <c r="F13" i="4" s="1"/>
  <c r="C11" i="4"/>
  <c r="E7" i="4"/>
  <c r="E8" i="4"/>
  <c r="E9" i="4"/>
  <c r="E10" i="4"/>
  <c r="E6" i="4"/>
  <c r="H6" i="2"/>
  <c r="Y6" i="4" l="1"/>
  <c r="Y5" i="4"/>
  <c r="Z4" i="4"/>
  <c r="Y4" i="4"/>
  <c r="Y3" i="4"/>
  <c r="Z3" i="4"/>
  <c r="Z6" i="4"/>
  <c r="Z5" i="4"/>
  <c r="F14" i="4" l="1"/>
  <c r="B11" i="4" s="1"/>
  <c r="Z7" i="4" l="1"/>
  <c r="C8" i="2" l="1"/>
  <c r="E8" i="2" l="1"/>
</calcChain>
</file>

<file path=xl/sharedStrings.xml><?xml version="1.0" encoding="utf-8"?>
<sst xmlns="http://schemas.openxmlformats.org/spreadsheetml/2006/main" count="34" uniqueCount="23">
  <si>
    <t>Peso</t>
  </si>
  <si>
    <t>Correlação</t>
  </si>
  <si>
    <t>Vol Portfolio</t>
  </si>
  <si>
    <t>Vol A</t>
  </si>
  <si>
    <t>Vol B</t>
  </si>
  <si>
    <t>Peso A</t>
  </si>
  <si>
    <t>Peso B</t>
  </si>
  <si>
    <t>Valor Esperado Portfolio</t>
  </si>
  <si>
    <t>Vol</t>
  </si>
  <si>
    <t>Valor Esperado A</t>
  </si>
  <si>
    <t>Valor Esperado B</t>
  </si>
  <si>
    <t>wnσn</t>
  </si>
  <si>
    <t>Portfolio</t>
  </si>
  <si>
    <t>Variance</t>
  </si>
  <si>
    <t>Total:</t>
  </si>
  <si>
    <t>A</t>
  </si>
  <si>
    <t>Ativo</t>
  </si>
  <si>
    <t>B</t>
  </si>
  <si>
    <t>C</t>
  </si>
  <si>
    <t>D</t>
  </si>
  <si>
    <t>E</t>
  </si>
  <si>
    <t>Total</t>
  </si>
  <si>
    <t>Matriz de Correlação7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</si>
</sst>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0.0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Border="1"/>
    <xf numFmtId="164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9" fontId="2" fillId="2" borderId="0" xfId="2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4" fontId="3" fillId="0" borderId="3" xfId="2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6" xfId="0" applyBorder="1" applyAlignment="1">
      <alignment horizontal="center" vertical="center"/>
    </xf>
    <xf numFmtId="164" fontId="0" fillId="3" borderId="0" xfId="2" applyNumberFormat="1" applyFont="1" applyFill="1" applyAlignment="1">
      <alignment horizontal="center"/>
    </xf>
    <xf numFmtId="0" fontId="0" fillId="0" borderId="8" xfId="0" applyBorder="1"/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11" xfId="0" applyBorder="1"/>
    <xf numFmtId="10" fontId="0" fillId="0" borderId="2" xfId="2" applyNumberFormat="1" applyFont="1" applyBorder="1"/>
    <xf numFmtId="0" fontId="0" fillId="0" borderId="12" xfId="0" applyBorder="1"/>
    <xf numFmtId="10" fontId="0" fillId="0" borderId="13" xfId="2" applyNumberFormat="1" applyFont="1" applyBorder="1"/>
    <xf numFmtId="166" fontId="0" fillId="0" borderId="0" xfId="2" applyNumberFormat="1" applyFont="1"/>
    <xf numFmtId="0" fontId="5" fillId="0" borderId="0" xfId="3"/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9" fontId="3" fillId="0" borderId="0" xfId="2" applyFont="1" applyBorder="1"/>
    <xf numFmtId="0" fontId="2" fillId="0" borderId="5" xfId="0" applyFont="1" applyBorder="1"/>
    <xf numFmtId="9" fontId="2" fillId="2" borderId="5" xfId="2" applyNumberFormat="1" applyFont="1" applyFill="1" applyBorder="1" applyAlignment="1">
      <alignment horizontal="center"/>
    </xf>
    <xf numFmtId="9" fontId="0" fillId="0" borderId="0" xfId="2" applyNumberFormat="1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164" fontId="0" fillId="5" borderId="0" xfId="0" applyNumberFormat="1" applyFill="1"/>
    <xf numFmtId="10" fontId="0" fillId="0" borderId="0" xfId="0" applyNumberFormat="1" applyAlignment="1">
      <alignment horizontal="center"/>
    </xf>
    <xf numFmtId="0" fontId="0" fillId="3" borderId="0" xfId="0" applyFill="1"/>
    <xf numFmtId="9" fontId="0" fillId="3" borderId="0" xfId="2" applyNumberFormat="1" applyFont="1" applyFill="1" applyAlignment="1">
      <alignment horizontal="center" vertical="center"/>
    </xf>
    <xf numFmtId="9" fontId="0" fillId="3" borderId="0" xfId="2" applyNumberFormat="1" applyFont="1" applyFill="1" applyAlignment="1">
      <alignment horizontal="center"/>
    </xf>
    <xf numFmtId="0" fontId="0" fillId="3" borderId="4" xfId="0" applyFill="1" applyBorder="1"/>
    <xf numFmtId="164" fontId="0" fillId="3" borderId="4" xfId="2" applyNumberFormat="1" applyFont="1" applyFill="1" applyBorder="1" applyAlignment="1">
      <alignment horizontal="center"/>
    </xf>
    <xf numFmtId="9" fontId="0" fillId="3" borderId="4" xfId="2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9" fontId="0" fillId="3" borderId="8" xfId="2" applyNumberFormat="1" applyFont="1" applyFill="1" applyBorder="1" applyAlignment="1">
      <alignment horizontal="center" vertical="center"/>
    </xf>
    <xf numFmtId="9" fontId="0" fillId="0" borderId="8" xfId="2" applyNumberFormat="1" applyFont="1" applyBorder="1" applyAlignment="1">
      <alignment horizontal="center"/>
    </xf>
    <xf numFmtId="9" fontId="0" fillId="3" borderId="16" xfId="2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1079280</xdr:colOff>
      <xdr:row>0</xdr:row>
      <xdr:rowOff>347208</xdr:rowOff>
    </xdr:from>
    <xdr:ext cx="2707857" cy="142875"/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DCBC4-A7D3-4B16-93B1-A1A27A64EE00}"/>
            </a:ext>
          </a:extLst>
        </xdr:cNvPr>
        <xdr:cNvSpPr txBox="1"/>
      </xdr:nvSpPr>
      <xdr:spPr>
        <a:xfrm>
          <a:off x="1204090" y="347208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49267</xdr:colOff>
      <xdr:row>0</xdr:row>
      <xdr:rowOff>39414</xdr:rowOff>
    </xdr:from>
    <xdr:to>
      <xdr:col>1</xdr:col>
      <xdr:colOff>860535</xdr:colOff>
      <xdr:row>0</xdr:row>
      <xdr:rowOff>497278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255D5551-3EDC-4E2C-90B5-5DFFAA7F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67" y="39414"/>
          <a:ext cx="936078" cy="457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118243</xdr:colOff>
      <xdr:row>8</xdr:row>
      <xdr:rowOff>85396</xdr:rowOff>
    </xdr:from>
    <xdr:to>
      <xdr:col>4</xdr:col>
      <xdr:colOff>545224</xdr:colOff>
      <xdr:row>12</xdr:row>
      <xdr:rowOff>42054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E7DF5B0F-E9F7-482C-85EC-39D3FF519874}"/>
                </a:ext>
              </a:extLst>
            </xdr:cNvPr>
            <xdr:cNvSpPr/>
          </xdr:nvSpPr>
          <xdr:spPr>
            <a:xfrm>
              <a:off x="118243" y="1950982"/>
              <a:ext cx="5603326" cy="718658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  <xdr:txBody>
            <a:bodyPr wrap="square">
              <a:sp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200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pt-BR" sz="2000" i="0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pt-BR" sz="2000" i="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  <m:sup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  <m:sup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m:rPr>
                            <m:nor/>
                          </m:rPr>
                          <a:rPr lang="pt-BR" sz="2000" i="1">
                            <a:latin typeface="Cambria Math" panose="02040503050406030204" pitchFamily="18" charset="0"/>
                          </a:rPr>
                          <m:t> + </m:t>
                        </m:r>
                        <m:sSubSup>
                          <m:sSubSup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  <m:sup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  <m:sup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m:rPr>
                            <m:nor/>
                          </m:rPr>
                          <a:rPr lang="pt-BR" sz="2000" i="1">
                            <a:latin typeface="Cambria Math" panose="02040503050406030204" pitchFamily="18" charset="0"/>
                          </a:rPr>
                          <m:t> + 2</m:t>
                        </m:r>
                        <m:sSub>
                          <m:sSub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sSub>
                          <m:sSub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  <m:r>
                          <a:rPr lang="pt-BR" sz="2000" i="1">
                            <a:latin typeface="Cambria Math" panose="02040503050406030204" pitchFamily="18" charset="0"/>
                          </a:rPr>
                          <m:t>𝜌</m:t>
                        </m:r>
                        <m:r>
                          <a:rPr lang="pt-BR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pt-BR" sz="200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</m:sSub>
                        <m:r>
                          <a:rPr lang="pt-BR" sz="2000" i="0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pt-BR" sz="20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pt-BR" sz="2000" i="0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pt-BR" sz="2000" i="1">
                            <a:latin typeface="Cambria Math" panose="02040503050406030204" pitchFamily="18" charset="0"/>
                          </a:rPr>
                          <m:t>) </m:t>
                        </m:r>
                        <m:sSub>
                          <m:sSub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pt-BR" sz="2000" i="1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pt-BR" sz="2000" i="1">
                                <a:latin typeface="Cambria Math" panose="02040503050406030204" pitchFamily="18" charset="0"/>
                              </a:rPr>
                              <m:t>a</m:t>
                            </m:r>
                            <m:r>
                              <m:rPr>
                                <m:nor/>
                              </m:rPr>
                              <a:rPr lang="pt-BR" sz="20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pt-BR" sz="2000" i="1">
                            <a:latin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pt-BR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pt-BR" sz="2000" i="1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pt-BR" sz="2000" i="1">
                                <a:latin typeface="Cambria Math" panose="02040503050406030204" pitchFamily="18" charset="0"/>
                              </a:rPr>
                              <m:t>b</m:t>
                            </m:r>
                            <m:r>
                              <m:rPr>
                                <m:nor/>
                              </m:rPr>
                              <a:rPr lang="pt-BR" sz="20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pt-BR" sz="200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pt-BR" sz="2800"/>
            </a:p>
          </xdr:txBody>
        </xdr:sp>
      </mc:Choice>
      <mc:Fallback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E7DF5B0F-E9F7-482C-85EC-39D3FF519874}"/>
                </a:ext>
              </a:extLst>
            </xdr:cNvPr>
            <xdr:cNvSpPr/>
          </xdr:nvSpPr>
          <xdr:spPr>
            <a:xfrm>
              <a:off x="118243" y="1950982"/>
              <a:ext cx="5603326" cy="718658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  <xdr:txBody>
            <a:bodyPr wrap="square">
              <a:sp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2000" i="0">
                  <a:latin typeface="Cambria Math" panose="02040503050406030204" pitchFamily="18" charset="0"/>
                </a:rPr>
                <a:t>𝜎_(𝑝 )=√(𝑤_(𝐴 )^2 𝜎_𝐴^2 " + " 𝑤_(𝐵 )^2 𝜎_𝐵^2 " + 2" 𝑤_𝐴 𝑤_𝑏 𝜌 "(" 𝑟_(𝐴 ),𝑟_(𝑏 ) ") " "σ" _"a "  " " "σ" _"b "  " " )</a:t>
              </a:r>
              <a:endParaRPr lang="pt-BR" sz="28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526830</xdr:colOff>
      <xdr:row>0</xdr:row>
      <xdr:rowOff>471033</xdr:rowOff>
    </xdr:from>
    <xdr:ext cx="2707857" cy="142875"/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B891B0-D534-494D-9AED-4DFA2D6DBDC6}"/>
            </a:ext>
          </a:extLst>
        </xdr:cNvPr>
        <xdr:cNvSpPr txBox="1"/>
      </xdr:nvSpPr>
      <xdr:spPr>
        <a:xfrm>
          <a:off x="1136430" y="471033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49267</xdr:colOff>
      <xdr:row>0</xdr:row>
      <xdr:rowOff>0</xdr:rowOff>
    </xdr:from>
    <xdr:to>
      <xdr:col>1</xdr:col>
      <xdr:colOff>457200</xdr:colOff>
      <xdr:row>0</xdr:row>
      <xdr:rowOff>614128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AFE3375E-2247-4142-9FCA-B6C109CE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67" y="0"/>
          <a:ext cx="1017533" cy="614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8"/>
  <sheetViews>
    <sheetView showGridLines="0" tabSelected="1" zoomScale="145" zoomScaleNormal="145" workbookViewId="0">
      <selection activeCell="H6" sqref="H6"/>
    </sheetView>
  </sheetViews>
  <sheetFormatPr defaultRowHeight="15" x14ac:dyDescent="0.25"/>
  <cols>
    <col min="1" max="1" width="1.85546875" customWidth="1"/>
    <col min="2" max="2" width="29.140625" customWidth="1"/>
    <col min="3" max="3" width="10.85546875" customWidth="1"/>
    <col min="4" max="4" width="35.7109375" customWidth="1"/>
    <col min="5" max="5" width="10.140625" bestFit="1" customWidth="1"/>
    <col min="6" max="6" width="0.7109375" customWidth="1"/>
    <col min="7" max="7" width="10.85546875" customWidth="1"/>
    <col min="8" max="8" width="9.7109375" customWidth="1"/>
    <col min="9" max="9" width="12.28515625" customWidth="1"/>
  </cols>
  <sheetData>
    <row r="1" spans="2:19" ht="41.25" customHeight="1" thickBot="1" x14ac:dyDescent="0.3">
      <c r="C1" s="26"/>
      <c r="R1" s="10"/>
      <c r="S1" s="10"/>
    </row>
    <row r="2" spans="2:19" s="27" customFormat="1" ht="6.75" customHeight="1" thickBot="1" x14ac:dyDescent="0.3">
      <c r="R2" s="28"/>
      <c r="S2" s="28"/>
    </row>
    <row r="3" spans="2:19" ht="2.25" customHeight="1" x14ac:dyDescent="0.25"/>
    <row r="4" spans="2:19" ht="23.25" x14ac:dyDescent="0.35">
      <c r="B4" s="4" t="s">
        <v>3</v>
      </c>
      <c r="C4" s="5">
        <v>0.1</v>
      </c>
      <c r="D4" s="4" t="s">
        <v>9</v>
      </c>
      <c r="E4" s="5">
        <v>0.1</v>
      </c>
      <c r="G4" s="4" t="s">
        <v>5</v>
      </c>
      <c r="H4" s="5">
        <v>0.5</v>
      </c>
    </row>
    <row r="5" spans="2:19" ht="23.25" x14ac:dyDescent="0.35">
      <c r="B5" s="4" t="s">
        <v>4</v>
      </c>
      <c r="C5" s="5">
        <v>0.1</v>
      </c>
      <c r="D5" s="4" t="s">
        <v>10</v>
      </c>
      <c r="E5" s="5">
        <v>0.1</v>
      </c>
      <c r="G5" s="30" t="s">
        <v>6</v>
      </c>
      <c r="H5" s="31">
        <v>0.5</v>
      </c>
    </row>
    <row r="6" spans="2:19" ht="21" customHeight="1" x14ac:dyDescent="0.35">
      <c r="B6" s="4" t="s">
        <v>1</v>
      </c>
      <c r="C6" s="6">
        <v>0.4</v>
      </c>
      <c r="D6" s="4"/>
      <c r="E6" s="4"/>
      <c r="G6" s="4" t="s">
        <v>14</v>
      </c>
      <c r="H6" s="29">
        <f>H4+H5</f>
        <v>1</v>
      </c>
    </row>
    <row r="7" spans="2:19" ht="5.25" customHeight="1" thickBot="1" x14ac:dyDescent="0.4">
      <c r="B7" s="4"/>
      <c r="C7" s="4"/>
      <c r="D7" s="4"/>
      <c r="E7" s="4"/>
    </row>
    <row r="8" spans="2:19" ht="24" thickBot="1" x14ac:dyDescent="0.4">
      <c r="B8" s="8" t="s">
        <v>2</v>
      </c>
      <c r="C8" s="9">
        <f>SQRT(H4^2*C4^2+H5^2*C5^2+2*H5*H4*C4*C5*C6)</f>
        <v>8.3666002653407567E-2</v>
      </c>
      <c r="D8" s="7" t="s">
        <v>7</v>
      </c>
      <c r="E8" s="9">
        <f>E4*H4+E5*H5</f>
        <v>0.1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EFAC-7686-4D4C-8A9F-7AFAC340B2EA}">
  <dimension ref="A1:Z2599"/>
  <sheetViews>
    <sheetView showGridLines="0" workbookViewId="0">
      <selection activeCell="H14" sqref="H14"/>
    </sheetView>
  </sheetViews>
  <sheetFormatPr defaultRowHeight="15" x14ac:dyDescent="0.25"/>
  <sheetData>
    <row r="1" spans="1:26" ht="53.25" customHeight="1" thickBot="1" x14ac:dyDescent="0.3">
      <c r="C1" s="26"/>
      <c r="R1" s="10"/>
      <c r="S1" s="10"/>
    </row>
    <row r="2" spans="1:26" s="27" customFormat="1" ht="6.75" customHeight="1" thickBot="1" x14ac:dyDescent="0.3">
      <c r="R2" s="28"/>
      <c r="S2" s="28"/>
    </row>
    <row r="3" spans="1:26" s="33" customFormat="1" x14ac:dyDescent="0.25">
      <c r="E3" s="34"/>
      <c r="F3" s="35"/>
      <c r="Y3" s="36" t="e">
        <f>#REF!</f>
        <v>#REF!</v>
      </c>
      <c r="Z3" s="36" t="e">
        <f>#REF!</f>
        <v>#REF!</v>
      </c>
    </row>
    <row r="4" spans="1:26" ht="21.75" customHeight="1" x14ac:dyDescent="0.25">
      <c r="E4" s="55"/>
      <c r="H4" s="58" t="s">
        <v>22</v>
      </c>
      <c r="I4" s="58"/>
      <c r="J4" s="58"/>
      <c r="K4" s="58"/>
      <c r="L4" s="58"/>
      <c r="Y4" s="13" t="e">
        <f>#REF!</f>
        <v>#REF!</v>
      </c>
      <c r="Z4" s="13" t="e">
        <f>#REF!</f>
        <v>#REF!</v>
      </c>
    </row>
    <row r="5" spans="1:26" s="12" customFormat="1" ht="16.5" thickBot="1" x14ac:dyDescent="0.3">
      <c r="A5" s="45" t="s">
        <v>16</v>
      </c>
      <c r="B5" s="45" t="s">
        <v>8</v>
      </c>
      <c r="C5" s="45" t="s">
        <v>0</v>
      </c>
      <c r="D5" s="54"/>
      <c r="E5" s="50" t="s">
        <v>11</v>
      </c>
      <c r="G5" s="14"/>
      <c r="H5" s="44" t="s">
        <v>15</v>
      </c>
      <c r="I5" s="44" t="s">
        <v>17</v>
      </c>
      <c r="J5" s="44" t="s">
        <v>18</v>
      </c>
      <c r="K5" s="44" t="s">
        <v>19</v>
      </c>
      <c r="L5" s="46" t="s">
        <v>20</v>
      </c>
      <c r="Y5" s="13" t="e">
        <f>#REF!</f>
        <v>#REF!</v>
      </c>
      <c r="Z5" s="13" t="e">
        <f>#REF!</f>
        <v>#REF!</v>
      </c>
    </row>
    <row r="6" spans="1:26" ht="15.75" thickTop="1" x14ac:dyDescent="0.25">
      <c r="A6" s="38" t="s">
        <v>15</v>
      </c>
      <c r="B6" s="15">
        <v>0.21366200344385544</v>
      </c>
      <c r="C6" s="39">
        <v>0.2</v>
      </c>
      <c r="D6" s="16"/>
      <c r="E6" s="51">
        <f>B6*C6</f>
        <v>4.2732400688771092E-2</v>
      </c>
      <c r="F6" s="16"/>
      <c r="G6" s="56" t="s">
        <v>15</v>
      </c>
      <c r="H6" s="48">
        <v>1</v>
      </c>
      <c r="I6" s="17">
        <v>0.44148108615372406</v>
      </c>
      <c r="J6" s="17">
        <v>0.42559389101327155</v>
      </c>
      <c r="K6" s="17">
        <v>0.46321047611585747</v>
      </c>
      <c r="L6" s="18">
        <v>0.32236144142834683</v>
      </c>
      <c r="M6" s="13"/>
      <c r="Y6" s="13" t="e">
        <f>#REF!</f>
        <v>#REF!</v>
      </c>
      <c r="Z6" s="13" t="e">
        <f>#REF!</f>
        <v>#REF!</v>
      </c>
    </row>
    <row r="7" spans="1:26" x14ac:dyDescent="0.25">
      <c r="A7" t="s">
        <v>17</v>
      </c>
      <c r="B7" s="2">
        <v>0.37727553113426904</v>
      </c>
      <c r="C7" s="32">
        <v>0.1</v>
      </c>
      <c r="D7" s="16"/>
      <c r="E7" s="52">
        <f t="shared" ref="E7:E10" si="0">B7*C7</f>
        <v>3.7727553113426904E-2</v>
      </c>
      <c r="F7" s="16"/>
      <c r="G7" s="56" t="s">
        <v>17</v>
      </c>
      <c r="H7" s="17">
        <v>0.44148108615372406</v>
      </c>
      <c r="I7" s="48">
        <v>1</v>
      </c>
      <c r="J7" s="17">
        <v>0.50527244143534522</v>
      </c>
      <c r="K7" s="17">
        <v>0.55966575066167656</v>
      </c>
      <c r="L7" s="18">
        <v>0.46369435991566627</v>
      </c>
      <c r="Y7" t="s">
        <v>12</v>
      </c>
      <c r="Z7" s="13" t="e">
        <f>#REF!</f>
        <v>#REF!</v>
      </c>
    </row>
    <row r="8" spans="1:26" x14ac:dyDescent="0.25">
      <c r="A8" s="38" t="s">
        <v>18</v>
      </c>
      <c r="B8" s="15">
        <v>0.32416634093866109</v>
      </c>
      <c r="C8" s="40">
        <v>0.3</v>
      </c>
      <c r="D8" s="16"/>
      <c r="E8" s="51">
        <f t="shared" si="0"/>
        <v>9.7249902281598327E-2</v>
      </c>
      <c r="F8" s="16"/>
      <c r="G8" s="56" t="s">
        <v>18</v>
      </c>
      <c r="H8" s="17">
        <v>0.42559389101327155</v>
      </c>
      <c r="I8" s="17">
        <v>0.50527244143534522</v>
      </c>
      <c r="J8" s="48">
        <v>1.0000000000000002</v>
      </c>
      <c r="K8" s="17">
        <v>0.56894821960983244</v>
      </c>
      <c r="L8" s="18">
        <v>0.36147246838265035</v>
      </c>
    </row>
    <row r="9" spans="1:26" x14ac:dyDescent="0.25">
      <c r="A9" t="s">
        <v>19</v>
      </c>
      <c r="B9" s="2">
        <v>0.32962475346409947</v>
      </c>
      <c r="C9" s="32">
        <v>0.15</v>
      </c>
      <c r="D9" s="16"/>
      <c r="E9" s="52">
        <f t="shared" si="0"/>
        <v>4.9443713019614921E-2</v>
      </c>
      <c r="F9" s="16"/>
      <c r="G9" s="56" t="s">
        <v>19</v>
      </c>
      <c r="H9" s="17">
        <v>0.46321047611585747</v>
      </c>
      <c r="I9" s="17">
        <v>0.55966575066167656</v>
      </c>
      <c r="J9" s="17">
        <v>0.56894821960983244</v>
      </c>
      <c r="K9" s="48">
        <v>1</v>
      </c>
      <c r="L9" s="18">
        <v>0.40816716360571742</v>
      </c>
    </row>
    <row r="10" spans="1:26" ht="15.75" thickBot="1" x14ac:dyDescent="0.3">
      <c r="A10" s="41" t="s">
        <v>20</v>
      </c>
      <c r="B10" s="42">
        <v>0.48436655383712529</v>
      </c>
      <c r="C10" s="43">
        <v>0.25</v>
      </c>
      <c r="D10" s="16"/>
      <c r="E10" s="53">
        <f t="shared" si="0"/>
        <v>0.12109163845928132</v>
      </c>
      <c r="F10" s="16"/>
      <c r="G10" s="57" t="s">
        <v>20</v>
      </c>
      <c r="H10" s="19">
        <v>0.32236144142834683</v>
      </c>
      <c r="I10" s="20">
        <v>0.46369435991566627</v>
      </c>
      <c r="J10" s="20">
        <v>0.36147246838265035</v>
      </c>
      <c r="K10" s="20">
        <v>0.40816716360571742</v>
      </c>
      <c r="L10" s="49">
        <v>0.99999999999999989</v>
      </c>
    </row>
    <row r="11" spans="1:26" x14ac:dyDescent="0.25">
      <c r="A11" s="11" t="s">
        <v>21</v>
      </c>
      <c r="B11" s="37">
        <f>F14</f>
        <v>0.26262930516371052</v>
      </c>
      <c r="C11" s="3">
        <f>SUM(C6:C10)</f>
        <v>1</v>
      </c>
      <c r="E11" s="47"/>
    </row>
    <row r="12" spans="1:26" ht="15.75" thickBot="1" x14ac:dyDescent="0.3"/>
    <row r="13" spans="1:26" ht="15.75" thickBot="1" x14ac:dyDescent="0.3">
      <c r="E13" s="21" t="s">
        <v>13</v>
      </c>
      <c r="F13" s="22">
        <f t="array" ref="F13">MMULT(MMULT(TRANSPOSE(E6:E10),H6:L10),E6:E10)</f>
        <v>6.89741519307734E-2</v>
      </c>
    </row>
    <row r="14" spans="1:26" ht="15.75" thickBot="1" x14ac:dyDescent="0.3">
      <c r="E14" s="23" t="s">
        <v>8</v>
      </c>
      <c r="F14" s="24">
        <f>SQRT(F13)</f>
        <v>0.26262930516371052</v>
      </c>
      <c r="G14" s="25"/>
    </row>
    <row r="19" spans="8:8" x14ac:dyDescent="0.25">
      <c r="H19" s="1"/>
    </row>
    <row r="20" spans="8:8" x14ac:dyDescent="0.25">
      <c r="H20" s="1"/>
    </row>
    <row r="21" spans="8:8" x14ac:dyDescent="0.25">
      <c r="H21" s="1"/>
    </row>
    <row r="576" spans="4:26" s="2" customFormat="1" x14ac:dyDescent="0.25"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4:26" s="2" customFormat="1" x14ac:dyDescent="0.25"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4:26" s="2" customFormat="1" x14ac:dyDescent="0.25"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4:26" s="2" customFormat="1" x14ac:dyDescent="0.25"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4:26" s="2" customFormat="1" x14ac:dyDescent="0.25"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4:26" s="2" customFormat="1" x14ac:dyDescent="0.25"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4:26" s="2" customFormat="1" x14ac:dyDescent="0.25"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4:26" s="2" customFormat="1" x14ac:dyDescent="0.25"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4:26" s="2" customFormat="1" x14ac:dyDescent="0.25"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4:26" s="2" customFormat="1" x14ac:dyDescent="0.25"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4:26" s="2" customFormat="1" x14ac:dyDescent="0.25"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4:26" s="2" customFormat="1" x14ac:dyDescent="0.25"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4:26" s="2" customFormat="1" x14ac:dyDescent="0.25"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4:26" s="2" customFormat="1" x14ac:dyDescent="0.25"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4:26" s="2" customFormat="1" x14ac:dyDescent="0.25"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4:26" s="2" customFormat="1" x14ac:dyDescent="0.25"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4:26" s="2" customFormat="1" x14ac:dyDescent="0.25"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4:26" s="2" customFormat="1" x14ac:dyDescent="0.25"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4:26" s="2" customFormat="1" x14ac:dyDescent="0.25"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4:26" s="2" customFormat="1" x14ac:dyDescent="0.25"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4:26" s="2" customFormat="1" x14ac:dyDescent="0.25"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4:26" s="2" customFormat="1" x14ac:dyDescent="0.25"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4:26" s="2" customFormat="1" x14ac:dyDescent="0.25"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4:26" s="2" customFormat="1" x14ac:dyDescent="0.25"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4:26" s="2" customFormat="1" x14ac:dyDescent="0.25"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4:26" s="2" customFormat="1" x14ac:dyDescent="0.25"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4:26" s="2" customFormat="1" x14ac:dyDescent="0.25"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4:26" s="2" customFormat="1" x14ac:dyDescent="0.25"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4:26" s="2" customFormat="1" x14ac:dyDescent="0.25"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4:26" s="2" customFormat="1" x14ac:dyDescent="0.25"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4:26" s="2" customFormat="1" x14ac:dyDescent="0.25"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4:26" s="2" customFormat="1" x14ac:dyDescent="0.25"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4:26" s="2" customFormat="1" x14ac:dyDescent="0.25"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4:26" s="2" customFormat="1" x14ac:dyDescent="0.25"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4:26" s="2" customFormat="1" x14ac:dyDescent="0.25"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4:26" s="2" customFormat="1" x14ac:dyDescent="0.25"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4:26" s="2" customFormat="1" x14ac:dyDescent="0.25"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4:26" s="2" customFormat="1" x14ac:dyDescent="0.25"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4:26" s="2" customFormat="1" x14ac:dyDescent="0.25"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4:26" s="2" customFormat="1" x14ac:dyDescent="0.25"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4:26" s="2" customFormat="1" x14ac:dyDescent="0.25"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4:26" s="2" customFormat="1" x14ac:dyDescent="0.25"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4:26" s="2" customFormat="1" x14ac:dyDescent="0.25"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4:26" s="2" customFormat="1" x14ac:dyDescent="0.25"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4:26" s="2" customFormat="1" x14ac:dyDescent="0.25"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4:26" s="2" customFormat="1" x14ac:dyDescent="0.25"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4:26" s="2" customFormat="1" x14ac:dyDescent="0.25"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4:26" s="2" customFormat="1" x14ac:dyDescent="0.25"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4:26" s="2" customFormat="1" x14ac:dyDescent="0.25"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4:26" s="2" customFormat="1" x14ac:dyDescent="0.25"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4:26" s="2" customFormat="1" x14ac:dyDescent="0.25"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4:26" s="2" customFormat="1" x14ac:dyDescent="0.25"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4:26" s="2" customFormat="1" x14ac:dyDescent="0.25"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4:26" s="2" customFormat="1" x14ac:dyDescent="0.25"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4:26" s="2" customFormat="1" x14ac:dyDescent="0.25"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4:26" s="2" customFormat="1" x14ac:dyDescent="0.25"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4:26" s="2" customFormat="1" x14ac:dyDescent="0.25"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4:26" s="2" customFormat="1" x14ac:dyDescent="0.25"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4:26" s="2" customFormat="1" x14ac:dyDescent="0.25"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4:26" s="2" customFormat="1" x14ac:dyDescent="0.25"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4:26" s="2" customFormat="1" x14ac:dyDescent="0.25"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4:26" s="2" customFormat="1" x14ac:dyDescent="0.25"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4:26" s="2" customFormat="1" x14ac:dyDescent="0.25"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4:26" s="2" customFormat="1" x14ac:dyDescent="0.25"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4:26" s="2" customFormat="1" x14ac:dyDescent="0.25"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4:26" s="2" customFormat="1" x14ac:dyDescent="0.25"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4:26" s="2" customFormat="1" x14ac:dyDescent="0.25"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4:26" s="2" customFormat="1" x14ac:dyDescent="0.25"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4:26" s="2" customFormat="1" x14ac:dyDescent="0.25"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4:26" s="2" customFormat="1" x14ac:dyDescent="0.25"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4:26" s="2" customFormat="1" x14ac:dyDescent="0.25"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4:26" s="2" customFormat="1" x14ac:dyDescent="0.25"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4:26" s="2" customFormat="1" x14ac:dyDescent="0.25"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4:26" s="2" customFormat="1" x14ac:dyDescent="0.25"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4:26" s="2" customFormat="1" x14ac:dyDescent="0.25"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4:26" s="2" customFormat="1" x14ac:dyDescent="0.25"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4:26" s="2" customFormat="1" x14ac:dyDescent="0.25"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4:26" s="2" customFormat="1" x14ac:dyDescent="0.25"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4:26" s="2" customFormat="1" x14ac:dyDescent="0.25"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4:26" s="2" customFormat="1" x14ac:dyDescent="0.25"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4:26" s="2" customFormat="1" x14ac:dyDescent="0.25"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4:26" s="2" customFormat="1" x14ac:dyDescent="0.25"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4:26" s="2" customFormat="1" x14ac:dyDescent="0.25"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4:26" s="2" customFormat="1" x14ac:dyDescent="0.25"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4:26" s="2" customFormat="1" x14ac:dyDescent="0.25"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4:26" s="2" customFormat="1" x14ac:dyDescent="0.25"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4:26" s="2" customFormat="1" x14ac:dyDescent="0.25"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4:26" s="2" customFormat="1" x14ac:dyDescent="0.25"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4:26" s="2" customFormat="1" x14ac:dyDescent="0.25"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4:26" s="2" customFormat="1" x14ac:dyDescent="0.25"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4:26" s="2" customFormat="1" x14ac:dyDescent="0.25"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4:26" s="2" customFormat="1" x14ac:dyDescent="0.25"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4:26" s="2" customFormat="1" x14ac:dyDescent="0.25"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4:26" s="2" customFormat="1" x14ac:dyDescent="0.25"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4:26" s="2" customFormat="1" x14ac:dyDescent="0.25"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4:26" s="2" customFormat="1" x14ac:dyDescent="0.25"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4:26" s="2" customFormat="1" x14ac:dyDescent="0.25"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4:26" s="2" customFormat="1" x14ac:dyDescent="0.25"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4:26" s="2" customFormat="1" x14ac:dyDescent="0.25"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4:26" s="2" customFormat="1" x14ac:dyDescent="0.25"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4:26" s="2" customFormat="1" x14ac:dyDescent="0.25"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4:26" s="2" customFormat="1" x14ac:dyDescent="0.25"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4:26" s="2" customFormat="1" x14ac:dyDescent="0.25"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4:26" s="2" customFormat="1" x14ac:dyDescent="0.25"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4:26" s="2" customFormat="1" x14ac:dyDescent="0.25"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4:26" s="2" customFormat="1" x14ac:dyDescent="0.25"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4:26" s="2" customFormat="1" x14ac:dyDescent="0.25"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4:26" s="2" customFormat="1" x14ac:dyDescent="0.25"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4:26" s="2" customFormat="1" x14ac:dyDescent="0.25"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4:26" s="2" customFormat="1" x14ac:dyDescent="0.25"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4:26" s="2" customFormat="1" x14ac:dyDescent="0.25"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4:26" s="2" customFormat="1" x14ac:dyDescent="0.25"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4:26" s="2" customFormat="1" x14ac:dyDescent="0.25"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4:26" s="2" customFormat="1" x14ac:dyDescent="0.25"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4:26" s="2" customFormat="1" x14ac:dyDescent="0.25"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4:26" s="2" customFormat="1" x14ac:dyDescent="0.25"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4:26" s="2" customFormat="1" x14ac:dyDescent="0.25"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4:26" s="2" customFormat="1" x14ac:dyDescent="0.25"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4:26" s="2" customFormat="1" x14ac:dyDescent="0.25"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4:26" s="2" customFormat="1" x14ac:dyDescent="0.25"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4:26" s="2" customFormat="1" x14ac:dyDescent="0.25"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4:26" s="2" customFormat="1" x14ac:dyDescent="0.25"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4:26" s="2" customFormat="1" x14ac:dyDescent="0.25"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4:26" s="2" customFormat="1" x14ac:dyDescent="0.25"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4:26" s="2" customFormat="1" x14ac:dyDescent="0.25"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4:26" s="2" customFormat="1" x14ac:dyDescent="0.25"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4:26" s="2" customFormat="1" x14ac:dyDescent="0.25"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4:26" s="2" customFormat="1" x14ac:dyDescent="0.25"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4:26" s="2" customFormat="1" x14ac:dyDescent="0.25"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4:26" s="2" customFormat="1" x14ac:dyDescent="0.25"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4:26" s="2" customFormat="1" x14ac:dyDescent="0.25"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4:26" s="2" customFormat="1" x14ac:dyDescent="0.25"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4:26" s="2" customFormat="1" x14ac:dyDescent="0.25"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4:26" s="2" customFormat="1" x14ac:dyDescent="0.25"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4:26" s="2" customFormat="1" x14ac:dyDescent="0.25"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4:26" s="2" customFormat="1" x14ac:dyDescent="0.25"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4:26" s="2" customFormat="1" x14ac:dyDescent="0.25"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4:26" s="2" customFormat="1" x14ac:dyDescent="0.25"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4:26" s="2" customFormat="1" x14ac:dyDescent="0.25"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4:26" s="2" customFormat="1" x14ac:dyDescent="0.25"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4:26" s="2" customFormat="1" x14ac:dyDescent="0.25"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4:26" s="2" customFormat="1" x14ac:dyDescent="0.25"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4:26" s="2" customFormat="1" x14ac:dyDescent="0.25"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4:26" s="2" customFormat="1" x14ac:dyDescent="0.25"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4:26" s="2" customFormat="1" x14ac:dyDescent="0.25"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4:26" s="2" customFormat="1" x14ac:dyDescent="0.25"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4:26" s="2" customFormat="1" x14ac:dyDescent="0.25"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4:26" s="2" customFormat="1" x14ac:dyDescent="0.25"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4:26" s="2" customFormat="1" x14ac:dyDescent="0.25"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4:26" s="2" customFormat="1" x14ac:dyDescent="0.25"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4:26" s="2" customFormat="1" x14ac:dyDescent="0.25"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4:26" s="2" customFormat="1" x14ac:dyDescent="0.25"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4:26" s="2" customFormat="1" x14ac:dyDescent="0.25"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4:26" s="2" customFormat="1" x14ac:dyDescent="0.25"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4:26" s="2" customFormat="1" x14ac:dyDescent="0.25"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4:26" s="2" customFormat="1" x14ac:dyDescent="0.25"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4:26" s="2" customFormat="1" x14ac:dyDescent="0.25"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4:26" s="2" customFormat="1" x14ac:dyDescent="0.25"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4:26" s="2" customFormat="1" x14ac:dyDescent="0.25"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4:26" s="2" customFormat="1" x14ac:dyDescent="0.25"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4:26" s="2" customFormat="1" x14ac:dyDescent="0.25"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4:26" s="2" customFormat="1" x14ac:dyDescent="0.25"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4:26" s="2" customFormat="1" x14ac:dyDescent="0.25"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4:26" s="2" customFormat="1" x14ac:dyDescent="0.25"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4:26" s="2" customFormat="1" x14ac:dyDescent="0.25"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4:26" s="2" customFormat="1" x14ac:dyDescent="0.25"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4:26" s="2" customFormat="1" x14ac:dyDescent="0.25"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4:26" s="2" customFormat="1" x14ac:dyDescent="0.25"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4:26" s="2" customFormat="1" x14ac:dyDescent="0.25"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4:26" s="2" customFormat="1" x14ac:dyDescent="0.25"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4:26" s="2" customFormat="1" x14ac:dyDescent="0.25"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4:26" s="2" customFormat="1" x14ac:dyDescent="0.25"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4:26" s="2" customFormat="1" x14ac:dyDescent="0.25"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4:26" s="2" customFormat="1" x14ac:dyDescent="0.25"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4:26" s="2" customFormat="1" x14ac:dyDescent="0.25"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4:26" s="2" customFormat="1" x14ac:dyDescent="0.25"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4:26" s="2" customFormat="1" x14ac:dyDescent="0.25"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4:26" s="2" customFormat="1" x14ac:dyDescent="0.25"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4:26" s="2" customFormat="1" x14ac:dyDescent="0.25"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4:26" s="2" customFormat="1" x14ac:dyDescent="0.25"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4:26" s="2" customFormat="1" x14ac:dyDescent="0.25"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4:26" s="2" customFormat="1" x14ac:dyDescent="0.25"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4:26" s="2" customFormat="1" x14ac:dyDescent="0.25"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4:26" s="2" customFormat="1" x14ac:dyDescent="0.25"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4:26" s="2" customFormat="1" x14ac:dyDescent="0.25"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4:26" s="2" customFormat="1" x14ac:dyDescent="0.25"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4:26" s="2" customFormat="1" x14ac:dyDescent="0.25"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4:26" s="2" customFormat="1" x14ac:dyDescent="0.25"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4:26" s="2" customFormat="1" x14ac:dyDescent="0.25"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4:26" s="2" customFormat="1" x14ac:dyDescent="0.25"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4:26" s="2" customFormat="1" x14ac:dyDescent="0.25"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4:26" s="2" customFormat="1" x14ac:dyDescent="0.25"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4:26" s="2" customFormat="1" x14ac:dyDescent="0.25"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4:26" s="2" customFormat="1" x14ac:dyDescent="0.25"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4:26" s="2" customFormat="1" x14ac:dyDescent="0.25"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4:26" s="2" customFormat="1" x14ac:dyDescent="0.25"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4:26" s="2" customFormat="1" x14ac:dyDescent="0.25"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4:26" s="2" customFormat="1" x14ac:dyDescent="0.25"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4:26" s="2" customFormat="1" x14ac:dyDescent="0.25"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4:26" s="2" customFormat="1" x14ac:dyDescent="0.25"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4:26" s="2" customFormat="1" x14ac:dyDescent="0.25"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4:26" s="2" customFormat="1" x14ac:dyDescent="0.25"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4:26" s="2" customFormat="1" x14ac:dyDescent="0.25"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4:26" s="2" customFormat="1" x14ac:dyDescent="0.25"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4:26" s="2" customFormat="1" x14ac:dyDescent="0.25"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4:26" s="2" customFormat="1" x14ac:dyDescent="0.25"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4:26" s="2" customFormat="1" x14ac:dyDescent="0.25"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4:26" s="2" customFormat="1" x14ac:dyDescent="0.25"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4:26" s="2" customFormat="1" x14ac:dyDescent="0.25"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4:26" s="2" customFormat="1" x14ac:dyDescent="0.25"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4:26" s="2" customFormat="1" x14ac:dyDescent="0.25"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4:26" s="2" customFormat="1" x14ac:dyDescent="0.25"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4:26" s="2" customFormat="1" x14ac:dyDescent="0.25"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4:26" s="2" customFormat="1" x14ac:dyDescent="0.25"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4:26" s="2" customFormat="1" x14ac:dyDescent="0.25"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4:26" s="2" customFormat="1" x14ac:dyDescent="0.25"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4:26" s="2" customFormat="1" x14ac:dyDescent="0.25"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4:26" s="2" customFormat="1" x14ac:dyDescent="0.25"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4:26" s="2" customFormat="1" x14ac:dyDescent="0.25"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4:26" s="2" customFormat="1" x14ac:dyDescent="0.25"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4:26" s="2" customFormat="1" x14ac:dyDescent="0.25"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4:26" s="2" customFormat="1" x14ac:dyDescent="0.25"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4:26" s="2" customFormat="1" x14ac:dyDescent="0.25"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4:26" s="2" customFormat="1" x14ac:dyDescent="0.25"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4:26" s="2" customFormat="1" x14ac:dyDescent="0.25"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4:26" s="2" customFormat="1" x14ac:dyDescent="0.25"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4:26" s="2" customFormat="1" x14ac:dyDescent="0.25"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4:26" s="2" customFormat="1" x14ac:dyDescent="0.25"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4:26" s="2" customFormat="1" x14ac:dyDescent="0.25"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4:26" s="2" customFormat="1" x14ac:dyDescent="0.25"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4:26" s="2" customFormat="1" x14ac:dyDescent="0.25"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4:26" s="2" customFormat="1" x14ac:dyDescent="0.25"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4:26" s="2" customFormat="1" x14ac:dyDescent="0.25"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4:26" s="2" customFormat="1" x14ac:dyDescent="0.25"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4:26" s="2" customFormat="1" x14ac:dyDescent="0.25"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4:26" s="2" customFormat="1" x14ac:dyDescent="0.25"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4:26" s="2" customFormat="1" x14ac:dyDescent="0.25"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4:26" s="2" customFormat="1" x14ac:dyDescent="0.25"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4:26" s="2" customFormat="1" x14ac:dyDescent="0.25"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4:26" s="2" customFormat="1" x14ac:dyDescent="0.25"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4:26" s="2" customFormat="1" x14ac:dyDescent="0.25"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4:26" s="2" customFormat="1" x14ac:dyDescent="0.25"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4:26" s="2" customFormat="1" x14ac:dyDescent="0.25"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4:26" s="2" customFormat="1" x14ac:dyDescent="0.25"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4:26" s="2" customFormat="1" x14ac:dyDescent="0.25"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4:26" s="2" customFormat="1" x14ac:dyDescent="0.25"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4:26" s="2" customFormat="1" x14ac:dyDescent="0.25"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4:26" s="2" customFormat="1" x14ac:dyDescent="0.25"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4:26" s="2" customFormat="1" x14ac:dyDescent="0.25"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4:26" s="2" customFormat="1" x14ac:dyDescent="0.25"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4:26" s="2" customFormat="1" x14ac:dyDescent="0.25"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4:26" s="2" customFormat="1" x14ac:dyDescent="0.25"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4:26" s="2" customFormat="1" x14ac:dyDescent="0.25"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4:26" s="2" customFormat="1" x14ac:dyDescent="0.25"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4:26" s="2" customFormat="1" x14ac:dyDescent="0.25"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4:26" s="2" customFormat="1" x14ac:dyDescent="0.25"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4:26" s="2" customFormat="1" x14ac:dyDescent="0.25"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4:26" s="2" customFormat="1" x14ac:dyDescent="0.25"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4:26" s="2" customFormat="1" x14ac:dyDescent="0.25"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4:26" s="2" customFormat="1" x14ac:dyDescent="0.25"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4:26" s="2" customFormat="1" x14ac:dyDescent="0.25"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4:26" s="2" customFormat="1" x14ac:dyDescent="0.25"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4:26" s="2" customFormat="1" x14ac:dyDescent="0.25"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4:26" s="2" customFormat="1" x14ac:dyDescent="0.25"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4:26" s="2" customFormat="1" x14ac:dyDescent="0.25"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4:26" s="2" customFormat="1" x14ac:dyDescent="0.25"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4:26" s="2" customFormat="1" x14ac:dyDescent="0.25"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4:26" s="2" customFormat="1" x14ac:dyDescent="0.25"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4:26" s="2" customFormat="1" x14ac:dyDescent="0.25"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4:26" s="2" customFormat="1" x14ac:dyDescent="0.25"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4:26" s="2" customFormat="1" x14ac:dyDescent="0.25"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4:26" s="2" customFormat="1" x14ac:dyDescent="0.25"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4:26" s="2" customFormat="1" x14ac:dyDescent="0.25"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4:26" s="2" customFormat="1" x14ac:dyDescent="0.25"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4:26" s="2" customFormat="1" x14ac:dyDescent="0.25"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4:26" s="2" customFormat="1" x14ac:dyDescent="0.25"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4:26" s="2" customFormat="1" x14ac:dyDescent="0.25"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4:26" s="2" customFormat="1" x14ac:dyDescent="0.25"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4:26" s="2" customFormat="1" x14ac:dyDescent="0.25"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4:26" s="2" customFormat="1" x14ac:dyDescent="0.25"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4:26" s="2" customFormat="1" x14ac:dyDescent="0.25"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4:26" s="2" customFormat="1" x14ac:dyDescent="0.25"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4:26" s="2" customFormat="1" x14ac:dyDescent="0.25"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4:26" s="2" customFormat="1" x14ac:dyDescent="0.25"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4:26" s="2" customFormat="1" x14ac:dyDescent="0.25"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4:26" s="2" customFormat="1" x14ac:dyDescent="0.25"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4:26" s="2" customFormat="1" x14ac:dyDescent="0.25"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4:26" s="2" customFormat="1" x14ac:dyDescent="0.25"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4:26" s="2" customFormat="1" x14ac:dyDescent="0.25"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4:26" s="2" customFormat="1" x14ac:dyDescent="0.25"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4:26" s="2" customFormat="1" x14ac:dyDescent="0.25"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4:26" s="2" customFormat="1" x14ac:dyDescent="0.25"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4:26" s="2" customFormat="1" x14ac:dyDescent="0.25"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4:26" s="2" customFormat="1" x14ac:dyDescent="0.25"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4:26" s="2" customFormat="1" x14ac:dyDescent="0.25"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4:26" s="2" customFormat="1" x14ac:dyDescent="0.25"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4:26" s="2" customFormat="1" x14ac:dyDescent="0.25"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4:26" s="2" customFormat="1" x14ac:dyDescent="0.25"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4:26" s="2" customFormat="1" x14ac:dyDescent="0.25"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4:26" s="2" customFormat="1" x14ac:dyDescent="0.25"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4:26" s="2" customFormat="1" x14ac:dyDescent="0.25"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4:26" s="2" customFormat="1" x14ac:dyDescent="0.25"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4:26" s="2" customFormat="1" x14ac:dyDescent="0.25"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4:26" s="2" customFormat="1" x14ac:dyDescent="0.25"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4:26" s="2" customFormat="1" x14ac:dyDescent="0.25"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4:26" s="2" customFormat="1" x14ac:dyDescent="0.25"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4:26" s="2" customFormat="1" x14ac:dyDescent="0.25"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4:26" s="2" customFormat="1" x14ac:dyDescent="0.25"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4:26" s="2" customFormat="1" x14ac:dyDescent="0.25"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4:26" s="2" customFormat="1" x14ac:dyDescent="0.25"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4:26" s="2" customFormat="1" x14ac:dyDescent="0.25"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4:26" s="2" customFormat="1" x14ac:dyDescent="0.25"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4:26" s="2" customFormat="1" x14ac:dyDescent="0.25"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4:26" s="2" customFormat="1" x14ac:dyDescent="0.25"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4:26" s="2" customFormat="1" x14ac:dyDescent="0.25"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4:26" s="2" customFormat="1" x14ac:dyDescent="0.25"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4:26" s="2" customFormat="1" x14ac:dyDescent="0.25"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4:26" s="2" customFormat="1" x14ac:dyDescent="0.25"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4:26" s="2" customFormat="1" x14ac:dyDescent="0.25"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4:26" s="2" customFormat="1" x14ac:dyDescent="0.25"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4:26" s="2" customFormat="1" x14ac:dyDescent="0.25"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4:26" s="2" customFormat="1" x14ac:dyDescent="0.25"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4:26" s="2" customFormat="1" x14ac:dyDescent="0.25"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4:26" s="2" customFormat="1" x14ac:dyDescent="0.25"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4:26" s="2" customFormat="1" x14ac:dyDescent="0.25"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4:26" s="2" customFormat="1" x14ac:dyDescent="0.25"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4:26" s="2" customFormat="1" x14ac:dyDescent="0.25"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4:26" s="2" customFormat="1" x14ac:dyDescent="0.25"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4:26" s="2" customFormat="1" x14ac:dyDescent="0.25"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4:26" s="2" customFormat="1" x14ac:dyDescent="0.25"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4:26" s="2" customFormat="1" x14ac:dyDescent="0.25"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4:26" s="2" customFormat="1" x14ac:dyDescent="0.25"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4:26" s="2" customFormat="1" x14ac:dyDescent="0.25"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4:26" s="2" customFormat="1" x14ac:dyDescent="0.25"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4:26" s="2" customFormat="1" x14ac:dyDescent="0.25"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4:26" s="2" customFormat="1" x14ac:dyDescent="0.25"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4:26" s="2" customFormat="1" x14ac:dyDescent="0.25"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4:26" s="2" customFormat="1" x14ac:dyDescent="0.25"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4:26" s="2" customFormat="1" x14ac:dyDescent="0.25"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4:26" s="2" customFormat="1" x14ac:dyDescent="0.25"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4:26" s="2" customFormat="1" x14ac:dyDescent="0.25"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4:26" s="2" customFormat="1" x14ac:dyDescent="0.25"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4:26" s="2" customFormat="1" x14ac:dyDescent="0.25"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4:26" s="2" customFormat="1" x14ac:dyDescent="0.25"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4:26" s="2" customFormat="1" x14ac:dyDescent="0.25"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4:26" s="2" customFormat="1" x14ac:dyDescent="0.25"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4:26" s="2" customFormat="1" x14ac:dyDescent="0.25"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4:26" s="2" customFormat="1" x14ac:dyDescent="0.25"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4:26" s="2" customFormat="1" x14ac:dyDescent="0.25"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4:26" s="2" customFormat="1" x14ac:dyDescent="0.25"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4:26" s="2" customFormat="1" x14ac:dyDescent="0.25"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4:26" s="2" customFormat="1" x14ac:dyDescent="0.25"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4:26" s="2" customFormat="1" x14ac:dyDescent="0.25"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4:26" s="2" customFormat="1" x14ac:dyDescent="0.25"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4:26" s="2" customFormat="1" x14ac:dyDescent="0.25"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4:26" s="2" customFormat="1" x14ac:dyDescent="0.25"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4:26" s="2" customFormat="1" x14ac:dyDescent="0.25"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4:26" s="2" customFormat="1" x14ac:dyDescent="0.25"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4:26" s="2" customFormat="1" x14ac:dyDescent="0.25"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4:26" s="2" customFormat="1" x14ac:dyDescent="0.25"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4:26" s="2" customFormat="1" x14ac:dyDescent="0.25"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4:26" s="2" customFormat="1" x14ac:dyDescent="0.25"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4:26" s="2" customFormat="1" x14ac:dyDescent="0.25"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4:26" s="2" customFormat="1" x14ac:dyDescent="0.25"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4:26" s="2" customFormat="1" x14ac:dyDescent="0.25"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4:26" s="2" customFormat="1" x14ac:dyDescent="0.25"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4:26" s="2" customFormat="1" x14ac:dyDescent="0.25"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4:26" s="2" customFormat="1" x14ac:dyDescent="0.25"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4:26" s="2" customFormat="1" x14ac:dyDescent="0.25"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4:26" s="2" customFormat="1" x14ac:dyDescent="0.25"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4:26" s="2" customFormat="1" x14ac:dyDescent="0.25"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4:26" s="2" customFormat="1" x14ac:dyDescent="0.25"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4:26" s="2" customFormat="1" x14ac:dyDescent="0.25"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4:26" s="2" customFormat="1" x14ac:dyDescent="0.25"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4:26" s="2" customFormat="1" x14ac:dyDescent="0.25"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4:26" s="2" customFormat="1" x14ac:dyDescent="0.25"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4:26" s="2" customFormat="1" x14ac:dyDescent="0.25"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4:26" s="2" customFormat="1" x14ac:dyDescent="0.25"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4:26" s="2" customFormat="1" x14ac:dyDescent="0.25"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4:26" s="2" customFormat="1" x14ac:dyDescent="0.25"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4:26" s="2" customFormat="1" x14ac:dyDescent="0.25"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4:26" s="2" customFormat="1" x14ac:dyDescent="0.25"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4:26" s="2" customFormat="1" x14ac:dyDescent="0.25"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4:26" s="2" customFormat="1" x14ac:dyDescent="0.25"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4:26" s="2" customFormat="1" x14ac:dyDescent="0.25"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4:26" s="2" customFormat="1" x14ac:dyDescent="0.25"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4:26" s="2" customFormat="1" x14ac:dyDescent="0.25"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4:26" s="2" customFormat="1" x14ac:dyDescent="0.25"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4:26" s="2" customFormat="1" x14ac:dyDescent="0.25"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4:26" s="2" customFormat="1" x14ac:dyDescent="0.25"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4:26" s="2" customFormat="1" x14ac:dyDescent="0.25"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4:26" s="2" customFormat="1" x14ac:dyDescent="0.25"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4:26" s="2" customFormat="1" x14ac:dyDescent="0.25"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4:26" s="2" customFormat="1" x14ac:dyDescent="0.25"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4:26" s="2" customFormat="1" x14ac:dyDescent="0.25"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4:26" s="2" customFormat="1" x14ac:dyDescent="0.25"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4:26" s="2" customFormat="1" x14ac:dyDescent="0.25"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4:26" s="2" customFormat="1" x14ac:dyDescent="0.25"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4:26" s="2" customFormat="1" x14ac:dyDescent="0.25"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4:26" s="2" customFormat="1" x14ac:dyDescent="0.25"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4:26" s="2" customFormat="1" x14ac:dyDescent="0.25"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4:26" s="2" customFormat="1" x14ac:dyDescent="0.25"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4:26" s="2" customFormat="1" x14ac:dyDescent="0.25"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4:26" s="2" customFormat="1" x14ac:dyDescent="0.25"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4:26" s="2" customFormat="1" x14ac:dyDescent="0.25"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4:26" s="2" customFormat="1" x14ac:dyDescent="0.25"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4:26" s="2" customFormat="1" x14ac:dyDescent="0.25"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4:26" s="2" customFormat="1" x14ac:dyDescent="0.25"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4:26" s="2" customFormat="1" x14ac:dyDescent="0.25"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4:26" s="2" customFormat="1" x14ac:dyDescent="0.25"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4:26" s="2" customFormat="1" x14ac:dyDescent="0.25"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4:26" s="2" customFormat="1" x14ac:dyDescent="0.25"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4:26" s="2" customFormat="1" x14ac:dyDescent="0.25"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4:26" s="2" customFormat="1" x14ac:dyDescent="0.25"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4:26" s="2" customFormat="1" x14ac:dyDescent="0.25"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4:26" s="2" customFormat="1" x14ac:dyDescent="0.25"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4:26" s="2" customFormat="1" x14ac:dyDescent="0.25"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4:26" s="2" customFormat="1" x14ac:dyDescent="0.25"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4:26" s="2" customFormat="1" x14ac:dyDescent="0.25"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4:26" s="2" customFormat="1" x14ac:dyDescent="0.25"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4:26" s="2" customFormat="1" x14ac:dyDescent="0.25"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4:26" s="2" customFormat="1" x14ac:dyDescent="0.25"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4:26" s="2" customFormat="1" x14ac:dyDescent="0.25"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4:26" s="2" customFormat="1" x14ac:dyDescent="0.25"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4:26" s="2" customFormat="1" x14ac:dyDescent="0.25"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4:26" s="2" customFormat="1" x14ac:dyDescent="0.25"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4:26" s="2" customFormat="1" x14ac:dyDescent="0.25"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4:26" s="2" customFormat="1" x14ac:dyDescent="0.25"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4:26" s="2" customFormat="1" x14ac:dyDescent="0.25"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4:26" s="2" customFormat="1" x14ac:dyDescent="0.25"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4:26" s="2" customFormat="1" x14ac:dyDescent="0.25"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4:26" s="2" customFormat="1" x14ac:dyDescent="0.25"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4:26" s="2" customFormat="1" x14ac:dyDescent="0.25"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4:26" s="2" customFormat="1" x14ac:dyDescent="0.25"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4:26" s="2" customFormat="1" x14ac:dyDescent="0.25"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4:26" s="2" customFormat="1" x14ac:dyDescent="0.25"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4:26" s="2" customFormat="1" x14ac:dyDescent="0.25"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4:26" s="2" customFormat="1" x14ac:dyDescent="0.25"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4:26" s="2" customFormat="1" x14ac:dyDescent="0.25"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4:26" s="2" customFormat="1" x14ac:dyDescent="0.25"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4:26" s="2" customFormat="1" x14ac:dyDescent="0.25"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4:26" s="2" customFormat="1" x14ac:dyDescent="0.25"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4:26" s="2" customFormat="1" x14ac:dyDescent="0.25"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4:26" s="2" customFormat="1" x14ac:dyDescent="0.25"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4:26" s="2" customFormat="1" x14ac:dyDescent="0.25"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4:26" s="2" customFormat="1" x14ac:dyDescent="0.25"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4:26" s="2" customFormat="1" x14ac:dyDescent="0.25"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4:26" s="2" customFormat="1" x14ac:dyDescent="0.25"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4:26" s="2" customFormat="1" x14ac:dyDescent="0.25"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4:26" s="2" customFormat="1" x14ac:dyDescent="0.25"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4:26" s="2" customFormat="1" x14ac:dyDescent="0.25"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4:26" s="2" customFormat="1" x14ac:dyDescent="0.25"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4:26" s="2" customFormat="1" x14ac:dyDescent="0.25"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4:26" s="2" customFormat="1" x14ac:dyDescent="0.25"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4:26" s="2" customFormat="1" x14ac:dyDescent="0.25"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4:26" s="2" customFormat="1" x14ac:dyDescent="0.25"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4:26" s="2" customFormat="1" x14ac:dyDescent="0.25"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4:26" s="2" customFormat="1" x14ac:dyDescent="0.25"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4:26" s="2" customFormat="1" x14ac:dyDescent="0.25"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4:26" s="2" customFormat="1" x14ac:dyDescent="0.25"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4:26" s="2" customFormat="1" x14ac:dyDescent="0.25"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4:26" s="2" customFormat="1" x14ac:dyDescent="0.25"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4:26" s="2" customFormat="1" x14ac:dyDescent="0.25"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4:26" s="2" customFormat="1" x14ac:dyDescent="0.25"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4:26" s="2" customFormat="1" x14ac:dyDescent="0.25"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4:26" s="2" customFormat="1" x14ac:dyDescent="0.25"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4:26" s="2" customFormat="1" x14ac:dyDescent="0.25"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4:26" s="2" customFormat="1" x14ac:dyDescent="0.25"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4:26" s="2" customFormat="1" x14ac:dyDescent="0.25"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4:26" s="2" customFormat="1" x14ac:dyDescent="0.25"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4:26" s="2" customFormat="1" x14ac:dyDescent="0.25"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4:26" s="2" customFormat="1" x14ac:dyDescent="0.25"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4:26" s="2" customFormat="1" x14ac:dyDescent="0.25"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4:26" s="2" customFormat="1" x14ac:dyDescent="0.25"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4:26" s="2" customFormat="1" x14ac:dyDescent="0.25"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4:26" s="2" customFormat="1" x14ac:dyDescent="0.25"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4:26" s="2" customFormat="1" x14ac:dyDescent="0.25"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4:26" s="2" customFormat="1" x14ac:dyDescent="0.25"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4:26" s="2" customFormat="1" x14ac:dyDescent="0.25"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4:26" s="2" customFormat="1" x14ac:dyDescent="0.25"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4:26" s="2" customFormat="1" x14ac:dyDescent="0.25"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4:26" s="2" customFormat="1" x14ac:dyDescent="0.25"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4:26" s="2" customFormat="1" x14ac:dyDescent="0.25"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4:26" s="2" customFormat="1" x14ac:dyDescent="0.25"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4:26" s="2" customFormat="1" x14ac:dyDescent="0.25"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4:26" s="2" customFormat="1" x14ac:dyDescent="0.25"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4:26" s="2" customFormat="1" x14ac:dyDescent="0.25"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4:26" s="2" customFormat="1" x14ac:dyDescent="0.25"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4:26" s="2" customFormat="1" x14ac:dyDescent="0.25"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4:26" s="2" customFormat="1" x14ac:dyDescent="0.25"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4:26" s="2" customFormat="1" x14ac:dyDescent="0.25"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4:26" s="2" customFormat="1" x14ac:dyDescent="0.25"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4:26" s="2" customFormat="1" x14ac:dyDescent="0.25"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4:26" s="2" customFormat="1" x14ac:dyDescent="0.25"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4:26" s="2" customFormat="1" x14ac:dyDescent="0.25"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4:26" s="2" customFormat="1" x14ac:dyDescent="0.25"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4:26" s="2" customFormat="1" x14ac:dyDescent="0.25"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4:26" s="2" customFormat="1" x14ac:dyDescent="0.25"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4:26" s="2" customFormat="1" x14ac:dyDescent="0.25"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4:26" s="2" customFormat="1" x14ac:dyDescent="0.25"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4:26" s="2" customFormat="1" x14ac:dyDescent="0.25"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4:26" s="2" customFormat="1" x14ac:dyDescent="0.25"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4:26" s="2" customFormat="1" x14ac:dyDescent="0.25"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4:26" s="2" customFormat="1" x14ac:dyDescent="0.25"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4:26" s="2" customFormat="1" x14ac:dyDescent="0.25"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4:26" s="2" customFormat="1" x14ac:dyDescent="0.25"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4:26" s="2" customFormat="1" x14ac:dyDescent="0.25"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4:26" s="2" customFormat="1" x14ac:dyDescent="0.25"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4:26" s="2" customFormat="1" x14ac:dyDescent="0.25"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4:26" s="2" customFormat="1" x14ac:dyDescent="0.25"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4:26" s="2" customFormat="1" x14ac:dyDescent="0.25"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4:26" s="2" customFormat="1" x14ac:dyDescent="0.25"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4:26" s="2" customFormat="1" x14ac:dyDescent="0.25"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4:26" s="2" customFormat="1" x14ac:dyDescent="0.25"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4:26" s="2" customFormat="1" x14ac:dyDescent="0.25"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4:26" s="2" customFormat="1" x14ac:dyDescent="0.25"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4:26" s="2" customFormat="1" x14ac:dyDescent="0.25"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4:26" s="2" customFormat="1" x14ac:dyDescent="0.25"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4:26" s="2" customFormat="1" x14ac:dyDescent="0.25"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4:26" s="2" customFormat="1" x14ac:dyDescent="0.25"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4:26" s="2" customFormat="1" x14ac:dyDescent="0.25"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4:26" s="2" customFormat="1" x14ac:dyDescent="0.25"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4:26" s="2" customFormat="1" x14ac:dyDescent="0.25"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4:26" s="2" customFormat="1" x14ac:dyDescent="0.25"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4:26" s="2" customFormat="1" x14ac:dyDescent="0.25"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4:26" s="2" customFormat="1" x14ac:dyDescent="0.25"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4:26" s="2" customFormat="1" x14ac:dyDescent="0.25"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4:26" s="2" customFormat="1" x14ac:dyDescent="0.25"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4:26" s="2" customFormat="1" x14ac:dyDescent="0.25"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4:26" s="2" customFormat="1" x14ac:dyDescent="0.25"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4:26" s="2" customFormat="1" x14ac:dyDescent="0.25"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4:26" s="2" customFormat="1" x14ac:dyDescent="0.25"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4:26" s="2" customFormat="1" x14ac:dyDescent="0.25"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4:26" s="2" customFormat="1" x14ac:dyDescent="0.25"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4:26" s="2" customFormat="1" x14ac:dyDescent="0.25"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4:26" s="2" customFormat="1" x14ac:dyDescent="0.25"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4:26" s="2" customFormat="1" x14ac:dyDescent="0.25"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4:26" s="2" customFormat="1" x14ac:dyDescent="0.25"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4:26" s="2" customFormat="1" x14ac:dyDescent="0.25"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4:26" s="2" customFormat="1" x14ac:dyDescent="0.25"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4:26" s="2" customFormat="1" x14ac:dyDescent="0.25"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4:26" s="2" customFormat="1" x14ac:dyDescent="0.25"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4:26" s="2" customFormat="1" x14ac:dyDescent="0.25"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4:26" s="2" customFormat="1" x14ac:dyDescent="0.25"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4:26" s="2" customFormat="1" x14ac:dyDescent="0.25"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4:26" s="2" customFormat="1" x14ac:dyDescent="0.25"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4:26" s="2" customFormat="1" x14ac:dyDescent="0.25"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4:26" s="2" customFormat="1" x14ac:dyDescent="0.25"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4:26" s="2" customFormat="1" x14ac:dyDescent="0.25"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4:26" s="2" customFormat="1" x14ac:dyDescent="0.25"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4:26" s="2" customFormat="1" x14ac:dyDescent="0.25"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4:26" s="2" customFormat="1" x14ac:dyDescent="0.25"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4:26" s="2" customFormat="1" x14ac:dyDescent="0.25"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4:26" s="2" customFormat="1" x14ac:dyDescent="0.25"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4:26" s="2" customFormat="1" x14ac:dyDescent="0.25"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4:26" s="2" customFormat="1" x14ac:dyDescent="0.25"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4:26" s="2" customFormat="1" x14ac:dyDescent="0.25"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4:26" s="2" customFormat="1" x14ac:dyDescent="0.25"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4:26" s="2" customFormat="1" x14ac:dyDescent="0.25"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4:26" s="2" customFormat="1" x14ac:dyDescent="0.25"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4:26" s="2" customFormat="1" x14ac:dyDescent="0.25"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4:26" s="2" customFormat="1" x14ac:dyDescent="0.25"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4:26" s="2" customFormat="1" x14ac:dyDescent="0.25"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4:26" s="2" customFormat="1" x14ac:dyDescent="0.25"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4:26" s="2" customFormat="1" x14ac:dyDescent="0.25"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4:26" s="2" customFormat="1" x14ac:dyDescent="0.25"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4:26" s="2" customFormat="1" x14ac:dyDescent="0.25"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4:26" s="2" customFormat="1" x14ac:dyDescent="0.25"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4:26" s="2" customFormat="1" x14ac:dyDescent="0.25"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4:26" s="2" customFormat="1" x14ac:dyDescent="0.25"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4:26" s="2" customFormat="1" x14ac:dyDescent="0.25"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4:26" s="2" customFormat="1" x14ac:dyDescent="0.25"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4:26" s="2" customFormat="1" x14ac:dyDescent="0.25"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4:26" s="2" customFormat="1" x14ac:dyDescent="0.25"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4:26" s="2" customFormat="1" x14ac:dyDescent="0.25"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4:26" s="2" customFormat="1" x14ac:dyDescent="0.25"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4:26" s="2" customFormat="1" x14ac:dyDescent="0.25"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4:26" s="2" customFormat="1" x14ac:dyDescent="0.25"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4:26" s="2" customFormat="1" x14ac:dyDescent="0.25"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4:26" s="2" customFormat="1" x14ac:dyDescent="0.25"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4:26" s="2" customFormat="1" x14ac:dyDescent="0.25"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4:26" s="2" customFormat="1" x14ac:dyDescent="0.25"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4:26" s="2" customFormat="1" x14ac:dyDescent="0.25"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4:26" s="2" customFormat="1" x14ac:dyDescent="0.25"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4:26" s="2" customFormat="1" x14ac:dyDescent="0.25"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4:26" s="2" customFormat="1" x14ac:dyDescent="0.25"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4:26" s="2" customFormat="1" x14ac:dyDescent="0.25"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4:26" s="2" customFormat="1" x14ac:dyDescent="0.25"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4:26" s="2" customFormat="1" x14ac:dyDescent="0.25"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4:26" s="2" customFormat="1" x14ac:dyDescent="0.25"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4:26" s="2" customFormat="1" x14ac:dyDescent="0.25"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4:26" s="2" customFormat="1" x14ac:dyDescent="0.25"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4:26" s="2" customFormat="1" x14ac:dyDescent="0.25"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4:26" s="2" customFormat="1" x14ac:dyDescent="0.25"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4:26" s="2" customFormat="1" x14ac:dyDescent="0.25"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4:26" s="2" customFormat="1" x14ac:dyDescent="0.25"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4:26" s="2" customFormat="1" x14ac:dyDescent="0.25"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4:26" s="2" customFormat="1" x14ac:dyDescent="0.25"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4:26" s="2" customFormat="1" x14ac:dyDescent="0.25"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4:26" s="2" customFormat="1" x14ac:dyDescent="0.25"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4:26" s="2" customFormat="1" x14ac:dyDescent="0.25"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4:26" s="2" customFormat="1" x14ac:dyDescent="0.25"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4:26" s="2" customFormat="1" x14ac:dyDescent="0.25"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4:26" s="2" customFormat="1" x14ac:dyDescent="0.25"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4:26" s="2" customFormat="1" x14ac:dyDescent="0.25"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4:26" s="2" customFormat="1" x14ac:dyDescent="0.25"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4:26" s="2" customFormat="1" x14ac:dyDescent="0.25"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4:26" s="2" customFormat="1" x14ac:dyDescent="0.25"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4:26" s="2" customFormat="1" x14ac:dyDescent="0.25"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4:26" s="2" customFormat="1" x14ac:dyDescent="0.25"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4:26" s="2" customFormat="1" x14ac:dyDescent="0.25"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4:26" s="2" customFormat="1" x14ac:dyDescent="0.25"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4:26" s="2" customFormat="1" x14ac:dyDescent="0.25"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4:26" s="2" customFormat="1" x14ac:dyDescent="0.25"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4:26" s="2" customFormat="1" x14ac:dyDescent="0.25"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4:26" s="2" customFormat="1" x14ac:dyDescent="0.25"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4:26" s="2" customFormat="1" x14ac:dyDescent="0.25"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4:26" s="2" customFormat="1" x14ac:dyDescent="0.25"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4:26" s="2" customFormat="1" x14ac:dyDescent="0.25"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4:26" s="2" customFormat="1" x14ac:dyDescent="0.25"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4:26" s="2" customFormat="1" x14ac:dyDescent="0.25"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4:26" s="2" customFormat="1" x14ac:dyDescent="0.25"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4:26" s="2" customFormat="1" x14ac:dyDescent="0.25"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4:26" s="2" customFormat="1" x14ac:dyDescent="0.25"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4:26" s="2" customFormat="1" x14ac:dyDescent="0.25"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4:26" s="2" customFormat="1" x14ac:dyDescent="0.25"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4:26" s="2" customFormat="1" x14ac:dyDescent="0.25"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4:26" s="2" customFormat="1" x14ac:dyDescent="0.25"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4:26" s="2" customFormat="1" x14ac:dyDescent="0.25"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4:26" s="2" customFormat="1" x14ac:dyDescent="0.25"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4:26" s="2" customFormat="1" x14ac:dyDescent="0.25"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4:26" s="2" customFormat="1" x14ac:dyDescent="0.25"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4:26" s="2" customFormat="1" x14ac:dyDescent="0.25"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4:26" s="2" customFormat="1" x14ac:dyDescent="0.25"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4:26" s="2" customFormat="1" x14ac:dyDescent="0.25"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4:26" s="2" customFormat="1" x14ac:dyDescent="0.25"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4:26" s="2" customFormat="1" x14ac:dyDescent="0.25"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4:26" s="2" customFormat="1" x14ac:dyDescent="0.25"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4:26" s="2" customFormat="1" x14ac:dyDescent="0.25"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4:26" s="2" customFormat="1" x14ac:dyDescent="0.25"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4:26" s="2" customFormat="1" x14ac:dyDescent="0.25"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4:26" s="2" customFormat="1" x14ac:dyDescent="0.25"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4:26" s="2" customFormat="1" x14ac:dyDescent="0.25"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4:26" s="2" customFormat="1" x14ac:dyDescent="0.25"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4:26" s="2" customFormat="1" x14ac:dyDescent="0.25"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4:26" s="2" customFormat="1" x14ac:dyDescent="0.25"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4:26" s="2" customFormat="1" x14ac:dyDescent="0.25"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4:26" s="2" customFormat="1" x14ac:dyDescent="0.25"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4:26" s="2" customFormat="1" x14ac:dyDescent="0.25"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4:26" s="2" customFormat="1" x14ac:dyDescent="0.25"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4:26" s="2" customFormat="1" x14ac:dyDescent="0.25"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4:26" s="2" customFormat="1" x14ac:dyDescent="0.25"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4:26" s="2" customFormat="1" x14ac:dyDescent="0.25"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4:26" s="2" customFormat="1" x14ac:dyDescent="0.25"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4:26" s="2" customFormat="1" x14ac:dyDescent="0.25"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4:26" s="2" customFormat="1" x14ac:dyDescent="0.25"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4:26" s="2" customFormat="1" x14ac:dyDescent="0.25"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4:26" s="2" customFormat="1" x14ac:dyDescent="0.25"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4:26" s="2" customFormat="1" x14ac:dyDescent="0.25"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4:26" s="2" customFormat="1" x14ac:dyDescent="0.25"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4:26" s="2" customFormat="1" x14ac:dyDescent="0.25"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4:26" s="2" customFormat="1" x14ac:dyDescent="0.25"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4:26" s="2" customFormat="1" x14ac:dyDescent="0.25"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4:26" s="2" customFormat="1" x14ac:dyDescent="0.25"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4:26" s="2" customFormat="1" x14ac:dyDescent="0.25"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4:26" s="2" customFormat="1" x14ac:dyDescent="0.25"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4:26" s="2" customFormat="1" x14ac:dyDescent="0.25"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4:26" s="2" customFormat="1" x14ac:dyDescent="0.25"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4:26" s="2" customFormat="1" x14ac:dyDescent="0.25"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4:26" s="2" customFormat="1" x14ac:dyDescent="0.25"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4:26" s="2" customFormat="1" x14ac:dyDescent="0.25"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4:26" s="2" customFormat="1" x14ac:dyDescent="0.25"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4:26" s="2" customFormat="1" x14ac:dyDescent="0.25"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4:26" s="2" customFormat="1" x14ac:dyDescent="0.25"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4:26" s="2" customFormat="1" x14ac:dyDescent="0.25"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4:26" s="2" customFormat="1" x14ac:dyDescent="0.25"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4:26" s="2" customFormat="1" x14ac:dyDescent="0.25"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4:26" s="2" customFormat="1" x14ac:dyDescent="0.25"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4:26" s="2" customFormat="1" x14ac:dyDescent="0.25"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4:26" s="2" customFormat="1" x14ac:dyDescent="0.25"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4:26" s="2" customFormat="1" x14ac:dyDescent="0.25"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4:26" s="2" customFormat="1" x14ac:dyDescent="0.25"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4:26" s="2" customFormat="1" x14ac:dyDescent="0.25"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4:26" s="2" customFormat="1" x14ac:dyDescent="0.25"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4:26" s="2" customFormat="1" x14ac:dyDescent="0.25"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4:26" s="2" customFormat="1" x14ac:dyDescent="0.25"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4:26" s="2" customFormat="1" x14ac:dyDescent="0.25"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4:26" s="2" customFormat="1" x14ac:dyDescent="0.25"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4:26" s="2" customFormat="1" x14ac:dyDescent="0.25"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4:26" s="2" customFormat="1" x14ac:dyDescent="0.25"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4:26" s="2" customFormat="1" x14ac:dyDescent="0.25"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4:26" s="2" customFormat="1" x14ac:dyDescent="0.25"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4:26" s="2" customFormat="1" x14ac:dyDescent="0.25"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4:26" s="2" customFormat="1" x14ac:dyDescent="0.25"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4:26" s="2" customFormat="1" x14ac:dyDescent="0.25"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4:26" s="2" customFormat="1" x14ac:dyDescent="0.25"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4:26" s="2" customFormat="1" x14ac:dyDescent="0.25"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4:26" s="2" customFormat="1" x14ac:dyDescent="0.25"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4:26" s="2" customFormat="1" x14ac:dyDescent="0.25"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4:26" s="2" customFormat="1" x14ac:dyDescent="0.25"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4:26" s="2" customFormat="1" x14ac:dyDescent="0.25"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4:26" s="2" customFormat="1" x14ac:dyDescent="0.25"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4:26" s="2" customFormat="1" x14ac:dyDescent="0.25"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4:26" s="2" customFormat="1" x14ac:dyDescent="0.25"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4:26" s="2" customFormat="1" x14ac:dyDescent="0.25"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4:26" s="2" customFormat="1" x14ac:dyDescent="0.25"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4:26" s="2" customFormat="1" x14ac:dyDescent="0.25"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4:26" s="2" customFormat="1" x14ac:dyDescent="0.25"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4:26" s="2" customFormat="1" x14ac:dyDescent="0.25"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4:26" s="2" customFormat="1" x14ac:dyDescent="0.25"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4:26" s="2" customFormat="1" x14ac:dyDescent="0.25"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4:26" s="2" customFormat="1" x14ac:dyDescent="0.25"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4:26" s="2" customFormat="1" x14ac:dyDescent="0.25"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4:26" s="2" customFormat="1" x14ac:dyDescent="0.25"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4:26" s="2" customFormat="1" x14ac:dyDescent="0.25"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4:26" s="2" customFormat="1" x14ac:dyDescent="0.25"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4:26" s="2" customFormat="1" x14ac:dyDescent="0.25"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4:26" s="2" customFormat="1" x14ac:dyDescent="0.25"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4:26" s="2" customFormat="1" x14ac:dyDescent="0.25"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4:26" s="2" customFormat="1" x14ac:dyDescent="0.25"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4:26" s="2" customFormat="1" x14ac:dyDescent="0.25"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4:26" s="2" customFormat="1" x14ac:dyDescent="0.25"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4:26" s="2" customFormat="1" x14ac:dyDescent="0.25"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4:26" s="2" customFormat="1" x14ac:dyDescent="0.25"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4:26" s="2" customFormat="1" x14ac:dyDescent="0.25"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4:26" s="2" customFormat="1" x14ac:dyDescent="0.25"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4:26" s="2" customFormat="1" x14ac:dyDescent="0.25"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4:26" s="2" customFormat="1" x14ac:dyDescent="0.25"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4:26" s="2" customFormat="1" x14ac:dyDescent="0.25"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4:26" s="2" customFormat="1" x14ac:dyDescent="0.25"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4:26" s="2" customFormat="1" x14ac:dyDescent="0.25"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4:26" s="2" customFormat="1" x14ac:dyDescent="0.25"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4:26" s="2" customFormat="1" x14ac:dyDescent="0.25"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4:26" s="2" customFormat="1" x14ac:dyDescent="0.25"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4:26" s="2" customFormat="1" x14ac:dyDescent="0.25"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4:26" s="2" customFormat="1" x14ac:dyDescent="0.25"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4:26" s="2" customFormat="1" x14ac:dyDescent="0.25"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4:26" s="2" customFormat="1" x14ac:dyDescent="0.25"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4:26" s="2" customFormat="1" x14ac:dyDescent="0.25"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4:26" s="2" customFormat="1" x14ac:dyDescent="0.25"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4:26" s="2" customFormat="1" x14ac:dyDescent="0.25"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4:26" s="2" customFormat="1" x14ac:dyDescent="0.25"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4:26" s="2" customFormat="1" x14ac:dyDescent="0.25"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4:26" s="2" customFormat="1" x14ac:dyDescent="0.25"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4:26" s="2" customFormat="1" x14ac:dyDescent="0.25"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4:26" s="2" customFormat="1" x14ac:dyDescent="0.25"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4:26" s="2" customFormat="1" x14ac:dyDescent="0.25"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4:26" s="2" customFormat="1" x14ac:dyDescent="0.25"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4:26" s="2" customFormat="1" x14ac:dyDescent="0.25"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4:26" s="2" customFormat="1" x14ac:dyDescent="0.25"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4:26" s="2" customFormat="1" x14ac:dyDescent="0.25"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4:26" s="2" customFormat="1" x14ac:dyDescent="0.25"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4:26" s="2" customFormat="1" x14ac:dyDescent="0.25"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4:26" s="2" customFormat="1" x14ac:dyDescent="0.25"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4:26" s="2" customFormat="1" x14ac:dyDescent="0.25"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4:26" s="2" customFormat="1" x14ac:dyDescent="0.25"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4:26" s="2" customFormat="1" x14ac:dyDescent="0.25"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4:26" s="2" customFormat="1" x14ac:dyDescent="0.25"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4:26" s="2" customFormat="1" x14ac:dyDescent="0.25"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4:26" s="2" customFormat="1" x14ac:dyDescent="0.25"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4:26" s="2" customFormat="1" x14ac:dyDescent="0.25"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4:26" s="2" customFormat="1" x14ac:dyDescent="0.25"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4:26" s="2" customFormat="1" x14ac:dyDescent="0.25"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4:26" s="2" customFormat="1" x14ac:dyDescent="0.25"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4:26" s="2" customFormat="1" x14ac:dyDescent="0.25"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4:26" s="2" customFormat="1" x14ac:dyDescent="0.25"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4:26" s="2" customFormat="1" x14ac:dyDescent="0.25"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4:26" s="2" customFormat="1" x14ac:dyDescent="0.25"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4:26" s="2" customFormat="1" x14ac:dyDescent="0.25"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4:26" s="2" customFormat="1" x14ac:dyDescent="0.25"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4:26" s="2" customFormat="1" x14ac:dyDescent="0.25"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4:26" s="2" customFormat="1" x14ac:dyDescent="0.25"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4:26" s="2" customFormat="1" x14ac:dyDescent="0.25"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4:26" s="2" customFormat="1" x14ac:dyDescent="0.25"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4:26" s="2" customFormat="1" x14ac:dyDescent="0.25"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4:26" s="2" customFormat="1" x14ac:dyDescent="0.25"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4:26" s="2" customFormat="1" x14ac:dyDescent="0.25"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4:26" s="2" customFormat="1" x14ac:dyDescent="0.25"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4:26" s="2" customFormat="1" x14ac:dyDescent="0.25"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4:26" s="2" customFormat="1" x14ac:dyDescent="0.25"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4:26" s="2" customFormat="1" x14ac:dyDescent="0.25"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4:26" s="2" customFormat="1" x14ac:dyDescent="0.25"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4:26" s="2" customFormat="1" x14ac:dyDescent="0.25"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4:26" s="2" customFormat="1" x14ac:dyDescent="0.25"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4:26" s="2" customFormat="1" x14ac:dyDescent="0.25"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4:26" s="2" customFormat="1" x14ac:dyDescent="0.25"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4:26" s="2" customFormat="1" x14ac:dyDescent="0.25"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4:26" s="2" customFormat="1" x14ac:dyDescent="0.25"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4:26" s="2" customFormat="1" x14ac:dyDescent="0.25"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4:26" s="2" customFormat="1" x14ac:dyDescent="0.25"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4:26" s="2" customFormat="1" x14ac:dyDescent="0.25"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4:26" s="2" customFormat="1" x14ac:dyDescent="0.25"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4:26" s="2" customFormat="1" x14ac:dyDescent="0.25"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4:26" s="2" customFormat="1" x14ac:dyDescent="0.25"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4:26" s="2" customFormat="1" x14ac:dyDescent="0.25"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4:26" s="2" customFormat="1" x14ac:dyDescent="0.25"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4:26" s="2" customFormat="1" x14ac:dyDescent="0.25"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4:26" s="2" customFormat="1" x14ac:dyDescent="0.25"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4:26" s="2" customFormat="1" x14ac:dyDescent="0.25"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4:26" s="2" customFormat="1" x14ac:dyDescent="0.25"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4:26" s="2" customFormat="1" x14ac:dyDescent="0.25"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4:26" s="2" customFormat="1" x14ac:dyDescent="0.25"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4:26" s="2" customFormat="1" x14ac:dyDescent="0.25"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4:26" s="2" customFormat="1" x14ac:dyDescent="0.25"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4:26" s="2" customFormat="1" x14ac:dyDescent="0.25"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4:26" s="2" customFormat="1" x14ac:dyDescent="0.25"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4:26" s="2" customFormat="1" x14ac:dyDescent="0.25"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4:26" s="2" customFormat="1" x14ac:dyDescent="0.25"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4:26" s="2" customFormat="1" x14ac:dyDescent="0.25"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4:26" s="2" customFormat="1" x14ac:dyDescent="0.25"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4:26" s="2" customFormat="1" x14ac:dyDescent="0.25"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4:26" s="2" customFormat="1" x14ac:dyDescent="0.25"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4:26" s="2" customFormat="1" x14ac:dyDescent="0.25"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4:26" s="2" customFormat="1" x14ac:dyDescent="0.25"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4:26" s="2" customFormat="1" x14ac:dyDescent="0.25"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4:26" s="2" customFormat="1" x14ac:dyDescent="0.25"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4:26" s="2" customFormat="1" x14ac:dyDescent="0.25"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4:26" s="2" customFormat="1" x14ac:dyDescent="0.25"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4:26" s="2" customFormat="1" x14ac:dyDescent="0.25"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4:26" s="2" customFormat="1" x14ac:dyDescent="0.25"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4:26" s="2" customFormat="1" x14ac:dyDescent="0.25"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4:26" s="2" customFormat="1" x14ac:dyDescent="0.25"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4:26" s="2" customFormat="1" x14ac:dyDescent="0.25"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4:26" s="2" customFormat="1" x14ac:dyDescent="0.25"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4:26" s="2" customFormat="1" x14ac:dyDescent="0.25"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4:26" s="2" customFormat="1" x14ac:dyDescent="0.25"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4:26" s="2" customFormat="1" x14ac:dyDescent="0.25"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4:26" s="2" customFormat="1" x14ac:dyDescent="0.25"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4:26" s="2" customFormat="1" x14ac:dyDescent="0.25"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4:26" s="2" customFormat="1" x14ac:dyDescent="0.25"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4:26" s="2" customFormat="1" x14ac:dyDescent="0.25"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4:26" s="2" customFormat="1" x14ac:dyDescent="0.25"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4:26" s="2" customFormat="1" x14ac:dyDescent="0.25"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4:26" s="2" customFormat="1" x14ac:dyDescent="0.25"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4:26" s="2" customFormat="1" x14ac:dyDescent="0.25"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4:26" s="2" customFormat="1" x14ac:dyDescent="0.25"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4:26" s="2" customFormat="1" x14ac:dyDescent="0.25"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4:26" s="2" customFormat="1" x14ac:dyDescent="0.25"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4:26" s="2" customFormat="1" x14ac:dyDescent="0.25"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4:26" s="2" customFormat="1" x14ac:dyDescent="0.25"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4:26" s="2" customFormat="1" x14ac:dyDescent="0.25"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4:26" s="2" customFormat="1" x14ac:dyDescent="0.25"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4:26" s="2" customFormat="1" x14ac:dyDescent="0.25"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4:26" s="2" customFormat="1" x14ac:dyDescent="0.25"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4:26" s="2" customFormat="1" x14ac:dyDescent="0.25"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4:26" s="2" customFormat="1" x14ac:dyDescent="0.25"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4:26" s="2" customFormat="1" x14ac:dyDescent="0.25"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4:26" s="2" customFormat="1" x14ac:dyDescent="0.25"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4:26" s="2" customFormat="1" x14ac:dyDescent="0.25"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4:26" s="2" customFormat="1" x14ac:dyDescent="0.25"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4:26" s="2" customFormat="1" x14ac:dyDescent="0.25"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4:26" s="2" customFormat="1" x14ac:dyDescent="0.25"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4:26" s="2" customFormat="1" x14ac:dyDescent="0.25"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4:26" s="2" customFormat="1" x14ac:dyDescent="0.25"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4:26" s="2" customFormat="1" x14ac:dyDescent="0.25"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4:26" s="2" customFormat="1" x14ac:dyDescent="0.25"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4:26" s="2" customFormat="1" x14ac:dyDescent="0.25"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4:26" s="2" customFormat="1" x14ac:dyDescent="0.25"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4:26" s="2" customFormat="1" x14ac:dyDescent="0.25"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4:26" s="2" customFormat="1" x14ac:dyDescent="0.25"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4:26" s="2" customFormat="1" x14ac:dyDescent="0.25"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4:26" s="2" customFormat="1" x14ac:dyDescent="0.25"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4:26" s="2" customFormat="1" x14ac:dyDescent="0.25"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4:26" s="2" customFormat="1" x14ac:dyDescent="0.25"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4:26" s="2" customFormat="1" x14ac:dyDescent="0.25"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4:26" s="2" customFormat="1" x14ac:dyDescent="0.25"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4:26" s="2" customFormat="1" x14ac:dyDescent="0.25"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4:26" s="2" customFormat="1" x14ac:dyDescent="0.25"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4:26" s="2" customFormat="1" x14ac:dyDescent="0.25"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4:26" s="2" customFormat="1" x14ac:dyDescent="0.25"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4:26" s="2" customFormat="1" x14ac:dyDescent="0.25"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4:26" s="2" customFormat="1" x14ac:dyDescent="0.25"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4:26" s="2" customFormat="1" x14ac:dyDescent="0.25"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4:26" s="2" customFormat="1" x14ac:dyDescent="0.25"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4:26" s="2" customFormat="1" x14ac:dyDescent="0.25"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4:26" s="2" customFormat="1" x14ac:dyDescent="0.25"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4:26" s="2" customFormat="1" x14ac:dyDescent="0.25"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4:26" s="2" customFormat="1" x14ac:dyDescent="0.25"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4:26" s="2" customFormat="1" x14ac:dyDescent="0.25"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4:26" s="2" customFormat="1" x14ac:dyDescent="0.25"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4:26" s="2" customFormat="1" x14ac:dyDescent="0.25"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4:26" s="2" customFormat="1" x14ac:dyDescent="0.25"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4:26" s="2" customFormat="1" x14ac:dyDescent="0.25"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4:26" s="2" customFormat="1" x14ac:dyDescent="0.25"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4:26" s="2" customFormat="1" x14ac:dyDescent="0.25"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4:26" s="2" customFormat="1" x14ac:dyDescent="0.25"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4:26" s="2" customFormat="1" x14ac:dyDescent="0.25"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4:26" s="2" customFormat="1" x14ac:dyDescent="0.25"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4:26" s="2" customFormat="1" x14ac:dyDescent="0.25"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4:26" s="2" customFormat="1" x14ac:dyDescent="0.25"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4:26" s="2" customFormat="1" x14ac:dyDescent="0.25"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4:26" s="2" customFormat="1" x14ac:dyDescent="0.25"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4:26" s="2" customFormat="1" x14ac:dyDescent="0.25"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4:26" s="2" customFormat="1" x14ac:dyDescent="0.25"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4:26" s="2" customFormat="1" x14ac:dyDescent="0.25"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4:26" s="2" customFormat="1" x14ac:dyDescent="0.25"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4:26" s="2" customFormat="1" x14ac:dyDescent="0.25"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4:26" s="2" customFormat="1" x14ac:dyDescent="0.25"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4:26" s="2" customFormat="1" x14ac:dyDescent="0.25"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4:26" s="2" customFormat="1" x14ac:dyDescent="0.25"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4:26" s="2" customFormat="1" x14ac:dyDescent="0.25"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4:26" s="2" customFormat="1" x14ac:dyDescent="0.25"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4:26" s="2" customFormat="1" x14ac:dyDescent="0.25"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4:26" s="2" customFormat="1" x14ac:dyDescent="0.25"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4:26" s="2" customFormat="1" x14ac:dyDescent="0.25"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4:26" s="2" customFormat="1" x14ac:dyDescent="0.25"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4:26" s="2" customFormat="1" x14ac:dyDescent="0.25"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4:26" s="2" customFormat="1" x14ac:dyDescent="0.25"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4:26" s="2" customFormat="1" x14ac:dyDescent="0.25"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4:26" s="2" customFormat="1" x14ac:dyDescent="0.25"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4:26" s="2" customFormat="1" x14ac:dyDescent="0.25"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4:26" s="2" customFormat="1" x14ac:dyDescent="0.25"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4:26" s="2" customFormat="1" x14ac:dyDescent="0.25"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4:26" s="2" customFormat="1" x14ac:dyDescent="0.25"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4:26" s="2" customFormat="1" x14ac:dyDescent="0.25"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4:26" s="2" customFormat="1" x14ac:dyDescent="0.25"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4:26" s="2" customFormat="1" x14ac:dyDescent="0.25"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4:26" s="2" customFormat="1" x14ac:dyDescent="0.25"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4:26" s="2" customFormat="1" x14ac:dyDescent="0.25"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4:26" s="2" customFormat="1" x14ac:dyDescent="0.25"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4:26" s="2" customFormat="1" x14ac:dyDescent="0.25"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4:26" s="2" customFormat="1" x14ac:dyDescent="0.25"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4:26" s="2" customFormat="1" x14ac:dyDescent="0.25"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4:26" s="2" customFormat="1" x14ac:dyDescent="0.25"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4:26" s="2" customFormat="1" x14ac:dyDescent="0.25"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4:26" s="2" customFormat="1" x14ac:dyDescent="0.25"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4:26" s="2" customFormat="1" x14ac:dyDescent="0.25"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4:26" s="2" customFormat="1" x14ac:dyDescent="0.25"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4:26" s="2" customFormat="1" x14ac:dyDescent="0.25"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4:26" s="2" customFormat="1" x14ac:dyDescent="0.25"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4:26" s="2" customFormat="1" x14ac:dyDescent="0.25"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4:26" s="2" customFormat="1" x14ac:dyDescent="0.25"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4:26" s="2" customFormat="1" x14ac:dyDescent="0.25"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4:26" s="2" customFormat="1" x14ac:dyDescent="0.25"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4:26" s="2" customFormat="1" x14ac:dyDescent="0.25"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4:26" s="2" customFormat="1" x14ac:dyDescent="0.25"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4:26" s="2" customFormat="1" x14ac:dyDescent="0.25"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4:26" s="2" customFormat="1" x14ac:dyDescent="0.25"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4:26" s="2" customFormat="1" x14ac:dyDescent="0.25"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4:26" s="2" customFormat="1" x14ac:dyDescent="0.25"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4:26" s="2" customFormat="1" x14ac:dyDescent="0.25"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4:26" s="2" customFormat="1" x14ac:dyDescent="0.25"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4:26" s="2" customFormat="1" x14ac:dyDescent="0.25"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4:26" s="2" customFormat="1" x14ac:dyDescent="0.25"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4:26" s="2" customFormat="1" x14ac:dyDescent="0.25"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4:26" s="2" customFormat="1" x14ac:dyDescent="0.25"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4:26" s="2" customFormat="1" x14ac:dyDescent="0.25"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4:26" s="2" customFormat="1" x14ac:dyDescent="0.25"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4:26" s="2" customFormat="1" x14ac:dyDescent="0.25"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4:26" s="2" customFormat="1" x14ac:dyDescent="0.25"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4:26" s="2" customFormat="1" x14ac:dyDescent="0.25"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4:26" s="2" customFormat="1" x14ac:dyDescent="0.25"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4:26" s="2" customFormat="1" x14ac:dyDescent="0.25"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4:26" s="2" customFormat="1" x14ac:dyDescent="0.25"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4:26" s="2" customFormat="1" x14ac:dyDescent="0.25"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4:26" s="2" customFormat="1" x14ac:dyDescent="0.25"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4:26" s="2" customFormat="1" x14ac:dyDescent="0.25"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4:26" s="2" customFormat="1" x14ac:dyDescent="0.25"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4:26" s="2" customFormat="1" x14ac:dyDescent="0.25"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4:26" s="2" customFormat="1" x14ac:dyDescent="0.25"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4:26" s="2" customFormat="1" x14ac:dyDescent="0.25"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4:26" s="2" customFormat="1" x14ac:dyDescent="0.25"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4:26" s="2" customFormat="1" x14ac:dyDescent="0.25"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4:26" s="2" customFormat="1" x14ac:dyDescent="0.25"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4:26" s="2" customFormat="1" x14ac:dyDescent="0.25"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4:26" s="2" customFormat="1" x14ac:dyDescent="0.25"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4:26" s="2" customFormat="1" x14ac:dyDescent="0.25"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4:26" s="2" customFormat="1" x14ac:dyDescent="0.25"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4:26" s="2" customFormat="1" x14ac:dyDescent="0.25"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4:26" s="2" customFormat="1" x14ac:dyDescent="0.25"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4:26" s="2" customFormat="1" x14ac:dyDescent="0.25"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4:26" s="2" customFormat="1" x14ac:dyDescent="0.25"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4:26" s="2" customFormat="1" x14ac:dyDescent="0.25"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4:26" s="2" customFormat="1" x14ac:dyDescent="0.25"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4:26" s="2" customFormat="1" x14ac:dyDescent="0.25"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4:26" s="2" customFormat="1" x14ac:dyDescent="0.25"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4:26" s="2" customFormat="1" x14ac:dyDescent="0.25"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4:26" s="2" customFormat="1" x14ac:dyDescent="0.25"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4:26" s="2" customFormat="1" x14ac:dyDescent="0.25"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4:26" s="2" customFormat="1" x14ac:dyDescent="0.25"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4:26" s="2" customFormat="1" x14ac:dyDescent="0.25"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4:26" s="2" customFormat="1" x14ac:dyDescent="0.25"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4:26" s="2" customFormat="1" x14ac:dyDescent="0.25"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4:26" s="2" customFormat="1" x14ac:dyDescent="0.25"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4:26" s="2" customFormat="1" x14ac:dyDescent="0.25"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4:26" s="2" customFormat="1" x14ac:dyDescent="0.25"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4:26" s="2" customFormat="1" x14ac:dyDescent="0.25"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4:26" s="2" customFormat="1" x14ac:dyDescent="0.25"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4:26" s="2" customFormat="1" x14ac:dyDescent="0.25"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4:26" s="2" customFormat="1" x14ac:dyDescent="0.25"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4:26" s="2" customFormat="1" x14ac:dyDescent="0.25"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4:26" s="2" customFormat="1" x14ac:dyDescent="0.25"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4:26" s="2" customFormat="1" x14ac:dyDescent="0.25"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4:26" s="2" customFormat="1" x14ac:dyDescent="0.25"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4:26" s="2" customFormat="1" x14ac:dyDescent="0.25"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4:26" s="2" customFormat="1" x14ac:dyDescent="0.25"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4:26" s="2" customFormat="1" x14ac:dyDescent="0.25"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4:26" s="2" customFormat="1" x14ac:dyDescent="0.25"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4:26" s="2" customFormat="1" x14ac:dyDescent="0.25"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4:26" s="2" customFormat="1" x14ac:dyDescent="0.25"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4:26" s="2" customFormat="1" x14ac:dyDescent="0.25"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4:26" s="2" customFormat="1" x14ac:dyDescent="0.25"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4:26" s="2" customFormat="1" x14ac:dyDescent="0.25"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4:26" s="2" customFormat="1" x14ac:dyDescent="0.25"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4:26" s="2" customFormat="1" x14ac:dyDescent="0.25"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4:26" s="2" customFormat="1" x14ac:dyDescent="0.25"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4:26" s="2" customFormat="1" x14ac:dyDescent="0.25"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4:26" s="2" customFormat="1" x14ac:dyDescent="0.25"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4:26" s="2" customFormat="1" x14ac:dyDescent="0.25"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4:26" s="2" customFormat="1" x14ac:dyDescent="0.25"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4:26" s="2" customFormat="1" x14ac:dyDescent="0.25"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4:26" s="2" customFormat="1" x14ac:dyDescent="0.25"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4:26" s="2" customFormat="1" x14ac:dyDescent="0.25"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4:26" s="2" customFormat="1" x14ac:dyDescent="0.25"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4:26" s="2" customFormat="1" x14ac:dyDescent="0.25"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4:26" s="2" customFormat="1" x14ac:dyDescent="0.25"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4:26" s="2" customFormat="1" x14ac:dyDescent="0.25"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4:26" s="2" customFormat="1" x14ac:dyDescent="0.25"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4:26" s="2" customFormat="1" x14ac:dyDescent="0.25"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4:26" s="2" customFormat="1" x14ac:dyDescent="0.25"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4:26" s="2" customFormat="1" x14ac:dyDescent="0.25"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4:26" s="2" customFormat="1" x14ac:dyDescent="0.25"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4:26" s="2" customFormat="1" x14ac:dyDescent="0.25"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4:26" s="2" customFormat="1" x14ac:dyDescent="0.25"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4:26" s="2" customFormat="1" x14ac:dyDescent="0.25"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4:26" s="2" customFormat="1" x14ac:dyDescent="0.25"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4:26" s="2" customFormat="1" x14ac:dyDescent="0.25"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4:26" s="2" customFormat="1" x14ac:dyDescent="0.25"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4:26" s="2" customFormat="1" x14ac:dyDescent="0.25"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4:26" s="2" customFormat="1" x14ac:dyDescent="0.25"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4:26" s="2" customFormat="1" x14ac:dyDescent="0.25"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4:26" s="2" customFormat="1" x14ac:dyDescent="0.25"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4:26" s="2" customFormat="1" x14ac:dyDescent="0.25"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4:26" s="2" customFormat="1" x14ac:dyDescent="0.25"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4:26" s="2" customFormat="1" x14ac:dyDescent="0.25"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4:26" s="2" customFormat="1" x14ac:dyDescent="0.25"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4:26" s="2" customFormat="1" x14ac:dyDescent="0.25"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4:26" s="2" customFormat="1" x14ac:dyDescent="0.25"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4:26" s="2" customFormat="1" x14ac:dyDescent="0.25"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4:26" s="2" customFormat="1" x14ac:dyDescent="0.25"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4:26" s="2" customFormat="1" x14ac:dyDescent="0.25"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4:26" s="2" customFormat="1" x14ac:dyDescent="0.25"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4:26" s="2" customFormat="1" x14ac:dyDescent="0.25"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4:26" s="2" customFormat="1" x14ac:dyDescent="0.25"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4:26" s="2" customFormat="1" x14ac:dyDescent="0.25"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4:26" s="2" customFormat="1" x14ac:dyDescent="0.25"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4:26" s="2" customFormat="1" x14ac:dyDescent="0.25"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4:26" s="2" customFormat="1" x14ac:dyDescent="0.25"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4:26" s="2" customFormat="1" x14ac:dyDescent="0.25"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4:26" s="2" customFormat="1" x14ac:dyDescent="0.25"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4:26" s="2" customFormat="1" x14ac:dyDescent="0.25"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4:26" s="2" customFormat="1" x14ac:dyDescent="0.25"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4:26" s="2" customFormat="1" x14ac:dyDescent="0.25"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4:26" s="2" customFormat="1" x14ac:dyDescent="0.25"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4:26" s="2" customFormat="1" x14ac:dyDescent="0.25"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4:26" s="2" customFormat="1" x14ac:dyDescent="0.25"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4:26" s="2" customFormat="1" x14ac:dyDescent="0.25"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4:26" s="2" customFormat="1" x14ac:dyDescent="0.25"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4:26" s="2" customFormat="1" x14ac:dyDescent="0.25"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4:26" s="2" customFormat="1" x14ac:dyDescent="0.25"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4:26" s="2" customFormat="1" x14ac:dyDescent="0.25"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4:26" s="2" customFormat="1" x14ac:dyDescent="0.25"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4:26" s="2" customFormat="1" x14ac:dyDescent="0.25"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4:26" s="2" customFormat="1" x14ac:dyDescent="0.25"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4:26" s="2" customFormat="1" x14ac:dyDescent="0.25"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4:26" s="2" customFormat="1" x14ac:dyDescent="0.25"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4:26" s="2" customFormat="1" x14ac:dyDescent="0.25"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4:26" s="2" customFormat="1" x14ac:dyDescent="0.25"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4:26" s="2" customFormat="1" x14ac:dyDescent="0.25"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4:26" s="2" customFormat="1" x14ac:dyDescent="0.25"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4:26" s="2" customFormat="1" x14ac:dyDescent="0.25"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4:26" s="2" customFormat="1" x14ac:dyDescent="0.25"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4:26" s="2" customFormat="1" x14ac:dyDescent="0.25"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4:26" s="2" customFormat="1" x14ac:dyDescent="0.25"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4:26" s="2" customFormat="1" x14ac:dyDescent="0.25"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4:26" s="2" customFormat="1" x14ac:dyDescent="0.25"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4:26" s="2" customFormat="1" x14ac:dyDescent="0.25"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4:26" s="2" customFormat="1" x14ac:dyDescent="0.25"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4:26" s="2" customFormat="1" x14ac:dyDescent="0.25"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4:26" s="2" customFormat="1" x14ac:dyDescent="0.25"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4:26" s="2" customFormat="1" x14ac:dyDescent="0.25"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4:26" s="2" customFormat="1" x14ac:dyDescent="0.25"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4:26" s="2" customFormat="1" x14ac:dyDescent="0.25"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4:26" s="2" customFormat="1" x14ac:dyDescent="0.25"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4:26" s="2" customFormat="1" x14ac:dyDescent="0.25"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4:26" s="2" customFormat="1" x14ac:dyDescent="0.25"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4:26" s="2" customFormat="1" x14ac:dyDescent="0.25"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4:26" s="2" customFormat="1" x14ac:dyDescent="0.25"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4:26" s="2" customFormat="1" x14ac:dyDescent="0.25"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4:26" s="2" customFormat="1" x14ac:dyDescent="0.25"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4:26" s="2" customFormat="1" x14ac:dyDescent="0.25"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4:26" s="2" customFormat="1" x14ac:dyDescent="0.25"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4:26" s="2" customFormat="1" x14ac:dyDescent="0.25"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4:26" s="2" customFormat="1" x14ac:dyDescent="0.25"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4:26" s="2" customFormat="1" x14ac:dyDescent="0.25"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4:26" s="2" customFormat="1" x14ac:dyDescent="0.25"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4:26" s="2" customFormat="1" x14ac:dyDescent="0.25"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4:26" s="2" customFormat="1" x14ac:dyDescent="0.25"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4:26" s="2" customFormat="1" x14ac:dyDescent="0.25"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4:26" s="2" customFormat="1" x14ac:dyDescent="0.25"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4:26" s="2" customFormat="1" x14ac:dyDescent="0.25"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4:26" s="2" customFormat="1" x14ac:dyDescent="0.25"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4:26" s="2" customFormat="1" x14ac:dyDescent="0.25"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4:26" s="2" customFormat="1" x14ac:dyDescent="0.25"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4:26" s="2" customFormat="1" x14ac:dyDescent="0.25"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4:26" s="2" customFormat="1" x14ac:dyDescent="0.25"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4:26" s="2" customFormat="1" x14ac:dyDescent="0.25"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4:26" s="2" customFormat="1" x14ac:dyDescent="0.25"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4:26" s="2" customFormat="1" x14ac:dyDescent="0.25"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4:26" s="2" customFormat="1" x14ac:dyDescent="0.25"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4:26" s="2" customFormat="1" x14ac:dyDescent="0.25"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4:26" s="2" customFormat="1" x14ac:dyDescent="0.25"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4:26" s="2" customFormat="1" x14ac:dyDescent="0.25"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4:26" s="2" customFormat="1" x14ac:dyDescent="0.25"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4:26" s="2" customFormat="1" x14ac:dyDescent="0.25"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4:26" s="2" customFormat="1" x14ac:dyDescent="0.25"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4:26" s="2" customFormat="1" x14ac:dyDescent="0.25"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4:26" s="2" customFormat="1" x14ac:dyDescent="0.25"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4:26" s="2" customFormat="1" x14ac:dyDescent="0.25"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4:26" s="2" customFormat="1" x14ac:dyDescent="0.25"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4:26" s="2" customFormat="1" x14ac:dyDescent="0.25"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4:26" s="2" customFormat="1" x14ac:dyDescent="0.25"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4:26" s="2" customFormat="1" x14ac:dyDescent="0.25"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4:26" s="2" customFormat="1" x14ac:dyDescent="0.25"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4:26" s="2" customFormat="1" x14ac:dyDescent="0.25"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4:26" s="2" customFormat="1" x14ac:dyDescent="0.25"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4:26" s="2" customFormat="1" x14ac:dyDescent="0.25"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4:26" s="2" customFormat="1" x14ac:dyDescent="0.25"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4:26" s="2" customFormat="1" x14ac:dyDescent="0.25"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4:26" s="2" customFormat="1" x14ac:dyDescent="0.25"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4:26" s="2" customFormat="1" x14ac:dyDescent="0.25"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4:26" s="2" customFormat="1" x14ac:dyDescent="0.25"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4:26" s="2" customFormat="1" x14ac:dyDescent="0.25"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4:26" s="2" customFormat="1" x14ac:dyDescent="0.25"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4:26" s="2" customFormat="1" x14ac:dyDescent="0.25"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4:26" s="2" customFormat="1" x14ac:dyDescent="0.25"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4:26" s="2" customFormat="1" x14ac:dyDescent="0.25"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4:26" s="2" customFormat="1" x14ac:dyDescent="0.25"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4:26" s="2" customFormat="1" x14ac:dyDescent="0.25"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4:26" s="2" customFormat="1" x14ac:dyDescent="0.25"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4:26" s="2" customFormat="1" x14ac:dyDescent="0.25"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4:26" s="2" customFormat="1" x14ac:dyDescent="0.25"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4:26" s="2" customFormat="1" x14ac:dyDescent="0.25"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4:26" s="2" customFormat="1" x14ac:dyDescent="0.25"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4:26" s="2" customFormat="1" x14ac:dyDescent="0.25"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4:26" s="2" customFormat="1" x14ac:dyDescent="0.25"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4:26" s="2" customFormat="1" x14ac:dyDescent="0.25"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4:26" s="2" customFormat="1" x14ac:dyDescent="0.25"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4:26" s="2" customFormat="1" x14ac:dyDescent="0.25"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4:26" s="2" customFormat="1" x14ac:dyDescent="0.25"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4:26" s="2" customFormat="1" x14ac:dyDescent="0.25"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4:26" s="2" customFormat="1" x14ac:dyDescent="0.25"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4:26" s="2" customFormat="1" x14ac:dyDescent="0.25"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4:26" s="2" customFormat="1" x14ac:dyDescent="0.25"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4:26" s="2" customFormat="1" x14ac:dyDescent="0.25"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4:26" s="2" customFormat="1" x14ac:dyDescent="0.25"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4:26" s="2" customFormat="1" x14ac:dyDescent="0.25"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4:26" s="2" customFormat="1" x14ac:dyDescent="0.25"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4:26" s="2" customFormat="1" x14ac:dyDescent="0.25"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4:26" s="2" customFormat="1" x14ac:dyDescent="0.25"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4:26" s="2" customFormat="1" x14ac:dyDescent="0.25"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4:26" s="2" customFormat="1" x14ac:dyDescent="0.25"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4:26" s="2" customFormat="1" x14ac:dyDescent="0.25"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4:26" s="2" customFormat="1" x14ac:dyDescent="0.25"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4:26" s="2" customFormat="1" x14ac:dyDescent="0.25"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4:26" s="2" customFormat="1" x14ac:dyDescent="0.25"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4:26" s="2" customFormat="1" x14ac:dyDescent="0.25"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4:26" s="2" customFormat="1" x14ac:dyDescent="0.25"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4:26" s="2" customFormat="1" x14ac:dyDescent="0.25"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4:26" s="2" customFormat="1" x14ac:dyDescent="0.25"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4:26" s="2" customFormat="1" x14ac:dyDescent="0.25"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4:26" s="2" customFormat="1" x14ac:dyDescent="0.25"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4:26" s="2" customFormat="1" x14ac:dyDescent="0.25"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4:26" s="2" customFormat="1" x14ac:dyDescent="0.25"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4:26" s="2" customFormat="1" x14ac:dyDescent="0.25"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4:26" s="2" customFormat="1" x14ac:dyDescent="0.25"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4:26" s="2" customFormat="1" x14ac:dyDescent="0.25"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4:26" s="2" customFormat="1" x14ac:dyDescent="0.25"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4:26" s="2" customFormat="1" x14ac:dyDescent="0.25"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4:26" s="2" customFormat="1" x14ac:dyDescent="0.25"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4:26" s="2" customFormat="1" x14ac:dyDescent="0.25"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4:26" s="2" customFormat="1" x14ac:dyDescent="0.25"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4:26" s="2" customFormat="1" x14ac:dyDescent="0.25"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4:26" s="2" customFormat="1" x14ac:dyDescent="0.25"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4:26" s="2" customFormat="1" x14ac:dyDescent="0.25"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4:26" s="2" customFormat="1" x14ac:dyDescent="0.25"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4:26" s="2" customFormat="1" x14ac:dyDescent="0.25"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4:26" s="2" customFormat="1" x14ac:dyDescent="0.25"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4:26" s="2" customFormat="1" x14ac:dyDescent="0.25"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4:26" s="2" customFormat="1" x14ac:dyDescent="0.25"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4:26" s="2" customFormat="1" x14ac:dyDescent="0.25"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4:26" s="2" customFormat="1" x14ac:dyDescent="0.25"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4:26" s="2" customFormat="1" x14ac:dyDescent="0.25"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4:26" s="2" customFormat="1" x14ac:dyDescent="0.25"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4:26" s="2" customFormat="1" x14ac:dyDescent="0.25"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4:26" s="2" customFormat="1" x14ac:dyDescent="0.25"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4:26" s="2" customFormat="1" x14ac:dyDescent="0.25"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4:26" s="2" customFormat="1" x14ac:dyDescent="0.25"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4:26" s="2" customFormat="1" x14ac:dyDescent="0.25"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4:26" s="2" customFormat="1" x14ac:dyDescent="0.25"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4:26" s="2" customFormat="1" x14ac:dyDescent="0.25"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4:26" s="2" customFormat="1" x14ac:dyDescent="0.25"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4:26" s="2" customFormat="1" x14ac:dyDescent="0.25"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4:26" s="2" customFormat="1" x14ac:dyDescent="0.25"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4:26" s="2" customFormat="1" x14ac:dyDescent="0.25"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4:26" s="2" customFormat="1" x14ac:dyDescent="0.25"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4:26" s="2" customFormat="1" x14ac:dyDescent="0.25"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4:26" s="2" customFormat="1" x14ac:dyDescent="0.25"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4:26" s="2" customFormat="1" x14ac:dyDescent="0.25"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4:26" s="2" customFormat="1" x14ac:dyDescent="0.25"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4:26" s="2" customFormat="1" x14ac:dyDescent="0.25"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4:26" s="2" customFormat="1" x14ac:dyDescent="0.25"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4:26" s="2" customFormat="1" x14ac:dyDescent="0.25"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4:26" s="2" customFormat="1" x14ac:dyDescent="0.25"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4:26" s="2" customFormat="1" x14ac:dyDescent="0.25"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4:26" s="2" customFormat="1" x14ac:dyDescent="0.25"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4:26" s="2" customFormat="1" x14ac:dyDescent="0.25"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4:26" s="2" customFormat="1" x14ac:dyDescent="0.25"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4:26" s="2" customFormat="1" x14ac:dyDescent="0.25"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4:26" s="2" customFormat="1" x14ac:dyDescent="0.25"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4:26" s="2" customFormat="1" x14ac:dyDescent="0.25"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4:26" s="2" customFormat="1" x14ac:dyDescent="0.25"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4:26" s="2" customFormat="1" x14ac:dyDescent="0.25"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4:26" s="2" customFormat="1" x14ac:dyDescent="0.25"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4:26" s="2" customFormat="1" x14ac:dyDescent="0.25"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4:26" s="2" customFormat="1" x14ac:dyDescent="0.25"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4:26" s="2" customFormat="1" x14ac:dyDescent="0.25"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4:26" s="2" customFormat="1" x14ac:dyDescent="0.25"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4:26" s="2" customFormat="1" x14ac:dyDescent="0.25"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4:26" s="2" customFormat="1" x14ac:dyDescent="0.25"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4:26" s="2" customFormat="1" x14ac:dyDescent="0.25"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4:26" s="2" customFormat="1" x14ac:dyDescent="0.25"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4:26" s="2" customFormat="1" x14ac:dyDescent="0.25"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4:26" s="2" customFormat="1" x14ac:dyDescent="0.25"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4:26" s="2" customFormat="1" x14ac:dyDescent="0.25"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4:26" s="2" customFormat="1" x14ac:dyDescent="0.25"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4:26" s="2" customFormat="1" x14ac:dyDescent="0.25"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4:26" s="2" customFormat="1" x14ac:dyDescent="0.25"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4:26" s="2" customFormat="1" x14ac:dyDescent="0.25"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4:26" s="2" customFormat="1" x14ac:dyDescent="0.25"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4:26" s="2" customFormat="1" x14ac:dyDescent="0.25"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4:26" s="2" customFormat="1" x14ac:dyDescent="0.25"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4:26" s="2" customFormat="1" x14ac:dyDescent="0.25"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4:26" s="2" customFormat="1" x14ac:dyDescent="0.25"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4:26" s="2" customFormat="1" x14ac:dyDescent="0.25"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4:26" s="2" customFormat="1" x14ac:dyDescent="0.25"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4:26" s="2" customFormat="1" x14ac:dyDescent="0.25"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4:26" s="2" customFormat="1" x14ac:dyDescent="0.25"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4:26" s="2" customFormat="1" x14ac:dyDescent="0.25"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4:26" s="2" customFormat="1" x14ac:dyDescent="0.25"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4:26" s="2" customFormat="1" x14ac:dyDescent="0.25"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4:26" s="2" customFormat="1" x14ac:dyDescent="0.25"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4:26" s="2" customFormat="1" x14ac:dyDescent="0.25"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4:26" s="2" customFormat="1" x14ac:dyDescent="0.25"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4:26" s="2" customFormat="1" x14ac:dyDescent="0.25"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4:26" s="2" customFormat="1" x14ac:dyDescent="0.25"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4:26" s="2" customFormat="1" x14ac:dyDescent="0.25"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4:26" s="2" customFormat="1" x14ac:dyDescent="0.25"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4:26" s="2" customFormat="1" x14ac:dyDescent="0.25"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4:26" s="2" customFormat="1" x14ac:dyDescent="0.25"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4:26" s="2" customFormat="1" x14ac:dyDescent="0.25"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4:26" s="2" customFormat="1" x14ac:dyDescent="0.25"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4:26" s="2" customFormat="1" x14ac:dyDescent="0.25"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4:26" s="2" customFormat="1" x14ac:dyDescent="0.25"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4:26" s="2" customFormat="1" x14ac:dyDescent="0.25"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4:26" s="2" customFormat="1" x14ac:dyDescent="0.25"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4:26" s="2" customFormat="1" x14ac:dyDescent="0.25"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4:26" s="2" customFormat="1" x14ac:dyDescent="0.25"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4:26" s="2" customFormat="1" x14ac:dyDescent="0.25"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4:26" s="2" customFormat="1" x14ac:dyDescent="0.25"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4:26" s="2" customFormat="1" x14ac:dyDescent="0.25"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4:26" s="2" customFormat="1" x14ac:dyDescent="0.25"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4:26" s="2" customFormat="1" x14ac:dyDescent="0.25"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4:26" s="2" customFormat="1" x14ac:dyDescent="0.25"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4:26" s="2" customFormat="1" x14ac:dyDescent="0.25"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4:26" s="2" customFormat="1" x14ac:dyDescent="0.25"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4:26" s="2" customFormat="1" x14ac:dyDescent="0.25"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4:26" s="2" customFormat="1" x14ac:dyDescent="0.25"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4:26" s="2" customFormat="1" x14ac:dyDescent="0.25"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4:26" s="2" customFormat="1" x14ac:dyDescent="0.25"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4:26" s="2" customFormat="1" x14ac:dyDescent="0.25"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4:26" s="2" customFormat="1" x14ac:dyDescent="0.25"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4:26" s="2" customFormat="1" x14ac:dyDescent="0.25"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4:26" s="2" customFormat="1" x14ac:dyDescent="0.25"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4:26" s="2" customFormat="1" x14ac:dyDescent="0.25"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4:26" s="2" customFormat="1" x14ac:dyDescent="0.25"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4:26" s="2" customFormat="1" x14ac:dyDescent="0.25"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4:26" s="2" customFormat="1" x14ac:dyDescent="0.25"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4:26" s="2" customFormat="1" x14ac:dyDescent="0.25"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4:26" s="2" customFormat="1" x14ac:dyDescent="0.25"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4:26" s="2" customFormat="1" x14ac:dyDescent="0.25"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4:26" s="2" customFormat="1" x14ac:dyDescent="0.25"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4:26" s="2" customFormat="1" x14ac:dyDescent="0.25"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4:26" s="2" customFormat="1" x14ac:dyDescent="0.25"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4:26" s="2" customFormat="1" x14ac:dyDescent="0.25"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4:26" s="2" customFormat="1" x14ac:dyDescent="0.25"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4:26" s="2" customFormat="1" x14ac:dyDescent="0.25"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4:26" s="2" customFormat="1" x14ac:dyDescent="0.25"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4:26" s="2" customFormat="1" x14ac:dyDescent="0.25"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4:26" s="2" customFormat="1" x14ac:dyDescent="0.25"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4:26" s="2" customFormat="1" x14ac:dyDescent="0.25"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4:26" s="2" customFormat="1" x14ac:dyDescent="0.25"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4:26" s="2" customFormat="1" x14ac:dyDescent="0.25"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4:26" s="2" customFormat="1" x14ac:dyDescent="0.25"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4:26" s="2" customFormat="1" x14ac:dyDescent="0.25"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4:26" s="2" customFormat="1" x14ac:dyDescent="0.25"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4:26" s="2" customFormat="1" x14ac:dyDescent="0.25"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4:26" s="2" customFormat="1" x14ac:dyDescent="0.25"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4:26" s="2" customFormat="1" x14ac:dyDescent="0.25"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4:26" s="2" customFormat="1" x14ac:dyDescent="0.25"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4:26" s="2" customFormat="1" x14ac:dyDescent="0.25"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4:26" s="2" customFormat="1" x14ac:dyDescent="0.25"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4:26" s="2" customFormat="1" x14ac:dyDescent="0.25"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4:26" s="2" customFormat="1" x14ac:dyDescent="0.25"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4:26" s="2" customFormat="1" x14ac:dyDescent="0.25"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4:26" s="2" customFormat="1" x14ac:dyDescent="0.25"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4:26" s="2" customFormat="1" x14ac:dyDescent="0.25"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4:26" s="2" customFormat="1" x14ac:dyDescent="0.25"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4:26" s="2" customFormat="1" x14ac:dyDescent="0.25"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4:26" s="2" customFormat="1" x14ac:dyDescent="0.25"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4:26" s="2" customFormat="1" x14ac:dyDescent="0.25"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4:26" s="2" customFormat="1" x14ac:dyDescent="0.25"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4:26" s="2" customFormat="1" x14ac:dyDescent="0.25"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4:26" s="2" customFormat="1" x14ac:dyDescent="0.25"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4:26" s="2" customFormat="1" x14ac:dyDescent="0.25"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4:26" s="2" customFormat="1" x14ac:dyDescent="0.25"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4:26" s="2" customFormat="1" x14ac:dyDescent="0.25"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4:26" s="2" customFormat="1" x14ac:dyDescent="0.25"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4:26" s="2" customFormat="1" x14ac:dyDescent="0.25"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4:26" s="2" customFormat="1" x14ac:dyDescent="0.25"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4:26" s="2" customFormat="1" x14ac:dyDescent="0.25"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4:26" s="2" customFormat="1" x14ac:dyDescent="0.25"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4:26" s="2" customFormat="1" x14ac:dyDescent="0.25"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4:26" s="2" customFormat="1" x14ac:dyDescent="0.25"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4:26" s="2" customFormat="1" x14ac:dyDescent="0.25"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4:26" s="2" customFormat="1" x14ac:dyDescent="0.25"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4:26" s="2" customFormat="1" x14ac:dyDescent="0.25"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4:26" s="2" customFormat="1" x14ac:dyDescent="0.25"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4:26" s="2" customFormat="1" x14ac:dyDescent="0.25"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4:26" s="2" customFormat="1" x14ac:dyDescent="0.25"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4:26" s="2" customFormat="1" x14ac:dyDescent="0.25"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4:26" s="2" customFormat="1" x14ac:dyDescent="0.25"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4:26" s="2" customFormat="1" x14ac:dyDescent="0.25"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4:26" s="2" customFormat="1" x14ac:dyDescent="0.25"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4:26" s="2" customFormat="1" x14ac:dyDescent="0.25"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4:26" s="2" customFormat="1" x14ac:dyDescent="0.25"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4:26" s="2" customFormat="1" x14ac:dyDescent="0.25"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4:26" s="2" customFormat="1" x14ac:dyDescent="0.25"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4:26" s="2" customFormat="1" x14ac:dyDescent="0.25"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4:26" s="2" customFormat="1" x14ac:dyDescent="0.25"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4:26" s="2" customFormat="1" x14ac:dyDescent="0.25"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4:26" s="2" customFormat="1" x14ac:dyDescent="0.25"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4:26" s="2" customFormat="1" x14ac:dyDescent="0.25"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4:26" s="2" customFormat="1" x14ac:dyDescent="0.25"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4:26" s="2" customFormat="1" x14ac:dyDescent="0.25"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4:26" s="2" customFormat="1" x14ac:dyDescent="0.25"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4:26" s="2" customFormat="1" x14ac:dyDescent="0.25"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4:26" s="2" customFormat="1" x14ac:dyDescent="0.25"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4:26" s="2" customFormat="1" x14ac:dyDescent="0.25"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4:26" s="2" customFormat="1" x14ac:dyDescent="0.25"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4:26" s="2" customFormat="1" x14ac:dyDescent="0.25"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4:26" s="2" customFormat="1" x14ac:dyDescent="0.25"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4:26" s="2" customFormat="1" x14ac:dyDescent="0.25"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4:26" s="2" customFormat="1" x14ac:dyDescent="0.25"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4:26" s="2" customFormat="1" x14ac:dyDescent="0.25"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4:26" s="2" customFormat="1" x14ac:dyDescent="0.25"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4:26" s="2" customFormat="1" x14ac:dyDescent="0.25"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4:26" s="2" customFormat="1" x14ac:dyDescent="0.25"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4:26" s="2" customFormat="1" x14ac:dyDescent="0.25"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4:26" s="2" customFormat="1" x14ac:dyDescent="0.25"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4:26" s="2" customFormat="1" x14ac:dyDescent="0.25"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4:26" s="2" customFormat="1" x14ac:dyDescent="0.25"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4:26" s="2" customFormat="1" x14ac:dyDescent="0.25"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4:26" s="2" customFormat="1" x14ac:dyDescent="0.25"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4:26" s="2" customFormat="1" x14ac:dyDescent="0.25"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4:26" s="2" customFormat="1" x14ac:dyDescent="0.25"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4:26" s="2" customFormat="1" x14ac:dyDescent="0.25"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4:26" s="2" customFormat="1" x14ac:dyDescent="0.25"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4:26" s="2" customFormat="1" x14ac:dyDescent="0.25"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4:26" s="2" customFormat="1" x14ac:dyDescent="0.25"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4:26" s="2" customFormat="1" x14ac:dyDescent="0.25"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4:26" s="2" customFormat="1" x14ac:dyDescent="0.25"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4:26" s="2" customFormat="1" x14ac:dyDescent="0.25"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4:26" s="2" customFormat="1" x14ac:dyDescent="0.25"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4:26" s="2" customFormat="1" x14ac:dyDescent="0.25"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4:26" s="2" customFormat="1" x14ac:dyDescent="0.25"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4:26" s="2" customFormat="1" x14ac:dyDescent="0.25"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4:26" s="2" customFormat="1" x14ac:dyDescent="0.25"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4:26" s="2" customFormat="1" x14ac:dyDescent="0.25"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4:26" s="2" customFormat="1" x14ac:dyDescent="0.25"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4:26" s="2" customFormat="1" x14ac:dyDescent="0.25"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4:26" s="2" customFormat="1" x14ac:dyDescent="0.25"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4:26" s="2" customFormat="1" x14ac:dyDescent="0.25"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4:26" s="2" customFormat="1" x14ac:dyDescent="0.25"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4:26" s="2" customFormat="1" x14ac:dyDescent="0.25"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4:26" s="2" customFormat="1" x14ac:dyDescent="0.25"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4:26" s="2" customFormat="1" x14ac:dyDescent="0.25"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4:26" s="2" customFormat="1" x14ac:dyDescent="0.25"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4:26" s="2" customFormat="1" x14ac:dyDescent="0.25"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4:26" s="2" customFormat="1" x14ac:dyDescent="0.25"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4:26" s="2" customFormat="1" x14ac:dyDescent="0.25"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4:26" s="2" customFormat="1" x14ac:dyDescent="0.25"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4:26" s="2" customFormat="1" x14ac:dyDescent="0.25"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4:26" s="2" customFormat="1" x14ac:dyDescent="0.25"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4:26" s="2" customFormat="1" x14ac:dyDescent="0.25"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4:26" s="2" customFormat="1" x14ac:dyDescent="0.25"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4:26" s="2" customFormat="1" x14ac:dyDescent="0.25"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4:26" s="2" customFormat="1" x14ac:dyDescent="0.25"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4:26" s="2" customFormat="1" x14ac:dyDescent="0.25"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4:26" s="2" customFormat="1" x14ac:dyDescent="0.25"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4:26" s="2" customFormat="1" x14ac:dyDescent="0.25"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4:26" s="2" customFormat="1" x14ac:dyDescent="0.25"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4:26" s="2" customFormat="1" x14ac:dyDescent="0.25"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4:26" s="2" customFormat="1" x14ac:dyDescent="0.25"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4:26" s="2" customFormat="1" x14ac:dyDescent="0.25"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4:26" s="2" customFormat="1" x14ac:dyDescent="0.25"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4:26" s="2" customFormat="1" x14ac:dyDescent="0.25"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4:26" s="2" customFormat="1" x14ac:dyDescent="0.25"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4:26" s="2" customFormat="1" x14ac:dyDescent="0.25"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4:26" s="2" customFormat="1" x14ac:dyDescent="0.25"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4:26" s="2" customFormat="1" x14ac:dyDescent="0.25"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4:26" s="2" customFormat="1" x14ac:dyDescent="0.25"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4:26" s="2" customFormat="1" x14ac:dyDescent="0.25"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4:26" s="2" customFormat="1" x14ac:dyDescent="0.25"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4:26" s="2" customFormat="1" x14ac:dyDescent="0.25"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  <row r="2001" spans="4:26" s="2" customFormat="1" x14ac:dyDescent="0.25"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</row>
    <row r="2002" spans="4:26" s="2" customFormat="1" x14ac:dyDescent="0.25"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</row>
    <row r="2003" spans="4:26" s="2" customFormat="1" x14ac:dyDescent="0.25"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</row>
    <row r="2004" spans="4:26" s="2" customFormat="1" x14ac:dyDescent="0.25"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</row>
    <row r="2005" spans="4:26" s="2" customFormat="1" x14ac:dyDescent="0.25"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</row>
    <row r="2006" spans="4:26" s="2" customFormat="1" x14ac:dyDescent="0.25"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</row>
    <row r="2007" spans="4:26" s="2" customFormat="1" x14ac:dyDescent="0.25"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</row>
    <row r="2008" spans="4:26" s="2" customFormat="1" x14ac:dyDescent="0.25"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</row>
    <row r="2009" spans="4:26" s="2" customFormat="1" x14ac:dyDescent="0.25"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</row>
    <row r="2010" spans="4:26" s="2" customFormat="1" x14ac:dyDescent="0.25"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</row>
    <row r="2011" spans="4:26" s="2" customFormat="1" x14ac:dyDescent="0.25"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</row>
    <row r="2012" spans="4:26" s="2" customFormat="1" x14ac:dyDescent="0.25"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</row>
    <row r="2013" spans="4:26" s="2" customFormat="1" x14ac:dyDescent="0.25"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</row>
    <row r="2014" spans="4:26" s="2" customFormat="1" x14ac:dyDescent="0.25"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</row>
    <row r="2015" spans="4:26" s="2" customFormat="1" x14ac:dyDescent="0.25"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</row>
    <row r="2016" spans="4:26" s="2" customFormat="1" x14ac:dyDescent="0.25"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</row>
    <row r="2017" spans="4:26" s="2" customFormat="1" x14ac:dyDescent="0.25"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</row>
    <row r="2018" spans="4:26" s="2" customFormat="1" x14ac:dyDescent="0.25"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</row>
    <row r="2019" spans="4:26" s="2" customFormat="1" x14ac:dyDescent="0.25"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</row>
    <row r="2020" spans="4:26" s="2" customFormat="1" x14ac:dyDescent="0.25"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</row>
    <row r="2021" spans="4:26" s="2" customFormat="1" x14ac:dyDescent="0.25"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</row>
    <row r="2022" spans="4:26" s="2" customFormat="1" x14ac:dyDescent="0.25"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</row>
    <row r="2023" spans="4:26" s="2" customFormat="1" x14ac:dyDescent="0.25"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</row>
    <row r="2024" spans="4:26" s="2" customFormat="1" x14ac:dyDescent="0.25"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</row>
    <row r="2025" spans="4:26" s="2" customFormat="1" x14ac:dyDescent="0.25"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</row>
    <row r="2026" spans="4:26" s="2" customFormat="1" x14ac:dyDescent="0.25"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</row>
    <row r="2027" spans="4:26" s="2" customFormat="1" x14ac:dyDescent="0.25"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</row>
    <row r="2028" spans="4:26" s="2" customFormat="1" x14ac:dyDescent="0.25"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</row>
    <row r="2029" spans="4:26" s="2" customFormat="1" x14ac:dyDescent="0.25"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</row>
    <row r="2030" spans="4:26" s="2" customFormat="1" x14ac:dyDescent="0.25"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</row>
    <row r="2031" spans="4:26" s="2" customFormat="1" x14ac:dyDescent="0.25"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</row>
    <row r="2032" spans="4:26" s="2" customFormat="1" x14ac:dyDescent="0.25"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</row>
    <row r="2033" spans="4:26" s="2" customFormat="1" x14ac:dyDescent="0.25"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</row>
    <row r="2034" spans="4:26" s="2" customFormat="1" x14ac:dyDescent="0.25"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</row>
    <row r="2035" spans="4:26" s="2" customFormat="1" x14ac:dyDescent="0.25"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</row>
    <row r="2036" spans="4:26" s="2" customFormat="1" x14ac:dyDescent="0.25"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</row>
    <row r="2037" spans="4:26" s="2" customFormat="1" x14ac:dyDescent="0.25"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</row>
    <row r="2038" spans="4:26" s="2" customFormat="1" x14ac:dyDescent="0.25"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</row>
    <row r="2039" spans="4:26" s="2" customFormat="1" x14ac:dyDescent="0.25"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</row>
    <row r="2040" spans="4:26" s="2" customFormat="1" x14ac:dyDescent="0.25"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</row>
    <row r="2041" spans="4:26" s="2" customFormat="1" x14ac:dyDescent="0.25"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</row>
    <row r="2042" spans="4:26" s="2" customFormat="1" x14ac:dyDescent="0.25"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</row>
    <row r="2043" spans="4:26" s="2" customFormat="1" x14ac:dyDescent="0.25"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</row>
    <row r="2044" spans="4:26" s="2" customFormat="1" x14ac:dyDescent="0.25"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</row>
    <row r="2045" spans="4:26" s="2" customFormat="1" x14ac:dyDescent="0.25"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</row>
    <row r="2046" spans="4:26" s="2" customFormat="1" x14ac:dyDescent="0.25"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</row>
    <row r="2047" spans="4:26" s="2" customFormat="1" x14ac:dyDescent="0.25"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</row>
    <row r="2048" spans="4:26" s="2" customFormat="1" x14ac:dyDescent="0.25"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</row>
    <row r="2049" spans="4:26" s="2" customFormat="1" x14ac:dyDescent="0.25"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</row>
    <row r="2050" spans="4:26" s="2" customFormat="1" x14ac:dyDescent="0.25"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</row>
    <row r="2051" spans="4:26" s="2" customFormat="1" x14ac:dyDescent="0.25"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</row>
    <row r="2052" spans="4:26" s="2" customFormat="1" x14ac:dyDescent="0.25"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</row>
    <row r="2053" spans="4:26" s="2" customFormat="1" x14ac:dyDescent="0.25"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</row>
    <row r="2054" spans="4:26" s="2" customFormat="1" x14ac:dyDescent="0.25"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</row>
    <row r="2055" spans="4:26" s="2" customFormat="1" x14ac:dyDescent="0.25"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</row>
    <row r="2056" spans="4:26" s="2" customFormat="1" x14ac:dyDescent="0.25"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</row>
    <row r="2057" spans="4:26" s="2" customFormat="1" x14ac:dyDescent="0.25"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</row>
    <row r="2058" spans="4:26" s="2" customFormat="1" x14ac:dyDescent="0.25"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</row>
    <row r="2059" spans="4:26" s="2" customFormat="1" x14ac:dyDescent="0.25"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</row>
    <row r="2060" spans="4:26" s="2" customFormat="1" x14ac:dyDescent="0.25"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</row>
    <row r="2061" spans="4:26" s="2" customFormat="1" x14ac:dyDescent="0.25"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</row>
    <row r="2062" spans="4:26" s="2" customFormat="1" x14ac:dyDescent="0.25"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</row>
    <row r="2063" spans="4:26" s="2" customFormat="1" x14ac:dyDescent="0.25"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</row>
    <row r="2064" spans="4:26" s="2" customFormat="1" x14ac:dyDescent="0.25"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</row>
    <row r="2065" spans="4:26" s="2" customFormat="1" x14ac:dyDescent="0.25"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</row>
    <row r="2066" spans="4:26" s="2" customFormat="1" x14ac:dyDescent="0.25"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</row>
    <row r="2067" spans="4:26" s="2" customFormat="1" x14ac:dyDescent="0.25"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</row>
    <row r="2068" spans="4:26" s="2" customFormat="1" x14ac:dyDescent="0.25"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</row>
    <row r="2069" spans="4:26" s="2" customFormat="1" x14ac:dyDescent="0.25"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</row>
    <row r="2070" spans="4:26" s="2" customFormat="1" x14ac:dyDescent="0.25"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</row>
    <row r="2071" spans="4:26" s="2" customFormat="1" x14ac:dyDescent="0.25"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</row>
    <row r="2072" spans="4:26" s="2" customFormat="1" x14ac:dyDescent="0.25"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</row>
    <row r="2073" spans="4:26" s="2" customFormat="1" x14ac:dyDescent="0.25"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</row>
    <row r="2074" spans="4:26" s="2" customFormat="1" x14ac:dyDescent="0.25"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</row>
    <row r="2075" spans="4:26" s="2" customFormat="1" x14ac:dyDescent="0.25"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</row>
    <row r="2076" spans="4:26" s="2" customFormat="1" x14ac:dyDescent="0.25"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</row>
    <row r="2077" spans="4:26" s="2" customFormat="1" x14ac:dyDescent="0.25"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</row>
    <row r="2078" spans="4:26" s="2" customFormat="1" x14ac:dyDescent="0.25"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</row>
    <row r="2079" spans="4:26" s="2" customFormat="1" x14ac:dyDescent="0.25"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</row>
    <row r="2080" spans="4:26" s="2" customFormat="1" x14ac:dyDescent="0.25"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</row>
    <row r="2081" spans="4:26" s="2" customFormat="1" x14ac:dyDescent="0.25"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</row>
    <row r="2082" spans="4:26" s="2" customFormat="1" x14ac:dyDescent="0.25"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</row>
    <row r="2083" spans="4:26" s="2" customFormat="1" x14ac:dyDescent="0.25"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</row>
    <row r="2084" spans="4:26" s="2" customFormat="1" x14ac:dyDescent="0.25"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</row>
    <row r="2085" spans="4:26" s="2" customFormat="1" x14ac:dyDescent="0.25"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</row>
    <row r="2086" spans="4:26" s="2" customFormat="1" x14ac:dyDescent="0.25"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</row>
    <row r="2087" spans="4:26" s="2" customFormat="1" x14ac:dyDescent="0.25"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</row>
    <row r="2088" spans="4:26" s="2" customFormat="1" x14ac:dyDescent="0.25"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</row>
    <row r="2089" spans="4:26" s="2" customFormat="1" x14ac:dyDescent="0.25"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</row>
    <row r="2090" spans="4:26" s="2" customFormat="1" x14ac:dyDescent="0.25"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</row>
    <row r="2091" spans="4:26" s="2" customFormat="1" x14ac:dyDescent="0.25"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</row>
    <row r="2092" spans="4:26" s="2" customFormat="1" x14ac:dyDescent="0.25"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</row>
    <row r="2093" spans="4:26" s="2" customFormat="1" x14ac:dyDescent="0.25"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</row>
    <row r="2094" spans="4:26" s="2" customFormat="1" x14ac:dyDescent="0.25"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</row>
    <row r="2095" spans="4:26" s="2" customFormat="1" x14ac:dyDescent="0.25"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</row>
    <row r="2096" spans="4:26" s="2" customFormat="1" x14ac:dyDescent="0.25"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</row>
    <row r="2097" spans="4:26" s="2" customFormat="1" x14ac:dyDescent="0.25"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</row>
    <row r="2098" spans="4:26" s="2" customFormat="1" x14ac:dyDescent="0.25"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</row>
    <row r="2099" spans="4:26" s="2" customFormat="1" x14ac:dyDescent="0.25"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</row>
    <row r="2100" spans="4:26" s="2" customFormat="1" x14ac:dyDescent="0.25"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</row>
    <row r="2101" spans="4:26" s="2" customFormat="1" x14ac:dyDescent="0.25"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</row>
    <row r="2102" spans="4:26" s="2" customFormat="1" x14ac:dyDescent="0.25"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</row>
    <row r="2103" spans="4:26" s="2" customFormat="1" x14ac:dyDescent="0.25"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</row>
    <row r="2104" spans="4:26" s="2" customFormat="1" x14ac:dyDescent="0.25"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</row>
    <row r="2105" spans="4:26" s="2" customFormat="1" x14ac:dyDescent="0.25"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</row>
    <row r="2106" spans="4:26" s="2" customFormat="1" x14ac:dyDescent="0.25"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</row>
    <row r="2107" spans="4:26" s="2" customFormat="1" x14ac:dyDescent="0.25"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</row>
    <row r="2108" spans="4:26" s="2" customFormat="1" x14ac:dyDescent="0.25"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</row>
    <row r="2109" spans="4:26" s="2" customFormat="1" x14ac:dyDescent="0.25"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</row>
    <row r="2110" spans="4:26" s="2" customFormat="1" x14ac:dyDescent="0.25"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</row>
    <row r="2111" spans="4:26" s="2" customFormat="1" x14ac:dyDescent="0.25"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</row>
    <row r="2112" spans="4:26" s="2" customFormat="1" x14ac:dyDescent="0.25"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</row>
    <row r="2113" spans="4:26" s="2" customFormat="1" x14ac:dyDescent="0.25"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</row>
    <row r="2114" spans="4:26" s="2" customFormat="1" x14ac:dyDescent="0.25"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</row>
    <row r="2115" spans="4:26" s="2" customFormat="1" x14ac:dyDescent="0.25"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</row>
    <row r="2116" spans="4:26" s="2" customFormat="1" x14ac:dyDescent="0.25"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</row>
    <row r="2117" spans="4:26" s="2" customFormat="1" x14ac:dyDescent="0.25"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</row>
    <row r="2118" spans="4:26" s="2" customFormat="1" x14ac:dyDescent="0.25"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</row>
    <row r="2119" spans="4:26" s="2" customFormat="1" x14ac:dyDescent="0.25"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</row>
    <row r="2120" spans="4:26" s="2" customFormat="1" x14ac:dyDescent="0.25"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</row>
    <row r="2121" spans="4:26" s="2" customFormat="1" x14ac:dyDescent="0.25"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</row>
    <row r="2122" spans="4:26" s="2" customFormat="1" x14ac:dyDescent="0.25"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</row>
    <row r="2123" spans="4:26" s="2" customFormat="1" x14ac:dyDescent="0.25"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</row>
    <row r="2124" spans="4:26" s="2" customFormat="1" x14ac:dyDescent="0.25"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</row>
    <row r="2125" spans="4:26" s="2" customFormat="1" x14ac:dyDescent="0.25"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</row>
    <row r="2126" spans="4:26" s="2" customFormat="1" x14ac:dyDescent="0.25"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</row>
    <row r="2127" spans="4:26" s="2" customFormat="1" x14ac:dyDescent="0.25"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</row>
    <row r="2128" spans="4:26" s="2" customFormat="1" x14ac:dyDescent="0.25"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</row>
    <row r="2129" spans="4:26" s="2" customFormat="1" x14ac:dyDescent="0.25"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</row>
    <row r="2130" spans="4:26" s="2" customFormat="1" x14ac:dyDescent="0.25"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</row>
    <row r="2131" spans="4:26" s="2" customFormat="1" x14ac:dyDescent="0.25"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</row>
    <row r="2132" spans="4:26" s="2" customFormat="1" x14ac:dyDescent="0.25"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</row>
    <row r="2133" spans="4:26" s="2" customFormat="1" x14ac:dyDescent="0.25"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</row>
    <row r="2134" spans="4:26" s="2" customFormat="1" x14ac:dyDescent="0.25"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</row>
    <row r="2135" spans="4:26" s="2" customFormat="1" x14ac:dyDescent="0.25"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</row>
    <row r="2136" spans="4:26" s="2" customFormat="1" x14ac:dyDescent="0.25"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</row>
    <row r="2137" spans="4:26" s="2" customFormat="1" x14ac:dyDescent="0.25"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</row>
    <row r="2138" spans="4:26" s="2" customFormat="1" x14ac:dyDescent="0.25"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</row>
    <row r="2139" spans="4:26" s="2" customFormat="1" x14ac:dyDescent="0.25"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</row>
    <row r="2140" spans="4:26" s="2" customFormat="1" x14ac:dyDescent="0.25"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</row>
    <row r="2141" spans="4:26" s="2" customFormat="1" x14ac:dyDescent="0.25"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</row>
    <row r="2142" spans="4:26" s="2" customFormat="1" x14ac:dyDescent="0.25"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</row>
    <row r="2143" spans="4:26" s="2" customFormat="1" x14ac:dyDescent="0.25"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</row>
    <row r="2144" spans="4:26" s="2" customFormat="1" x14ac:dyDescent="0.25"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</row>
    <row r="2145" spans="4:26" s="2" customFormat="1" x14ac:dyDescent="0.25"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</row>
    <row r="2146" spans="4:26" s="2" customFormat="1" x14ac:dyDescent="0.25"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</row>
    <row r="2147" spans="4:26" s="2" customFormat="1" x14ac:dyDescent="0.25"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</row>
    <row r="2148" spans="4:26" s="2" customFormat="1" x14ac:dyDescent="0.25"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</row>
    <row r="2149" spans="4:26" s="2" customFormat="1" x14ac:dyDescent="0.25"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</row>
    <row r="2150" spans="4:26" s="2" customFormat="1" x14ac:dyDescent="0.25"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</row>
    <row r="2151" spans="4:26" s="2" customFormat="1" x14ac:dyDescent="0.25"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</row>
    <row r="2152" spans="4:26" s="2" customFormat="1" x14ac:dyDescent="0.25"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</row>
    <row r="2153" spans="4:26" s="2" customFormat="1" x14ac:dyDescent="0.25"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</row>
    <row r="2154" spans="4:26" s="2" customFormat="1" x14ac:dyDescent="0.25"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</row>
    <row r="2155" spans="4:26" s="2" customFormat="1" x14ac:dyDescent="0.25"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</row>
    <row r="2156" spans="4:26" s="2" customFormat="1" x14ac:dyDescent="0.25"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</row>
    <row r="2157" spans="4:26" s="2" customFormat="1" x14ac:dyDescent="0.25"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</row>
    <row r="2158" spans="4:26" s="2" customFormat="1" x14ac:dyDescent="0.25"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</row>
    <row r="2159" spans="4:26" s="2" customFormat="1" x14ac:dyDescent="0.25"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</row>
    <row r="2160" spans="4:26" s="2" customFormat="1" x14ac:dyDescent="0.25"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</row>
    <row r="2161" spans="4:26" s="2" customFormat="1" x14ac:dyDescent="0.25"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</row>
    <row r="2162" spans="4:26" s="2" customFormat="1" x14ac:dyDescent="0.25"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</row>
    <row r="2163" spans="4:26" s="2" customFormat="1" x14ac:dyDescent="0.25"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</row>
    <row r="2164" spans="4:26" s="2" customFormat="1" x14ac:dyDescent="0.25"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</row>
    <row r="2165" spans="4:26" s="2" customFormat="1" x14ac:dyDescent="0.25"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</row>
    <row r="2166" spans="4:26" s="2" customFormat="1" x14ac:dyDescent="0.25"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</row>
    <row r="2167" spans="4:26" s="2" customFormat="1" x14ac:dyDescent="0.25"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</row>
    <row r="2168" spans="4:26" s="2" customFormat="1" x14ac:dyDescent="0.25"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</row>
    <row r="2169" spans="4:26" s="2" customFormat="1" x14ac:dyDescent="0.25"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</row>
    <row r="2170" spans="4:26" s="2" customFormat="1" x14ac:dyDescent="0.25"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</row>
    <row r="2171" spans="4:26" s="2" customFormat="1" x14ac:dyDescent="0.25"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</row>
    <row r="2172" spans="4:26" s="2" customFormat="1" x14ac:dyDescent="0.25"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</row>
    <row r="2173" spans="4:26" s="2" customFormat="1" x14ac:dyDescent="0.25"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</row>
    <row r="2174" spans="4:26" s="2" customFormat="1" x14ac:dyDescent="0.25"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</row>
    <row r="2175" spans="4:26" s="2" customFormat="1" x14ac:dyDescent="0.25"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</row>
    <row r="2176" spans="4:26" s="2" customFormat="1" x14ac:dyDescent="0.25"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</row>
    <row r="2177" spans="4:26" s="2" customFormat="1" x14ac:dyDescent="0.25"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</row>
    <row r="2178" spans="4:26" s="2" customFormat="1" x14ac:dyDescent="0.25"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</row>
    <row r="2179" spans="4:26" s="2" customFormat="1" x14ac:dyDescent="0.25"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</row>
    <row r="2180" spans="4:26" s="2" customFormat="1" x14ac:dyDescent="0.25"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</row>
    <row r="2181" spans="4:26" s="2" customFormat="1" x14ac:dyDescent="0.25"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</row>
    <row r="2182" spans="4:26" s="2" customFormat="1" x14ac:dyDescent="0.25"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</row>
    <row r="2183" spans="4:26" s="2" customFormat="1" x14ac:dyDescent="0.25"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</row>
    <row r="2184" spans="4:26" s="2" customFormat="1" x14ac:dyDescent="0.25"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</row>
    <row r="2185" spans="4:26" s="2" customFormat="1" x14ac:dyDescent="0.25"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</row>
    <row r="2186" spans="4:26" s="2" customFormat="1" x14ac:dyDescent="0.25"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</row>
    <row r="2187" spans="4:26" s="2" customFormat="1" x14ac:dyDescent="0.25"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</row>
    <row r="2188" spans="4:26" s="2" customFormat="1" x14ac:dyDescent="0.25"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</row>
    <row r="2189" spans="4:26" s="2" customFormat="1" x14ac:dyDescent="0.25"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</row>
    <row r="2190" spans="4:26" s="2" customFormat="1" x14ac:dyDescent="0.25"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</row>
    <row r="2191" spans="4:26" s="2" customFormat="1" x14ac:dyDescent="0.25"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</row>
    <row r="2192" spans="4:26" s="2" customFormat="1" x14ac:dyDescent="0.25"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</row>
    <row r="2193" spans="4:26" s="2" customFormat="1" x14ac:dyDescent="0.25"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</row>
    <row r="2194" spans="4:26" s="2" customFormat="1" x14ac:dyDescent="0.25"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</row>
    <row r="2195" spans="4:26" s="2" customFormat="1" x14ac:dyDescent="0.25"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</row>
    <row r="2196" spans="4:26" s="2" customFormat="1" x14ac:dyDescent="0.25"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</row>
    <row r="2197" spans="4:26" s="2" customFormat="1" x14ac:dyDescent="0.25"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</row>
    <row r="2198" spans="4:26" s="2" customFormat="1" x14ac:dyDescent="0.25"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</row>
    <row r="2199" spans="4:26" s="2" customFormat="1" x14ac:dyDescent="0.25"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</row>
    <row r="2200" spans="4:26" s="2" customFormat="1" x14ac:dyDescent="0.25"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</row>
    <row r="2201" spans="4:26" s="2" customFormat="1" x14ac:dyDescent="0.25"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</row>
    <row r="2202" spans="4:26" s="2" customFormat="1" x14ac:dyDescent="0.25"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</row>
    <row r="2203" spans="4:26" s="2" customFormat="1" x14ac:dyDescent="0.25"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</row>
    <row r="2204" spans="4:26" s="2" customFormat="1" x14ac:dyDescent="0.25"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</row>
    <row r="2205" spans="4:26" s="2" customFormat="1" x14ac:dyDescent="0.25"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</row>
    <row r="2206" spans="4:26" s="2" customFormat="1" x14ac:dyDescent="0.25"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</row>
    <row r="2207" spans="4:26" s="2" customFormat="1" x14ac:dyDescent="0.25"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</row>
    <row r="2208" spans="4:26" s="2" customFormat="1" x14ac:dyDescent="0.25"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</row>
    <row r="2209" spans="4:26" s="2" customFormat="1" x14ac:dyDescent="0.25"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</row>
    <row r="2210" spans="4:26" s="2" customFormat="1" x14ac:dyDescent="0.25"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</row>
    <row r="2211" spans="4:26" s="2" customFormat="1" x14ac:dyDescent="0.25"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</row>
    <row r="2212" spans="4:26" s="2" customFormat="1" x14ac:dyDescent="0.25"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</row>
    <row r="2213" spans="4:26" s="2" customFormat="1" x14ac:dyDescent="0.25"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</row>
    <row r="2214" spans="4:26" s="2" customFormat="1" x14ac:dyDescent="0.25"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</row>
    <row r="2215" spans="4:26" s="2" customFormat="1" x14ac:dyDescent="0.25"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</row>
    <row r="2216" spans="4:26" s="2" customFormat="1" x14ac:dyDescent="0.25"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</row>
    <row r="2217" spans="4:26" s="2" customFormat="1" x14ac:dyDescent="0.25"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</row>
    <row r="2218" spans="4:26" s="2" customFormat="1" x14ac:dyDescent="0.25"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</row>
    <row r="2219" spans="4:26" s="2" customFormat="1" x14ac:dyDescent="0.25"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</row>
    <row r="2220" spans="4:26" s="2" customFormat="1" x14ac:dyDescent="0.25"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</row>
    <row r="2221" spans="4:26" s="2" customFormat="1" x14ac:dyDescent="0.25"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</row>
    <row r="2222" spans="4:26" s="2" customFormat="1" x14ac:dyDescent="0.25"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</row>
    <row r="2223" spans="4:26" s="2" customFormat="1" x14ac:dyDescent="0.25"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</row>
    <row r="2224" spans="4:26" s="2" customFormat="1" x14ac:dyDescent="0.25"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</row>
    <row r="2225" spans="4:26" s="2" customFormat="1" x14ac:dyDescent="0.25"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</row>
    <row r="2226" spans="4:26" s="2" customFormat="1" x14ac:dyDescent="0.25"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</row>
    <row r="2227" spans="4:26" s="2" customFormat="1" x14ac:dyDescent="0.25"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</row>
    <row r="2228" spans="4:26" s="2" customFormat="1" x14ac:dyDescent="0.25"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</row>
    <row r="2229" spans="4:26" s="2" customFormat="1" x14ac:dyDescent="0.25"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</row>
    <row r="2230" spans="4:26" s="2" customFormat="1" x14ac:dyDescent="0.25"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</row>
    <row r="2231" spans="4:26" s="2" customFormat="1" x14ac:dyDescent="0.25"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</row>
    <row r="2232" spans="4:26" s="2" customFormat="1" x14ac:dyDescent="0.25"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</row>
    <row r="2233" spans="4:26" s="2" customFormat="1" x14ac:dyDescent="0.25"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</row>
    <row r="2234" spans="4:26" s="2" customFormat="1" x14ac:dyDescent="0.25"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</row>
    <row r="2235" spans="4:26" s="2" customFormat="1" x14ac:dyDescent="0.25"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</row>
    <row r="2236" spans="4:26" s="2" customFormat="1" x14ac:dyDescent="0.25"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</row>
    <row r="2237" spans="4:26" s="2" customFormat="1" x14ac:dyDescent="0.25"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</row>
    <row r="2238" spans="4:26" s="2" customFormat="1" x14ac:dyDescent="0.25"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</row>
    <row r="2239" spans="4:26" s="2" customFormat="1" x14ac:dyDescent="0.25"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</row>
    <row r="2240" spans="4:26" s="2" customFormat="1" x14ac:dyDescent="0.25"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</row>
    <row r="2241" spans="4:26" s="2" customFormat="1" x14ac:dyDescent="0.25"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</row>
    <row r="2242" spans="4:26" s="2" customFormat="1" x14ac:dyDescent="0.25"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</row>
    <row r="2243" spans="4:26" s="2" customFormat="1" x14ac:dyDescent="0.25"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</row>
    <row r="2244" spans="4:26" s="2" customFormat="1" x14ac:dyDescent="0.25"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</row>
    <row r="2245" spans="4:26" s="2" customFormat="1" x14ac:dyDescent="0.25"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</row>
    <row r="2246" spans="4:26" s="2" customFormat="1" x14ac:dyDescent="0.25"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</row>
    <row r="2247" spans="4:26" s="2" customFormat="1" x14ac:dyDescent="0.25"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</row>
    <row r="2248" spans="4:26" s="2" customFormat="1" x14ac:dyDescent="0.25"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</row>
    <row r="2249" spans="4:26" s="2" customFormat="1" x14ac:dyDescent="0.25"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</row>
    <row r="2250" spans="4:26" s="2" customFormat="1" x14ac:dyDescent="0.25"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</row>
    <row r="2251" spans="4:26" s="2" customFormat="1" x14ac:dyDescent="0.25"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</row>
    <row r="2252" spans="4:26" s="2" customFormat="1" x14ac:dyDescent="0.25"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</row>
    <row r="2253" spans="4:26" s="2" customFormat="1" x14ac:dyDescent="0.25"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</row>
    <row r="2254" spans="4:26" s="2" customFormat="1" x14ac:dyDescent="0.25"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</row>
    <row r="2255" spans="4:26" s="2" customFormat="1" x14ac:dyDescent="0.25"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</row>
    <row r="2256" spans="4:26" s="2" customFormat="1" x14ac:dyDescent="0.25"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</row>
    <row r="2257" spans="4:26" s="2" customFormat="1" x14ac:dyDescent="0.25"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</row>
    <row r="2258" spans="4:26" s="2" customFormat="1" x14ac:dyDescent="0.25"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</row>
    <row r="2259" spans="4:26" s="2" customFormat="1" x14ac:dyDescent="0.25"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</row>
    <row r="2260" spans="4:26" s="2" customFormat="1" x14ac:dyDescent="0.25"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</row>
    <row r="2261" spans="4:26" s="2" customFormat="1" x14ac:dyDescent="0.25"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</row>
    <row r="2262" spans="4:26" s="2" customFormat="1" x14ac:dyDescent="0.25"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</row>
    <row r="2263" spans="4:26" s="2" customFormat="1" x14ac:dyDescent="0.25"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</row>
    <row r="2264" spans="4:26" s="2" customFormat="1" x14ac:dyDescent="0.25"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</row>
    <row r="2265" spans="4:26" s="2" customFormat="1" x14ac:dyDescent="0.25"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</row>
    <row r="2266" spans="4:26" s="2" customFormat="1" x14ac:dyDescent="0.25"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</row>
    <row r="2267" spans="4:26" s="2" customFormat="1" x14ac:dyDescent="0.25"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</row>
    <row r="2268" spans="4:26" s="2" customFormat="1" x14ac:dyDescent="0.25"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</row>
    <row r="2269" spans="4:26" s="2" customFormat="1" x14ac:dyDescent="0.25"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</row>
    <row r="2270" spans="4:26" s="2" customFormat="1" x14ac:dyDescent="0.25"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</row>
    <row r="2271" spans="4:26" s="2" customFormat="1" x14ac:dyDescent="0.25"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</row>
    <row r="2272" spans="4:26" s="2" customFormat="1" x14ac:dyDescent="0.25"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</row>
    <row r="2273" spans="4:26" s="2" customFormat="1" x14ac:dyDescent="0.25"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</row>
    <row r="2274" spans="4:26" s="2" customFormat="1" x14ac:dyDescent="0.25"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</row>
    <row r="2275" spans="4:26" s="2" customFormat="1" x14ac:dyDescent="0.25"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</row>
    <row r="2276" spans="4:26" s="2" customFormat="1" x14ac:dyDescent="0.25"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</row>
    <row r="2277" spans="4:26" s="2" customFormat="1" x14ac:dyDescent="0.25"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</row>
    <row r="2278" spans="4:26" s="2" customFormat="1" x14ac:dyDescent="0.25"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</row>
    <row r="2279" spans="4:26" s="2" customFormat="1" x14ac:dyDescent="0.25"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</row>
    <row r="2280" spans="4:26" s="2" customFormat="1" x14ac:dyDescent="0.25"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</row>
    <row r="2281" spans="4:26" s="2" customFormat="1" x14ac:dyDescent="0.25"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</row>
    <row r="2282" spans="4:26" s="2" customFormat="1" x14ac:dyDescent="0.25"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</row>
    <row r="2283" spans="4:26" s="2" customFormat="1" x14ac:dyDescent="0.25"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</row>
    <row r="2284" spans="4:26" s="2" customFormat="1" x14ac:dyDescent="0.25"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</row>
    <row r="2285" spans="4:26" s="2" customFormat="1" x14ac:dyDescent="0.25"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</row>
    <row r="2286" spans="4:26" s="2" customFormat="1" x14ac:dyDescent="0.25"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</row>
    <row r="2287" spans="4:26" s="2" customFormat="1" x14ac:dyDescent="0.25"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</row>
    <row r="2288" spans="4:26" s="2" customFormat="1" x14ac:dyDescent="0.25"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</row>
    <row r="2289" spans="4:26" s="2" customFormat="1" x14ac:dyDescent="0.25"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</row>
    <row r="2290" spans="4:26" s="2" customFormat="1" x14ac:dyDescent="0.25"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</row>
    <row r="2291" spans="4:26" s="2" customFormat="1" x14ac:dyDescent="0.25"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</row>
    <row r="2292" spans="4:26" s="2" customFormat="1" x14ac:dyDescent="0.25"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</row>
    <row r="2293" spans="4:26" s="2" customFormat="1" x14ac:dyDescent="0.25"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</row>
    <row r="2294" spans="4:26" s="2" customFormat="1" x14ac:dyDescent="0.25"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</row>
    <row r="2295" spans="4:26" s="2" customFormat="1" x14ac:dyDescent="0.25"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</row>
    <row r="2296" spans="4:26" s="2" customFormat="1" x14ac:dyDescent="0.25"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</row>
    <row r="2297" spans="4:26" s="2" customFormat="1" x14ac:dyDescent="0.25"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</row>
    <row r="2298" spans="4:26" s="2" customFormat="1" x14ac:dyDescent="0.25"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</row>
    <row r="2299" spans="4:26" s="2" customFormat="1" x14ac:dyDescent="0.25"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</row>
    <row r="2300" spans="4:26" s="2" customFormat="1" x14ac:dyDescent="0.25"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</row>
    <row r="2301" spans="4:26" s="2" customFormat="1" x14ac:dyDescent="0.25"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</row>
    <row r="2302" spans="4:26" s="2" customFormat="1" x14ac:dyDescent="0.25"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</row>
    <row r="2303" spans="4:26" s="2" customFormat="1" x14ac:dyDescent="0.25"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</row>
    <row r="2304" spans="4:26" s="2" customFormat="1" x14ac:dyDescent="0.25"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</row>
    <row r="2305" spans="4:26" s="2" customFormat="1" x14ac:dyDescent="0.25"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</row>
    <row r="2306" spans="4:26" s="2" customFormat="1" x14ac:dyDescent="0.25"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</row>
    <row r="2307" spans="4:26" s="2" customFormat="1" x14ac:dyDescent="0.25"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</row>
    <row r="2308" spans="4:26" s="2" customFormat="1" x14ac:dyDescent="0.25"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</row>
    <row r="2309" spans="4:26" s="2" customFormat="1" x14ac:dyDescent="0.25"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</row>
    <row r="2310" spans="4:26" s="2" customFormat="1" x14ac:dyDescent="0.25"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</row>
    <row r="2311" spans="4:26" s="2" customFormat="1" x14ac:dyDescent="0.25"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</row>
    <row r="2312" spans="4:26" s="2" customFormat="1" x14ac:dyDescent="0.25"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</row>
    <row r="2313" spans="4:26" s="2" customFormat="1" x14ac:dyDescent="0.25"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</row>
    <row r="2314" spans="4:26" s="2" customFormat="1" x14ac:dyDescent="0.25"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</row>
    <row r="2315" spans="4:26" s="2" customFormat="1" x14ac:dyDescent="0.25"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</row>
    <row r="2316" spans="4:26" s="2" customFormat="1" x14ac:dyDescent="0.25"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</row>
    <row r="2317" spans="4:26" s="2" customFormat="1" x14ac:dyDescent="0.25"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</row>
    <row r="2318" spans="4:26" s="2" customFormat="1" x14ac:dyDescent="0.25"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</row>
    <row r="2319" spans="4:26" s="2" customFormat="1" x14ac:dyDescent="0.25"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</row>
    <row r="2320" spans="4:26" s="2" customFormat="1" x14ac:dyDescent="0.25"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</row>
    <row r="2321" spans="4:26" s="2" customFormat="1" x14ac:dyDescent="0.25"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</row>
    <row r="2322" spans="4:26" s="2" customFormat="1" x14ac:dyDescent="0.25"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</row>
    <row r="2323" spans="4:26" s="2" customFormat="1" x14ac:dyDescent="0.25"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</row>
    <row r="2324" spans="4:26" s="2" customFormat="1" x14ac:dyDescent="0.25"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</row>
    <row r="2325" spans="4:26" s="2" customFormat="1" x14ac:dyDescent="0.25"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</row>
    <row r="2326" spans="4:26" s="2" customFormat="1" x14ac:dyDescent="0.25"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</row>
    <row r="2327" spans="4:26" s="2" customFormat="1" x14ac:dyDescent="0.25"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</row>
    <row r="2328" spans="4:26" s="2" customFormat="1" x14ac:dyDescent="0.25"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</row>
    <row r="2329" spans="4:26" s="2" customFormat="1" x14ac:dyDescent="0.25"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</row>
    <row r="2330" spans="4:26" s="2" customFormat="1" x14ac:dyDescent="0.25"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</row>
    <row r="2331" spans="4:26" s="2" customFormat="1" x14ac:dyDescent="0.25"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</row>
    <row r="2332" spans="4:26" s="2" customFormat="1" x14ac:dyDescent="0.25"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</row>
    <row r="2333" spans="4:26" s="2" customFormat="1" x14ac:dyDescent="0.25"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</row>
    <row r="2334" spans="4:26" s="2" customFormat="1" x14ac:dyDescent="0.25"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</row>
    <row r="2335" spans="4:26" s="2" customFormat="1" x14ac:dyDescent="0.25"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</row>
    <row r="2336" spans="4:26" s="2" customFormat="1" x14ac:dyDescent="0.25"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</row>
    <row r="2337" spans="4:26" s="2" customFormat="1" x14ac:dyDescent="0.25"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</row>
    <row r="2338" spans="4:26" s="2" customFormat="1" x14ac:dyDescent="0.25"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</row>
    <row r="2339" spans="4:26" s="2" customFormat="1" x14ac:dyDescent="0.25"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</row>
    <row r="2340" spans="4:26" s="2" customFormat="1" x14ac:dyDescent="0.25"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</row>
    <row r="2341" spans="4:26" s="2" customFormat="1" x14ac:dyDescent="0.25"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</row>
    <row r="2342" spans="4:26" s="2" customFormat="1" x14ac:dyDescent="0.25"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</row>
    <row r="2343" spans="4:26" s="2" customFormat="1" x14ac:dyDescent="0.25"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</row>
    <row r="2344" spans="4:26" s="2" customFormat="1" x14ac:dyDescent="0.25"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</row>
    <row r="2345" spans="4:26" s="2" customFormat="1" x14ac:dyDescent="0.25"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</row>
    <row r="2346" spans="4:26" s="2" customFormat="1" x14ac:dyDescent="0.25"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</row>
    <row r="2347" spans="4:26" s="2" customFormat="1" x14ac:dyDescent="0.25"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</row>
    <row r="2348" spans="4:26" s="2" customFormat="1" x14ac:dyDescent="0.25"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</row>
    <row r="2349" spans="4:26" s="2" customFormat="1" x14ac:dyDescent="0.25"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</row>
    <row r="2350" spans="4:26" s="2" customFormat="1" x14ac:dyDescent="0.25"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</row>
    <row r="2351" spans="4:26" s="2" customFormat="1" x14ac:dyDescent="0.25"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</row>
    <row r="2352" spans="4:26" s="2" customFormat="1" x14ac:dyDescent="0.25"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</row>
    <row r="2353" spans="4:26" s="2" customFormat="1" x14ac:dyDescent="0.25"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</row>
    <row r="2354" spans="4:26" s="2" customFormat="1" x14ac:dyDescent="0.25"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</row>
    <row r="2355" spans="4:26" s="2" customFormat="1" x14ac:dyDescent="0.25"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</row>
    <row r="2356" spans="4:26" s="2" customFormat="1" x14ac:dyDescent="0.25"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</row>
    <row r="2357" spans="4:26" s="2" customFormat="1" x14ac:dyDescent="0.25"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</row>
    <row r="2358" spans="4:26" s="2" customFormat="1" x14ac:dyDescent="0.25"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</row>
    <row r="2359" spans="4:26" s="2" customFormat="1" x14ac:dyDescent="0.25"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</row>
    <row r="2360" spans="4:26" s="2" customFormat="1" x14ac:dyDescent="0.25"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</row>
    <row r="2361" spans="4:26" s="2" customFormat="1" x14ac:dyDescent="0.25"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</row>
    <row r="2362" spans="4:26" s="2" customFormat="1" x14ac:dyDescent="0.25"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</row>
    <row r="2363" spans="4:26" s="2" customFormat="1" x14ac:dyDescent="0.25"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</row>
    <row r="2364" spans="4:26" s="2" customFormat="1" x14ac:dyDescent="0.25"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</row>
    <row r="2365" spans="4:26" s="2" customFormat="1" x14ac:dyDescent="0.25"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</row>
    <row r="2366" spans="4:26" s="2" customFormat="1" x14ac:dyDescent="0.25"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</row>
    <row r="2367" spans="4:26" s="2" customFormat="1" x14ac:dyDescent="0.25"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</row>
    <row r="2368" spans="4:26" s="2" customFormat="1" x14ac:dyDescent="0.25"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</row>
    <row r="2369" spans="4:26" s="2" customFormat="1" x14ac:dyDescent="0.25"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</row>
    <row r="2370" spans="4:26" s="2" customFormat="1" x14ac:dyDescent="0.25"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</row>
    <row r="2371" spans="4:26" s="2" customFormat="1" x14ac:dyDescent="0.25"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</row>
    <row r="2372" spans="4:26" s="2" customFormat="1" x14ac:dyDescent="0.25"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</row>
    <row r="2373" spans="4:26" s="2" customFormat="1" x14ac:dyDescent="0.25"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</row>
    <row r="2374" spans="4:26" s="2" customFormat="1" x14ac:dyDescent="0.25"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</row>
    <row r="2375" spans="4:26" s="2" customFormat="1" x14ac:dyDescent="0.25"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</row>
    <row r="2376" spans="4:26" s="2" customFormat="1" x14ac:dyDescent="0.25"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</row>
    <row r="2377" spans="4:26" s="2" customFormat="1" x14ac:dyDescent="0.25"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</row>
    <row r="2378" spans="4:26" s="2" customFormat="1" x14ac:dyDescent="0.25"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</row>
    <row r="2379" spans="4:26" s="2" customFormat="1" x14ac:dyDescent="0.25"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</row>
    <row r="2380" spans="4:26" s="2" customFormat="1" x14ac:dyDescent="0.25"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</row>
    <row r="2381" spans="4:26" s="2" customFormat="1" x14ac:dyDescent="0.25"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</row>
    <row r="2382" spans="4:26" s="2" customFormat="1" x14ac:dyDescent="0.25"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</row>
    <row r="2383" spans="4:26" s="2" customFormat="1" x14ac:dyDescent="0.25"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</row>
    <row r="2384" spans="4:26" s="2" customFormat="1" x14ac:dyDescent="0.25"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</row>
    <row r="2385" spans="4:26" s="2" customFormat="1" x14ac:dyDescent="0.25"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</row>
    <row r="2386" spans="4:26" s="2" customFormat="1" x14ac:dyDescent="0.25"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</row>
    <row r="2387" spans="4:26" s="2" customFormat="1" x14ac:dyDescent="0.25"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</row>
    <row r="2388" spans="4:26" s="2" customFormat="1" x14ac:dyDescent="0.25"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</row>
    <row r="2389" spans="4:26" s="2" customFormat="1" x14ac:dyDescent="0.25"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</row>
    <row r="2390" spans="4:26" s="2" customFormat="1" x14ac:dyDescent="0.25"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</row>
    <row r="2391" spans="4:26" s="2" customFormat="1" x14ac:dyDescent="0.25"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</row>
    <row r="2392" spans="4:26" s="2" customFormat="1" x14ac:dyDescent="0.25"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</row>
    <row r="2393" spans="4:26" s="2" customFormat="1" x14ac:dyDescent="0.25"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</row>
    <row r="2394" spans="4:26" s="2" customFormat="1" x14ac:dyDescent="0.25"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</row>
    <row r="2395" spans="4:26" s="2" customFormat="1" x14ac:dyDescent="0.25"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</row>
    <row r="2396" spans="4:26" s="2" customFormat="1" x14ac:dyDescent="0.25"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</row>
    <row r="2397" spans="4:26" s="2" customFormat="1" x14ac:dyDescent="0.25"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</row>
    <row r="2398" spans="4:26" s="2" customFormat="1" x14ac:dyDescent="0.25"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</row>
    <row r="2399" spans="4:26" s="2" customFormat="1" x14ac:dyDescent="0.25"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</row>
    <row r="2400" spans="4:26" s="2" customFormat="1" x14ac:dyDescent="0.25"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</row>
    <row r="2401" spans="4:26" s="2" customFormat="1" x14ac:dyDescent="0.25"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</row>
    <row r="2402" spans="4:26" s="2" customFormat="1" x14ac:dyDescent="0.25"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</row>
    <row r="2403" spans="4:26" s="2" customFormat="1" x14ac:dyDescent="0.25"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</row>
    <row r="2404" spans="4:26" s="2" customFormat="1" x14ac:dyDescent="0.25"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</row>
    <row r="2405" spans="4:26" s="2" customFormat="1" x14ac:dyDescent="0.25"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</row>
    <row r="2406" spans="4:26" s="2" customFormat="1" x14ac:dyDescent="0.25"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</row>
    <row r="2407" spans="4:26" s="2" customFormat="1" x14ac:dyDescent="0.25"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</row>
    <row r="2408" spans="4:26" s="2" customFormat="1" x14ac:dyDescent="0.25"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</row>
    <row r="2409" spans="4:26" s="2" customFormat="1" x14ac:dyDescent="0.25"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</row>
    <row r="2410" spans="4:26" s="2" customFormat="1" x14ac:dyDescent="0.25"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</row>
    <row r="2411" spans="4:26" s="2" customFormat="1" x14ac:dyDescent="0.25"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</row>
    <row r="2412" spans="4:26" s="2" customFormat="1" x14ac:dyDescent="0.25"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</row>
    <row r="2413" spans="4:26" s="2" customFormat="1" x14ac:dyDescent="0.25"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</row>
    <row r="2414" spans="4:26" s="2" customFormat="1" x14ac:dyDescent="0.25"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</row>
    <row r="2415" spans="4:26" s="2" customFormat="1" x14ac:dyDescent="0.25"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</row>
    <row r="2416" spans="4:26" s="2" customFormat="1" x14ac:dyDescent="0.25"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</row>
    <row r="2417" spans="4:26" s="2" customFormat="1" x14ac:dyDescent="0.25"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</row>
    <row r="2418" spans="4:26" s="2" customFormat="1" x14ac:dyDescent="0.25"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</row>
    <row r="2419" spans="4:26" s="2" customFormat="1" x14ac:dyDescent="0.25"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</row>
    <row r="2420" spans="4:26" s="2" customFormat="1" x14ac:dyDescent="0.25"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</row>
    <row r="2421" spans="4:26" s="2" customFormat="1" x14ac:dyDescent="0.25"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</row>
    <row r="2422" spans="4:26" s="2" customFormat="1" x14ac:dyDescent="0.25"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</row>
    <row r="2423" spans="4:26" s="2" customFormat="1" x14ac:dyDescent="0.25"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</row>
    <row r="2424" spans="4:26" s="2" customFormat="1" x14ac:dyDescent="0.25"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</row>
    <row r="2425" spans="4:26" s="2" customFormat="1" x14ac:dyDescent="0.25"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</row>
    <row r="2426" spans="4:26" s="2" customFormat="1" x14ac:dyDescent="0.25"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</row>
    <row r="2427" spans="4:26" s="2" customFormat="1" x14ac:dyDescent="0.25"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</row>
    <row r="2428" spans="4:26" s="2" customFormat="1" x14ac:dyDescent="0.25"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</row>
    <row r="2429" spans="4:26" s="2" customFormat="1" x14ac:dyDescent="0.25"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</row>
    <row r="2430" spans="4:26" s="2" customFormat="1" x14ac:dyDescent="0.25"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</row>
    <row r="2431" spans="4:26" s="2" customFormat="1" x14ac:dyDescent="0.25"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</row>
    <row r="2432" spans="4:26" s="2" customFormat="1" x14ac:dyDescent="0.25"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</row>
    <row r="2433" spans="4:26" s="2" customFormat="1" x14ac:dyDescent="0.25"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</row>
    <row r="2434" spans="4:26" s="2" customFormat="1" x14ac:dyDescent="0.25"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</row>
    <row r="2435" spans="4:26" s="2" customFormat="1" x14ac:dyDescent="0.25"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</row>
    <row r="2436" spans="4:26" s="2" customFormat="1" x14ac:dyDescent="0.25"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</row>
    <row r="2437" spans="4:26" s="2" customFormat="1" x14ac:dyDescent="0.25"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</row>
    <row r="2438" spans="4:26" s="2" customFormat="1" x14ac:dyDescent="0.25"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</row>
    <row r="2439" spans="4:26" s="2" customFormat="1" x14ac:dyDescent="0.25"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</row>
    <row r="2440" spans="4:26" s="2" customFormat="1" x14ac:dyDescent="0.25"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</row>
    <row r="2441" spans="4:26" s="2" customFormat="1" x14ac:dyDescent="0.25"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</row>
    <row r="2442" spans="4:26" s="2" customFormat="1" x14ac:dyDescent="0.25"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</row>
    <row r="2443" spans="4:26" s="2" customFormat="1" x14ac:dyDescent="0.25"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</row>
    <row r="2444" spans="4:26" s="2" customFormat="1" x14ac:dyDescent="0.25"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</row>
    <row r="2445" spans="4:26" s="2" customFormat="1" x14ac:dyDescent="0.25"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</row>
    <row r="2446" spans="4:26" s="2" customFormat="1" x14ac:dyDescent="0.25"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</row>
    <row r="2447" spans="4:26" s="2" customFormat="1" x14ac:dyDescent="0.25"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</row>
    <row r="2448" spans="4:26" s="2" customFormat="1" x14ac:dyDescent="0.25"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</row>
    <row r="2449" spans="4:26" s="2" customFormat="1" x14ac:dyDescent="0.25"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</row>
    <row r="2450" spans="4:26" s="2" customFormat="1" x14ac:dyDescent="0.25"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</row>
    <row r="2451" spans="4:26" s="2" customFormat="1" x14ac:dyDescent="0.25"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</row>
    <row r="2452" spans="4:26" s="2" customFormat="1" x14ac:dyDescent="0.25"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</row>
    <row r="2453" spans="4:26" s="2" customFormat="1" x14ac:dyDescent="0.25"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</row>
    <row r="2454" spans="4:26" s="2" customFormat="1" x14ac:dyDescent="0.25"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</row>
    <row r="2455" spans="4:26" s="2" customFormat="1" x14ac:dyDescent="0.25"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</row>
    <row r="2456" spans="4:26" s="2" customFormat="1" x14ac:dyDescent="0.25"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</row>
    <row r="2457" spans="4:26" s="2" customFormat="1" x14ac:dyDescent="0.25"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</row>
    <row r="2458" spans="4:26" s="2" customFormat="1" x14ac:dyDescent="0.25"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</row>
    <row r="2459" spans="4:26" s="2" customFormat="1" x14ac:dyDescent="0.25"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</row>
    <row r="2460" spans="4:26" s="2" customFormat="1" x14ac:dyDescent="0.25"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</row>
    <row r="2461" spans="4:26" s="2" customFormat="1" x14ac:dyDescent="0.25"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</row>
    <row r="2462" spans="4:26" s="2" customFormat="1" x14ac:dyDescent="0.25"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</row>
    <row r="2463" spans="4:26" s="2" customFormat="1" x14ac:dyDescent="0.25"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</row>
    <row r="2464" spans="4:26" s="2" customFormat="1" x14ac:dyDescent="0.25"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</row>
    <row r="2465" spans="4:26" s="2" customFormat="1" x14ac:dyDescent="0.25"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</row>
    <row r="2466" spans="4:26" s="2" customFormat="1" x14ac:dyDescent="0.25"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</row>
    <row r="2467" spans="4:26" s="2" customFormat="1" x14ac:dyDescent="0.25"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</row>
    <row r="2468" spans="4:26" s="2" customFormat="1" x14ac:dyDescent="0.25"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</row>
    <row r="2469" spans="4:26" s="2" customFormat="1" x14ac:dyDescent="0.25"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</row>
    <row r="2470" spans="4:26" s="2" customFormat="1" x14ac:dyDescent="0.25"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</row>
    <row r="2471" spans="4:26" s="2" customFormat="1" x14ac:dyDescent="0.25"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</row>
    <row r="2472" spans="4:26" s="2" customFormat="1" x14ac:dyDescent="0.25"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</row>
    <row r="2473" spans="4:26" s="2" customFormat="1" x14ac:dyDescent="0.25"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</row>
    <row r="2474" spans="4:26" s="2" customFormat="1" x14ac:dyDescent="0.25"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</row>
    <row r="2475" spans="4:26" s="2" customFormat="1" x14ac:dyDescent="0.25"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</row>
    <row r="2476" spans="4:26" s="2" customFormat="1" x14ac:dyDescent="0.25"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</row>
    <row r="2477" spans="4:26" s="2" customFormat="1" x14ac:dyDescent="0.25"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</row>
    <row r="2478" spans="4:26" s="2" customFormat="1" x14ac:dyDescent="0.25"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</row>
    <row r="2479" spans="4:26" s="2" customFormat="1" x14ac:dyDescent="0.25"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</row>
    <row r="2480" spans="4:26" s="2" customFormat="1" x14ac:dyDescent="0.25"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</row>
    <row r="2481" spans="4:26" s="2" customFormat="1" x14ac:dyDescent="0.25"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</row>
    <row r="2482" spans="4:26" s="2" customFormat="1" x14ac:dyDescent="0.25"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</row>
    <row r="2483" spans="4:26" s="2" customFormat="1" x14ac:dyDescent="0.25"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</row>
    <row r="2484" spans="4:26" s="2" customFormat="1" x14ac:dyDescent="0.25"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</row>
    <row r="2485" spans="4:26" s="2" customFormat="1" x14ac:dyDescent="0.25"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</row>
    <row r="2486" spans="4:26" s="2" customFormat="1" x14ac:dyDescent="0.25"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</row>
    <row r="2487" spans="4:26" s="2" customFormat="1" x14ac:dyDescent="0.25"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</row>
    <row r="2488" spans="4:26" s="2" customFormat="1" x14ac:dyDescent="0.25"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</row>
    <row r="2489" spans="4:26" s="2" customFormat="1" x14ac:dyDescent="0.25"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</row>
    <row r="2490" spans="4:26" s="2" customFormat="1" x14ac:dyDescent="0.25"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</row>
    <row r="2491" spans="4:26" s="2" customFormat="1" x14ac:dyDescent="0.25"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</row>
    <row r="2492" spans="4:26" s="2" customFormat="1" x14ac:dyDescent="0.25"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</row>
    <row r="2493" spans="4:26" s="2" customFormat="1" x14ac:dyDescent="0.25"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</row>
    <row r="2494" spans="4:26" s="2" customFormat="1" x14ac:dyDescent="0.25"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</row>
    <row r="2495" spans="4:26" s="2" customFormat="1" x14ac:dyDescent="0.25"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</row>
    <row r="2496" spans="4:26" s="2" customFormat="1" x14ac:dyDescent="0.25"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</row>
    <row r="2497" spans="4:26" s="2" customFormat="1" x14ac:dyDescent="0.25"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</row>
    <row r="2498" spans="4:26" s="2" customFormat="1" x14ac:dyDescent="0.25"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</row>
    <row r="2499" spans="4:26" s="2" customFormat="1" x14ac:dyDescent="0.25"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</row>
    <row r="2500" spans="4:26" s="2" customFormat="1" x14ac:dyDescent="0.25"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</row>
    <row r="2501" spans="4:26" s="2" customFormat="1" x14ac:dyDescent="0.25"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</row>
    <row r="2502" spans="4:26" s="2" customFormat="1" x14ac:dyDescent="0.25"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</row>
    <row r="2503" spans="4:26" s="2" customFormat="1" x14ac:dyDescent="0.25"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</row>
    <row r="2504" spans="4:26" s="2" customFormat="1" x14ac:dyDescent="0.25"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</row>
    <row r="2505" spans="4:26" s="2" customFormat="1" x14ac:dyDescent="0.25"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</row>
    <row r="2506" spans="4:26" s="2" customFormat="1" x14ac:dyDescent="0.25"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</row>
    <row r="2507" spans="4:26" s="2" customFormat="1" x14ac:dyDescent="0.25"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</row>
    <row r="2508" spans="4:26" s="2" customFormat="1" x14ac:dyDescent="0.25"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</row>
    <row r="2509" spans="4:26" s="2" customFormat="1" x14ac:dyDescent="0.25"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</row>
    <row r="2510" spans="4:26" s="2" customFormat="1" x14ac:dyDescent="0.25"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</row>
    <row r="2511" spans="4:26" s="2" customFormat="1" x14ac:dyDescent="0.25"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</row>
    <row r="2512" spans="4:26" s="2" customFormat="1" x14ac:dyDescent="0.25"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</row>
    <row r="2513" spans="4:26" s="2" customFormat="1" x14ac:dyDescent="0.25"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</row>
    <row r="2514" spans="4:26" s="2" customFormat="1" x14ac:dyDescent="0.25"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</row>
    <row r="2515" spans="4:26" s="2" customFormat="1" x14ac:dyDescent="0.25"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</row>
    <row r="2516" spans="4:26" s="2" customFormat="1" x14ac:dyDescent="0.25"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</row>
    <row r="2517" spans="4:26" s="2" customFormat="1" x14ac:dyDescent="0.25"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</row>
    <row r="2518" spans="4:26" s="2" customFormat="1" x14ac:dyDescent="0.25"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</row>
    <row r="2519" spans="4:26" s="2" customFormat="1" x14ac:dyDescent="0.25"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</row>
    <row r="2520" spans="4:26" s="2" customFormat="1" x14ac:dyDescent="0.25"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</row>
    <row r="2521" spans="4:26" s="2" customFormat="1" x14ac:dyDescent="0.25"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</row>
    <row r="2522" spans="4:26" s="2" customFormat="1" x14ac:dyDescent="0.25"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</row>
    <row r="2523" spans="4:26" s="2" customFormat="1" x14ac:dyDescent="0.25"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</row>
    <row r="2524" spans="4:26" s="2" customFormat="1" x14ac:dyDescent="0.25"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</row>
    <row r="2525" spans="4:26" s="2" customFormat="1" x14ac:dyDescent="0.25"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</row>
    <row r="2526" spans="4:26" s="2" customFormat="1" x14ac:dyDescent="0.25"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</row>
    <row r="2527" spans="4:26" s="2" customFormat="1" x14ac:dyDescent="0.25"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</row>
    <row r="2528" spans="4:26" s="2" customFormat="1" x14ac:dyDescent="0.25"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</row>
    <row r="2529" spans="4:26" s="2" customFormat="1" x14ac:dyDescent="0.25"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</row>
    <row r="2530" spans="4:26" s="2" customFormat="1" x14ac:dyDescent="0.25"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</row>
    <row r="2531" spans="4:26" s="2" customFormat="1" x14ac:dyDescent="0.25"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</row>
    <row r="2532" spans="4:26" s="2" customFormat="1" x14ac:dyDescent="0.25"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</row>
    <row r="2533" spans="4:26" s="2" customFormat="1" x14ac:dyDescent="0.25"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</row>
    <row r="2534" spans="4:26" s="2" customFormat="1" x14ac:dyDescent="0.25"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</row>
    <row r="2535" spans="4:26" s="2" customFormat="1" x14ac:dyDescent="0.25"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</row>
    <row r="2536" spans="4:26" s="2" customFormat="1" x14ac:dyDescent="0.25"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</row>
    <row r="2537" spans="4:26" s="2" customFormat="1" x14ac:dyDescent="0.25"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</row>
    <row r="2538" spans="4:26" s="2" customFormat="1" x14ac:dyDescent="0.25"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</row>
    <row r="2539" spans="4:26" s="2" customFormat="1" x14ac:dyDescent="0.25"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</row>
    <row r="2540" spans="4:26" s="2" customFormat="1" x14ac:dyDescent="0.25"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</row>
    <row r="2541" spans="4:26" s="2" customFormat="1" x14ac:dyDescent="0.25"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</row>
    <row r="2542" spans="4:26" s="2" customFormat="1" x14ac:dyDescent="0.25"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</row>
    <row r="2543" spans="4:26" s="2" customFormat="1" x14ac:dyDescent="0.25"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</row>
    <row r="2544" spans="4:26" s="2" customFormat="1" x14ac:dyDescent="0.25"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</row>
    <row r="2545" spans="4:26" s="2" customFormat="1" x14ac:dyDescent="0.25"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</row>
    <row r="2546" spans="4:26" s="2" customFormat="1" x14ac:dyDescent="0.25"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</row>
    <row r="2547" spans="4:26" s="2" customFormat="1" x14ac:dyDescent="0.25"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</row>
    <row r="2548" spans="4:26" s="2" customFormat="1" x14ac:dyDescent="0.25"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</row>
    <row r="2549" spans="4:26" s="2" customFormat="1" x14ac:dyDescent="0.25"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</row>
    <row r="2550" spans="4:26" s="2" customFormat="1" x14ac:dyDescent="0.25"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</row>
    <row r="2551" spans="4:26" s="2" customFormat="1" x14ac:dyDescent="0.25"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</row>
    <row r="2552" spans="4:26" s="2" customFormat="1" x14ac:dyDescent="0.25"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</row>
    <row r="2553" spans="4:26" s="2" customFormat="1" x14ac:dyDescent="0.25"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</row>
    <row r="2554" spans="4:26" s="2" customFormat="1" x14ac:dyDescent="0.25"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</row>
    <row r="2555" spans="4:26" s="2" customFormat="1" x14ac:dyDescent="0.25"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</row>
    <row r="2556" spans="4:26" s="2" customFormat="1" x14ac:dyDescent="0.25"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</row>
    <row r="2557" spans="4:26" s="2" customFormat="1" x14ac:dyDescent="0.25"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</row>
    <row r="2558" spans="4:26" s="2" customFormat="1" x14ac:dyDescent="0.25"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</row>
    <row r="2559" spans="4:26" s="2" customFormat="1" x14ac:dyDescent="0.25"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</row>
    <row r="2560" spans="4:26" s="2" customFormat="1" x14ac:dyDescent="0.25"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</row>
    <row r="2561" spans="4:26" s="2" customFormat="1" x14ac:dyDescent="0.25"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</row>
    <row r="2562" spans="4:26" s="2" customFormat="1" x14ac:dyDescent="0.25"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</row>
    <row r="2563" spans="4:26" s="2" customFormat="1" x14ac:dyDescent="0.25"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</row>
    <row r="2564" spans="4:26" s="2" customFormat="1" x14ac:dyDescent="0.25"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</row>
    <row r="2565" spans="4:26" s="2" customFormat="1" x14ac:dyDescent="0.25"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</row>
    <row r="2566" spans="4:26" s="2" customFormat="1" x14ac:dyDescent="0.25"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</row>
    <row r="2567" spans="4:26" s="2" customFormat="1" x14ac:dyDescent="0.25"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</row>
    <row r="2568" spans="4:26" s="2" customFormat="1" x14ac:dyDescent="0.25"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</row>
    <row r="2569" spans="4:26" s="2" customFormat="1" x14ac:dyDescent="0.25"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</row>
    <row r="2570" spans="4:26" s="2" customFormat="1" x14ac:dyDescent="0.25"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</row>
    <row r="2571" spans="4:26" s="2" customFormat="1" x14ac:dyDescent="0.25"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</row>
    <row r="2572" spans="4:26" s="2" customFormat="1" x14ac:dyDescent="0.25"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</row>
    <row r="2573" spans="4:26" s="2" customFormat="1" x14ac:dyDescent="0.25"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</row>
    <row r="2574" spans="4:26" s="2" customFormat="1" x14ac:dyDescent="0.25"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</row>
    <row r="2575" spans="4:26" s="2" customFormat="1" x14ac:dyDescent="0.25"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</row>
    <row r="2576" spans="4:26" s="2" customFormat="1" x14ac:dyDescent="0.25"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</row>
    <row r="2577" spans="4:26" s="2" customFormat="1" x14ac:dyDescent="0.25"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</row>
    <row r="2578" spans="4:26" s="2" customFormat="1" x14ac:dyDescent="0.25"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</row>
    <row r="2579" spans="4:26" s="2" customFormat="1" x14ac:dyDescent="0.25"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</row>
    <row r="2580" spans="4:26" s="2" customFormat="1" x14ac:dyDescent="0.25"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</row>
    <row r="2581" spans="4:26" s="2" customFormat="1" x14ac:dyDescent="0.25"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</row>
    <row r="2582" spans="4:26" s="2" customFormat="1" x14ac:dyDescent="0.25"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</row>
    <row r="2583" spans="4:26" s="2" customFormat="1" x14ac:dyDescent="0.25"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</row>
    <row r="2584" spans="4:26" s="2" customFormat="1" x14ac:dyDescent="0.25"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</row>
    <row r="2585" spans="4:26" s="2" customFormat="1" x14ac:dyDescent="0.25"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</row>
    <row r="2586" spans="4:26" s="2" customFormat="1" x14ac:dyDescent="0.25"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</row>
    <row r="2587" spans="4:26" s="2" customFormat="1" x14ac:dyDescent="0.25"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</row>
    <row r="2588" spans="4:26" s="2" customFormat="1" x14ac:dyDescent="0.25"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</row>
    <row r="2589" spans="4:26" s="2" customFormat="1" x14ac:dyDescent="0.25"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</row>
    <row r="2590" spans="4:26" s="2" customFormat="1" x14ac:dyDescent="0.25"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</row>
    <row r="2591" spans="4:26" s="2" customFormat="1" x14ac:dyDescent="0.25"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</row>
    <row r="2592" spans="4:26" s="2" customFormat="1" x14ac:dyDescent="0.25"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</row>
    <row r="2593" spans="4:26" s="2" customFormat="1" x14ac:dyDescent="0.25"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</row>
    <row r="2594" spans="4:26" s="2" customFormat="1" x14ac:dyDescent="0.25"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</row>
    <row r="2595" spans="4:26" s="2" customFormat="1" x14ac:dyDescent="0.25"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</row>
    <row r="2596" spans="4:26" s="2" customFormat="1" x14ac:dyDescent="0.25"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</row>
    <row r="2597" spans="4:26" s="2" customFormat="1" x14ac:dyDescent="0.25"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</row>
    <row r="2598" spans="4:26" s="2" customFormat="1" x14ac:dyDescent="0.25"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</row>
    <row r="2599" spans="4:26" s="2" customFormat="1" x14ac:dyDescent="0.25"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</row>
  </sheetData>
  <mergeCells count="1">
    <mergeCell ref="H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 2 Ativos</vt:lpstr>
      <vt:lpstr>Caso N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Coelho Lavrado</dc:creator>
  <cp:lastModifiedBy>Rafael Lavrado</cp:lastModifiedBy>
  <dcterms:created xsi:type="dcterms:W3CDTF">2018-03-22T16:19:02Z</dcterms:created>
  <dcterms:modified xsi:type="dcterms:W3CDTF">2018-09-04T12:33:36Z</dcterms:modified>
</cp:coreProperties>
</file>