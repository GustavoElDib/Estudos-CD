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USER\Quantamental Dropbox\Rafael Lavrado\Blog\"/>
    </mc:Choice>
  </mc:AlternateContent>
  <xr:revisionPtr revIDLastSave="0" documentId="13_ncr:1_{2DB8654A-29D9-4B82-92C8-65C53E96E739}" xr6:coauthVersionLast="44" xr6:coauthVersionMax="44" xr10:uidLastSave="{00000000-0000-0000-0000-000000000000}"/>
  <bookViews>
    <workbookView xWindow="-108" yWindow="-108" windowWidth="23256" windowHeight="13176" tabRatio="603" xr2:uid="{00000000-000D-0000-FFFF-FFFF00000000}"/>
  </bookViews>
  <sheets>
    <sheet name="Consolidado" sheetId="2" r:id="rId1"/>
    <sheet name="Portfolio" sheetId="1" r:id="rId2"/>
    <sheet name="Preços" sheetId="3" r:id="rId3"/>
  </sheets>
  <definedNames>
    <definedName name="Range_Precos">Preços!$B$3:$D$194</definedName>
  </definedNames>
  <calcPr calcId="191029" calcOnSave="0"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7" i="2" l="1"/>
  <c r="V6" i="1"/>
  <c r="W6" i="1"/>
  <c r="V7" i="1"/>
  <c r="W7" i="1"/>
  <c r="V8" i="1"/>
  <c r="W8" i="1"/>
  <c r="V9" i="1"/>
  <c r="W9" i="1"/>
  <c r="V10" i="1"/>
  <c r="W10" i="1"/>
  <c r="W4" i="1"/>
  <c r="C17" i="2"/>
  <c r="C18" i="2"/>
  <c r="C9" i="2"/>
  <c r="C10" i="2"/>
  <c r="C15" i="2"/>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G24" i="3"/>
  <c r="F24" i="3"/>
  <c r="C24" i="3"/>
  <c r="G26" i="1"/>
  <c r="D24" i="3"/>
  <c r="H26" i="1"/>
  <c r="C13" i="2"/>
  <c r="G4" i="3"/>
  <c r="D4" i="3"/>
  <c r="H7" i="1"/>
  <c r="F4" i="3"/>
  <c r="C4" i="3"/>
  <c r="G7" i="1"/>
  <c r="L7" i="1"/>
  <c r="N7" i="1"/>
  <c r="T7" i="1"/>
  <c r="P7" i="1"/>
  <c r="G5" i="3"/>
  <c r="D5" i="3"/>
  <c r="H8" i="1"/>
  <c r="F5" i="3"/>
  <c r="C5" i="3"/>
  <c r="G8" i="1"/>
  <c r="L8" i="1"/>
  <c r="N8" i="1"/>
  <c r="P8" i="1"/>
  <c r="G6" i="3"/>
  <c r="D6" i="3"/>
  <c r="H9" i="1"/>
  <c r="F6" i="3"/>
  <c r="C6" i="3"/>
  <c r="G9" i="1"/>
  <c r="L9" i="1"/>
  <c r="N9" i="1"/>
  <c r="P9" i="1"/>
  <c r="G7" i="3"/>
  <c r="D7" i="3"/>
  <c r="H10" i="1"/>
  <c r="F7" i="3"/>
  <c r="C7" i="3"/>
  <c r="G10" i="1"/>
  <c r="L10" i="1"/>
  <c r="N10" i="1"/>
  <c r="P10" i="1"/>
  <c r="G8" i="3"/>
  <c r="D8" i="3"/>
  <c r="H11" i="1"/>
  <c r="F8" i="3"/>
  <c r="C8" i="3"/>
  <c r="G11" i="1"/>
  <c r="L11" i="1"/>
  <c r="N11" i="1"/>
  <c r="P11" i="1"/>
  <c r="G9" i="3"/>
  <c r="D9" i="3"/>
  <c r="H12" i="1"/>
  <c r="F9" i="3"/>
  <c r="C9" i="3"/>
  <c r="G12" i="1"/>
  <c r="L12" i="1"/>
  <c r="N12" i="1"/>
  <c r="P12" i="1"/>
  <c r="G10" i="3"/>
  <c r="D10" i="3"/>
  <c r="H13" i="1"/>
  <c r="F10" i="3"/>
  <c r="C10" i="3"/>
  <c r="G13" i="1"/>
  <c r="L13" i="1"/>
  <c r="N13" i="1"/>
  <c r="P13" i="1"/>
  <c r="G11" i="3"/>
  <c r="D11" i="3"/>
  <c r="H14" i="1"/>
  <c r="F11" i="3"/>
  <c r="C11" i="3"/>
  <c r="G14" i="1"/>
  <c r="L14" i="1"/>
  <c r="N14" i="1"/>
  <c r="P14" i="1"/>
  <c r="G12" i="3"/>
  <c r="D12" i="3"/>
  <c r="H15" i="1"/>
  <c r="F12" i="3"/>
  <c r="C12" i="3"/>
  <c r="G15" i="1"/>
  <c r="L15" i="1"/>
  <c r="N15" i="1"/>
  <c r="P15" i="1"/>
  <c r="G13" i="3"/>
  <c r="D13" i="3"/>
  <c r="H16" i="1"/>
  <c r="F13" i="3"/>
  <c r="C13" i="3"/>
  <c r="G16" i="1"/>
  <c r="L16" i="1"/>
  <c r="N16" i="1"/>
  <c r="P16" i="1"/>
  <c r="G14" i="3"/>
  <c r="D14" i="3"/>
  <c r="H17" i="1"/>
  <c r="F14" i="3"/>
  <c r="C14" i="3"/>
  <c r="G17" i="1"/>
  <c r="L17" i="1"/>
  <c r="N17" i="1"/>
  <c r="P17" i="1"/>
  <c r="G15" i="3"/>
  <c r="D15" i="3"/>
  <c r="H18" i="1"/>
  <c r="F15" i="3"/>
  <c r="C15" i="3"/>
  <c r="G18" i="1"/>
  <c r="L18" i="1"/>
  <c r="N18" i="1"/>
  <c r="P18" i="1"/>
  <c r="G16" i="3"/>
  <c r="D16" i="3"/>
  <c r="H19" i="1"/>
  <c r="F16" i="3"/>
  <c r="C16" i="3"/>
  <c r="G19" i="1"/>
  <c r="L19" i="1"/>
  <c r="N19" i="1"/>
  <c r="P19" i="1"/>
  <c r="G17" i="3"/>
  <c r="D17" i="3"/>
  <c r="H20" i="1"/>
  <c r="F17" i="3"/>
  <c r="C17" i="3"/>
  <c r="G20" i="1"/>
  <c r="L20" i="1"/>
  <c r="N20" i="1"/>
  <c r="P20" i="1"/>
  <c r="G18" i="3"/>
  <c r="D18" i="3"/>
  <c r="H21" i="1"/>
  <c r="F18" i="3"/>
  <c r="C18" i="3"/>
  <c r="G21" i="1"/>
  <c r="L21" i="1"/>
  <c r="N21" i="1"/>
  <c r="P21" i="1"/>
  <c r="G19" i="3"/>
  <c r="D19" i="3"/>
  <c r="H22" i="1"/>
  <c r="F19" i="3"/>
  <c r="C19" i="3"/>
  <c r="G22" i="1"/>
  <c r="L22" i="1"/>
  <c r="N22" i="1"/>
  <c r="P22" i="1"/>
  <c r="G20" i="3"/>
  <c r="D20" i="3"/>
  <c r="H23" i="1"/>
  <c r="F20" i="3"/>
  <c r="C20" i="3"/>
  <c r="G23" i="1"/>
  <c r="L23" i="1"/>
  <c r="N23" i="1"/>
  <c r="P23" i="1"/>
  <c r="G21" i="3"/>
  <c r="D21" i="3"/>
  <c r="H24" i="1"/>
  <c r="F21" i="3"/>
  <c r="C21" i="3"/>
  <c r="G24" i="1"/>
  <c r="L24" i="1"/>
  <c r="N24" i="1"/>
  <c r="P24" i="1"/>
  <c r="G22" i="3"/>
  <c r="D22" i="3"/>
  <c r="H25" i="1"/>
  <c r="F22" i="3"/>
  <c r="C22" i="3"/>
  <c r="G25" i="1"/>
  <c r="L25" i="1"/>
  <c r="N25" i="1"/>
  <c r="P25" i="1"/>
  <c r="G23" i="3"/>
  <c r="D23" i="3"/>
  <c r="F23" i="3"/>
  <c r="C23" i="3"/>
  <c r="L26" i="1"/>
  <c r="N26" i="1"/>
  <c r="P26" i="1"/>
  <c r="H27" i="1"/>
  <c r="N27" i="1"/>
  <c r="P27" i="1"/>
  <c r="H28" i="1"/>
  <c r="N28" i="1"/>
  <c r="P28" i="1"/>
  <c r="H29" i="1"/>
  <c r="N29" i="1"/>
  <c r="P29" i="1"/>
  <c r="H30" i="1"/>
  <c r="N30" i="1"/>
  <c r="P30" i="1"/>
  <c r="H31" i="1"/>
  <c r="N31" i="1"/>
  <c r="P31" i="1"/>
  <c r="H32" i="1"/>
  <c r="N32" i="1"/>
  <c r="P32" i="1"/>
  <c r="H33" i="1"/>
  <c r="N33" i="1"/>
  <c r="P33" i="1"/>
  <c r="H34" i="1"/>
  <c r="N34" i="1"/>
  <c r="P34" i="1"/>
  <c r="H35" i="1"/>
  <c r="N35" i="1"/>
  <c r="P35" i="1"/>
  <c r="H36" i="1"/>
  <c r="N36" i="1"/>
  <c r="P36" i="1"/>
  <c r="H37" i="1"/>
  <c r="N37" i="1"/>
  <c r="P37" i="1"/>
  <c r="H38" i="1"/>
  <c r="N38" i="1"/>
  <c r="P38" i="1"/>
  <c r="H39" i="1"/>
  <c r="N39" i="1"/>
  <c r="P39" i="1"/>
  <c r="H40" i="1"/>
  <c r="N40" i="1"/>
  <c r="P40" i="1"/>
  <c r="H41" i="1"/>
  <c r="N41" i="1"/>
  <c r="P41" i="1"/>
  <c r="H42" i="1"/>
  <c r="N42" i="1"/>
  <c r="P42" i="1"/>
  <c r="H43" i="1"/>
  <c r="N43" i="1"/>
  <c r="P43" i="1"/>
  <c r="H44" i="1"/>
  <c r="N44" i="1"/>
  <c r="P44" i="1"/>
  <c r="H45" i="1"/>
  <c r="N45" i="1"/>
  <c r="P45" i="1"/>
  <c r="H46" i="1"/>
  <c r="N46" i="1"/>
  <c r="P46" i="1"/>
  <c r="H47" i="1"/>
  <c r="N47" i="1"/>
  <c r="P47" i="1"/>
  <c r="H48" i="1"/>
  <c r="N48" i="1"/>
  <c r="P48" i="1"/>
  <c r="H49" i="1"/>
  <c r="N49" i="1"/>
  <c r="P49" i="1"/>
  <c r="H50" i="1"/>
  <c r="N50" i="1"/>
  <c r="P50" i="1"/>
  <c r="H51" i="1"/>
  <c r="N51" i="1"/>
  <c r="P51" i="1"/>
  <c r="H52" i="1"/>
  <c r="N52" i="1"/>
  <c r="P52" i="1"/>
  <c r="H53" i="1"/>
  <c r="N53" i="1"/>
  <c r="P53" i="1"/>
  <c r="H54" i="1"/>
  <c r="N54" i="1"/>
  <c r="P54" i="1"/>
  <c r="H55" i="1"/>
  <c r="N55" i="1"/>
  <c r="P55" i="1"/>
  <c r="H56" i="1"/>
  <c r="N56" i="1"/>
  <c r="P56" i="1"/>
  <c r="H57" i="1"/>
  <c r="N57" i="1"/>
  <c r="P57" i="1"/>
  <c r="H58" i="1"/>
  <c r="N58" i="1"/>
  <c r="P58" i="1"/>
  <c r="H59" i="1"/>
  <c r="N59" i="1"/>
  <c r="P59" i="1"/>
  <c r="H60" i="1"/>
  <c r="N60" i="1"/>
  <c r="P60" i="1"/>
  <c r="H61" i="1"/>
  <c r="N61" i="1"/>
  <c r="P61" i="1"/>
  <c r="H62" i="1"/>
  <c r="N62" i="1"/>
  <c r="P62" i="1"/>
  <c r="H63" i="1"/>
  <c r="N63" i="1"/>
  <c r="P63" i="1"/>
  <c r="H64" i="1"/>
  <c r="N64" i="1"/>
  <c r="P64" i="1"/>
  <c r="H65" i="1"/>
  <c r="N65" i="1"/>
  <c r="P65" i="1"/>
  <c r="H66" i="1"/>
  <c r="N66" i="1"/>
  <c r="P66" i="1"/>
  <c r="H67" i="1"/>
  <c r="N67" i="1"/>
  <c r="P67" i="1"/>
  <c r="H68" i="1"/>
  <c r="N68" i="1"/>
  <c r="P68" i="1"/>
  <c r="H69" i="1"/>
  <c r="N69" i="1"/>
  <c r="P69" i="1"/>
  <c r="H70" i="1"/>
  <c r="N70" i="1"/>
  <c r="P70" i="1"/>
  <c r="H71" i="1"/>
  <c r="N71" i="1"/>
  <c r="P71" i="1"/>
  <c r="H72" i="1"/>
  <c r="N72" i="1"/>
  <c r="P72" i="1"/>
  <c r="H73" i="1"/>
  <c r="N73" i="1"/>
  <c r="P73" i="1"/>
  <c r="H74" i="1"/>
  <c r="N74" i="1"/>
  <c r="P74" i="1"/>
  <c r="G3" i="3"/>
  <c r="D3" i="3"/>
  <c r="H6" i="1"/>
  <c r="F3" i="3"/>
  <c r="C3" i="3"/>
  <c r="G6" i="1"/>
  <c r="L6" i="1"/>
  <c r="N6" i="1"/>
  <c r="P6" i="1"/>
  <c r="T6" i="1"/>
  <c r="U6" i="1"/>
  <c r="U7" i="1"/>
  <c r="T8" i="1"/>
  <c r="U8" i="1"/>
  <c r="T9" i="1"/>
  <c r="U9" i="1"/>
  <c r="T10" i="1"/>
  <c r="U10" i="1"/>
  <c r="T11" i="1"/>
  <c r="W11" i="1"/>
  <c r="T12" i="1"/>
  <c r="U12" i="1"/>
  <c r="W12" i="1"/>
  <c r="T13" i="1"/>
  <c r="W13" i="1"/>
  <c r="T14" i="1"/>
  <c r="W14" i="1"/>
  <c r="T15" i="1"/>
  <c r="W15" i="1"/>
  <c r="T16" i="1"/>
  <c r="W16" i="1"/>
  <c r="T17" i="1"/>
  <c r="W17" i="1"/>
  <c r="T18" i="1"/>
  <c r="W18" i="1"/>
  <c r="T19" i="1"/>
  <c r="W19" i="1"/>
  <c r="T20" i="1"/>
  <c r="U20" i="1"/>
  <c r="W20" i="1"/>
  <c r="T21" i="1"/>
  <c r="U21" i="1"/>
  <c r="W21" i="1"/>
  <c r="T22" i="1"/>
  <c r="U22" i="1"/>
  <c r="W22" i="1"/>
  <c r="T23" i="1"/>
  <c r="U23" i="1"/>
  <c r="W23" i="1"/>
  <c r="T24" i="1"/>
  <c r="U24" i="1"/>
  <c r="W24" i="1"/>
  <c r="T25" i="1"/>
  <c r="U25" i="1"/>
  <c r="W2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I13" i="2"/>
  <c r="I14" i="2"/>
  <c r="J14" i="2"/>
  <c r="I15" i="2"/>
  <c r="J15" i="2"/>
  <c r="I16" i="2"/>
  <c r="J16" i="2"/>
  <c r="I17" i="2"/>
  <c r="J17" i="2"/>
  <c r="J13" i="2"/>
  <c r="F14" i="2"/>
  <c r="F15" i="2"/>
  <c r="F16" i="2"/>
  <c r="F17" i="2"/>
  <c r="F13" i="2"/>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F25" i="3"/>
  <c r="G25" i="3"/>
  <c r="F26" i="3"/>
  <c r="G26" i="3"/>
  <c r="F27" i="3"/>
  <c r="G27" i="3"/>
  <c r="F28" i="3"/>
  <c r="G28" i="3"/>
  <c r="F29" i="3"/>
  <c r="G29" i="3"/>
  <c r="F30" i="3"/>
  <c r="G30" i="3"/>
  <c r="F31" i="3"/>
  <c r="G31" i="3"/>
  <c r="F32" i="3"/>
  <c r="G32" i="3"/>
  <c r="F33" i="3"/>
  <c r="G33" i="3"/>
  <c r="F34" i="3"/>
  <c r="G34" i="3"/>
  <c r="F35" i="3"/>
  <c r="G35" i="3"/>
  <c r="F36" i="3"/>
  <c r="G36" i="3"/>
  <c r="F37" i="3"/>
  <c r="G37" i="3"/>
  <c r="F38" i="3"/>
  <c r="G38" i="3"/>
  <c r="F39" i="3"/>
  <c r="G39" i="3"/>
  <c r="F40" i="3"/>
  <c r="G40" i="3"/>
  <c r="F41" i="3"/>
  <c r="G41" i="3"/>
  <c r="F42" i="3"/>
  <c r="G42" i="3"/>
  <c r="F43" i="3"/>
  <c r="G43" i="3"/>
  <c r="F44" i="3"/>
  <c r="G44" i="3"/>
  <c r="F45" i="3"/>
  <c r="G45" i="3"/>
  <c r="F46" i="3"/>
  <c r="G46" i="3"/>
  <c r="F47" i="3"/>
  <c r="G47" i="3"/>
  <c r="F48" i="3"/>
  <c r="G48" i="3"/>
  <c r="F49" i="3"/>
  <c r="G49" i="3"/>
  <c r="F50" i="3"/>
  <c r="G50" i="3"/>
  <c r="F51" i="3"/>
  <c r="G51" i="3"/>
  <c r="F52" i="3"/>
  <c r="G52" i="3"/>
  <c r="F53" i="3"/>
  <c r="G53" i="3"/>
  <c r="F54" i="3"/>
  <c r="G54" i="3"/>
  <c r="F55" i="3"/>
  <c r="G55" i="3"/>
  <c r="F56" i="3"/>
  <c r="G56" i="3"/>
  <c r="F57" i="3"/>
  <c r="G57" i="3"/>
  <c r="F58" i="3"/>
  <c r="G58" i="3"/>
  <c r="F59" i="3"/>
  <c r="G59" i="3"/>
  <c r="F60" i="3"/>
  <c r="G60" i="3"/>
  <c r="F61" i="3"/>
  <c r="G61" i="3"/>
  <c r="F62" i="3"/>
  <c r="G62" i="3"/>
  <c r="F63" i="3"/>
  <c r="G63" i="3"/>
  <c r="F64" i="3"/>
  <c r="G64" i="3"/>
  <c r="F65" i="3"/>
  <c r="G65" i="3"/>
  <c r="F66" i="3"/>
  <c r="G66" i="3"/>
  <c r="F67" i="3"/>
  <c r="G67" i="3"/>
  <c r="F68" i="3"/>
  <c r="G68" i="3"/>
  <c r="F69" i="3"/>
  <c r="G69" i="3"/>
  <c r="F70" i="3"/>
  <c r="G70" i="3"/>
  <c r="F71" i="3"/>
  <c r="G71" i="3"/>
  <c r="F72" i="3"/>
  <c r="G72" i="3"/>
  <c r="F73" i="3"/>
  <c r="G73" i="3"/>
  <c r="F74" i="3"/>
  <c r="G74" i="3"/>
  <c r="F75" i="3"/>
  <c r="G75" i="3"/>
  <c r="F76" i="3"/>
  <c r="G76" i="3"/>
  <c r="F77" i="3"/>
  <c r="G77" i="3"/>
  <c r="F78" i="3"/>
  <c r="G78" i="3"/>
  <c r="F79" i="3"/>
  <c r="G79" i="3"/>
  <c r="F80" i="3"/>
  <c r="G80" i="3"/>
  <c r="F81" i="3"/>
  <c r="G81" i="3"/>
  <c r="F82" i="3"/>
  <c r="G82" i="3"/>
  <c r="F83" i="3"/>
  <c r="G83" i="3"/>
  <c r="F84" i="3"/>
  <c r="G84" i="3"/>
  <c r="F85" i="3"/>
  <c r="G85" i="3"/>
  <c r="F86" i="3"/>
  <c r="G86" i="3"/>
  <c r="F87" i="3"/>
  <c r="G87" i="3"/>
  <c r="F88" i="3"/>
  <c r="G88" i="3"/>
  <c r="F89" i="3"/>
  <c r="G89" i="3"/>
  <c r="F90" i="3"/>
  <c r="G90" i="3"/>
  <c r="F91" i="3"/>
  <c r="G91" i="3"/>
  <c r="F92" i="3"/>
  <c r="G92" i="3"/>
  <c r="F93" i="3"/>
  <c r="G93" i="3"/>
  <c r="F94" i="3"/>
  <c r="G94" i="3"/>
  <c r="F95" i="3"/>
  <c r="G95" i="3"/>
  <c r="F96" i="3"/>
  <c r="G96" i="3"/>
  <c r="F97" i="3"/>
  <c r="G97" i="3"/>
  <c r="F98" i="3"/>
  <c r="G98" i="3"/>
  <c r="F99" i="3"/>
  <c r="G99" i="3"/>
  <c r="F100" i="3"/>
  <c r="G100" i="3"/>
  <c r="F101" i="3"/>
  <c r="G101" i="3"/>
  <c r="F102" i="3"/>
  <c r="G102" i="3"/>
  <c r="F103" i="3"/>
  <c r="G103" i="3"/>
  <c r="F104" i="3"/>
  <c r="G104" i="3"/>
  <c r="F105" i="3"/>
  <c r="G105" i="3"/>
  <c r="F106" i="3"/>
  <c r="G106" i="3"/>
  <c r="F107" i="3"/>
  <c r="G107" i="3"/>
  <c r="F108" i="3"/>
  <c r="G108" i="3"/>
  <c r="F109" i="3"/>
  <c r="G109" i="3"/>
  <c r="F110" i="3"/>
  <c r="G110" i="3"/>
  <c r="F111" i="3"/>
  <c r="G111" i="3"/>
  <c r="F112" i="3"/>
  <c r="G112" i="3"/>
  <c r="F113" i="3"/>
  <c r="G113" i="3"/>
  <c r="F114" i="3"/>
  <c r="G114" i="3"/>
  <c r="F115" i="3"/>
  <c r="G115" i="3"/>
  <c r="F116" i="3"/>
  <c r="G116" i="3"/>
  <c r="F117" i="3"/>
  <c r="G117" i="3"/>
  <c r="F118" i="3"/>
  <c r="G118" i="3"/>
  <c r="F119" i="3"/>
  <c r="G119" i="3"/>
  <c r="F120" i="3"/>
  <c r="G120" i="3"/>
  <c r="F121" i="3"/>
  <c r="G121" i="3"/>
  <c r="F122" i="3"/>
  <c r="G122" i="3"/>
  <c r="F123" i="3"/>
  <c r="G123" i="3"/>
  <c r="F124" i="3"/>
  <c r="G124" i="3"/>
  <c r="F125" i="3"/>
  <c r="G125" i="3"/>
  <c r="F126" i="3"/>
  <c r="G126" i="3"/>
  <c r="F127" i="3"/>
  <c r="G127" i="3"/>
  <c r="F128" i="3"/>
  <c r="G128" i="3"/>
  <c r="F129" i="3"/>
  <c r="G129" i="3"/>
  <c r="F130" i="3"/>
  <c r="G130" i="3"/>
  <c r="F131" i="3"/>
  <c r="G131" i="3"/>
  <c r="F132" i="3"/>
  <c r="G132" i="3"/>
  <c r="F133" i="3"/>
  <c r="G133" i="3"/>
  <c r="F134" i="3"/>
  <c r="G134" i="3"/>
  <c r="F135" i="3"/>
  <c r="G135" i="3"/>
  <c r="F136" i="3"/>
  <c r="G136" i="3"/>
  <c r="F137" i="3"/>
  <c r="G137" i="3"/>
  <c r="F138" i="3"/>
  <c r="G138" i="3"/>
  <c r="F139" i="3"/>
  <c r="G139" i="3"/>
  <c r="F140" i="3"/>
  <c r="G140" i="3"/>
  <c r="F141" i="3"/>
  <c r="G141" i="3"/>
  <c r="F142" i="3"/>
  <c r="G142" i="3"/>
  <c r="F143" i="3"/>
  <c r="G143" i="3"/>
  <c r="F144" i="3"/>
  <c r="G144" i="3"/>
  <c r="F145" i="3"/>
  <c r="G145" i="3"/>
  <c r="F146" i="3"/>
  <c r="G146" i="3"/>
  <c r="F147" i="3"/>
  <c r="G147" i="3"/>
  <c r="F148" i="3"/>
  <c r="G148" i="3"/>
  <c r="F149" i="3"/>
  <c r="G149" i="3"/>
  <c r="F150" i="3"/>
  <c r="G150" i="3"/>
  <c r="F151" i="3"/>
  <c r="G151" i="3"/>
  <c r="F152" i="3"/>
  <c r="G152" i="3"/>
  <c r="F153" i="3"/>
  <c r="G153" i="3"/>
  <c r="F154" i="3"/>
  <c r="G154" i="3"/>
  <c r="F155" i="3"/>
  <c r="G155" i="3"/>
  <c r="F156" i="3"/>
  <c r="G156" i="3"/>
  <c r="F157" i="3"/>
  <c r="G157" i="3"/>
  <c r="F158" i="3"/>
  <c r="G158" i="3"/>
  <c r="F159" i="3"/>
  <c r="G159" i="3"/>
  <c r="F160" i="3"/>
  <c r="G160" i="3"/>
  <c r="F161" i="3"/>
  <c r="G161" i="3"/>
  <c r="F162" i="3"/>
  <c r="G162" i="3"/>
  <c r="F163" i="3"/>
  <c r="G163" i="3"/>
  <c r="F164" i="3"/>
  <c r="G164" i="3"/>
  <c r="F165" i="3"/>
  <c r="G165" i="3"/>
  <c r="F166" i="3"/>
  <c r="G166" i="3"/>
  <c r="F167" i="3"/>
  <c r="G167" i="3"/>
  <c r="F168" i="3"/>
  <c r="G168" i="3"/>
  <c r="F169" i="3"/>
  <c r="G169" i="3"/>
  <c r="F170" i="3"/>
  <c r="G170" i="3"/>
  <c r="F171" i="3"/>
  <c r="G171" i="3"/>
  <c r="F172" i="3"/>
  <c r="G172" i="3"/>
  <c r="F173" i="3"/>
  <c r="G173" i="3"/>
  <c r="F174" i="3"/>
  <c r="G174" i="3"/>
  <c r="F175" i="3"/>
  <c r="G175" i="3"/>
  <c r="F176" i="3"/>
  <c r="G176" i="3"/>
  <c r="F177" i="3"/>
  <c r="G177" i="3"/>
  <c r="F178" i="3"/>
  <c r="G178" i="3"/>
  <c r="F179" i="3"/>
  <c r="G179" i="3"/>
  <c r="F180" i="3"/>
  <c r="G180" i="3"/>
  <c r="F181" i="3"/>
  <c r="G181" i="3"/>
  <c r="F182" i="3"/>
  <c r="G182" i="3"/>
  <c r="F183" i="3"/>
  <c r="G183" i="3"/>
  <c r="F184" i="3"/>
  <c r="G184" i="3"/>
  <c r="F185" i="3"/>
  <c r="G185" i="3"/>
  <c r="F186" i="3"/>
  <c r="G186" i="3"/>
  <c r="F187" i="3"/>
  <c r="G187" i="3"/>
  <c r="F188" i="3"/>
  <c r="G188" i="3"/>
  <c r="F189" i="3"/>
  <c r="G189" i="3"/>
  <c r="F190" i="3"/>
  <c r="G190" i="3"/>
  <c r="F191" i="3"/>
  <c r="G191" i="3"/>
  <c r="F192" i="3"/>
  <c r="G192" i="3"/>
  <c r="F193" i="3"/>
  <c r="G193" i="3"/>
  <c r="F194" i="3"/>
  <c r="G194" i="3"/>
  <c r="C25" i="3"/>
  <c r="D25" i="3"/>
  <c r="C26" i="3"/>
  <c r="D26" i="3"/>
  <c r="C27" i="3"/>
  <c r="D27" i="3"/>
  <c r="C28" i="3"/>
  <c r="D28" i="3"/>
  <c r="C29" i="3"/>
  <c r="D29" i="3"/>
  <c r="C30" i="3"/>
  <c r="D30" i="3"/>
  <c r="C31" i="3"/>
  <c r="D31" i="3"/>
  <c r="C32" i="3"/>
  <c r="D32" i="3"/>
  <c r="C33" i="3"/>
  <c r="D33" i="3"/>
  <c r="C34" i="3"/>
  <c r="D34" i="3"/>
  <c r="C35" i="3"/>
  <c r="D35" i="3"/>
  <c r="C36" i="3"/>
  <c r="D36" i="3"/>
  <c r="C37" i="3"/>
  <c r="D37" i="3"/>
  <c r="C38" i="3"/>
  <c r="D38" i="3"/>
  <c r="C39" i="3"/>
  <c r="D39" i="3"/>
  <c r="C40" i="3"/>
  <c r="D40" i="3"/>
  <c r="C41" i="3"/>
  <c r="D41" i="3"/>
  <c r="C42" i="3"/>
  <c r="D42" i="3"/>
  <c r="C43" i="3"/>
  <c r="D43" i="3"/>
  <c r="C44" i="3"/>
  <c r="D44" i="3"/>
  <c r="C45" i="3"/>
  <c r="D45" i="3"/>
  <c r="C46" i="3"/>
  <c r="D46" i="3"/>
  <c r="C47" i="3"/>
  <c r="D47" i="3"/>
  <c r="C48" i="3"/>
  <c r="D48" i="3"/>
  <c r="C49" i="3"/>
  <c r="D49" i="3"/>
  <c r="C50" i="3"/>
  <c r="D50" i="3"/>
  <c r="C51" i="3"/>
  <c r="D51" i="3"/>
  <c r="C52" i="3"/>
  <c r="D52" i="3"/>
  <c r="C53" i="3"/>
  <c r="D53" i="3"/>
  <c r="C54" i="3"/>
  <c r="D54" i="3"/>
  <c r="C55" i="3"/>
  <c r="D55" i="3"/>
  <c r="C56" i="3"/>
  <c r="D56" i="3"/>
  <c r="C57" i="3"/>
  <c r="D57" i="3"/>
  <c r="C58" i="3"/>
  <c r="D58" i="3"/>
  <c r="C59" i="3"/>
  <c r="D59" i="3"/>
  <c r="C60" i="3"/>
  <c r="D60" i="3"/>
  <c r="C61" i="3"/>
  <c r="D61" i="3"/>
  <c r="C62" i="3"/>
  <c r="D62" i="3"/>
  <c r="C63" i="3"/>
  <c r="D63" i="3"/>
  <c r="C64" i="3"/>
  <c r="D64" i="3"/>
  <c r="C65" i="3"/>
  <c r="D65" i="3"/>
  <c r="C66" i="3"/>
  <c r="D66" i="3"/>
  <c r="C67" i="3"/>
  <c r="D67" i="3"/>
  <c r="C68" i="3"/>
  <c r="D68" i="3"/>
  <c r="C69" i="3"/>
  <c r="D69" i="3"/>
  <c r="C70" i="3"/>
  <c r="D70" i="3"/>
  <c r="C71" i="3"/>
  <c r="D71" i="3"/>
  <c r="C72" i="3"/>
  <c r="D72" i="3"/>
  <c r="C73" i="3"/>
  <c r="D73" i="3"/>
  <c r="C74" i="3"/>
  <c r="D74" i="3"/>
  <c r="C75" i="3"/>
  <c r="D75" i="3"/>
  <c r="C76" i="3"/>
  <c r="D76" i="3"/>
  <c r="C77" i="3"/>
  <c r="D77" i="3"/>
  <c r="C78" i="3"/>
  <c r="D78" i="3"/>
  <c r="C79" i="3"/>
  <c r="D79" i="3"/>
  <c r="C80" i="3"/>
  <c r="D80" i="3"/>
  <c r="C81" i="3"/>
  <c r="D81" i="3"/>
  <c r="C82" i="3"/>
  <c r="D82" i="3"/>
  <c r="C83" i="3"/>
  <c r="D83" i="3"/>
  <c r="C84" i="3"/>
  <c r="D84" i="3"/>
  <c r="C85" i="3"/>
  <c r="D85" i="3"/>
  <c r="C86" i="3"/>
  <c r="D86" i="3"/>
  <c r="C87" i="3"/>
  <c r="D87" i="3"/>
  <c r="C88" i="3"/>
  <c r="D88" i="3"/>
  <c r="C89" i="3"/>
  <c r="D89" i="3"/>
  <c r="C90" i="3"/>
  <c r="D90" i="3"/>
  <c r="C91" i="3"/>
  <c r="D91" i="3"/>
  <c r="C92" i="3"/>
  <c r="D92" i="3"/>
  <c r="C93" i="3"/>
  <c r="D93" i="3"/>
  <c r="C94" i="3"/>
  <c r="D94" i="3"/>
  <c r="C95" i="3"/>
  <c r="D95" i="3"/>
  <c r="C96" i="3"/>
  <c r="D96" i="3"/>
  <c r="C97" i="3"/>
  <c r="D97" i="3"/>
  <c r="C98" i="3"/>
  <c r="D98" i="3"/>
  <c r="C99" i="3"/>
  <c r="D99" i="3"/>
  <c r="C100" i="3"/>
  <c r="D100" i="3"/>
  <c r="C101" i="3"/>
  <c r="D101" i="3"/>
  <c r="C102" i="3"/>
  <c r="D102" i="3"/>
  <c r="C103" i="3"/>
  <c r="D103" i="3"/>
  <c r="C104" i="3"/>
  <c r="D104" i="3"/>
  <c r="C105" i="3"/>
  <c r="D105" i="3"/>
  <c r="C106" i="3"/>
  <c r="D106" i="3"/>
  <c r="C107" i="3"/>
  <c r="D107" i="3"/>
  <c r="C108" i="3"/>
  <c r="D108" i="3"/>
  <c r="C109" i="3"/>
  <c r="D109" i="3"/>
  <c r="C110" i="3"/>
  <c r="D110" i="3"/>
  <c r="C111" i="3"/>
  <c r="D111" i="3"/>
  <c r="C112" i="3"/>
  <c r="D112" i="3"/>
  <c r="C113" i="3"/>
  <c r="D113" i="3"/>
  <c r="C114" i="3"/>
  <c r="D114" i="3"/>
  <c r="C115" i="3"/>
  <c r="D115" i="3"/>
  <c r="C116" i="3"/>
  <c r="D116" i="3"/>
  <c r="C117" i="3"/>
  <c r="D117" i="3"/>
  <c r="C118" i="3"/>
  <c r="D118" i="3"/>
  <c r="C119" i="3"/>
  <c r="D119" i="3"/>
  <c r="C120" i="3"/>
  <c r="D120" i="3"/>
  <c r="C121" i="3"/>
  <c r="D121" i="3"/>
  <c r="C122" i="3"/>
  <c r="D122" i="3"/>
  <c r="C123" i="3"/>
  <c r="D123" i="3"/>
  <c r="C124" i="3"/>
  <c r="D124" i="3"/>
  <c r="C125" i="3"/>
  <c r="D125" i="3"/>
  <c r="C126" i="3"/>
  <c r="D126" i="3"/>
  <c r="C127" i="3"/>
  <c r="D127" i="3"/>
  <c r="C128" i="3"/>
  <c r="D128" i="3"/>
  <c r="C129" i="3"/>
  <c r="D129" i="3"/>
  <c r="C130" i="3"/>
  <c r="D130" i="3"/>
  <c r="C131" i="3"/>
  <c r="D131" i="3"/>
  <c r="C132" i="3"/>
  <c r="D132" i="3"/>
  <c r="C133" i="3"/>
  <c r="D133" i="3"/>
  <c r="C134" i="3"/>
  <c r="D134" i="3"/>
  <c r="C135" i="3"/>
  <c r="D135" i="3"/>
  <c r="C136" i="3"/>
  <c r="D136" i="3"/>
  <c r="C137" i="3"/>
  <c r="D137" i="3"/>
  <c r="C138" i="3"/>
  <c r="D138" i="3"/>
  <c r="C139" i="3"/>
  <c r="D139" i="3"/>
  <c r="C140" i="3"/>
  <c r="D140" i="3"/>
  <c r="C141" i="3"/>
  <c r="D141" i="3"/>
  <c r="C142" i="3"/>
  <c r="D142" i="3"/>
  <c r="C143" i="3"/>
  <c r="D143" i="3"/>
  <c r="C144" i="3"/>
  <c r="D144" i="3"/>
  <c r="C145" i="3"/>
  <c r="D145" i="3"/>
  <c r="C146" i="3"/>
  <c r="D146" i="3"/>
  <c r="C147" i="3"/>
  <c r="D147" i="3"/>
  <c r="C148" i="3"/>
  <c r="D148" i="3"/>
  <c r="C149" i="3"/>
  <c r="D149" i="3"/>
  <c r="C150" i="3"/>
  <c r="D150" i="3"/>
  <c r="C151" i="3"/>
  <c r="D151" i="3"/>
  <c r="C152" i="3"/>
  <c r="D152" i="3"/>
  <c r="C153" i="3"/>
  <c r="D153" i="3"/>
  <c r="C154" i="3"/>
  <c r="D154" i="3"/>
  <c r="C155" i="3"/>
  <c r="D155" i="3"/>
  <c r="C156" i="3"/>
  <c r="D156" i="3"/>
  <c r="C157" i="3"/>
  <c r="D157" i="3"/>
  <c r="C158" i="3"/>
  <c r="D158" i="3"/>
  <c r="C159" i="3"/>
  <c r="D159" i="3"/>
  <c r="C160" i="3"/>
  <c r="D160" i="3"/>
  <c r="C161" i="3"/>
  <c r="D161" i="3"/>
  <c r="C162" i="3"/>
  <c r="D162" i="3"/>
  <c r="C163" i="3"/>
  <c r="D163" i="3"/>
  <c r="C164" i="3"/>
  <c r="D164" i="3"/>
  <c r="C165" i="3"/>
  <c r="D165" i="3"/>
  <c r="C166" i="3"/>
  <c r="D166" i="3"/>
  <c r="C167" i="3"/>
  <c r="D167" i="3"/>
  <c r="C168" i="3"/>
  <c r="D168" i="3"/>
  <c r="C169" i="3"/>
  <c r="D169" i="3"/>
  <c r="C170" i="3"/>
  <c r="D170" i="3"/>
  <c r="C171" i="3"/>
  <c r="D171" i="3"/>
  <c r="C172" i="3"/>
  <c r="D172" i="3"/>
  <c r="C173" i="3"/>
  <c r="D173" i="3"/>
  <c r="C174" i="3"/>
  <c r="D174" i="3"/>
  <c r="C175" i="3"/>
  <c r="D175" i="3"/>
  <c r="C176" i="3"/>
  <c r="D176" i="3"/>
  <c r="C177" i="3"/>
  <c r="D177" i="3"/>
  <c r="C178" i="3"/>
  <c r="D178" i="3"/>
  <c r="C179" i="3"/>
  <c r="D179" i="3"/>
  <c r="C180" i="3"/>
  <c r="D180" i="3"/>
  <c r="C181" i="3"/>
  <c r="D181" i="3"/>
  <c r="C182" i="3"/>
  <c r="D182" i="3"/>
  <c r="C183" i="3"/>
  <c r="D183" i="3"/>
  <c r="C184" i="3"/>
  <c r="D184" i="3"/>
  <c r="C185" i="3"/>
  <c r="D185" i="3"/>
  <c r="C186" i="3"/>
  <c r="D186" i="3"/>
  <c r="C187" i="3"/>
  <c r="D187" i="3"/>
  <c r="C188" i="3"/>
  <c r="D188" i="3"/>
  <c r="C189" i="3"/>
  <c r="D189" i="3"/>
  <c r="C190" i="3"/>
  <c r="D190" i="3"/>
  <c r="C191" i="3"/>
  <c r="D191" i="3"/>
  <c r="C192" i="3"/>
  <c r="D192" i="3"/>
  <c r="C193" i="3"/>
  <c r="D193" i="3"/>
  <c r="C194" i="3"/>
  <c r="D194" i="3"/>
  <c r="U11" i="1"/>
  <c r="U13" i="1"/>
  <c r="U14" i="1"/>
  <c r="U15" i="1"/>
  <c r="U16" i="1"/>
  <c r="U17" i="1"/>
  <c r="U18" i="1"/>
  <c r="U19" i="1"/>
  <c r="G14" i="2"/>
  <c r="AA7" i="1"/>
  <c r="AB7" i="1"/>
  <c r="AA8" i="1"/>
  <c r="AB8" i="1"/>
  <c r="AA9" i="1"/>
  <c r="AB9" i="1"/>
  <c r="AA10" i="1"/>
  <c r="AB10" i="1"/>
  <c r="AA11" i="1"/>
  <c r="AB11" i="1"/>
  <c r="AA12" i="1"/>
  <c r="AB12" i="1"/>
  <c r="AA13" i="1"/>
  <c r="AB13" i="1"/>
  <c r="AA14" i="1"/>
  <c r="AB14" i="1"/>
  <c r="AA15" i="1"/>
  <c r="AB15" i="1"/>
  <c r="AA16" i="1"/>
  <c r="AB16" i="1"/>
  <c r="AA17" i="1"/>
  <c r="AB17" i="1"/>
  <c r="AA18" i="1"/>
  <c r="AB18" i="1"/>
  <c r="AA19" i="1"/>
  <c r="AB19" i="1"/>
  <c r="AA20" i="1"/>
  <c r="AB20" i="1"/>
  <c r="AA21" i="1"/>
  <c r="AB21" i="1"/>
  <c r="AA22" i="1"/>
  <c r="AB22" i="1"/>
  <c r="AA23" i="1"/>
  <c r="AB23" i="1"/>
  <c r="AA24" i="1"/>
  <c r="AB24" i="1"/>
  <c r="AA25" i="1"/>
  <c r="AB25" i="1"/>
  <c r="AA26"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A6" i="1"/>
  <c r="AB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C19" i="2"/>
  <c r="T26" i="1"/>
  <c r="U26"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4" i="1"/>
  <c r="C5" i="2"/>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C11" i="2"/>
  <c r="L27" i="1"/>
  <c r="T27" i="1"/>
  <c r="L28" i="1"/>
  <c r="T28" i="1"/>
  <c r="L29" i="1"/>
  <c r="T29" i="1"/>
  <c r="L30" i="1"/>
  <c r="T30" i="1"/>
  <c r="L31" i="1"/>
  <c r="T31" i="1"/>
  <c r="L32" i="1"/>
  <c r="T32" i="1"/>
  <c r="L33" i="1"/>
  <c r="T33" i="1"/>
  <c r="L34" i="1"/>
  <c r="T34" i="1"/>
  <c r="L35" i="1"/>
  <c r="T35" i="1"/>
  <c r="L36" i="1"/>
  <c r="T36" i="1"/>
  <c r="L37" i="1"/>
  <c r="T37" i="1"/>
  <c r="L38" i="1"/>
  <c r="T38" i="1"/>
  <c r="L39" i="1"/>
  <c r="T39" i="1"/>
  <c r="L40" i="1"/>
  <c r="T40" i="1"/>
  <c r="L41" i="1"/>
  <c r="T41" i="1"/>
  <c r="L42" i="1"/>
  <c r="T42" i="1"/>
  <c r="L43" i="1"/>
  <c r="T43" i="1"/>
  <c r="L44" i="1"/>
  <c r="T44" i="1"/>
  <c r="L45" i="1"/>
  <c r="T45" i="1"/>
  <c r="L46" i="1"/>
  <c r="T46" i="1"/>
  <c r="L47" i="1"/>
  <c r="T47" i="1"/>
  <c r="L48" i="1"/>
  <c r="T48" i="1"/>
  <c r="L49" i="1"/>
  <c r="T49" i="1"/>
  <c r="L50" i="1"/>
  <c r="T50" i="1"/>
  <c r="L51" i="1"/>
  <c r="T51" i="1"/>
  <c r="L52" i="1"/>
  <c r="T52" i="1"/>
  <c r="L53" i="1"/>
  <c r="T53" i="1"/>
  <c r="L54" i="1"/>
  <c r="T54" i="1"/>
  <c r="L55" i="1"/>
  <c r="T55" i="1"/>
  <c r="L56" i="1"/>
  <c r="T56" i="1"/>
  <c r="L57" i="1"/>
  <c r="T57" i="1"/>
  <c r="L58" i="1"/>
  <c r="T58" i="1"/>
  <c r="L59" i="1"/>
  <c r="T59" i="1"/>
  <c r="L60" i="1"/>
  <c r="T60" i="1"/>
  <c r="L61" i="1"/>
  <c r="T61" i="1"/>
  <c r="L62" i="1"/>
  <c r="T62" i="1"/>
  <c r="L63" i="1"/>
  <c r="T63" i="1"/>
  <c r="L64" i="1"/>
  <c r="T64" i="1"/>
  <c r="L65" i="1"/>
  <c r="T65" i="1"/>
  <c r="L66" i="1"/>
  <c r="T66" i="1"/>
  <c r="L67" i="1"/>
  <c r="T67" i="1"/>
  <c r="L68" i="1"/>
  <c r="T68" i="1"/>
  <c r="L69" i="1"/>
  <c r="T69" i="1"/>
  <c r="L70" i="1"/>
  <c r="T70" i="1"/>
  <c r="L71" i="1"/>
  <c r="T71" i="1"/>
  <c r="L72" i="1"/>
  <c r="T72" i="1"/>
  <c r="L73" i="1"/>
  <c r="T73" i="1"/>
  <c r="L74" i="1"/>
  <c r="T74" i="1"/>
  <c r="J10" i="2"/>
  <c r="F10" i="2"/>
  <c r="AB4" i="1"/>
  <c r="C14" i="2"/>
  <c r="C16" i="2"/>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14" i="1"/>
  <c r="AC6" i="1"/>
  <c r="AC10" i="1"/>
  <c r="AC16" i="1"/>
  <c r="AC8" i="1"/>
  <c r="AC18" i="1"/>
  <c r="AC12" i="1"/>
  <c r="AC17" i="1"/>
  <c r="AC7" i="1"/>
  <c r="AC19" i="1"/>
  <c r="AC9" i="1"/>
  <c r="AC13" i="1"/>
  <c r="AC11" i="1"/>
  <c r="AC15" i="1"/>
  <c r="AC4" i="1"/>
  <c r="H14" i="2"/>
  <c r="H16" i="2"/>
  <c r="H17" i="2"/>
  <c r="G15" i="2"/>
  <c r="G16" i="2"/>
  <c r="H13" i="2"/>
  <c r="G17" i="2"/>
  <c r="G13" i="2"/>
  <c r="H15" i="2"/>
  <c r="K13" i="2"/>
  <c r="L13" i="2"/>
  <c r="K14" i="2"/>
  <c r="L14" i="2"/>
  <c r="L15" i="2"/>
  <c r="K15" i="2"/>
  <c r="K16" i="2"/>
  <c r="L16" i="2"/>
  <c r="L17" i="2"/>
  <c r="K17" i="2"/>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3">
    <bk>
      <extLst>
        <ext uri="{3e2802c4-a4d2-4d8b-9148-e3be6c30e623}">
          <xlrd:rvb i="2"/>
        </ext>
      </extLst>
    </bk>
    <bk>
      <extLst>
        <ext uri="{3e2802c4-a4d2-4d8b-9148-e3be6c30e623}">
          <xlrd:rvb i="8"/>
        </ext>
      </extLst>
    </bk>
    <bk>
      <extLst>
        <ext uri="{3e2802c4-a4d2-4d8b-9148-e3be6c30e623}">
          <xlrd:rvb i="10"/>
        </ext>
      </extLst>
    </bk>
    <bk>
      <extLst>
        <ext uri="{3e2802c4-a4d2-4d8b-9148-e3be6c30e623}">
          <xlrd:rvb i="12"/>
        </ext>
      </extLst>
    </bk>
    <bk>
      <extLst>
        <ext uri="{3e2802c4-a4d2-4d8b-9148-e3be6c30e623}">
          <xlrd:rvb i="17"/>
        </ext>
      </extLst>
    </bk>
    <bk>
      <extLst>
        <ext uri="{3e2802c4-a4d2-4d8b-9148-e3be6c30e623}">
          <xlrd:rvb i="19"/>
        </ext>
      </extLst>
    </bk>
    <bk>
      <extLst>
        <ext uri="{3e2802c4-a4d2-4d8b-9148-e3be6c30e623}">
          <xlrd:rvb i="21"/>
        </ext>
      </extLst>
    </bk>
    <bk>
      <extLst>
        <ext uri="{3e2802c4-a4d2-4d8b-9148-e3be6c30e623}">
          <xlrd:rvb i="27"/>
        </ext>
      </extLst>
    </bk>
    <bk>
      <extLst>
        <ext uri="{3e2802c4-a4d2-4d8b-9148-e3be6c30e623}">
          <xlrd:rvb i="32"/>
        </ext>
      </extLst>
    </bk>
    <bk>
      <extLst>
        <ext uri="{3e2802c4-a4d2-4d8b-9148-e3be6c30e623}">
          <xlrd:rvb i="34"/>
        </ext>
      </extLst>
    </bk>
    <bk>
      <extLst>
        <ext uri="{3e2802c4-a4d2-4d8b-9148-e3be6c30e623}">
          <xlrd:rvb i="36"/>
        </ext>
      </extLst>
    </bk>
    <bk>
      <extLst>
        <ext uri="{3e2802c4-a4d2-4d8b-9148-e3be6c30e623}">
          <xlrd:rvb i="41"/>
        </ext>
      </extLst>
    </bk>
    <bk>
      <extLst>
        <ext uri="{3e2802c4-a4d2-4d8b-9148-e3be6c30e623}">
          <xlrd:rvb i="43"/>
        </ext>
      </extLst>
    </bk>
    <bk>
      <extLst>
        <ext uri="{3e2802c4-a4d2-4d8b-9148-e3be6c30e623}">
          <xlrd:rvb i="45"/>
        </ext>
      </extLst>
    </bk>
    <bk>
      <extLst>
        <ext uri="{3e2802c4-a4d2-4d8b-9148-e3be6c30e623}">
          <xlrd:rvb i="51"/>
        </ext>
      </extLst>
    </bk>
    <bk>
      <extLst>
        <ext uri="{3e2802c4-a4d2-4d8b-9148-e3be6c30e623}">
          <xlrd:rvb i="53"/>
        </ext>
      </extLst>
    </bk>
    <bk>
      <extLst>
        <ext uri="{3e2802c4-a4d2-4d8b-9148-e3be6c30e623}">
          <xlrd:rvb i="55"/>
        </ext>
      </extLst>
    </bk>
    <bk>
      <extLst>
        <ext uri="{3e2802c4-a4d2-4d8b-9148-e3be6c30e623}">
          <xlrd:rvb i="60"/>
        </ext>
      </extLst>
    </bk>
    <bk>
      <extLst>
        <ext uri="{3e2802c4-a4d2-4d8b-9148-e3be6c30e623}">
          <xlrd:rvb i="62"/>
        </ext>
      </extLst>
    </bk>
    <bk>
      <extLst>
        <ext uri="{3e2802c4-a4d2-4d8b-9148-e3be6c30e623}">
          <xlrd:rvb i="64"/>
        </ext>
      </extLst>
    </bk>
    <bk>
      <extLst>
        <ext uri="{3e2802c4-a4d2-4d8b-9148-e3be6c30e623}">
          <xlrd:rvb i="66"/>
        </ext>
      </extLst>
    </bk>
    <bk>
      <extLst>
        <ext uri="{3e2802c4-a4d2-4d8b-9148-e3be6c30e623}">
          <xlrd:rvb i="71"/>
        </ext>
      </extLst>
    </bk>
    <bk>
      <extLst>
        <ext uri="{3e2802c4-a4d2-4d8b-9148-e3be6c30e623}">
          <xlrd:rvb i="73"/>
        </ext>
      </extLst>
    </bk>
  </futureMetadata>
  <valueMetadata count="23">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valueMetadata>
</metadata>
</file>

<file path=xl/sharedStrings.xml><?xml version="1.0" encoding="utf-8"?>
<sst xmlns="http://schemas.openxmlformats.org/spreadsheetml/2006/main" count="98" uniqueCount="62">
  <si>
    <t>Ativo</t>
  </si>
  <si>
    <t>Preço Anterior</t>
  </si>
  <si>
    <t>Preço Atual</t>
  </si>
  <si>
    <t>SPLIT/INPLIT</t>
  </si>
  <si>
    <t>Dividendos</t>
  </si>
  <si>
    <t>Eventos com                     Data ex = Data Atual</t>
  </si>
  <si>
    <t>Coluna Auxiliar Valores Unicos Diários</t>
  </si>
  <si>
    <t>Preço Anterior Ajustado</t>
  </si>
  <si>
    <t>Rank</t>
  </si>
  <si>
    <t>%Chg</t>
  </si>
  <si>
    <t>Ticker</t>
  </si>
  <si>
    <t>Preço Médio Execução</t>
  </si>
  <si>
    <t>P&amp;L</t>
  </si>
  <si>
    <t>P&amp;L Total</t>
  </si>
  <si>
    <t>P&amp;L Trade</t>
  </si>
  <si>
    <t>Patrimonio Abertura</t>
  </si>
  <si>
    <t>Posição Atual</t>
  </si>
  <si>
    <t>Caixa &amp; Provisões</t>
  </si>
  <si>
    <t>Aportes/Resgates</t>
  </si>
  <si>
    <t>Patrimonio Atualizado</t>
  </si>
  <si>
    <t>P&amp;L Dia</t>
  </si>
  <si>
    <t>%Chg Dia</t>
  </si>
  <si>
    <t>%Patrimonio</t>
  </si>
  <si>
    <t>Ordenar por:</t>
  </si>
  <si>
    <t>Atualizado:</t>
  </si>
  <si>
    <t>P&amp;L Dividendo</t>
  </si>
  <si>
    <t>Compras Dia</t>
  </si>
  <si>
    <t>Vendas Dia</t>
  </si>
  <si>
    <t>Proventos Dia</t>
  </si>
  <si>
    <t>%Chg IBOVESPA</t>
  </si>
  <si>
    <t>Quantidade Atual</t>
  </si>
  <si>
    <t>Preço Excel</t>
  </si>
  <si>
    <t>ABEV3</t>
  </si>
  <si>
    <t>BBDC4</t>
  </si>
  <si>
    <t>PETR3</t>
  </si>
  <si>
    <t>Preço Manual</t>
  </si>
  <si>
    <t>Preço Atual Manual</t>
  </si>
  <si>
    <t>ITUB4</t>
  </si>
  <si>
    <t xml:space="preserve">Fonte de Dados </t>
  </si>
  <si>
    <t>Manual</t>
  </si>
  <si>
    <t>Ações Atual</t>
  </si>
  <si>
    <t>CSAN3</t>
  </si>
  <si>
    <t>VALE3</t>
  </si>
  <si>
    <t>PETR4</t>
  </si>
  <si>
    <t>B3SA3</t>
  </si>
  <si>
    <t>BBAS3</t>
  </si>
  <si>
    <t>ITSA4</t>
  </si>
  <si>
    <t>JBSS3</t>
  </si>
  <si>
    <t>LREN3</t>
  </si>
  <si>
    <t>BBDC3</t>
  </si>
  <si>
    <t>IRBR3</t>
  </si>
  <si>
    <t>BRFS3</t>
  </si>
  <si>
    <t>RENT3</t>
  </si>
  <si>
    <t>RAIL3</t>
  </si>
  <si>
    <t>VIVT4</t>
  </si>
  <si>
    <t>BBSE3</t>
  </si>
  <si>
    <t>GNDI3</t>
  </si>
  <si>
    <t>SUZB3</t>
  </si>
  <si>
    <t>Quantidade Fechamento Dia Anterior</t>
  </si>
  <si>
    <t>Ações Fechamento Anterior</t>
  </si>
  <si>
    <t>ENGI11</t>
  </si>
  <si>
    <t>P&amp;L Qtd Fechamento Anterior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</si>
</sst>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 #,##0.00_-;_-* &quot;-&quot;??_-;_-@_-"/>
    <numFmt numFmtId="166" formatCode="&quot;R$&quot;\ #,##0.00;[Red]\-&quot;R$&quot;\ #,##0.00"/>
    <numFmt numFmtId="167" formatCode="dd\-mmm\-yy"/>
    <numFmt numFmtId="168" formatCode="\+0.0%;[Red]\-0.0%"/>
    <numFmt numFmtId="169" formatCode="[$-416]dd\-mmm\-yy;@"/>
    <numFmt numFmtId="170" formatCode="dd/mm/yyyy\ hh:mm:ss"/>
    <numFmt numFmtId="171" formatCode="0.0%"/>
    <numFmt numFmtId="172" formatCode="[$-409]d\-mmm\-yy;@"/>
    <numFmt numFmtId="173" formatCode="#,##0_ ;\-#,##0\ "/>
    <numFmt numFmtId="174" formatCode="\+0.00%;[Red]\-0.00%"/>
  </numFmts>
  <fonts count="15" x14ac:knownFonts="1">
    <font>
      <sz val="11"/>
      <color theme="1"/>
      <name val="Calibri"/>
      <family val="2"/>
      <scheme val="minor"/>
    </font>
    <font>
      <sz val="11"/>
      <color theme="1"/>
      <name val="Calibri"/>
      <family val="2"/>
      <scheme val="minor"/>
    </font>
    <font>
      <sz val="11"/>
      <color indexed="8"/>
      <name val="Calibri"/>
      <family val="2"/>
    </font>
    <font>
      <sz val="10"/>
      <color indexed="8"/>
      <name val="Arial"/>
      <family val="2"/>
    </font>
    <font>
      <u/>
      <sz val="11"/>
      <color theme="10"/>
      <name val="Calibri"/>
      <family val="2"/>
      <scheme val="minor"/>
    </font>
    <font>
      <sz val="10"/>
      <color indexed="8"/>
      <name val="Calibri"/>
      <family val="2"/>
    </font>
    <font>
      <b/>
      <sz val="11"/>
      <color rgb="FF00B050"/>
      <name val="Calibri"/>
      <family val="2"/>
      <scheme val="minor"/>
    </font>
    <font>
      <b/>
      <sz val="12"/>
      <color theme="1"/>
      <name val="Calibri"/>
      <family val="2"/>
      <scheme val="minor"/>
    </font>
    <font>
      <b/>
      <sz val="11"/>
      <color theme="1"/>
      <name val="Calibri"/>
      <family val="2"/>
      <scheme val="minor"/>
    </font>
    <font>
      <sz val="11"/>
      <name val="Calibri"/>
      <family val="2"/>
      <scheme val="minor"/>
    </font>
    <font>
      <sz val="12"/>
      <color rgb="FF505050"/>
      <name val="Verdana"/>
      <family val="2"/>
    </font>
    <font>
      <b/>
      <sz val="14"/>
      <color rgb="FF00B050"/>
      <name val="Calibri"/>
      <family val="2"/>
      <scheme val="minor"/>
    </font>
    <font>
      <sz val="11"/>
      <color rgb="FF000000"/>
      <name val="Calibri"/>
      <family val="2"/>
    </font>
    <font>
      <i/>
      <sz val="11"/>
      <color theme="1"/>
      <name val="Calibri"/>
      <family val="2"/>
      <scheme val="minor"/>
    </font>
    <font>
      <sz val="8"/>
      <name val="Calibri"/>
      <family val="2"/>
      <scheme val="minor"/>
    </font>
  </fonts>
  <fills count="11">
    <fill>
      <patternFill patternType="none"/>
    </fill>
    <fill>
      <patternFill patternType="gray125"/>
    </fill>
    <fill>
      <patternFill patternType="solid">
        <fgColor rgb="FFFFFFE1"/>
        <bgColor indexed="64"/>
      </patternFill>
    </fill>
    <fill>
      <patternFill patternType="solid">
        <fgColor rgb="FFE26B0B"/>
        <bgColor indexed="64"/>
      </patternFill>
    </fill>
    <fill>
      <patternFill patternType="solid">
        <fgColor theme="5" tint="0.39997558519241921"/>
        <bgColor indexed="0"/>
      </patternFill>
    </fill>
    <fill>
      <patternFill patternType="solid">
        <fgColor rgb="FFFFFFAF"/>
        <bgColor indexed="64"/>
      </patternFill>
    </fill>
    <fill>
      <patternFill patternType="solid">
        <fgColor theme="2"/>
        <bgColor indexed="64"/>
      </patternFill>
    </fill>
    <fill>
      <patternFill patternType="solid">
        <fgColor theme="0"/>
        <bgColor indexed="0"/>
      </patternFill>
    </fill>
    <fill>
      <patternFill patternType="solid">
        <fgColor theme="0"/>
        <bgColor indexed="64"/>
      </patternFill>
    </fill>
    <fill>
      <patternFill patternType="solid">
        <fgColor theme="0" tint="-4.9989318521683403E-2"/>
        <bgColor indexed="64"/>
      </patternFill>
    </fill>
    <fill>
      <patternFill patternType="solid">
        <fgColor rgb="FFFFFFD9"/>
        <bgColor indexed="64"/>
      </patternFill>
    </fill>
  </fills>
  <borders count="51">
    <border>
      <left/>
      <right/>
      <top/>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right/>
      <top style="medium">
        <color indexed="64"/>
      </top>
      <bottom style="medium">
        <color indexed="64"/>
      </bottom>
      <diagonal/>
    </border>
    <border>
      <left/>
      <right/>
      <top/>
      <bottom style="thin">
        <color indexed="8"/>
      </bottom>
      <diagonal/>
    </border>
    <border>
      <left/>
      <right/>
      <top style="medium">
        <color indexed="64"/>
      </top>
      <bottom/>
      <diagonal/>
    </border>
    <border>
      <left/>
      <right style="thin">
        <color indexed="8"/>
      </right>
      <top style="thin">
        <color indexed="8"/>
      </top>
      <bottom style="thin">
        <color indexed="8"/>
      </bottom>
      <diagonal/>
    </border>
    <border>
      <left/>
      <right style="thin">
        <color indexed="64"/>
      </right>
      <top style="medium">
        <color indexed="64"/>
      </top>
      <bottom/>
      <diagonal/>
    </border>
    <border>
      <left/>
      <right style="thin">
        <color indexed="64"/>
      </right>
      <top/>
      <bottom/>
      <diagonal/>
    </border>
    <border>
      <left style="thin">
        <color indexed="8"/>
      </left>
      <right style="thin">
        <color indexed="64"/>
      </right>
      <top style="thin">
        <color indexed="8"/>
      </top>
      <bottom style="thin">
        <color indexed="8"/>
      </bottom>
      <diagonal/>
    </border>
    <border>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8"/>
      </left>
      <right/>
      <top style="thin">
        <color indexed="8"/>
      </top>
      <bottom style="thin">
        <color indexed="8"/>
      </bottom>
      <diagonal/>
    </border>
    <border>
      <left style="thin">
        <color indexed="22"/>
      </left>
      <right/>
      <top style="thin">
        <color indexed="22"/>
      </top>
      <bottom style="thin">
        <color indexed="22"/>
      </bottom>
      <diagonal/>
    </border>
    <border>
      <left style="thin">
        <color indexed="64"/>
      </left>
      <right style="thin">
        <color indexed="64"/>
      </right>
      <top style="thin">
        <color indexed="8"/>
      </top>
      <bottom style="thin">
        <color indexed="8"/>
      </bottom>
      <diagonal/>
    </border>
    <border>
      <left style="thin">
        <color indexed="64"/>
      </left>
      <right style="thin">
        <color indexed="64"/>
      </right>
      <top/>
      <bottom/>
      <diagonal/>
    </border>
    <border>
      <left/>
      <right style="medium">
        <color indexed="64"/>
      </right>
      <top style="medium">
        <color indexed="64"/>
      </top>
      <bottom style="thin">
        <color indexed="8"/>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8"/>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top/>
      <bottom style="medium">
        <color indexed="64"/>
      </bottom>
      <diagonal/>
    </border>
    <border>
      <left/>
      <right/>
      <top style="thin">
        <color indexed="8"/>
      </top>
      <bottom style="thin">
        <color indexed="8"/>
      </bottom>
      <diagonal/>
    </border>
    <border>
      <left style="thin">
        <color indexed="64"/>
      </left>
      <right/>
      <top/>
      <bottom/>
      <diagonal/>
    </border>
    <border>
      <left style="thin">
        <color indexed="8"/>
      </left>
      <right/>
      <top/>
      <bottom/>
      <diagonal/>
    </border>
    <border>
      <left style="thin">
        <color indexed="64"/>
      </left>
      <right/>
      <top style="thin">
        <color indexed="8"/>
      </top>
      <bottom style="thin">
        <color indexed="8"/>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right/>
      <top style="medium">
        <color indexed="64"/>
      </top>
      <bottom style="thin">
        <color indexed="8"/>
      </bottom>
      <diagonal/>
    </border>
    <border>
      <left style="thin">
        <color indexed="64"/>
      </left>
      <right style="thin">
        <color indexed="64"/>
      </right>
      <top/>
      <bottom style="medium">
        <color indexed="64"/>
      </bottom>
      <diagonal/>
    </border>
    <border>
      <left style="thin">
        <color indexed="64"/>
      </left>
      <right/>
      <top style="medium">
        <color theme="1" tint="0.499984740745262"/>
      </top>
      <bottom style="thin">
        <color indexed="64"/>
      </bottom>
      <diagonal/>
    </border>
    <border>
      <left/>
      <right/>
      <top style="thin">
        <color indexed="64"/>
      </top>
      <bottom/>
      <diagonal/>
    </border>
    <border>
      <left style="thin">
        <color indexed="64"/>
      </left>
      <right/>
      <top style="medium">
        <color theme="1" tint="0.499984740745262"/>
      </top>
      <bottom/>
      <diagonal/>
    </border>
    <border>
      <left/>
      <right style="thin">
        <color indexed="64"/>
      </right>
      <top style="medium">
        <color theme="1" tint="0.499984740745262"/>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3" fillId="0" borderId="0"/>
    <xf numFmtId="0" fontId="4" fillId="0" borderId="0" applyNumberFormat="0" applyFill="0" applyBorder="0" applyAlignment="0" applyProtection="0"/>
  </cellStyleXfs>
  <cellXfs count="120">
    <xf numFmtId="0" fontId="0" fillId="0" borderId="0" xfId="0"/>
    <xf numFmtId="0" fontId="4" fillId="0" borderId="0" xfId="4"/>
    <xf numFmtId="0" fontId="0" fillId="0" borderId="0" xfId="0" applyAlignment="1">
      <alignment horizontal="center"/>
    </xf>
    <xf numFmtId="0" fontId="0" fillId="3" borderId="3" xfId="0" applyFill="1" applyBorder="1"/>
    <xf numFmtId="0" fontId="0" fillId="3" borderId="3" xfId="0" applyFill="1" applyBorder="1" applyAlignment="1">
      <alignment horizontal="center"/>
    </xf>
    <xf numFmtId="0" fontId="2" fillId="4" borderId="1" xfId="3" applyFont="1" applyFill="1" applyBorder="1" applyAlignment="1">
      <alignment horizontal="center" vertical="center" wrapText="1"/>
    </xf>
    <xf numFmtId="0" fontId="0" fillId="0" borderId="0" xfId="0" applyAlignment="1">
      <alignment vertical="center" wrapText="1"/>
    </xf>
    <xf numFmtId="0" fontId="2" fillId="4" borderId="6" xfId="3" applyFont="1" applyFill="1" applyBorder="1" applyAlignment="1">
      <alignment horizontal="center" vertical="center" wrapText="1"/>
    </xf>
    <xf numFmtId="0" fontId="0" fillId="0" borderId="7" xfId="0" applyBorder="1"/>
    <xf numFmtId="0" fontId="2" fillId="4" borderId="9" xfId="3" applyFont="1" applyFill="1" applyBorder="1" applyAlignment="1">
      <alignment horizontal="center" vertical="center" wrapText="1"/>
    </xf>
    <xf numFmtId="0" fontId="2" fillId="0" borderId="10" xfId="3" applyFont="1" applyFill="1" applyBorder="1" applyAlignment="1">
      <alignment horizontal="right" wrapText="1"/>
    </xf>
    <xf numFmtId="0" fontId="2" fillId="4" borderId="12" xfId="3" applyFont="1" applyFill="1" applyBorder="1" applyAlignment="1">
      <alignment horizontal="center" vertical="center" wrapText="1"/>
    </xf>
    <xf numFmtId="0" fontId="2" fillId="0" borderId="13" xfId="3" applyFont="1" applyFill="1" applyBorder="1" applyAlignment="1">
      <alignment horizontal="right" wrapText="1"/>
    </xf>
    <xf numFmtId="0" fontId="2" fillId="4" borderId="14" xfId="3" applyFont="1" applyFill="1" applyBorder="1" applyAlignment="1">
      <alignment horizontal="center" vertical="center" wrapText="1"/>
    </xf>
    <xf numFmtId="0" fontId="5" fillId="4" borderId="6" xfId="3" applyFont="1" applyFill="1" applyBorder="1" applyAlignment="1">
      <alignment horizontal="center" vertical="center" wrapText="1"/>
    </xf>
    <xf numFmtId="43" fontId="2" fillId="0" borderId="2" xfId="1" applyNumberFormat="1" applyFont="1" applyFill="1" applyBorder="1" applyAlignment="1">
      <alignment horizontal="right" wrapText="1"/>
    </xf>
    <xf numFmtId="43" fontId="2" fillId="0" borderId="11" xfId="1" applyNumberFormat="1" applyFont="1" applyFill="1" applyBorder="1" applyAlignment="1">
      <alignment horizontal="right" wrapText="1"/>
    </xf>
    <xf numFmtId="0" fontId="2" fillId="0" borderId="13" xfId="3" applyFont="1" applyFill="1" applyBorder="1" applyAlignment="1">
      <alignment horizontal="center" wrapText="1"/>
    </xf>
    <xf numFmtId="0" fontId="2" fillId="4" borderId="16" xfId="3" applyFont="1" applyFill="1" applyBorder="1" applyAlignment="1">
      <alignment horizontal="center" vertical="center" wrapText="1"/>
    </xf>
    <xf numFmtId="168" fontId="6" fillId="6" borderId="17" xfId="2" applyNumberFormat="1" applyFont="1" applyFill="1" applyBorder="1" applyAlignment="1">
      <alignment horizontal="center"/>
    </xf>
    <xf numFmtId="168" fontId="6" fillId="6" borderId="18" xfId="2" applyNumberFormat="1" applyFont="1" applyFill="1" applyBorder="1" applyAlignment="1">
      <alignment horizontal="center"/>
    </xf>
    <xf numFmtId="0" fontId="2" fillId="4" borderId="19" xfId="3" applyFont="1" applyFill="1" applyBorder="1" applyAlignment="1">
      <alignment horizontal="center" vertical="center" wrapText="1"/>
    </xf>
    <xf numFmtId="0" fontId="0" fillId="6" borderId="20" xfId="0" applyFill="1" applyBorder="1"/>
    <xf numFmtId="0" fontId="0" fillId="0" borderId="20" xfId="0" applyBorder="1"/>
    <xf numFmtId="0" fontId="0" fillId="6" borderId="21" xfId="0" applyFill="1" applyBorder="1"/>
    <xf numFmtId="169" fontId="0" fillId="0" borderId="0" xfId="0" applyNumberFormat="1"/>
    <xf numFmtId="169" fontId="0" fillId="0" borderId="8" xfId="0" applyNumberFormat="1" applyBorder="1"/>
    <xf numFmtId="0" fontId="0" fillId="0" borderId="0" xfId="0" applyFont="1" applyAlignment="1">
      <alignment horizontal="center"/>
    </xf>
    <xf numFmtId="0" fontId="0" fillId="0" borderId="0" xfId="0" applyAlignment="1">
      <alignment horizontal="center" vertical="center" wrapText="1"/>
    </xf>
    <xf numFmtId="43" fontId="2" fillId="5" borderId="15" xfId="1" applyFont="1" applyFill="1" applyBorder="1" applyAlignment="1">
      <alignment horizontal="center" wrapText="1"/>
    </xf>
    <xf numFmtId="0" fontId="2" fillId="0" borderId="0" xfId="3" applyFont="1" applyFill="1" applyBorder="1" applyAlignment="1">
      <alignment horizontal="center" wrapText="1"/>
    </xf>
    <xf numFmtId="0" fontId="5" fillId="7" borderId="0" xfId="3" applyFont="1" applyFill="1" applyBorder="1" applyAlignment="1">
      <alignment horizontal="center" vertical="center" wrapText="1"/>
    </xf>
    <xf numFmtId="0" fontId="5" fillId="4" borderId="23" xfId="3" applyFont="1" applyFill="1" applyBorder="1" applyAlignment="1">
      <alignment horizontal="center" vertical="center" wrapText="1"/>
    </xf>
    <xf numFmtId="0" fontId="0" fillId="0" borderId="0" xfId="0" applyBorder="1" applyAlignment="1">
      <alignment horizontal="center"/>
    </xf>
    <xf numFmtId="3" fontId="2" fillId="2" borderId="2" xfId="3" applyNumberFormat="1" applyFont="1" applyFill="1" applyBorder="1" applyAlignment="1">
      <alignment horizontal="center" wrapText="1"/>
    </xf>
    <xf numFmtId="167" fontId="2" fillId="2" borderId="2" xfId="3" applyNumberFormat="1" applyFont="1" applyFill="1" applyBorder="1" applyAlignment="1">
      <alignment horizontal="center" wrapText="1"/>
    </xf>
    <xf numFmtId="166" fontId="6" fillId="2" borderId="15" xfId="2" applyNumberFormat="1" applyFont="1" applyFill="1" applyBorder="1" applyAlignment="1">
      <alignment horizontal="center"/>
    </xf>
    <xf numFmtId="0" fontId="0" fillId="8" borderId="0" xfId="0" applyFill="1" applyAlignment="1">
      <alignment horizontal="center"/>
    </xf>
    <xf numFmtId="0" fontId="2" fillId="8" borderId="0" xfId="3" applyFont="1" applyFill="1" applyBorder="1" applyAlignment="1">
      <alignment horizontal="center" wrapText="1"/>
    </xf>
    <xf numFmtId="168" fontId="6" fillId="8" borderId="0" xfId="2" applyNumberFormat="1" applyFont="1" applyFill="1" applyAlignment="1">
      <alignment horizontal="center"/>
    </xf>
    <xf numFmtId="168" fontId="6" fillId="8" borderId="0" xfId="2" applyNumberFormat="1" applyFont="1" applyFill="1" applyBorder="1" applyAlignment="1">
      <alignment horizontal="center"/>
    </xf>
    <xf numFmtId="0" fontId="2" fillId="8" borderId="8" xfId="3" applyFont="1" applyFill="1" applyBorder="1" applyAlignment="1">
      <alignment horizontal="center" wrapText="1"/>
    </xf>
    <xf numFmtId="0" fontId="5" fillId="7" borderId="8" xfId="3" applyFont="1" applyFill="1" applyBorder="1" applyAlignment="1">
      <alignment horizontal="center" vertical="center" wrapText="1"/>
    </xf>
    <xf numFmtId="0" fontId="0" fillId="8" borderId="0" xfId="0" applyFill="1" applyBorder="1" applyAlignment="1">
      <alignment horizontal="center"/>
    </xf>
    <xf numFmtId="0" fontId="2" fillId="7" borderId="25" xfId="3" applyFont="1" applyFill="1" applyBorder="1" applyAlignment="1">
      <alignment horizontal="center" vertical="center" wrapText="1"/>
    </xf>
    <xf numFmtId="0" fontId="0" fillId="0" borderId="5" xfId="0" applyBorder="1"/>
    <xf numFmtId="0" fontId="0" fillId="0" borderId="24" xfId="0" applyBorder="1"/>
    <xf numFmtId="0" fontId="2" fillId="4" borderId="26" xfId="3" applyFont="1" applyFill="1" applyBorder="1" applyAlignment="1">
      <alignment horizontal="center" vertical="center" wrapText="1"/>
    </xf>
    <xf numFmtId="0" fontId="2" fillId="7" borderId="0" xfId="3" applyFont="1" applyFill="1" applyBorder="1" applyAlignment="1">
      <alignment horizontal="center" vertical="center" wrapText="1"/>
    </xf>
    <xf numFmtId="0" fontId="0" fillId="8" borderId="5" xfId="0" applyFill="1" applyBorder="1" applyAlignment="1">
      <alignment horizontal="center"/>
    </xf>
    <xf numFmtId="166" fontId="0" fillId="0" borderId="0" xfId="0" applyNumberFormat="1" applyAlignment="1">
      <alignment horizontal="center"/>
    </xf>
    <xf numFmtId="168" fontId="6" fillId="9" borderId="15" xfId="2" applyNumberFormat="1" applyFont="1" applyFill="1" applyBorder="1" applyAlignment="1">
      <alignment horizontal="center"/>
    </xf>
    <xf numFmtId="166" fontId="6" fillId="9" borderId="15" xfId="2" applyNumberFormat="1" applyFont="1" applyFill="1" applyBorder="1" applyAlignment="1">
      <alignment horizontal="center"/>
    </xf>
    <xf numFmtId="166" fontId="9" fillId="9" borderId="15" xfId="2" applyNumberFormat="1" applyFont="1" applyFill="1" applyBorder="1" applyAlignment="1">
      <alignment horizontal="center"/>
    </xf>
    <xf numFmtId="10" fontId="0" fillId="0" borderId="0" xfId="2" applyNumberFormat="1" applyFont="1" applyBorder="1" applyAlignment="1">
      <alignment horizontal="center"/>
    </xf>
    <xf numFmtId="166" fontId="0" fillId="0" borderId="0" xfId="0" applyNumberFormat="1"/>
    <xf numFmtId="0" fontId="0" fillId="0" borderId="0" xfId="0" applyAlignment="1">
      <alignment vertical="center"/>
    </xf>
    <xf numFmtId="0" fontId="0" fillId="0" borderId="28" xfId="0" applyBorder="1" applyAlignment="1">
      <alignment vertical="center"/>
    </xf>
    <xf numFmtId="166" fontId="0" fillId="0" borderId="29" xfId="0" applyNumberFormat="1" applyBorder="1" applyAlignment="1">
      <alignment vertical="center"/>
    </xf>
    <xf numFmtId="0" fontId="0" fillId="0" borderId="30" xfId="0" applyBorder="1" applyAlignment="1">
      <alignment vertical="center"/>
    </xf>
    <xf numFmtId="166" fontId="0" fillId="0" borderId="31" xfId="0" applyNumberFormat="1" applyBorder="1" applyAlignment="1">
      <alignment vertical="center"/>
    </xf>
    <xf numFmtId="0" fontId="8" fillId="9" borderId="30" xfId="0" applyFont="1" applyFill="1" applyBorder="1" applyAlignment="1">
      <alignment vertical="center"/>
    </xf>
    <xf numFmtId="166" fontId="8" fillId="9" borderId="31" xfId="0" applyNumberFormat="1" applyFont="1" applyFill="1" applyBorder="1" applyAlignment="1">
      <alignment vertical="center"/>
    </xf>
    <xf numFmtId="0" fontId="8" fillId="9" borderId="32" xfId="0" applyFont="1" applyFill="1" applyBorder="1" applyAlignment="1">
      <alignment vertical="center"/>
    </xf>
    <xf numFmtId="0" fontId="8" fillId="8" borderId="30" xfId="0" applyFont="1" applyFill="1" applyBorder="1" applyAlignment="1">
      <alignment vertical="center"/>
    </xf>
    <xf numFmtId="166" fontId="8" fillId="8" borderId="31" xfId="0" applyNumberFormat="1" applyFont="1" applyFill="1" applyBorder="1" applyAlignment="1">
      <alignment vertical="center"/>
    </xf>
    <xf numFmtId="0" fontId="0" fillId="0" borderId="35" xfId="0" applyBorder="1" applyAlignment="1">
      <alignment vertical="center"/>
    </xf>
    <xf numFmtId="166" fontId="0" fillId="0" borderId="36" xfId="0" applyNumberFormat="1" applyBorder="1" applyAlignment="1">
      <alignment vertical="center"/>
    </xf>
    <xf numFmtId="0" fontId="0" fillId="0" borderId="32" xfId="0" applyBorder="1" applyAlignment="1">
      <alignment vertical="center"/>
    </xf>
    <xf numFmtId="0" fontId="0" fillId="0" borderId="27" xfId="0" applyBorder="1" applyAlignment="1">
      <alignment vertical="center"/>
    </xf>
    <xf numFmtId="0" fontId="0" fillId="0" borderId="17" xfId="0" applyBorder="1" applyAlignment="1">
      <alignment vertical="center"/>
    </xf>
    <xf numFmtId="0" fontId="0" fillId="0" borderId="22" xfId="0" applyBorder="1"/>
    <xf numFmtId="171" fontId="9" fillId="9" borderId="15" xfId="2" applyNumberFormat="1" applyFont="1" applyFill="1" applyBorder="1" applyAlignment="1">
      <alignment horizontal="center"/>
    </xf>
    <xf numFmtId="171" fontId="0" fillId="0" borderId="0" xfId="0" applyNumberFormat="1" applyAlignment="1">
      <alignment horizontal="center"/>
    </xf>
    <xf numFmtId="0" fontId="2" fillId="4" borderId="39" xfId="3" applyFont="1" applyFill="1" applyBorder="1" applyAlignment="1">
      <alignment horizontal="center" vertical="center" wrapText="1"/>
    </xf>
    <xf numFmtId="166" fontId="9" fillId="9" borderId="40" xfId="2" applyNumberFormat="1" applyFont="1" applyFill="1" applyBorder="1" applyAlignment="1">
      <alignment horizontal="center"/>
    </xf>
    <xf numFmtId="168" fontId="6" fillId="8" borderId="17" xfId="2" applyNumberFormat="1" applyFont="1" applyFill="1" applyBorder="1" applyAlignment="1">
      <alignment horizontal="center"/>
    </xf>
    <xf numFmtId="166" fontId="9" fillId="8" borderId="15" xfId="2" applyNumberFormat="1" applyFont="1" applyFill="1" applyBorder="1" applyAlignment="1">
      <alignment horizontal="center"/>
    </xf>
    <xf numFmtId="43" fontId="0" fillId="2" borderId="0" xfId="1" applyFont="1" applyFill="1" applyAlignment="1">
      <alignment horizontal="center"/>
    </xf>
    <xf numFmtId="172" fontId="10" fillId="8" borderId="43" xfId="0" applyNumberFormat="1" applyFont="1" applyFill="1" applyBorder="1" applyAlignment="1">
      <alignment horizontal="center" vertical="center"/>
    </xf>
    <xf numFmtId="0" fontId="0" fillId="8" borderId="8" xfId="0" applyFill="1" applyBorder="1" applyAlignment="1">
      <alignment vertical="center"/>
    </xf>
    <xf numFmtId="166" fontId="0" fillId="8" borderId="38" xfId="0" applyNumberFormat="1" applyFill="1" applyBorder="1" applyAlignment="1">
      <alignment vertical="center"/>
    </xf>
    <xf numFmtId="0" fontId="8" fillId="8" borderId="32" xfId="0" applyFont="1" applyFill="1" applyBorder="1" applyAlignment="1">
      <alignment vertical="center"/>
    </xf>
    <xf numFmtId="166" fontId="8" fillId="8" borderId="37" xfId="0" applyNumberFormat="1" applyFont="1" applyFill="1" applyBorder="1" applyAlignment="1">
      <alignment vertical="center"/>
    </xf>
    <xf numFmtId="22" fontId="13" fillId="0" borderId="0" xfId="0" applyNumberFormat="1" applyFont="1" applyAlignment="1">
      <alignment horizontal="center" vertical="center"/>
    </xf>
    <xf numFmtId="0" fontId="8" fillId="0" borderId="0" xfId="0" applyFont="1" applyAlignment="1">
      <alignment horizontal="center" vertical="center"/>
    </xf>
    <xf numFmtId="167" fontId="2" fillId="2" borderId="2" xfId="3" applyNumberFormat="1" applyFont="1" applyFill="1" applyBorder="1" applyAlignment="1">
      <alignment horizontal="left" wrapText="1"/>
    </xf>
    <xf numFmtId="0" fontId="0" fillId="0" borderId="45" xfId="0" applyBorder="1" applyAlignment="1">
      <alignment vertical="center"/>
    </xf>
    <xf numFmtId="166" fontId="0" fillId="0" borderId="46" xfId="0" applyNumberFormat="1" applyBorder="1" applyAlignment="1">
      <alignment vertical="center"/>
    </xf>
    <xf numFmtId="0" fontId="0" fillId="0" borderId="0" xfId="0" applyAlignment="1">
      <alignment horizontal="center" vertical="center"/>
    </xf>
    <xf numFmtId="0" fontId="4" fillId="0" borderId="0" xfId="4" applyAlignment="1">
      <alignment horizontal="center"/>
    </xf>
    <xf numFmtId="0" fontId="0" fillId="0" borderId="24" xfId="0" applyBorder="1" applyAlignment="1">
      <alignment horizontal="center" vertical="center"/>
    </xf>
    <xf numFmtId="166" fontId="0" fillId="10" borderId="37" xfId="0" applyNumberFormat="1" applyFill="1" applyBorder="1" applyAlignment="1">
      <alignment vertical="center"/>
    </xf>
    <xf numFmtId="166" fontId="0" fillId="10" borderId="34" xfId="0" applyNumberFormat="1" applyFill="1" applyBorder="1" applyAlignment="1">
      <alignment vertical="center"/>
    </xf>
    <xf numFmtId="0" fontId="8" fillId="9" borderId="0" xfId="0" applyFont="1" applyFill="1" applyBorder="1" applyAlignment="1">
      <alignment vertical="center"/>
    </xf>
    <xf numFmtId="173" fontId="2" fillId="0" borderId="2" xfId="1" applyNumberFormat="1" applyFont="1" applyFill="1" applyBorder="1" applyAlignment="1">
      <alignment horizontal="center" wrapText="1"/>
    </xf>
    <xf numFmtId="0" fontId="0" fillId="0" borderId="8" xfId="0" applyBorder="1"/>
    <xf numFmtId="43" fontId="0" fillId="0" borderId="0" xfId="1" applyFont="1"/>
    <xf numFmtId="43" fontId="0" fillId="0" borderId="8" xfId="1" applyFont="1" applyBorder="1"/>
    <xf numFmtId="43" fontId="0" fillId="0" borderId="0" xfId="1" applyFont="1" applyBorder="1"/>
    <xf numFmtId="43" fontId="0" fillId="0" borderId="49" xfId="1" applyFont="1" applyBorder="1"/>
    <xf numFmtId="43" fontId="0" fillId="0" borderId="48" xfId="1" applyFont="1" applyBorder="1"/>
    <xf numFmtId="43" fontId="0" fillId="0" borderId="27" xfId="1" applyFont="1" applyBorder="1"/>
    <xf numFmtId="43" fontId="0" fillId="0" borderId="47" xfId="1" applyFont="1" applyBorder="1"/>
    <xf numFmtId="0" fontId="0" fillId="5" borderId="47" xfId="0" applyFill="1" applyBorder="1"/>
    <xf numFmtId="167" fontId="2" fillId="5" borderId="47" xfId="3" applyNumberFormat="1" applyFont="1" applyFill="1" applyBorder="1" applyAlignment="1">
      <alignment horizontal="left" wrapText="1"/>
    </xf>
    <xf numFmtId="0" fontId="0" fillId="0" borderId="0" xfId="0" applyAlignment="1">
      <alignment horizontal="left"/>
    </xf>
    <xf numFmtId="0" fontId="0" fillId="3" borderId="3" xfId="0" applyFill="1" applyBorder="1" applyAlignment="1">
      <alignment horizontal="left"/>
    </xf>
    <xf numFmtId="172" fontId="10" fillId="8" borderId="41" xfId="0" applyNumberFormat="1" applyFont="1" applyFill="1" applyBorder="1" applyAlignment="1">
      <alignment horizontal="center" vertical="center"/>
    </xf>
    <xf numFmtId="172" fontId="10" fillId="8" borderId="44" xfId="0" applyNumberFormat="1" applyFont="1" applyFill="1" applyBorder="1" applyAlignment="1">
      <alignment horizontal="center" vertical="center"/>
    </xf>
    <xf numFmtId="0" fontId="7" fillId="0" borderId="42" xfId="0" applyFont="1" applyBorder="1" applyAlignment="1">
      <alignment horizontal="center" vertical="center"/>
    </xf>
    <xf numFmtId="0" fontId="7" fillId="0" borderId="22" xfId="0" applyFont="1" applyBorder="1" applyAlignment="1">
      <alignment horizontal="center" vertical="center"/>
    </xf>
    <xf numFmtId="0" fontId="7" fillId="0" borderId="0" xfId="0" applyFont="1" applyBorder="1" applyAlignment="1">
      <alignment horizontal="center" vertical="center"/>
    </xf>
    <xf numFmtId="0" fontId="0" fillId="0" borderId="5" xfId="0" applyBorder="1" applyAlignment="1">
      <alignment horizontal="center" vertical="center" wrapText="1"/>
    </xf>
    <xf numFmtId="0" fontId="0" fillId="0" borderId="7" xfId="0" applyBorder="1" applyAlignment="1">
      <alignment horizontal="center" vertical="center" wrapText="1"/>
    </xf>
    <xf numFmtId="0" fontId="0" fillId="0" borderId="4" xfId="0" applyBorder="1" applyAlignment="1">
      <alignment horizontal="center" vertical="center" wrapText="1"/>
    </xf>
    <xf numFmtId="0" fontId="7" fillId="0" borderId="0" xfId="0" applyFont="1" applyAlignment="1">
      <alignment horizontal="center" vertical="center"/>
    </xf>
    <xf numFmtId="170" fontId="0" fillId="0" borderId="0" xfId="0" applyNumberFormat="1" applyAlignment="1">
      <alignment horizontal="center"/>
    </xf>
    <xf numFmtId="43" fontId="8" fillId="0" borderId="50" xfId="1" applyFont="1" applyBorder="1" applyAlignment="1">
      <alignment horizontal="center"/>
    </xf>
    <xf numFmtId="174" fontId="11" fillId="9" borderId="33" xfId="2" applyNumberFormat="1" applyFont="1" applyFill="1" applyBorder="1" applyAlignment="1">
      <alignment horizontal="center" vertical="center"/>
    </xf>
  </cellXfs>
  <cellStyles count="5">
    <cellStyle name="Comma" xfId="1" builtinId="3"/>
    <cellStyle name="Hyperlink" xfId="4" builtinId="8"/>
    <cellStyle name="Normal" xfId="0" builtinId="0"/>
    <cellStyle name="Normal_Sheet1" xfId="3" xr:uid="{00000000-0005-0000-0000-000003000000}"/>
    <cellStyle name="Percent" xfId="2" builtinId="5"/>
  </cellStyles>
  <dxfs count="0"/>
  <tableStyles count="0" defaultTableStyle="TableStyleMedium2" defaultPivotStyle="PivotStyleLight16"/>
  <colors>
    <mruColors>
      <color rgb="FFFFFFAF"/>
      <color rgb="FFFFFF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microsoft.com/office/2006/relationships/vbaProject" Target="vbaProject.bin"/><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ferramentasdoinvestidor.com.br/"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1047750</xdr:colOff>
      <xdr:row>0</xdr:row>
      <xdr:rowOff>413555</xdr:rowOff>
    </xdr:from>
    <xdr:ext cx="2707857" cy="142875"/>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000-000002000000}"/>
            </a:ext>
          </a:extLst>
        </xdr:cNvPr>
        <xdr:cNvSpPr txBox="1"/>
      </xdr:nvSpPr>
      <xdr:spPr>
        <a:xfrm>
          <a:off x="1762125" y="413555"/>
          <a:ext cx="2707857" cy="142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200"/>
            <a:t>http://ferramentasdoinvestidor.com.br/</a:t>
          </a:r>
        </a:p>
      </xdr:txBody>
    </xdr:sp>
    <xdr:clientData/>
  </xdr:oneCellAnchor>
  <xdr:twoCellAnchor editAs="oneCell">
    <xdr:from>
      <xdr:col>0</xdr:col>
      <xdr:colOff>85725</xdr:colOff>
      <xdr:row>0</xdr:row>
      <xdr:rowOff>0</xdr:rowOff>
    </xdr:from>
    <xdr:to>
      <xdr:col>1</xdr:col>
      <xdr:colOff>1077568</xdr:colOff>
      <xdr:row>0</xdr:row>
      <xdr:rowOff>578117</xdr:rowOff>
    </xdr:to>
    <xdr:pic>
      <xdr:nvPicPr>
        <xdr:cNvPr id="3" name="Picture 2" descr="logo_fi3">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0"/>
          <a:ext cx="1600200" cy="5781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579120</xdr:colOff>
          <xdr:row>4</xdr:row>
          <xdr:rowOff>0</xdr:rowOff>
        </xdr:from>
        <xdr:to>
          <xdr:col>6</xdr:col>
          <xdr:colOff>144780</xdr:colOff>
          <xdr:row>5</xdr:row>
          <xdr:rowOff>220980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Atualizar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53340</xdr:rowOff>
    </xdr:from>
    <xdr:to>
      <xdr:col>1</xdr:col>
      <xdr:colOff>506730</xdr:colOff>
      <xdr:row>0</xdr:row>
      <xdr:rowOff>551480</xdr:rowOff>
    </xdr:to>
    <xdr:pic>
      <xdr:nvPicPr>
        <xdr:cNvPr id="4" name="Picture 3" descr="logo_fi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3340"/>
          <a:ext cx="1604010" cy="498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45720</xdr:colOff>
          <xdr:row>2</xdr:row>
          <xdr:rowOff>30480</xdr:rowOff>
        </xdr:from>
        <xdr:to>
          <xdr:col>0</xdr:col>
          <xdr:colOff>952500</xdr:colOff>
          <xdr:row>3</xdr:row>
          <xdr:rowOff>137160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Atualizar</a:t>
              </a:r>
            </a:p>
          </xdr:txBody>
        </xdr:sp>
        <xdr:clientData fPrintsWithSheet="0"/>
      </xdr:twoCellAnchor>
    </mc:Choice>
    <mc:Fallback/>
  </mc:AlternateContent>
  <xdr:twoCellAnchor>
    <xdr:from>
      <xdr:col>1</xdr:col>
      <xdr:colOff>893445</xdr:colOff>
      <xdr:row>0</xdr:row>
      <xdr:rowOff>7620</xdr:rowOff>
    </xdr:from>
    <xdr:to>
      <xdr:col>7</xdr:col>
      <xdr:colOff>243840</xdr:colOff>
      <xdr:row>1</xdr:row>
      <xdr:rowOff>15005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990725" y="7620"/>
          <a:ext cx="1217295" cy="616985"/>
          <a:chOff x="1971675" y="0"/>
          <a:chExt cx="1091774" cy="616985"/>
        </a:xfrm>
      </xdr:grpSpPr>
      <xdr:sp macro="" textlink="">
        <xdr:nvSpPr>
          <xdr:cNvPr id="9" name="Arrow: Up 8">
            <a:extLst>
              <a:ext uri="{FF2B5EF4-FFF2-40B4-BE49-F238E27FC236}">
                <a16:creationId xmlns:a16="http://schemas.microsoft.com/office/drawing/2014/main" id="{00000000-0008-0000-0100-000009000000}"/>
              </a:ext>
            </a:extLst>
          </xdr:cNvPr>
          <xdr:cNvSpPr/>
        </xdr:nvSpPr>
        <xdr:spPr>
          <a:xfrm>
            <a:off x="2400301" y="0"/>
            <a:ext cx="200024" cy="333375"/>
          </a:xfrm>
          <a:prstGeom prst="up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en-US" sz="1100"/>
          </a:p>
        </xdr:txBody>
      </xdr:sp>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971675" y="352425"/>
            <a:ext cx="10917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Adicionar</a:t>
            </a:r>
            <a:r>
              <a:rPr lang="en-US" sz="1100" baseline="0"/>
              <a:t> Trade</a:t>
            </a:r>
            <a:endParaRPr lang="en-US" sz="1100"/>
          </a:p>
        </xdr:txBody>
      </xdr:sp>
    </xdr:grpSp>
    <xdr:clientData/>
  </xdr:twoCellAnchor>
  <xdr:twoCellAnchor>
    <xdr:from>
      <xdr:col>7</xdr:col>
      <xdr:colOff>358140</xdr:colOff>
      <xdr:row>0</xdr:row>
      <xdr:rowOff>9525</xdr:rowOff>
    </xdr:from>
    <xdr:to>
      <xdr:col>13</xdr:col>
      <xdr:colOff>649814</xdr:colOff>
      <xdr:row>0</xdr:row>
      <xdr:rowOff>603650</xdr:rowOff>
    </xdr:to>
    <xdr:grpSp>
      <xdr:nvGrpSpPr>
        <xdr:cNvPr id="11" name="Group 10">
          <a:extLst>
            <a:ext uri="{FF2B5EF4-FFF2-40B4-BE49-F238E27FC236}">
              <a16:creationId xmlns:a16="http://schemas.microsoft.com/office/drawing/2014/main" id="{00000000-0008-0000-0100-00000B000000}"/>
            </a:ext>
          </a:extLst>
        </xdr:cNvPr>
        <xdr:cNvGrpSpPr/>
      </xdr:nvGrpSpPr>
      <xdr:grpSpPr>
        <a:xfrm>
          <a:off x="3322320" y="9525"/>
          <a:ext cx="1518494" cy="594125"/>
          <a:chOff x="1871896" y="0"/>
          <a:chExt cx="1339424" cy="594125"/>
        </a:xfrm>
      </xdr:grpSpPr>
      <xdr:sp macro="" textlink="">
        <xdr:nvSpPr>
          <xdr:cNvPr id="12" name="Arrow: Up 11">
            <a:extLst>
              <a:ext uri="{FF2B5EF4-FFF2-40B4-BE49-F238E27FC236}">
                <a16:creationId xmlns:a16="http://schemas.microsoft.com/office/drawing/2014/main" id="{00000000-0008-0000-0100-00000C000000}"/>
              </a:ext>
            </a:extLst>
          </xdr:cNvPr>
          <xdr:cNvSpPr/>
        </xdr:nvSpPr>
        <xdr:spPr>
          <a:xfrm>
            <a:off x="2400301" y="0"/>
            <a:ext cx="200024" cy="333375"/>
          </a:xfrm>
          <a:prstGeom prst="up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en-US" sz="1100"/>
          </a:p>
        </xdr:txBody>
      </xdr:sp>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1871896" y="329565"/>
            <a:ext cx="133942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Adicionar</a:t>
            </a:r>
            <a:r>
              <a:rPr lang="en-US" sz="1100" baseline="0"/>
              <a:t> Proventos</a:t>
            </a:r>
            <a:endParaRPr lang="en-US" sz="1100"/>
          </a:p>
        </xdr:txBody>
      </xdr:sp>
    </xdr:grpSp>
    <xdr:clientData/>
  </xdr:twoCellAnchor>
</xdr:wsDr>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types>
    <type name="_imageurl">
      <keyFlags>
        <key name="Attribution Size">
          <flag name="ShowInAutoComplete"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Flags>
    </type>
  </types>
</rvTypesInfo>
</file>

<file path=xl/richData/rdrichvalue.xml><?xml version="1.0" encoding="utf-8"?>
<rvData xmlns="http://schemas.microsoft.com/office/spreadsheetml/2017/richdata" count="74">
  <rv s="0">
    <v>https://www.bing.com/financeapi/forcetrigger?t=apnmnm&amp;q=%3aIBOV&amp;form=skydnc</v>
    <v>Bing</v>
  </rv>
  <rv s="1">
    <v>en-US</v>
    <v>apnmnm</v>
    <v>268435456</v>
    <v>268435460</v>
    <v>1</v>
    <v>Powered by Refinitiv</v>
    <v>0</v>
    <v>Sao Paulo SE Bovespa Index</v>
    <v>2</v>
    <v>3</v>
    <v>Finance</v>
    <v>4</v>
    <v>106646.21</v>
    <v>87535.87</v>
    <v>-762.16</v>
    <v>-7.2840000000000005E-3</v>
    <v>BR</v>
    <v>0</v>
    <v>104892.9</v>
    <v>Index</v>
    <v>103503.53</v>
    <v>Sao Paulo SE Bovespa Index</v>
    <v>104637.51</v>
    <v>104637.82</v>
    <v>103875.66</v>
    <v>IBOV</v>
    <v>Sao Paulo SE Bovespa Index</v>
  </rv>
  <rv s="2">
    <v>1</v>
  </rv>
  <rv s="0">
    <v>http://en.wikipedia.org/wiki/Public_domain</v>
    <v>Public domain</v>
  </rv>
  <rv s="0">
    <v>http://en.wikipedia.org/wiki/Itaú_Unibanco</v>
    <v>Wikipedia</v>
  </rv>
  <rv s="3">
    <v>3</v>
    <v>4</v>
  </rv>
  <rv s="4">
    <v>https://www.bing.com/th?id=AMMS_2c3e88f395f2b97ae2ac83458e57adfa&amp;qlt=95</v>
    <v>5</v>
    <v>https://www.bing.com/images/search?form=xlimg&amp;q=ita%c3%ba+unibanco</v>
    <v>Image of Itau Unibanco Holding SA</v>
  </rv>
  <rv s="5">
    <v>en-US</v>
    <v>apmscw</v>
    <v>268435456</v>
    <v>268435457</v>
    <v>1</v>
    <v>Powered by Refinitiv</v>
    <v>5</v>
    <v>Itau Unibanco Holding SA (BVMF:ITUB4)</v>
    <v>7</v>
    <v>8</v>
    <v>Finance</v>
    <v>9</v>
    <v>36.938699999999997</v>
    <v>25.893799999999999</v>
    <v>1.2343999999999999</v>
    <v>-0.36</v>
    <v>-1.0392999999999999E-2</v>
    <v>BRL</v>
    <v>Itau Unibanco Holding S.A. is a holding company. The Company provides a range of financial products and services to individual and corporate clients in Brazil and abroad. The Company operates through three segments: Retail Banking, Wholesale Banking, and Activities with the Market + Corporation. The Retail Banking segment offers banking products and services to a diversified client base of account holders and non-account holders, individuals and companies. The Wholesale Banking segment offers products and services to middle-market companies, high-net worth clients (Private Banking) and institutional clients. The Company's Activities with the Market + Corporation segment mainly manages the financial results associated with capital surplus, subordinated debt, and net debt of tax credits and debits. The Company provides banking activities, through its commercial, investment, real estate loan, finance and investment credit, and lease portfolios, including foreign exchange operations.</v>
    <v>98446</v>
    <v>BM&amp;FBOVESPA</v>
    <v>BVMF</v>
    <v>BVMF</v>
    <v>Praca Alfredo Egydio De Souza Aranha, 100, Torre Olavo Setubal, Parque Jabaquara, SAO PAULO, SAO PAULO, 04.344-902 BR</v>
    <v>34.89</v>
    <v>6</v>
    <v>Banking Services</v>
    <v>Stock</v>
    <v>43732.90625</v>
    <v>34.11</v>
    <v>317836000000</v>
    <v>Itau Unibanco Holding SA</v>
    <v>Itau Unibanco Holding SA</v>
    <v>34.82</v>
    <v>34.64</v>
    <v>34.28</v>
    <v>9743254000</v>
    <v>ITUB4</v>
    <v>Itau Unibanco Holding SA (BVMF:ITUB4)</v>
    <v>10472700</v>
    <v>1943</v>
  </rv>
  <rv s="2">
    <v>7</v>
  </rv>
  <rv s="6">
    <v>en-US</v>
    <v>apnjsm</v>
    <v>268435456</v>
    <v>268435457</v>
    <v>1</v>
    <v>Powered by Refinitiv</v>
    <v>10</v>
    <v>Vale SA (BVMF:VALE3)</v>
    <v>11</v>
    <v>12</v>
    <v>Finance</v>
    <v>9</v>
    <v>62.42</v>
    <v>40.51</v>
    <v>1.2521</v>
    <v>-1.17</v>
    <v>-2.4323999999999998E-2</v>
    <v>BRL</v>
    <v>Vale S.A. is a global producer of iron ore and iron ore pellets, key raw materials for steelmaking, and producer of nickel. The Company also produces copper, metallurgical and thermal coal, potash, phosphates and other fertilizer nutrients, manganese ore, ferroalloys, platinum group metals, gold, silver and cobalt. The Company's segments include Ferrous minerals, which comprises the production and extraction of ferrous minerals, as iron ore fines, iron ore pellets and its logistic services, manganese and ferroalloys and others ferrous products and services; Coal, which comprises the extraction of metallurgical and thermal coal and its logistic services; Base metals, which includes the production and extraction of non-ferrous minerals, and are presented as nickel and its byproducts, and copper (copper concentrated), and Others, which comprises sales and expenses of other products, services and investments in joint ventures and associate in other business.</v>
    <v>65539</v>
    <v>BM&amp;FBOVESPA</v>
    <v>BVMF</v>
    <v>BVMF</v>
    <v>Praia de Botafogo, 186 - Salas 501 a 1901, Botafogo, RIO DE JANEIRO, RIO DE JANEIRO, 22.250-145 BR</v>
    <v>47.88</v>
    <v>Metals &amp; Mining</v>
    <v>Stock</v>
    <v>43732.90625</v>
    <v>46.78</v>
    <v>255874300000</v>
    <v>Vale SA</v>
    <v>Vale SA</v>
    <v>47.71</v>
    <v>48.1</v>
    <v>46.93</v>
    <v>5128283000</v>
    <v>VALE3</v>
    <v>Vale SA (BVMF:VALE3)</v>
    <v>15216600</v>
    <v>1943</v>
  </rv>
  <rv s="2">
    <v>9</v>
  </rv>
  <rv s="6">
    <v>en-US</v>
    <v>aplym7</v>
    <v>268435456</v>
    <v>268435457</v>
    <v>1</v>
    <v>Powered by Refinitiv</v>
    <v>10</v>
    <v>Banco Bradesco SA (BVMF:BBDC4)</v>
    <v>11</v>
    <v>12</v>
    <v>Finance</v>
    <v>9</v>
    <v>39.894599999999997</v>
    <v>22.503399999999999</v>
    <v>1.4427000000000001</v>
    <v>-0.44</v>
    <v>-1.2846999999999999E-2</v>
    <v>BRL</v>
    <v>Banco Bradesco S.A. is a commercial bank. The Bank offers a range of banking and financial products and services in Brazil and abroad to individuals, large, mid-sized and small companies, and local and international corporations and institutions. Its segments include Financial; Insurance and Capitalization bonds; Pension plans, and Other Activities. The Financial segment consists of financial institutions and holding companies, which are responsible for managing financial resources, and credit card, consortium and asset management companies. The Insurance Group segment comprises insurance, pension plan and capitalization bond companies. It offers banking services, including deposit-taking activities, individual and corporate banking services, credit and debit cards, leasing operations, investment banking, asset management, consortium services and others. Its insurance services include health insurance, life and personal accident insurance, automobile, casualty and pension plans.</v>
    <v>98605</v>
    <v>BM&amp;FBOVESPA</v>
    <v>BVMF</v>
    <v>BVMF</v>
    <v>Cidade de Deus, 4 andar do Predio Vermelho, Vila Yara, OSASCO, SAO PAULO, 06.029-900 BR</v>
    <v>34.369999999999997</v>
    <v>Banking Services</v>
    <v>Stock</v>
    <v>43732.90625</v>
    <v>33.61</v>
    <v>266428900000</v>
    <v>Banco Bradesco SA</v>
    <v>Banco Bradesco SA</v>
    <v>34.299999999999997</v>
    <v>34.25</v>
    <v>33.81</v>
    <v>8032297000</v>
    <v>BBDC4</v>
    <v>Banco Bradesco SA (BVMF:BBDC4)</v>
    <v>11556700</v>
    <v>1943</v>
  </rv>
  <rv s="2">
    <v>11</v>
  </rv>
  <rv s="0">
    <v>http://en.wikipedia.org/wiki/Petrobras</v>
    <v>Wikipedia</v>
  </rv>
  <rv s="3">
    <v>3</v>
    <v>13</v>
  </rv>
  <rv s="4">
    <v>https://www.bing.com/th?id=AMMS_45e4e5b5089535177876e839101d2b31&amp;qlt=95</v>
    <v>14</v>
    <v>https://www.bing.com/images/search?form=xlimg&amp;q=petrobras</v>
    <v>Image of Petroleo Brasileiro SA Petrobras</v>
  </rv>
  <rv s="5">
    <v>en-US</v>
    <v>apn4gh</v>
    <v>268435456</v>
    <v>268435457</v>
    <v>1</v>
    <v>Powered by Refinitiv</v>
    <v>5</v>
    <v>Petroleo Brasileiro SA Petrobras (BVMF:PETR4)</v>
    <v>7</v>
    <v>8</v>
    <v>Finance</v>
    <v>9</v>
    <v>29.238299999999999</v>
    <v>18.590599999999998</v>
    <v>2.3113000000000001</v>
    <v>-0.21</v>
    <v>-7.6419999999999995E-3</v>
    <v>BRL</v>
    <v>Petroleo Brasileiro S.A.-Petrobras specializes in the oil, natural gas and energy industry. The Company is engaged in prospecting, drilling, refining, processing, trading and transporting crude oil from producing onshore and offshore oil fields and from shale or other rocks. Its segments include Exploration and Production, which covers the activities of exploration, development and production of crude oil, natural gas liquid and natural gas; Refining, Transportation and Marketing, which covers the refining, logistics, transport and trading of crude oil and oil products activities, exporting of ethanol, and extraction and processing of shale; Gas and Power, which is engaged in transportation and trading of natural gas produced in Brazil and imported natural gas; Biofuels, which covers the activities of production of biodiesel and its co-products, and ethanol-related activities; Distribution, which includes the activities of its subsidiary Petrobras Distribuidora S.A., and Corporate.</v>
    <v>63361</v>
    <v>BM&amp;FBOVESPA</v>
    <v>BVMF</v>
    <v>BVMF</v>
    <v>Av. Republica do Chile, n 65 - Centr, RIO DE JANEIRO, RIO DE JANEIRO, 20.031-912 BR</v>
    <v>27.54</v>
    <v>15</v>
    <v>Oil &amp; Gas</v>
    <v>Stock</v>
    <v>43732.90625</v>
    <v>27.15</v>
    <v>376910400000</v>
    <v>Petroleo Brasileiro SA Petrobras</v>
    <v>Petroleo Brasileiro SA Petrobras</v>
    <v>27.42</v>
    <v>27.48</v>
    <v>27.27</v>
    <v>13044200000</v>
    <v>PETR4</v>
    <v>Petroleo Brasileiro SA Petrobras (BVMF:PETR4)</v>
    <v>36534000</v>
    <v>1953</v>
  </rv>
  <rv s="2">
    <v>16</v>
  </rv>
  <rv s="6">
    <v>en-US</v>
    <v>azh5a2</v>
    <v>268435456</v>
    <v>268435457</v>
    <v>1</v>
    <v>Powered by Refinitiv</v>
    <v>10</v>
    <v>B3 SA Brasil Bolsa Balcao (BVMF:B3SA3)</v>
    <v>11</v>
    <v>12</v>
    <v>Finance</v>
    <v>9</v>
    <v>46.79</v>
    <v>21.6647</v>
    <v>1.1598999999999999</v>
    <v>-0.56000000000000005</v>
    <v>-1.2482999999999999E-2</v>
    <v>BRL</v>
    <v xml:space="preserve">B3 SA Brasil Bolsa Balcao, formerly BM&amp;F Bovespa SA Bolsa de Valores Mercadorias e Futuros, is a Brazil-based financial market infrastructure provider. The Company's service offerings range from exchange trading, clearing and other post-trading services to registration of over-the-counter (OTC) transactions. The Company also provides a listing service and acts as central securities depository (CSD). It develops software solutions and offers index licensing services. Its business is divided into four segments: Bovespa, which covers trading, clearing and settlement of equities and equity derivatives; BM&amp;F, which covers trading, clearing and settlement of financial and commodities derivatives; Cetip Securities (Cetip UTVM), covering registration, clearing, settlement and custody systems for fixed-income securities and OTC derivatives, and Cetip Financing (Cetip UFIN), which provides an integrated private electronic system for registration of vehicle and real estate loans. </v>
    <v>2135</v>
    <v>BM&amp;FBOVESPA</v>
    <v>BVMF</v>
    <v>BVMF</v>
    <v>Praca Antonio Prado, 48 7 andar, Centro, SAO PAULO, SAO PAULO, 01.010-901 BR</v>
    <v>45.32</v>
    <v>Investment Banking &amp; Investment Services</v>
    <v>Stock</v>
    <v>43732.90625</v>
    <v>44.07</v>
    <v>93320160000</v>
    <v>B3 SA Brasil Bolsa Balcao</v>
    <v>B3 SA Brasil Bolsa Balcao</v>
    <v>45.09</v>
    <v>44.86</v>
    <v>44.3</v>
    <v>2047572000</v>
    <v>B3SA3</v>
    <v>B3 SA Brasil Bolsa Balcao (BVMF:B3SA3)</v>
    <v>6163900</v>
    <v>2007</v>
  </rv>
  <rv s="2">
    <v>18</v>
  </rv>
  <rv s="5">
    <v>en-US</v>
    <v>apn4dm</v>
    <v>268435456</v>
    <v>268435457</v>
    <v>1</v>
    <v>Powered by Refinitiv</v>
    <v>5</v>
    <v>Petroleo Brasileiro SA Petrobras (BVMF:PETR3)</v>
    <v>7</v>
    <v>8</v>
    <v>Finance</v>
    <v>9</v>
    <v>33.341799999999999</v>
    <v>22.369800000000001</v>
    <v>2.3113000000000001</v>
    <v>-0.39</v>
    <v>-1.2808E-2</v>
    <v>BRL</v>
    <v>Petroleo Brasileiro S.A.-Petrobras specializes in the oil, natural gas and energy industry. The Company is engaged in prospecting, drilling, refining, processing, trading and transporting crude oil from producing onshore and offshore oil fields and from shale or other rocks. Its segments include Exploration and Production, which covers the activities of exploration, development and production of crude oil, natural gas liquid and natural gas; Refining, Transportation and Marketing, which covers the refining, logistics, transport and trading of crude oil and oil products activities, exporting of ethanol, and extraction and processing of shale; Gas and Power, which is engaged in transportation and trading of natural gas produced in Brazil and imported natural gas; Biofuels, which covers the activities of production of biodiesel and its co-products, and ethanol-related activities; Distribution, which includes the activities of its subsidiary Petrobras Distribuidora S.A., and Corporate.</v>
    <v>63361</v>
    <v>BM&amp;FBOVESPA</v>
    <v>BVMF</v>
    <v>BVMF</v>
    <v>Av. Republica do Chile, n 65 - Centr, RIO DE JANEIRO, RIO DE JANEIRO, 20.031-912 BR</v>
    <v>30.51</v>
    <v>15</v>
    <v>Oil &amp; Gas</v>
    <v>Stock</v>
    <v>43732.90625</v>
    <v>29.99</v>
    <v>376910400000</v>
    <v>Petroleo Brasileiro SA Petrobras</v>
    <v>Petroleo Brasileiro SA Petrobras</v>
    <v>30.42</v>
    <v>30.45</v>
    <v>30.06</v>
    <v>13044200000</v>
    <v>PETR3</v>
    <v>Petroleo Brasileiro SA Petrobras (BVMF:PETR3)</v>
    <v>4506500</v>
    <v>1953</v>
  </rv>
  <rv s="2">
    <v>20</v>
  </rv>
  <rv s="0">
    <v>https://creativecommons.org/licenses/by-sa/4.0</v>
    <v>CC BY-SA 4.0</v>
  </rv>
  <rv s="0">
    <v>http://en.wikipedia.org/wiki/Ambev</v>
    <v>Wikipedia</v>
  </rv>
  <rv s="3">
    <v>22</v>
    <v>23</v>
  </rv>
  <rv s="4">
    <v>https://www.bing.com/th?id=AMMS_7a00405062368bc84023e2ffccd9c5d1&amp;qlt=95</v>
    <v>24</v>
    <v>https://www.bing.com/images/search?form=xlimg&amp;q=ambev</v>
    <v>Image of Ambev SA</v>
  </rv>
  <rv s="5">
    <v>en-US</v>
    <v>apltyc</v>
    <v>268435456</v>
    <v>268435457</v>
    <v>1</v>
    <v>Powered by Refinitiv</v>
    <v>5</v>
    <v>Ambev SA (BVMF:ABEV3)</v>
    <v>7</v>
    <v>8</v>
    <v>Finance</v>
    <v>9</v>
    <v>20.77</v>
    <v>14.247</v>
    <v>0.31590000000000001</v>
    <v>-0.06</v>
    <v>-3.091E-3</v>
    <v>BRL</v>
    <v>Ambev SA, formerly Inbev Participacoes Societarias SA, is a Brazil-based company engaged in the brewing sector. The Company produces and sells beer, carbonated soft drinks (CSDs) and other non-alcoholic and non-carbonated (NANC) beverages across the Americas. The Company's activities are divided into three segments: Latin America North, including sell of beer, CSD and NANC drinks in Brazil, as well as operations in Dominican Republic, Saint Vincent, Antigua, Dominica, Guatemala, El Salvador, Nicaragua and Cuba; Latin America South, distributing products in Argentina, Bolivia, Paraguay, Uruguay, Chile, Ecuador, Peru and Colombia, and Canada, represented by Labatt’s operations, which comprises sales in Canada. The Company markets products under various brand names, such as Adriatica, Brahma, Leffe, Budweiser, Corona, PepsiCo and Lipton. It is a subsidiary of Interbrew International BV.</v>
    <v>50000</v>
    <v>BM&amp;FBOVESPA</v>
    <v>BVMF</v>
    <v>BVMF</v>
    <v>Rua Doutor Renato Paes de Barros, 1017, 03 andar, Itaim Bibi, SAO PAULO, SAO PAULO, 04.530-001 BR</v>
    <v>19.510000000000002</v>
    <v>25</v>
    <v>Beverages</v>
    <v>Stock</v>
    <v>43732.90625</v>
    <v>19.13</v>
    <v>305068400000</v>
    <v>Ambev SA</v>
    <v>Ambev SA</v>
    <v>19.47</v>
    <v>19.41</v>
    <v>19.350000000000001</v>
    <v>15732970000</v>
    <v>ABEV3</v>
    <v>Ambev SA (BVMF:ABEV3)</v>
    <v>16061600</v>
    <v>2005</v>
  </rv>
  <rv s="2">
    <v>26</v>
  </rv>
  <rv s="0">
    <v>http://en.wikipedia.org/wiki/Banco_do_Brasil</v>
    <v>Wikipedia</v>
  </rv>
  <rv s="3">
    <v>3</v>
    <v>28</v>
  </rv>
  <rv s="4">
    <v>https://www.bing.com/th?id=AMMS_86899b99522f687f292a5b257a3e07a5&amp;qlt=95</v>
    <v>29</v>
    <v>https://www.bing.com/images/search?form=xlimg&amp;q=banco+do+brasil</v>
    <v>Image of Banco do Brasil SA</v>
  </rv>
  <rv s="5">
    <v>en-US</v>
    <v>aplygh</v>
    <v>268435456</v>
    <v>268435457</v>
    <v>1</v>
    <v>Powered by Refinitiv</v>
    <v>5</v>
    <v>Banco do Brasil SA (BVMF:BBAS3)</v>
    <v>7</v>
    <v>8</v>
    <v>Finance</v>
    <v>9</v>
    <v>54.9129</v>
    <v>26.761700000000001</v>
    <v>1.9867999999999999</v>
    <v>-1.44</v>
    <v>-3.0457000000000001E-2</v>
    <v>BRL</v>
    <v>Banco do Brasil SA is a Brazil-based financial institution (the Bank) primarily engaged in the banking sector. The Bank's activities are divided into five business segments: Banking, which offers deposits, loans and other banking services in the retail, corporate, wholesale and public sectors; Investments, which focuses on the structuring and distribution of debt and equity instruments in Brazilian primary and secondary capital markets; Fund management, which is mainly responsible for the purchase, sale and custody of securities, as well as portfolio management; Insurance, which provides products and services related to life, property and automobile insurance, private pension and capitalization plans, and Electronic payments, which includes services related to administration of credit and debit cards, such as capture, transmission, processing and financial settlement. The Bank operates through numerous subsidiaries in the domestic and international market.</v>
    <v>96168</v>
    <v>BM&amp;FBOVESPA</v>
    <v>BVMF</v>
    <v>BVMF</v>
    <v>SAUN QD 5 LT B, Asa Norte, BRASILIA, DISTRITO FEDERAL, 70.040-912 BR</v>
    <v>47.56</v>
    <v>30</v>
    <v>Banking Services</v>
    <v>Stock</v>
    <v>43732.90625</v>
    <v>45.6</v>
    <v>136136000000</v>
    <v>Banco do Brasil SA</v>
    <v>Banco do Brasil SA</v>
    <v>47.39</v>
    <v>47.28</v>
    <v>45.84</v>
    <v>2786481000</v>
    <v>BBAS3</v>
    <v>Banco do Brasil SA (BVMF:BBAS3)</v>
    <v>11871000</v>
    <v>1808</v>
  </rv>
  <rv s="2">
    <v>31</v>
  </rv>
  <rv s="6">
    <v>en-US</v>
    <v>apms77</v>
    <v>268435456</v>
    <v>268435457</v>
    <v>1</v>
    <v>Powered by Refinitiv</v>
    <v>10</v>
    <v>Itausa Investimentos Itau SA (BVMF:ITSA4)</v>
    <v>11</v>
    <v>12</v>
    <v>Finance</v>
    <v>9</v>
    <v>13.37</v>
    <v>8.609</v>
    <v>1.1961999999999999</v>
    <v>-0.04</v>
    <v>-3.0530000000000002E-3</v>
    <v>BRL</v>
    <v>Itausa Investimentos Itau SA is a Brazil-based company primarily engaged in the banking sector. The Company's activities are divided into two business segments: Financial and Industrial. The Financial division focuses on managing Itau Unibanco Holding SA, a banking institution that offers financial products and services, such as loans, credit cards, current accounts, insurance policies, investing tools, securities brokerage, treasury and investment advice, to individual and corporate customers. The Industrial division is responsible for operating Itautec SA, which manufactures commercial and banking automation equipment, as well as provides information technology (IT) services; Duratex SA, which produces wood panels, bathroom porcelain and metal sanitary fittings, and Alpargatas, which produces footwear under Juntas, Havaianas e Dupe brands, among others.</v>
    <v>128000</v>
    <v>BM&amp;FBOVESPA</v>
    <v>BVMF</v>
    <v>BVMF</v>
    <v>Avenida Paulista, 1938, SAO PAULO, SAO PAULO, 04.344-902 BR</v>
    <v>13.16</v>
    <v>Banking Services</v>
    <v>Stock</v>
    <v>43732.90625</v>
    <v>12.97</v>
    <v>110665600000</v>
    <v>Itausa Investimentos Itau SA</v>
    <v>Itausa Investimentos Itau SA</v>
    <v>13.15</v>
    <v>13.1</v>
    <v>13.06</v>
    <v>8410813000</v>
    <v>ITSA4</v>
    <v>Itausa Investimentos Itau SA (BVMF:ITSA4)</v>
    <v>13433900</v>
    <v>1966</v>
  </rv>
  <rv s="2">
    <v>33</v>
  </rv>
  <rv s="6">
    <v>en-US</v>
    <v>apmsoc</v>
    <v>268435456</v>
    <v>268435457</v>
    <v>1</v>
    <v>Powered by Refinitiv</v>
    <v>10</v>
    <v>JBS SA (BVMF:JBSS3)</v>
    <v>11</v>
    <v>12</v>
    <v>Finance</v>
    <v>9</v>
    <v>32.880000000000003</v>
    <v>8.1691000000000003</v>
    <v>0.2611</v>
    <v>2.1800000000000002</v>
    <v>7.1010000000000004E-2</v>
    <v>BRL</v>
    <v>JBS SA, formerly Friboi Ltda, is a Brazil-based company primarily engaged in the meat processing sector. The Company's activities are divided into three business segments: Beef, which operates slaughter, cold storage and meat processing facilities for the production of beef preservatives, fat, feed and derivate products; Chicken, which includes refrigerated poultry meat and meat cuts supplied to restaurant chains, food processors, distributors and supermarkets, among others, and Pork, which includes slaughters, processing, cold storage of pork meat products and by-products. Its products are distributed under various brand names, such as Friboi, Swift and Bertin. In addition, the Company is involved in the leather tanning, aluminum cans production, industrial waste management, soap, glycerin and biodiesel production, as well as transportation, among others. The Company operates in the United States, Canada, Mexico, Argentina and Paraguay, among others.</v>
    <v>230000</v>
    <v>BM&amp;FBOVESPA</v>
    <v>BVMF</v>
    <v>BVMF</v>
    <v>Av. Marginal Direita do Tiete, 500, SAO PAULO, SAO PAULO, 05.118-100 BR</v>
    <v>32.880000000000003</v>
    <v>Food &amp; Tobacco</v>
    <v>Stock</v>
    <v>43732.90625</v>
    <v>30.89</v>
    <v>84318300000</v>
    <v>JBS SA</v>
    <v>JBS SA</v>
    <v>30.95</v>
    <v>30.7</v>
    <v>32.880000000000003</v>
    <v>2665041000</v>
    <v>JBSS3</v>
    <v>JBS SA (BVMF:JBSS3)</v>
    <v>17094900</v>
    <v>1998</v>
  </rv>
  <rv s="2">
    <v>35</v>
  </rv>
  <rv s="0">
    <v>http://pt.wikipedia.org/wiki/Lojas_Renner</v>
    <v>Wikipedia</v>
  </rv>
  <rv s="3">
    <v>22</v>
    <v>37</v>
  </rv>
  <rv s="4">
    <v>https://www.bing.com/th?id=AMMS_2776860a28055507d12aee03f9265ce8&amp;qlt=95</v>
    <v>38</v>
    <v>https://www.bing.com/images/search?form=xlimg&amp;q=lojas+renner</v>
    <v>Image of Lojas Renner SA</v>
  </rv>
  <rv s="5">
    <v>en-US</v>
    <v>apmvxm</v>
    <v>268435456</v>
    <v>268435457</v>
    <v>1</v>
    <v>Powered by Refinitiv</v>
    <v>5</v>
    <v>Lojas Renner SA (BVMF:LREN3)</v>
    <v>7</v>
    <v>8</v>
    <v>Finance</v>
    <v>9</v>
    <v>51.83</v>
    <v>27.055499999999999</v>
    <v>0.86639999999999995</v>
    <v>0.05</v>
    <v>1.011E-3</v>
    <v>BRL</v>
    <v>Lojas Renner SA is a Brazil-based company primarily engaged in the retail of apparel and fashion accessories. The Company's activities are divided in two segments: Retail and Financial. The Retail division focuses on sale of women's, men's and children's garment items, underwear and shoes, sportswear, as well as perfumery, cosmetics, toiletry products, correlated, watches and home and decoration accessories. The Financial segment is involved in the provision of financial services, such as intermediation of financial services with charges, personal loans and insurances brokerage. It operates under Lojas Renner, Camicado and Youcom brand names. The Company operates through a number of subsidiaries, including Dromegon Participacoes Ltda, Renner Administradora de Cartoes de Credito Ltda, and Maxmix Comercial Ltda, among others.</v>
    <v>21376</v>
    <v>BM&amp;FBOVESPA</v>
    <v>BVMF</v>
    <v>BVMF</v>
    <v>Av. Joaquim Porto Villanova, 401, PORTO ALEGRE, RIO GRANDE DO SUL, 91.410-400 BR</v>
    <v>49.8</v>
    <v>39</v>
    <v>Specialty Retailers</v>
    <v>Stock</v>
    <v>43732.90625</v>
    <v>48.84</v>
    <v>39841890000</v>
    <v>Lojas Renner SA</v>
    <v>Lojas Renner SA</v>
    <v>49.8</v>
    <v>49.45</v>
    <v>49.5</v>
    <v>793416400</v>
    <v>LREN3</v>
    <v>Lojas Renner SA (BVMF:LREN3)</v>
    <v>2685300</v>
    <v>1965</v>
  </rv>
  <rv s="2">
    <v>40</v>
  </rv>
  <rv s="6">
    <v>en-US</v>
    <v>aplyjc</v>
    <v>268435456</v>
    <v>268435457</v>
    <v>1</v>
    <v>Powered by Refinitiv</v>
    <v>10</v>
    <v>Banco Bradesco SA (BVMF:BBDC3)</v>
    <v>11</v>
    <v>12</v>
    <v>Finance</v>
    <v>9</v>
    <v>35.8491</v>
    <v>19.892099999999999</v>
    <v>1.4427000000000001</v>
    <v>-0.35</v>
    <v>-1.1062000000000001E-2</v>
    <v>BRL</v>
    <v>Banco Bradesco S.A. is a commercial bank. The Bank offers a range of banking and financial products and services in Brazil and abroad to individuals, large, mid-sized and small companies, and local and international corporations and institutions. Its segments include Financial; Insurance and Capitalization bonds; Pension plans, and Other Activities. The Financial segment consists of financial institutions and holding companies, which are responsible for managing financial resources, and credit card, consortium and asset management companies. The Insurance Group segment comprises insurance, pension plan and capitalization bond companies. It offers banking services, including deposit-taking activities, individual and corporate banking services, credit and debit cards, leasing operations, investment banking, asset management, consortium services and others. Its insurance services include health insurance, life and personal accident insurance, automobile, casualty and pension plans.</v>
    <v>98605</v>
    <v>BM&amp;FBOVESPA</v>
    <v>BVMF</v>
    <v>BVMF</v>
    <v>Cidade de Deus, 4 andar do Predio Vermelho, Vila Yara, OSASCO, SAO PAULO, 06.029-900 BR</v>
    <v>31.78</v>
    <v>Banking Services</v>
    <v>Stock</v>
    <v>43732.90625</v>
    <v>31.17</v>
    <v>266428900000</v>
    <v>Banco Bradesco SA</v>
    <v>Banco Bradesco SA</v>
    <v>31.57</v>
    <v>31.64</v>
    <v>31.29</v>
    <v>8032297000</v>
    <v>BBDC3</v>
    <v>Banco Bradesco SA (BVMF:BBDC3)</v>
    <v>1711600</v>
    <v>1943</v>
  </rv>
  <rv s="2">
    <v>42</v>
  </rv>
  <rv s="7">
    <v>en-US</v>
    <v>apmrxm</v>
    <v>268435456</v>
    <v>268435457</v>
    <v>1</v>
    <v>Powered by Refinitiv</v>
    <v>13</v>
    <v>IRB Brasil Resseguros SA (BVMF:IRBR3)</v>
    <v>11</v>
    <v>14</v>
    <v>Finance</v>
    <v>9</v>
    <v>114.38</v>
    <v>57.844099999999997</v>
    <v>-1.48</v>
    <v>-1.3228E-2</v>
    <v>BRL</v>
    <v>IRB Brasil Resseguros SA, located in Rio de Janeiro Brazil, provides reinsurance services, established in 1939.</v>
    <v>376</v>
    <v>BM&amp;FBOVESPA</v>
    <v>BVMF</v>
    <v>BVMF</v>
    <v>Avenida Marechal Camara, RIO DE JANEIRO, RIO DE JANEIRO, 20.020-901 BR</v>
    <v>112.65</v>
    <v>Insurance</v>
    <v>Stock</v>
    <v>43732.90625</v>
    <v>109.71</v>
    <v>34697520000</v>
    <v>IRB Brasil Resseguros SA</v>
    <v>IRB Brasil Resseguros SA</v>
    <v>112.41</v>
    <v>111.88</v>
    <v>110.4</v>
    <v>310445600</v>
    <v>IRBR3</v>
    <v>IRB Brasil Resseguros SA (BVMF:IRBR3)</v>
    <v>1809500</v>
    <v>1939</v>
  </rv>
  <rv s="2">
    <v>44</v>
  </rv>
  <rv s="0">
    <v>http://creativecommons.org/licenses/by-sa/3.0</v>
    <v>CC BY-SA 3.0</v>
  </rv>
  <rv s="0">
    <v>http://es.wikipedia.org/wiki/Brasil_Foods</v>
    <v>Wikipedia</v>
  </rv>
  <rv s="3">
    <v>46</v>
    <v>47</v>
  </rv>
  <rv s="4">
    <v>https://www.bing.com/th?id=AMMS_a3b008d6e00225eaf24c694bf38e0b7a&amp;qlt=95</v>
    <v>48</v>
    <v>https://www.bing.com/images/search?form=xlimg&amp;q=brf+s.a.</v>
    <v>Image of BRF SA</v>
  </rv>
  <rv s="5">
    <v>en-US</v>
    <v>apm3ur</v>
    <v>268435456</v>
    <v>268435457</v>
    <v>1</v>
    <v>Powered by Refinitiv</v>
    <v>5</v>
    <v>BRF SA (BVMF:BRFS3)</v>
    <v>7</v>
    <v>8</v>
    <v>Finance</v>
    <v>9</v>
    <v>40.21</v>
    <v>19.13</v>
    <v>0.52170000000000005</v>
    <v>1.0900000000000001</v>
    <v>2.8129000000000001E-2</v>
    <v>BRL</v>
    <v>BRF S.A. is a multinational Brazilian company that owns a diverse portfolio of products and is a producer of foods. The Company's segments include Brazil, Latin America (LATAM), Middle East and North of Africa (MENA), Africa and Other Segments. These segments include sales of all distribution channels and operations subdivided in to poultry, pork and other, processed, and other sales. The poultry operations include the production and sale of whole poultry and in-natura cuts. The pork and other operations involve the production and sale of in-natura cuts. The processed operations include the production and sale of processed foods, frozen and processed products derived from poultry, pork and beef, margarine, vegetable and soybean-based products. The other sales operations include the commercialization of flour for food service and others. Other segments include sale of in-natura beef cuts, agricultural products and animal feed.</v>
    <v>105000</v>
    <v>BM&amp;FBOVESPA</v>
    <v>BVMF</v>
    <v>BVMF</v>
    <v>Av. Jorge Tzachel, 475, ITAJAI, SANTA CATARINA, 88.301-600 BR</v>
    <v>40.47</v>
    <v>49</v>
    <v>Food &amp; Tobacco</v>
    <v>Stock</v>
    <v>43732.90625</v>
    <v>38.85</v>
    <v>31255850000</v>
    <v>BRF SA</v>
    <v>BRF SA</v>
    <v>38.950000000000003</v>
    <v>38.75</v>
    <v>39.840000000000003</v>
    <v>811527400</v>
    <v>BRFS3</v>
    <v>BRF SA (BVMF:BRFS3)</v>
    <v>10728000</v>
    <v>1934</v>
  </rv>
  <rv s="2">
    <v>50</v>
  </rv>
  <rv s="6">
    <v>en-US</v>
    <v>apn9fr</v>
    <v>268435456</v>
    <v>268435457</v>
    <v>1</v>
    <v>Powered by Refinitiv</v>
    <v>10</v>
    <v>Localiza Rent a Car SA (BVMF:RENT3)</v>
    <v>11</v>
    <v>12</v>
    <v>Finance</v>
    <v>9</v>
    <v>47.9405</v>
    <v>21.616800000000001</v>
    <v>0.96750000000000003</v>
    <v>-0.84</v>
    <v>-1.8902000000000002E-2</v>
    <v>BRL</v>
    <v>Localiza Rent a Car SA (Localiza) is a Brazil-based company primarily involved in the car and fleet rental. The Company divides its business into three sectors: Car Rental division, which is responsible for car rental through its own agencies; Fleet Rental division, which is engaged in rental of fleet vehicles to corporations for long-term periods, and Franchising division, which is active in the administration and granting of franchise rights to use the Company’s brand, including the transfer of knowledge necessary for the operation of the business. Through its subsidiary Prime Prestadora de Servicos SA, the Company is also involved in the intermediation in the sale of cars previously used in its rental operations. As of December 31, 2011, the Company’s network, including domestic and foreign franchisees, comprised 449 branches in 314 cities in Brazil and 47 branches in 27 cities in seven other countries of South America.</v>
    <v>8817</v>
    <v>BM&amp;FBOVESPA</v>
    <v>BVMF</v>
    <v>BVMF</v>
    <v>Av. Bernardo de Vasconcelos, 377 - Cachoeirinha, Belo Horizonte, BELO HORIZONTE, MINAS GERAIS, 31.150-900 BR</v>
    <v>44.6</v>
    <v>Passenger Transportation Services</v>
    <v>Stock</v>
    <v>43732.90625</v>
    <v>43.18</v>
    <v>33206390000</v>
    <v>Localiza Rent a Car SA</v>
    <v>Localiza Rent a Car SA</v>
    <v>44.52</v>
    <v>44.44</v>
    <v>43.6</v>
    <v>719200300</v>
    <v>RENT3</v>
    <v>Localiza Rent a Car SA (BVMF:RENT3)</v>
    <v>5411300</v>
    <v>1973</v>
  </rv>
  <rv s="2">
    <v>52</v>
  </rv>
  <rv s="6">
    <v>en-US</v>
    <v>apn827</v>
    <v>268435456</v>
    <v>268435457</v>
    <v>1</v>
    <v>Powered by Refinitiv</v>
    <v>10</v>
    <v>Rumo SA (BVMF:RAIL3)</v>
    <v>11</v>
    <v>12</v>
    <v>Finance</v>
    <v>9</v>
    <v>24.21</v>
    <v>14.3</v>
    <v>1.7917000000000001</v>
    <v>-0.33</v>
    <v>-1.3795999999999999E-2</v>
    <v>BRL</v>
    <v>Rumo SA, formerly ALL America Latina Logistica SA, is a Brazil-based company primarily engaged in the transport and logistics sector. The Company's activities are divided into three business segments: North operations, which includes railway concessions hold by ALL Malha Norte and ALL Malha Paulista; South operations, which comprises railway concessions hold by ALL Malha Sul and ALL Malha Oeste, and Container operations, which focuses on the railway freight transportation of containers. The Company offers transportation of agricultural commodities, fuel and final goods, intermodal freight transport, integrated warehousing services, port operations and handling of merchandises, among others. In addition, it develops logistics projects for newly created businesses in the industrial and agricultural commodities industry.</v>
    <v>9102</v>
    <v>BM&amp;FBOVESPA</v>
    <v>BVMF</v>
    <v>BVMF</v>
    <v>Rua Emilio Bertolini, 100 - Vila Oficinas, CURITIBA, PARANA BR</v>
    <v>23.77</v>
    <v>Freight &amp; Logistics Services</v>
    <v>Stock</v>
    <v>43732.90625</v>
    <v>23.24</v>
    <v>37447560000</v>
    <v>Rumo SA</v>
    <v>Rumo SA</v>
    <v>23.65</v>
    <v>23.92</v>
    <v>23.59</v>
    <v>1559016000</v>
    <v>RAIL3</v>
    <v>Rumo SA (BVMF:RAIL3)</v>
    <v>4826800</v>
    <v>1997</v>
  </rv>
  <rv s="2">
    <v>54</v>
  </rv>
  <rv s="0">
    <v>http://en.wikipedia.org/wiki/Telefônica_Brasil</v>
    <v>Wikipedia</v>
  </rv>
  <rv s="3">
    <v>3</v>
    <v>56</v>
  </rv>
  <rv s="4">
    <v>https://www.bing.com/th?id=AMMS_13ca1ef7d7b48c63536423afc6f537b0&amp;qlt=95</v>
    <v>57</v>
    <v>https://www.bing.com/images/search?form=xlimg&amp;q=telefonica+vivo</v>
    <v>Image of Telefonica Brasil SA</v>
  </rv>
  <rv s="5">
    <v>en-US</v>
    <v>apnkgh</v>
    <v>268435456</v>
    <v>268435457</v>
    <v>1</v>
    <v>Powered by Refinitiv</v>
    <v>5</v>
    <v>Telefonica Brasil SA (BVMF:VIVT4)</v>
    <v>7</v>
    <v>8</v>
    <v>Finance</v>
    <v>9</v>
    <v>55.89</v>
    <v>34.417499999999997</v>
    <v>0.63380000000000003</v>
    <v>-0.02</v>
    <v>-3.7039999999999995E-4</v>
    <v>BRL</v>
    <v>Telefonica Brasil S.A. is a mobile telecommunications company in Brazil offering postpaid mobile services. The Company also operates as a fixed telecommunications company in the state of Sao Paulo. The Company markets its mobile services under its Vivo brand. It offers its clients a portfolio of products, including mobile and fixed voice, mobile data, fixed broadband, ultra-fast broadband, Pay television, information technology and digital services. Its operations consist of local and long distance fixed telephone services; mobile services, including value-added services; data services, including broadband services and mobile data services; Pay television services through direct to home (DTH), Internet protocol television (IPTV) and cable; network services, such as rental of facilities, as well as other services; wholesale services, including interconnection; digital services; services designed specifically for corporate customers, and the sale of wireless devices and accessories.</v>
    <v>32638</v>
    <v>BM&amp;FBOVESPA</v>
    <v>BVMF</v>
    <v>BVMF</v>
    <v>Av. Eng. Luis Carlos Berrini, 1.376 - 29 andar, Bairro Brooklin, SAO PAULO, SAO PAULO, 04.571-000 BR</v>
    <v>54.4</v>
    <v>58</v>
    <v>Telecommunications Services</v>
    <v>Stock</v>
    <v>43732.90625</v>
    <v>53.63</v>
    <v>86601820000</v>
    <v>Telefonica Brasil SA</v>
    <v>Telefonica Brasil SA</v>
    <v>54</v>
    <v>54</v>
    <v>53.98</v>
    <v>1688694000</v>
    <v>VIVT4</v>
    <v>Telefonica Brasil SA (BVMF:VIVT4)</v>
    <v>1042800</v>
    <v>1998</v>
  </rv>
  <rv s="2">
    <v>59</v>
  </rv>
  <rv s="8">
    <v>en-US</v>
    <v>aplz4c</v>
    <v>268435456</v>
    <v>268435457</v>
    <v>1</v>
    <v>Powered by Refinitiv</v>
    <v>15</v>
    <v>BB Seguridade Participacoes SA (BVMF:BBSE3)</v>
    <v>11</v>
    <v>16</v>
    <v>Finance</v>
    <v>9</v>
    <v>34.82</v>
    <v>21.1875</v>
    <v>0.87829999999999997</v>
    <v>-0.05</v>
    <v>-1.4480000000000001E-3</v>
    <v>BRL</v>
    <v>BB Seguridade Participacoes SA is a Brazil-based company engaged in the insurance sector. The Company’s activities are divided into two segments: Insurance and Brokerage. The Insurance division offers life, property and casualty, vehicle, special risks, financial and transport insurance, dental plans, private pension and capitalization plans, as well as reinsurance. The Brokerage division focuses on the insurance brokerage, management of pension and capitalization plans, as well as promotion of insurance and reinsurance products. In addition, it provides advisory related to insurance selection. The Company's subsidiaries include BB Seguros Participacoes SA and BB Cor Participacoes SA. The Company is controlled by Banco do Brasil SA.</v>
    <v>BM&amp;FBOVESPA</v>
    <v>BVMF</v>
    <v>BVMF</v>
    <v>SAUN - Quadra 5 - Lote B - Ed. Banco do Brasil - 3 andar, BRASILIA, DISTRITO FEDERAL, 70.040-912 BR</v>
    <v>34.630000000000003</v>
    <v>Insurance</v>
    <v>Stock</v>
    <v>43732.90625</v>
    <v>34.19</v>
    <v>69300000000</v>
    <v>BB Seguridade Participacoes SA</v>
    <v>BB Seguridade Participacoes SA</v>
    <v>34.5</v>
    <v>34.53</v>
    <v>34.479999999999997</v>
    <v>1996601000</v>
    <v>BBSE3</v>
    <v>BB Seguridade Participacoes SA (BVMF:BBSE3)</v>
    <v>1556100</v>
    <v>2012</v>
  </rv>
  <rv s="2">
    <v>61</v>
  </rv>
  <rv s="9">
    <v>en-US</v>
    <v>azqv9c</v>
    <v>268435456</v>
    <v>268435457</v>
    <v>1</v>
    <v>Powered by Refinitiv</v>
    <v>17</v>
    <v>Notre Dame Intermedica Participacoes SA (BVMF:GNDI3)</v>
    <v>11</v>
    <v>18</v>
    <v>Finance</v>
    <v>9</v>
    <v>58.46</v>
    <v>22.555</v>
    <v>-1.28</v>
    <v>-2.3647000000000001E-2</v>
    <v>BRL</v>
    <v xml:space="preserve">Notre Dame Intermedica Participacoes SA (Notre Dame), formerly known as BCBH Participacoes SA, is a Brazil-based company specialized in the healthcare industry. The Company operates as the holding company of the NotreDame Intermedica Group. Notre Dame has offices in Sao Paulo, Rio de Janeiro, Jundai, Campinas, Sorocaba and Baixada Santista and through its subsidiaries offers different medical services in Brazil. The Company owns more than 15 hospitals, more than 20 emergency rooms, more than 10 units of preventive medicine and more than 65 clinical centers. Notre Dame through its subsidiaries offers health services; dental services, which includes dental plans, preventive dentistry and online contact, and other specialized services as child surgery or occupational health. </v>
    <v>11032</v>
    <v>BM&amp;FBOVESPA</v>
    <v>BVMF</v>
    <v>BVMF</v>
    <v>Av Paulista 867 Andar: 8; Conj: 82; Andar: A;, Bela Vista, Sao Paulo, SAO PAULO, 01.311-100 BR</v>
    <v>54.74</v>
    <v>Healthcare Providers &amp; Services</v>
    <v>Stock</v>
    <v>43732.90625</v>
    <v>52.58</v>
    <v>28559610000</v>
    <v>Notre Dame Intermedica Participacoes SA</v>
    <v>Notre Dame Intermedica Participacoes SA</v>
    <v>54.13</v>
    <v>54.13</v>
    <v>52.85</v>
    <v>528475700</v>
    <v>GNDI3</v>
    <v>Notre Dame Intermedica Participacoes SA (BVMF:GNDI3)</v>
    <v>2408200</v>
  </rv>
  <rv s="2">
    <v>63</v>
  </rv>
  <rv s="7">
    <v>en-US</v>
    <v>awjq77</v>
    <v>268435456</v>
    <v>268435457</v>
    <v>1</v>
    <v>Powered by Refinitiv</v>
    <v>13</v>
    <v>Suzano SA (BVMF:SUZB3)</v>
    <v>11</v>
    <v>14</v>
    <v>Finance</v>
    <v>9</v>
    <v>49.9527</v>
    <v>27.55</v>
    <v>-0.57999999999999996</v>
    <v>-1.7580999999999999E-2</v>
    <v>BRL</v>
    <v>Suzano SA, formerly Suzano Papel e Celulose SA, is a vertically integrated producer of paper and eucalyptus pulp. The Company operates through two segments: paper and pulp. Its business units include forestry, cellulose, paper, biotechnology, Eucafluff, tissue and lignin. The Company produces hardwood pulp from eucalyptus, coated and uncoated paper, paperboard and tissue paper, as well as electricity. Its annual pulp and paper production capacity amounts to approximately 5 million tons. The Company's operations also include the commercial operation of eucalyptus forest, including planted forests, in Brazilian states of Sao Paulo, Bahia, Espirito Santo, Minas Gerais, Piaui, Tocantins, Para and Maranhao, the operation of port terminals, a hydroelectric power plant, as well as the holding of interest, as partner or shareholder, in other company or project. The Company has operations across Asia, Europe, Africa, North America, South and Central America.</v>
    <v>37000</v>
    <v>BM&amp;FBOVESPA</v>
    <v>BVMF</v>
    <v>BVMF</v>
    <v>Av. Professor Magalhaes Neto, 1752, 10 Andar, Salas 1010 E 1011, Bairro Pituba, SALVADOR, BAHIA, 41.810-012 BR</v>
    <v>33.28</v>
    <v>Paper &amp; Forest Products</v>
    <v>Stock</v>
    <v>43732.90625</v>
    <v>32.380000000000003</v>
    <v>43424310000</v>
    <v>Suzano SA</v>
    <v>Suzano SA</v>
    <v>32.869999999999997</v>
    <v>32.99</v>
    <v>32.409999999999997</v>
    <v>1349222000</v>
    <v>SUZB3</v>
    <v>Suzano SA (BVMF:SUZB3)</v>
    <v>4309200</v>
    <v>1987</v>
  </rv>
  <rv s="2">
    <v>65</v>
  </rv>
  <rv s="0">
    <v>http://en.wikipedia.org/wiki/Cosan</v>
    <v>Wikipedia</v>
  </rv>
  <rv s="3">
    <v>3</v>
    <v>67</v>
  </rv>
  <rv s="4">
    <v>https://www.bing.com/th?id=AMMS_f4bcf46a4108964c11561c3e6f28be44&amp;qlt=95</v>
    <v>68</v>
    <v>https://www.bing.com/images/search?form=xlimg&amp;q=cosan</v>
    <v>Image of Cosan SA</v>
  </rv>
  <rv s="5">
    <v>en-US</v>
    <v>apmcfr</v>
    <v>268435456</v>
    <v>268435457</v>
    <v>1</v>
    <v>Powered by Refinitiv</v>
    <v>5</v>
    <v>Cosan SA (BVMF:CSAN3)</v>
    <v>7</v>
    <v>8</v>
    <v>Finance</v>
    <v>9</v>
    <v>55.68</v>
    <v>30.845800000000001</v>
    <v>0.86399999999999999</v>
    <v>0.63</v>
    <v>1.1930000000000001E-2</v>
    <v>BRL</v>
    <v>Cosan SA Industria e Comercio is a Brazil-based company primarily engaged in the oil marketing sector. The Company's activities are divided into six business segments: Raizen Energia, which produces and distributes sugarcane derivatives, such as raw sugar and hydrated ethanol, and cogenerates energy from sugarcane bagasse; Raizen Combustiveis, which distributes fuel, mainly through a network of gasoline stations under the Shell brand name; Comgas, which focuses on the natural gas distribution in the state of Sao Paulo, Brazil; Radar, which is responsible for purchase, sale, management and leasing of agricultural land; Lubricants, which manufactures and sells lubricants under the Mobil brand name in Latin American market, as well as the Comma brand name in the European and Asian market, and Other, which includes investments in other businesses. The Company is a subsidiary of Cosan Ltd.</v>
    <v>28531</v>
    <v>BM&amp;FBOVESPA</v>
    <v>BVMF</v>
    <v>BVMF</v>
    <v>Av Brigadeiro Faria Lima. 4100 - 16 Andar - S, SAO PAULO, SAO PAULO, 04.538-132 BR</v>
    <v>53.69</v>
    <v>69</v>
    <v>Oil &amp; Gas</v>
    <v>Stock</v>
    <v>43732.90625</v>
    <v>52.58</v>
    <v>21612640000</v>
    <v>Cosan SA</v>
    <v>Cosan SA</v>
    <v>52.81</v>
    <v>52.81</v>
    <v>53.44</v>
    <v>401516100</v>
    <v>CSAN3</v>
    <v>Cosan SA (BVMF:CSAN3)</v>
    <v>1142800</v>
    <v>1966</v>
  </rv>
  <rv s="2">
    <v>70</v>
  </rv>
  <rv s="10">
    <v>en-US</v>
    <v>apmhw7</v>
    <v>268435456</v>
    <v>268435459</v>
    <v>1</v>
    <v>Powered by Refinitiv</v>
    <v>19</v>
    <v>Energisa SA (BVMF:ENGI11)</v>
    <v>20</v>
    <v>21</v>
    <v>Finance</v>
    <v>9</v>
    <v>51.36</v>
    <v>28.973099999999999</v>
    <v>-0.16</v>
    <v>-3.1700000000000001E-3</v>
    <v>BRL</v>
    <v>BM&amp;FBOVESPA</v>
    <v>BVMF</v>
    <v>50.44</v>
    <v>ETF</v>
    <v>43732.90625</v>
    <v>49.58</v>
    <v>Energisa SA</v>
    <v>50.43</v>
    <v>50.47</v>
    <v>50.31</v>
    <v>ENGI11</v>
    <v>Energisa SA (BVMF:ENGI11)</v>
    <v>1746700</v>
  </rv>
  <rv s="2">
    <v>72</v>
  </rv>
</rvData>
</file>

<file path=xl/richData/rdrichvaluestructure.xml><?xml version="1.0" encoding="utf-8"?>
<rvStructures xmlns="http://schemas.microsoft.com/office/spreadsheetml/2017/richdata" count="11">
  <s t="_hyperlink">
    <k n="Address" t="s"/>
    <k n="Text" t="s"/>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k n="Country/region" t="s"/>
    <k n="DataProviderExternalLink" t="r"/>
    <k n="High"/>
    <k n="Instrument type" t="s"/>
    <k n="Low"/>
    <k n="Name" t="s"/>
    <k n="Open"/>
    <k n="Previous close"/>
    <k n="Price"/>
    <k n="Ticker symbol" t="s"/>
    <k n="UniqueName" t="s"/>
  </s>
  <s t="_linkedentity">
    <k n="%cvi" t="r"/>
  </s>
  <s t="_sourceattribution">
    <k n="License" t="r"/>
    <k n="Source" t="r"/>
  </s>
  <s t="_imageurl">
    <k n="Address" t="s"/>
    <k n="Attribution" t="r"/>
    <k n="More Images Address" t="s"/>
    <k n="Text" t="s"/>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ow"/>
    <k n="Market cap"/>
    <k n="Name" t="s"/>
    <k n="Official name" t="s"/>
    <k n="Open"/>
    <k n="Previous close"/>
    <k n="Price"/>
    <k n="Shares outstanding"/>
    <k n="Ticker symbol" t="s"/>
    <k n="UniqueName" t="s"/>
    <k n="Volum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Shares outstanding"/>
    <k n="Ticker symbol" t="s"/>
    <k n="UniqueName" t="s"/>
    <k n="Volume"/>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k n="Currency" t="s"/>
    <k n="Exchange" t="s"/>
    <k n="Exchange abbreviation" t="s"/>
    <k n="High"/>
    <k n="Instrument type" t="s"/>
    <k n="Last trade time"/>
    <k n="Low"/>
    <k n="Name" t="s"/>
    <k n="Open"/>
    <k n="Previous close"/>
    <k n="Price"/>
    <k n="Ticker symbol" t="s"/>
    <k n="UniqueName" t="s"/>
    <k n="Volume"/>
  </s>
</rvStructures>
</file>

<file path=xl/richData/rdsupportingpropertybag.xml><?xml version="1.0" encoding="utf-8"?>
<supportingPropertyBags xmlns="http://schemas.microsoft.com/office/spreadsheetml/2017/richdata2">
  <spbArrays count="7">
    <a count="27">
      <v t="s">%EntityServiceId</v>
      <v t="s">_Format</v>
      <v t="s">%EntitySubDomainId</v>
      <v t="s">%EntityCulture</v>
      <v t="s">%IsRefreshable</v>
      <v t="s">%EntityId</v>
      <v t="s">_Icon</v>
      <v t="s">Name</v>
      <v t="s">Price</v>
      <v t="s">Ticker symbol</v>
      <v t="s">_SubLabel</v>
      <v t="s">Change</v>
      <v t="s">Change (%)</v>
      <v t="s">Country/region</v>
      <v t="s">Previous close</v>
      <v t="s">Open</v>
      <v t="s">High</v>
      <v t="s">Low</v>
      <v t="s">52 week high</v>
      <v t="s">52 week low</v>
      <v t="s">Instrument type</v>
      <v t="s">_Flags</v>
      <v t="s">UniqueName</v>
      <v t="s">_DisplayString</v>
      <v t="s">DataProviderExternalLink</v>
      <v t="s">%ProviderInfo</v>
      <v t="s">_Display</v>
    </a>
    <a count="41">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Employees</v>
      <v t="s">Headquarters</v>
      <v t="s">Industry</v>
      <v t="s">Instrument type</v>
      <v t="s">Year incorporated</v>
      <v t="s">_Flags</v>
      <v t="s">UniqueName</v>
      <v t="s">_DisplayString</v>
      <v t="s">Image</v>
      <v t="s">ExchangeID</v>
      <v t="s">%ProviderInfo</v>
      <v t="s">_Display</v>
    </a>
    <a count="40">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Employees</v>
      <v t="s">Headquarters</v>
      <v t="s">Industry</v>
      <v t="s">Instrument type</v>
      <v t="s">Year incorporated</v>
      <v t="s">_Flags</v>
      <v t="s">UniqueName</v>
      <v t="s">_DisplayString</v>
      <v t="s">ExchangeID</v>
      <v t="s">%ProviderInfo</v>
      <v t="s">_Display</v>
    </a>
    <a count="39">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Shares outstanding</v>
      <v t="s">Description</v>
      <v t="s">Employees</v>
      <v t="s">Headquarters</v>
      <v t="s">Industry</v>
      <v t="s">Instrument type</v>
      <v t="s">Year incorporated</v>
      <v t="s">_Flags</v>
      <v t="s">UniqueName</v>
      <v t="s">_DisplayString</v>
      <v t="s">ExchangeID</v>
      <v t="s">%ProviderInfo</v>
      <v t="s">_Display</v>
    </a>
    <a count="39">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Headquarters</v>
      <v t="s">Industry</v>
      <v t="s">Instrument type</v>
      <v t="s">Year incorporated</v>
      <v t="s">_Flags</v>
      <v t="s">UniqueName</v>
      <v t="s">_DisplayString</v>
      <v t="s">ExchangeID</v>
      <v t="s">%ProviderInfo</v>
      <v t="s">_Display</v>
    </a>
    <a count="38">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Shares outstanding</v>
      <v t="s">Description</v>
      <v t="s">Employees</v>
      <v t="s">Headquarters</v>
      <v t="s">Industry</v>
      <v t="s">Instrument type</v>
      <v t="s">_Flags</v>
      <v t="s">UniqueName</v>
      <v t="s">_DisplayString</v>
      <v t="s">ExchangeID</v>
      <v t="s">%ProviderInfo</v>
      <v t="s">_Display</v>
    </a>
    <a count="30">
      <v t="s">%EntityServiceId</v>
      <v t="s">_Format</v>
      <v t="s">%EntitySubDomainId</v>
      <v t="s">%EntityCulture</v>
      <v t="s">%IsRefreshable</v>
      <v t="s">%EntityId</v>
      <v t="s">_Icon</v>
      <v t="s">Name</v>
      <v t="s">_SubLabel</v>
      <v t="s">Price</v>
      <v t="s">Exchange</v>
      <v t="s">Last trade time</v>
      <v t="s">Ticker symbol</v>
      <v t="s">Exchange abbreviation</v>
      <v t="s">Change</v>
      <v t="s">Change (%)</v>
      <v t="s">Currency</v>
      <v t="s">Previous close</v>
      <v t="s">Open</v>
      <v t="s">High</v>
      <v t="s">Low</v>
      <v t="s">52 week high</v>
      <v t="s">52 week low</v>
      <v t="s">Volume</v>
      <v t="s">Instrument type</v>
      <v t="s">_Flags</v>
      <v t="s">UniqueName</v>
      <v t="s">_DisplayString</v>
      <v t="s">%ProviderInfo</v>
      <v t="s">_Display</v>
    </a>
  </spbArrays>
  <spbData count="22">
    <spb s="0">
      <v>0</v>
    </spb>
    <spb s="1">
      <v>0</v>
      <v>0</v>
      <v>0</v>
    </spb>
    <spb s="2">
      <v>1</v>
      <v>1</v>
      <v>1</v>
    </spb>
    <spb s="3">
      <v>1</v>
      <v>1</v>
      <v>2</v>
      <v>1</v>
      <v>1</v>
      <v>1</v>
      <v>3</v>
      <v>1</v>
      <v>1</v>
      <v>1</v>
      <v>4</v>
      <v>5</v>
      <v>5</v>
    </spb>
    <spb s="4">
      <v>from previous close</v>
      <v>from previous close</v>
    </spb>
    <spb s="0">
      <v>1</v>
    </spb>
    <spb s="5">
      <v>0</v>
      <v>0</v>
    </spb>
    <spb s="6">
      <v>6</v>
      <v>1</v>
      <v>1</v>
      <v>1</v>
    </spb>
    <spb s="7">
      <v>6</v>
      <v>1</v>
      <v>6</v>
      <v>2</v>
      <v>6</v>
      <v>7</v>
      <v>6</v>
      <v>6</v>
      <v>8</v>
      <v>8</v>
      <v>3</v>
      <v>9</v>
      <v>6</v>
      <v>6</v>
      <v>6</v>
      <v>4</v>
      <v>10</v>
      <v>5</v>
      <v>11</v>
      <v>5</v>
      <v>8</v>
    </spb>
    <spb s="8">
      <v>Delayed 30 minutes</v>
      <v>from previous close</v>
      <v>from previous close</v>
      <v>GMT</v>
    </spb>
    <spb s="0">
      <v>2</v>
    </spb>
    <spb s="9">
      <v>1</v>
      <v>1</v>
      <v>1</v>
    </spb>
    <spb s="10">
      <v>6</v>
      <v>1</v>
      <v>6</v>
      <v>2</v>
      <v>6</v>
      <v>6</v>
      <v>6</v>
      <v>8</v>
      <v>8</v>
      <v>3</v>
      <v>9</v>
      <v>6</v>
      <v>6</v>
      <v>6</v>
      <v>4</v>
      <v>10</v>
      <v>5</v>
      <v>11</v>
      <v>5</v>
      <v>8</v>
    </spb>
    <spb s="0">
      <v>3</v>
    </spb>
    <spb s="11">
      <v>6</v>
      <v>6</v>
      <v>2</v>
      <v>6</v>
      <v>6</v>
      <v>6</v>
      <v>8</v>
      <v>8</v>
      <v>3</v>
      <v>9</v>
      <v>6</v>
      <v>6</v>
      <v>6</v>
      <v>4</v>
      <v>10</v>
      <v>5</v>
      <v>11</v>
      <v>5</v>
      <v>8</v>
    </spb>
    <spb s="0">
      <v>4</v>
    </spb>
    <spb s="12">
      <v>6</v>
      <v>1</v>
      <v>6</v>
      <v>2</v>
      <v>6</v>
      <v>6</v>
      <v>6</v>
      <v>8</v>
      <v>3</v>
      <v>9</v>
      <v>6</v>
      <v>6</v>
      <v>6</v>
      <v>4</v>
      <v>10</v>
      <v>5</v>
      <v>11</v>
      <v>5</v>
      <v>8</v>
    </spb>
    <spb s="0">
      <v>5</v>
    </spb>
    <spb s="13">
      <v>6</v>
      <v>6</v>
      <v>2</v>
      <v>6</v>
      <v>6</v>
      <v>6</v>
      <v>8</v>
      <v>8</v>
      <v>3</v>
      <v>9</v>
      <v>6</v>
      <v>6</v>
      <v>6</v>
      <v>4</v>
      <v>10</v>
      <v>5</v>
      <v>5</v>
      <v>8</v>
    </spb>
    <spb s="0">
      <v>6</v>
    </spb>
    <spb s="14">
      <v>1</v>
      <v>1</v>
    </spb>
    <spb s="15">
      <v>1</v>
      <v>1</v>
      <v>2</v>
      <v>6</v>
      <v>6</v>
      <v>1</v>
      <v>8</v>
      <v>3</v>
      <v>6</v>
      <v>6</v>
      <v>6</v>
      <v>4</v>
      <v>10</v>
      <v>5</v>
      <v>5</v>
    </spb>
  </spbData>
</supportingPropertyBags>
</file>

<file path=xl/richData/rdsupportingpropertybagstructure.xml><?xml version="1.0" encoding="utf-8"?>
<spbStructures xmlns="http://schemas.microsoft.com/office/spreadsheetml/2017/richdata2" count="16">
  <s>
    <k n="^Order" t="spba"/>
  </s>
  <s>
    <k n="ShowInCardView" t="b"/>
    <k n="ShowInDotNotation" t="b"/>
    <k n="ShowInAutoComplete" t="b"/>
  </s>
  <s>
    <k n="UniqueName" t="spb"/>
    <k n="%ProviderInfo" t="spb"/>
    <k n="DataProviderExternalLink" t="spb"/>
  </s>
  <s>
    <k n="Low" t="i"/>
    <k n="High" t="i"/>
    <k n="Name" t="i"/>
    <k n="Open" t="i"/>
    <k n="Price" t="i"/>
    <k n="Change" t="i"/>
    <k n="Change (%)" t="i"/>
    <k n="52 week low" t="i"/>
    <k n="52 week high" t="i"/>
    <k n="Previous close" t="i"/>
    <k n="_DisplayString" t="i"/>
    <k n="%EntityServiceId" t="i"/>
    <k n="%EntitySubDomainId" t="i"/>
  </s>
  <s>
    <k n="Change" t="s"/>
    <k n="Change (%)" t="s"/>
  </s>
  <s>
    <k n="ShowInDotNotation" t="b"/>
    <k n="ShowInAutoComplete" t="b"/>
  </s>
  <s>
    <k n="Image" t="spb"/>
    <k n="ExchangeID" t="spb"/>
    <k n="UniqueName" t="spb"/>
    <k n="%ProviderInfo" t="spb"/>
  </s>
  <s>
    <k n="Low" t="i"/>
    <k n="Beta" t="i"/>
    <k n="High" t="i"/>
    <k n="Name" t="i"/>
    <k n="Open" t="i"/>
    <k n="Image" t="i"/>
    <k n="Price" t="i"/>
    <k n="Change" t="i"/>
    <k n="Volume" t="i"/>
    <k n="Employees" t="i"/>
    <k n="Change (%)" t="i"/>
    <k n="Market cap" t="i"/>
    <k n="52 week low" t="i"/>
    <k n="52 week high" t="i"/>
    <k n="Previous close" t="i"/>
    <k n="_DisplayString" t="i"/>
    <k n="Last trade time" t="i"/>
    <k n="%EntityServiceId" t="i"/>
    <k n="Year incorporated" t="i"/>
    <k n="%EntitySubDomainId" t="i"/>
    <k n="Shares outstanding" t="i"/>
  </s>
  <s>
    <k n="Price" t="s"/>
    <k n="Change" t="s"/>
    <k n="Change (%)" t="s"/>
    <k n="Last trade time" t="s"/>
  </s>
  <s>
    <k n="ExchangeID" t="spb"/>
    <k n="UniqueName" t="spb"/>
    <k n="%ProviderInfo" t="spb"/>
  </s>
  <s>
    <k n="Low" t="i"/>
    <k n="Beta" t="i"/>
    <k n="High" t="i"/>
    <k n="Name" t="i"/>
    <k n="Open" t="i"/>
    <k n="Price" t="i"/>
    <k n="Change" t="i"/>
    <k n="Volume" t="i"/>
    <k n="Employees" t="i"/>
    <k n="Change (%)" t="i"/>
    <k n="Market cap" t="i"/>
    <k n="52 week low" t="i"/>
    <k n="52 week high" t="i"/>
    <k n="Previous close" t="i"/>
    <k n="_DisplayString" t="i"/>
    <k n="Last trade time" t="i"/>
    <k n="%EntityServiceId" t="i"/>
    <k n="Year incorporated" t="i"/>
    <k n="%EntitySubDomainId" t="i"/>
    <k n="Shares outstanding" t="i"/>
  </s>
  <s>
    <k n="Low" t="i"/>
    <k n="High" t="i"/>
    <k n="Name" t="i"/>
    <k n="Open" t="i"/>
    <k n="Price" t="i"/>
    <k n="Change" t="i"/>
    <k n="Volume" t="i"/>
    <k n="Employees" t="i"/>
    <k n="Change (%)" t="i"/>
    <k n="Market cap" t="i"/>
    <k n="52 week low" t="i"/>
    <k n="52 week high" t="i"/>
    <k n="Previous close" t="i"/>
    <k n="_DisplayString" t="i"/>
    <k n="Last trade time" t="i"/>
    <k n="%EntityServiceId" t="i"/>
    <k n="Year incorporated" t="i"/>
    <k n="%EntitySubDomainId" t="i"/>
    <k n="Shares outstanding" t="i"/>
  </s>
  <s>
    <k n="Low" t="i"/>
    <k n="Beta" t="i"/>
    <k n="High" t="i"/>
    <k n="Name" t="i"/>
    <k n="Open" t="i"/>
    <k n="Price" t="i"/>
    <k n="Change" t="i"/>
    <k n="Volume" t="i"/>
    <k n="Change (%)" t="i"/>
    <k n="Market cap" t="i"/>
    <k n="52 week low" t="i"/>
    <k n="52 week high" t="i"/>
    <k n="Previous close" t="i"/>
    <k n="_DisplayString" t="i"/>
    <k n="Last trade time" t="i"/>
    <k n="%EntityServiceId" t="i"/>
    <k n="Year incorporated" t="i"/>
    <k n="%EntitySubDomainId" t="i"/>
    <k n="Shares outstanding" t="i"/>
  </s>
  <s>
    <k n="Low" t="i"/>
    <k n="High" t="i"/>
    <k n="Name" t="i"/>
    <k n="Open" t="i"/>
    <k n="Price" t="i"/>
    <k n="Change" t="i"/>
    <k n="Volume" t="i"/>
    <k n="Employees" t="i"/>
    <k n="Change (%)" t="i"/>
    <k n="Market cap" t="i"/>
    <k n="52 week low" t="i"/>
    <k n="52 week high" t="i"/>
    <k n="Previous close" t="i"/>
    <k n="_DisplayString" t="i"/>
    <k n="Last trade time" t="i"/>
    <k n="%EntityServiceId" t="i"/>
    <k n="%EntitySubDomainId" t="i"/>
    <k n="Shares outstanding" t="i"/>
  </s>
  <s>
    <k n="UniqueName" t="spb"/>
    <k n="%ProviderInfo" t="spb"/>
  </s>
  <s>
    <k n="Low" t="i"/>
    <k n="High" t="i"/>
    <k n="Name" t="i"/>
    <k n="Open" t="i"/>
    <k n="Price" t="i"/>
    <k n="Change" t="i"/>
    <k n="Volume" t="i"/>
    <k n="Change (%)" t="i"/>
    <k n="52 week low" t="i"/>
    <k n="52 week high" t="i"/>
    <k n="Previous close" t="i"/>
    <k n="_DisplayString" t="i"/>
    <k n="Last trade time" t="i"/>
    <k n="%EntityServiceId" t="i"/>
    <k n="%EntitySubDomainId"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4" formatCode="#,##0.00"/>
    </x:dxf>
    <x:dxf>
      <x:numFmt numFmtId="14" formatCode="0.00%"/>
    </x:dxf>
    <x:dxf>
      <x:numFmt numFmtId="2" formatCode="0.00"/>
    </x:dxf>
    <x:dxf>
      <x:numFmt numFmtId="165" formatCode="_-[$R$-416]* #,##0.00_-;\-[$R$-416]* #,##0.00_-;_-[$R$-416]* &quot;-&quot;??_-;_-@_-"/>
    </x:dxf>
    <x:dxf>
      <x:numFmt numFmtId="3" formatCode="#,##0"/>
    </x:dxf>
    <x:dxf>
      <x:numFmt numFmtId="164" formatCode="_-[$R$-416]* #,##0_-;\-[$R$-416]* #,##0_-;_-[$R$-416]* &quot;-&quot;_-;_-@_-"/>
    </x:dxf>
    <x:dxf>
      <x:numFmt numFmtId="27" formatCode="dd/mm/yyyy\ hh:mm"/>
    </x:dxf>
    <x:dxf>
      <x:numFmt numFmtId="1" formatCode="0"/>
    </x:dxf>
  </dxfs>
  <richProperties>
    <rPr n="IsTitleField" t="b"/>
    <rPr n="ShouldShowInCell" t="b"/>
    <rPr n="IsHeroField" t="b"/>
  </richProperties>
  <richStyles>
    <rSty dxfid="0"/>
    <rSty>
      <rpv i="0">1</rpv>
    </rSty>
    <rSty dxfid="1"/>
    <rSty>
      <rpv i="1">1</rpv>
    </rSty>
    <rSty dxfid="2"/>
    <rSty dxfid="3"/>
    <rSty>
      <rpv i="2">1</rpv>
    </rSty>
    <rSty dxfid="4"/>
    <rSty dxfid="5"/>
    <rSty dxfid="6"/>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FF7D0-232E-4C4A-B5C1-7BC7447E6FA5}">
  <sheetPr codeName="Sheet2"/>
  <dimension ref="A1:AE21"/>
  <sheetViews>
    <sheetView showGridLines="0" tabSelected="1" zoomScale="115" zoomScaleNormal="115" workbookViewId="0">
      <selection activeCell="C11" sqref="C11"/>
    </sheetView>
  </sheetViews>
  <sheetFormatPr defaultRowHeight="14.4" x14ac:dyDescent="0.3"/>
  <cols>
    <col min="1" max="1" width="9.109375" customWidth="1"/>
    <col min="2" max="2" width="23.6640625" customWidth="1"/>
    <col min="3" max="3" width="18.33203125" bestFit="1" customWidth="1"/>
    <col min="5" max="5" width="9.109375" style="2"/>
    <col min="7" max="7" width="13.44140625" customWidth="1"/>
    <col min="8" max="8" width="9.44140625" customWidth="1"/>
    <col min="9" max="9" width="6.88671875" style="2" customWidth="1"/>
    <col min="11" max="12" width="12.33203125" customWidth="1"/>
    <col min="15" max="15" width="11.44140625" customWidth="1"/>
  </cols>
  <sheetData>
    <row r="1" spans="1:31" ht="48" customHeight="1" thickBot="1" x14ac:dyDescent="0.35">
      <c r="B1" s="2"/>
      <c r="C1" s="2"/>
      <c r="D1" s="2"/>
      <c r="G1" s="1"/>
      <c r="H1" s="37"/>
      <c r="I1" s="90"/>
      <c r="J1" s="1"/>
      <c r="K1" s="1"/>
      <c r="L1" s="1"/>
      <c r="M1" s="37"/>
      <c r="N1" s="2"/>
      <c r="O1" s="37"/>
      <c r="P1" s="37"/>
      <c r="Q1" s="37"/>
      <c r="R1" s="2"/>
      <c r="S1" s="2"/>
      <c r="T1" s="2"/>
      <c r="U1" s="2"/>
      <c r="V1" s="2"/>
      <c r="W1" s="37"/>
      <c r="X1" s="2"/>
      <c r="Y1" s="2"/>
      <c r="Z1" s="2"/>
      <c r="AA1" s="2"/>
      <c r="AB1" s="2"/>
      <c r="AE1" s="2"/>
    </row>
    <row r="2" spans="1:31" s="3" customFormat="1" ht="6.75" customHeight="1" thickBot="1" x14ac:dyDescent="0.35">
      <c r="B2" s="4"/>
      <c r="C2" s="4"/>
      <c r="D2" s="4"/>
      <c r="E2" s="4"/>
      <c r="H2" s="4"/>
      <c r="I2" s="4"/>
      <c r="M2" s="4"/>
      <c r="N2" s="4"/>
      <c r="O2" s="4"/>
      <c r="P2" s="4"/>
      <c r="Q2" s="4"/>
      <c r="R2" s="4"/>
      <c r="S2" s="4"/>
      <c r="T2" s="4"/>
      <c r="U2" s="4"/>
      <c r="V2" s="4"/>
      <c r="W2" s="4"/>
      <c r="X2" s="4"/>
      <c r="Y2" s="4"/>
      <c r="Z2" s="4"/>
      <c r="AA2" s="4"/>
      <c r="AB2" s="4"/>
      <c r="AE2" s="4"/>
    </row>
    <row r="3" spans="1:31" ht="5.4" customHeight="1" x14ac:dyDescent="0.3"/>
    <row r="4" spans="1:31" ht="1.2" customHeight="1" thickBot="1" x14ac:dyDescent="0.35">
      <c r="B4" s="71"/>
      <c r="C4" s="71"/>
    </row>
    <row r="5" spans="1:31" s="56" customFormat="1" ht="20.100000000000001" customHeight="1" x14ac:dyDescent="0.3">
      <c r="A5" s="70"/>
      <c r="B5" s="80" t="s">
        <v>59</v>
      </c>
      <c r="C5" s="81">
        <f>Portfolio!Y4</f>
        <v>158631</v>
      </c>
      <c r="E5" s="89"/>
      <c r="I5" s="89"/>
    </row>
    <row r="6" spans="1:31" s="56" customFormat="1" ht="20.100000000000001" customHeight="1" x14ac:dyDescent="0.3">
      <c r="A6" s="70"/>
      <c r="B6" s="69" t="s">
        <v>17</v>
      </c>
      <c r="C6" s="93"/>
      <c r="E6" s="89"/>
      <c r="I6" s="89"/>
    </row>
    <row r="7" spans="1:31" s="56" customFormat="1" ht="20.100000000000001" customHeight="1" thickBot="1" x14ac:dyDescent="0.35">
      <c r="A7" s="70"/>
      <c r="B7" s="82" t="s">
        <v>15</v>
      </c>
      <c r="C7" s="83">
        <f>C5+C6</f>
        <v>158631</v>
      </c>
      <c r="E7" s="89"/>
      <c r="I7" s="89"/>
    </row>
    <row r="8" spans="1:31" s="56" customFormat="1" ht="6" customHeight="1" thickBot="1" x14ac:dyDescent="0.35">
      <c r="E8" s="89"/>
      <c r="I8" s="89"/>
    </row>
    <row r="9" spans="1:31" s="56" customFormat="1" ht="20.100000000000001" customHeight="1" x14ac:dyDescent="0.3">
      <c r="B9" s="66" t="s">
        <v>26</v>
      </c>
      <c r="C9" s="67">
        <f>SUMPRODUCT(Portfolio!C6:C74,Portfolio!D6:D74)</f>
        <v>0</v>
      </c>
      <c r="E9" s="89"/>
      <c r="F9" s="108" t="s">
        <v>23</v>
      </c>
      <c r="G9" s="109"/>
      <c r="H9" s="79" t="s">
        <v>12</v>
      </c>
      <c r="I9" s="91"/>
    </row>
    <row r="10" spans="1:31" s="56" customFormat="1" ht="20.100000000000001" customHeight="1" x14ac:dyDescent="0.3">
      <c r="B10" s="87" t="s">
        <v>27</v>
      </c>
      <c r="C10" s="88">
        <f>SUMPRODUCT(Portfolio!E7:E75,Portfolio!F7:F75)</f>
        <v>0</v>
      </c>
      <c r="E10" s="2"/>
      <c r="F10" s="110" t="str">
        <f>IF(H9="P&amp;L","Maiores Ganhos","Maiores Variações")</f>
        <v>Maiores Ganhos</v>
      </c>
      <c r="G10" s="110"/>
      <c r="H10" s="110"/>
      <c r="I10" s="27"/>
      <c r="J10" s="112" t="str">
        <f>IF(H9="P&amp;L","Menores Ganhos","Menores Variações")</f>
        <v>Menores Ganhos</v>
      </c>
      <c r="K10" s="112"/>
      <c r="L10" s="112"/>
    </row>
    <row r="11" spans="1:31" s="56" customFormat="1" ht="20.100000000000001" customHeight="1" thickBot="1" x14ac:dyDescent="0.35">
      <c r="B11" s="87" t="s">
        <v>28</v>
      </c>
      <c r="C11" s="88">
        <f>SUM(Portfolio!U6:U74)</f>
        <v>0</v>
      </c>
      <c r="E11" s="2"/>
      <c r="F11" s="111"/>
      <c r="G11" s="111"/>
      <c r="H11" s="111"/>
      <c r="I11" s="27"/>
      <c r="J11" s="111"/>
      <c r="K11" s="111"/>
      <c r="L11" s="111"/>
    </row>
    <row r="12" spans="1:31" s="56" customFormat="1" ht="20.100000000000001" customHeight="1" thickBot="1" x14ac:dyDescent="0.35">
      <c r="B12" s="68" t="s">
        <v>18</v>
      </c>
      <c r="C12" s="92">
        <v>5000</v>
      </c>
      <c r="E12" s="28"/>
      <c r="F12" s="21" t="s">
        <v>0</v>
      </c>
      <c r="G12" s="74" t="s">
        <v>12</v>
      </c>
      <c r="H12" s="18" t="s">
        <v>9</v>
      </c>
      <c r="I12" s="28"/>
      <c r="J12" s="21" t="s">
        <v>0</v>
      </c>
      <c r="K12" s="74" t="s">
        <v>12</v>
      </c>
      <c r="L12" s="18" t="s">
        <v>9</v>
      </c>
    </row>
    <row r="13" spans="1:31" s="56" customFormat="1" ht="20.100000000000001" customHeight="1" thickBot="1" x14ac:dyDescent="0.35">
      <c r="B13" s="85" t="s">
        <v>24</v>
      </c>
      <c r="C13" s="84">
        <f>_FV(Preços!A3,"Last trade time",TRUE)-5/24</f>
        <v>43732.697916666664</v>
      </c>
      <c r="E13" s="2">
        <v>1</v>
      </c>
      <c r="F13" s="22" t="str">
        <f>IFERROR(INDEX(Portfolio!$A$6:$A$74,MATCH(E13,Portfolio!$Q$6:$Q$74,0)),"")</f>
        <v>JBSS3</v>
      </c>
      <c r="G13" s="53">
        <f>INDEX(Portfolio!$W$6:$W$74,MATCH(E13,Portfolio!$Q$6:$Q$74,0))</f>
        <v>436.00000000000068</v>
      </c>
      <c r="H13" s="19">
        <f>INDEX(Portfolio!$N$6:$N$74,MATCH(E13,Portfolio!$Q$6:$Q$74,0))</f>
        <v>7.1009771986970893E-2</v>
      </c>
      <c r="I13" s="2">
        <f>MAX(Portfolio!Q6:Q74)</f>
        <v>21</v>
      </c>
      <c r="J13" s="22" t="str">
        <f>IFERROR(INDEX(Portfolio!$A$6:$A$74,MATCH(I13,Portfolio!$Q$6:$Q$74,0)),"")</f>
        <v>ITUB4</v>
      </c>
      <c r="K13" s="53">
        <f>INDEX(Portfolio!$W$6:$W$74,MATCH(I13,Portfolio!$Q$6:$Q$74,0))</f>
        <v>-287.99999999999955</v>
      </c>
      <c r="L13" s="19">
        <f>INDEX(Portfolio!$N$6:$N$74,MATCH(I13,Portfolio!$Q$6:$Q$74,0))</f>
        <v>-1.0392609699769073E-2</v>
      </c>
    </row>
    <row r="14" spans="1:31" s="56" customFormat="1" ht="20.100000000000001" customHeight="1" x14ac:dyDescent="0.3">
      <c r="B14" s="57" t="s">
        <v>40</v>
      </c>
      <c r="C14" s="58">
        <f>Portfolio!AB4</f>
        <v>157353</v>
      </c>
      <c r="E14" s="2">
        <v>2</v>
      </c>
      <c r="F14" s="23" t="str">
        <f>IFERROR(INDEX(Portfolio!$A$6:$A$74,MATCH(E14,Portfolio!$Q$6:$Q$74,0)),"")</f>
        <v>BRFS3</v>
      </c>
      <c r="G14" s="77">
        <f>INDEX(Portfolio!$W$6:$W$74,MATCH(E14,Portfolio!$Q$6:$Q$74,0))</f>
        <v>109.00000000000034</v>
      </c>
      <c r="H14" s="76">
        <f>INDEX(Portfolio!$N$6:$N$74,MATCH(E14,Portfolio!$Q$6:$Q$74,0))</f>
        <v>2.8129032258064512E-2</v>
      </c>
      <c r="I14" s="2">
        <f>I13-1</f>
        <v>20</v>
      </c>
      <c r="J14" s="23" t="str">
        <f>IFERROR(INDEX(Portfolio!$A$6:$A$74,MATCH(I14,Portfolio!$Q$6:$Q$74,0)),"")</f>
        <v>BBAS3</v>
      </c>
      <c r="K14" s="77">
        <f>INDEX(Portfolio!$W$6:$W$74,MATCH(I14,Portfolio!$Q$6:$Q$74,0))</f>
        <v>-287.99999999999955</v>
      </c>
      <c r="L14" s="76">
        <f>INDEX(Portfolio!$N$6:$N$74,MATCH(I14,Portfolio!$Q$6:$Q$74,0))</f>
        <v>-3.0456852791878153E-2</v>
      </c>
    </row>
    <row r="15" spans="1:31" ht="20.100000000000001" customHeight="1" x14ac:dyDescent="0.3">
      <c r="B15" s="59" t="s">
        <v>17</v>
      </c>
      <c r="C15" s="60">
        <f>C6-C9+C10+C12</f>
        <v>5000</v>
      </c>
      <c r="D15" s="55"/>
      <c r="E15" s="2">
        <v>3</v>
      </c>
      <c r="F15" s="22" t="str">
        <f>IFERROR(INDEX(Portfolio!$A$6:$A$74,MATCH(E15,Portfolio!$Q$6:$Q$74,0)),"")</f>
        <v>LREN3</v>
      </c>
      <c r="G15" s="53">
        <f>INDEX(Portfolio!$W$6:$W$74,MATCH(E15,Portfolio!$Q$6:$Q$74,0))</f>
        <v>4.9999999999997158</v>
      </c>
      <c r="H15" s="19">
        <f>INDEX(Portfolio!$N$6:$N$74,MATCH(E15,Portfolio!$Q$6:$Q$74,0))</f>
        <v>1.0111223458038054E-3</v>
      </c>
      <c r="I15" s="2">
        <f>I14-1</f>
        <v>19</v>
      </c>
      <c r="J15" s="22" t="str">
        <f>IFERROR(INDEX(Portfolio!$A$6:$A$74,MATCH(I15,Portfolio!$Q$6:$Q$74,0)),"")</f>
        <v>VALE3</v>
      </c>
      <c r="K15" s="53">
        <f>INDEX(Portfolio!$W$6:$W$74,MATCH(I15,Portfolio!$Q$6:$Q$74,0))</f>
        <v>-234.00000000000034</v>
      </c>
      <c r="L15" s="19">
        <f>INDEX(Portfolio!$N$6:$N$74,MATCH(I15,Portfolio!$Q$6:$Q$74,0))</f>
        <v>-2.4324324324324409E-2</v>
      </c>
    </row>
    <row r="16" spans="1:31" ht="20.100000000000001" customHeight="1" x14ac:dyDescent="0.3">
      <c r="B16" s="61" t="s">
        <v>19</v>
      </c>
      <c r="C16" s="62">
        <f>C14+C15+C12</f>
        <v>167353</v>
      </c>
      <c r="E16" s="2">
        <v>4</v>
      </c>
      <c r="F16" s="23" t="str">
        <f>IFERROR(INDEX(Portfolio!$A$6:$A$74,MATCH(E16,Portfolio!$Q$6:$Q$74,0)),"")</f>
        <v>VIVT4</v>
      </c>
      <c r="G16" s="77">
        <f>INDEX(Portfolio!$W$6:$W$74,MATCH(E16,Portfolio!$Q$6:$Q$74,0))</f>
        <v>-2.0000000000003126</v>
      </c>
      <c r="H16" s="76">
        <f>INDEX(Portfolio!$N$6:$N$74,MATCH(E16,Portfolio!$Q$6:$Q$74,0))</f>
        <v>-3.7037037037046527E-4</v>
      </c>
      <c r="I16" s="2">
        <f>I15-1</f>
        <v>18</v>
      </c>
      <c r="J16" s="23" t="str">
        <f>IFERROR(INDEX(Portfolio!$A$6:$A$74,MATCH(I16,Portfolio!$Q$6:$Q$74,0)),"")</f>
        <v>IRBR3</v>
      </c>
      <c r="K16" s="77">
        <f>INDEX(Portfolio!$W$6:$W$74,MATCH(I16,Portfolio!$Q$6:$Q$74,0))</f>
        <v>-147.99999999999898</v>
      </c>
      <c r="L16" s="76">
        <f>INDEX(Portfolio!$N$6:$N$74,MATCH(I16,Portfolio!$Q$6:$Q$74,0))</f>
        <v>-1.3228459063281961E-2</v>
      </c>
    </row>
    <row r="17" spans="2:12" ht="15" thickBot="1" x14ac:dyDescent="0.35">
      <c r="B17" s="64" t="s">
        <v>20</v>
      </c>
      <c r="C17" s="65">
        <f>Portfolio!W4</f>
        <v>-1277.9999999999995</v>
      </c>
      <c r="E17" s="2">
        <v>5</v>
      </c>
      <c r="F17" s="24" t="str">
        <f>IFERROR(INDEX(Portfolio!$A$6:$A$74,MATCH(E17,Portfolio!$Q$6:$Q$74,0)),"")</f>
        <v>ITSA4</v>
      </c>
      <c r="G17" s="75">
        <f>INDEX(Portfolio!$W$6:$W$74,MATCH(E17,Portfolio!$Q$6:$Q$74,0))</f>
        <v>-3.9999999999999147</v>
      </c>
      <c r="H17" s="20">
        <f>INDEX(Portfolio!$N$6:$N$74,MATCH(E17,Portfolio!$Q$6:$Q$74,0))</f>
        <v>-3.0534351145037331E-3</v>
      </c>
      <c r="I17" s="2">
        <f>I16-1</f>
        <v>17</v>
      </c>
      <c r="J17" s="24" t="str">
        <f>IFERROR(INDEX(Portfolio!$A$6:$A$74,MATCH(I17,Portfolio!$Q$6:$Q$74,0)),"")</f>
        <v>BBDC4</v>
      </c>
      <c r="K17" s="75">
        <f>INDEX(Portfolio!$W$6:$W$74,MATCH(I17,Portfolio!$Q$6:$Q$74,0))</f>
        <v>-131.99999999999932</v>
      </c>
      <c r="L17" s="20">
        <f>INDEX(Portfolio!$N$6:$N$74,MATCH(I17,Portfolio!$Q$6:$Q$74,0))</f>
        <v>-1.284671532846704E-2</v>
      </c>
    </row>
    <row r="18" spans="2:12" ht="18.600000000000001" thickBot="1" x14ac:dyDescent="0.35">
      <c r="B18" s="63" t="s">
        <v>21</v>
      </c>
      <c r="C18" s="119">
        <f>C17/C7</f>
        <v>-8.0564328536036432E-3</v>
      </c>
    </row>
    <row r="19" spans="2:12" ht="18.600000000000001" thickBot="1" x14ac:dyDescent="0.35">
      <c r="B19" s="63" t="s">
        <v>29</v>
      </c>
      <c r="C19" s="119">
        <f>_FV(B21,"Price")/_FV(B21,"Previous close",TRUE)-1</f>
        <v>-7.2837908893744752E-3</v>
      </c>
    </row>
    <row r="21" spans="2:12" hidden="1" x14ac:dyDescent="0.3">
      <c r="B21" s="94" t="e" vm="1">
        <v>#VALUE!</v>
      </c>
    </row>
  </sheetData>
  <mergeCells count="3">
    <mergeCell ref="F9:G9"/>
    <mergeCell ref="F10:H11"/>
    <mergeCell ref="J10:L11"/>
  </mergeCells>
  <conditionalFormatting sqref="C18">
    <cfRule type="iconSet" priority="2">
      <iconSet iconSet="3Arrows">
        <cfvo type="percent" val="0"/>
        <cfvo type="num" val="0"/>
        <cfvo type="num" val="0"/>
      </iconSet>
    </cfRule>
  </conditionalFormatting>
  <conditionalFormatting sqref="C19">
    <cfRule type="iconSet" priority="1">
      <iconSet iconSet="3Arrows">
        <cfvo type="percent" val="0"/>
        <cfvo type="num" val="0"/>
        <cfvo type="num" val="0"/>
      </iconSet>
    </cfRule>
  </conditionalFormatting>
  <dataValidations count="1">
    <dataValidation type="list" allowBlank="1" showInputMessage="1" showErrorMessage="1" sqref="H9" xr:uid="{7571CFDB-E14A-47C7-9780-BE399D3FB108}">
      <formula1>"%Chg,P&amp;L"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4" r:id="rId3" name="Button 6">
              <controlPr defaultSize="0" print="0" autoFill="0" autoPict="0" macro="[0]!Refresh">
                <anchor moveWithCells="1" sizeWithCells="1">
                  <from>
                    <xdr:col>4</xdr:col>
                    <xdr:colOff>579120</xdr:colOff>
                    <xdr:row>4</xdr:row>
                    <xdr:rowOff>0</xdr:rowOff>
                  </from>
                  <to>
                    <xdr:col>6</xdr:col>
                    <xdr:colOff>144780</xdr:colOff>
                    <xdr:row>5</xdr:row>
                    <xdr:rowOff>220980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AH74"/>
  <sheetViews>
    <sheetView showGridLines="0" workbookViewId="0">
      <pane ySplit="5" topLeftCell="A6" activePane="bottomLeft" state="frozen"/>
      <selection pane="bottomLeft" activeCell="C6" sqref="C6:F10"/>
    </sheetView>
  </sheetViews>
  <sheetFormatPr defaultRowHeight="14.4" outlineLevelCol="1" x14ac:dyDescent="0.3"/>
  <cols>
    <col min="1" max="1" width="16" style="106" customWidth="1"/>
    <col min="2" max="2" width="15.88671875" style="2" customWidth="1"/>
    <col min="3" max="3" width="13" style="2" hidden="1" customWidth="1" outlineLevel="1"/>
    <col min="4" max="4" width="14.88671875" style="2" hidden="1" customWidth="1" outlineLevel="1"/>
    <col min="5" max="5" width="13" style="2" hidden="1" customWidth="1" outlineLevel="1"/>
    <col min="6" max="6" width="14.88671875" style="2" hidden="1" customWidth="1" outlineLevel="1"/>
    <col min="7" max="7" width="11.33203125" customWidth="1" collapsed="1"/>
    <col min="8" max="8" width="12" customWidth="1"/>
    <col min="9" max="9" width="3.21875" style="37" customWidth="1"/>
    <col min="10" max="11" width="12" hidden="1" customWidth="1" outlineLevel="1"/>
    <col min="12" max="12" width="8.109375" hidden="1" customWidth="1" outlineLevel="1"/>
    <col min="13" max="13" width="2.6640625" style="37" customWidth="1" collapsed="1"/>
    <col min="14" max="14" width="13.5546875" style="2" customWidth="1"/>
    <col min="15" max="15" width="0.5546875" style="37" customWidth="1"/>
    <col min="16" max="16" width="13.109375" style="2" hidden="1" customWidth="1" outlineLevel="1"/>
    <col min="17" max="17" width="11.6640625" style="2" hidden="1" customWidth="1" outlineLevel="1"/>
    <col min="18" max="18" width="2.88671875" style="37" customWidth="1" collapsed="1"/>
    <col min="19" max="19" width="0.6640625" style="37" customWidth="1"/>
    <col min="20" max="21" width="13.5546875" style="2" hidden="1" customWidth="1" outlineLevel="1"/>
    <col min="22" max="22" width="13.5546875" style="2" hidden="1" customWidth="1" outlineLevel="1" collapsed="1"/>
    <col min="23" max="23" width="13.5546875" style="2" customWidth="1" collapsed="1"/>
    <col min="24" max="24" width="2.33203125" style="2" customWidth="1"/>
    <col min="25" max="25" width="12.44140625" style="2" customWidth="1" collapsed="1"/>
    <col min="26" max="26" width="2.88671875" style="37" customWidth="1"/>
    <col min="27" max="29" width="12.6640625" style="2" customWidth="1" collapsed="1"/>
    <col min="30" max="30" width="7.33203125" style="2" customWidth="1"/>
    <col min="31" max="31" width="8.5546875" customWidth="1"/>
    <col min="32" max="32" width="5" style="2" customWidth="1"/>
    <col min="33" max="33" width="13.44140625" customWidth="1"/>
  </cols>
  <sheetData>
    <row r="1" spans="1:34" ht="48" customHeight="1" thickBot="1" x14ac:dyDescent="0.35">
      <c r="H1" s="1"/>
      <c r="J1" s="1"/>
      <c r="K1" s="1"/>
      <c r="L1" s="1"/>
    </row>
    <row r="2" spans="1:34" s="3" customFormat="1" ht="6.75" customHeight="1" thickBot="1" x14ac:dyDescent="0.35">
      <c r="A2" s="107"/>
      <c r="B2" s="4"/>
      <c r="C2" s="4"/>
      <c r="D2" s="4"/>
      <c r="E2" s="4"/>
      <c r="F2" s="4"/>
      <c r="I2" s="4"/>
      <c r="M2" s="4"/>
      <c r="N2" s="4"/>
      <c r="O2" s="4"/>
      <c r="P2" s="4"/>
      <c r="Q2" s="4"/>
      <c r="R2" s="4"/>
      <c r="S2" s="4"/>
      <c r="T2" s="4"/>
      <c r="U2" s="4"/>
      <c r="V2" s="4"/>
      <c r="W2" s="4"/>
      <c r="X2" s="4"/>
      <c r="Y2" s="4"/>
      <c r="Z2" s="4"/>
      <c r="AA2" s="4"/>
      <c r="AB2" s="4"/>
      <c r="AC2" s="4"/>
      <c r="AD2" s="4"/>
      <c r="AF2" s="4"/>
    </row>
    <row r="3" spans="1:34" ht="6" customHeight="1" x14ac:dyDescent="0.3">
      <c r="H3" s="8"/>
      <c r="J3" s="113" t="s">
        <v>5</v>
      </c>
      <c r="K3" s="114"/>
      <c r="L3" s="45"/>
      <c r="M3" s="49"/>
      <c r="X3" s="33"/>
      <c r="AD3" s="33"/>
    </row>
    <row r="4" spans="1:34" ht="16.2" customHeight="1" x14ac:dyDescent="0.3">
      <c r="G4" s="25"/>
      <c r="H4" s="26"/>
      <c r="J4" s="115"/>
      <c r="K4" s="115"/>
      <c r="L4" s="46"/>
      <c r="M4" s="43"/>
      <c r="R4" s="43"/>
      <c r="S4" s="43"/>
      <c r="W4" s="50">
        <f>SUM(W6:W74)</f>
        <v>-1277.9999999999995</v>
      </c>
      <c r="X4" s="33"/>
      <c r="Y4" s="50">
        <f>SUM(Y6:Y74)</f>
        <v>158631</v>
      </c>
      <c r="Z4" s="43"/>
      <c r="AA4" s="50"/>
      <c r="AB4" s="50">
        <f>SUM(AB6:AB74)</f>
        <v>157353</v>
      </c>
      <c r="AC4" s="73">
        <f>SUM(AC6:AC74)</f>
        <v>0.94024606669734057</v>
      </c>
      <c r="AD4" s="54"/>
    </row>
    <row r="5" spans="1:34" s="6" customFormat="1" ht="48.75" customHeight="1" x14ac:dyDescent="0.3">
      <c r="A5" s="5" t="s">
        <v>0</v>
      </c>
      <c r="B5" s="5" t="s">
        <v>58</v>
      </c>
      <c r="C5" s="5" t="s">
        <v>26</v>
      </c>
      <c r="D5" s="5" t="s">
        <v>11</v>
      </c>
      <c r="E5" s="5" t="s">
        <v>27</v>
      </c>
      <c r="F5" s="5" t="s">
        <v>11</v>
      </c>
      <c r="G5" s="5" t="s">
        <v>1</v>
      </c>
      <c r="H5" s="9" t="s">
        <v>2</v>
      </c>
      <c r="I5" s="44"/>
      <c r="J5" s="7" t="s">
        <v>3</v>
      </c>
      <c r="K5" s="11" t="s">
        <v>4</v>
      </c>
      <c r="L5" s="47" t="s">
        <v>7</v>
      </c>
      <c r="M5" s="48"/>
      <c r="N5" s="13" t="s">
        <v>9</v>
      </c>
      <c r="O5" s="48"/>
      <c r="P5" s="14" t="s">
        <v>6</v>
      </c>
      <c r="Q5" s="32" t="s">
        <v>8</v>
      </c>
      <c r="R5" s="31"/>
      <c r="S5" s="42"/>
      <c r="T5" s="13" t="s">
        <v>61</v>
      </c>
      <c r="U5" s="13" t="s">
        <v>25</v>
      </c>
      <c r="V5" s="13" t="s">
        <v>14</v>
      </c>
      <c r="W5" s="13" t="s">
        <v>13</v>
      </c>
      <c r="X5" s="31"/>
      <c r="Y5" s="13" t="s">
        <v>15</v>
      </c>
      <c r="Z5" s="31"/>
      <c r="AA5" s="13" t="s">
        <v>30</v>
      </c>
      <c r="AB5" s="13" t="s">
        <v>16</v>
      </c>
      <c r="AC5" s="13" t="s">
        <v>22</v>
      </c>
      <c r="AD5" s="31"/>
    </row>
    <row r="6" spans="1:34" ht="15" customHeight="1" x14ac:dyDescent="0.3">
      <c r="A6" s="86" t="s">
        <v>37</v>
      </c>
      <c r="B6" s="34">
        <v>800</v>
      </c>
      <c r="C6" s="34"/>
      <c r="D6" s="34"/>
      <c r="E6" s="34"/>
      <c r="F6" s="34"/>
      <c r="G6" s="15">
        <f t="shared" ref="G6:G37" si="0">IF(LEN(A6)&gt;1,IFERROR(VLOOKUP(A6,Range_Precos,2,FALSE),"Cadastrar"),"")</f>
        <v>34.64</v>
      </c>
      <c r="H6" s="16">
        <f t="shared" ref="H6:H37" si="1">IF(LEN(A6)&gt;1,IFERROR(VLOOKUP(A6,Range_Precos,3,FALSE),"Cadastrar"),"")</f>
        <v>34.28</v>
      </c>
      <c r="I6" s="40"/>
      <c r="J6" s="10"/>
      <c r="K6" s="12"/>
      <c r="L6" s="29">
        <f t="shared" ref="L6:L19" si="2">IF(ISNUMBER(H6),(G6-K6)/(IF(J6&lt;&gt;0,J6,1)),"")</f>
        <v>34.64</v>
      </c>
      <c r="M6" s="40"/>
      <c r="N6" s="51">
        <f t="shared" ref="N6:N19" si="3">IF(ISNUMBER(H6),H6/L6-1,"")</f>
        <v>-1.0392609699769073E-2</v>
      </c>
      <c r="O6" s="40"/>
      <c r="P6" s="78">
        <f>IF(ISNUMBER(N6),IF(Consolidado!$H$9="%Chg",N6,T6)+ROW(A6)/100000000000,"")</f>
        <v>-287.99999999993952</v>
      </c>
      <c r="Q6" s="17">
        <f t="shared" ref="Q6:Q37" si="4">IF(ISNUMBER(P6),RANK(P6,$P$6:$P$74,0),"")</f>
        <v>21</v>
      </c>
      <c r="R6" s="38"/>
      <c r="S6" s="41"/>
      <c r="T6" s="36">
        <f t="shared" ref="T6:T37" si="5">IF(ISNUMBER(L6),B6*(H6-G6),"")</f>
        <v>-287.99999999999955</v>
      </c>
      <c r="U6" s="36" t="str">
        <f t="shared" ref="U6:U37" si="6">IF(ISNUMBER(K6),K6*B6,"")</f>
        <v/>
      </c>
      <c r="V6" s="36" t="str">
        <f>IF(ISNUMBER(H6),IF(OR(AND(ISNUMBER(E6),ISNUMBER(F6)),AND(ISNUMBER(C6),ISNUMBER(C6))),C6*(H6-D6)-E6*(H6-F6),""),"")</f>
        <v/>
      </c>
      <c r="W6" s="52">
        <f>IF(ISNUMBER(H6),SUM(T6:V6),"")</f>
        <v>-287.99999999999955</v>
      </c>
      <c r="X6" s="30"/>
      <c r="Y6" s="53">
        <f t="shared" ref="Y6:Y37" si="7">IF(ISNUMBER(G6),B6*G6,"")</f>
        <v>27712</v>
      </c>
      <c r="Z6" s="38"/>
      <c r="AA6" s="95">
        <f t="shared" ref="AA6:AA37" si="8">IF(ISNUMBER(H6),(B6+C6-E6),"")</f>
        <v>800</v>
      </c>
      <c r="AB6" s="53">
        <f>IF(ISNUMBER(H6),AA6*H6,"")</f>
        <v>27424</v>
      </c>
      <c r="AC6" s="72">
        <f>IF(ISNUMBER(H6),AB6/Consolidado!$C$16,"")</f>
        <v>0.16386918668921382</v>
      </c>
      <c r="AD6" s="30"/>
    </row>
    <row r="7" spans="1:34" ht="15" customHeight="1" x14ac:dyDescent="0.3">
      <c r="A7" s="86" t="s">
        <v>42</v>
      </c>
      <c r="B7" s="34">
        <v>200</v>
      </c>
      <c r="C7" s="34"/>
      <c r="D7" s="34"/>
      <c r="E7" s="34"/>
      <c r="F7" s="34"/>
      <c r="G7" s="15">
        <f t="shared" si="0"/>
        <v>48.1</v>
      </c>
      <c r="H7" s="16">
        <f t="shared" si="1"/>
        <v>46.93</v>
      </c>
      <c r="I7" s="39"/>
      <c r="J7" s="10"/>
      <c r="K7" s="12"/>
      <c r="L7" s="29">
        <f t="shared" si="2"/>
        <v>48.1</v>
      </c>
      <c r="M7" s="39"/>
      <c r="N7" s="51">
        <f t="shared" si="3"/>
        <v>-2.4324324324324409E-2</v>
      </c>
      <c r="O7" s="39"/>
      <c r="P7" s="78">
        <f>IF(ISNUMBER(N7),IF(Consolidado!$H$9="%Chg",N7,T7)+ROW(A7)/100000000000,"")</f>
        <v>-233.99999999993034</v>
      </c>
      <c r="Q7" s="17">
        <f t="shared" si="4"/>
        <v>19</v>
      </c>
      <c r="R7" s="38"/>
      <c r="S7" s="38"/>
      <c r="T7" s="36">
        <f t="shared" si="5"/>
        <v>-234.00000000000034</v>
      </c>
      <c r="U7" s="36" t="str">
        <f t="shared" si="6"/>
        <v/>
      </c>
      <c r="V7" s="36" t="str">
        <f t="shared" ref="V7:V70" si="9">IF(ISNUMBER(H7),IF(OR(AND(ISNUMBER(E7),ISNUMBER(F7)),AND(ISNUMBER(C7),ISNUMBER(C7))),C7*(H7-D7)-E7*(H7-F7),""),"")</f>
        <v/>
      </c>
      <c r="W7" s="52">
        <f t="shared" ref="W7:W70" si="10">IF(ISNUMBER(H7),SUM(T7:V7),"")</f>
        <v>-234.00000000000034</v>
      </c>
      <c r="X7" s="30"/>
      <c r="Y7" s="53">
        <f t="shared" si="7"/>
        <v>9620</v>
      </c>
      <c r="Z7" s="38"/>
      <c r="AA7" s="95">
        <f t="shared" si="8"/>
        <v>200</v>
      </c>
      <c r="AB7" s="53">
        <f t="shared" ref="AB7:AB70" si="11">IF(ISNUMBER(H7),AA7*H7,"")</f>
        <v>9386</v>
      </c>
      <c r="AC7" s="72">
        <f>IF(ISNUMBER(H7),AB7/Consolidado!$C$16,"")</f>
        <v>5.6085041797876344E-2</v>
      </c>
      <c r="AD7" s="30"/>
    </row>
    <row r="8" spans="1:34" ht="15" customHeight="1" x14ac:dyDescent="0.3">
      <c r="A8" s="86" t="s">
        <v>33</v>
      </c>
      <c r="B8" s="34">
        <v>300</v>
      </c>
      <c r="C8" s="34"/>
      <c r="D8" s="34"/>
      <c r="E8" s="34"/>
      <c r="F8" s="34"/>
      <c r="G8" s="15">
        <f t="shared" si="0"/>
        <v>34.25</v>
      </c>
      <c r="H8" s="16">
        <f t="shared" si="1"/>
        <v>33.81</v>
      </c>
      <c r="I8" s="39"/>
      <c r="J8" s="10"/>
      <c r="K8" s="12"/>
      <c r="L8" s="29">
        <f t="shared" si="2"/>
        <v>34.25</v>
      </c>
      <c r="M8" s="39"/>
      <c r="N8" s="51">
        <f t="shared" si="3"/>
        <v>-1.284671532846704E-2</v>
      </c>
      <c r="O8" s="39"/>
      <c r="P8" s="78">
        <f>IF(ISNUMBER(N8),IF(Consolidado!$H$9="%Chg",N8,T8)+ROW(A8)/100000000000,"")</f>
        <v>-131.99999999991931</v>
      </c>
      <c r="Q8" s="17">
        <f t="shared" si="4"/>
        <v>17</v>
      </c>
      <c r="R8" s="38"/>
      <c r="S8" s="38"/>
      <c r="T8" s="36">
        <f t="shared" si="5"/>
        <v>-131.99999999999932</v>
      </c>
      <c r="U8" s="36" t="str">
        <f t="shared" si="6"/>
        <v/>
      </c>
      <c r="V8" s="36" t="str">
        <f t="shared" si="9"/>
        <v/>
      </c>
      <c r="W8" s="52">
        <f t="shared" si="10"/>
        <v>-131.99999999999932</v>
      </c>
      <c r="X8" s="30"/>
      <c r="Y8" s="53">
        <f t="shared" si="7"/>
        <v>10275</v>
      </c>
      <c r="Z8" s="38"/>
      <c r="AA8" s="95">
        <f t="shared" si="8"/>
        <v>300</v>
      </c>
      <c r="AB8" s="53">
        <f t="shared" si="11"/>
        <v>10143</v>
      </c>
      <c r="AC8" s="72">
        <f>IF(ISNUMBER(H8),AB8/Consolidado!$C$16,"")</f>
        <v>6.0608414548887678E-2</v>
      </c>
      <c r="AD8" s="30"/>
    </row>
    <row r="9" spans="1:34" ht="15" customHeight="1" x14ac:dyDescent="0.3">
      <c r="A9" s="86" t="s">
        <v>43</v>
      </c>
      <c r="B9" s="34">
        <v>300</v>
      </c>
      <c r="C9" s="34"/>
      <c r="D9" s="34"/>
      <c r="E9" s="34"/>
      <c r="F9" s="34"/>
      <c r="G9" s="15">
        <f t="shared" si="0"/>
        <v>27.48</v>
      </c>
      <c r="H9" s="16">
        <f t="shared" si="1"/>
        <v>27.27</v>
      </c>
      <c r="I9" s="39"/>
      <c r="J9" s="10"/>
      <c r="K9" s="12"/>
      <c r="L9" s="29">
        <f t="shared" si="2"/>
        <v>27.48</v>
      </c>
      <c r="M9" s="39"/>
      <c r="N9" s="51">
        <f t="shared" si="3"/>
        <v>-7.6419213973799582E-3</v>
      </c>
      <c r="O9" s="39"/>
      <c r="P9" s="78">
        <f>IF(ISNUMBER(N9),IF(Consolidado!$H$9="%Chg",N9,T9)+ROW(A9)/100000000000,"")</f>
        <v>-62.999999999910258</v>
      </c>
      <c r="Q9" s="17">
        <f t="shared" si="4"/>
        <v>10</v>
      </c>
      <c r="R9" s="38"/>
      <c r="S9" s="38"/>
      <c r="T9" s="36">
        <f t="shared" si="5"/>
        <v>-63.000000000000256</v>
      </c>
      <c r="U9" s="36" t="str">
        <f t="shared" si="6"/>
        <v/>
      </c>
      <c r="V9" s="36" t="str">
        <f t="shared" si="9"/>
        <v/>
      </c>
      <c r="W9" s="52">
        <f t="shared" si="10"/>
        <v>-63.000000000000256</v>
      </c>
      <c r="X9" s="30"/>
      <c r="Y9" s="53">
        <f t="shared" si="7"/>
        <v>8244</v>
      </c>
      <c r="Z9" s="38"/>
      <c r="AA9" s="95">
        <f t="shared" si="8"/>
        <v>300</v>
      </c>
      <c r="AB9" s="53">
        <f t="shared" si="11"/>
        <v>8181</v>
      </c>
      <c r="AC9" s="72">
        <f>IF(ISNUMBER(H9),AB9/Consolidado!$C$16,"")</f>
        <v>4.888469283490586E-2</v>
      </c>
      <c r="AD9" s="30"/>
    </row>
    <row r="10" spans="1:34" ht="15" customHeight="1" x14ac:dyDescent="0.3">
      <c r="A10" s="86" t="s">
        <v>44</v>
      </c>
      <c r="B10" s="34">
        <v>200</v>
      </c>
      <c r="C10" s="34"/>
      <c r="D10" s="34"/>
      <c r="E10" s="34"/>
      <c r="F10" s="34"/>
      <c r="G10" s="15">
        <f t="shared" si="0"/>
        <v>44.86</v>
      </c>
      <c r="H10" s="16">
        <f t="shared" si="1"/>
        <v>44.3</v>
      </c>
      <c r="I10" s="39"/>
      <c r="J10" s="10"/>
      <c r="K10" s="12"/>
      <c r="L10" s="29">
        <f t="shared" si="2"/>
        <v>44.86</v>
      </c>
      <c r="M10" s="39"/>
      <c r="N10" s="51">
        <f t="shared" si="3"/>
        <v>-1.2483281319661255E-2</v>
      </c>
      <c r="O10" s="39"/>
      <c r="P10" s="78">
        <f>IF(ISNUMBER(N10),IF(Consolidado!$H$9="%Chg",N10,T10)+ROW(A10)/100000000000,"")</f>
        <v>-111.99999999990045</v>
      </c>
      <c r="Q10" s="17">
        <f t="shared" si="4"/>
        <v>14</v>
      </c>
      <c r="R10" s="38"/>
      <c r="S10" s="38"/>
      <c r="T10" s="36">
        <f t="shared" si="5"/>
        <v>-112.00000000000045</v>
      </c>
      <c r="U10" s="36" t="str">
        <f t="shared" si="6"/>
        <v/>
      </c>
      <c r="V10" s="36" t="str">
        <f t="shared" si="9"/>
        <v/>
      </c>
      <c r="W10" s="52">
        <f t="shared" si="10"/>
        <v>-112.00000000000045</v>
      </c>
      <c r="X10" s="30"/>
      <c r="Y10" s="53">
        <f t="shared" si="7"/>
        <v>8972</v>
      </c>
      <c r="Z10" s="38"/>
      <c r="AA10" s="95">
        <f t="shared" si="8"/>
        <v>200</v>
      </c>
      <c r="AB10" s="53">
        <f t="shared" si="11"/>
        <v>8860</v>
      </c>
      <c r="AC10" s="72">
        <f>IF(ISNUMBER(H10),AB10/Consolidado!$C$16,"")</f>
        <v>5.2941984906156446E-2</v>
      </c>
      <c r="AD10" s="30"/>
    </row>
    <row r="11" spans="1:34" ht="15" customHeight="1" x14ac:dyDescent="0.3">
      <c r="A11" s="86" t="s">
        <v>34</v>
      </c>
      <c r="B11" s="34">
        <v>100</v>
      </c>
      <c r="C11" s="34"/>
      <c r="D11" s="34"/>
      <c r="E11" s="34"/>
      <c r="F11" s="34"/>
      <c r="G11" s="15">
        <f t="shared" si="0"/>
        <v>30.45</v>
      </c>
      <c r="H11" s="16">
        <f t="shared" si="1"/>
        <v>30.06</v>
      </c>
      <c r="I11" s="39"/>
      <c r="J11" s="10"/>
      <c r="K11" s="12"/>
      <c r="L11" s="29">
        <f t="shared" si="2"/>
        <v>30.45</v>
      </c>
      <c r="M11" s="39"/>
      <c r="N11" s="51">
        <f t="shared" si="3"/>
        <v>-1.2807881773399088E-2</v>
      </c>
      <c r="O11" s="39"/>
      <c r="P11" s="78">
        <f>IF(ISNUMBER(N11),IF(Consolidado!$H$9="%Chg",N11,T11)+ROW(A11)/100000000000,"")</f>
        <v>-38.999999999890058</v>
      </c>
      <c r="Q11" s="17">
        <f t="shared" si="4"/>
        <v>9</v>
      </c>
      <c r="R11" s="38"/>
      <c r="S11" s="38"/>
      <c r="T11" s="36">
        <f t="shared" si="5"/>
        <v>-39.000000000000057</v>
      </c>
      <c r="U11" s="36" t="str">
        <f t="shared" si="6"/>
        <v/>
      </c>
      <c r="V11" s="36" t="str">
        <f t="shared" si="9"/>
        <v/>
      </c>
      <c r="W11" s="52">
        <f t="shared" si="10"/>
        <v>-39.000000000000057</v>
      </c>
      <c r="X11" s="30"/>
      <c r="Y11" s="53">
        <f t="shared" si="7"/>
        <v>3045</v>
      </c>
      <c r="Z11" s="38"/>
      <c r="AA11" s="95">
        <f t="shared" si="8"/>
        <v>100</v>
      </c>
      <c r="AB11" s="53">
        <f t="shared" si="11"/>
        <v>3006</v>
      </c>
      <c r="AC11" s="72">
        <f>IF(ISNUMBER(H11),AB11/Consolidado!$C$16,"")</f>
        <v>1.7962032350779492E-2</v>
      </c>
      <c r="AD11" s="30"/>
      <c r="AE11" s="117"/>
      <c r="AF11" s="117"/>
      <c r="AG11" s="117"/>
    </row>
    <row r="12" spans="1:34" ht="15" customHeight="1" x14ac:dyDescent="0.3">
      <c r="A12" s="86" t="s">
        <v>32</v>
      </c>
      <c r="B12" s="34">
        <v>200</v>
      </c>
      <c r="C12" s="34"/>
      <c r="D12" s="34"/>
      <c r="E12" s="34"/>
      <c r="F12" s="34"/>
      <c r="G12" s="15">
        <f t="shared" si="0"/>
        <v>19.41</v>
      </c>
      <c r="H12" s="16">
        <f t="shared" si="1"/>
        <v>19.350000000000001</v>
      </c>
      <c r="I12" s="39"/>
      <c r="J12" s="10"/>
      <c r="K12" s="12"/>
      <c r="L12" s="29">
        <f t="shared" si="2"/>
        <v>19.41</v>
      </c>
      <c r="M12" s="39"/>
      <c r="N12" s="51">
        <f t="shared" si="3"/>
        <v>-3.0911901081915882E-3</v>
      </c>
      <c r="O12" s="39"/>
      <c r="P12" s="78">
        <f>IF(ISNUMBER(N12),IF(Consolidado!$H$9="%Chg",N12,T12)+ROW(A12)/100000000000,"")</f>
        <v>-11.999999999879744</v>
      </c>
      <c r="Q12" s="17">
        <f t="shared" si="4"/>
        <v>7</v>
      </c>
      <c r="R12" s="38"/>
      <c r="S12" s="38"/>
      <c r="T12" s="36">
        <f t="shared" si="5"/>
        <v>-11.999999999999744</v>
      </c>
      <c r="U12" s="36" t="str">
        <f t="shared" si="6"/>
        <v/>
      </c>
      <c r="V12" s="36" t="str">
        <f t="shared" si="9"/>
        <v/>
      </c>
      <c r="W12" s="52">
        <f t="shared" si="10"/>
        <v>-11.999999999999744</v>
      </c>
      <c r="X12" s="30"/>
      <c r="Y12" s="53">
        <f t="shared" si="7"/>
        <v>3882</v>
      </c>
      <c r="Z12" s="38"/>
      <c r="AA12" s="95">
        <f t="shared" si="8"/>
        <v>200</v>
      </c>
      <c r="AB12" s="53">
        <f t="shared" si="11"/>
        <v>3870.0000000000005</v>
      </c>
      <c r="AC12" s="72">
        <f>IF(ISNUMBER(H12),AB12/Consolidado!$C$16,"")</f>
        <v>2.3124772188129285E-2</v>
      </c>
      <c r="AD12" s="30"/>
      <c r="AE12" s="116"/>
      <c r="AF12" s="116"/>
      <c r="AG12" s="116"/>
      <c r="AH12" s="116"/>
    </row>
    <row r="13" spans="1:34" ht="15" customHeight="1" x14ac:dyDescent="0.3">
      <c r="A13" s="86" t="s">
        <v>45</v>
      </c>
      <c r="B13" s="34">
        <v>200</v>
      </c>
      <c r="C13" s="34"/>
      <c r="D13" s="34"/>
      <c r="E13" s="34"/>
      <c r="F13" s="34"/>
      <c r="G13" s="15">
        <f t="shared" si="0"/>
        <v>47.28</v>
      </c>
      <c r="H13" s="16">
        <f t="shared" si="1"/>
        <v>45.84</v>
      </c>
      <c r="I13" s="39"/>
      <c r="J13" s="10"/>
      <c r="K13" s="12"/>
      <c r="L13" s="29">
        <f t="shared" si="2"/>
        <v>47.28</v>
      </c>
      <c r="M13" s="39"/>
      <c r="N13" s="51">
        <f t="shared" si="3"/>
        <v>-3.0456852791878153E-2</v>
      </c>
      <c r="O13" s="39"/>
      <c r="P13" s="78">
        <f>IF(ISNUMBER(N13),IF(Consolidado!$H$9="%Chg",N13,T13)+ROW(A13)/100000000000,"")</f>
        <v>-287.99999999986954</v>
      </c>
      <c r="Q13" s="17">
        <f t="shared" si="4"/>
        <v>20</v>
      </c>
      <c r="R13" s="38"/>
      <c r="S13" s="38"/>
      <c r="T13" s="36">
        <f t="shared" si="5"/>
        <v>-287.99999999999955</v>
      </c>
      <c r="U13" s="36" t="str">
        <f t="shared" si="6"/>
        <v/>
      </c>
      <c r="V13" s="36" t="str">
        <f t="shared" si="9"/>
        <v/>
      </c>
      <c r="W13" s="52">
        <f t="shared" si="10"/>
        <v>-287.99999999999955</v>
      </c>
      <c r="X13" s="30"/>
      <c r="Y13" s="53">
        <f t="shared" si="7"/>
        <v>9456</v>
      </c>
      <c r="Z13" s="38"/>
      <c r="AA13" s="95">
        <f t="shared" si="8"/>
        <v>200</v>
      </c>
      <c r="AB13" s="53">
        <f t="shared" si="11"/>
        <v>9168</v>
      </c>
      <c r="AC13" s="72">
        <f>IF(ISNUMBER(H13),AB13/Consolidado!$C$16,"")</f>
        <v>5.4782406051878361E-2</v>
      </c>
      <c r="AD13" s="30"/>
      <c r="AE13" s="116"/>
      <c r="AF13" s="116"/>
      <c r="AG13" s="116"/>
      <c r="AH13" s="116"/>
    </row>
    <row r="14" spans="1:34" ht="15" customHeight="1" x14ac:dyDescent="0.3">
      <c r="A14" s="86" t="s">
        <v>46</v>
      </c>
      <c r="B14" s="34">
        <v>100</v>
      </c>
      <c r="C14" s="34"/>
      <c r="D14" s="34"/>
      <c r="E14" s="34"/>
      <c r="F14" s="34"/>
      <c r="G14" s="15">
        <f t="shared" si="0"/>
        <v>13.1</v>
      </c>
      <c r="H14" s="16">
        <f t="shared" si="1"/>
        <v>13.06</v>
      </c>
      <c r="I14" s="39"/>
      <c r="J14" s="10"/>
      <c r="K14" s="12"/>
      <c r="L14" s="29">
        <f t="shared" si="2"/>
        <v>13.1</v>
      </c>
      <c r="M14" s="39"/>
      <c r="N14" s="51">
        <f t="shared" si="3"/>
        <v>-3.0534351145037331E-3</v>
      </c>
      <c r="O14" s="39"/>
      <c r="P14" s="78">
        <f>IF(ISNUMBER(N14),IF(Consolidado!$H$9="%Chg",N14,T14)+ROW(A14)/100000000000,"")</f>
        <v>-3.9999999998599147</v>
      </c>
      <c r="Q14" s="17">
        <f t="shared" si="4"/>
        <v>5</v>
      </c>
      <c r="R14" s="38"/>
      <c r="S14" s="38"/>
      <c r="T14" s="36">
        <f t="shared" si="5"/>
        <v>-3.9999999999999147</v>
      </c>
      <c r="U14" s="36" t="str">
        <f t="shared" si="6"/>
        <v/>
      </c>
      <c r="V14" s="36" t="str">
        <f t="shared" si="9"/>
        <v/>
      </c>
      <c r="W14" s="52">
        <f t="shared" si="10"/>
        <v>-3.9999999999999147</v>
      </c>
      <c r="X14" s="30"/>
      <c r="Y14" s="53">
        <f t="shared" si="7"/>
        <v>1310</v>
      </c>
      <c r="Z14" s="38"/>
      <c r="AA14" s="95">
        <f t="shared" si="8"/>
        <v>100</v>
      </c>
      <c r="AB14" s="53">
        <f t="shared" si="11"/>
        <v>1306</v>
      </c>
      <c r="AC14" s="72">
        <f>IF(ISNUMBER(H14),AB14/Consolidado!$C$16,"")</f>
        <v>7.8038636893273498E-3</v>
      </c>
      <c r="AD14" s="30"/>
    </row>
    <row r="15" spans="1:34" ht="15" customHeight="1" x14ac:dyDescent="0.3">
      <c r="A15" s="86" t="s">
        <v>47</v>
      </c>
      <c r="B15" s="34">
        <v>200</v>
      </c>
      <c r="C15" s="34"/>
      <c r="D15" s="34"/>
      <c r="E15" s="34"/>
      <c r="F15" s="34"/>
      <c r="G15" s="15">
        <f t="shared" si="0"/>
        <v>30.7</v>
      </c>
      <c r="H15" s="16">
        <f t="shared" si="1"/>
        <v>32.880000000000003</v>
      </c>
      <c r="I15" s="39"/>
      <c r="J15" s="10"/>
      <c r="K15" s="12"/>
      <c r="L15" s="29">
        <f t="shared" si="2"/>
        <v>30.7</v>
      </c>
      <c r="M15" s="39"/>
      <c r="N15" s="51">
        <f t="shared" si="3"/>
        <v>7.1009771986970893E-2</v>
      </c>
      <c r="O15" s="39"/>
      <c r="P15" s="78">
        <f>IF(ISNUMBER(N15),IF(Consolidado!$H$9="%Chg",N15,T15)+ROW(A15)/100000000000,"")</f>
        <v>436.00000000015069</v>
      </c>
      <c r="Q15" s="17">
        <f t="shared" si="4"/>
        <v>1</v>
      </c>
      <c r="R15" s="38"/>
      <c r="S15" s="38"/>
      <c r="T15" s="36">
        <f t="shared" si="5"/>
        <v>436.00000000000068</v>
      </c>
      <c r="U15" s="36" t="str">
        <f t="shared" si="6"/>
        <v/>
      </c>
      <c r="V15" s="36" t="str">
        <f t="shared" si="9"/>
        <v/>
      </c>
      <c r="W15" s="52">
        <f t="shared" si="10"/>
        <v>436.00000000000068</v>
      </c>
      <c r="X15" s="30"/>
      <c r="Y15" s="53">
        <f t="shared" si="7"/>
        <v>6140</v>
      </c>
      <c r="Z15" s="38"/>
      <c r="AA15" s="95">
        <f t="shared" si="8"/>
        <v>200</v>
      </c>
      <c r="AB15" s="53">
        <f t="shared" si="11"/>
        <v>6576.0000000000009</v>
      </c>
      <c r="AC15" s="72">
        <f>IF(ISNUMBER(H15),AB15/Consolidado!$C$16,"")</f>
        <v>3.9294186539828989E-2</v>
      </c>
      <c r="AD15" s="30"/>
    </row>
    <row r="16" spans="1:34" ht="15" customHeight="1" x14ac:dyDescent="0.3">
      <c r="A16" s="86" t="s">
        <v>48</v>
      </c>
      <c r="B16" s="34">
        <v>100</v>
      </c>
      <c r="C16" s="34"/>
      <c r="D16" s="34"/>
      <c r="E16" s="34"/>
      <c r="F16" s="34"/>
      <c r="G16" s="15">
        <f t="shared" si="0"/>
        <v>49.45</v>
      </c>
      <c r="H16" s="16">
        <f t="shared" si="1"/>
        <v>49.5</v>
      </c>
      <c r="I16" s="39"/>
      <c r="J16" s="10"/>
      <c r="K16" s="12"/>
      <c r="L16" s="29">
        <f t="shared" si="2"/>
        <v>49.45</v>
      </c>
      <c r="M16" s="39"/>
      <c r="N16" s="51">
        <f t="shared" si="3"/>
        <v>1.0111223458038054E-3</v>
      </c>
      <c r="O16" s="39"/>
      <c r="P16" s="78">
        <f>IF(ISNUMBER(N16),IF(Consolidado!$H$9="%Chg",N16,T16)+ROW(A16)/100000000000,"")</f>
        <v>5.0000000001597158</v>
      </c>
      <c r="Q16" s="17">
        <f t="shared" si="4"/>
        <v>3</v>
      </c>
      <c r="R16" s="38"/>
      <c r="S16" s="38"/>
      <c r="T16" s="36">
        <f t="shared" si="5"/>
        <v>4.9999999999997158</v>
      </c>
      <c r="U16" s="36" t="str">
        <f t="shared" si="6"/>
        <v/>
      </c>
      <c r="V16" s="36" t="str">
        <f t="shared" si="9"/>
        <v/>
      </c>
      <c r="W16" s="52">
        <f t="shared" si="10"/>
        <v>4.9999999999997158</v>
      </c>
      <c r="X16" s="30"/>
      <c r="Y16" s="53">
        <f t="shared" si="7"/>
        <v>4945</v>
      </c>
      <c r="Z16" s="38"/>
      <c r="AA16" s="95">
        <f t="shared" si="8"/>
        <v>100</v>
      </c>
      <c r="AB16" s="53">
        <f t="shared" si="11"/>
        <v>4950</v>
      </c>
      <c r="AC16" s="72">
        <f>IF(ISNUMBER(H16),AB16/Consolidado!$C$16,"")</f>
        <v>2.9578196984816525E-2</v>
      </c>
      <c r="AD16" s="30"/>
    </row>
    <row r="17" spans="1:30" ht="15" customHeight="1" x14ac:dyDescent="0.3">
      <c r="A17" s="86" t="s">
        <v>49</v>
      </c>
      <c r="B17" s="34">
        <v>200</v>
      </c>
      <c r="C17" s="34"/>
      <c r="D17" s="34"/>
      <c r="E17" s="34"/>
      <c r="F17" s="34"/>
      <c r="G17" s="15">
        <f t="shared" si="0"/>
        <v>31.64</v>
      </c>
      <c r="H17" s="16">
        <f t="shared" si="1"/>
        <v>31.29</v>
      </c>
      <c r="I17" s="39"/>
      <c r="J17" s="10"/>
      <c r="K17" s="12"/>
      <c r="L17" s="29">
        <f t="shared" si="2"/>
        <v>31.64</v>
      </c>
      <c r="M17" s="39"/>
      <c r="N17" s="51">
        <f t="shared" si="3"/>
        <v>-1.106194690265494E-2</v>
      </c>
      <c r="O17" s="39"/>
      <c r="P17" s="78">
        <f>IF(ISNUMBER(N17),IF(Consolidado!$H$9="%Chg",N17,T17)+ROW(A17)/100000000000,"")</f>
        <v>-69.99999999983028</v>
      </c>
      <c r="Q17" s="17">
        <f t="shared" si="4"/>
        <v>12</v>
      </c>
      <c r="R17" s="38"/>
      <c r="S17" s="38"/>
      <c r="T17" s="36">
        <f t="shared" si="5"/>
        <v>-70.000000000000284</v>
      </c>
      <c r="U17" s="36" t="str">
        <f t="shared" si="6"/>
        <v/>
      </c>
      <c r="V17" s="36" t="str">
        <f t="shared" si="9"/>
        <v/>
      </c>
      <c r="W17" s="52">
        <f t="shared" si="10"/>
        <v>-70.000000000000284</v>
      </c>
      <c r="X17" s="30"/>
      <c r="Y17" s="53">
        <f t="shared" si="7"/>
        <v>6328</v>
      </c>
      <c r="Z17" s="38"/>
      <c r="AA17" s="95">
        <f t="shared" si="8"/>
        <v>200</v>
      </c>
      <c r="AB17" s="53">
        <f t="shared" si="11"/>
        <v>6258</v>
      </c>
      <c r="AC17" s="72">
        <f>IF(ISNUMBER(H17),AB17/Consolidado!$C$16,"")</f>
        <v>3.7394011460804406E-2</v>
      </c>
      <c r="AD17" s="30"/>
    </row>
    <row r="18" spans="1:30" ht="15" customHeight="1" x14ac:dyDescent="0.3">
      <c r="A18" s="86" t="s">
        <v>50</v>
      </c>
      <c r="B18" s="34">
        <v>100</v>
      </c>
      <c r="C18" s="34"/>
      <c r="D18" s="34"/>
      <c r="E18" s="34"/>
      <c r="F18" s="34"/>
      <c r="G18" s="15">
        <f t="shared" si="0"/>
        <v>111.88</v>
      </c>
      <c r="H18" s="16">
        <f t="shared" si="1"/>
        <v>110.4</v>
      </c>
      <c r="I18" s="39"/>
      <c r="J18" s="10"/>
      <c r="K18" s="12"/>
      <c r="L18" s="29">
        <f t="shared" si="2"/>
        <v>111.88</v>
      </c>
      <c r="M18" s="39"/>
      <c r="N18" s="51">
        <f t="shared" si="3"/>
        <v>-1.3228459063281961E-2</v>
      </c>
      <c r="O18" s="39"/>
      <c r="P18" s="78">
        <f>IF(ISNUMBER(N18),IF(Consolidado!$H$9="%Chg",N18,T18)+ROW(A18)/100000000000,"")</f>
        <v>-147.99999999981898</v>
      </c>
      <c r="Q18" s="17">
        <f t="shared" si="4"/>
        <v>18</v>
      </c>
      <c r="R18" s="38"/>
      <c r="S18" s="38"/>
      <c r="T18" s="36">
        <f t="shared" si="5"/>
        <v>-147.99999999999898</v>
      </c>
      <c r="U18" s="36" t="str">
        <f t="shared" si="6"/>
        <v/>
      </c>
      <c r="V18" s="36" t="str">
        <f t="shared" si="9"/>
        <v/>
      </c>
      <c r="W18" s="52">
        <f t="shared" si="10"/>
        <v>-147.99999999999898</v>
      </c>
      <c r="X18" s="30"/>
      <c r="Y18" s="53">
        <f t="shared" si="7"/>
        <v>11188</v>
      </c>
      <c r="Z18" s="38"/>
      <c r="AA18" s="95">
        <f t="shared" si="8"/>
        <v>100</v>
      </c>
      <c r="AB18" s="53">
        <f t="shared" si="11"/>
        <v>11040</v>
      </c>
      <c r="AC18" s="72">
        <f>IF(ISNUMBER(H18),AB18/Consolidado!$C$16,"")</f>
        <v>6.5968342366136246E-2</v>
      </c>
      <c r="AD18" s="30"/>
    </row>
    <row r="19" spans="1:30" ht="15" customHeight="1" x14ac:dyDescent="0.3">
      <c r="A19" s="86" t="s">
        <v>51</v>
      </c>
      <c r="B19" s="34">
        <v>100</v>
      </c>
      <c r="C19" s="34"/>
      <c r="D19" s="34"/>
      <c r="E19" s="34"/>
      <c r="F19" s="34"/>
      <c r="G19" s="15">
        <f t="shared" si="0"/>
        <v>38.75</v>
      </c>
      <c r="H19" s="16">
        <f t="shared" si="1"/>
        <v>39.840000000000003</v>
      </c>
      <c r="I19" s="39"/>
      <c r="J19" s="10"/>
      <c r="K19" s="12"/>
      <c r="L19" s="29">
        <f t="shared" si="2"/>
        <v>38.75</v>
      </c>
      <c r="M19" s="39"/>
      <c r="N19" s="51">
        <f t="shared" si="3"/>
        <v>2.8129032258064512E-2</v>
      </c>
      <c r="O19" s="39"/>
      <c r="P19" s="78">
        <f>IF(ISNUMBER(N19),IF(Consolidado!$H$9="%Chg",N19,T19)+ROW(A19)/100000000000,"")</f>
        <v>109.00000000019034</v>
      </c>
      <c r="Q19" s="17">
        <f t="shared" si="4"/>
        <v>2</v>
      </c>
      <c r="R19" s="38"/>
      <c r="S19" s="38"/>
      <c r="T19" s="36">
        <f t="shared" si="5"/>
        <v>109.00000000000034</v>
      </c>
      <c r="U19" s="36" t="str">
        <f t="shared" si="6"/>
        <v/>
      </c>
      <c r="V19" s="36" t="str">
        <f t="shared" si="9"/>
        <v/>
      </c>
      <c r="W19" s="52">
        <f t="shared" si="10"/>
        <v>109.00000000000034</v>
      </c>
      <c r="X19" s="30"/>
      <c r="Y19" s="53">
        <f t="shared" si="7"/>
        <v>3875</v>
      </c>
      <c r="Z19" s="38"/>
      <c r="AA19" s="95">
        <f t="shared" si="8"/>
        <v>100</v>
      </c>
      <c r="AB19" s="53">
        <f t="shared" si="11"/>
        <v>3984.0000000000005</v>
      </c>
      <c r="AC19" s="72">
        <f>IF(ISNUMBER(H19),AB19/Consolidado!$C$16,"")</f>
        <v>2.3805967027779606E-2</v>
      </c>
      <c r="AD19" s="30"/>
    </row>
    <row r="20" spans="1:30" x14ac:dyDescent="0.3">
      <c r="A20" s="86" t="s">
        <v>52</v>
      </c>
      <c r="B20" s="34">
        <v>100</v>
      </c>
      <c r="C20" s="34"/>
      <c r="D20" s="34"/>
      <c r="E20" s="34"/>
      <c r="F20" s="34"/>
      <c r="G20" s="15">
        <f t="shared" si="0"/>
        <v>44.44</v>
      </c>
      <c r="H20" s="16">
        <f t="shared" si="1"/>
        <v>43.6</v>
      </c>
      <c r="I20" s="39"/>
      <c r="J20" s="10"/>
      <c r="K20" s="12"/>
      <c r="L20" s="29">
        <f t="shared" ref="L20:L27" si="12">IF(ISNUMBER(H20),(G20-K20)/(IF(J20&lt;&gt;0,J20,1)),"")</f>
        <v>44.44</v>
      </c>
      <c r="M20" s="39"/>
      <c r="N20" s="51">
        <f t="shared" ref="N20:N27" si="13">IF(ISNUMBER(H20),H20/L20-1,"")</f>
        <v>-1.8901890189018777E-2</v>
      </c>
      <c r="O20" s="39"/>
      <c r="P20" s="78">
        <f>IF(ISNUMBER(N20),IF(Consolidado!$H$9="%Chg",N20,T20)+ROW(A20)/100000000000,"")</f>
        <v>-83.999999999799627</v>
      </c>
      <c r="Q20" s="17">
        <f t="shared" si="4"/>
        <v>13</v>
      </c>
      <c r="R20" s="38"/>
      <c r="S20" s="38"/>
      <c r="T20" s="36">
        <f t="shared" si="5"/>
        <v>-83.999999999999631</v>
      </c>
      <c r="U20" s="36" t="str">
        <f t="shared" si="6"/>
        <v/>
      </c>
      <c r="V20" s="36" t="str">
        <f t="shared" si="9"/>
        <v/>
      </c>
      <c r="W20" s="52">
        <f t="shared" si="10"/>
        <v>-83.999999999999631</v>
      </c>
      <c r="X20" s="30"/>
      <c r="Y20" s="53">
        <f t="shared" si="7"/>
        <v>4444</v>
      </c>
      <c r="Z20" s="38"/>
      <c r="AA20" s="95">
        <f t="shared" si="8"/>
        <v>100</v>
      </c>
      <c r="AB20" s="53">
        <f t="shared" si="11"/>
        <v>4360</v>
      </c>
      <c r="AC20" s="72">
        <f>IF(ISNUMBER(H20),AB20/Consolidado!$C$16,"")</f>
        <v>2.6052714919959606E-2</v>
      </c>
      <c r="AD20" s="30"/>
    </row>
    <row r="21" spans="1:30" x14ac:dyDescent="0.3">
      <c r="A21" s="86" t="s">
        <v>53</v>
      </c>
      <c r="B21" s="34">
        <v>200</v>
      </c>
      <c r="C21" s="34"/>
      <c r="D21" s="34"/>
      <c r="E21" s="34"/>
      <c r="F21" s="34"/>
      <c r="G21" s="15">
        <f t="shared" si="0"/>
        <v>23.92</v>
      </c>
      <c r="H21" s="16">
        <f t="shared" si="1"/>
        <v>23.59</v>
      </c>
      <c r="I21" s="39"/>
      <c r="J21" s="10"/>
      <c r="K21" s="12"/>
      <c r="L21" s="29">
        <f t="shared" si="12"/>
        <v>23.92</v>
      </c>
      <c r="M21" s="39"/>
      <c r="N21" s="51">
        <f t="shared" si="13"/>
        <v>-1.3795986622073708E-2</v>
      </c>
      <c r="O21" s="39"/>
      <c r="P21" s="78">
        <f>IF(ISNUMBER(N21),IF(Consolidado!$H$9="%Chg",N21,T21)+ROW(A21)/100000000000,"")</f>
        <v>-65.999999999790376</v>
      </c>
      <c r="Q21" s="17">
        <f t="shared" si="4"/>
        <v>11</v>
      </c>
      <c r="R21" s="38"/>
      <c r="S21" s="38"/>
      <c r="T21" s="36">
        <f t="shared" si="5"/>
        <v>-66.000000000000369</v>
      </c>
      <c r="U21" s="36" t="str">
        <f t="shared" si="6"/>
        <v/>
      </c>
      <c r="V21" s="36" t="str">
        <f t="shared" si="9"/>
        <v/>
      </c>
      <c r="W21" s="52">
        <f t="shared" si="10"/>
        <v>-66.000000000000369</v>
      </c>
      <c r="X21" s="30"/>
      <c r="Y21" s="53">
        <f t="shared" si="7"/>
        <v>4784</v>
      </c>
      <c r="Z21" s="38"/>
      <c r="AA21" s="95">
        <f t="shared" si="8"/>
        <v>200</v>
      </c>
      <c r="AB21" s="53">
        <f t="shared" si="11"/>
        <v>4718</v>
      </c>
      <c r="AC21" s="72">
        <f>IF(ISNUMBER(H21),AB21/Consolidado!$C$16,"")</f>
        <v>2.8191905732194822E-2</v>
      </c>
      <c r="AD21" s="30"/>
    </row>
    <row r="22" spans="1:30" x14ac:dyDescent="0.3">
      <c r="A22" s="86" t="s">
        <v>54</v>
      </c>
      <c r="B22" s="34">
        <v>100</v>
      </c>
      <c r="C22" s="34"/>
      <c r="D22" s="34"/>
      <c r="E22" s="34"/>
      <c r="F22" s="34"/>
      <c r="G22" s="15">
        <f t="shared" si="0"/>
        <v>54</v>
      </c>
      <c r="H22" s="16">
        <f t="shared" si="1"/>
        <v>53.98</v>
      </c>
      <c r="I22" s="39"/>
      <c r="J22" s="10"/>
      <c r="K22" s="12"/>
      <c r="L22" s="29">
        <f t="shared" si="12"/>
        <v>54</v>
      </c>
      <c r="M22" s="39"/>
      <c r="N22" s="51">
        <f t="shared" si="13"/>
        <v>-3.7037037037046527E-4</v>
      </c>
      <c r="O22" s="39"/>
      <c r="P22" s="78">
        <f>IF(ISNUMBER(N22),IF(Consolidado!$H$9="%Chg",N22,T22)+ROW(A22)/100000000000,"")</f>
        <v>-1.9999999997803126</v>
      </c>
      <c r="Q22" s="17">
        <f t="shared" si="4"/>
        <v>4</v>
      </c>
      <c r="R22" s="38"/>
      <c r="S22" s="38"/>
      <c r="T22" s="36">
        <f t="shared" si="5"/>
        <v>-2.0000000000003126</v>
      </c>
      <c r="U22" s="36" t="str">
        <f t="shared" si="6"/>
        <v/>
      </c>
      <c r="V22" s="36" t="str">
        <f t="shared" si="9"/>
        <v/>
      </c>
      <c r="W22" s="52">
        <f t="shared" si="10"/>
        <v>-2.0000000000003126</v>
      </c>
      <c r="X22" s="30"/>
      <c r="Y22" s="53">
        <f t="shared" si="7"/>
        <v>5400</v>
      </c>
      <c r="Z22" s="38"/>
      <c r="AA22" s="95">
        <f t="shared" si="8"/>
        <v>100</v>
      </c>
      <c r="AB22" s="53">
        <f t="shared" si="11"/>
        <v>5398</v>
      </c>
      <c r="AC22" s="72">
        <f>IF(ISNUMBER(H22),AB22/Consolidado!$C$16,"")</f>
        <v>3.2255173196775677E-2</v>
      </c>
      <c r="AD22" s="30"/>
    </row>
    <row r="23" spans="1:30" x14ac:dyDescent="0.3">
      <c r="A23" s="86" t="s">
        <v>55</v>
      </c>
      <c r="B23" s="34">
        <v>200</v>
      </c>
      <c r="C23" s="34"/>
      <c r="D23" s="34"/>
      <c r="E23" s="34"/>
      <c r="F23" s="34"/>
      <c r="G23" s="15">
        <f t="shared" si="0"/>
        <v>34.53</v>
      </c>
      <c r="H23" s="16">
        <f t="shared" si="1"/>
        <v>34.479999999999997</v>
      </c>
      <c r="I23" s="39"/>
      <c r="J23" s="10"/>
      <c r="K23" s="12"/>
      <c r="L23" s="29">
        <f t="shared" si="12"/>
        <v>34.53</v>
      </c>
      <c r="M23" s="39"/>
      <c r="N23" s="51">
        <f t="shared" si="13"/>
        <v>-1.448016217781789E-3</v>
      </c>
      <c r="O23" s="39"/>
      <c r="P23" s="78">
        <f>IF(ISNUMBER(N23),IF(Consolidado!$H$9="%Chg",N23,T23)+ROW(A23)/100000000000,"")</f>
        <v>-9.9999999997708535</v>
      </c>
      <c r="Q23" s="17">
        <f t="shared" si="4"/>
        <v>6</v>
      </c>
      <c r="R23" s="38"/>
      <c r="S23" s="38"/>
      <c r="T23" s="36">
        <f t="shared" si="5"/>
        <v>-10.000000000000853</v>
      </c>
      <c r="U23" s="36" t="str">
        <f t="shared" si="6"/>
        <v/>
      </c>
      <c r="V23" s="36" t="str">
        <f t="shared" si="9"/>
        <v/>
      </c>
      <c r="W23" s="52">
        <f t="shared" si="10"/>
        <v>-10.000000000000853</v>
      </c>
      <c r="X23" s="30"/>
      <c r="Y23" s="53">
        <f t="shared" si="7"/>
        <v>6906</v>
      </c>
      <c r="Z23" s="38"/>
      <c r="AA23" s="95">
        <f t="shared" si="8"/>
        <v>200</v>
      </c>
      <c r="AB23" s="53">
        <f t="shared" si="11"/>
        <v>6895.9999999999991</v>
      </c>
      <c r="AC23" s="72">
        <f>IF(ISNUMBER(H23),AB23/Consolidado!$C$16,"")</f>
        <v>4.1206312405514089E-2</v>
      </c>
      <c r="AD23" s="30"/>
    </row>
    <row r="24" spans="1:30" x14ac:dyDescent="0.3">
      <c r="A24" s="86" t="s">
        <v>56</v>
      </c>
      <c r="B24" s="34">
        <v>100</v>
      </c>
      <c r="C24" s="34"/>
      <c r="D24" s="34"/>
      <c r="E24" s="34"/>
      <c r="F24" s="34"/>
      <c r="G24" s="15">
        <f t="shared" si="0"/>
        <v>54.13</v>
      </c>
      <c r="H24" s="16">
        <f t="shared" si="1"/>
        <v>52.85</v>
      </c>
      <c r="I24" s="39"/>
      <c r="J24" s="10"/>
      <c r="K24" s="12"/>
      <c r="L24" s="29">
        <f t="shared" si="12"/>
        <v>54.13</v>
      </c>
      <c r="M24" s="39"/>
      <c r="N24" s="51">
        <f t="shared" si="13"/>
        <v>-2.3646776279327542E-2</v>
      </c>
      <c r="O24" s="39"/>
      <c r="P24" s="78">
        <f>IF(ISNUMBER(N24),IF(Consolidado!$H$9="%Chg",N24,T24)+ROW(A24)/100000000000,"")</f>
        <v>-127.99999999976012</v>
      </c>
      <c r="Q24" s="17">
        <f t="shared" si="4"/>
        <v>16</v>
      </c>
      <c r="R24" s="38"/>
      <c r="S24" s="38"/>
      <c r="T24" s="36">
        <f t="shared" si="5"/>
        <v>-128.00000000000011</v>
      </c>
      <c r="U24" s="36" t="str">
        <f t="shared" si="6"/>
        <v/>
      </c>
      <c r="V24" s="36" t="str">
        <f t="shared" si="9"/>
        <v/>
      </c>
      <c r="W24" s="52">
        <f t="shared" si="10"/>
        <v>-128.00000000000011</v>
      </c>
      <c r="X24" s="30"/>
      <c r="Y24" s="53">
        <f t="shared" si="7"/>
        <v>5413</v>
      </c>
      <c r="Z24" s="38"/>
      <c r="AA24" s="95">
        <f t="shared" si="8"/>
        <v>100</v>
      </c>
      <c r="AB24" s="53">
        <f t="shared" si="11"/>
        <v>5285</v>
      </c>
      <c r="AC24" s="72">
        <f>IF(ISNUMBER(H24),AB24/Consolidado!$C$16,"")</f>
        <v>3.1579953750455622E-2</v>
      </c>
      <c r="AD24" s="30"/>
    </row>
    <row r="25" spans="1:30" x14ac:dyDescent="0.3">
      <c r="A25" s="86" t="s">
        <v>57</v>
      </c>
      <c r="B25" s="34">
        <v>200</v>
      </c>
      <c r="C25" s="34"/>
      <c r="D25" s="34"/>
      <c r="E25" s="34"/>
      <c r="F25" s="34"/>
      <c r="G25" s="15">
        <f t="shared" si="0"/>
        <v>32.99</v>
      </c>
      <c r="H25" s="16">
        <f t="shared" si="1"/>
        <v>32.409999999999997</v>
      </c>
      <c r="I25" s="39"/>
      <c r="J25" s="10"/>
      <c r="K25" s="12"/>
      <c r="L25" s="29">
        <f t="shared" si="12"/>
        <v>32.99</v>
      </c>
      <c r="M25" s="39"/>
      <c r="N25" s="51">
        <f t="shared" si="13"/>
        <v>-1.7581085177326594E-2</v>
      </c>
      <c r="O25" s="39"/>
      <c r="P25" s="78">
        <f>IF(ISNUMBER(N25),IF(Consolidado!$H$9="%Chg",N25,T25)+ROW(A25)/100000000000,"")</f>
        <v>-115.99999999975108</v>
      </c>
      <c r="Q25" s="17">
        <f t="shared" si="4"/>
        <v>15</v>
      </c>
      <c r="R25" s="38"/>
      <c r="S25" s="38"/>
      <c r="T25" s="36">
        <f t="shared" si="5"/>
        <v>-116.00000000000108</v>
      </c>
      <c r="U25" s="36" t="str">
        <f t="shared" si="6"/>
        <v/>
      </c>
      <c r="V25" s="36" t="str">
        <f t="shared" si="9"/>
        <v/>
      </c>
      <c r="W25" s="52">
        <f t="shared" si="10"/>
        <v>-116.00000000000108</v>
      </c>
      <c r="X25" s="30"/>
      <c r="Y25" s="53">
        <f t="shared" si="7"/>
        <v>6598</v>
      </c>
      <c r="Z25" s="38"/>
      <c r="AA25" s="95">
        <f t="shared" si="8"/>
        <v>200</v>
      </c>
      <c r="AB25" s="53">
        <f t="shared" si="11"/>
        <v>6481.9999999999991</v>
      </c>
      <c r="AC25" s="72">
        <f>IF(ISNUMBER(H25),AB25/Consolidado!$C$16,"")</f>
        <v>3.8732499566783977E-2</v>
      </c>
      <c r="AD25" s="30"/>
    </row>
    <row r="26" spans="1:30" x14ac:dyDescent="0.3">
      <c r="A26" s="86" t="s">
        <v>60</v>
      </c>
      <c r="B26" s="34">
        <v>200</v>
      </c>
      <c r="C26" s="34"/>
      <c r="D26" s="34"/>
      <c r="E26" s="34"/>
      <c r="F26" s="34"/>
      <c r="G26" s="15">
        <f t="shared" ref="G26" si="14">IF(LEN(A26)&gt;1,IFERROR(VLOOKUP(A26,Range_Precos,2,FALSE),"Cadastrar"),"")</f>
        <v>50.47</v>
      </c>
      <c r="H26" s="16">
        <f t="shared" ref="H26" si="15">IF(LEN(A26)&gt;1,IFERROR(VLOOKUP(A26,Range_Precos,3,FALSE),"Cadastrar"),"")</f>
        <v>50.31</v>
      </c>
      <c r="I26" s="39"/>
      <c r="J26" s="10"/>
      <c r="K26" s="12"/>
      <c r="L26" s="29">
        <f t="shared" si="12"/>
        <v>50.47</v>
      </c>
      <c r="M26" s="39"/>
      <c r="N26" s="51">
        <f t="shared" si="13"/>
        <v>-3.1702001188824713E-3</v>
      </c>
      <c r="O26" s="39"/>
      <c r="P26" s="78">
        <f>IF(ISNUMBER(N26),IF(Consolidado!$H$9="%Chg",N26,T26)+ROW(A26)/100000000000,"")</f>
        <v>-31.99999999973932</v>
      </c>
      <c r="Q26" s="17">
        <f t="shared" si="4"/>
        <v>8</v>
      </c>
      <c r="R26" s="38"/>
      <c r="S26" s="38"/>
      <c r="T26" s="36">
        <f t="shared" si="5"/>
        <v>-31.999999999999318</v>
      </c>
      <c r="U26" s="36" t="str">
        <f t="shared" si="6"/>
        <v/>
      </c>
      <c r="V26" s="36" t="str">
        <f t="shared" si="9"/>
        <v/>
      </c>
      <c r="W26" s="52">
        <f t="shared" si="10"/>
        <v>-31.999999999999318</v>
      </c>
      <c r="X26" s="30"/>
      <c r="Y26" s="53">
        <f t="shared" si="7"/>
        <v>10094</v>
      </c>
      <c r="Z26" s="38"/>
      <c r="AA26" s="95">
        <f t="shared" si="8"/>
        <v>200</v>
      </c>
      <c r="AB26" s="53">
        <f t="shared" si="11"/>
        <v>10062</v>
      </c>
      <c r="AC26" s="72">
        <f>IF(ISNUMBER(H26),AB26/Consolidado!$C$16,"")</f>
        <v>6.0124407689136135E-2</v>
      </c>
      <c r="AD26" s="30"/>
    </row>
    <row r="27" spans="1:30" x14ac:dyDescent="0.3">
      <c r="A27" s="86"/>
      <c r="B27" s="34"/>
      <c r="C27" s="34"/>
      <c r="D27" s="34"/>
      <c r="E27" s="34"/>
      <c r="F27" s="34"/>
      <c r="G27" s="15" t="str">
        <f t="shared" si="0"/>
        <v/>
      </c>
      <c r="H27" s="16" t="str">
        <f t="shared" si="1"/>
        <v/>
      </c>
      <c r="I27" s="39"/>
      <c r="J27" s="10"/>
      <c r="K27" s="12"/>
      <c r="L27" s="29" t="str">
        <f t="shared" si="12"/>
        <v/>
      </c>
      <c r="M27" s="39"/>
      <c r="N27" s="51" t="str">
        <f t="shared" si="13"/>
        <v/>
      </c>
      <c r="O27" s="39"/>
      <c r="P27" s="78" t="str">
        <f>IF(ISNUMBER(N27),IF(Consolidado!$H$9="%Chg",N27,T27)+ROW(A27)/100000000000,"")</f>
        <v/>
      </c>
      <c r="Q27" s="17" t="str">
        <f t="shared" si="4"/>
        <v/>
      </c>
      <c r="R27" s="38"/>
      <c r="S27" s="38"/>
      <c r="T27" s="36" t="str">
        <f t="shared" si="5"/>
        <v/>
      </c>
      <c r="U27" s="36" t="str">
        <f t="shared" si="6"/>
        <v/>
      </c>
      <c r="V27" s="36" t="str">
        <f t="shared" si="9"/>
        <v/>
      </c>
      <c r="W27" s="52" t="str">
        <f t="shared" si="10"/>
        <v/>
      </c>
      <c r="X27" s="30"/>
      <c r="Y27" s="53" t="str">
        <f t="shared" si="7"/>
        <v/>
      </c>
      <c r="Z27" s="38"/>
      <c r="AA27" s="95" t="str">
        <f t="shared" si="8"/>
        <v/>
      </c>
      <c r="AB27" s="53" t="str">
        <f t="shared" si="11"/>
        <v/>
      </c>
      <c r="AC27" s="72" t="str">
        <f>IF(ISNUMBER(H27),AB27/Consolidado!$C$16,"")</f>
        <v/>
      </c>
      <c r="AD27" s="30"/>
    </row>
    <row r="28" spans="1:30" x14ac:dyDescent="0.3">
      <c r="A28" s="86"/>
      <c r="B28" s="34"/>
      <c r="C28" s="34"/>
      <c r="D28" s="34"/>
      <c r="E28" s="34"/>
      <c r="F28" s="34"/>
      <c r="G28" s="15" t="str">
        <f t="shared" si="0"/>
        <v/>
      </c>
      <c r="H28" s="16" t="str">
        <f t="shared" si="1"/>
        <v/>
      </c>
      <c r="I28" s="39"/>
      <c r="J28" s="10"/>
      <c r="K28" s="12"/>
      <c r="L28" s="29" t="str">
        <f t="shared" ref="L28:L74" si="16">IF(ISNUMBER(H28),(G28-K28)/(IF(J28&lt;&gt;0,J28,1)),"")</f>
        <v/>
      </c>
      <c r="M28" s="39"/>
      <c r="N28" s="51" t="str">
        <f t="shared" ref="N28:N74" si="17">IF(ISNUMBER(H28),H28/L28-1,"")</f>
        <v/>
      </c>
      <c r="O28" s="39"/>
      <c r="P28" s="78" t="str">
        <f>IF(ISNUMBER(N28),IF(Consolidado!$H$9="%Chg",N28,T28)+ROW(A28)/100000000000,"")</f>
        <v/>
      </c>
      <c r="Q28" s="17" t="str">
        <f t="shared" si="4"/>
        <v/>
      </c>
      <c r="R28" s="38"/>
      <c r="S28" s="38"/>
      <c r="T28" s="36" t="str">
        <f t="shared" si="5"/>
        <v/>
      </c>
      <c r="U28" s="36" t="str">
        <f t="shared" si="6"/>
        <v/>
      </c>
      <c r="V28" s="36" t="str">
        <f t="shared" si="9"/>
        <v/>
      </c>
      <c r="W28" s="52" t="str">
        <f t="shared" si="10"/>
        <v/>
      </c>
      <c r="X28" s="30"/>
      <c r="Y28" s="53" t="str">
        <f t="shared" si="7"/>
        <v/>
      </c>
      <c r="Z28" s="38"/>
      <c r="AA28" s="95" t="str">
        <f t="shared" si="8"/>
        <v/>
      </c>
      <c r="AB28" s="53" t="str">
        <f t="shared" si="11"/>
        <v/>
      </c>
      <c r="AC28" s="72" t="str">
        <f>IF(ISNUMBER(H28),AB28/Consolidado!$C$16,"")</f>
        <v/>
      </c>
      <c r="AD28" s="30"/>
    </row>
    <row r="29" spans="1:30" x14ac:dyDescent="0.3">
      <c r="A29" s="86"/>
      <c r="B29" s="34"/>
      <c r="C29" s="34"/>
      <c r="D29" s="34"/>
      <c r="E29" s="34"/>
      <c r="F29" s="34"/>
      <c r="G29" s="15" t="str">
        <f t="shared" si="0"/>
        <v/>
      </c>
      <c r="H29" s="16" t="str">
        <f t="shared" si="1"/>
        <v/>
      </c>
      <c r="I29" s="39"/>
      <c r="J29" s="10"/>
      <c r="K29" s="12"/>
      <c r="L29" s="29" t="str">
        <f t="shared" si="16"/>
        <v/>
      </c>
      <c r="M29" s="39"/>
      <c r="N29" s="51" t="str">
        <f t="shared" si="17"/>
        <v/>
      </c>
      <c r="O29" s="39"/>
      <c r="P29" s="78" t="str">
        <f>IF(ISNUMBER(N29),IF(Consolidado!$H$9="%Chg",N29,T29)+ROW(A29)/100000000000,"")</f>
        <v/>
      </c>
      <c r="Q29" s="17" t="str">
        <f t="shared" si="4"/>
        <v/>
      </c>
      <c r="R29" s="38"/>
      <c r="S29" s="38"/>
      <c r="T29" s="36" t="str">
        <f t="shared" si="5"/>
        <v/>
      </c>
      <c r="U29" s="36" t="str">
        <f t="shared" si="6"/>
        <v/>
      </c>
      <c r="V29" s="36" t="str">
        <f t="shared" si="9"/>
        <v/>
      </c>
      <c r="W29" s="52" t="str">
        <f t="shared" si="10"/>
        <v/>
      </c>
      <c r="X29" s="30"/>
      <c r="Y29" s="53" t="str">
        <f t="shared" si="7"/>
        <v/>
      </c>
      <c r="Z29" s="38"/>
      <c r="AA29" s="95" t="str">
        <f t="shared" si="8"/>
        <v/>
      </c>
      <c r="AB29" s="53" t="str">
        <f t="shared" si="11"/>
        <v/>
      </c>
      <c r="AC29" s="72" t="str">
        <f>IF(ISNUMBER(H29),AB29/Consolidado!$C$16,"")</f>
        <v/>
      </c>
      <c r="AD29" s="30"/>
    </row>
    <row r="30" spans="1:30" x14ac:dyDescent="0.3">
      <c r="A30" s="86"/>
      <c r="B30" s="34"/>
      <c r="C30" s="34"/>
      <c r="D30" s="34"/>
      <c r="E30" s="34"/>
      <c r="F30" s="34"/>
      <c r="G30" s="15" t="str">
        <f t="shared" si="0"/>
        <v/>
      </c>
      <c r="H30" s="16" t="str">
        <f t="shared" si="1"/>
        <v/>
      </c>
      <c r="I30" s="39"/>
      <c r="J30" s="10"/>
      <c r="K30" s="12"/>
      <c r="L30" s="29" t="str">
        <f t="shared" si="16"/>
        <v/>
      </c>
      <c r="M30" s="39"/>
      <c r="N30" s="51" t="str">
        <f t="shared" si="17"/>
        <v/>
      </c>
      <c r="O30" s="39"/>
      <c r="P30" s="78" t="str">
        <f>IF(ISNUMBER(N30),IF(Consolidado!$H$9="%Chg",N30,T30)+ROW(A30)/100000000000,"")</f>
        <v/>
      </c>
      <c r="Q30" s="17" t="str">
        <f t="shared" si="4"/>
        <v/>
      </c>
      <c r="R30" s="38"/>
      <c r="S30" s="38"/>
      <c r="T30" s="36" t="str">
        <f t="shared" si="5"/>
        <v/>
      </c>
      <c r="U30" s="36" t="str">
        <f t="shared" si="6"/>
        <v/>
      </c>
      <c r="V30" s="36" t="str">
        <f t="shared" si="9"/>
        <v/>
      </c>
      <c r="W30" s="52" t="str">
        <f t="shared" si="10"/>
        <v/>
      </c>
      <c r="X30" s="30"/>
      <c r="Y30" s="53" t="str">
        <f t="shared" si="7"/>
        <v/>
      </c>
      <c r="Z30" s="38"/>
      <c r="AA30" s="95" t="str">
        <f t="shared" si="8"/>
        <v/>
      </c>
      <c r="AB30" s="53" t="str">
        <f t="shared" si="11"/>
        <v/>
      </c>
      <c r="AC30" s="72" t="str">
        <f>IF(ISNUMBER(H30),AB30/Consolidado!$C$16,"")</f>
        <v/>
      </c>
      <c r="AD30" s="30"/>
    </row>
    <row r="31" spans="1:30" x14ac:dyDescent="0.3">
      <c r="A31" s="86"/>
      <c r="B31" s="34"/>
      <c r="C31" s="34"/>
      <c r="D31" s="34"/>
      <c r="E31" s="34"/>
      <c r="F31" s="34"/>
      <c r="G31" s="15" t="str">
        <f t="shared" si="0"/>
        <v/>
      </c>
      <c r="H31" s="16" t="str">
        <f t="shared" si="1"/>
        <v/>
      </c>
      <c r="I31" s="39"/>
      <c r="J31" s="10"/>
      <c r="K31" s="12"/>
      <c r="L31" s="29" t="str">
        <f t="shared" si="16"/>
        <v/>
      </c>
      <c r="M31" s="39"/>
      <c r="N31" s="51" t="str">
        <f t="shared" si="17"/>
        <v/>
      </c>
      <c r="O31" s="39"/>
      <c r="P31" s="78" t="str">
        <f>IF(ISNUMBER(N31),IF(Consolidado!$H$9="%Chg",N31,T31)+ROW(A31)/100000000000,"")</f>
        <v/>
      </c>
      <c r="Q31" s="17" t="str">
        <f t="shared" si="4"/>
        <v/>
      </c>
      <c r="R31" s="38"/>
      <c r="S31" s="38"/>
      <c r="T31" s="36" t="str">
        <f t="shared" si="5"/>
        <v/>
      </c>
      <c r="U31" s="36" t="str">
        <f t="shared" si="6"/>
        <v/>
      </c>
      <c r="V31" s="36" t="str">
        <f t="shared" si="9"/>
        <v/>
      </c>
      <c r="W31" s="52" t="str">
        <f t="shared" si="10"/>
        <v/>
      </c>
      <c r="X31" s="30"/>
      <c r="Y31" s="53" t="str">
        <f t="shared" si="7"/>
        <v/>
      </c>
      <c r="Z31" s="38"/>
      <c r="AA31" s="95" t="str">
        <f t="shared" si="8"/>
        <v/>
      </c>
      <c r="AB31" s="53" t="str">
        <f t="shared" si="11"/>
        <v/>
      </c>
      <c r="AC31" s="72" t="str">
        <f>IF(ISNUMBER(H31),AB31/Consolidado!$C$16,"")</f>
        <v/>
      </c>
      <c r="AD31" s="30"/>
    </row>
    <row r="32" spans="1:30" x14ac:dyDescent="0.3">
      <c r="A32" s="86"/>
      <c r="B32" s="34"/>
      <c r="C32" s="34"/>
      <c r="D32" s="34"/>
      <c r="E32" s="34"/>
      <c r="F32" s="34"/>
      <c r="G32" s="15" t="str">
        <f t="shared" si="0"/>
        <v/>
      </c>
      <c r="H32" s="16" t="str">
        <f t="shared" si="1"/>
        <v/>
      </c>
      <c r="I32" s="39"/>
      <c r="J32" s="10"/>
      <c r="K32" s="12"/>
      <c r="L32" s="29" t="str">
        <f t="shared" si="16"/>
        <v/>
      </c>
      <c r="M32" s="39"/>
      <c r="N32" s="51" t="str">
        <f t="shared" si="17"/>
        <v/>
      </c>
      <c r="O32" s="39"/>
      <c r="P32" s="78" t="str">
        <f>IF(ISNUMBER(N32),IF(Consolidado!$H$9="%Chg",N32,T32)+ROW(A32)/100000000000,"")</f>
        <v/>
      </c>
      <c r="Q32" s="17" t="str">
        <f t="shared" si="4"/>
        <v/>
      </c>
      <c r="R32" s="38"/>
      <c r="S32" s="38"/>
      <c r="T32" s="36" t="str">
        <f t="shared" si="5"/>
        <v/>
      </c>
      <c r="U32" s="36" t="str">
        <f t="shared" si="6"/>
        <v/>
      </c>
      <c r="V32" s="36" t="str">
        <f t="shared" si="9"/>
        <v/>
      </c>
      <c r="W32" s="52" t="str">
        <f t="shared" si="10"/>
        <v/>
      </c>
      <c r="X32" s="30"/>
      <c r="Y32" s="53" t="str">
        <f t="shared" si="7"/>
        <v/>
      </c>
      <c r="Z32" s="38"/>
      <c r="AA32" s="95" t="str">
        <f t="shared" si="8"/>
        <v/>
      </c>
      <c r="AB32" s="53" t="str">
        <f t="shared" si="11"/>
        <v/>
      </c>
      <c r="AC32" s="72" t="str">
        <f>IF(ISNUMBER(H32),AB32/Consolidado!$C$16,"")</f>
        <v/>
      </c>
      <c r="AD32" s="30"/>
    </row>
    <row r="33" spans="1:30" x14ac:dyDescent="0.3">
      <c r="A33" s="86"/>
      <c r="B33" s="34"/>
      <c r="C33" s="34"/>
      <c r="D33" s="34"/>
      <c r="E33" s="34"/>
      <c r="F33" s="34"/>
      <c r="G33" s="15" t="str">
        <f t="shared" si="0"/>
        <v/>
      </c>
      <c r="H33" s="16" t="str">
        <f t="shared" si="1"/>
        <v/>
      </c>
      <c r="I33" s="39"/>
      <c r="J33" s="10"/>
      <c r="K33" s="12"/>
      <c r="L33" s="29" t="str">
        <f t="shared" si="16"/>
        <v/>
      </c>
      <c r="M33" s="39"/>
      <c r="N33" s="51" t="str">
        <f t="shared" si="17"/>
        <v/>
      </c>
      <c r="O33" s="39"/>
      <c r="P33" s="78" t="str">
        <f>IF(ISNUMBER(N33),IF(Consolidado!$H$9="%Chg",N33,T33)+ROW(A33)/100000000000,"")</f>
        <v/>
      </c>
      <c r="Q33" s="17" t="str">
        <f t="shared" si="4"/>
        <v/>
      </c>
      <c r="R33" s="38"/>
      <c r="S33" s="38"/>
      <c r="T33" s="36" t="str">
        <f t="shared" si="5"/>
        <v/>
      </c>
      <c r="U33" s="36" t="str">
        <f t="shared" si="6"/>
        <v/>
      </c>
      <c r="V33" s="36" t="str">
        <f t="shared" si="9"/>
        <v/>
      </c>
      <c r="W33" s="52" t="str">
        <f t="shared" si="10"/>
        <v/>
      </c>
      <c r="X33" s="30"/>
      <c r="Y33" s="53" t="str">
        <f t="shared" si="7"/>
        <v/>
      </c>
      <c r="Z33" s="38"/>
      <c r="AA33" s="95" t="str">
        <f t="shared" si="8"/>
        <v/>
      </c>
      <c r="AB33" s="53" t="str">
        <f t="shared" si="11"/>
        <v/>
      </c>
      <c r="AC33" s="72" t="str">
        <f>IF(ISNUMBER(H33),AB33/Consolidado!$C$16,"")</f>
        <v/>
      </c>
      <c r="AD33" s="30"/>
    </row>
    <row r="34" spans="1:30" x14ac:dyDescent="0.3">
      <c r="A34" s="86"/>
      <c r="B34" s="34"/>
      <c r="C34" s="34"/>
      <c r="D34" s="34"/>
      <c r="E34" s="34"/>
      <c r="F34" s="34"/>
      <c r="G34" s="15" t="str">
        <f t="shared" si="0"/>
        <v/>
      </c>
      <c r="H34" s="16" t="str">
        <f t="shared" si="1"/>
        <v/>
      </c>
      <c r="I34" s="39"/>
      <c r="J34" s="10"/>
      <c r="K34" s="12"/>
      <c r="L34" s="29" t="str">
        <f t="shared" si="16"/>
        <v/>
      </c>
      <c r="M34" s="39"/>
      <c r="N34" s="51" t="str">
        <f t="shared" si="17"/>
        <v/>
      </c>
      <c r="O34" s="39"/>
      <c r="P34" s="78" t="str">
        <f>IF(ISNUMBER(N34),IF(Consolidado!$H$9="%Chg",N34,T34)+ROW(A34)/100000000000,"")</f>
        <v/>
      </c>
      <c r="Q34" s="17" t="str">
        <f t="shared" si="4"/>
        <v/>
      </c>
      <c r="R34" s="38"/>
      <c r="S34" s="38"/>
      <c r="T34" s="36" t="str">
        <f t="shared" si="5"/>
        <v/>
      </c>
      <c r="U34" s="36" t="str">
        <f t="shared" si="6"/>
        <v/>
      </c>
      <c r="V34" s="36" t="str">
        <f t="shared" si="9"/>
        <v/>
      </c>
      <c r="W34" s="52" t="str">
        <f t="shared" si="10"/>
        <v/>
      </c>
      <c r="X34" s="30"/>
      <c r="Y34" s="53" t="str">
        <f t="shared" si="7"/>
        <v/>
      </c>
      <c r="Z34" s="38"/>
      <c r="AA34" s="95" t="str">
        <f t="shared" si="8"/>
        <v/>
      </c>
      <c r="AB34" s="53" t="str">
        <f t="shared" si="11"/>
        <v/>
      </c>
      <c r="AC34" s="72" t="str">
        <f>IF(ISNUMBER(H34),AB34/Consolidado!$C$16,"")</f>
        <v/>
      </c>
      <c r="AD34" s="30"/>
    </row>
    <row r="35" spans="1:30" x14ac:dyDescent="0.3">
      <c r="A35" s="86"/>
      <c r="B35" s="34"/>
      <c r="C35" s="34"/>
      <c r="D35" s="34"/>
      <c r="E35" s="34"/>
      <c r="F35" s="34"/>
      <c r="G35" s="15" t="str">
        <f t="shared" si="0"/>
        <v/>
      </c>
      <c r="H35" s="16" t="str">
        <f t="shared" si="1"/>
        <v/>
      </c>
      <c r="I35" s="39"/>
      <c r="J35" s="10"/>
      <c r="K35" s="12"/>
      <c r="L35" s="29" t="str">
        <f t="shared" si="16"/>
        <v/>
      </c>
      <c r="M35" s="39"/>
      <c r="N35" s="51" t="str">
        <f t="shared" si="17"/>
        <v/>
      </c>
      <c r="O35" s="39"/>
      <c r="P35" s="78" t="str">
        <f>IF(ISNUMBER(N35),IF(Consolidado!$H$9="%Chg",N35,T35)+ROW(A35)/100000000000,"")</f>
        <v/>
      </c>
      <c r="Q35" s="17" t="str">
        <f t="shared" si="4"/>
        <v/>
      </c>
      <c r="R35" s="38"/>
      <c r="S35" s="38"/>
      <c r="T35" s="36" t="str">
        <f t="shared" si="5"/>
        <v/>
      </c>
      <c r="U35" s="36" t="str">
        <f t="shared" si="6"/>
        <v/>
      </c>
      <c r="V35" s="36" t="str">
        <f t="shared" si="9"/>
        <v/>
      </c>
      <c r="W35" s="52" t="str">
        <f t="shared" si="10"/>
        <v/>
      </c>
      <c r="X35" s="30"/>
      <c r="Y35" s="53" t="str">
        <f t="shared" si="7"/>
        <v/>
      </c>
      <c r="Z35" s="38"/>
      <c r="AA35" s="95" t="str">
        <f t="shared" si="8"/>
        <v/>
      </c>
      <c r="AB35" s="53" t="str">
        <f t="shared" si="11"/>
        <v/>
      </c>
      <c r="AC35" s="72" t="str">
        <f>IF(ISNUMBER(H35),AB35/Consolidado!$C$16,"")</f>
        <v/>
      </c>
      <c r="AD35" s="30"/>
    </row>
    <row r="36" spans="1:30" x14ac:dyDescent="0.3">
      <c r="A36" s="86"/>
      <c r="B36" s="34"/>
      <c r="C36" s="34"/>
      <c r="D36" s="34"/>
      <c r="E36" s="34"/>
      <c r="F36" s="34"/>
      <c r="G36" s="15" t="str">
        <f t="shared" si="0"/>
        <v/>
      </c>
      <c r="H36" s="16" t="str">
        <f t="shared" si="1"/>
        <v/>
      </c>
      <c r="I36" s="39"/>
      <c r="J36" s="10"/>
      <c r="K36" s="12"/>
      <c r="L36" s="29" t="str">
        <f t="shared" si="16"/>
        <v/>
      </c>
      <c r="M36" s="39"/>
      <c r="N36" s="51" t="str">
        <f t="shared" si="17"/>
        <v/>
      </c>
      <c r="O36" s="39"/>
      <c r="P36" s="78" t="str">
        <f>IF(ISNUMBER(N36),IF(Consolidado!$H$9="%Chg",N36,T36)+ROW(A36)/100000000000,"")</f>
        <v/>
      </c>
      <c r="Q36" s="17" t="str">
        <f t="shared" si="4"/>
        <v/>
      </c>
      <c r="R36" s="38"/>
      <c r="S36" s="38"/>
      <c r="T36" s="36" t="str">
        <f t="shared" si="5"/>
        <v/>
      </c>
      <c r="U36" s="36" t="str">
        <f t="shared" si="6"/>
        <v/>
      </c>
      <c r="V36" s="36" t="str">
        <f t="shared" si="9"/>
        <v/>
      </c>
      <c r="W36" s="52" t="str">
        <f t="shared" si="10"/>
        <v/>
      </c>
      <c r="X36" s="30"/>
      <c r="Y36" s="53" t="str">
        <f t="shared" si="7"/>
        <v/>
      </c>
      <c r="Z36" s="38"/>
      <c r="AA36" s="95" t="str">
        <f t="shared" si="8"/>
        <v/>
      </c>
      <c r="AB36" s="53" t="str">
        <f t="shared" si="11"/>
        <v/>
      </c>
      <c r="AC36" s="72" t="str">
        <f>IF(ISNUMBER(H36),AB36/Consolidado!$C$16,"")</f>
        <v/>
      </c>
      <c r="AD36" s="30"/>
    </row>
    <row r="37" spans="1:30" x14ac:dyDescent="0.3">
      <c r="A37" s="86"/>
      <c r="B37" s="34"/>
      <c r="C37" s="34"/>
      <c r="D37" s="34"/>
      <c r="E37" s="34"/>
      <c r="F37" s="34"/>
      <c r="G37" s="15" t="str">
        <f t="shared" si="0"/>
        <v/>
      </c>
      <c r="H37" s="16" t="str">
        <f t="shared" si="1"/>
        <v/>
      </c>
      <c r="I37" s="39"/>
      <c r="J37" s="10"/>
      <c r="K37" s="12"/>
      <c r="L37" s="29" t="str">
        <f t="shared" si="16"/>
        <v/>
      </c>
      <c r="M37" s="39"/>
      <c r="N37" s="51" t="str">
        <f t="shared" si="17"/>
        <v/>
      </c>
      <c r="O37" s="39"/>
      <c r="P37" s="78" t="str">
        <f>IF(ISNUMBER(N37),IF(Consolidado!$H$9="%Chg",N37,T37)+ROW(A37)/100000000000,"")</f>
        <v/>
      </c>
      <c r="Q37" s="17" t="str">
        <f t="shared" si="4"/>
        <v/>
      </c>
      <c r="R37" s="38"/>
      <c r="S37" s="38"/>
      <c r="T37" s="36" t="str">
        <f t="shared" si="5"/>
        <v/>
      </c>
      <c r="U37" s="36" t="str">
        <f t="shared" si="6"/>
        <v/>
      </c>
      <c r="V37" s="36" t="str">
        <f t="shared" si="9"/>
        <v/>
      </c>
      <c r="W37" s="52" t="str">
        <f t="shared" si="10"/>
        <v/>
      </c>
      <c r="X37" s="30"/>
      <c r="Y37" s="53" t="str">
        <f t="shared" si="7"/>
        <v/>
      </c>
      <c r="Z37" s="38"/>
      <c r="AA37" s="95" t="str">
        <f t="shared" si="8"/>
        <v/>
      </c>
      <c r="AB37" s="53" t="str">
        <f t="shared" si="11"/>
        <v/>
      </c>
      <c r="AC37" s="72" t="str">
        <f>IF(ISNUMBER(H37),AB37/Consolidado!$C$16,"")</f>
        <v/>
      </c>
      <c r="AD37" s="30"/>
    </row>
    <row r="38" spans="1:30" x14ac:dyDescent="0.3">
      <c r="A38" s="86"/>
      <c r="B38" s="34"/>
      <c r="C38" s="34"/>
      <c r="D38" s="34"/>
      <c r="E38" s="34"/>
      <c r="F38" s="34"/>
      <c r="G38" s="15" t="str">
        <f t="shared" ref="G38:G74" si="18">IF(LEN(A38)&gt;1,IFERROR(VLOOKUP(A38,Range_Precos,2,FALSE),"Cadastrar"),"")</f>
        <v/>
      </c>
      <c r="H38" s="16" t="str">
        <f t="shared" ref="H38:H74" si="19">IF(LEN(A38)&gt;1,IFERROR(VLOOKUP(A38,Range_Precos,3,FALSE),"Cadastrar"),"")</f>
        <v/>
      </c>
      <c r="I38" s="39"/>
      <c r="J38" s="10"/>
      <c r="K38" s="12"/>
      <c r="L38" s="29" t="str">
        <f t="shared" si="16"/>
        <v/>
      </c>
      <c r="M38" s="39"/>
      <c r="N38" s="51" t="str">
        <f t="shared" si="17"/>
        <v/>
      </c>
      <c r="O38" s="39"/>
      <c r="P38" s="78" t="str">
        <f>IF(ISNUMBER(N38),IF(Consolidado!$H$9="%Chg",N38,T38)+ROW(A38)/100000000000,"")</f>
        <v/>
      </c>
      <c r="Q38" s="17" t="str">
        <f t="shared" ref="Q38:Q69" si="20">IF(ISNUMBER(P38),RANK(P38,$P$6:$P$74,0),"")</f>
        <v/>
      </c>
      <c r="R38" s="38"/>
      <c r="S38" s="38"/>
      <c r="T38" s="36" t="str">
        <f t="shared" ref="T38:T74" si="21">IF(ISNUMBER(L38),B38*(H38-G38),"")</f>
        <v/>
      </c>
      <c r="U38" s="36" t="str">
        <f t="shared" ref="U38:U74" si="22">IF(ISNUMBER(K38),K38*B38,"")</f>
        <v/>
      </c>
      <c r="V38" s="36" t="str">
        <f t="shared" si="9"/>
        <v/>
      </c>
      <c r="W38" s="52" t="str">
        <f t="shared" si="10"/>
        <v/>
      </c>
      <c r="X38" s="30"/>
      <c r="Y38" s="53" t="str">
        <f t="shared" ref="Y38:Y74" si="23">IF(ISNUMBER(G38),B38*G38,"")</f>
        <v/>
      </c>
      <c r="Z38" s="38"/>
      <c r="AA38" s="95" t="str">
        <f t="shared" ref="AA38:AA74" si="24">IF(ISNUMBER(H38),(B38+C38-E38),"")</f>
        <v/>
      </c>
      <c r="AB38" s="53" t="str">
        <f t="shared" si="11"/>
        <v/>
      </c>
      <c r="AC38" s="72" t="str">
        <f>IF(ISNUMBER(H38),AB38/Consolidado!$C$16,"")</f>
        <v/>
      </c>
      <c r="AD38" s="30"/>
    </row>
    <row r="39" spans="1:30" x14ac:dyDescent="0.3">
      <c r="A39" s="86"/>
      <c r="B39" s="34"/>
      <c r="C39" s="34"/>
      <c r="D39" s="34"/>
      <c r="E39" s="34"/>
      <c r="F39" s="34"/>
      <c r="G39" s="15" t="str">
        <f t="shared" si="18"/>
        <v/>
      </c>
      <c r="H39" s="16" t="str">
        <f t="shared" si="19"/>
        <v/>
      </c>
      <c r="I39" s="39"/>
      <c r="J39" s="10"/>
      <c r="K39" s="12"/>
      <c r="L39" s="29" t="str">
        <f t="shared" si="16"/>
        <v/>
      </c>
      <c r="M39" s="39"/>
      <c r="N39" s="51" t="str">
        <f t="shared" si="17"/>
        <v/>
      </c>
      <c r="O39" s="39"/>
      <c r="P39" s="78" t="str">
        <f>IF(ISNUMBER(N39),IF(Consolidado!$H$9="%Chg",N39,T39)+ROW(A39)/100000000000,"")</f>
        <v/>
      </c>
      <c r="Q39" s="17" t="str">
        <f t="shared" si="20"/>
        <v/>
      </c>
      <c r="R39" s="38"/>
      <c r="S39" s="38"/>
      <c r="T39" s="36" t="str">
        <f t="shared" si="21"/>
        <v/>
      </c>
      <c r="U39" s="36" t="str">
        <f t="shared" si="22"/>
        <v/>
      </c>
      <c r="V39" s="36" t="str">
        <f t="shared" si="9"/>
        <v/>
      </c>
      <c r="W39" s="52" t="str">
        <f t="shared" si="10"/>
        <v/>
      </c>
      <c r="X39" s="30"/>
      <c r="Y39" s="53" t="str">
        <f t="shared" si="23"/>
        <v/>
      </c>
      <c r="Z39" s="38"/>
      <c r="AA39" s="95" t="str">
        <f t="shared" si="24"/>
        <v/>
      </c>
      <c r="AB39" s="53" t="str">
        <f t="shared" si="11"/>
        <v/>
      </c>
      <c r="AC39" s="72" t="str">
        <f>IF(ISNUMBER(H39),AB39/Consolidado!$C$16,"")</f>
        <v/>
      </c>
      <c r="AD39" s="30"/>
    </row>
    <row r="40" spans="1:30" x14ac:dyDescent="0.3">
      <c r="A40" s="86"/>
      <c r="B40" s="34"/>
      <c r="C40" s="34"/>
      <c r="D40" s="34"/>
      <c r="E40" s="34"/>
      <c r="F40" s="34"/>
      <c r="G40" s="15" t="str">
        <f t="shared" si="18"/>
        <v/>
      </c>
      <c r="H40" s="16" t="str">
        <f t="shared" si="19"/>
        <v/>
      </c>
      <c r="I40" s="39"/>
      <c r="J40" s="10"/>
      <c r="K40" s="12"/>
      <c r="L40" s="29" t="str">
        <f t="shared" si="16"/>
        <v/>
      </c>
      <c r="M40" s="39"/>
      <c r="N40" s="51" t="str">
        <f t="shared" si="17"/>
        <v/>
      </c>
      <c r="O40" s="39"/>
      <c r="P40" s="78" t="str">
        <f>IF(ISNUMBER(N40),IF(Consolidado!$H$9="%Chg",N40,T40)+ROW(A40)/100000000000,"")</f>
        <v/>
      </c>
      <c r="Q40" s="17" t="str">
        <f t="shared" si="20"/>
        <v/>
      </c>
      <c r="R40" s="38"/>
      <c r="S40" s="38"/>
      <c r="T40" s="36" t="str">
        <f t="shared" si="21"/>
        <v/>
      </c>
      <c r="U40" s="36" t="str">
        <f t="shared" si="22"/>
        <v/>
      </c>
      <c r="V40" s="36" t="str">
        <f t="shared" si="9"/>
        <v/>
      </c>
      <c r="W40" s="52" t="str">
        <f t="shared" si="10"/>
        <v/>
      </c>
      <c r="X40" s="30"/>
      <c r="Y40" s="53" t="str">
        <f t="shared" si="23"/>
        <v/>
      </c>
      <c r="Z40" s="38"/>
      <c r="AA40" s="95" t="str">
        <f t="shared" si="24"/>
        <v/>
      </c>
      <c r="AB40" s="53" t="str">
        <f t="shared" si="11"/>
        <v/>
      </c>
      <c r="AC40" s="72" t="str">
        <f>IF(ISNUMBER(H40),AB40/Consolidado!$C$16,"")</f>
        <v/>
      </c>
      <c r="AD40" s="30"/>
    </row>
    <row r="41" spans="1:30" x14ac:dyDescent="0.3">
      <c r="A41" s="86"/>
      <c r="B41" s="34"/>
      <c r="C41" s="34"/>
      <c r="D41" s="34"/>
      <c r="E41" s="34"/>
      <c r="F41" s="34"/>
      <c r="G41" s="15" t="str">
        <f t="shared" si="18"/>
        <v/>
      </c>
      <c r="H41" s="16" t="str">
        <f t="shared" si="19"/>
        <v/>
      </c>
      <c r="I41" s="39"/>
      <c r="J41" s="10"/>
      <c r="K41" s="12"/>
      <c r="L41" s="29" t="str">
        <f t="shared" si="16"/>
        <v/>
      </c>
      <c r="M41" s="39"/>
      <c r="N41" s="51" t="str">
        <f t="shared" si="17"/>
        <v/>
      </c>
      <c r="O41" s="39"/>
      <c r="P41" s="78" t="str">
        <f>IF(ISNUMBER(N41),IF(Consolidado!$H$9="%Chg",N41,T41)+ROW(A41)/100000000000,"")</f>
        <v/>
      </c>
      <c r="Q41" s="17" t="str">
        <f t="shared" si="20"/>
        <v/>
      </c>
      <c r="R41" s="38"/>
      <c r="S41" s="38"/>
      <c r="T41" s="36" t="str">
        <f t="shared" si="21"/>
        <v/>
      </c>
      <c r="U41" s="36" t="str">
        <f t="shared" si="22"/>
        <v/>
      </c>
      <c r="V41" s="36" t="str">
        <f t="shared" si="9"/>
        <v/>
      </c>
      <c r="W41" s="52" t="str">
        <f t="shared" si="10"/>
        <v/>
      </c>
      <c r="X41" s="30"/>
      <c r="Y41" s="53" t="str">
        <f t="shared" si="23"/>
        <v/>
      </c>
      <c r="Z41" s="38"/>
      <c r="AA41" s="95" t="str">
        <f t="shared" si="24"/>
        <v/>
      </c>
      <c r="AB41" s="53" t="str">
        <f t="shared" si="11"/>
        <v/>
      </c>
      <c r="AC41" s="72" t="str">
        <f>IF(ISNUMBER(H41),AB41/Consolidado!$C$16,"")</f>
        <v/>
      </c>
      <c r="AD41" s="30"/>
    </row>
    <row r="42" spans="1:30" x14ac:dyDescent="0.3">
      <c r="A42" s="86"/>
      <c r="B42" s="34"/>
      <c r="C42" s="34"/>
      <c r="D42" s="34"/>
      <c r="E42" s="34"/>
      <c r="F42" s="34"/>
      <c r="G42" s="15" t="str">
        <f t="shared" si="18"/>
        <v/>
      </c>
      <c r="H42" s="16" t="str">
        <f t="shared" si="19"/>
        <v/>
      </c>
      <c r="I42" s="39"/>
      <c r="J42" s="10"/>
      <c r="K42" s="12"/>
      <c r="L42" s="29" t="str">
        <f t="shared" si="16"/>
        <v/>
      </c>
      <c r="M42" s="39"/>
      <c r="N42" s="51" t="str">
        <f t="shared" si="17"/>
        <v/>
      </c>
      <c r="O42" s="39"/>
      <c r="P42" s="78" t="str">
        <f>IF(ISNUMBER(N42),IF(Consolidado!$H$9="%Chg",N42,T42)+ROW(A42)/100000000000,"")</f>
        <v/>
      </c>
      <c r="Q42" s="17" t="str">
        <f t="shared" si="20"/>
        <v/>
      </c>
      <c r="R42" s="38"/>
      <c r="S42" s="38"/>
      <c r="T42" s="36" t="str">
        <f t="shared" si="21"/>
        <v/>
      </c>
      <c r="U42" s="36" t="str">
        <f t="shared" si="22"/>
        <v/>
      </c>
      <c r="V42" s="36" t="str">
        <f t="shared" si="9"/>
        <v/>
      </c>
      <c r="W42" s="52" t="str">
        <f t="shared" si="10"/>
        <v/>
      </c>
      <c r="X42" s="30"/>
      <c r="Y42" s="53" t="str">
        <f t="shared" si="23"/>
        <v/>
      </c>
      <c r="Z42" s="38"/>
      <c r="AA42" s="95" t="str">
        <f t="shared" si="24"/>
        <v/>
      </c>
      <c r="AB42" s="53" t="str">
        <f t="shared" si="11"/>
        <v/>
      </c>
      <c r="AC42" s="72" t="str">
        <f>IF(ISNUMBER(H42),AB42/Consolidado!$C$16,"")</f>
        <v/>
      </c>
      <c r="AD42" s="30"/>
    </row>
    <row r="43" spans="1:30" x14ac:dyDescent="0.3">
      <c r="A43" s="86"/>
      <c r="B43" s="34"/>
      <c r="C43" s="34"/>
      <c r="D43" s="34"/>
      <c r="E43" s="34"/>
      <c r="F43" s="34"/>
      <c r="G43" s="15" t="str">
        <f t="shared" si="18"/>
        <v/>
      </c>
      <c r="H43" s="16" t="str">
        <f t="shared" si="19"/>
        <v/>
      </c>
      <c r="I43" s="39"/>
      <c r="J43" s="10"/>
      <c r="K43" s="12"/>
      <c r="L43" s="29" t="str">
        <f t="shared" si="16"/>
        <v/>
      </c>
      <c r="M43" s="39"/>
      <c r="N43" s="51" t="str">
        <f t="shared" si="17"/>
        <v/>
      </c>
      <c r="O43" s="39"/>
      <c r="P43" s="78" t="str">
        <f>IF(ISNUMBER(N43),IF(Consolidado!$H$9="%Chg",N43,T43)+ROW(A43)/100000000000,"")</f>
        <v/>
      </c>
      <c r="Q43" s="17" t="str">
        <f t="shared" si="20"/>
        <v/>
      </c>
      <c r="R43" s="38"/>
      <c r="S43" s="38"/>
      <c r="T43" s="36" t="str">
        <f t="shared" si="21"/>
        <v/>
      </c>
      <c r="U43" s="36" t="str">
        <f t="shared" si="22"/>
        <v/>
      </c>
      <c r="V43" s="36" t="str">
        <f t="shared" si="9"/>
        <v/>
      </c>
      <c r="W43" s="52" t="str">
        <f t="shared" si="10"/>
        <v/>
      </c>
      <c r="X43" s="30"/>
      <c r="Y43" s="53" t="str">
        <f t="shared" si="23"/>
        <v/>
      </c>
      <c r="Z43" s="38"/>
      <c r="AA43" s="95" t="str">
        <f t="shared" si="24"/>
        <v/>
      </c>
      <c r="AB43" s="53" t="str">
        <f t="shared" si="11"/>
        <v/>
      </c>
      <c r="AC43" s="72" t="str">
        <f>IF(ISNUMBER(H43),AB43/Consolidado!$C$16,"")</f>
        <v/>
      </c>
      <c r="AD43" s="30"/>
    </row>
    <row r="44" spans="1:30" x14ac:dyDescent="0.3">
      <c r="A44" s="86"/>
      <c r="B44" s="34"/>
      <c r="C44" s="34"/>
      <c r="D44" s="34"/>
      <c r="E44" s="34"/>
      <c r="F44" s="34"/>
      <c r="G44" s="15" t="str">
        <f t="shared" si="18"/>
        <v/>
      </c>
      <c r="H44" s="16" t="str">
        <f t="shared" si="19"/>
        <v/>
      </c>
      <c r="I44" s="39"/>
      <c r="J44" s="10"/>
      <c r="K44" s="12"/>
      <c r="L44" s="29" t="str">
        <f t="shared" si="16"/>
        <v/>
      </c>
      <c r="M44" s="39"/>
      <c r="N44" s="51" t="str">
        <f t="shared" si="17"/>
        <v/>
      </c>
      <c r="O44" s="39"/>
      <c r="P44" s="78" t="str">
        <f>IF(ISNUMBER(N44),IF(Consolidado!$H$9="%Chg",N44,T44)+ROW(A44)/100000000000,"")</f>
        <v/>
      </c>
      <c r="Q44" s="17" t="str">
        <f t="shared" si="20"/>
        <v/>
      </c>
      <c r="R44" s="38"/>
      <c r="S44" s="38"/>
      <c r="T44" s="36" t="str">
        <f t="shared" si="21"/>
        <v/>
      </c>
      <c r="U44" s="36" t="str">
        <f t="shared" si="22"/>
        <v/>
      </c>
      <c r="V44" s="36" t="str">
        <f t="shared" si="9"/>
        <v/>
      </c>
      <c r="W44" s="52" t="str">
        <f t="shared" si="10"/>
        <v/>
      </c>
      <c r="X44" s="30"/>
      <c r="Y44" s="53" t="str">
        <f t="shared" si="23"/>
        <v/>
      </c>
      <c r="Z44" s="38"/>
      <c r="AA44" s="95" t="str">
        <f t="shared" si="24"/>
        <v/>
      </c>
      <c r="AB44" s="53" t="str">
        <f t="shared" si="11"/>
        <v/>
      </c>
      <c r="AC44" s="72" t="str">
        <f>IF(ISNUMBER(H44),AB44/Consolidado!$C$16,"")</f>
        <v/>
      </c>
      <c r="AD44" s="30"/>
    </row>
    <row r="45" spans="1:30" x14ac:dyDescent="0.3">
      <c r="A45" s="86"/>
      <c r="B45" s="34"/>
      <c r="C45" s="34"/>
      <c r="D45" s="34"/>
      <c r="E45" s="34"/>
      <c r="F45" s="34"/>
      <c r="G45" s="15" t="str">
        <f t="shared" si="18"/>
        <v/>
      </c>
      <c r="H45" s="16" t="str">
        <f t="shared" si="19"/>
        <v/>
      </c>
      <c r="I45" s="39"/>
      <c r="J45" s="10"/>
      <c r="K45" s="12"/>
      <c r="L45" s="29" t="str">
        <f t="shared" si="16"/>
        <v/>
      </c>
      <c r="M45" s="39"/>
      <c r="N45" s="51" t="str">
        <f t="shared" si="17"/>
        <v/>
      </c>
      <c r="O45" s="39"/>
      <c r="P45" s="78" t="str">
        <f>IF(ISNUMBER(N45),IF(Consolidado!$H$9="%Chg",N45,T45)+ROW(A45)/100000000000,"")</f>
        <v/>
      </c>
      <c r="Q45" s="17" t="str">
        <f t="shared" si="20"/>
        <v/>
      </c>
      <c r="R45" s="38"/>
      <c r="S45" s="38"/>
      <c r="T45" s="36" t="str">
        <f t="shared" si="21"/>
        <v/>
      </c>
      <c r="U45" s="36" t="str">
        <f t="shared" si="22"/>
        <v/>
      </c>
      <c r="V45" s="36" t="str">
        <f t="shared" si="9"/>
        <v/>
      </c>
      <c r="W45" s="52" t="str">
        <f t="shared" si="10"/>
        <v/>
      </c>
      <c r="X45" s="30"/>
      <c r="Y45" s="53" t="str">
        <f t="shared" si="23"/>
        <v/>
      </c>
      <c r="Z45" s="38"/>
      <c r="AA45" s="95" t="str">
        <f t="shared" si="24"/>
        <v/>
      </c>
      <c r="AB45" s="53" t="str">
        <f t="shared" si="11"/>
        <v/>
      </c>
      <c r="AC45" s="72" t="str">
        <f>IF(ISNUMBER(H45),AB45/Consolidado!$C$16,"")</f>
        <v/>
      </c>
      <c r="AD45" s="30"/>
    </row>
    <row r="46" spans="1:30" x14ac:dyDescent="0.3">
      <c r="A46" s="86"/>
      <c r="B46" s="34"/>
      <c r="C46" s="34"/>
      <c r="D46" s="34"/>
      <c r="E46" s="34"/>
      <c r="F46" s="34"/>
      <c r="G46" s="15" t="str">
        <f t="shared" si="18"/>
        <v/>
      </c>
      <c r="H46" s="16" t="str">
        <f t="shared" si="19"/>
        <v/>
      </c>
      <c r="I46" s="39"/>
      <c r="J46" s="10"/>
      <c r="K46" s="12"/>
      <c r="L46" s="29" t="str">
        <f t="shared" si="16"/>
        <v/>
      </c>
      <c r="M46" s="39"/>
      <c r="N46" s="51" t="str">
        <f t="shared" si="17"/>
        <v/>
      </c>
      <c r="O46" s="39"/>
      <c r="P46" s="78" t="str">
        <f>IF(ISNUMBER(N46),IF(Consolidado!$H$9="%Chg",N46,T46)+ROW(A46)/100000000000,"")</f>
        <v/>
      </c>
      <c r="Q46" s="17" t="str">
        <f t="shared" si="20"/>
        <v/>
      </c>
      <c r="R46" s="38"/>
      <c r="S46" s="38"/>
      <c r="T46" s="36" t="str">
        <f t="shared" si="21"/>
        <v/>
      </c>
      <c r="U46" s="36" t="str">
        <f t="shared" si="22"/>
        <v/>
      </c>
      <c r="V46" s="36" t="str">
        <f t="shared" si="9"/>
        <v/>
      </c>
      <c r="W46" s="52" t="str">
        <f t="shared" si="10"/>
        <v/>
      </c>
      <c r="X46" s="30"/>
      <c r="Y46" s="53" t="str">
        <f t="shared" si="23"/>
        <v/>
      </c>
      <c r="Z46" s="38"/>
      <c r="AA46" s="95" t="str">
        <f t="shared" si="24"/>
        <v/>
      </c>
      <c r="AB46" s="53" t="str">
        <f t="shared" si="11"/>
        <v/>
      </c>
      <c r="AC46" s="72" t="str">
        <f>IF(ISNUMBER(H46),AB46/Consolidado!$C$16,"")</f>
        <v/>
      </c>
      <c r="AD46" s="30"/>
    </row>
    <row r="47" spans="1:30" x14ac:dyDescent="0.3">
      <c r="A47" s="86"/>
      <c r="B47" s="34"/>
      <c r="C47" s="34"/>
      <c r="D47" s="34"/>
      <c r="E47" s="34"/>
      <c r="F47" s="34"/>
      <c r="G47" s="15" t="str">
        <f t="shared" si="18"/>
        <v/>
      </c>
      <c r="H47" s="16" t="str">
        <f t="shared" si="19"/>
        <v/>
      </c>
      <c r="I47" s="39"/>
      <c r="J47" s="10"/>
      <c r="K47" s="12"/>
      <c r="L47" s="29" t="str">
        <f t="shared" si="16"/>
        <v/>
      </c>
      <c r="M47" s="39"/>
      <c r="N47" s="51" t="str">
        <f t="shared" si="17"/>
        <v/>
      </c>
      <c r="O47" s="39"/>
      <c r="P47" s="78" t="str">
        <f>IF(ISNUMBER(N47),IF(Consolidado!$H$9="%Chg",N47,T47)+ROW(A47)/100000000000,"")</f>
        <v/>
      </c>
      <c r="Q47" s="17" t="str">
        <f t="shared" si="20"/>
        <v/>
      </c>
      <c r="R47" s="38"/>
      <c r="S47" s="38"/>
      <c r="T47" s="36" t="str">
        <f t="shared" si="21"/>
        <v/>
      </c>
      <c r="U47" s="36" t="str">
        <f t="shared" si="22"/>
        <v/>
      </c>
      <c r="V47" s="36" t="str">
        <f t="shared" si="9"/>
        <v/>
      </c>
      <c r="W47" s="52" t="str">
        <f t="shared" si="10"/>
        <v/>
      </c>
      <c r="X47" s="30"/>
      <c r="Y47" s="53" t="str">
        <f t="shared" si="23"/>
        <v/>
      </c>
      <c r="Z47" s="38"/>
      <c r="AA47" s="95" t="str">
        <f t="shared" si="24"/>
        <v/>
      </c>
      <c r="AB47" s="53" t="str">
        <f t="shared" si="11"/>
        <v/>
      </c>
      <c r="AC47" s="72" t="str">
        <f>IF(ISNUMBER(H47),AB47/Consolidado!$C$16,"")</f>
        <v/>
      </c>
      <c r="AD47" s="30"/>
    </row>
    <row r="48" spans="1:30" x14ac:dyDescent="0.3">
      <c r="A48" s="86"/>
      <c r="B48" s="34"/>
      <c r="C48" s="34"/>
      <c r="D48" s="34"/>
      <c r="E48" s="34"/>
      <c r="F48" s="34"/>
      <c r="G48" s="15" t="str">
        <f t="shared" si="18"/>
        <v/>
      </c>
      <c r="H48" s="16" t="str">
        <f t="shared" si="19"/>
        <v/>
      </c>
      <c r="I48" s="39"/>
      <c r="J48" s="10"/>
      <c r="K48" s="12"/>
      <c r="L48" s="29" t="str">
        <f t="shared" si="16"/>
        <v/>
      </c>
      <c r="M48" s="39"/>
      <c r="N48" s="51" t="str">
        <f t="shared" si="17"/>
        <v/>
      </c>
      <c r="O48" s="39"/>
      <c r="P48" s="78" t="str">
        <f>IF(ISNUMBER(N48),IF(Consolidado!$H$9="%Chg",N48,T48)+ROW(A48)/100000000000,"")</f>
        <v/>
      </c>
      <c r="Q48" s="17" t="str">
        <f t="shared" si="20"/>
        <v/>
      </c>
      <c r="R48" s="38"/>
      <c r="S48" s="38"/>
      <c r="T48" s="36" t="str">
        <f t="shared" si="21"/>
        <v/>
      </c>
      <c r="U48" s="36" t="str">
        <f t="shared" si="22"/>
        <v/>
      </c>
      <c r="V48" s="36" t="str">
        <f t="shared" si="9"/>
        <v/>
      </c>
      <c r="W48" s="52" t="str">
        <f t="shared" si="10"/>
        <v/>
      </c>
      <c r="X48" s="30"/>
      <c r="Y48" s="53" t="str">
        <f t="shared" si="23"/>
        <v/>
      </c>
      <c r="Z48" s="38"/>
      <c r="AA48" s="95" t="str">
        <f t="shared" si="24"/>
        <v/>
      </c>
      <c r="AB48" s="53" t="str">
        <f t="shared" si="11"/>
        <v/>
      </c>
      <c r="AC48" s="72" t="str">
        <f>IF(ISNUMBER(H48),AB48/Consolidado!$C$16,"")</f>
        <v/>
      </c>
      <c r="AD48" s="30"/>
    </row>
    <row r="49" spans="1:30" x14ac:dyDescent="0.3">
      <c r="A49" s="86"/>
      <c r="B49" s="34"/>
      <c r="C49" s="34"/>
      <c r="D49" s="34"/>
      <c r="E49" s="34"/>
      <c r="F49" s="34"/>
      <c r="G49" s="15" t="str">
        <f t="shared" si="18"/>
        <v/>
      </c>
      <c r="H49" s="16" t="str">
        <f t="shared" si="19"/>
        <v/>
      </c>
      <c r="I49" s="39"/>
      <c r="J49" s="10"/>
      <c r="K49" s="12"/>
      <c r="L49" s="29" t="str">
        <f t="shared" si="16"/>
        <v/>
      </c>
      <c r="M49" s="39"/>
      <c r="N49" s="51" t="str">
        <f t="shared" si="17"/>
        <v/>
      </c>
      <c r="O49" s="39"/>
      <c r="P49" s="78" t="str">
        <f>IF(ISNUMBER(N49),IF(Consolidado!$H$9="%Chg",N49,T49)+ROW(A49)/100000000000,"")</f>
        <v/>
      </c>
      <c r="Q49" s="17" t="str">
        <f t="shared" si="20"/>
        <v/>
      </c>
      <c r="R49" s="38"/>
      <c r="S49" s="38"/>
      <c r="T49" s="36" t="str">
        <f t="shared" si="21"/>
        <v/>
      </c>
      <c r="U49" s="36" t="str">
        <f t="shared" si="22"/>
        <v/>
      </c>
      <c r="V49" s="36" t="str">
        <f t="shared" si="9"/>
        <v/>
      </c>
      <c r="W49" s="52" t="str">
        <f t="shared" si="10"/>
        <v/>
      </c>
      <c r="X49" s="30"/>
      <c r="Y49" s="53" t="str">
        <f t="shared" si="23"/>
        <v/>
      </c>
      <c r="Z49" s="38"/>
      <c r="AA49" s="95" t="str">
        <f t="shared" si="24"/>
        <v/>
      </c>
      <c r="AB49" s="53" t="str">
        <f t="shared" si="11"/>
        <v/>
      </c>
      <c r="AC49" s="72" t="str">
        <f>IF(ISNUMBER(H49),AB49/Consolidado!$C$16,"")</f>
        <v/>
      </c>
      <c r="AD49" s="30"/>
    </row>
    <row r="50" spans="1:30" x14ac:dyDescent="0.3">
      <c r="A50" s="86"/>
      <c r="B50" s="34"/>
      <c r="C50" s="34"/>
      <c r="D50" s="34"/>
      <c r="E50" s="34"/>
      <c r="F50" s="34"/>
      <c r="G50" s="15" t="str">
        <f t="shared" si="18"/>
        <v/>
      </c>
      <c r="H50" s="16" t="str">
        <f t="shared" si="19"/>
        <v/>
      </c>
      <c r="I50" s="39"/>
      <c r="J50" s="10"/>
      <c r="K50" s="12"/>
      <c r="L50" s="29" t="str">
        <f t="shared" si="16"/>
        <v/>
      </c>
      <c r="M50" s="39"/>
      <c r="N50" s="51" t="str">
        <f t="shared" si="17"/>
        <v/>
      </c>
      <c r="O50" s="39"/>
      <c r="P50" s="78" t="str">
        <f>IF(ISNUMBER(N50),IF(Consolidado!$H$9="%Chg",N50,T50)+ROW(A50)/100000000000,"")</f>
        <v/>
      </c>
      <c r="Q50" s="17" t="str">
        <f t="shared" si="20"/>
        <v/>
      </c>
      <c r="R50" s="38"/>
      <c r="S50" s="38"/>
      <c r="T50" s="36" t="str">
        <f t="shared" si="21"/>
        <v/>
      </c>
      <c r="U50" s="36" t="str">
        <f t="shared" si="22"/>
        <v/>
      </c>
      <c r="V50" s="36" t="str">
        <f t="shared" si="9"/>
        <v/>
      </c>
      <c r="W50" s="52" t="str">
        <f t="shared" si="10"/>
        <v/>
      </c>
      <c r="X50" s="30"/>
      <c r="Y50" s="53" t="str">
        <f t="shared" si="23"/>
        <v/>
      </c>
      <c r="Z50" s="38"/>
      <c r="AA50" s="95" t="str">
        <f t="shared" si="24"/>
        <v/>
      </c>
      <c r="AB50" s="53" t="str">
        <f t="shared" si="11"/>
        <v/>
      </c>
      <c r="AC50" s="72" t="str">
        <f>IF(ISNUMBER(H50),AB50/Consolidado!$C$16,"")</f>
        <v/>
      </c>
      <c r="AD50" s="30"/>
    </row>
    <row r="51" spans="1:30" x14ac:dyDescent="0.3">
      <c r="A51" s="86"/>
      <c r="B51" s="34"/>
      <c r="C51" s="34"/>
      <c r="D51" s="34"/>
      <c r="E51" s="34"/>
      <c r="F51" s="34"/>
      <c r="G51" s="15" t="str">
        <f t="shared" si="18"/>
        <v/>
      </c>
      <c r="H51" s="16" t="str">
        <f t="shared" si="19"/>
        <v/>
      </c>
      <c r="I51" s="39"/>
      <c r="J51" s="10"/>
      <c r="K51" s="12"/>
      <c r="L51" s="29" t="str">
        <f t="shared" si="16"/>
        <v/>
      </c>
      <c r="M51" s="39"/>
      <c r="N51" s="51" t="str">
        <f t="shared" si="17"/>
        <v/>
      </c>
      <c r="O51" s="39"/>
      <c r="P51" s="78" t="str">
        <f>IF(ISNUMBER(N51),IF(Consolidado!$H$9="%Chg",N51,T51)+ROW(A51)/100000000000,"")</f>
        <v/>
      </c>
      <c r="Q51" s="17" t="str">
        <f t="shared" si="20"/>
        <v/>
      </c>
      <c r="R51" s="38"/>
      <c r="S51" s="38"/>
      <c r="T51" s="36" t="str">
        <f t="shared" si="21"/>
        <v/>
      </c>
      <c r="U51" s="36" t="str">
        <f t="shared" si="22"/>
        <v/>
      </c>
      <c r="V51" s="36" t="str">
        <f t="shared" si="9"/>
        <v/>
      </c>
      <c r="W51" s="52" t="str">
        <f t="shared" si="10"/>
        <v/>
      </c>
      <c r="X51" s="30"/>
      <c r="Y51" s="53" t="str">
        <f t="shared" si="23"/>
        <v/>
      </c>
      <c r="Z51" s="38"/>
      <c r="AA51" s="95" t="str">
        <f t="shared" si="24"/>
        <v/>
      </c>
      <c r="AB51" s="53" t="str">
        <f t="shared" si="11"/>
        <v/>
      </c>
      <c r="AC51" s="72" t="str">
        <f>IF(ISNUMBER(H51),AB51/Consolidado!$C$16,"")</f>
        <v/>
      </c>
      <c r="AD51" s="30"/>
    </row>
    <row r="52" spans="1:30" x14ac:dyDescent="0.3">
      <c r="A52" s="86"/>
      <c r="B52" s="34"/>
      <c r="C52" s="34"/>
      <c r="D52" s="34"/>
      <c r="E52" s="34"/>
      <c r="F52" s="34"/>
      <c r="G52" s="15" t="str">
        <f t="shared" si="18"/>
        <v/>
      </c>
      <c r="H52" s="16" t="str">
        <f t="shared" si="19"/>
        <v/>
      </c>
      <c r="I52" s="39"/>
      <c r="J52" s="10"/>
      <c r="K52" s="12"/>
      <c r="L52" s="29" t="str">
        <f t="shared" si="16"/>
        <v/>
      </c>
      <c r="M52" s="39"/>
      <c r="N52" s="51" t="str">
        <f t="shared" si="17"/>
        <v/>
      </c>
      <c r="O52" s="39"/>
      <c r="P52" s="78" t="str">
        <f>IF(ISNUMBER(N52),IF(Consolidado!$H$9="%Chg",N52,T52)+ROW(A52)/100000000000,"")</f>
        <v/>
      </c>
      <c r="Q52" s="17" t="str">
        <f t="shared" si="20"/>
        <v/>
      </c>
      <c r="R52" s="38"/>
      <c r="S52" s="38"/>
      <c r="T52" s="36" t="str">
        <f t="shared" si="21"/>
        <v/>
      </c>
      <c r="U52" s="36" t="str">
        <f t="shared" si="22"/>
        <v/>
      </c>
      <c r="V52" s="36" t="str">
        <f t="shared" si="9"/>
        <v/>
      </c>
      <c r="W52" s="52" t="str">
        <f t="shared" si="10"/>
        <v/>
      </c>
      <c r="X52" s="30"/>
      <c r="Y52" s="53" t="str">
        <f t="shared" si="23"/>
        <v/>
      </c>
      <c r="Z52" s="38"/>
      <c r="AA52" s="95" t="str">
        <f t="shared" si="24"/>
        <v/>
      </c>
      <c r="AB52" s="53" t="str">
        <f t="shared" si="11"/>
        <v/>
      </c>
      <c r="AC52" s="72" t="str">
        <f>IF(ISNUMBER(H52),AB52/Consolidado!$C$16,"")</f>
        <v/>
      </c>
      <c r="AD52" s="30"/>
    </row>
    <row r="53" spans="1:30" x14ac:dyDescent="0.3">
      <c r="A53" s="86"/>
      <c r="B53" s="34"/>
      <c r="C53" s="34"/>
      <c r="D53" s="34"/>
      <c r="E53" s="34"/>
      <c r="F53" s="34"/>
      <c r="G53" s="15" t="str">
        <f t="shared" si="18"/>
        <v/>
      </c>
      <c r="H53" s="16" t="str">
        <f t="shared" si="19"/>
        <v/>
      </c>
      <c r="I53" s="39"/>
      <c r="J53" s="10"/>
      <c r="K53" s="12"/>
      <c r="L53" s="29" t="str">
        <f t="shared" si="16"/>
        <v/>
      </c>
      <c r="M53" s="39"/>
      <c r="N53" s="51" t="str">
        <f t="shared" si="17"/>
        <v/>
      </c>
      <c r="O53" s="39"/>
      <c r="P53" s="78" t="str">
        <f>IF(ISNUMBER(N53),IF(Consolidado!$H$9="%Chg",N53,T53)+ROW(A53)/100000000000,"")</f>
        <v/>
      </c>
      <c r="Q53" s="17" t="str">
        <f t="shared" si="20"/>
        <v/>
      </c>
      <c r="R53" s="38"/>
      <c r="S53" s="38"/>
      <c r="T53" s="36" t="str">
        <f t="shared" si="21"/>
        <v/>
      </c>
      <c r="U53" s="36" t="str">
        <f t="shared" si="22"/>
        <v/>
      </c>
      <c r="V53" s="36" t="str">
        <f t="shared" si="9"/>
        <v/>
      </c>
      <c r="W53" s="52" t="str">
        <f t="shared" si="10"/>
        <v/>
      </c>
      <c r="X53" s="30"/>
      <c r="Y53" s="53" t="str">
        <f t="shared" si="23"/>
        <v/>
      </c>
      <c r="Z53" s="38"/>
      <c r="AA53" s="95" t="str">
        <f t="shared" si="24"/>
        <v/>
      </c>
      <c r="AB53" s="53" t="str">
        <f t="shared" si="11"/>
        <v/>
      </c>
      <c r="AC53" s="72" t="str">
        <f>IF(ISNUMBER(H53),AB53/Consolidado!$C$16,"")</f>
        <v/>
      </c>
      <c r="AD53" s="30"/>
    </row>
    <row r="54" spans="1:30" x14ac:dyDescent="0.3">
      <c r="A54" s="86"/>
      <c r="B54" s="34"/>
      <c r="C54" s="34"/>
      <c r="D54" s="34"/>
      <c r="E54" s="34"/>
      <c r="F54" s="34"/>
      <c r="G54" s="15" t="str">
        <f t="shared" si="18"/>
        <v/>
      </c>
      <c r="H54" s="16" t="str">
        <f t="shared" si="19"/>
        <v/>
      </c>
      <c r="I54" s="39"/>
      <c r="J54" s="10"/>
      <c r="K54" s="12"/>
      <c r="L54" s="29" t="str">
        <f t="shared" si="16"/>
        <v/>
      </c>
      <c r="M54" s="39"/>
      <c r="N54" s="51" t="str">
        <f t="shared" si="17"/>
        <v/>
      </c>
      <c r="O54" s="39"/>
      <c r="P54" s="78" t="str">
        <f>IF(ISNUMBER(N54),IF(Consolidado!$H$9="%Chg",N54,T54)+ROW(A54)/100000000000,"")</f>
        <v/>
      </c>
      <c r="Q54" s="17" t="str">
        <f t="shared" si="20"/>
        <v/>
      </c>
      <c r="R54" s="38"/>
      <c r="S54" s="38"/>
      <c r="T54" s="36" t="str">
        <f t="shared" si="21"/>
        <v/>
      </c>
      <c r="U54" s="36" t="str">
        <f t="shared" si="22"/>
        <v/>
      </c>
      <c r="V54" s="36" t="str">
        <f t="shared" si="9"/>
        <v/>
      </c>
      <c r="W54" s="52" t="str">
        <f t="shared" si="10"/>
        <v/>
      </c>
      <c r="X54" s="30"/>
      <c r="Y54" s="53" t="str">
        <f t="shared" si="23"/>
        <v/>
      </c>
      <c r="Z54" s="38"/>
      <c r="AA54" s="95" t="str">
        <f t="shared" si="24"/>
        <v/>
      </c>
      <c r="AB54" s="53" t="str">
        <f t="shared" si="11"/>
        <v/>
      </c>
      <c r="AC54" s="72" t="str">
        <f>IF(ISNUMBER(H54),AB54/Consolidado!$C$16,"")</f>
        <v/>
      </c>
      <c r="AD54" s="30"/>
    </row>
    <row r="55" spans="1:30" x14ac:dyDescent="0.3">
      <c r="A55" s="86"/>
      <c r="B55" s="34"/>
      <c r="C55" s="34"/>
      <c r="D55" s="34"/>
      <c r="E55" s="34"/>
      <c r="F55" s="34"/>
      <c r="G55" s="15" t="str">
        <f t="shared" si="18"/>
        <v/>
      </c>
      <c r="H55" s="16" t="str">
        <f t="shared" si="19"/>
        <v/>
      </c>
      <c r="I55" s="39"/>
      <c r="J55" s="10"/>
      <c r="K55" s="12"/>
      <c r="L55" s="29" t="str">
        <f t="shared" si="16"/>
        <v/>
      </c>
      <c r="M55" s="39"/>
      <c r="N55" s="51" t="str">
        <f t="shared" si="17"/>
        <v/>
      </c>
      <c r="O55" s="39"/>
      <c r="P55" s="78" t="str">
        <f>IF(ISNUMBER(N55),IF(Consolidado!$H$9="%Chg",N55,T55)+ROW(A55)/100000000000,"")</f>
        <v/>
      </c>
      <c r="Q55" s="17" t="str">
        <f t="shared" si="20"/>
        <v/>
      </c>
      <c r="R55" s="38"/>
      <c r="S55" s="38"/>
      <c r="T55" s="36" t="str">
        <f t="shared" si="21"/>
        <v/>
      </c>
      <c r="U55" s="36" t="str">
        <f t="shared" si="22"/>
        <v/>
      </c>
      <c r="V55" s="36" t="str">
        <f t="shared" si="9"/>
        <v/>
      </c>
      <c r="W55" s="52" t="str">
        <f t="shared" si="10"/>
        <v/>
      </c>
      <c r="X55" s="30"/>
      <c r="Y55" s="53" t="str">
        <f t="shared" si="23"/>
        <v/>
      </c>
      <c r="Z55" s="38"/>
      <c r="AA55" s="95" t="str">
        <f t="shared" si="24"/>
        <v/>
      </c>
      <c r="AB55" s="53" t="str">
        <f t="shared" si="11"/>
        <v/>
      </c>
      <c r="AC55" s="72" t="str">
        <f>IF(ISNUMBER(H55),AB55/Consolidado!$C$16,"")</f>
        <v/>
      </c>
      <c r="AD55" s="30"/>
    </row>
    <row r="56" spans="1:30" x14ac:dyDescent="0.3">
      <c r="A56" s="86"/>
      <c r="B56" s="34"/>
      <c r="C56" s="34"/>
      <c r="D56" s="34"/>
      <c r="E56" s="34"/>
      <c r="F56" s="34"/>
      <c r="G56" s="15" t="str">
        <f t="shared" si="18"/>
        <v/>
      </c>
      <c r="H56" s="16" t="str">
        <f t="shared" si="19"/>
        <v/>
      </c>
      <c r="I56" s="39"/>
      <c r="J56" s="10"/>
      <c r="K56" s="12"/>
      <c r="L56" s="29" t="str">
        <f t="shared" si="16"/>
        <v/>
      </c>
      <c r="M56" s="39"/>
      <c r="N56" s="51" t="str">
        <f t="shared" si="17"/>
        <v/>
      </c>
      <c r="O56" s="39"/>
      <c r="P56" s="78" t="str">
        <f>IF(ISNUMBER(N56),IF(Consolidado!$H$9="%Chg",N56,T56)+ROW(A56)/100000000000,"")</f>
        <v/>
      </c>
      <c r="Q56" s="17" t="str">
        <f t="shared" si="20"/>
        <v/>
      </c>
      <c r="R56" s="38"/>
      <c r="S56" s="38"/>
      <c r="T56" s="36" t="str">
        <f t="shared" si="21"/>
        <v/>
      </c>
      <c r="U56" s="36" t="str">
        <f t="shared" si="22"/>
        <v/>
      </c>
      <c r="V56" s="36" t="str">
        <f t="shared" si="9"/>
        <v/>
      </c>
      <c r="W56" s="52" t="str">
        <f t="shared" si="10"/>
        <v/>
      </c>
      <c r="X56" s="30"/>
      <c r="Y56" s="53" t="str">
        <f t="shared" si="23"/>
        <v/>
      </c>
      <c r="Z56" s="38"/>
      <c r="AA56" s="95" t="str">
        <f t="shared" si="24"/>
        <v/>
      </c>
      <c r="AB56" s="53" t="str">
        <f t="shared" si="11"/>
        <v/>
      </c>
      <c r="AC56" s="72" t="str">
        <f>IF(ISNUMBER(H56),AB56/Consolidado!$C$16,"")</f>
        <v/>
      </c>
      <c r="AD56" s="30"/>
    </row>
    <row r="57" spans="1:30" x14ac:dyDescent="0.3">
      <c r="A57" s="86"/>
      <c r="B57" s="34"/>
      <c r="C57" s="34"/>
      <c r="D57" s="34"/>
      <c r="E57" s="34"/>
      <c r="F57" s="34"/>
      <c r="G57" s="15" t="str">
        <f t="shared" si="18"/>
        <v/>
      </c>
      <c r="H57" s="16" t="str">
        <f t="shared" si="19"/>
        <v/>
      </c>
      <c r="I57" s="39"/>
      <c r="J57" s="10"/>
      <c r="K57" s="12"/>
      <c r="L57" s="29" t="str">
        <f t="shared" si="16"/>
        <v/>
      </c>
      <c r="M57" s="39"/>
      <c r="N57" s="51" t="str">
        <f t="shared" si="17"/>
        <v/>
      </c>
      <c r="O57" s="39"/>
      <c r="P57" s="78" t="str">
        <f>IF(ISNUMBER(N57),IF(Consolidado!$H$9="%Chg",N57,T57)+ROW(A57)/100000000000,"")</f>
        <v/>
      </c>
      <c r="Q57" s="17" t="str">
        <f t="shared" si="20"/>
        <v/>
      </c>
      <c r="R57" s="38"/>
      <c r="S57" s="38"/>
      <c r="T57" s="36" t="str">
        <f t="shared" si="21"/>
        <v/>
      </c>
      <c r="U57" s="36" t="str">
        <f t="shared" si="22"/>
        <v/>
      </c>
      <c r="V57" s="36" t="str">
        <f t="shared" si="9"/>
        <v/>
      </c>
      <c r="W57" s="52" t="str">
        <f t="shared" si="10"/>
        <v/>
      </c>
      <c r="X57" s="30"/>
      <c r="Y57" s="53" t="str">
        <f t="shared" si="23"/>
        <v/>
      </c>
      <c r="Z57" s="38"/>
      <c r="AA57" s="95" t="str">
        <f t="shared" si="24"/>
        <v/>
      </c>
      <c r="AB57" s="53" t="str">
        <f t="shared" si="11"/>
        <v/>
      </c>
      <c r="AC57" s="72" t="str">
        <f>IF(ISNUMBER(H57),AB57/Consolidado!$C$16,"")</f>
        <v/>
      </c>
      <c r="AD57" s="30"/>
    </row>
    <row r="58" spans="1:30" x14ac:dyDescent="0.3">
      <c r="A58" s="86"/>
      <c r="B58" s="34"/>
      <c r="C58" s="34"/>
      <c r="D58" s="34"/>
      <c r="E58" s="34"/>
      <c r="F58" s="34"/>
      <c r="G58" s="15" t="str">
        <f t="shared" si="18"/>
        <v/>
      </c>
      <c r="H58" s="16" t="str">
        <f t="shared" si="19"/>
        <v/>
      </c>
      <c r="I58" s="39"/>
      <c r="J58" s="10"/>
      <c r="K58" s="12"/>
      <c r="L58" s="29" t="str">
        <f t="shared" si="16"/>
        <v/>
      </c>
      <c r="M58" s="39"/>
      <c r="N58" s="51" t="str">
        <f t="shared" si="17"/>
        <v/>
      </c>
      <c r="O58" s="39"/>
      <c r="P58" s="78" t="str">
        <f>IF(ISNUMBER(N58),IF(Consolidado!$H$9="%Chg",N58,T58)+ROW(A58)/100000000000,"")</f>
        <v/>
      </c>
      <c r="Q58" s="17" t="str">
        <f t="shared" si="20"/>
        <v/>
      </c>
      <c r="R58" s="38"/>
      <c r="S58" s="38"/>
      <c r="T58" s="36" t="str">
        <f t="shared" si="21"/>
        <v/>
      </c>
      <c r="U58" s="36" t="str">
        <f t="shared" si="22"/>
        <v/>
      </c>
      <c r="V58" s="36" t="str">
        <f t="shared" si="9"/>
        <v/>
      </c>
      <c r="W58" s="52" t="str">
        <f t="shared" si="10"/>
        <v/>
      </c>
      <c r="X58" s="30"/>
      <c r="Y58" s="53" t="str">
        <f t="shared" si="23"/>
        <v/>
      </c>
      <c r="Z58" s="38"/>
      <c r="AA58" s="95" t="str">
        <f t="shared" si="24"/>
        <v/>
      </c>
      <c r="AB58" s="53" t="str">
        <f t="shared" si="11"/>
        <v/>
      </c>
      <c r="AC58" s="72" t="str">
        <f>IF(ISNUMBER(H58),AB58/Consolidado!$C$16,"")</f>
        <v/>
      </c>
      <c r="AD58" s="30"/>
    </row>
    <row r="59" spans="1:30" x14ac:dyDescent="0.3">
      <c r="A59" s="86"/>
      <c r="B59" s="34"/>
      <c r="C59" s="34"/>
      <c r="D59" s="34"/>
      <c r="E59" s="34"/>
      <c r="F59" s="34"/>
      <c r="G59" s="15" t="str">
        <f t="shared" si="18"/>
        <v/>
      </c>
      <c r="H59" s="16" t="str">
        <f t="shared" si="19"/>
        <v/>
      </c>
      <c r="I59" s="39"/>
      <c r="J59" s="10"/>
      <c r="K59" s="12"/>
      <c r="L59" s="29" t="str">
        <f t="shared" si="16"/>
        <v/>
      </c>
      <c r="M59" s="39"/>
      <c r="N59" s="51" t="str">
        <f t="shared" si="17"/>
        <v/>
      </c>
      <c r="O59" s="39"/>
      <c r="P59" s="78" t="str">
        <f>IF(ISNUMBER(N59),IF(Consolidado!$H$9="%Chg",N59,T59)+ROW(A59)/100000000000,"")</f>
        <v/>
      </c>
      <c r="Q59" s="17" t="str">
        <f t="shared" si="20"/>
        <v/>
      </c>
      <c r="R59" s="38"/>
      <c r="S59" s="38"/>
      <c r="T59" s="36" t="str">
        <f t="shared" si="21"/>
        <v/>
      </c>
      <c r="U59" s="36" t="str">
        <f t="shared" si="22"/>
        <v/>
      </c>
      <c r="V59" s="36" t="str">
        <f t="shared" si="9"/>
        <v/>
      </c>
      <c r="W59" s="52" t="str">
        <f t="shared" si="10"/>
        <v/>
      </c>
      <c r="X59" s="30"/>
      <c r="Y59" s="53" t="str">
        <f t="shared" si="23"/>
        <v/>
      </c>
      <c r="Z59" s="38"/>
      <c r="AA59" s="95" t="str">
        <f t="shared" si="24"/>
        <v/>
      </c>
      <c r="AB59" s="53" t="str">
        <f t="shared" si="11"/>
        <v/>
      </c>
      <c r="AC59" s="72" t="str">
        <f>IF(ISNUMBER(H59),AB59/Consolidado!$C$16,"")</f>
        <v/>
      </c>
      <c r="AD59" s="30"/>
    </row>
    <row r="60" spans="1:30" x14ac:dyDescent="0.3">
      <c r="A60" s="86"/>
      <c r="B60" s="34"/>
      <c r="C60" s="34"/>
      <c r="D60" s="34"/>
      <c r="E60" s="34"/>
      <c r="F60" s="34"/>
      <c r="G60" s="15" t="str">
        <f t="shared" si="18"/>
        <v/>
      </c>
      <c r="H60" s="16" t="str">
        <f t="shared" si="19"/>
        <v/>
      </c>
      <c r="I60" s="39"/>
      <c r="J60" s="10"/>
      <c r="K60" s="12"/>
      <c r="L60" s="29" t="str">
        <f t="shared" si="16"/>
        <v/>
      </c>
      <c r="M60" s="39"/>
      <c r="N60" s="51" t="str">
        <f t="shared" si="17"/>
        <v/>
      </c>
      <c r="O60" s="39"/>
      <c r="P60" s="78" t="str">
        <f>IF(ISNUMBER(N60),IF(Consolidado!$H$9="%Chg",N60,T60)+ROW(A60)/100000000000,"")</f>
        <v/>
      </c>
      <c r="Q60" s="17" t="str">
        <f t="shared" si="20"/>
        <v/>
      </c>
      <c r="R60" s="38"/>
      <c r="S60" s="38"/>
      <c r="T60" s="36" t="str">
        <f t="shared" si="21"/>
        <v/>
      </c>
      <c r="U60" s="36" t="str">
        <f t="shared" si="22"/>
        <v/>
      </c>
      <c r="V60" s="36" t="str">
        <f t="shared" si="9"/>
        <v/>
      </c>
      <c r="W60" s="52" t="str">
        <f t="shared" si="10"/>
        <v/>
      </c>
      <c r="X60" s="30"/>
      <c r="Y60" s="53" t="str">
        <f t="shared" si="23"/>
        <v/>
      </c>
      <c r="Z60" s="38"/>
      <c r="AA60" s="95" t="str">
        <f t="shared" si="24"/>
        <v/>
      </c>
      <c r="AB60" s="53" t="str">
        <f t="shared" si="11"/>
        <v/>
      </c>
      <c r="AC60" s="72" t="str">
        <f>IF(ISNUMBER(H60),AB60/Consolidado!$C$16,"")</f>
        <v/>
      </c>
      <c r="AD60" s="30"/>
    </row>
    <row r="61" spans="1:30" x14ac:dyDescent="0.3">
      <c r="A61" s="86"/>
      <c r="B61" s="34"/>
      <c r="C61" s="34"/>
      <c r="D61" s="34"/>
      <c r="E61" s="34"/>
      <c r="F61" s="34"/>
      <c r="G61" s="15" t="str">
        <f t="shared" si="18"/>
        <v/>
      </c>
      <c r="H61" s="16" t="str">
        <f t="shared" si="19"/>
        <v/>
      </c>
      <c r="I61" s="39"/>
      <c r="J61" s="10"/>
      <c r="K61" s="12"/>
      <c r="L61" s="29" t="str">
        <f t="shared" si="16"/>
        <v/>
      </c>
      <c r="M61" s="39"/>
      <c r="N61" s="51" t="str">
        <f t="shared" si="17"/>
        <v/>
      </c>
      <c r="O61" s="39"/>
      <c r="P61" s="78" t="str">
        <f>IF(ISNUMBER(N61),IF(Consolidado!$H$9="%Chg",N61,T61)+ROW(A61)/100000000000,"")</f>
        <v/>
      </c>
      <c r="Q61" s="17" t="str">
        <f t="shared" si="20"/>
        <v/>
      </c>
      <c r="R61" s="38"/>
      <c r="S61" s="38"/>
      <c r="T61" s="36" t="str">
        <f t="shared" si="21"/>
        <v/>
      </c>
      <c r="U61" s="36" t="str">
        <f t="shared" si="22"/>
        <v/>
      </c>
      <c r="V61" s="36" t="str">
        <f t="shared" si="9"/>
        <v/>
      </c>
      <c r="W61" s="52" t="str">
        <f t="shared" si="10"/>
        <v/>
      </c>
      <c r="X61" s="30"/>
      <c r="Y61" s="53" t="str">
        <f t="shared" si="23"/>
        <v/>
      </c>
      <c r="Z61" s="38"/>
      <c r="AA61" s="95" t="str">
        <f t="shared" si="24"/>
        <v/>
      </c>
      <c r="AB61" s="53" t="str">
        <f t="shared" si="11"/>
        <v/>
      </c>
      <c r="AC61" s="72" t="str">
        <f>IF(ISNUMBER(H61),AB61/Consolidado!$C$16,"")</f>
        <v/>
      </c>
      <c r="AD61" s="30"/>
    </row>
    <row r="62" spans="1:30" x14ac:dyDescent="0.3">
      <c r="A62" s="86"/>
      <c r="B62" s="34"/>
      <c r="C62" s="34"/>
      <c r="D62" s="34"/>
      <c r="E62" s="34"/>
      <c r="F62" s="34"/>
      <c r="G62" s="15" t="str">
        <f t="shared" si="18"/>
        <v/>
      </c>
      <c r="H62" s="16" t="str">
        <f t="shared" si="19"/>
        <v/>
      </c>
      <c r="I62" s="39"/>
      <c r="J62" s="10"/>
      <c r="K62" s="12"/>
      <c r="L62" s="29" t="str">
        <f t="shared" si="16"/>
        <v/>
      </c>
      <c r="M62" s="39"/>
      <c r="N62" s="51" t="str">
        <f t="shared" si="17"/>
        <v/>
      </c>
      <c r="O62" s="39"/>
      <c r="P62" s="78" t="str">
        <f>IF(ISNUMBER(N62),IF(Consolidado!$H$9="%Chg",N62,T62)+ROW(A62)/100000000000,"")</f>
        <v/>
      </c>
      <c r="Q62" s="17" t="str">
        <f t="shared" si="20"/>
        <v/>
      </c>
      <c r="R62" s="38"/>
      <c r="S62" s="38"/>
      <c r="T62" s="36" t="str">
        <f t="shared" si="21"/>
        <v/>
      </c>
      <c r="U62" s="36" t="str">
        <f t="shared" si="22"/>
        <v/>
      </c>
      <c r="V62" s="36" t="str">
        <f t="shared" si="9"/>
        <v/>
      </c>
      <c r="W62" s="52" t="str">
        <f t="shared" si="10"/>
        <v/>
      </c>
      <c r="X62" s="30"/>
      <c r="Y62" s="53" t="str">
        <f t="shared" si="23"/>
        <v/>
      </c>
      <c r="Z62" s="38"/>
      <c r="AA62" s="95" t="str">
        <f t="shared" si="24"/>
        <v/>
      </c>
      <c r="AB62" s="53" t="str">
        <f t="shared" si="11"/>
        <v/>
      </c>
      <c r="AC62" s="72" t="str">
        <f>IF(ISNUMBER(H62),AB62/Consolidado!$C$16,"")</f>
        <v/>
      </c>
      <c r="AD62" s="30"/>
    </row>
    <row r="63" spans="1:30" x14ac:dyDescent="0.3">
      <c r="A63" s="86"/>
      <c r="B63" s="34"/>
      <c r="C63" s="34"/>
      <c r="D63" s="34"/>
      <c r="E63" s="34"/>
      <c r="F63" s="34"/>
      <c r="G63" s="15" t="str">
        <f t="shared" si="18"/>
        <v/>
      </c>
      <c r="H63" s="16" t="str">
        <f t="shared" si="19"/>
        <v/>
      </c>
      <c r="I63" s="39"/>
      <c r="J63" s="10"/>
      <c r="K63" s="12"/>
      <c r="L63" s="29" t="str">
        <f t="shared" si="16"/>
        <v/>
      </c>
      <c r="M63" s="39"/>
      <c r="N63" s="51" t="str">
        <f t="shared" si="17"/>
        <v/>
      </c>
      <c r="O63" s="39"/>
      <c r="P63" s="78" t="str">
        <f>IF(ISNUMBER(N63),IF(Consolidado!$H$9="%Chg",N63,T63)+ROW(A63)/100000000000,"")</f>
        <v/>
      </c>
      <c r="Q63" s="17" t="str">
        <f t="shared" si="20"/>
        <v/>
      </c>
      <c r="R63" s="38"/>
      <c r="S63" s="38"/>
      <c r="T63" s="36" t="str">
        <f t="shared" si="21"/>
        <v/>
      </c>
      <c r="U63" s="36" t="str">
        <f t="shared" si="22"/>
        <v/>
      </c>
      <c r="V63" s="36" t="str">
        <f t="shared" si="9"/>
        <v/>
      </c>
      <c r="W63" s="52" t="str">
        <f t="shared" si="10"/>
        <v/>
      </c>
      <c r="X63" s="30"/>
      <c r="Y63" s="53" t="str">
        <f t="shared" si="23"/>
        <v/>
      </c>
      <c r="Z63" s="38"/>
      <c r="AA63" s="95" t="str">
        <f t="shared" si="24"/>
        <v/>
      </c>
      <c r="AB63" s="53" t="str">
        <f t="shared" si="11"/>
        <v/>
      </c>
      <c r="AC63" s="72" t="str">
        <f>IF(ISNUMBER(H63),AB63/Consolidado!$C$16,"")</f>
        <v/>
      </c>
      <c r="AD63" s="30"/>
    </row>
    <row r="64" spans="1:30" x14ac:dyDescent="0.3">
      <c r="A64" s="86"/>
      <c r="B64" s="34"/>
      <c r="C64" s="34"/>
      <c r="D64" s="34"/>
      <c r="E64" s="34"/>
      <c r="F64" s="34"/>
      <c r="G64" s="15" t="str">
        <f t="shared" si="18"/>
        <v/>
      </c>
      <c r="H64" s="16" t="str">
        <f t="shared" si="19"/>
        <v/>
      </c>
      <c r="I64" s="39"/>
      <c r="J64" s="10"/>
      <c r="K64" s="12"/>
      <c r="L64" s="29" t="str">
        <f t="shared" si="16"/>
        <v/>
      </c>
      <c r="M64" s="39"/>
      <c r="N64" s="51" t="str">
        <f t="shared" si="17"/>
        <v/>
      </c>
      <c r="O64" s="39"/>
      <c r="P64" s="78" t="str">
        <f>IF(ISNUMBER(N64),IF(Consolidado!$H$9="%Chg",N64,T64)+ROW(A64)/100000000000,"")</f>
        <v/>
      </c>
      <c r="Q64" s="17" t="str">
        <f t="shared" si="20"/>
        <v/>
      </c>
      <c r="R64" s="38"/>
      <c r="S64" s="38"/>
      <c r="T64" s="36" t="str">
        <f t="shared" si="21"/>
        <v/>
      </c>
      <c r="U64" s="36" t="str">
        <f t="shared" si="22"/>
        <v/>
      </c>
      <c r="V64" s="36" t="str">
        <f t="shared" si="9"/>
        <v/>
      </c>
      <c r="W64" s="52" t="str">
        <f t="shared" si="10"/>
        <v/>
      </c>
      <c r="X64" s="30"/>
      <c r="Y64" s="53" t="str">
        <f t="shared" si="23"/>
        <v/>
      </c>
      <c r="Z64" s="38"/>
      <c r="AA64" s="95" t="str">
        <f t="shared" si="24"/>
        <v/>
      </c>
      <c r="AB64" s="53" t="str">
        <f t="shared" si="11"/>
        <v/>
      </c>
      <c r="AC64" s="72" t="str">
        <f>IF(ISNUMBER(H64),AB64/Consolidado!$C$16,"")</f>
        <v/>
      </c>
      <c r="AD64" s="30"/>
    </row>
    <row r="65" spans="1:30" x14ac:dyDescent="0.3">
      <c r="A65" s="86"/>
      <c r="B65" s="34"/>
      <c r="C65" s="34"/>
      <c r="D65" s="34"/>
      <c r="E65" s="34"/>
      <c r="F65" s="34"/>
      <c r="G65" s="15" t="str">
        <f t="shared" si="18"/>
        <v/>
      </c>
      <c r="H65" s="16" t="str">
        <f t="shared" si="19"/>
        <v/>
      </c>
      <c r="I65" s="39"/>
      <c r="J65" s="10"/>
      <c r="K65" s="12"/>
      <c r="L65" s="29" t="str">
        <f t="shared" si="16"/>
        <v/>
      </c>
      <c r="M65" s="39"/>
      <c r="N65" s="51" t="str">
        <f t="shared" si="17"/>
        <v/>
      </c>
      <c r="O65" s="39"/>
      <c r="P65" s="78" t="str">
        <f>IF(ISNUMBER(N65),IF(Consolidado!$H$9="%Chg",N65,T65)+ROW(A65)/100000000000,"")</f>
        <v/>
      </c>
      <c r="Q65" s="17" t="str">
        <f t="shared" si="20"/>
        <v/>
      </c>
      <c r="R65" s="38"/>
      <c r="S65" s="38"/>
      <c r="T65" s="36" t="str">
        <f t="shared" si="21"/>
        <v/>
      </c>
      <c r="U65" s="36" t="str">
        <f t="shared" si="22"/>
        <v/>
      </c>
      <c r="V65" s="36" t="str">
        <f t="shared" si="9"/>
        <v/>
      </c>
      <c r="W65" s="52" t="str">
        <f t="shared" si="10"/>
        <v/>
      </c>
      <c r="X65" s="30"/>
      <c r="Y65" s="53" t="str">
        <f t="shared" si="23"/>
        <v/>
      </c>
      <c r="Z65" s="38"/>
      <c r="AA65" s="95" t="str">
        <f t="shared" si="24"/>
        <v/>
      </c>
      <c r="AB65" s="53" t="str">
        <f t="shared" si="11"/>
        <v/>
      </c>
      <c r="AC65" s="72" t="str">
        <f>IF(ISNUMBER(H65),AB65/Consolidado!$C$16,"")</f>
        <v/>
      </c>
      <c r="AD65" s="30"/>
    </row>
    <row r="66" spans="1:30" x14ac:dyDescent="0.3">
      <c r="A66" s="86"/>
      <c r="B66" s="34"/>
      <c r="C66" s="34"/>
      <c r="D66" s="34"/>
      <c r="E66" s="34"/>
      <c r="F66" s="34"/>
      <c r="G66" s="15" t="str">
        <f t="shared" si="18"/>
        <v/>
      </c>
      <c r="H66" s="16" t="str">
        <f t="shared" si="19"/>
        <v/>
      </c>
      <c r="I66" s="39"/>
      <c r="J66" s="10"/>
      <c r="K66" s="12"/>
      <c r="L66" s="29" t="str">
        <f t="shared" si="16"/>
        <v/>
      </c>
      <c r="M66" s="39"/>
      <c r="N66" s="51" t="str">
        <f t="shared" si="17"/>
        <v/>
      </c>
      <c r="O66" s="39"/>
      <c r="P66" s="78" t="str">
        <f>IF(ISNUMBER(N66),IF(Consolidado!$H$9="%Chg",N66,T66)+ROW(A66)/100000000000,"")</f>
        <v/>
      </c>
      <c r="Q66" s="17" t="str">
        <f t="shared" si="20"/>
        <v/>
      </c>
      <c r="R66" s="38"/>
      <c r="S66" s="38"/>
      <c r="T66" s="36" t="str">
        <f t="shared" si="21"/>
        <v/>
      </c>
      <c r="U66" s="36" t="str">
        <f t="shared" si="22"/>
        <v/>
      </c>
      <c r="V66" s="36" t="str">
        <f t="shared" si="9"/>
        <v/>
      </c>
      <c r="W66" s="52" t="str">
        <f t="shared" si="10"/>
        <v/>
      </c>
      <c r="X66" s="30"/>
      <c r="Y66" s="53" t="str">
        <f t="shared" si="23"/>
        <v/>
      </c>
      <c r="Z66" s="38"/>
      <c r="AA66" s="95" t="str">
        <f t="shared" si="24"/>
        <v/>
      </c>
      <c r="AB66" s="53" t="str">
        <f t="shared" si="11"/>
        <v/>
      </c>
      <c r="AC66" s="72" t="str">
        <f>IF(ISNUMBER(H66),AB66/Consolidado!$C$16,"")</f>
        <v/>
      </c>
      <c r="AD66" s="30"/>
    </row>
    <row r="67" spans="1:30" x14ac:dyDescent="0.3">
      <c r="A67" s="86"/>
      <c r="B67" s="34"/>
      <c r="C67" s="34"/>
      <c r="D67" s="34"/>
      <c r="E67" s="34"/>
      <c r="F67" s="34"/>
      <c r="G67" s="15" t="str">
        <f t="shared" si="18"/>
        <v/>
      </c>
      <c r="H67" s="16" t="str">
        <f t="shared" si="19"/>
        <v/>
      </c>
      <c r="I67" s="39"/>
      <c r="J67" s="10"/>
      <c r="K67" s="12"/>
      <c r="L67" s="29" t="str">
        <f t="shared" si="16"/>
        <v/>
      </c>
      <c r="M67" s="39"/>
      <c r="N67" s="51" t="str">
        <f t="shared" si="17"/>
        <v/>
      </c>
      <c r="O67" s="39"/>
      <c r="P67" s="78" t="str">
        <f>IF(ISNUMBER(N67),IF(Consolidado!$H$9="%Chg",N67,T67)+ROW(A67)/100000000000,"")</f>
        <v/>
      </c>
      <c r="Q67" s="17" t="str">
        <f t="shared" si="20"/>
        <v/>
      </c>
      <c r="R67" s="38"/>
      <c r="S67" s="38"/>
      <c r="T67" s="36" t="str">
        <f t="shared" si="21"/>
        <v/>
      </c>
      <c r="U67" s="36" t="str">
        <f t="shared" si="22"/>
        <v/>
      </c>
      <c r="V67" s="36" t="str">
        <f t="shared" si="9"/>
        <v/>
      </c>
      <c r="W67" s="52" t="str">
        <f t="shared" si="10"/>
        <v/>
      </c>
      <c r="X67" s="30"/>
      <c r="Y67" s="53" t="str">
        <f t="shared" si="23"/>
        <v/>
      </c>
      <c r="Z67" s="38"/>
      <c r="AA67" s="95" t="str">
        <f t="shared" si="24"/>
        <v/>
      </c>
      <c r="AB67" s="53" t="str">
        <f t="shared" si="11"/>
        <v/>
      </c>
      <c r="AC67" s="72" t="str">
        <f>IF(ISNUMBER(H67),AB67/Consolidado!$C$16,"")</f>
        <v/>
      </c>
      <c r="AD67" s="30"/>
    </row>
    <row r="68" spans="1:30" x14ac:dyDescent="0.3">
      <c r="A68" s="86"/>
      <c r="B68" s="34"/>
      <c r="C68" s="34"/>
      <c r="D68" s="34"/>
      <c r="E68" s="34"/>
      <c r="F68" s="34"/>
      <c r="G68" s="15" t="str">
        <f t="shared" si="18"/>
        <v/>
      </c>
      <c r="H68" s="16" t="str">
        <f t="shared" si="19"/>
        <v/>
      </c>
      <c r="I68" s="39"/>
      <c r="J68" s="10"/>
      <c r="K68" s="12"/>
      <c r="L68" s="29" t="str">
        <f t="shared" si="16"/>
        <v/>
      </c>
      <c r="M68" s="39"/>
      <c r="N68" s="51" t="str">
        <f t="shared" si="17"/>
        <v/>
      </c>
      <c r="O68" s="39"/>
      <c r="P68" s="78" t="str">
        <f>IF(ISNUMBER(N68),IF(Consolidado!$H$9="%Chg",N68,T68)+ROW(A68)/100000000000,"")</f>
        <v/>
      </c>
      <c r="Q68" s="17" t="str">
        <f t="shared" si="20"/>
        <v/>
      </c>
      <c r="R68" s="38"/>
      <c r="S68" s="38"/>
      <c r="T68" s="36" t="str">
        <f t="shared" si="21"/>
        <v/>
      </c>
      <c r="U68" s="36" t="str">
        <f t="shared" si="22"/>
        <v/>
      </c>
      <c r="V68" s="36" t="str">
        <f t="shared" si="9"/>
        <v/>
      </c>
      <c r="W68" s="52" t="str">
        <f t="shared" si="10"/>
        <v/>
      </c>
      <c r="X68" s="30"/>
      <c r="Y68" s="53" t="str">
        <f t="shared" si="23"/>
        <v/>
      </c>
      <c r="Z68" s="38"/>
      <c r="AA68" s="95" t="str">
        <f t="shared" si="24"/>
        <v/>
      </c>
      <c r="AB68" s="53" t="str">
        <f t="shared" si="11"/>
        <v/>
      </c>
      <c r="AC68" s="72" t="str">
        <f>IF(ISNUMBER(H68),AB68/Consolidado!$C$16,"")</f>
        <v/>
      </c>
      <c r="AD68" s="30"/>
    </row>
    <row r="69" spans="1:30" x14ac:dyDescent="0.3">
      <c r="A69" s="86"/>
      <c r="B69" s="34"/>
      <c r="C69" s="34"/>
      <c r="D69" s="34"/>
      <c r="E69" s="34"/>
      <c r="F69" s="34"/>
      <c r="G69" s="15" t="str">
        <f t="shared" si="18"/>
        <v/>
      </c>
      <c r="H69" s="16" t="str">
        <f t="shared" si="19"/>
        <v/>
      </c>
      <c r="I69" s="39"/>
      <c r="J69" s="10"/>
      <c r="K69" s="12"/>
      <c r="L69" s="29" t="str">
        <f t="shared" si="16"/>
        <v/>
      </c>
      <c r="M69" s="39"/>
      <c r="N69" s="51" t="str">
        <f t="shared" si="17"/>
        <v/>
      </c>
      <c r="O69" s="39"/>
      <c r="P69" s="78" t="str">
        <f>IF(ISNUMBER(N69),IF(Consolidado!$H$9="%Chg",N69,T69)+ROW(A69)/100000000000,"")</f>
        <v/>
      </c>
      <c r="Q69" s="17" t="str">
        <f t="shared" si="20"/>
        <v/>
      </c>
      <c r="R69" s="38"/>
      <c r="S69" s="38"/>
      <c r="T69" s="36" t="str">
        <f t="shared" si="21"/>
        <v/>
      </c>
      <c r="U69" s="36" t="str">
        <f t="shared" si="22"/>
        <v/>
      </c>
      <c r="V69" s="36" t="str">
        <f t="shared" si="9"/>
        <v/>
      </c>
      <c r="W69" s="52" t="str">
        <f t="shared" si="10"/>
        <v/>
      </c>
      <c r="X69" s="30"/>
      <c r="Y69" s="53" t="str">
        <f t="shared" si="23"/>
        <v/>
      </c>
      <c r="Z69" s="38"/>
      <c r="AA69" s="95" t="str">
        <f t="shared" si="24"/>
        <v/>
      </c>
      <c r="AB69" s="53" t="str">
        <f t="shared" si="11"/>
        <v/>
      </c>
      <c r="AC69" s="72" t="str">
        <f>IF(ISNUMBER(H69),AB69/Consolidado!$C$16,"")</f>
        <v/>
      </c>
      <c r="AD69" s="30"/>
    </row>
    <row r="70" spans="1:30" x14ac:dyDescent="0.3">
      <c r="A70" s="86"/>
      <c r="B70" s="34"/>
      <c r="C70" s="34"/>
      <c r="D70" s="34"/>
      <c r="E70" s="34"/>
      <c r="F70" s="34"/>
      <c r="G70" s="15" t="str">
        <f t="shared" si="18"/>
        <v/>
      </c>
      <c r="H70" s="16" t="str">
        <f t="shared" si="19"/>
        <v/>
      </c>
      <c r="I70" s="39"/>
      <c r="J70" s="10"/>
      <c r="K70" s="12"/>
      <c r="L70" s="29" t="str">
        <f t="shared" si="16"/>
        <v/>
      </c>
      <c r="M70" s="39"/>
      <c r="N70" s="51" t="str">
        <f t="shared" si="17"/>
        <v/>
      </c>
      <c r="O70" s="39"/>
      <c r="P70" s="78" t="str">
        <f>IF(ISNUMBER(N70),IF(Consolidado!$H$9="%Chg",N70,T70)+ROW(A70)/100000000000,"")</f>
        <v/>
      </c>
      <c r="Q70" s="17" t="str">
        <f t="shared" ref="Q70:Q74" si="25">IF(ISNUMBER(P70),RANK(P70,$P$6:$P$74,0),"")</f>
        <v/>
      </c>
      <c r="R70" s="38"/>
      <c r="S70" s="38"/>
      <c r="T70" s="36" t="str">
        <f t="shared" si="21"/>
        <v/>
      </c>
      <c r="U70" s="36" t="str">
        <f t="shared" si="22"/>
        <v/>
      </c>
      <c r="V70" s="36" t="str">
        <f t="shared" si="9"/>
        <v/>
      </c>
      <c r="W70" s="52" t="str">
        <f t="shared" si="10"/>
        <v/>
      </c>
      <c r="X70" s="30"/>
      <c r="Y70" s="53" t="str">
        <f t="shared" si="23"/>
        <v/>
      </c>
      <c r="Z70" s="38"/>
      <c r="AA70" s="95" t="str">
        <f t="shared" si="24"/>
        <v/>
      </c>
      <c r="AB70" s="53" t="str">
        <f t="shared" si="11"/>
        <v/>
      </c>
      <c r="AC70" s="72" t="str">
        <f>IF(ISNUMBER(H70),AB70/Consolidado!$C$16,"")</f>
        <v/>
      </c>
      <c r="AD70" s="30"/>
    </row>
    <row r="71" spans="1:30" x14ac:dyDescent="0.3">
      <c r="A71" s="86"/>
      <c r="B71" s="34"/>
      <c r="C71" s="34"/>
      <c r="D71" s="34"/>
      <c r="E71" s="34"/>
      <c r="F71" s="34"/>
      <c r="G71" s="15" t="str">
        <f t="shared" si="18"/>
        <v/>
      </c>
      <c r="H71" s="16" t="str">
        <f t="shared" si="19"/>
        <v/>
      </c>
      <c r="I71" s="39"/>
      <c r="J71" s="10"/>
      <c r="K71" s="12"/>
      <c r="L71" s="29" t="str">
        <f t="shared" si="16"/>
        <v/>
      </c>
      <c r="M71" s="39"/>
      <c r="N71" s="51" t="str">
        <f t="shared" si="17"/>
        <v/>
      </c>
      <c r="O71" s="39"/>
      <c r="P71" s="78" t="str">
        <f>IF(ISNUMBER(N71),IF(Consolidado!$H$9="%Chg",N71,T71)+ROW(A71)/100000000000,"")</f>
        <v/>
      </c>
      <c r="Q71" s="17" t="str">
        <f t="shared" si="25"/>
        <v/>
      </c>
      <c r="R71" s="38"/>
      <c r="S71" s="38"/>
      <c r="T71" s="36" t="str">
        <f t="shared" si="21"/>
        <v/>
      </c>
      <c r="U71" s="36" t="str">
        <f t="shared" si="22"/>
        <v/>
      </c>
      <c r="V71" s="36" t="str">
        <f t="shared" ref="V71:V74" si="26">IF(ISNUMBER(H71),IF(OR(AND(ISNUMBER(E71),ISNUMBER(F71)),AND(ISNUMBER(C71),ISNUMBER(C71))),C71*(H71-D71)-E71*(H71-F71),""),"")</f>
        <v/>
      </c>
      <c r="W71" s="52" t="str">
        <f t="shared" ref="W71:W74" si="27">IF(ISNUMBER(H71),SUM(T71:V71),"")</f>
        <v/>
      </c>
      <c r="X71" s="30"/>
      <c r="Y71" s="53" t="str">
        <f t="shared" si="23"/>
        <v/>
      </c>
      <c r="Z71" s="38"/>
      <c r="AA71" s="95" t="str">
        <f t="shared" si="24"/>
        <v/>
      </c>
      <c r="AB71" s="53" t="str">
        <f t="shared" ref="AB71:AB74" si="28">IF(ISNUMBER(H71),AA71*H71,"")</f>
        <v/>
      </c>
      <c r="AC71" s="72" t="str">
        <f>IF(ISNUMBER(H71),AB71/Consolidado!$C$16,"")</f>
        <v/>
      </c>
      <c r="AD71" s="30"/>
    </row>
    <row r="72" spans="1:30" x14ac:dyDescent="0.3">
      <c r="A72" s="86"/>
      <c r="B72" s="34"/>
      <c r="C72" s="34"/>
      <c r="D72" s="34"/>
      <c r="E72" s="34"/>
      <c r="F72" s="34"/>
      <c r="G72" s="15" t="str">
        <f t="shared" si="18"/>
        <v/>
      </c>
      <c r="H72" s="16" t="str">
        <f t="shared" si="19"/>
        <v/>
      </c>
      <c r="I72" s="39"/>
      <c r="J72" s="10"/>
      <c r="K72" s="12"/>
      <c r="L72" s="29" t="str">
        <f t="shared" si="16"/>
        <v/>
      </c>
      <c r="M72" s="39"/>
      <c r="N72" s="51" t="str">
        <f t="shared" si="17"/>
        <v/>
      </c>
      <c r="O72" s="39"/>
      <c r="P72" s="78" t="str">
        <f>IF(ISNUMBER(N72),IF(Consolidado!$H$9="%Chg",N72,T72)+ROW(A72)/100000000000,"")</f>
        <v/>
      </c>
      <c r="Q72" s="17" t="str">
        <f t="shared" si="25"/>
        <v/>
      </c>
      <c r="R72" s="38"/>
      <c r="S72" s="38"/>
      <c r="T72" s="36" t="str">
        <f t="shared" si="21"/>
        <v/>
      </c>
      <c r="U72" s="36" t="str">
        <f t="shared" si="22"/>
        <v/>
      </c>
      <c r="V72" s="36" t="str">
        <f t="shared" si="26"/>
        <v/>
      </c>
      <c r="W72" s="52" t="str">
        <f t="shared" si="27"/>
        <v/>
      </c>
      <c r="X72" s="30"/>
      <c r="Y72" s="53" t="str">
        <f t="shared" si="23"/>
        <v/>
      </c>
      <c r="Z72" s="38"/>
      <c r="AA72" s="95" t="str">
        <f t="shared" si="24"/>
        <v/>
      </c>
      <c r="AB72" s="53" t="str">
        <f t="shared" si="28"/>
        <v/>
      </c>
      <c r="AC72" s="72" t="str">
        <f>IF(ISNUMBER(H72),AB72/Consolidado!$C$16,"")</f>
        <v/>
      </c>
      <c r="AD72" s="30"/>
    </row>
    <row r="73" spans="1:30" x14ac:dyDescent="0.3">
      <c r="A73" s="86"/>
      <c r="B73" s="35"/>
      <c r="C73" s="35"/>
      <c r="D73" s="35"/>
      <c r="E73" s="35"/>
      <c r="F73" s="35"/>
      <c r="G73" s="15" t="str">
        <f t="shared" si="18"/>
        <v/>
      </c>
      <c r="H73" s="16" t="str">
        <f t="shared" si="19"/>
        <v/>
      </c>
      <c r="I73" s="39"/>
      <c r="J73" s="10"/>
      <c r="K73" s="12"/>
      <c r="L73" s="29" t="str">
        <f t="shared" si="16"/>
        <v/>
      </c>
      <c r="M73" s="39"/>
      <c r="N73" s="51" t="str">
        <f t="shared" si="17"/>
        <v/>
      </c>
      <c r="O73" s="39"/>
      <c r="P73" s="78" t="str">
        <f>IF(ISNUMBER(N73),IF(Consolidado!$H$9="%Chg",N73,T73)+ROW(A73)/100000000000,"")</f>
        <v/>
      </c>
      <c r="Q73" s="17" t="str">
        <f t="shared" si="25"/>
        <v/>
      </c>
      <c r="R73" s="38"/>
      <c r="S73" s="38"/>
      <c r="T73" s="36" t="str">
        <f t="shared" si="21"/>
        <v/>
      </c>
      <c r="U73" s="36" t="str">
        <f t="shared" si="22"/>
        <v/>
      </c>
      <c r="V73" s="36" t="str">
        <f t="shared" si="26"/>
        <v/>
      </c>
      <c r="W73" s="52" t="str">
        <f t="shared" si="27"/>
        <v/>
      </c>
      <c r="X73" s="30"/>
      <c r="Y73" s="53" t="str">
        <f t="shared" si="23"/>
        <v/>
      </c>
      <c r="Z73" s="38"/>
      <c r="AA73" s="95" t="str">
        <f t="shared" si="24"/>
        <v/>
      </c>
      <c r="AB73" s="53" t="str">
        <f t="shared" si="28"/>
        <v/>
      </c>
      <c r="AC73" s="72" t="str">
        <f>IF(ISNUMBER(H73),AB73/Consolidado!$C$16,"")</f>
        <v/>
      </c>
      <c r="AD73" s="30"/>
    </row>
    <row r="74" spans="1:30" x14ac:dyDescent="0.3">
      <c r="A74" s="86"/>
      <c r="B74" s="35"/>
      <c r="C74" s="35"/>
      <c r="D74" s="35"/>
      <c r="E74" s="35"/>
      <c r="F74" s="35"/>
      <c r="G74" s="15" t="str">
        <f t="shared" si="18"/>
        <v/>
      </c>
      <c r="H74" s="16" t="str">
        <f t="shared" si="19"/>
        <v/>
      </c>
      <c r="I74" s="39"/>
      <c r="J74" s="10"/>
      <c r="K74" s="12"/>
      <c r="L74" s="29" t="str">
        <f t="shared" si="16"/>
        <v/>
      </c>
      <c r="M74" s="39"/>
      <c r="N74" s="51" t="str">
        <f t="shared" si="17"/>
        <v/>
      </c>
      <c r="O74" s="39"/>
      <c r="P74" s="78" t="str">
        <f>IF(ISNUMBER(N74),IF(Consolidado!$H$9="%Chg",N74,T74)+ROW(A74)/100000000000,"")</f>
        <v/>
      </c>
      <c r="Q74" s="17" t="str">
        <f t="shared" si="25"/>
        <v/>
      </c>
      <c r="R74" s="38"/>
      <c r="S74" s="38"/>
      <c r="T74" s="36" t="str">
        <f t="shared" si="21"/>
        <v/>
      </c>
      <c r="U74" s="36" t="str">
        <f t="shared" si="22"/>
        <v/>
      </c>
      <c r="V74" s="36" t="str">
        <f t="shared" si="26"/>
        <v/>
      </c>
      <c r="W74" s="52" t="str">
        <f t="shared" si="27"/>
        <v/>
      </c>
      <c r="X74" s="30"/>
      <c r="Y74" s="53" t="str">
        <f t="shared" si="23"/>
        <v/>
      </c>
      <c r="Z74" s="38"/>
      <c r="AA74" s="95" t="str">
        <f t="shared" si="24"/>
        <v/>
      </c>
      <c r="AB74" s="53" t="str">
        <f t="shared" si="28"/>
        <v/>
      </c>
      <c r="AC74" s="72" t="str">
        <f>IF(ISNUMBER(H74),AB74/Consolidado!$C$16,"")</f>
        <v/>
      </c>
      <c r="AD74" s="30"/>
    </row>
  </sheetData>
  <mergeCells count="3">
    <mergeCell ref="J3:K4"/>
    <mergeCell ref="AE12:AH13"/>
    <mergeCell ref="AE11:AG11"/>
  </mergeCells>
  <conditionalFormatting sqref="N6:O74">
    <cfRule type="iconSet" priority="9">
      <iconSet iconSet="3Arrows">
        <cfvo type="percent" val="0"/>
        <cfvo type="num" val="0"/>
        <cfvo type="num" val="0"/>
      </iconSet>
    </cfRule>
  </conditionalFormatting>
  <conditionalFormatting sqref="I6:I74">
    <cfRule type="iconSet" priority="2">
      <iconSet iconSet="3Arrows">
        <cfvo type="percent" val="0"/>
        <cfvo type="num" val="0"/>
        <cfvo type="num" val="0"/>
      </iconSet>
    </cfRule>
  </conditionalFormatting>
  <conditionalFormatting sqref="M6:M74">
    <cfRule type="iconSet" priority="1">
      <iconSet iconSet="3Arrows">
        <cfvo type="percent" val="0"/>
        <cfvo type="num" val="0"/>
        <cfvo type="num" val="0"/>
      </iconSe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1" r:id="rId3" name="Button 7">
              <controlPr defaultSize="0" print="0" autoFill="0" autoPict="0" macro="[0]!Refresh">
                <anchor moveWithCells="1" sizeWithCells="1">
                  <from>
                    <xdr:col>0</xdr:col>
                    <xdr:colOff>45720</xdr:colOff>
                    <xdr:row>2</xdr:row>
                    <xdr:rowOff>30480</xdr:rowOff>
                  </from>
                  <to>
                    <xdr:col>0</xdr:col>
                    <xdr:colOff>952500</xdr:colOff>
                    <xdr:row>3</xdr:row>
                    <xdr:rowOff>137160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4082D-2F7A-4722-A8DE-E01EF79699E9}">
  <sheetPr codeName="Sheet3">
    <tabColor theme="3"/>
  </sheetPr>
  <dimension ref="A1:J194"/>
  <sheetViews>
    <sheetView showGridLines="0" workbookViewId="0">
      <selection activeCell="C3" sqref="C3"/>
    </sheetView>
  </sheetViews>
  <sheetFormatPr defaultRowHeight="15" customHeight="1" x14ac:dyDescent="0.3"/>
  <cols>
    <col min="1" max="1" width="57.33203125" customWidth="1"/>
    <col min="3" max="3" width="14.21875" style="97" bestFit="1" customWidth="1"/>
    <col min="4" max="4" width="13.21875" style="97" customWidth="1"/>
    <col min="5" max="5" width="10.33203125" style="99" customWidth="1"/>
    <col min="6" max="7" width="12.77734375" style="97" bestFit="1" customWidth="1"/>
    <col min="8" max="8" width="6" style="99" customWidth="1"/>
    <col min="9" max="9" width="13.6640625" style="97" customWidth="1"/>
    <col min="10" max="10" width="17" style="97" bestFit="1" customWidth="1"/>
  </cols>
  <sheetData>
    <row r="1" spans="1:10" ht="15" customHeight="1" x14ac:dyDescent="0.3">
      <c r="B1" s="96"/>
      <c r="D1" s="98"/>
      <c r="F1" s="118" t="s">
        <v>38</v>
      </c>
      <c r="G1" s="118"/>
      <c r="I1" s="118" t="s">
        <v>39</v>
      </c>
      <c r="J1" s="118"/>
    </row>
    <row r="2" spans="1:10" ht="15" customHeight="1" x14ac:dyDescent="0.3">
      <c r="A2" t="s">
        <v>31</v>
      </c>
      <c r="B2" s="96" t="s">
        <v>10</v>
      </c>
      <c r="C2" s="103" t="s">
        <v>1</v>
      </c>
      <c r="D2" s="102" t="s">
        <v>2</v>
      </c>
      <c r="F2" s="100" t="s">
        <v>1</v>
      </c>
      <c r="G2" s="101" t="s">
        <v>2</v>
      </c>
      <c r="I2" s="100" t="s">
        <v>35</v>
      </c>
      <c r="J2" s="101" t="s">
        <v>36</v>
      </c>
    </row>
    <row r="3" spans="1:10" ht="15" customHeight="1" x14ac:dyDescent="0.3">
      <c r="A3" s="105" t="e" vm="2">
        <v>#VALUE!</v>
      </c>
      <c r="B3" s="104" t="s">
        <v>37</v>
      </c>
      <c r="C3" s="103">
        <f>IF(LEN(B3)&gt;1,IF(ISNUMBER(F3),F3,I3),"")</f>
        <v>34.64</v>
      </c>
      <c r="D3" s="102">
        <f>IF(LEN(B3)&gt;1,IF(ISNUMBER(G3),G3,J3),"")</f>
        <v>34.28</v>
      </c>
      <c r="F3" s="103">
        <f>IF(LEN(B3)&gt;1,_FV(A3,"Previous close",TRUE),"")</f>
        <v>34.64</v>
      </c>
      <c r="G3" s="102">
        <f>IF(LEN(B3)&gt;1,_FV(A3,"Price"),"")</f>
        <v>34.28</v>
      </c>
      <c r="I3" s="103">
        <v>34.64</v>
      </c>
      <c r="J3" s="102">
        <v>34.28</v>
      </c>
    </row>
    <row r="4" spans="1:10" ht="15" customHeight="1" x14ac:dyDescent="0.3">
      <c r="A4" s="105" t="e" vm="3">
        <v>#VALUE!</v>
      </c>
      <c r="B4" s="104" t="s">
        <v>42</v>
      </c>
      <c r="C4" s="102">
        <f t="shared" ref="C4:C16" si="0">IF(LEN(B4)&gt;1,IF(ISNUMBER(F4),F4,I4),"")</f>
        <v>48.1</v>
      </c>
      <c r="D4" s="103">
        <f t="shared" ref="D4:D16" si="1">IF(LEN(B4)&gt;1,IF(ISNUMBER(G4),G4,J4),"")</f>
        <v>46.93</v>
      </c>
      <c r="F4" s="103">
        <f t="shared" ref="F4:F16" si="2">IF(LEN(B4)&gt;1,_FV(A4,"Previous close",TRUE),"")</f>
        <v>48.1</v>
      </c>
      <c r="G4" s="102">
        <f t="shared" ref="G4:G16" si="3">IF(LEN(B4)&gt;1,_FV(A4,"Price"),"")</f>
        <v>46.93</v>
      </c>
      <c r="I4" s="103">
        <v>48.1</v>
      </c>
      <c r="J4" s="102">
        <v>47.07</v>
      </c>
    </row>
    <row r="5" spans="1:10" ht="15" customHeight="1" x14ac:dyDescent="0.3">
      <c r="A5" s="105" t="e" vm="4">
        <v>#VALUE!</v>
      </c>
      <c r="B5" s="104" t="s">
        <v>33</v>
      </c>
      <c r="C5" s="102">
        <f t="shared" si="0"/>
        <v>34.25</v>
      </c>
      <c r="D5" s="103">
        <f t="shared" si="1"/>
        <v>33.81</v>
      </c>
      <c r="F5" s="103">
        <f t="shared" si="2"/>
        <v>34.25</v>
      </c>
      <c r="G5" s="102">
        <f t="shared" si="3"/>
        <v>33.81</v>
      </c>
      <c r="I5" s="103">
        <v>34.25</v>
      </c>
      <c r="J5" s="102">
        <v>33.94</v>
      </c>
    </row>
    <row r="6" spans="1:10" ht="15" customHeight="1" x14ac:dyDescent="0.3">
      <c r="A6" s="105" t="e" vm="5">
        <v>#VALUE!</v>
      </c>
      <c r="B6" s="104" t="s">
        <v>43</v>
      </c>
      <c r="C6" s="102">
        <f t="shared" si="0"/>
        <v>27.48</v>
      </c>
      <c r="D6" s="103">
        <f t="shared" si="1"/>
        <v>27.27</v>
      </c>
      <c r="F6" s="103">
        <f t="shared" si="2"/>
        <v>27.48</v>
      </c>
      <c r="G6" s="102">
        <f t="shared" si="3"/>
        <v>27.27</v>
      </c>
      <c r="I6" s="103">
        <v>27.48</v>
      </c>
      <c r="J6" s="102">
        <v>27.3</v>
      </c>
    </row>
    <row r="7" spans="1:10" ht="15" customHeight="1" x14ac:dyDescent="0.3">
      <c r="A7" s="105" t="e" vm="6">
        <v>#VALUE!</v>
      </c>
      <c r="B7" s="104" t="s">
        <v>44</v>
      </c>
      <c r="C7" s="102">
        <f t="shared" si="0"/>
        <v>44.86</v>
      </c>
      <c r="D7" s="103">
        <f t="shared" si="1"/>
        <v>44.3</v>
      </c>
      <c r="F7" s="103">
        <f t="shared" si="2"/>
        <v>44.86</v>
      </c>
      <c r="G7" s="102">
        <f t="shared" si="3"/>
        <v>44.3</v>
      </c>
      <c r="I7" s="103">
        <v>44.86</v>
      </c>
      <c r="J7" s="102">
        <v>44.21</v>
      </c>
    </row>
    <row r="8" spans="1:10" ht="15" customHeight="1" x14ac:dyDescent="0.3">
      <c r="A8" s="105" t="e" vm="7">
        <v>#VALUE!</v>
      </c>
      <c r="B8" s="104" t="s">
        <v>34</v>
      </c>
      <c r="C8" s="102">
        <f t="shared" si="0"/>
        <v>30.45</v>
      </c>
      <c r="D8" s="103">
        <f t="shared" si="1"/>
        <v>30.06</v>
      </c>
      <c r="F8" s="103">
        <f t="shared" si="2"/>
        <v>30.45</v>
      </c>
      <c r="G8" s="102">
        <f t="shared" si="3"/>
        <v>30.06</v>
      </c>
      <c r="I8" s="103">
        <v>30.45</v>
      </c>
      <c r="J8" s="102">
        <v>30.17</v>
      </c>
    </row>
    <row r="9" spans="1:10" ht="15" customHeight="1" x14ac:dyDescent="0.3">
      <c r="A9" s="105" t="e" vm="8">
        <v>#VALUE!</v>
      </c>
      <c r="B9" s="104" t="s">
        <v>32</v>
      </c>
      <c r="C9" s="102">
        <f t="shared" si="0"/>
        <v>19.41</v>
      </c>
      <c r="D9" s="103">
        <f t="shared" si="1"/>
        <v>19.350000000000001</v>
      </c>
      <c r="F9" s="103">
        <f t="shared" si="2"/>
        <v>19.41</v>
      </c>
      <c r="G9" s="103">
        <f t="shared" si="3"/>
        <v>19.350000000000001</v>
      </c>
      <c r="I9" s="103">
        <v>19.41</v>
      </c>
      <c r="J9" s="103">
        <v>19.22</v>
      </c>
    </row>
    <row r="10" spans="1:10" ht="15" customHeight="1" x14ac:dyDescent="0.3">
      <c r="A10" s="105" t="e" vm="9">
        <v>#VALUE!</v>
      </c>
      <c r="B10" s="104" t="s">
        <v>45</v>
      </c>
      <c r="C10" s="102">
        <f t="shared" si="0"/>
        <v>47.28</v>
      </c>
      <c r="D10" s="103">
        <f t="shared" si="1"/>
        <v>45.84</v>
      </c>
      <c r="F10" s="103">
        <f t="shared" si="2"/>
        <v>47.28</v>
      </c>
      <c r="G10" s="103">
        <f t="shared" si="3"/>
        <v>45.84</v>
      </c>
      <c r="I10" s="103">
        <v>47.28</v>
      </c>
      <c r="J10" s="103">
        <v>45.9</v>
      </c>
    </row>
    <row r="11" spans="1:10" ht="15" customHeight="1" x14ac:dyDescent="0.3">
      <c r="A11" s="105" t="e" vm="10">
        <v>#VALUE!</v>
      </c>
      <c r="B11" s="104" t="s">
        <v>46</v>
      </c>
      <c r="C11" s="103">
        <f t="shared" si="0"/>
        <v>13.1</v>
      </c>
      <c r="D11" s="103">
        <f t="shared" si="1"/>
        <v>13.06</v>
      </c>
      <c r="F11" s="103">
        <f t="shared" si="2"/>
        <v>13.1</v>
      </c>
      <c r="G11" s="103">
        <f t="shared" si="3"/>
        <v>13.06</v>
      </c>
      <c r="I11" s="103">
        <v>13.1</v>
      </c>
      <c r="J11" s="103">
        <v>13.01</v>
      </c>
    </row>
    <row r="12" spans="1:10" ht="15" customHeight="1" x14ac:dyDescent="0.3">
      <c r="A12" s="105" t="e" vm="11">
        <v>#VALUE!</v>
      </c>
      <c r="B12" s="104" t="s">
        <v>47</v>
      </c>
      <c r="C12" s="103">
        <f t="shared" si="0"/>
        <v>30.7</v>
      </c>
      <c r="D12" s="103">
        <f t="shared" si="1"/>
        <v>32.880000000000003</v>
      </c>
      <c r="F12" s="103">
        <f t="shared" si="2"/>
        <v>30.7</v>
      </c>
      <c r="G12" s="103">
        <f t="shared" si="3"/>
        <v>32.880000000000003</v>
      </c>
      <c r="I12" s="103">
        <v>30.7</v>
      </c>
      <c r="J12" s="103">
        <v>31.98</v>
      </c>
    </row>
    <row r="13" spans="1:10" ht="15" customHeight="1" x14ac:dyDescent="0.3">
      <c r="A13" s="105" t="e" vm="12">
        <v>#VALUE!</v>
      </c>
      <c r="B13" s="104" t="s">
        <v>48</v>
      </c>
      <c r="C13" s="103">
        <f t="shared" si="0"/>
        <v>49.45</v>
      </c>
      <c r="D13" s="103">
        <f t="shared" si="1"/>
        <v>49.5</v>
      </c>
      <c r="F13" s="103">
        <f t="shared" si="2"/>
        <v>49.45</v>
      </c>
      <c r="G13" s="103">
        <f t="shared" si="3"/>
        <v>49.5</v>
      </c>
      <c r="I13" s="103">
        <v>49.45</v>
      </c>
      <c r="J13" s="103">
        <v>49.02</v>
      </c>
    </row>
    <row r="14" spans="1:10" ht="15" customHeight="1" x14ac:dyDescent="0.3">
      <c r="A14" s="105" t="e" vm="13">
        <v>#VALUE!</v>
      </c>
      <c r="B14" s="104" t="s">
        <v>49</v>
      </c>
      <c r="C14" s="103">
        <f t="shared" si="0"/>
        <v>31.64</v>
      </c>
      <c r="D14" s="103">
        <f t="shared" si="1"/>
        <v>31.29</v>
      </c>
      <c r="F14" s="103">
        <f t="shared" si="2"/>
        <v>31.64</v>
      </c>
      <c r="G14" s="103">
        <f t="shared" si="3"/>
        <v>31.29</v>
      </c>
      <c r="I14" s="103">
        <v>31.64</v>
      </c>
      <c r="J14" s="103">
        <v>31.38</v>
      </c>
    </row>
    <row r="15" spans="1:10" ht="15" customHeight="1" x14ac:dyDescent="0.3">
      <c r="A15" s="105" t="e" vm="14">
        <v>#VALUE!</v>
      </c>
      <c r="B15" s="104" t="s">
        <v>50</v>
      </c>
      <c r="C15" s="103">
        <f t="shared" si="0"/>
        <v>111.88</v>
      </c>
      <c r="D15" s="103">
        <f t="shared" si="1"/>
        <v>110.4</v>
      </c>
      <c r="F15" s="103">
        <f t="shared" si="2"/>
        <v>111.88</v>
      </c>
      <c r="G15" s="103">
        <f t="shared" si="3"/>
        <v>110.4</v>
      </c>
      <c r="I15" s="103">
        <v>111.88</v>
      </c>
      <c r="J15" s="103">
        <v>109.99</v>
      </c>
    </row>
    <row r="16" spans="1:10" ht="15" customHeight="1" x14ac:dyDescent="0.3">
      <c r="A16" s="105" t="e" vm="15">
        <v>#VALUE!</v>
      </c>
      <c r="B16" s="104" t="s">
        <v>51</v>
      </c>
      <c r="C16" s="103">
        <f t="shared" si="0"/>
        <v>38.75</v>
      </c>
      <c r="D16" s="103">
        <f t="shared" si="1"/>
        <v>39.840000000000003</v>
      </c>
      <c r="F16" s="103">
        <f t="shared" si="2"/>
        <v>38.75</v>
      </c>
      <c r="G16" s="103">
        <f t="shared" si="3"/>
        <v>39.840000000000003</v>
      </c>
      <c r="I16" s="103">
        <v>38.75</v>
      </c>
      <c r="J16" s="103">
        <v>39.92</v>
      </c>
    </row>
    <row r="17" spans="1:10" ht="15" customHeight="1" x14ac:dyDescent="0.3">
      <c r="A17" s="104" t="e" vm="16">
        <v>#VALUE!</v>
      </c>
      <c r="B17" s="104" t="s">
        <v>52</v>
      </c>
      <c r="C17" s="103">
        <f t="shared" ref="C17:C80" si="4">IF(LEN(B17)&gt;1,IF(ISNUMBER(F17),F17,I17),"")</f>
        <v>44.44</v>
      </c>
      <c r="D17" s="103">
        <f t="shared" ref="D17:D80" si="5">IF(LEN(B17)&gt;1,IF(ISNUMBER(G17),G17,J17),"")</f>
        <v>43.6</v>
      </c>
      <c r="F17" s="103">
        <f t="shared" ref="F17:F80" si="6">IF(LEN(B17)&gt;1,_FV(A17,"Previous close",TRUE),"")</f>
        <v>44.44</v>
      </c>
      <c r="G17" s="103">
        <f t="shared" ref="G17:G80" si="7">IF(LEN(B17)&gt;1,_FV(A17,"Price"),"")</f>
        <v>43.6</v>
      </c>
      <c r="I17" s="103">
        <v>44.44</v>
      </c>
      <c r="J17" s="103">
        <v>43.86</v>
      </c>
    </row>
    <row r="18" spans="1:10" ht="15" customHeight="1" x14ac:dyDescent="0.3">
      <c r="A18" s="104" t="e" vm="17">
        <v>#VALUE!</v>
      </c>
      <c r="B18" s="104" t="s">
        <v>53</v>
      </c>
      <c r="C18" s="103">
        <f t="shared" si="4"/>
        <v>23.92</v>
      </c>
      <c r="D18" s="103">
        <f t="shared" si="5"/>
        <v>23.59</v>
      </c>
      <c r="F18" s="103">
        <f t="shared" si="6"/>
        <v>23.92</v>
      </c>
      <c r="G18" s="103">
        <f t="shared" si="7"/>
        <v>23.59</v>
      </c>
      <c r="I18" s="103">
        <v>23.92</v>
      </c>
      <c r="J18" s="103">
        <v>23.5</v>
      </c>
    </row>
    <row r="19" spans="1:10" ht="15" customHeight="1" x14ac:dyDescent="0.3">
      <c r="A19" s="104" t="e" vm="18">
        <v>#VALUE!</v>
      </c>
      <c r="B19" s="104" t="s">
        <v>54</v>
      </c>
      <c r="C19" s="103">
        <f t="shared" si="4"/>
        <v>54</v>
      </c>
      <c r="D19" s="103">
        <f t="shared" si="5"/>
        <v>53.98</v>
      </c>
      <c r="F19" s="103">
        <f t="shared" si="6"/>
        <v>54</v>
      </c>
      <c r="G19" s="103">
        <f t="shared" si="7"/>
        <v>53.98</v>
      </c>
      <c r="I19" s="103">
        <v>54</v>
      </c>
      <c r="J19" s="103">
        <v>54.04</v>
      </c>
    </row>
    <row r="20" spans="1:10" ht="15" customHeight="1" x14ac:dyDescent="0.3">
      <c r="A20" s="104" t="e" vm="19">
        <v>#VALUE!</v>
      </c>
      <c r="B20" s="104" t="s">
        <v>55</v>
      </c>
      <c r="C20" s="103">
        <f t="shared" si="4"/>
        <v>34.53</v>
      </c>
      <c r="D20" s="103">
        <f t="shared" si="5"/>
        <v>34.479999999999997</v>
      </c>
      <c r="F20" s="103">
        <f t="shared" si="6"/>
        <v>34.53</v>
      </c>
      <c r="G20" s="103">
        <f t="shared" si="7"/>
        <v>34.479999999999997</v>
      </c>
      <c r="I20" s="103">
        <v>34.53</v>
      </c>
      <c r="J20" s="103">
        <v>34.51</v>
      </c>
    </row>
    <row r="21" spans="1:10" ht="15" customHeight="1" x14ac:dyDescent="0.3">
      <c r="A21" s="104" t="e" vm="20">
        <v>#VALUE!</v>
      </c>
      <c r="B21" s="104" t="s">
        <v>56</v>
      </c>
      <c r="C21" s="103">
        <f t="shared" si="4"/>
        <v>54.13</v>
      </c>
      <c r="D21" s="103">
        <f t="shared" si="5"/>
        <v>52.85</v>
      </c>
      <c r="F21" s="103">
        <f t="shared" si="6"/>
        <v>54.13</v>
      </c>
      <c r="G21" s="103">
        <f t="shared" si="7"/>
        <v>52.85</v>
      </c>
      <c r="I21" s="103">
        <v>54.13</v>
      </c>
      <c r="J21" s="103">
        <v>54.43</v>
      </c>
    </row>
    <row r="22" spans="1:10" ht="15" customHeight="1" x14ac:dyDescent="0.3">
      <c r="A22" s="104" t="e" vm="21">
        <v>#VALUE!</v>
      </c>
      <c r="B22" s="104" t="s">
        <v>57</v>
      </c>
      <c r="C22" s="103">
        <f t="shared" si="4"/>
        <v>32.99</v>
      </c>
      <c r="D22" s="103">
        <f t="shared" si="5"/>
        <v>32.409999999999997</v>
      </c>
      <c r="F22" s="103">
        <f t="shared" si="6"/>
        <v>32.99</v>
      </c>
      <c r="G22" s="103">
        <f t="shared" si="7"/>
        <v>32.409999999999997</v>
      </c>
      <c r="I22" s="103">
        <v>32.99</v>
      </c>
      <c r="J22" s="103">
        <v>32.9</v>
      </c>
    </row>
    <row r="23" spans="1:10" ht="15" customHeight="1" x14ac:dyDescent="0.3">
      <c r="A23" s="104" t="e" vm="22">
        <v>#VALUE!</v>
      </c>
      <c r="B23" s="104" t="s">
        <v>41</v>
      </c>
      <c r="C23" s="103">
        <f t="shared" si="4"/>
        <v>52.81</v>
      </c>
      <c r="D23" s="103">
        <f t="shared" si="5"/>
        <v>53.44</v>
      </c>
      <c r="F23" s="103">
        <f t="shared" si="6"/>
        <v>52.81</v>
      </c>
      <c r="G23" s="103">
        <f t="shared" si="7"/>
        <v>53.44</v>
      </c>
      <c r="I23" s="103"/>
      <c r="J23" s="103"/>
    </row>
    <row r="24" spans="1:10" ht="15" customHeight="1" x14ac:dyDescent="0.3">
      <c r="A24" s="104" t="e" vm="23">
        <v>#VALUE!</v>
      </c>
      <c r="B24" s="104" t="s">
        <v>60</v>
      </c>
      <c r="C24" s="103">
        <f t="shared" si="4"/>
        <v>50.47</v>
      </c>
      <c r="D24" s="103">
        <f t="shared" si="5"/>
        <v>50.31</v>
      </c>
      <c r="F24" s="103">
        <f>IF(LEN(B24)&gt;1,_FV(A24,"Previous close",TRUE),"")</f>
        <v>50.47</v>
      </c>
      <c r="G24" s="103">
        <f>IF(LEN(B24)&gt;1,_FV(A24,"Price"),"")</f>
        <v>50.31</v>
      </c>
      <c r="I24" s="103"/>
      <c r="J24" s="103"/>
    </row>
    <row r="25" spans="1:10" ht="15" customHeight="1" x14ac:dyDescent="0.3">
      <c r="A25" s="104"/>
      <c r="B25" s="104"/>
      <c r="C25" s="103" t="str">
        <f t="shared" si="4"/>
        <v/>
      </c>
      <c r="D25" s="103" t="str">
        <f t="shared" si="5"/>
        <v/>
      </c>
      <c r="F25" s="103" t="str">
        <f t="shared" si="6"/>
        <v/>
      </c>
      <c r="G25" s="103" t="str">
        <f t="shared" si="7"/>
        <v/>
      </c>
      <c r="I25" s="103"/>
      <c r="J25" s="103"/>
    </row>
    <row r="26" spans="1:10" ht="15" customHeight="1" x14ac:dyDescent="0.3">
      <c r="A26" s="104"/>
      <c r="B26" s="104"/>
      <c r="C26" s="103" t="str">
        <f t="shared" si="4"/>
        <v/>
      </c>
      <c r="D26" s="103" t="str">
        <f t="shared" si="5"/>
        <v/>
      </c>
      <c r="F26" s="103" t="str">
        <f t="shared" si="6"/>
        <v/>
      </c>
      <c r="G26" s="103" t="str">
        <f t="shared" si="7"/>
        <v/>
      </c>
      <c r="I26" s="103"/>
      <c r="J26" s="103"/>
    </row>
    <row r="27" spans="1:10" ht="15" customHeight="1" x14ac:dyDescent="0.3">
      <c r="A27" s="104"/>
      <c r="B27" s="104"/>
      <c r="C27" s="103" t="str">
        <f t="shared" si="4"/>
        <v/>
      </c>
      <c r="D27" s="103" t="str">
        <f t="shared" si="5"/>
        <v/>
      </c>
      <c r="F27" s="103" t="str">
        <f t="shared" si="6"/>
        <v/>
      </c>
      <c r="G27" s="103" t="str">
        <f t="shared" si="7"/>
        <v/>
      </c>
      <c r="I27" s="103"/>
      <c r="J27" s="103"/>
    </row>
    <row r="28" spans="1:10" ht="15" customHeight="1" x14ac:dyDescent="0.3">
      <c r="A28" s="104"/>
      <c r="B28" s="104"/>
      <c r="C28" s="103" t="str">
        <f t="shared" si="4"/>
        <v/>
      </c>
      <c r="D28" s="103" t="str">
        <f t="shared" si="5"/>
        <v/>
      </c>
      <c r="F28" s="103" t="str">
        <f t="shared" si="6"/>
        <v/>
      </c>
      <c r="G28" s="103" t="str">
        <f t="shared" si="7"/>
        <v/>
      </c>
      <c r="I28" s="103"/>
      <c r="J28" s="103"/>
    </row>
    <row r="29" spans="1:10" ht="15" customHeight="1" x14ac:dyDescent="0.3">
      <c r="A29" s="104"/>
      <c r="B29" s="104"/>
      <c r="C29" s="103" t="str">
        <f t="shared" si="4"/>
        <v/>
      </c>
      <c r="D29" s="103" t="str">
        <f t="shared" si="5"/>
        <v/>
      </c>
      <c r="F29" s="103" t="str">
        <f t="shared" si="6"/>
        <v/>
      </c>
      <c r="G29" s="103" t="str">
        <f t="shared" si="7"/>
        <v/>
      </c>
      <c r="I29" s="103"/>
      <c r="J29" s="103"/>
    </row>
    <row r="30" spans="1:10" ht="15" customHeight="1" x14ac:dyDescent="0.3">
      <c r="A30" s="104"/>
      <c r="B30" s="104"/>
      <c r="C30" s="103" t="str">
        <f t="shared" si="4"/>
        <v/>
      </c>
      <c r="D30" s="103" t="str">
        <f t="shared" si="5"/>
        <v/>
      </c>
      <c r="F30" s="103" t="str">
        <f t="shared" si="6"/>
        <v/>
      </c>
      <c r="G30" s="103" t="str">
        <f t="shared" si="7"/>
        <v/>
      </c>
      <c r="I30" s="103"/>
      <c r="J30" s="103"/>
    </row>
    <row r="31" spans="1:10" ht="15" customHeight="1" x14ac:dyDescent="0.3">
      <c r="A31" s="104"/>
      <c r="B31" s="104"/>
      <c r="C31" s="103" t="str">
        <f t="shared" si="4"/>
        <v/>
      </c>
      <c r="D31" s="103" t="str">
        <f t="shared" si="5"/>
        <v/>
      </c>
      <c r="F31" s="103" t="str">
        <f t="shared" si="6"/>
        <v/>
      </c>
      <c r="G31" s="103" t="str">
        <f t="shared" si="7"/>
        <v/>
      </c>
      <c r="I31" s="103"/>
      <c r="J31" s="103"/>
    </row>
    <row r="32" spans="1:10" ht="15" customHeight="1" x14ac:dyDescent="0.3">
      <c r="A32" s="104"/>
      <c r="B32" s="104"/>
      <c r="C32" s="103" t="str">
        <f t="shared" si="4"/>
        <v/>
      </c>
      <c r="D32" s="103" t="str">
        <f t="shared" si="5"/>
        <v/>
      </c>
      <c r="F32" s="103" t="str">
        <f t="shared" si="6"/>
        <v/>
      </c>
      <c r="G32" s="103" t="str">
        <f t="shared" si="7"/>
        <v/>
      </c>
      <c r="I32" s="103"/>
      <c r="J32" s="103"/>
    </row>
    <row r="33" spans="1:10" ht="15" customHeight="1" x14ac:dyDescent="0.3">
      <c r="A33" s="104"/>
      <c r="B33" s="104"/>
      <c r="C33" s="103" t="str">
        <f t="shared" si="4"/>
        <v/>
      </c>
      <c r="D33" s="103" t="str">
        <f t="shared" si="5"/>
        <v/>
      </c>
      <c r="F33" s="103" t="str">
        <f t="shared" si="6"/>
        <v/>
      </c>
      <c r="G33" s="103" t="str">
        <f t="shared" si="7"/>
        <v/>
      </c>
      <c r="I33" s="103"/>
      <c r="J33" s="103"/>
    </row>
    <row r="34" spans="1:10" ht="15" customHeight="1" x14ac:dyDescent="0.3">
      <c r="A34" s="104"/>
      <c r="B34" s="104"/>
      <c r="C34" s="103" t="str">
        <f t="shared" si="4"/>
        <v/>
      </c>
      <c r="D34" s="103" t="str">
        <f t="shared" si="5"/>
        <v/>
      </c>
      <c r="F34" s="103" t="str">
        <f t="shared" si="6"/>
        <v/>
      </c>
      <c r="G34" s="103" t="str">
        <f t="shared" si="7"/>
        <v/>
      </c>
      <c r="I34" s="103"/>
      <c r="J34" s="103"/>
    </row>
    <row r="35" spans="1:10" ht="15" customHeight="1" x14ac:dyDescent="0.3">
      <c r="A35" s="104"/>
      <c r="B35" s="104"/>
      <c r="C35" s="103" t="str">
        <f t="shared" si="4"/>
        <v/>
      </c>
      <c r="D35" s="103" t="str">
        <f t="shared" si="5"/>
        <v/>
      </c>
      <c r="F35" s="103" t="str">
        <f t="shared" si="6"/>
        <v/>
      </c>
      <c r="G35" s="103" t="str">
        <f t="shared" si="7"/>
        <v/>
      </c>
      <c r="I35" s="103"/>
      <c r="J35" s="103"/>
    </row>
    <row r="36" spans="1:10" ht="15" customHeight="1" x14ac:dyDescent="0.3">
      <c r="A36" s="104"/>
      <c r="B36" s="104"/>
      <c r="C36" s="103" t="str">
        <f t="shared" si="4"/>
        <v/>
      </c>
      <c r="D36" s="103" t="str">
        <f t="shared" si="5"/>
        <v/>
      </c>
      <c r="F36" s="103" t="str">
        <f t="shared" si="6"/>
        <v/>
      </c>
      <c r="G36" s="103" t="str">
        <f t="shared" si="7"/>
        <v/>
      </c>
      <c r="I36" s="103"/>
      <c r="J36" s="103"/>
    </row>
    <row r="37" spans="1:10" ht="15" customHeight="1" x14ac:dyDescent="0.3">
      <c r="A37" s="104"/>
      <c r="B37" s="104"/>
      <c r="C37" s="103" t="str">
        <f t="shared" si="4"/>
        <v/>
      </c>
      <c r="D37" s="103" t="str">
        <f t="shared" si="5"/>
        <v/>
      </c>
      <c r="F37" s="103" t="str">
        <f t="shared" si="6"/>
        <v/>
      </c>
      <c r="G37" s="103" t="str">
        <f t="shared" si="7"/>
        <v/>
      </c>
      <c r="I37" s="103"/>
      <c r="J37" s="103"/>
    </row>
    <row r="38" spans="1:10" ht="15" customHeight="1" x14ac:dyDescent="0.3">
      <c r="A38" s="104"/>
      <c r="B38" s="104"/>
      <c r="C38" s="103" t="str">
        <f t="shared" si="4"/>
        <v/>
      </c>
      <c r="D38" s="103" t="str">
        <f t="shared" si="5"/>
        <v/>
      </c>
      <c r="F38" s="103" t="str">
        <f t="shared" si="6"/>
        <v/>
      </c>
      <c r="G38" s="103" t="str">
        <f t="shared" si="7"/>
        <v/>
      </c>
      <c r="I38" s="103"/>
      <c r="J38" s="103"/>
    </row>
    <row r="39" spans="1:10" ht="15" customHeight="1" x14ac:dyDescent="0.3">
      <c r="A39" s="104"/>
      <c r="B39" s="104"/>
      <c r="C39" s="103" t="str">
        <f t="shared" si="4"/>
        <v/>
      </c>
      <c r="D39" s="103" t="str">
        <f t="shared" si="5"/>
        <v/>
      </c>
      <c r="F39" s="103" t="str">
        <f t="shared" si="6"/>
        <v/>
      </c>
      <c r="G39" s="103" t="str">
        <f t="shared" si="7"/>
        <v/>
      </c>
      <c r="I39" s="103"/>
      <c r="J39" s="103"/>
    </row>
    <row r="40" spans="1:10" ht="15" customHeight="1" x14ac:dyDescent="0.3">
      <c r="A40" s="104"/>
      <c r="B40" s="104"/>
      <c r="C40" s="103" t="str">
        <f t="shared" si="4"/>
        <v/>
      </c>
      <c r="D40" s="103" t="str">
        <f t="shared" si="5"/>
        <v/>
      </c>
      <c r="F40" s="103" t="str">
        <f t="shared" si="6"/>
        <v/>
      </c>
      <c r="G40" s="103" t="str">
        <f t="shared" si="7"/>
        <v/>
      </c>
      <c r="I40" s="103"/>
      <c r="J40" s="103"/>
    </row>
    <row r="41" spans="1:10" ht="15" customHeight="1" x14ac:dyDescent="0.3">
      <c r="A41" s="104"/>
      <c r="B41" s="104"/>
      <c r="C41" s="103" t="str">
        <f t="shared" si="4"/>
        <v/>
      </c>
      <c r="D41" s="103" t="str">
        <f t="shared" si="5"/>
        <v/>
      </c>
      <c r="F41" s="103" t="str">
        <f t="shared" si="6"/>
        <v/>
      </c>
      <c r="G41" s="103" t="str">
        <f t="shared" si="7"/>
        <v/>
      </c>
      <c r="I41" s="103"/>
      <c r="J41" s="103"/>
    </row>
    <row r="42" spans="1:10" ht="15" customHeight="1" x14ac:dyDescent="0.3">
      <c r="A42" s="104"/>
      <c r="B42" s="104"/>
      <c r="C42" s="103" t="str">
        <f t="shared" si="4"/>
        <v/>
      </c>
      <c r="D42" s="103" t="str">
        <f t="shared" si="5"/>
        <v/>
      </c>
      <c r="F42" s="103" t="str">
        <f t="shared" si="6"/>
        <v/>
      </c>
      <c r="G42" s="103" t="str">
        <f t="shared" si="7"/>
        <v/>
      </c>
      <c r="I42" s="103"/>
      <c r="J42" s="103"/>
    </row>
    <row r="43" spans="1:10" ht="15" customHeight="1" x14ac:dyDescent="0.3">
      <c r="A43" s="104"/>
      <c r="B43" s="104"/>
      <c r="C43" s="103" t="str">
        <f t="shared" si="4"/>
        <v/>
      </c>
      <c r="D43" s="103" t="str">
        <f t="shared" si="5"/>
        <v/>
      </c>
      <c r="F43" s="103" t="str">
        <f t="shared" si="6"/>
        <v/>
      </c>
      <c r="G43" s="103" t="str">
        <f t="shared" si="7"/>
        <v/>
      </c>
      <c r="I43" s="103"/>
      <c r="J43" s="103"/>
    </row>
    <row r="44" spans="1:10" ht="15" customHeight="1" x14ac:dyDescent="0.3">
      <c r="A44" s="104"/>
      <c r="B44" s="104"/>
      <c r="C44" s="103" t="str">
        <f t="shared" si="4"/>
        <v/>
      </c>
      <c r="D44" s="103" t="str">
        <f t="shared" si="5"/>
        <v/>
      </c>
      <c r="F44" s="103" t="str">
        <f t="shared" si="6"/>
        <v/>
      </c>
      <c r="G44" s="103" t="str">
        <f t="shared" si="7"/>
        <v/>
      </c>
      <c r="I44" s="103"/>
      <c r="J44" s="103"/>
    </row>
    <row r="45" spans="1:10" ht="15" customHeight="1" x14ac:dyDescent="0.3">
      <c r="A45" s="104"/>
      <c r="B45" s="104"/>
      <c r="C45" s="103" t="str">
        <f t="shared" si="4"/>
        <v/>
      </c>
      <c r="D45" s="103" t="str">
        <f t="shared" si="5"/>
        <v/>
      </c>
      <c r="F45" s="103" t="str">
        <f t="shared" si="6"/>
        <v/>
      </c>
      <c r="G45" s="103" t="str">
        <f t="shared" si="7"/>
        <v/>
      </c>
      <c r="I45" s="103"/>
      <c r="J45" s="103"/>
    </row>
    <row r="46" spans="1:10" ht="15" customHeight="1" x14ac:dyDescent="0.3">
      <c r="A46" s="104"/>
      <c r="B46" s="104"/>
      <c r="C46" s="103" t="str">
        <f t="shared" si="4"/>
        <v/>
      </c>
      <c r="D46" s="103" t="str">
        <f t="shared" si="5"/>
        <v/>
      </c>
      <c r="F46" s="103" t="str">
        <f t="shared" si="6"/>
        <v/>
      </c>
      <c r="G46" s="103" t="str">
        <f t="shared" si="7"/>
        <v/>
      </c>
      <c r="I46" s="103"/>
      <c r="J46" s="103"/>
    </row>
    <row r="47" spans="1:10" ht="15" customHeight="1" x14ac:dyDescent="0.3">
      <c r="A47" s="104"/>
      <c r="B47" s="104"/>
      <c r="C47" s="103" t="str">
        <f t="shared" si="4"/>
        <v/>
      </c>
      <c r="D47" s="103" t="str">
        <f t="shared" si="5"/>
        <v/>
      </c>
      <c r="F47" s="103" t="str">
        <f t="shared" si="6"/>
        <v/>
      </c>
      <c r="G47" s="103" t="str">
        <f t="shared" si="7"/>
        <v/>
      </c>
      <c r="I47" s="103"/>
      <c r="J47" s="103"/>
    </row>
    <row r="48" spans="1:10" ht="15" customHeight="1" x14ac:dyDescent="0.3">
      <c r="A48" s="104"/>
      <c r="B48" s="104"/>
      <c r="C48" s="103" t="str">
        <f t="shared" si="4"/>
        <v/>
      </c>
      <c r="D48" s="103" t="str">
        <f t="shared" si="5"/>
        <v/>
      </c>
      <c r="F48" s="103" t="str">
        <f t="shared" si="6"/>
        <v/>
      </c>
      <c r="G48" s="103" t="str">
        <f t="shared" si="7"/>
        <v/>
      </c>
      <c r="I48" s="103"/>
      <c r="J48" s="103"/>
    </row>
    <row r="49" spans="1:10" ht="15" customHeight="1" x14ac:dyDescent="0.3">
      <c r="A49" s="104"/>
      <c r="B49" s="104"/>
      <c r="C49" s="103" t="str">
        <f t="shared" si="4"/>
        <v/>
      </c>
      <c r="D49" s="103" t="str">
        <f t="shared" si="5"/>
        <v/>
      </c>
      <c r="F49" s="103" t="str">
        <f t="shared" si="6"/>
        <v/>
      </c>
      <c r="G49" s="103" t="str">
        <f t="shared" si="7"/>
        <v/>
      </c>
      <c r="I49" s="103"/>
      <c r="J49" s="103"/>
    </row>
    <row r="50" spans="1:10" ht="15" customHeight="1" x14ac:dyDescent="0.3">
      <c r="A50" s="104"/>
      <c r="B50" s="104"/>
      <c r="C50" s="103" t="str">
        <f t="shared" si="4"/>
        <v/>
      </c>
      <c r="D50" s="103" t="str">
        <f t="shared" si="5"/>
        <v/>
      </c>
      <c r="F50" s="103" t="str">
        <f t="shared" si="6"/>
        <v/>
      </c>
      <c r="G50" s="103" t="str">
        <f t="shared" si="7"/>
        <v/>
      </c>
      <c r="I50" s="103"/>
      <c r="J50" s="103"/>
    </row>
    <row r="51" spans="1:10" ht="15" customHeight="1" x14ac:dyDescent="0.3">
      <c r="A51" s="104"/>
      <c r="B51" s="104"/>
      <c r="C51" s="103" t="str">
        <f t="shared" si="4"/>
        <v/>
      </c>
      <c r="D51" s="103" t="str">
        <f t="shared" si="5"/>
        <v/>
      </c>
      <c r="F51" s="103" t="str">
        <f t="shared" si="6"/>
        <v/>
      </c>
      <c r="G51" s="103" t="str">
        <f t="shared" si="7"/>
        <v/>
      </c>
      <c r="I51" s="103"/>
      <c r="J51" s="103"/>
    </row>
    <row r="52" spans="1:10" ht="15" customHeight="1" x14ac:dyDescent="0.3">
      <c r="A52" s="104"/>
      <c r="B52" s="104"/>
      <c r="C52" s="103" t="str">
        <f t="shared" si="4"/>
        <v/>
      </c>
      <c r="D52" s="103" t="str">
        <f t="shared" si="5"/>
        <v/>
      </c>
      <c r="F52" s="103" t="str">
        <f t="shared" si="6"/>
        <v/>
      </c>
      <c r="G52" s="103" t="str">
        <f t="shared" si="7"/>
        <v/>
      </c>
      <c r="I52" s="103"/>
      <c r="J52" s="103"/>
    </row>
    <row r="53" spans="1:10" ht="15" customHeight="1" x14ac:dyDescent="0.3">
      <c r="A53" s="104"/>
      <c r="B53" s="104"/>
      <c r="C53" s="103" t="str">
        <f t="shared" si="4"/>
        <v/>
      </c>
      <c r="D53" s="103" t="str">
        <f t="shared" si="5"/>
        <v/>
      </c>
      <c r="F53" s="103" t="str">
        <f t="shared" si="6"/>
        <v/>
      </c>
      <c r="G53" s="103" t="str">
        <f t="shared" si="7"/>
        <v/>
      </c>
      <c r="I53" s="103"/>
      <c r="J53" s="103"/>
    </row>
    <row r="54" spans="1:10" ht="15" customHeight="1" x14ac:dyDescent="0.3">
      <c r="A54" s="104"/>
      <c r="B54" s="104"/>
      <c r="C54" s="103" t="str">
        <f t="shared" si="4"/>
        <v/>
      </c>
      <c r="D54" s="103" t="str">
        <f t="shared" si="5"/>
        <v/>
      </c>
      <c r="F54" s="103" t="str">
        <f t="shared" si="6"/>
        <v/>
      </c>
      <c r="G54" s="103" t="str">
        <f t="shared" si="7"/>
        <v/>
      </c>
      <c r="I54" s="103"/>
      <c r="J54" s="103"/>
    </row>
    <row r="55" spans="1:10" ht="15" customHeight="1" x14ac:dyDescent="0.3">
      <c r="A55" s="104"/>
      <c r="B55" s="104"/>
      <c r="C55" s="103" t="str">
        <f t="shared" si="4"/>
        <v/>
      </c>
      <c r="D55" s="103" t="str">
        <f t="shared" si="5"/>
        <v/>
      </c>
      <c r="F55" s="103" t="str">
        <f t="shared" si="6"/>
        <v/>
      </c>
      <c r="G55" s="103" t="str">
        <f t="shared" si="7"/>
        <v/>
      </c>
      <c r="I55" s="103"/>
      <c r="J55" s="103"/>
    </row>
    <row r="56" spans="1:10" ht="15" customHeight="1" x14ac:dyDescent="0.3">
      <c r="A56" s="104"/>
      <c r="B56" s="104"/>
      <c r="C56" s="103" t="str">
        <f t="shared" si="4"/>
        <v/>
      </c>
      <c r="D56" s="103" t="str">
        <f t="shared" si="5"/>
        <v/>
      </c>
      <c r="F56" s="103" t="str">
        <f t="shared" si="6"/>
        <v/>
      </c>
      <c r="G56" s="103" t="str">
        <f t="shared" si="7"/>
        <v/>
      </c>
      <c r="I56" s="103"/>
      <c r="J56" s="103"/>
    </row>
    <row r="57" spans="1:10" ht="15" customHeight="1" x14ac:dyDescent="0.3">
      <c r="A57" s="104"/>
      <c r="B57" s="104"/>
      <c r="C57" s="103" t="str">
        <f t="shared" si="4"/>
        <v/>
      </c>
      <c r="D57" s="103" t="str">
        <f t="shared" si="5"/>
        <v/>
      </c>
      <c r="F57" s="103" t="str">
        <f t="shared" si="6"/>
        <v/>
      </c>
      <c r="G57" s="103" t="str">
        <f t="shared" si="7"/>
        <v/>
      </c>
      <c r="I57" s="103"/>
      <c r="J57" s="103"/>
    </row>
    <row r="58" spans="1:10" ht="15" customHeight="1" x14ac:dyDescent="0.3">
      <c r="A58" s="104"/>
      <c r="B58" s="104"/>
      <c r="C58" s="103" t="str">
        <f t="shared" si="4"/>
        <v/>
      </c>
      <c r="D58" s="103" t="str">
        <f t="shared" si="5"/>
        <v/>
      </c>
      <c r="F58" s="103" t="str">
        <f t="shared" si="6"/>
        <v/>
      </c>
      <c r="G58" s="103" t="str">
        <f t="shared" si="7"/>
        <v/>
      </c>
      <c r="I58" s="103"/>
      <c r="J58" s="103"/>
    </row>
    <row r="59" spans="1:10" ht="15" customHeight="1" x14ac:dyDescent="0.3">
      <c r="A59" s="104"/>
      <c r="B59" s="104"/>
      <c r="C59" s="103" t="str">
        <f t="shared" si="4"/>
        <v/>
      </c>
      <c r="D59" s="103" t="str">
        <f t="shared" si="5"/>
        <v/>
      </c>
      <c r="F59" s="103" t="str">
        <f t="shared" si="6"/>
        <v/>
      </c>
      <c r="G59" s="103" t="str">
        <f t="shared" si="7"/>
        <v/>
      </c>
      <c r="I59" s="103"/>
      <c r="J59" s="103"/>
    </row>
    <row r="60" spans="1:10" ht="15" customHeight="1" x14ac:dyDescent="0.3">
      <c r="A60" s="104"/>
      <c r="B60" s="104"/>
      <c r="C60" s="103" t="str">
        <f t="shared" si="4"/>
        <v/>
      </c>
      <c r="D60" s="103" t="str">
        <f t="shared" si="5"/>
        <v/>
      </c>
      <c r="F60" s="103" t="str">
        <f t="shared" si="6"/>
        <v/>
      </c>
      <c r="G60" s="103" t="str">
        <f t="shared" si="7"/>
        <v/>
      </c>
      <c r="I60" s="103"/>
      <c r="J60" s="103"/>
    </row>
    <row r="61" spans="1:10" ht="15" customHeight="1" x14ac:dyDescent="0.3">
      <c r="A61" s="104"/>
      <c r="B61" s="104"/>
      <c r="C61" s="103" t="str">
        <f t="shared" si="4"/>
        <v/>
      </c>
      <c r="D61" s="103" t="str">
        <f t="shared" si="5"/>
        <v/>
      </c>
      <c r="F61" s="103" t="str">
        <f t="shared" si="6"/>
        <v/>
      </c>
      <c r="G61" s="103" t="str">
        <f t="shared" si="7"/>
        <v/>
      </c>
      <c r="I61" s="103"/>
      <c r="J61" s="103"/>
    </row>
    <row r="62" spans="1:10" ht="15" customHeight="1" x14ac:dyDescent="0.3">
      <c r="A62" s="104"/>
      <c r="B62" s="104"/>
      <c r="C62" s="103" t="str">
        <f t="shared" si="4"/>
        <v/>
      </c>
      <c r="D62" s="103" t="str">
        <f t="shared" si="5"/>
        <v/>
      </c>
      <c r="F62" s="103" t="str">
        <f t="shared" si="6"/>
        <v/>
      </c>
      <c r="G62" s="103" t="str">
        <f t="shared" si="7"/>
        <v/>
      </c>
      <c r="I62" s="103"/>
      <c r="J62" s="103"/>
    </row>
    <row r="63" spans="1:10" ht="15" customHeight="1" x14ac:dyDescent="0.3">
      <c r="A63" s="104"/>
      <c r="B63" s="104"/>
      <c r="C63" s="103" t="str">
        <f t="shared" si="4"/>
        <v/>
      </c>
      <c r="D63" s="103" t="str">
        <f t="shared" si="5"/>
        <v/>
      </c>
      <c r="F63" s="103" t="str">
        <f t="shared" si="6"/>
        <v/>
      </c>
      <c r="G63" s="103" t="str">
        <f t="shared" si="7"/>
        <v/>
      </c>
      <c r="I63" s="103"/>
      <c r="J63" s="103"/>
    </row>
    <row r="64" spans="1:10" ht="15" customHeight="1" x14ac:dyDescent="0.3">
      <c r="A64" s="104"/>
      <c r="B64" s="104"/>
      <c r="C64" s="103" t="str">
        <f t="shared" si="4"/>
        <v/>
      </c>
      <c r="D64" s="103" t="str">
        <f t="shared" si="5"/>
        <v/>
      </c>
      <c r="F64" s="103" t="str">
        <f t="shared" si="6"/>
        <v/>
      </c>
      <c r="G64" s="103" t="str">
        <f t="shared" si="7"/>
        <v/>
      </c>
      <c r="I64" s="103"/>
      <c r="J64" s="103"/>
    </row>
    <row r="65" spans="1:10" ht="15" customHeight="1" x14ac:dyDescent="0.3">
      <c r="A65" s="104"/>
      <c r="B65" s="104"/>
      <c r="C65" s="103" t="str">
        <f t="shared" si="4"/>
        <v/>
      </c>
      <c r="D65" s="103" t="str">
        <f t="shared" si="5"/>
        <v/>
      </c>
      <c r="F65" s="103" t="str">
        <f t="shared" si="6"/>
        <v/>
      </c>
      <c r="G65" s="103" t="str">
        <f t="shared" si="7"/>
        <v/>
      </c>
      <c r="I65" s="103"/>
      <c r="J65" s="103"/>
    </row>
    <row r="66" spans="1:10" ht="15" customHeight="1" x14ac:dyDescent="0.3">
      <c r="A66" s="104"/>
      <c r="B66" s="104"/>
      <c r="C66" s="103" t="str">
        <f t="shared" si="4"/>
        <v/>
      </c>
      <c r="D66" s="103" t="str">
        <f t="shared" si="5"/>
        <v/>
      </c>
      <c r="F66" s="103" t="str">
        <f t="shared" si="6"/>
        <v/>
      </c>
      <c r="G66" s="103" t="str">
        <f t="shared" si="7"/>
        <v/>
      </c>
      <c r="I66" s="103"/>
      <c r="J66" s="103"/>
    </row>
    <row r="67" spans="1:10" ht="15" customHeight="1" x14ac:dyDescent="0.3">
      <c r="A67" s="104"/>
      <c r="B67" s="104"/>
      <c r="C67" s="103" t="str">
        <f t="shared" si="4"/>
        <v/>
      </c>
      <c r="D67" s="103" t="str">
        <f t="shared" si="5"/>
        <v/>
      </c>
      <c r="F67" s="103" t="str">
        <f t="shared" si="6"/>
        <v/>
      </c>
      <c r="G67" s="103" t="str">
        <f t="shared" si="7"/>
        <v/>
      </c>
      <c r="I67" s="103"/>
      <c r="J67" s="103"/>
    </row>
    <row r="68" spans="1:10" ht="15" customHeight="1" x14ac:dyDescent="0.3">
      <c r="A68" s="104"/>
      <c r="B68" s="104"/>
      <c r="C68" s="103" t="str">
        <f t="shared" si="4"/>
        <v/>
      </c>
      <c r="D68" s="103" t="str">
        <f t="shared" si="5"/>
        <v/>
      </c>
      <c r="F68" s="103" t="str">
        <f t="shared" si="6"/>
        <v/>
      </c>
      <c r="G68" s="103" t="str">
        <f t="shared" si="7"/>
        <v/>
      </c>
      <c r="I68" s="103"/>
      <c r="J68" s="103"/>
    </row>
    <row r="69" spans="1:10" ht="15" customHeight="1" x14ac:dyDescent="0.3">
      <c r="A69" s="104"/>
      <c r="B69" s="104"/>
      <c r="C69" s="103" t="str">
        <f t="shared" si="4"/>
        <v/>
      </c>
      <c r="D69" s="103" t="str">
        <f t="shared" si="5"/>
        <v/>
      </c>
      <c r="F69" s="103" t="str">
        <f t="shared" si="6"/>
        <v/>
      </c>
      <c r="G69" s="103" t="str">
        <f t="shared" si="7"/>
        <v/>
      </c>
      <c r="I69" s="103"/>
      <c r="J69" s="103"/>
    </row>
    <row r="70" spans="1:10" ht="15" customHeight="1" x14ac:dyDescent="0.3">
      <c r="A70" s="104"/>
      <c r="B70" s="104"/>
      <c r="C70" s="103" t="str">
        <f t="shared" si="4"/>
        <v/>
      </c>
      <c r="D70" s="103" t="str">
        <f t="shared" si="5"/>
        <v/>
      </c>
      <c r="F70" s="103" t="str">
        <f t="shared" si="6"/>
        <v/>
      </c>
      <c r="G70" s="103" t="str">
        <f t="shared" si="7"/>
        <v/>
      </c>
      <c r="I70" s="103"/>
      <c r="J70" s="103"/>
    </row>
    <row r="71" spans="1:10" ht="15" customHeight="1" x14ac:dyDescent="0.3">
      <c r="A71" s="104"/>
      <c r="B71" s="104"/>
      <c r="C71" s="103" t="str">
        <f t="shared" si="4"/>
        <v/>
      </c>
      <c r="D71" s="103" t="str">
        <f t="shared" si="5"/>
        <v/>
      </c>
      <c r="F71" s="103" t="str">
        <f t="shared" si="6"/>
        <v/>
      </c>
      <c r="G71" s="103" t="str">
        <f t="shared" si="7"/>
        <v/>
      </c>
      <c r="I71" s="103"/>
      <c r="J71" s="103"/>
    </row>
    <row r="72" spans="1:10" ht="15" customHeight="1" x14ac:dyDescent="0.3">
      <c r="A72" s="104"/>
      <c r="B72" s="104"/>
      <c r="C72" s="103" t="str">
        <f t="shared" si="4"/>
        <v/>
      </c>
      <c r="D72" s="103" t="str">
        <f t="shared" si="5"/>
        <v/>
      </c>
      <c r="F72" s="103" t="str">
        <f t="shared" si="6"/>
        <v/>
      </c>
      <c r="G72" s="103" t="str">
        <f t="shared" si="7"/>
        <v/>
      </c>
      <c r="I72" s="103"/>
      <c r="J72" s="103"/>
    </row>
    <row r="73" spans="1:10" ht="15" customHeight="1" x14ac:dyDescent="0.3">
      <c r="A73" s="104"/>
      <c r="B73" s="104"/>
      <c r="C73" s="103" t="str">
        <f t="shared" si="4"/>
        <v/>
      </c>
      <c r="D73" s="103" t="str">
        <f t="shared" si="5"/>
        <v/>
      </c>
      <c r="F73" s="103" t="str">
        <f t="shared" si="6"/>
        <v/>
      </c>
      <c r="G73" s="103" t="str">
        <f t="shared" si="7"/>
        <v/>
      </c>
      <c r="I73" s="103"/>
      <c r="J73" s="103"/>
    </row>
    <row r="74" spans="1:10" ht="15" customHeight="1" x14ac:dyDescent="0.3">
      <c r="A74" s="104"/>
      <c r="B74" s="104"/>
      <c r="C74" s="103" t="str">
        <f t="shared" si="4"/>
        <v/>
      </c>
      <c r="D74" s="103" t="str">
        <f t="shared" si="5"/>
        <v/>
      </c>
      <c r="F74" s="103" t="str">
        <f t="shared" si="6"/>
        <v/>
      </c>
      <c r="G74" s="103" t="str">
        <f t="shared" si="7"/>
        <v/>
      </c>
      <c r="I74" s="103"/>
      <c r="J74" s="103"/>
    </row>
    <row r="75" spans="1:10" ht="15" customHeight="1" x14ac:dyDescent="0.3">
      <c r="A75" s="104"/>
      <c r="B75" s="104"/>
      <c r="C75" s="103" t="str">
        <f t="shared" si="4"/>
        <v/>
      </c>
      <c r="D75" s="103" t="str">
        <f t="shared" si="5"/>
        <v/>
      </c>
      <c r="F75" s="103" t="str">
        <f t="shared" si="6"/>
        <v/>
      </c>
      <c r="G75" s="103" t="str">
        <f t="shared" si="7"/>
        <v/>
      </c>
      <c r="I75" s="103"/>
      <c r="J75" s="103"/>
    </row>
    <row r="76" spans="1:10" ht="15" customHeight="1" x14ac:dyDescent="0.3">
      <c r="A76" s="104"/>
      <c r="B76" s="104"/>
      <c r="C76" s="103" t="str">
        <f t="shared" si="4"/>
        <v/>
      </c>
      <c r="D76" s="103" t="str">
        <f t="shared" si="5"/>
        <v/>
      </c>
      <c r="F76" s="103" t="str">
        <f t="shared" si="6"/>
        <v/>
      </c>
      <c r="G76" s="103" t="str">
        <f t="shared" si="7"/>
        <v/>
      </c>
      <c r="I76" s="103"/>
      <c r="J76" s="103"/>
    </row>
    <row r="77" spans="1:10" ht="15" customHeight="1" x14ac:dyDescent="0.3">
      <c r="A77" s="104"/>
      <c r="B77" s="104"/>
      <c r="C77" s="103" t="str">
        <f t="shared" si="4"/>
        <v/>
      </c>
      <c r="D77" s="103" t="str">
        <f t="shared" si="5"/>
        <v/>
      </c>
      <c r="F77" s="103" t="str">
        <f t="shared" si="6"/>
        <v/>
      </c>
      <c r="G77" s="103" t="str">
        <f t="shared" si="7"/>
        <v/>
      </c>
      <c r="I77" s="103"/>
      <c r="J77" s="103"/>
    </row>
    <row r="78" spans="1:10" ht="15" customHeight="1" x14ac:dyDescent="0.3">
      <c r="A78" s="104"/>
      <c r="B78" s="104"/>
      <c r="C78" s="103" t="str">
        <f t="shared" si="4"/>
        <v/>
      </c>
      <c r="D78" s="103" t="str">
        <f t="shared" si="5"/>
        <v/>
      </c>
      <c r="F78" s="103" t="str">
        <f t="shared" si="6"/>
        <v/>
      </c>
      <c r="G78" s="103" t="str">
        <f t="shared" si="7"/>
        <v/>
      </c>
      <c r="I78" s="103"/>
      <c r="J78" s="103"/>
    </row>
    <row r="79" spans="1:10" ht="15" customHeight="1" x14ac:dyDescent="0.3">
      <c r="A79" s="104"/>
      <c r="B79" s="104"/>
      <c r="C79" s="103" t="str">
        <f t="shared" si="4"/>
        <v/>
      </c>
      <c r="D79" s="103" t="str">
        <f t="shared" si="5"/>
        <v/>
      </c>
      <c r="F79" s="103" t="str">
        <f t="shared" si="6"/>
        <v/>
      </c>
      <c r="G79" s="103" t="str">
        <f t="shared" si="7"/>
        <v/>
      </c>
      <c r="I79" s="103"/>
      <c r="J79" s="103"/>
    </row>
    <row r="80" spans="1:10" ht="15" customHeight="1" x14ac:dyDescent="0.3">
      <c r="A80" s="104"/>
      <c r="B80" s="104"/>
      <c r="C80" s="103" t="str">
        <f t="shared" si="4"/>
        <v/>
      </c>
      <c r="D80" s="103" t="str">
        <f t="shared" si="5"/>
        <v/>
      </c>
      <c r="F80" s="103" t="str">
        <f t="shared" si="6"/>
        <v/>
      </c>
      <c r="G80" s="103" t="str">
        <f t="shared" si="7"/>
        <v/>
      </c>
      <c r="I80" s="103"/>
      <c r="J80" s="103"/>
    </row>
    <row r="81" spans="1:10" ht="15" customHeight="1" x14ac:dyDescent="0.3">
      <c r="A81" s="104"/>
      <c r="B81" s="104"/>
      <c r="C81" s="103" t="str">
        <f t="shared" ref="C81:C144" si="8">IF(LEN(B81)&gt;1,IF(ISNUMBER(F81),F81,I81),"")</f>
        <v/>
      </c>
      <c r="D81" s="103" t="str">
        <f t="shared" ref="D81:D144" si="9">IF(LEN(B81)&gt;1,IF(ISNUMBER(G81),G81,J81),"")</f>
        <v/>
      </c>
      <c r="F81" s="103" t="str">
        <f t="shared" ref="F81:F144" si="10">IF(LEN(B81)&gt;1,_FV(A81,"Previous close",TRUE),"")</f>
        <v/>
      </c>
      <c r="G81" s="103" t="str">
        <f t="shared" ref="G81:G144" si="11">IF(LEN(B81)&gt;1,_FV(A81,"Price"),"")</f>
        <v/>
      </c>
      <c r="I81" s="103"/>
      <c r="J81" s="103"/>
    </row>
    <row r="82" spans="1:10" ht="15" customHeight="1" x14ac:dyDescent="0.3">
      <c r="A82" s="104"/>
      <c r="B82" s="104"/>
      <c r="C82" s="103" t="str">
        <f t="shared" si="8"/>
        <v/>
      </c>
      <c r="D82" s="103" t="str">
        <f t="shared" si="9"/>
        <v/>
      </c>
      <c r="F82" s="103" t="str">
        <f t="shared" si="10"/>
        <v/>
      </c>
      <c r="G82" s="103" t="str">
        <f t="shared" si="11"/>
        <v/>
      </c>
      <c r="I82" s="103"/>
      <c r="J82" s="103"/>
    </row>
    <row r="83" spans="1:10" ht="15" customHeight="1" x14ac:dyDescent="0.3">
      <c r="A83" s="104"/>
      <c r="B83" s="104"/>
      <c r="C83" s="103" t="str">
        <f t="shared" si="8"/>
        <v/>
      </c>
      <c r="D83" s="103" t="str">
        <f t="shared" si="9"/>
        <v/>
      </c>
      <c r="F83" s="103" t="str">
        <f t="shared" si="10"/>
        <v/>
      </c>
      <c r="G83" s="103" t="str">
        <f t="shared" si="11"/>
        <v/>
      </c>
      <c r="I83" s="103"/>
      <c r="J83" s="103"/>
    </row>
    <row r="84" spans="1:10" ht="15" customHeight="1" x14ac:dyDescent="0.3">
      <c r="A84" s="104"/>
      <c r="B84" s="104"/>
      <c r="C84" s="103" t="str">
        <f t="shared" si="8"/>
        <v/>
      </c>
      <c r="D84" s="103" t="str">
        <f t="shared" si="9"/>
        <v/>
      </c>
      <c r="F84" s="103" t="str">
        <f t="shared" si="10"/>
        <v/>
      </c>
      <c r="G84" s="103" t="str">
        <f t="shared" si="11"/>
        <v/>
      </c>
      <c r="I84" s="103"/>
      <c r="J84" s="103"/>
    </row>
    <row r="85" spans="1:10" ht="15" customHeight="1" x14ac:dyDescent="0.3">
      <c r="A85" s="104"/>
      <c r="B85" s="104"/>
      <c r="C85" s="103" t="str">
        <f t="shared" si="8"/>
        <v/>
      </c>
      <c r="D85" s="103" t="str">
        <f t="shared" si="9"/>
        <v/>
      </c>
      <c r="F85" s="103" t="str">
        <f t="shared" si="10"/>
        <v/>
      </c>
      <c r="G85" s="103" t="str">
        <f t="shared" si="11"/>
        <v/>
      </c>
      <c r="I85" s="103"/>
      <c r="J85" s="103"/>
    </row>
    <row r="86" spans="1:10" ht="15" customHeight="1" x14ac:dyDescent="0.3">
      <c r="A86" s="104"/>
      <c r="B86" s="104"/>
      <c r="C86" s="103" t="str">
        <f t="shared" si="8"/>
        <v/>
      </c>
      <c r="D86" s="103" t="str">
        <f t="shared" si="9"/>
        <v/>
      </c>
      <c r="F86" s="103" t="str">
        <f t="shared" si="10"/>
        <v/>
      </c>
      <c r="G86" s="103" t="str">
        <f t="shared" si="11"/>
        <v/>
      </c>
      <c r="I86" s="103"/>
      <c r="J86" s="103"/>
    </row>
    <row r="87" spans="1:10" ht="15" customHeight="1" x14ac:dyDescent="0.3">
      <c r="A87" s="104"/>
      <c r="B87" s="104"/>
      <c r="C87" s="103" t="str">
        <f t="shared" si="8"/>
        <v/>
      </c>
      <c r="D87" s="103" t="str">
        <f t="shared" si="9"/>
        <v/>
      </c>
      <c r="F87" s="103" t="str">
        <f t="shared" si="10"/>
        <v/>
      </c>
      <c r="G87" s="103" t="str">
        <f t="shared" si="11"/>
        <v/>
      </c>
      <c r="I87" s="103"/>
      <c r="J87" s="103"/>
    </row>
    <row r="88" spans="1:10" ht="15" customHeight="1" x14ac:dyDescent="0.3">
      <c r="A88" s="104"/>
      <c r="B88" s="104"/>
      <c r="C88" s="103" t="str">
        <f t="shared" si="8"/>
        <v/>
      </c>
      <c r="D88" s="103" t="str">
        <f t="shared" si="9"/>
        <v/>
      </c>
      <c r="F88" s="103" t="str">
        <f t="shared" si="10"/>
        <v/>
      </c>
      <c r="G88" s="103" t="str">
        <f t="shared" si="11"/>
        <v/>
      </c>
      <c r="I88" s="103"/>
      <c r="J88" s="103"/>
    </row>
    <row r="89" spans="1:10" ht="15" customHeight="1" x14ac:dyDescent="0.3">
      <c r="A89" s="104"/>
      <c r="B89" s="104"/>
      <c r="C89" s="103" t="str">
        <f t="shared" si="8"/>
        <v/>
      </c>
      <c r="D89" s="103" t="str">
        <f t="shared" si="9"/>
        <v/>
      </c>
      <c r="F89" s="103" t="str">
        <f t="shared" si="10"/>
        <v/>
      </c>
      <c r="G89" s="103" t="str">
        <f t="shared" si="11"/>
        <v/>
      </c>
      <c r="I89" s="103"/>
      <c r="J89" s="103"/>
    </row>
    <row r="90" spans="1:10" ht="15" customHeight="1" x14ac:dyDescent="0.3">
      <c r="A90" s="104"/>
      <c r="B90" s="104"/>
      <c r="C90" s="103" t="str">
        <f t="shared" si="8"/>
        <v/>
      </c>
      <c r="D90" s="103" t="str">
        <f t="shared" si="9"/>
        <v/>
      </c>
      <c r="F90" s="103" t="str">
        <f t="shared" si="10"/>
        <v/>
      </c>
      <c r="G90" s="103" t="str">
        <f t="shared" si="11"/>
        <v/>
      </c>
      <c r="I90" s="103"/>
      <c r="J90" s="103"/>
    </row>
    <row r="91" spans="1:10" ht="15" customHeight="1" x14ac:dyDescent="0.3">
      <c r="A91" s="104"/>
      <c r="B91" s="104"/>
      <c r="C91" s="103" t="str">
        <f t="shared" si="8"/>
        <v/>
      </c>
      <c r="D91" s="103" t="str">
        <f t="shared" si="9"/>
        <v/>
      </c>
      <c r="F91" s="103" t="str">
        <f t="shared" si="10"/>
        <v/>
      </c>
      <c r="G91" s="103" t="str">
        <f t="shared" si="11"/>
        <v/>
      </c>
      <c r="I91" s="103"/>
      <c r="J91" s="103"/>
    </row>
    <row r="92" spans="1:10" ht="15" customHeight="1" x14ac:dyDescent="0.3">
      <c r="A92" s="104"/>
      <c r="B92" s="104"/>
      <c r="C92" s="103" t="str">
        <f t="shared" si="8"/>
        <v/>
      </c>
      <c r="D92" s="103" t="str">
        <f t="shared" si="9"/>
        <v/>
      </c>
      <c r="F92" s="103" t="str">
        <f t="shared" si="10"/>
        <v/>
      </c>
      <c r="G92" s="103" t="str">
        <f t="shared" si="11"/>
        <v/>
      </c>
      <c r="I92" s="103"/>
      <c r="J92" s="103"/>
    </row>
    <row r="93" spans="1:10" ht="15" customHeight="1" x14ac:dyDescent="0.3">
      <c r="A93" s="104"/>
      <c r="B93" s="104"/>
      <c r="C93" s="103" t="str">
        <f t="shared" si="8"/>
        <v/>
      </c>
      <c r="D93" s="103" t="str">
        <f t="shared" si="9"/>
        <v/>
      </c>
      <c r="F93" s="103" t="str">
        <f t="shared" si="10"/>
        <v/>
      </c>
      <c r="G93" s="103" t="str">
        <f t="shared" si="11"/>
        <v/>
      </c>
      <c r="I93" s="103"/>
      <c r="J93" s="103"/>
    </row>
    <row r="94" spans="1:10" ht="15" customHeight="1" x14ac:dyDescent="0.3">
      <c r="A94" s="104"/>
      <c r="B94" s="104"/>
      <c r="C94" s="103" t="str">
        <f t="shared" si="8"/>
        <v/>
      </c>
      <c r="D94" s="103" t="str">
        <f t="shared" si="9"/>
        <v/>
      </c>
      <c r="F94" s="103" t="str">
        <f t="shared" si="10"/>
        <v/>
      </c>
      <c r="G94" s="103" t="str">
        <f t="shared" si="11"/>
        <v/>
      </c>
      <c r="I94" s="103"/>
      <c r="J94" s="103"/>
    </row>
    <row r="95" spans="1:10" ht="15" customHeight="1" x14ac:dyDescent="0.3">
      <c r="A95" s="104"/>
      <c r="B95" s="104"/>
      <c r="C95" s="103" t="str">
        <f t="shared" si="8"/>
        <v/>
      </c>
      <c r="D95" s="103" t="str">
        <f t="shared" si="9"/>
        <v/>
      </c>
      <c r="F95" s="103" t="str">
        <f t="shared" si="10"/>
        <v/>
      </c>
      <c r="G95" s="103" t="str">
        <f t="shared" si="11"/>
        <v/>
      </c>
      <c r="I95" s="103"/>
      <c r="J95" s="103"/>
    </row>
    <row r="96" spans="1:10" ht="15" customHeight="1" x14ac:dyDescent="0.3">
      <c r="A96" s="104"/>
      <c r="B96" s="104"/>
      <c r="C96" s="103" t="str">
        <f t="shared" si="8"/>
        <v/>
      </c>
      <c r="D96" s="103" t="str">
        <f t="shared" si="9"/>
        <v/>
      </c>
      <c r="F96" s="103" t="str">
        <f t="shared" si="10"/>
        <v/>
      </c>
      <c r="G96" s="103" t="str">
        <f t="shared" si="11"/>
        <v/>
      </c>
      <c r="I96" s="103"/>
      <c r="J96" s="103"/>
    </row>
    <row r="97" spans="1:10" ht="15" customHeight="1" x14ac:dyDescent="0.3">
      <c r="A97" s="104"/>
      <c r="B97" s="104"/>
      <c r="C97" s="103" t="str">
        <f t="shared" si="8"/>
        <v/>
      </c>
      <c r="D97" s="103" t="str">
        <f t="shared" si="9"/>
        <v/>
      </c>
      <c r="F97" s="103" t="str">
        <f t="shared" si="10"/>
        <v/>
      </c>
      <c r="G97" s="103" t="str">
        <f t="shared" si="11"/>
        <v/>
      </c>
      <c r="I97" s="103"/>
      <c r="J97" s="103"/>
    </row>
    <row r="98" spans="1:10" ht="15" customHeight="1" x14ac:dyDescent="0.3">
      <c r="A98" s="104"/>
      <c r="B98" s="104"/>
      <c r="C98" s="103" t="str">
        <f t="shared" si="8"/>
        <v/>
      </c>
      <c r="D98" s="103" t="str">
        <f t="shared" si="9"/>
        <v/>
      </c>
      <c r="F98" s="103" t="str">
        <f t="shared" si="10"/>
        <v/>
      </c>
      <c r="G98" s="103" t="str">
        <f t="shared" si="11"/>
        <v/>
      </c>
      <c r="I98" s="103"/>
      <c r="J98" s="103"/>
    </row>
    <row r="99" spans="1:10" ht="15" customHeight="1" x14ac:dyDescent="0.3">
      <c r="A99" s="104"/>
      <c r="B99" s="104"/>
      <c r="C99" s="103" t="str">
        <f t="shared" si="8"/>
        <v/>
      </c>
      <c r="D99" s="103" t="str">
        <f t="shared" si="9"/>
        <v/>
      </c>
      <c r="F99" s="103" t="str">
        <f t="shared" si="10"/>
        <v/>
      </c>
      <c r="G99" s="103" t="str">
        <f t="shared" si="11"/>
        <v/>
      </c>
      <c r="I99" s="103"/>
      <c r="J99" s="103"/>
    </row>
    <row r="100" spans="1:10" ht="15" customHeight="1" x14ac:dyDescent="0.3">
      <c r="A100" s="104"/>
      <c r="B100" s="104"/>
      <c r="C100" s="103" t="str">
        <f t="shared" si="8"/>
        <v/>
      </c>
      <c r="D100" s="103" t="str">
        <f t="shared" si="9"/>
        <v/>
      </c>
      <c r="F100" s="103" t="str">
        <f t="shared" si="10"/>
        <v/>
      </c>
      <c r="G100" s="103" t="str">
        <f t="shared" si="11"/>
        <v/>
      </c>
      <c r="I100" s="103"/>
      <c r="J100" s="103"/>
    </row>
    <row r="101" spans="1:10" ht="15" customHeight="1" x14ac:dyDescent="0.3">
      <c r="A101" s="104"/>
      <c r="B101" s="104"/>
      <c r="C101" s="103" t="str">
        <f t="shared" si="8"/>
        <v/>
      </c>
      <c r="D101" s="103" t="str">
        <f t="shared" si="9"/>
        <v/>
      </c>
      <c r="F101" s="103" t="str">
        <f t="shared" si="10"/>
        <v/>
      </c>
      <c r="G101" s="103" t="str">
        <f t="shared" si="11"/>
        <v/>
      </c>
      <c r="I101" s="103"/>
      <c r="J101" s="103"/>
    </row>
    <row r="102" spans="1:10" ht="15" customHeight="1" x14ac:dyDescent="0.3">
      <c r="A102" s="104"/>
      <c r="B102" s="104"/>
      <c r="C102" s="103" t="str">
        <f t="shared" si="8"/>
        <v/>
      </c>
      <c r="D102" s="103" t="str">
        <f t="shared" si="9"/>
        <v/>
      </c>
      <c r="F102" s="103" t="str">
        <f t="shared" si="10"/>
        <v/>
      </c>
      <c r="G102" s="103" t="str">
        <f t="shared" si="11"/>
        <v/>
      </c>
      <c r="I102" s="103"/>
      <c r="J102" s="103"/>
    </row>
    <row r="103" spans="1:10" ht="15" customHeight="1" x14ac:dyDescent="0.3">
      <c r="A103" s="104"/>
      <c r="B103" s="104"/>
      <c r="C103" s="103" t="str">
        <f t="shared" si="8"/>
        <v/>
      </c>
      <c r="D103" s="103" t="str">
        <f t="shared" si="9"/>
        <v/>
      </c>
      <c r="F103" s="103" t="str">
        <f t="shared" si="10"/>
        <v/>
      </c>
      <c r="G103" s="103" t="str">
        <f t="shared" si="11"/>
        <v/>
      </c>
      <c r="I103" s="103"/>
      <c r="J103" s="103"/>
    </row>
    <row r="104" spans="1:10" ht="15" customHeight="1" x14ac:dyDescent="0.3">
      <c r="A104" s="104"/>
      <c r="B104" s="104"/>
      <c r="C104" s="103" t="str">
        <f t="shared" si="8"/>
        <v/>
      </c>
      <c r="D104" s="103" t="str">
        <f t="shared" si="9"/>
        <v/>
      </c>
      <c r="F104" s="103" t="str">
        <f t="shared" si="10"/>
        <v/>
      </c>
      <c r="G104" s="103" t="str">
        <f t="shared" si="11"/>
        <v/>
      </c>
      <c r="I104" s="103"/>
      <c r="J104" s="103"/>
    </row>
    <row r="105" spans="1:10" ht="15" customHeight="1" x14ac:dyDescent="0.3">
      <c r="A105" s="104"/>
      <c r="B105" s="104"/>
      <c r="C105" s="103" t="str">
        <f t="shared" si="8"/>
        <v/>
      </c>
      <c r="D105" s="103" t="str">
        <f t="shared" si="9"/>
        <v/>
      </c>
      <c r="F105" s="103" t="str">
        <f t="shared" si="10"/>
        <v/>
      </c>
      <c r="G105" s="103" t="str">
        <f t="shared" si="11"/>
        <v/>
      </c>
      <c r="I105" s="103"/>
      <c r="J105" s="103"/>
    </row>
    <row r="106" spans="1:10" ht="15" customHeight="1" x14ac:dyDescent="0.3">
      <c r="A106" s="104"/>
      <c r="B106" s="104"/>
      <c r="C106" s="103" t="str">
        <f t="shared" si="8"/>
        <v/>
      </c>
      <c r="D106" s="103" t="str">
        <f t="shared" si="9"/>
        <v/>
      </c>
      <c r="F106" s="103" t="str">
        <f t="shared" si="10"/>
        <v/>
      </c>
      <c r="G106" s="103" t="str">
        <f t="shared" si="11"/>
        <v/>
      </c>
      <c r="I106" s="103"/>
      <c r="J106" s="103"/>
    </row>
    <row r="107" spans="1:10" ht="15" customHeight="1" x14ac:dyDescent="0.3">
      <c r="A107" s="104"/>
      <c r="B107" s="104"/>
      <c r="C107" s="103" t="str">
        <f t="shared" si="8"/>
        <v/>
      </c>
      <c r="D107" s="103" t="str">
        <f t="shared" si="9"/>
        <v/>
      </c>
      <c r="F107" s="103" t="str">
        <f t="shared" si="10"/>
        <v/>
      </c>
      <c r="G107" s="103" t="str">
        <f t="shared" si="11"/>
        <v/>
      </c>
      <c r="I107" s="103"/>
      <c r="J107" s="103"/>
    </row>
    <row r="108" spans="1:10" ht="15" customHeight="1" x14ac:dyDescent="0.3">
      <c r="A108" s="104"/>
      <c r="B108" s="104"/>
      <c r="C108" s="103" t="str">
        <f t="shared" si="8"/>
        <v/>
      </c>
      <c r="D108" s="103" t="str">
        <f t="shared" si="9"/>
        <v/>
      </c>
      <c r="F108" s="103" t="str">
        <f t="shared" si="10"/>
        <v/>
      </c>
      <c r="G108" s="103" t="str">
        <f t="shared" si="11"/>
        <v/>
      </c>
      <c r="I108" s="103"/>
      <c r="J108" s="103"/>
    </row>
    <row r="109" spans="1:10" ht="15" customHeight="1" x14ac:dyDescent="0.3">
      <c r="A109" s="104"/>
      <c r="B109" s="104"/>
      <c r="C109" s="103" t="str">
        <f t="shared" si="8"/>
        <v/>
      </c>
      <c r="D109" s="103" t="str">
        <f t="shared" si="9"/>
        <v/>
      </c>
      <c r="F109" s="103" t="str">
        <f t="shared" si="10"/>
        <v/>
      </c>
      <c r="G109" s="103" t="str">
        <f t="shared" si="11"/>
        <v/>
      </c>
      <c r="I109" s="103"/>
      <c r="J109" s="103"/>
    </row>
    <row r="110" spans="1:10" ht="15" customHeight="1" x14ac:dyDescent="0.3">
      <c r="A110" s="104"/>
      <c r="B110" s="104"/>
      <c r="C110" s="103" t="str">
        <f t="shared" si="8"/>
        <v/>
      </c>
      <c r="D110" s="103" t="str">
        <f t="shared" si="9"/>
        <v/>
      </c>
      <c r="F110" s="103" t="str">
        <f t="shared" si="10"/>
        <v/>
      </c>
      <c r="G110" s="103" t="str">
        <f t="shared" si="11"/>
        <v/>
      </c>
      <c r="I110" s="103"/>
      <c r="J110" s="103"/>
    </row>
    <row r="111" spans="1:10" ht="15" customHeight="1" x14ac:dyDescent="0.3">
      <c r="A111" s="104"/>
      <c r="B111" s="104"/>
      <c r="C111" s="103" t="str">
        <f t="shared" si="8"/>
        <v/>
      </c>
      <c r="D111" s="103" t="str">
        <f t="shared" si="9"/>
        <v/>
      </c>
      <c r="F111" s="103" t="str">
        <f t="shared" si="10"/>
        <v/>
      </c>
      <c r="G111" s="103" t="str">
        <f t="shared" si="11"/>
        <v/>
      </c>
      <c r="I111" s="103"/>
      <c r="J111" s="103"/>
    </row>
    <row r="112" spans="1:10" ht="15" customHeight="1" x14ac:dyDescent="0.3">
      <c r="A112" s="104"/>
      <c r="B112" s="104"/>
      <c r="C112" s="103" t="str">
        <f t="shared" si="8"/>
        <v/>
      </c>
      <c r="D112" s="103" t="str">
        <f t="shared" si="9"/>
        <v/>
      </c>
      <c r="F112" s="103" t="str">
        <f t="shared" si="10"/>
        <v/>
      </c>
      <c r="G112" s="103" t="str">
        <f t="shared" si="11"/>
        <v/>
      </c>
      <c r="I112" s="103"/>
      <c r="J112" s="103"/>
    </row>
    <row r="113" spans="1:10" ht="15" customHeight="1" x14ac:dyDescent="0.3">
      <c r="A113" s="104"/>
      <c r="B113" s="104"/>
      <c r="C113" s="103" t="str">
        <f t="shared" si="8"/>
        <v/>
      </c>
      <c r="D113" s="103" t="str">
        <f t="shared" si="9"/>
        <v/>
      </c>
      <c r="F113" s="103" t="str">
        <f t="shared" si="10"/>
        <v/>
      </c>
      <c r="G113" s="103" t="str">
        <f t="shared" si="11"/>
        <v/>
      </c>
      <c r="I113" s="103"/>
      <c r="J113" s="103"/>
    </row>
    <row r="114" spans="1:10" ht="15" customHeight="1" x14ac:dyDescent="0.3">
      <c r="A114" s="104"/>
      <c r="B114" s="104"/>
      <c r="C114" s="103" t="str">
        <f t="shared" si="8"/>
        <v/>
      </c>
      <c r="D114" s="103" t="str">
        <f t="shared" si="9"/>
        <v/>
      </c>
      <c r="F114" s="103" t="str">
        <f t="shared" si="10"/>
        <v/>
      </c>
      <c r="G114" s="103" t="str">
        <f t="shared" si="11"/>
        <v/>
      </c>
      <c r="I114" s="103"/>
      <c r="J114" s="103"/>
    </row>
    <row r="115" spans="1:10" ht="15" customHeight="1" x14ac:dyDescent="0.3">
      <c r="A115" s="104"/>
      <c r="B115" s="104"/>
      <c r="C115" s="103" t="str">
        <f t="shared" si="8"/>
        <v/>
      </c>
      <c r="D115" s="103" t="str">
        <f t="shared" si="9"/>
        <v/>
      </c>
      <c r="F115" s="103" t="str">
        <f t="shared" si="10"/>
        <v/>
      </c>
      <c r="G115" s="103" t="str">
        <f t="shared" si="11"/>
        <v/>
      </c>
      <c r="I115" s="103"/>
      <c r="J115" s="103"/>
    </row>
    <row r="116" spans="1:10" ht="15" customHeight="1" x14ac:dyDescent="0.3">
      <c r="A116" s="104"/>
      <c r="B116" s="104"/>
      <c r="C116" s="103" t="str">
        <f t="shared" si="8"/>
        <v/>
      </c>
      <c r="D116" s="103" t="str">
        <f t="shared" si="9"/>
        <v/>
      </c>
      <c r="F116" s="103" t="str">
        <f t="shared" si="10"/>
        <v/>
      </c>
      <c r="G116" s="103" t="str">
        <f t="shared" si="11"/>
        <v/>
      </c>
      <c r="I116" s="103"/>
      <c r="J116" s="103"/>
    </row>
    <row r="117" spans="1:10" ht="15" customHeight="1" x14ac:dyDescent="0.3">
      <c r="A117" s="104"/>
      <c r="B117" s="104"/>
      <c r="C117" s="103" t="str">
        <f t="shared" si="8"/>
        <v/>
      </c>
      <c r="D117" s="103" t="str">
        <f t="shared" si="9"/>
        <v/>
      </c>
      <c r="F117" s="103" t="str">
        <f t="shared" si="10"/>
        <v/>
      </c>
      <c r="G117" s="103" t="str">
        <f t="shared" si="11"/>
        <v/>
      </c>
      <c r="I117" s="103"/>
      <c r="J117" s="103"/>
    </row>
    <row r="118" spans="1:10" ht="15" customHeight="1" x14ac:dyDescent="0.3">
      <c r="A118" s="104"/>
      <c r="B118" s="104"/>
      <c r="C118" s="103" t="str">
        <f t="shared" si="8"/>
        <v/>
      </c>
      <c r="D118" s="103" t="str">
        <f t="shared" si="9"/>
        <v/>
      </c>
      <c r="F118" s="103" t="str">
        <f t="shared" si="10"/>
        <v/>
      </c>
      <c r="G118" s="103" t="str">
        <f t="shared" si="11"/>
        <v/>
      </c>
      <c r="I118" s="103"/>
      <c r="J118" s="103"/>
    </row>
    <row r="119" spans="1:10" ht="15" customHeight="1" x14ac:dyDescent="0.3">
      <c r="A119" s="104"/>
      <c r="B119" s="104"/>
      <c r="C119" s="103" t="str">
        <f t="shared" si="8"/>
        <v/>
      </c>
      <c r="D119" s="103" t="str">
        <f t="shared" si="9"/>
        <v/>
      </c>
      <c r="F119" s="103" t="str">
        <f t="shared" si="10"/>
        <v/>
      </c>
      <c r="G119" s="103" t="str">
        <f t="shared" si="11"/>
        <v/>
      </c>
      <c r="I119" s="103"/>
      <c r="J119" s="103"/>
    </row>
    <row r="120" spans="1:10" ht="15" customHeight="1" x14ac:dyDescent="0.3">
      <c r="A120" s="104"/>
      <c r="B120" s="104"/>
      <c r="C120" s="103" t="str">
        <f t="shared" si="8"/>
        <v/>
      </c>
      <c r="D120" s="103" t="str">
        <f t="shared" si="9"/>
        <v/>
      </c>
      <c r="F120" s="103" t="str">
        <f t="shared" si="10"/>
        <v/>
      </c>
      <c r="G120" s="103" t="str">
        <f t="shared" si="11"/>
        <v/>
      </c>
      <c r="I120" s="103"/>
      <c r="J120" s="103"/>
    </row>
    <row r="121" spans="1:10" ht="15" customHeight="1" x14ac:dyDescent="0.3">
      <c r="A121" s="104"/>
      <c r="B121" s="104"/>
      <c r="C121" s="103" t="str">
        <f t="shared" si="8"/>
        <v/>
      </c>
      <c r="D121" s="103" t="str">
        <f t="shared" si="9"/>
        <v/>
      </c>
      <c r="F121" s="103" t="str">
        <f t="shared" si="10"/>
        <v/>
      </c>
      <c r="G121" s="103" t="str">
        <f t="shared" si="11"/>
        <v/>
      </c>
      <c r="I121" s="103"/>
      <c r="J121" s="103"/>
    </row>
    <row r="122" spans="1:10" ht="15" customHeight="1" x14ac:dyDescent="0.3">
      <c r="A122" s="104"/>
      <c r="B122" s="104"/>
      <c r="C122" s="103" t="str">
        <f t="shared" si="8"/>
        <v/>
      </c>
      <c r="D122" s="103" t="str">
        <f t="shared" si="9"/>
        <v/>
      </c>
      <c r="F122" s="103" t="str">
        <f t="shared" si="10"/>
        <v/>
      </c>
      <c r="G122" s="103" t="str">
        <f t="shared" si="11"/>
        <v/>
      </c>
      <c r="I122" s="103"/>
      <c r="J122" s="103"/>
    </row>
    <row r="123" spans="1:10" ht="15" customHeight="1" x14ac:dyDescent="0.3">
      <c r="A123" s="104"/>
      <c r="B123" s="104"/>
      <c r="C123" s="103" t="str">
        <f t="shared" si="8"/>
        <v/>
      </c>
      <c r="D123" s="103" t="str">
        <f t="shared" si="9"/>
        <v/>
      </c>
      <c r="F123" s="103" t="str">
        <f t="shared" si="10"/>
        <v/>
      </c>
      <c r="G123" s="103" t="str">
        <f t="shared" si="11"/>
        <v/>
      </c>
      <c r="I123" s="103"/>
      <c r="J123" s="103"/>
    </row>
    <row r="124" spans="1:10" ht="15" customHeight="1" x14ac:dyDescent="0.3">
      <c r="A124" s="104"/>
      <c r="B124" s="104"/>
      <c r="C124" s="103" t="str">
        <f t="shared" si="8"/>
        <v/>
      </c>
      <c r="D124" s="103" t="str">
        <f t="shared" si="9"/>
        <v/>
      </c>
      <c r="F124" s="103" t="str">
        <f t="shared" si="10"/>
        <v/>
      </c>
      <c r="G124" s="103" t="str">
        <f t="shared" si="11"/>
        <v/>
      </c>
      <c r="I124" s="103"/>
      <c r="J124" s="103"/>
    </row>
    <row r="125" spans="1:10" ht="15" customHeight="1" x14ac:dyDescent="0.3">
      <c r="A125" s="104"/>
      <c r="B125" s="104"/>
      <c r="C125" s="103" t="str">
        <f t="shared" si="8"/>
        <v/>
      </c>
      <c r="D125" s="103" t="str">
        <f t="shared" si="9"/>
        <v/>
      </c>
      <c r="F125" s="103" t="str">
        <f t="shared" si="10"/>
        <v/>
      </c>
      <c r="G125" s="103" t="str">
        <f t="shared" si="11"/>
        <v/>
      </c>
      <c r="I125" s="103"/>
      <c r="J125" s="103"/>
    </row>
    <row r="126" spans="1:10" ht="15" customHeight="1" x14ac:dyDescent="0.3">
      <c r="A126" s="104"/>
      <c r="B126" s="104"/>
      <c r="C126" s="103" t="str">
        <f t="shared" si="8"/>
        <v/>
      </c>
      <c r="D126" s="103" t="str">
        <f t="shared" si="9"/>
        <v/>
      </c>
      <c r="F126" s="103" t="str">
        <f t="shared" si="10"/>
        <v/>
      </c>
      <c r="G126" s="103" t="str">
        <f t="shared" si="11"/>
        <v/>
      </c>
      <c r="I126" s="103"/>
      <c r="J126" s="103"/>
    </row>
    <row r="127" spans="1:10" ht="15" customHeight="1" x14ac:dyDescent="0.3">
      <c r="A127" s="104"/>
      <c r="B127" s="104"/>
      <c r="C127" s="103" t="str">
        <f t="shared" si="8"/>
        <v/>
      </c>
      <c r="D127" s="103" t="str">
        <f t="shared" si="9"/>
        <v/>
      </c>
      <c r="F127" s="103" t="str">
        <f t="shared" si="10"/>
        <v/>
      </c>
      <c r="G127" s="103" t="str">
        <f t="shared" si="11"/>
        <v/>
      </c>
      <c r="I127" s="103"/>
      <c r="J127" s="103"/>
    </row>
    <row r="128" spans="1:10" ht="15" customHeight="1" x14ac:dyDescent="0.3">
      <c r="A128" s="104"/>
      <c r="B128" s="104"/>
      <c r="C128" s="103" t="str">
        <f t="shared" si="8"/>
        <v/>
      </c>
      <c r="D128" s="103" t="str">
        <f t="shared" si="9"/>
        <v/>
      </c>
      <c r="F128" s="103" t="str">
        <f t="shared" si="10"/>
        <v/>
      </c>
      <c r="G128" s="103" t="str">
        <f t="shared" si="11"/>
        <v/>
      </c>
      <c r="I128" s="103"/>
      <c r="J128" s="103"/>
    </row>
    <row r="129" spans="1:10" ht="15" customHeight="1" x14ac:dyDescent="0.3">
      <c r="A129" s="104"/>
      <c r="B129" s="104"/>
      <c r="C129" s="103" t="str">
        <f t="shared" si="8"/>
        <v/>
      </c>
      <c r="D129" s="103" t="str">
        <f t="shared" si="9"/>
        <v/>
      </c>
      <c r="F129" s="103" t="str">
        <f t="shared" si="10"/>
        <v/>
      </c>
      <c r="G129" s="103" t="str">
        <f t="shared" si="11"/>
        <v/>
      </c>
      <c r="I129" s="103"/>
      <c r="J129" s="103"/>
    </row>
    <row r="130" spans="1:10" ht="15" customHeight="1" x14ac:dyDescent="0.3">
      <c r="A130" s="104"/>
      <c r="B130" s="104"/>
      <c r="C130" s="103" t="str">
        <f t="shared" si="8"/>
        <v/>
      </c>
      <c r="D130" s="103" t="str">
        <f t="shared" si="9"/>
        <v/>
      </c>
      <c r="F130" s="103" t="str">
        <f t="shared" si="10"/>
        <v/>
      </c>
      <c r="G130" s="103" t="str">
        <f t="shared" si="11"/>
        <v/>
      </c>
      <c r="I130" s="103"/>
      <c r="J130" s="103"/>
    </row>
    <row r="131" spans="1:10" ht="15" customHeight="1" x14ac:dyDescent="0.3">
      <c r="A131" s="104"/>
      <c r="B131" s="104"/>
      <c r="C131" s="103" t="str">
        <f t="shared" si="8"/>
        <v/>
      </c>
      <c r="D131" s="103" t="str">
        <f t="shared" si="9"/>
        <v/>
      </c>
      <c r="F131" s="103" t="str">
        <f t="shared" si="10"/>
        <v/>
      </c>
      <c r="G131" s="103" t="str">
        <f t="shared" si="11"/>
        <v/>
      </c>
      <c r="I131" s="103"/>
      <c r="J131" s="103"/>
    </row>
    <row r="132" spans="1:10" ht="15" customHeight="1" x14ac:dyDescent="0.3">
      <c r="A132" s="104"/>
      <c r="B132" s="104"/>
      <c r="C132" s="103" t="str">
        <f t="shared" si="8"/>
        <v/>
      </c>
      <c r="D132" s="103" t="str">
        <f t="shared" si="9"/>
        <v/>
      </c>
      <c r="F132" s="103" t="str">
        <f t="shared" si="10"/>
        <v/>
      </c>
      <c r="G132" s="103" t="str">
        <f t="shared" si="11"/>
        <v/>
      </c>
      <c r="I132" s="103"/>
      <c r="J132" s="103"/>
    </row>
    <row r="133" spans="1:10" ht="15" customHeight="1" x14ac:dyDescent="0.3">
      <c r="A133" s="104"/>
      <c r="B133" s="104"/>
      <c r="C133" s="103" t="str">
        <f t="shared" si="8"/>
        <v/>
      </c>
      <c r="D133" s="103" t="str">
        <f t="shared" si="9"/>
        <v/>
      </c>
      <c r="F133" s="103" t="str">
        <f t="shared" si="10"/>
        <v/>
      </c>
      <c r="G133" s="103" t="str">
        <f t="shared" si="11"/>
        <v/>
      </c>
      <c r="I133" s="103"/>
      <c r="J133" s="103"/>
    </row>
    <row r="134" spans="1:10" ht="15" customHeight="1" x14ac:dyDescent="0.3">
      <c r="A134" s="104"/>
      <c r="B134" s="104"/>
      <c r="C134" s="103" t="str">
        <f t="shared" si="8"/>
        <v/>
      </c>
      <c r="D134" s="103" t="str">
        <f t="shared" si="9"/>
        <v/>
      </c>
      <c r="F134" s="103" t="str">
        <f t="shared" si="10"/>
        <v/>
      </c>
      <c r="G134" s="103" t="str">
        <f t="shared" si="11"/>
        <v/>
      </c>
      <c r="I134" s="103"/>
      <c r="J134" s="103"/>
    </row>
    <row r="135" spans="1:10" ht="15" customHeight="1" x14ac:dyDescent="0.3">
      <c r="A135" s="104"/>
      <c r="B135" s="104"/>
      <c r="C135" s="103" t="str">
        <f t="shared" si="8"/>
        <v/>
      </c>
      <c r="D135" s="103" t="str">
        <f t="shared" si="9"/>
        <v/>
      </c>
      <c r="F135" s="103" t="str">
        <f t="shared" si="10"/>
        <v/>
      </c>
      <c r="G135" s="103" t="str">
        <f t="shared" si="11"/>
        <v/>
      </c>
      <c r="I135" s="103"/>
      <c r="J135" s="103"/>
    </row>
    <row r="136" spans="1:10" ht="15" customHeight="1" x14ac:dyDescent="0.3">
      <c r="A136" s="104"/>
      <c r="B136" s="104"/>
      <c r="C136" s="103" t="str">
        <f t="shared" si="8"/>
        <v/>
      </c>
      <c r="D136" s="103" t="str">
        <f t="shared" si="9"/>
        <v/>
      </c>
      <c r="F136" s="103" t="str">
        <f t="shared" si="10"/>
        <v/>
      </c>
      <c r="G136" s="103" t="str">
        <f t="shared" si="11"/>
        <v/>
      </c>
      <c r="I136" s="103"/>
      <c r="J136" s="103"/>
    </row>
    <row r="137" spans="1:10" ht="15" customHeight="1" x14ac:dyDescent="0.3">
      <c r="A137" s="104"/>
      <c r="B137" s="104"/>
      <c r="C137" s="103" t="str">
        <f t="shared" si="8"/>
        <v/>
      </c>
      <c r="D137" s="103" t="str">
        <f t="shared" si="9"/>
        <v/>
      </c>
      <c r="F137" s="103" t="str">
        <f t="shared" si="10"/>
        <v/>
      </c>
      <c r="G137" s="103" t="str">
        <f t="shared" si="11"/>
        <v/>
      </c>
      <c r="I137" s="103"/>
      <c r="J137" s="103"/>
    </row>
    <row r="138" spans="1:10" ht="15" customHeight="1" x14ac:dyDescent="0.3">
      <c r="A138" s="104"/>
      <c r="B138" s="104"/>
      <c r="C138" s="103" t="str">
        <f t="shared" si="8"/>
        <v/>
      </c>
      <c r="D138" s="103" t="str">
        <f t="shared" si="9"/>
        <v/>
      </c>
      <c r="F138" s="103" t="str">
        <f t="shared" si="10"/>
        <v/>
      </c>
      <c r="G138" s="103" t="str">
        <f t="shared" si="11"/>
        <v/>
      </c>
      <c r="I138" s="103"/>
      <c r="J138" s="103"/>
    </row>
    <row r="139" spans="1:10" ht="15" customHeight="1" x14ac:dyDescent="0.3">
      <c r="A139" s="104"/>
      <c r="B139" s="104"/>
      <c r="C139" s="103" t="str">
        <f t="shared" si="8"/>
        <v/>
      </c>
      <c r="D139" s="103" t="str">
        <f t="shared" si="9"/>
        <v/>
      </c>
      <c r="F139" s="103" t="str">
        <f t="shared" si="10"/>
        <v/>
      </c>
      <c r="G139" s="103" t="str">
        <f t="shared" si="11"/>
        <v/>
      </c>
      <c r="I139" s="103"/>
      <c r="J139" s="103"/>
    </row>
    <row r="140" spans="1:10" ht="15" customHeight="1" x14ac:dyDescent="0.3">
      <c r="A140" s="104"/>
      <c r="B140" s="104"/>
      <c r="C140" s="103" t="str">
        <f t="shared" si="8"/>
        <v/>
      </c>
      <c r="D140" s="103" t="str">
        <f t="shared" si="9"/>
        <v/>
      </c>
      <c r="F140" s="103" t="str">
        <f t="shared" si="10"/>
        <v/>
      </c>
      <c r="G140" s="103" t="str">
        <f t="shared" si="11"/>
        <v/>
      </c>
      <c r="I140" s="103"/>
      <c r="J140" s="103"/>
    </row>
    <row r="141" spans="1:10" ht="15" customHeight="1" x14ac:dyDescent="0.3">
      <c r="A141" s="104"/>
      <c r="B141" s="104"/>
      <c r="C141" s="103" t="str">
        <f t="shared" si="8"/>
        <v/>
      </c>
      <c r="D141" s="103" t="str">
        <f t="shared" si="9"/>
        <v/>
      </c>
      <c r="F141" s="103" t="str">
        <f t="shared" si="10"/>
        <v/>
      </c>
      <c r="G141" s="103" t="str">
        <f t="shared" si="11"/>
        <v/>
      </c>
      <c r="I141" s="103"/>
      <c r="J141" s="103"/>
    </row>
    <row r="142" spans="1:10" ht="15" customHeight="1" x14ac:dyDescent="0.3">
      <c r="A142" s="104"/>
      <c r="B142" s="104"/>
      <c r="C142" s="103" t="str">
        <f t="shared" si="8"/>
        <v/>
      </c>
      <c r="D142" s="103" t="str">
        <f t="shared" si="9"/>
        <v/>
      </c>
      <c r="F142" s="103" t="str">
        <f t="shared" si="10"/>
        <v/>
      </c>
      <c r="G142" s="103" t="str">
        <f t="shared" si="11"/>
        <v/>
      </c>
      <c r="I142" s="103"/>
      <c r="J142" s="103"/>
    </row>
    <row r="143" spans="1:10" ht="15" customHeight="1" x14ac:dyDescent="0.3">
      <c r="A143" s="104"/>
      <c r="B143" s="104"/>
      <c r="C143" s="103" t="str">
        <f t="shared" si="8"/>
        <v/>
      </c>
      <c r="D143" s="103" t="str">
        <f t="shared" si="9"/>
        <v/>
      </c>
      <c r="F143" s="103" t="str">
        <f t="shared" si="10"/>
        <v/>
      </c>
      <c r="G143" s="103" t="str">
        <f t="shared" si="11"/>
        <v/>
      </c>
      <c r="I143" s="103"/>
      <c r="J143" s="103"/>
    </row>
    <row r="144" spans="1:10" ht="15" customHeight="1" x14ac:dyDescent="0.3">
      <c r="A144" s="104"/>
      <c r="B144" s="104"/>
      <c r="C144" s="103" t="str">
        <f t="shared" si="8"/>
        <v/>
      </c>
      <c r="D144" s="103" t="str">
        <f t="shared" si="9"/>
        <v/>
      </c>
      <c r="F144" s="103" t="str">
        <f t="shared" si="10"/>
        <v/>
      </c>
      <c r="G144" s="103" t="str">
        <f t="shared" si="11"/>
        <v/>
      </c>
      <c r="I144" s="103"/>
      <c r="J144" s="103"/>
    </row>
    <row r="145" spans="1:10" ht="15" customHeight="1" x14ac:dyDescent="0.3">
      <c r="A145" s="104"/>
      <c r="B145" s="104"/>
      <c r="C145" s="103" t="str">
        <f t="shared" ref="C145:C194" si="12">IF(LEN(B145)&gt;1,IF(ISNUMBER(F145),F145,I145),"")</f>
        <v/>
      </c>
      <c r="D145" s="103" t="str">
        <f t="shared" ref="D145:D194" si="13">IF(LEN(B145)&gt;1,IF(ISNUMBER(G145),G145,J145),"")</f>
        <v/>
      </c>
      <c r="F145" s="103" t="str">
        <f t="shared" ref="F145:F194" si="14">IF(LEN(B145)&gt;1,_FV(A145,"Previous close",TRUE),"")</f>
        <v/>
      </c>
      <c r="G145" s="103" t="str">
        <f t="shared" ref="G145:G194" si="15">IF(LEN(B145)&gt;1,_FV(A145,"Price"),"")</f>
        <v/>
      </c>
      <c r="I145" s="103"/>
      <c r="J145" s="103"/>
    </row>
    <row r="146" spans="1:10" ht="15" customHeight="1" x14ac:dyDescent="0.3">
      <c r="A146" s="104"/>
      <c r="B146" s="104"/>
      <c r="C146" s="103" t="str">
        <f t="shared" si="12"/>
        <v/>
      </c>
      <c r="D146" s="103" t="str">
        <f t="shared" si="13"/>
        <v/>
      </c>
      <c r="F146" s="103" t="str">
        <f t="shared" si="14"/>
        <v/>
      </c>
      <c r="G146" s="103" t="str">
        <f t="shared" si="15"/>
        <v/>
      </c>
      <c r="I146" s="103"/>
      <c r="J146" s="103"/>
    </row>
    <row r="147" spans="1:10" ht="15" customHeight="1" x14ac:dyDescent="0.3">
      <c r="A147" s="104"/>
      <c r="B147" s="104"/>
      <c r="C147" s="103" t="str">
        <f t="shared" si="12"/>
        <v/>
      </c>
      <c r="D147" s="103" t="str">
        <f t="shared" si="13"/>
        <v/>
      </c>
      <c r="F147" s="103" t="str">
        <f t="shared" si="14"/>
        <v/>
      </c>
      <c r="G147" s="103" t="str">
        <f t="shared" si="15"/>
        <v/>
      </c>
      <c r="I147" s="103"/>
      <c r="J147" s="103"/>
    </row>
    <row r="148" spans="1:10" ht="15" customHeight="1" x14ac:dyDescent="0.3">
      <c r="A148" s="104"/>
      <c r="B148" s="104"/>
      <c r="C148" s="103" t="str">
        <f t="shared" si="12"/>
        <v/>
      </c>
      <c r="D148" s="103" t="str">
        <f t="shared" si="13"/>
        <v/>
      </c>
      <c r="F148" s="103" t="str">
        <f t="shared" si="14"/>
        <v/>
      </c>
      <c r="G148" s="103" t="str">
        <f t="shared" si="15"/>
        <v/>
      </c>
      <c r="I148" s="103"/>
      <c r="J148" s="103"/>
    </row>
    <row r="149" spans="1:10" ht="15" customHeight="1" x14ac:dyDescent="0.3">
      <c r="A149" s="104"/>
      <c r="B149" s="104"/>
      <c r="C149" s="103" t="str">
        <f t="shared" si="12"/>
        <v/>
      </c>
      <c r="D149" s="103" t="str">
        <f t="shared" si="13"/>
        <v/>
      </c>
      <c r="F149" s="103" t="str">
        <f t="shared" si="14"/>
        <v/>
      </c>
      <c r="G149" s="103" t="str">
        <f t="shared" si="15"/>
        <v/>
      </c>
      <c r="I149" s="103"/>
      <c r="J149" s="103"/>
    </row>
    <row r="150" spans="1:10" ht="15" customHeight="1" x14ac:dyDescent="0.3">
      <c r="A150" s="104"/>
      <c r="B150" s="104"/>
      <c r="C150" s="103" t="str">
        <f t="shared" si="12"/>
        <v/>
      </c>
      <c r="D150" s="103" t="str">
        <f t="shared" si="13"/>
        <v/>
      </c>
      <c r="F150" s="103" t="str">
        <f t="shared" si="14"/>
        <v/>
      </c>
      <c r="G150" s="103" t="str">
        <f t="shared" si="15"/>
        <v/>
      </c>
      <c r="I150" s="103"/>
      <c r="J150" s="103"/>
    </row>
    <row r="151" spans="1:10" ht="15" customHeight="1" x14ac:dyDescent="0.3">
      <c r="A151" s="104"/>
      <c r="B151" s="104"/>
      <c r="C151" s="103" t="str">
        <f t="shared" si="12"/>
        <v/>
      </c>
      <c r="D151" s="103" t="str">
        <f t="shared" si="13"/>
        <v/>
      </c>
      <c r="F151" s="103" t="str">
        <f t="shared" si="14"/>
        <v/>
      </c>
      <c r="G151" s="103" t="str">
        <f t="shared" si="15"/>
        <v/>
      </c>
      <c r="I151" s="103"/>
      <c r="J151" s="103"/>
    </row>
    <row r="152" spans="1:10" ht="15" customHeight="1" x14ac:dyDescent="0.3">
      <c r="A152" s="104"/>
      <c r="B152" s="104"/>
      <c r="C152" s="103" t="str">
        <f t="shared" si="12"/>
        <v/>
      </c>
      <c r="D152" s="103" t="str">
        <f t="shared" si="13"/>
        <v/>
      </c>
      <c r="F152" s="103" t="str">
        <f t="shared" si="14"/>
        <v/>
      </c>
      <c r="G152" s="103" t="str">
        <f t="shared" si="15"/>
        <v/>
      </c>
      <c r="I152" s="103"/>
      <c r="J152" s="103"/>
    </row>
    <row r="153" spans="1:10" ht="15" customHeight="1" x14ac:dyDescent="0.3">
      <c r="A153" s="104"/>
      <c r="B153" s="104"/>
      <c r="C153" s="103" t="str">
        <f t="shared" si="12"/>
        <v/>
      </c>
      <c r="D153" s="103" t="str">
        <f t="shared" si="13"/>
        <v/>
      </c>
      <c r="F153" s="103" t="str">
        <f t="shared" si="14"/>
        <v/>
      </c>
      <c r="G153" s="103" t="str">
        <f t="shared" si="15"/>
        <v/>
      </c>
      <c r="I153" s="103"/>
      <c r="J153" s="103"/>
    </row>
    <row r="154" spans="1:10" ht="15" customHeight="1" x14ac:dyDescent="0.3">
      <c r="A154" s="104"/>
      <c r="B154" s="104"/>
      <c r="C154" s="103" t="str">
        <f t="shared" si="12"/>
        <v/>
      </c>
      <c r="D154" s="103" t="str">
        <f t="shared" si="13"/>
        <v/>
      </c>
      <c r="F154" s="103" t="str">
        <f t="shared" si="14"/>
        <v/>
      </c>
      <c r="G154" s="103" t="str">
        <f t="shared" si="15"/>
        <v/>
      </c>
      <c r="I154" s="103"/>
      <c r="J154" s="103"/>
    </row>
    <row r="155" spans="1:10" ht="15" customHeight="1" x14ac:dyDescent="0.3">
      <c r="A155" s="104"/>
      <c r="B155" s="104"/>
      <c r="C155" s="103" t="str">
        <f t="shared" si="12"/>
        <v/>
      </c>
      <c r="D155" s="103" t="str">
        <f t="shared" si="13"/>
        <v/>
      </c>
      <c r="F155" s="103" t="str">
        <f t="shared" si="14"/>
        <v/>
      </c>
      <c r="G155" s="103" t="str">
        <f t="shared" si="15"/>
        <v/>
      </c>
      <c r="I155" s="103"/>
      <c r="J155" s="103"/>
    </row>
    <row r="156" spans="1:10" ht="15" customHeight="1" x14ac:dyDescent="0.3">
      <c r="A156" s="104"/>
      <c r="B156" s="104"/>
      <c r="C156" s="103" t="str">
        <f t="shared" si="12"/>
        <v/>
      </c>
      <c r="D156" s="103" t="str">
        <f t="shared" si="13"/>
        <v/>
      </c>
      <c r="F156" s="103" t="str">
        <f t="shared" si="14"/>
        <v/>
      </c>
      <c r="G156" s="103" t="str">
        <f t="shared" si="15"/>
        <v/>
      </c>
      <c r="I156" s="103"/>
      <c r="J156" s="103"/>
    </row>
    <row r="157" spans="1:10" ht="15" customHeight="1" x14ac:dyDescent="0.3">
      <c r="A157" s="104"/>
      <c r="B157" s="104"/>
      <c r="C157" s="103" t="str">
        <f t="shared" si="12"/>
        <v/>
      </c>
      <c r="D157" s="103" t="str">
        <f t="shared" si="13"/>
        <v/>
      </c>
      <c r="F157" s="103" t="str">
        <f t="shared" si="14"/>
        <v/>
      </c>
      <c r="G157" s="103" t="str">
        <f t="shared" si="15"/>
        <v/>
      </c>
      <c r="I157" s="103"/>
      <c r="J157" s="103"/>
    </row>
    <row r="158" spans="1:10" ht="15" customHeight="1" x14ac:dyDescent="0.3">
      <c r="A158" s="104"/>
      <c r="B158" s="104"/>
      <c r="C158" s="103" t="str">
        <f t="shared" si="12"/>
        <v/>
      </c>
      <c r="D158" s="103" t="str">
        <f t="shared" si="13"/>
        <v/>
      </c>
      <c r="F158" s="103" t="str">
        <f t="shared" si="14"/>
        <v/>
      </c>
      <c r="G158" s="103" t="str">
        <f t="shared" si="15"/>
        <v/>
      </c>
      <c r="I158" s="103"/>
      <c r="J158" s="103"/>
    </row>
    <row r="159" spans="1:10" ht="15" customHeight="1" x14ac:dyDescent="0.3">
      <c r="A159" s="104"/>
      <c r="B159" s="104"/>
      <c r="C159" s="103" t="str">
        <f t="shared" si="12"/>
        <v/>
      </c>
      <c r="D159" s="103" t="str">
        <f t="shared" si="13"/>
        <v/>
      </c>
      <c r="F159" s="103" t="str">
        <f t="shared" si="14"/>
        <v/>
      </c>
      <c r="G159" s="103" t="str">
        <f t="shared" si="15"/>
        <v/>
      </c>
      <c r="I159" s="103"/>
      <c r="J159" s="103"/>
    </row>
    <row r="160" spans="1:10" ht="15" customHeight="1" x14ac:dyDescent="0.3">
      <c r="A160" s="104"/>
      <c r="B160" s="104"/>
      <c r="C160" s="103" t="str">
        <f t="shared" si="12"/>
        <v/>
      </c>
      <c r="D160" s="103" t="str">
        <f t="shared" si="13"/>
        <v/>
      </c>
      <c r="F160" s="103" t="str">
        <f t="shared" si="14"/>
        <v/>
      </c>
      <c r="G160" s="103" t="str">
        <f t="shared" si="15"/>
        <v/>
      </c>
      <c r="I160" s="103"/>
      <c r="J160" s="103"/>
    </row>
    <row r="161" spans="1:10" ht="15" customHeight="1" x14ac:dyDescent="0.3">
      <c r="A161" s="104"/>
      <c r="B161" s="104"/>
      <c r="C161" s="103" t="str">
        <f t="shared" si="12"/>
        <v/>
      </c>
      <c r="D161" s="103" t="str">
        <f t="shared" si="13"/>
        <v/>
      </c>
      <c r="F161" s="103" t="str">
        <f t="shared" si="14"/>
        <v/>
      </c>
      <c r="G161" s="103" t="str">
        <f t="shared" si="15"/>
        <v/>
      </c>
      <c r="I161" s="103"/>
      <c r="J161" s="103"/>
    </row>
    <row r="162" spans="1:10" ht="15" customHeight="1" x14ac:dyDescent="0.3">
      <c r="A162" s="104"/>
      <c r="B162" s="104"/>
      <c r="C162" s="103" t="str">
        <f t="shared" si="12"/>
        <v/>
      </c>
      <c r="D162" s="103" t="str">
        <f t="shared" si="13"/>
        <v/>
      </c>
      <c r="F162" s="103" t="str">
        <f t="shared" si="14"/>
        <v/>
      </c>
      <c r="G162" s="103" t="str">
        <f t="shared" si="15"/>
        <v/>
      </c>
      <c r="I162" s="103"/>
      <c r="J162" s="103"/>
    </row>
    <row r="163" spans="1:10" ht="15" customHeight="1" x14ac:dyDescent="0.3">
      <c r="A163" s="104"/>
      <c r="B163" s="104"/>
      <c r="C163" s="103" t="str">
        <f t="shared" si="12"/>
        <v/>
      </c>
      <c r="D163" s="103" t="str">
        <f t="shared" si="13"/>
        <v/>
      </c>
      <c r="F163" s="103" t="str">
        <f t="shared" si="14"/>
        <v/>
      </c>
      <c r="G163" s="103" t="str">
        <f t="shared" si="15"/>
        <v/>
      </c>
      <c r="I163" s="103"/>
      <c r="J163" s="103"/>
    </row>
    <row r="164" spans="1:10" ht="15" customHeight="1" x14ac:dyDescent="0.3">
      <c r="A164" s="104"/>
      <c r="B164" s="104"/>
      <c r="C164" s="103" t="str">
        <f t="shared" si="12"/>
        <v/>
      </c>
      <c r="D164" s="103" t="str">
        <f t="shared" si="13"/>
        <v/>
      </c>
      <c r="F164" s="103" t="str">
        <f t="shared" si="14"/>
        <v/>
      </c>
      <c r="G164" s="103" t="str">
        <f t="shared" si="15"/>
        <v/>
      </c>
      <c r="I164" s="103"/>
      <c r="J164" s="103"/>
    </row>
    <row r="165" spans="1:10" ht="15" customHeight="1" x14ac:dyDescent="0.3">
      <c r="A165" s="104"/>
      <c r="B165" s="104"/>
      <c r="C165" s="103" t="str">
        <f t="shared" si="12"/>
        <v/>
      </c>
      <c r="D165" s="103" t="str">
        <f t="shared" si="13"/>
        <v/>
      </c>
      <c r="F165" s="103" t="str">
        <f t="shared" si="14"/>
        <v/>
      </c>
      <c r="G165" s="103" t="str">
        <f t="shared" si="15"/>
        <v/>
      </c>
      <c r="I165" s="103"/>
      <c r="J165" s="103"/>
    </row>
    <row r="166" spans="1:10" ht="15" customHeight="1" x14ac:dyDescent="0.3">
      <c r="A166" s="104"/>
      <c r="B166" s="104"/>
      <c r="C166" s="103" t="str">
        <f t="shared" si="12"/>
        <v/>
      </c>
      <c r="D166" s="103" t="str">
        <f t="shared" si="13"/>
        <v/>
      </c>
      <c r="F166" s="103" t="str">
        <f t="shared" si="14"/>
        <v/>
      </c>
      <c r="G166" s="103" t="str">
        <f t="shared" si="15"/>
        <v/>
      </c>
      <c r="I166" s="103"/>
      <c r="J166" s="103"/>
    </row>
    <row r="167" spans="1:10" ht="15" customHeight="1" x14ac:dyDescent="0.3">
      <c r="A167" s="104"/>
      <c r="B167" s="104"/>
      <c r="C167" s="103" t="str">
        <f t="shared" si="12"/>
        <v/>
      </c>
      <c r="D167" s="103" t="str">
        <f t="shared" si="13"/>
        <v/>
      </c>
      <c r="F167" s="103" t="str">
        <f t="shared" si="14"/>
        <v/>
      </c>
      <c r="G167" s="103" t="str">
        <f t="shared" si="15"/>
        <v/>
      </c>
      <c r="I167" s="103"/>
      <c r="J167" s="103"/>
    </row>
    <row r="168" spans="1:10" ht="15" customHeight="1" x14ac:dyDescent="0.3">
      <c r="A168" s="104"/>
      <c r="B168" s="104"/>
      <c r="C168" s="103" t="str">
        <f t="shared" si="12"/>
        <v/>
      </c>
      <c r="D168" s="103" t="str">
        <f t="shared" si="13"/>
        <v/>
      </c>
      <c r="F168" s="103" t="str">
        <f t="shared" si="14"/>
        <v/>
      </c>
      <c r="G168" s="103" t="str">
        <f t="shared" si="15"/>
        <v/>
      </c>
      <c r="I168" s="103"/>
      <c r="J168" s="103"/>
    </row>
    <row r="169" spans="1:10" ht="15" customHeight="1" x14ac:dyDescent="0.3">
      <c r="A169" s="104"/>
      <c r="B169" s="104"/>
      <c r="C169" s="103" t="str">
        <f t="shared" si="12"/>
        <v/>
      </c>
      <c r="D169" s="103" t="str">
        <f t="shared" si="13"/>
        <v/>
      </c>
      <c r="F169" s="103" t="str">
        <f t="shared" si="14"/>
        <v/>
      </c>
      <c r="G169" s="103" t="str">
        <f t="shared" si="15"/>
        <v/>
      </c>
      <c r="I169" s="103"/>
      <c r="J169" s="103"/>
    </row>
    <row r="170" spans="1:10" ht="15" customHeight="1" x14ac:dyDescent="0.3">
      <c r="A170" s="104"/>
      <c r="B170" s="104"/>
      <c r="C170" s="103" t="str">
        <f t="shared" si="12"/>
        <v/>
      </c>
      <c r="D170" s="103" t="str">
        <f t="shared" si="13"/>
        <v/>
      </c>
      <c r="F170" s="103" t="str">
        <f t="shared" si="14"/>
        <v/>
      </c>
      <c r="G170" s="103" t="str">
        <f t="shared" si="15"/>
        <v/>
      </c>
      <c r="I170" s="103"/>
      <c r="J170" s="103"/>
    </row>
    <row r="171" spans="1:10" ht="15" customHeight="1" x14ac:dyDescent="0.3">
      <c r="A171" s="104"/>
      <c r="B171" s="104"/>
      <c r="C171" s="103" t="str">
        <f t="shared" si="12"/>
        <v/>
      </c>
      <c r="D171" s="103" t="str">
        <f t="shared" si="13"/>
        <v/>
      </c>
      <c r="F171" s="103" t="str">
        <f t="shared" si="14"/>
        <v/>
      </c>
      <c r="G171" s="103" t="str">
        <f t="shared" si="15"/>
        <v/>
      </c>
      <c r="I171" s="103"/>
      <c r="J171" s="103"/>
    </row>
    <row r="172" spans="1:10" ht="15" customHeight="1" x14ac:dyDescent="0.3">
      <c r="A172" s="104"/>
      <c r="B172" s="104"/>
      <c r="C172" s="103" t="str">
        <f t="shared" si="12"/>
        <v/>
      </c>
      <c r="D172" s="103" t="str">
        <f t="shared" si="13"/>
        <v/>
      </c>
      <c r="F172" s="103" t="str">
        <f t="shared" si="14"/>
        <v/>
      </c>
      <c r="G172" s="103" t="str">
        <f t="shared" si="15"/>
        <v/>
      </c>
      <c r="I172" s="103"/>
      <c r="J172" s="103"/>
    </row>
    <row r="173" spans="1:10" ht="15" customHeight="1" x14ac:dyDescent="0.3">
      <c r="A173" s="104"/>
      <c r="B173" s="104"/>
      <c r="C173" s="103" t="str">
        <f t="shared" si="12"/>
        <v/>
      </c>
      <c r="D173" s="103" t="str">
        <f t="shared" si="13"/>
        <v/>
      </c>
      <c r="F173" s="103" t="str">
        <f t="shared" si="14"/>
        <v/>
      </c>
      <c r="G173" s="103" t="str">
        <f t="shared" si="15"/>
        <v/>
      </c>
      <c r="I173" s="103"/>
      <c r="J173" s="103"/>
    </row>
    <row r="174" spans="1:10" ht="15" customHeight="1" x14ac:dyDescent="0.3">
      <c r="A174" s="104"/>
      <c r="B174" s="104"/>
      <c r="C174" s="103" t="str">
        <f t="shared" si="12"/>
        <v/>
      </c>
      <c r="D174" s="103" t="str">
        <f t="shared" si="13"/>
        <v/>
      </c>
      <c r="F174" s="103" t="str">
        <f t="shared" si="14"/>
        <v/>
      </c>
      <c r="G174" s="103" t="str">
        <f t="shared" si="15"/>
        <v/>
      </c>
      <c r="I174" s="103"/>
      <c r="J174" s="103"/>
    </row>
    <row r="175" spans="1:10" ht="15" customHeight="1" x14ac:dyDescent="0.3">
      <c r="A175" s="104"/>
      <c r="B175" s="104"/>
      <c r="C175" s="103" t="str">
        <f t="shared" si="12"/>
        <v/>
      </c>
      <c r="D175" s="103" t="str">
        <f t="shared" si="13"/>
        <v/>
      </c>
      <c r="F175" s="103" t="str">
        <f t="shared" si="14"/>
        <v/>
      </c>
      <c r="G175" s="103" t="str">
        <f t="shared" si="15"/>
        <v/>
      </c>
      <c r="I175" s="103"/>
      <c r="J175" s="103"/>
    </row>
    <row r="176" spans="1:10" ht="15" customHeight="1" x14ac:dyDescent="0.3">
      <c r="A176" s="104"/>
      <c r="B176" s="104"/>
      <c r="C176" s="103" t="str">
        <f t="shared" si="12"/>
        <v/>
      </c>
      <c r="D176" s="103" t="str">
        <f t="shared" si="13"/>
        <v/>
      </c>
      <c r="F176" s="103" t="str">
        <f t="shared" si="14"/>
        <v/>
      </c>
      <c r="G176" s="103" t="str">
        <f t="shared" si="15"/>
        <v/>
      </c>
      <c r="I176" s="103"/>
      <c r="J176" s="103"/>
    </row>
    <row r="177" spans="1:10" ht="15" customHeight="1" x14ac:dyDescent="0.3">
      <c r="A177" s="104"/>
      <c r="B177" s="104"/>
      <c r="C177" s="103" t="str">
        <f t="shared" si="12"/>
        <v/>
      </c>
      <c r="D177" s="103" t="str">
        <f t="shared" si="13"/>
        <v/>
      </c>
      <c r="F177" s="103" t="str">
        <f t="shared" si="14"/>
        <v/>
      </c>
      <c r="G177" s="103" t="str">
        <f t="shared" si="15"/>
        <v/>
      </c>
      <c r="I177" s="103"/>
      <c r="J177" s="103"/>
    </row>
    <row r="178" spans="1:10" ht="15" customHeight="1" x14ac:dyDescent="0.3">
      <c r="A178" s="104"/>
      <c r="B178" s="104"/>
      <c r="C178" s="103" t="str">
        <f t="shared" si="12"/>
        <v/>
      </c>
      <c r="D178" s="103" t="str">
        <f t="shared" si="13"/>
        <v/>
      </c>
      <c r="F178" s="103" t="str">
        <f t="shared" si="14"/>
        <v/>
      </c>
      <c r="G178" s="103" t="str">
        <f t="shared" si="15"/>
        <v/>
      </c>
      <c r="I178" s="103"/>
      <c r="J178" s="103"/>
    </row>
    <row r="179" spans="1:10" ht="15" customHeight="1" x14ac:dyDescent="0.3">
      <c r="A179" s="104"/>
      <c r="B179" s="104"/>
      <c r="C179" s="103" t="str">
        <f t="shared" si="12"/>
        <v/>
      </c>
      <c r="D179" s="103" t="str">
        <f t="shared" si="13"/>
        <v/>
      </c>
      <c r="F179" s="103" t="str">
        <f t="shared" si="14"/>
        <v/>
      </c>
      <c r="G179" s="103" t="str">
        <f t="shared" si="15"/>
        <v/>
      </c>
      <c r="I179" s="103"/>
      <c r="J179" s="103"/>
    </row>
    <row r="180" spans="1:10" ht="15" customHeight="1" x14ac:dyDescent="0.3">
      <c r="A180" s="104"/>
      <c r="B180" s="104"/>
      <c r="C180" s="103" t="str">
        <f t="shared" si="12"/>
        <v/>
      </c>
      <c r="D180" s="103" t="str">
        <f t="shared" si="13"/>
        <v/>
      </c>
      <c r="F180" s="103" t="str">
        <f t="shared" si="14"/>
        <v/>
      </c>
      <c r="G180" s="103" t="str">
        <f t="shared" si="15"/>
        <v/>
      </c>
      <c r="I180" s="103"/>
      <c r="J180" s="103"/>
    </row>
    <row r="181" spans="1:10" ht="15" customHeight="1" x14ac:dyDescent="0.3">
      <c r="A181" s="104"/>
      <c r="B181" s="104"/>
      <c r="C181" s="103" t="str">
        <f t="shared" si="12"/>
        <v/>
      </c>
      <c r="D181" s="103" t="str">
        <f t="shared" si="13"/>
        <v/>
      </c>
      <c r="F181" s="103" t="str">
        <f t="shared" si="14"/>
        <v/>
      </c>
      <c r="G181" s="103" t="str">
        <f t="shared" si="15"/>
        <v/>
      </c>
      <c r="I181" s="103"/>
      <c r="J181" s="103"/>
    </row>
    <row r="182" spans="1:10" ht="15" customHeight="1" x14ac:dyDescent="0.3">
      <c r="A182" s="104"/>
      <c r="B182" s="104"/>
      <c r="C182" s="103" t="str">
        <f t="shared" si="12"/>
        <v/>
      </c>
      <c r="D182" s="103" t="str">
        <f t="shared" si="13"/>
        <v/>
      </c>
      <c r="F182" s="103" t="str">
        <f t="shared" si="14"/>
        <v/>
      </c>
      <c r="G182" s="103" t="str">
        <f t="shared" si="15"/>
        <v/>
      </c>
      <c r="I182" s="103"/>
      <c r="J182" s="103"/>
    </row>
    <row r="183" spans="1:10" ht="15" customHeight="1" x14ac:dyDescent="0.3">
      <c r="A183" s="104"/>
      <c r="B183" s="104"/>
      <c r="C183" s="103" t="str">
        <f t="shared" si="12"/>
        <v/>
      </c>
      <c r="D183" s="103" t="str">
        <f t="shared" si="13"/>
        <v/>
      </c>
      <c r="F183" s="103" t="str">
        <f t="shared" si="14"/>
        <v/>
      </c>
      <c r="G183" s="103" t="str">
        <f t="shared" si="15"/>
        <v/>
      </c>
      <c r="I183" s="103"/>
      <c r="J183" s="103"/>
    </row>
    <row r="184" spans="1:10" ht="15" customHeight="1" x14ac:dyDescent="0.3">
      <c r="A184" s="104"/>
      <c r="B184" s="104"/>
      <c r="C184" s="103" t="str">
        <f t="shared" si="12"/>
        <v/>
      </c>
      <c r="D184" s="103" t="str">
        <f t="shared" si="13"/>
        <v/>
      </c>
      <c r="F184" s="103" t="str">
        <f t="shared" si="14"/>
        <v/>
      </c>
      <c r="G184" s="103" t="str">
        <f t="shared" si="15"/>
        <v/>
      </c>
      <c r="I184" s="103"/>
      <c r="J184" s="103"/>
    </row>
    <row r="185" spans="1:10" ht="15" customHeight="1" x14ac:dyDescent="0.3">
      <c r="A185" s="104"/>
      <c r="B185" s="104"/>
      <c r="C185" s="103" t="str">
        <f t="shared" si="12"/>
        <v/>
      </c>
      <c r="D185" s="103" t="str">
        <f t="shared" si="13"/>
        <v/>
      </c>
      <c r="F185" s="103" t="str">
        <f t="shared" si="14"/>
        <v/>
      </c>
      <c r="G185" s="103" t="str">
        <f t="shared" si="15"/>
        <v/>
      </c>
      <c r="I185" s="103"/>
      <c r="J185" s="103"/>
    </row>
    <row r="186" spans="1:10" ht="15" customHeight="1" x14ac:dyDescent="0.3">
      <c r="A186" s="104"/>
      <c r="B186" s="104"/>
      <c r="C186" s="103" t="str">
        <f t="shared" si="12"/>
        <v/>
      </c>
      <c r="D186" s="103" t="str">
        <f t="shared" si="13"/>
        <v/>
      </c>
      <c r="F186" s="103" t="str">
        <f t="shared" si="14"/>
        <v/>
      </c>
      <c r="G186" s="103" t="str">
        <f t="shared" si="15"/>
        <v/>
      </c>
      <c r="I186" s="103"/>
      <c r="J186" s="103"/>
    </row>
    <row r="187" spans="1:10" ht="15" customHeight="1" x14ac:dyDescent="0.3">
      <c r="A187" s="104"/>
      <c r="B187" s="104"/>
      <c r="C187" s="103" t="str">
        <f t="shared" si="12"/>
        <v/>
      </c>
      <c r="D187" s="103" t="str">
        <f t="shared" si="13"/>
        <v/>
      </c>
      <c r="F187" s="103" t="str">
        <f t="shared" si="14"/>
        <v/>
      </c>
      <c r="G187" s="103" t="str">
        <f t="shared" si="15"/>
        <v/>
      </c>
      <c r="I187" s="103"/>
      <c r="J187" s="103"/>
    </row>
    <row r="188" spans="1:10" ht="15" customHeight="1" x14ac:dyDescent="0.3">
      <c r="A188" s="104"/>
      <c r="B188" s="104"/>
      <c r="C188" s="103" t="str">
        <f t="shared" si="12"/>
        <v/>
      </c>
      <c r="D188" s="103" t="str">
        <f t="shared" si="13"/>
        <v/>
      </c>
      <c r="F188" s="103" t="str">
        <f t="shared" si="14"/>
        <v/>
      </c>
      <c r="G188" s="103" t="str">
        <f t="shared" si="15"/>
        <v/>
      </c>
      <c r="I188" s="103"/>
      <c r="J188" s="103"/>
    </row>
    <row r="189" spans="1:10" ht="15" customHeight="1" x14ac:dyDescent="0.3">
      <c r="A189" s="104"/>
      <c r="B189" s="104"/>
      <c r="C189" s="103" t="str">
        <f t="shared" si="12"/>
        <v/>
      </c>
      <c r="D189" s="103" t="str">
        <f t="shared" si="13"/>
        <v/>
      </c>
      <c r="F189" s="103" t="str">
        <f t="shared" si="14"/>
        <v/>
      </c>
      <c r="G189" s="103" t="str">
        <f t="shared" si="15"/>
        <v/>
      </c>
      <c r="I189" s="103"/>
      <c r="J189" s="103"/>
    </row>
    <row r="190" spans="1:10" ht="15" customHeight="1" x14ac:dyDescent="0.3">
      <c r="A190" s="104"/>
      <c r="B190" s="104"/>
      <c r="C190" s="103" t="str">
        <f t="shared" si="12"/>
        <v/>
      </c>
      <c r="D190" s="103" t="str">
        <f t="shared" si="13"/>
        <v/>
      </c>
      <c r="F190" s="103" t="str">
        <f t="shared" si="14"/>
        <v/>
      </c>
      <c r="G190" s="103" t="str">
        <f t="shared" si="15"/>
        <v/>
      </c>
      <c r="I190" s="103"/>
      <c r="J190" s="103"/>
    </row>
    <row r="191" spans="1:10" ht="15" customHeight="1" x14ac:dyDescent="0.3">
      <c r="A191" s="104"/>
      <c r="B191" s="104"/>
      <c r="C191" s="103" t="str">
        <f t="shared" si="12"/>
        <v/>
      </c>
      <c r="D191" s="103" t="str">
        <f t="shared" si="13"/>
        <v/>
      </c>
      <c r="F191" s="103" t="str">
        <f t="shared" si="14"/>
        <v/>
      </c>
      <c r="G191" s="103" t="str">
        <f t="shared" si="15"/>
        <v/>
      </c>
      <c r="I191" s="103"/>
      <c r="J191" s="103"/>
    </row>
    <row r="192" spans="1:10" ht="15" customHeight="1" x14ac:dyDescent="0.3">
      <c r="A192" s="104"/>
      <c r="B192" s="104"/>
      <c r="C192" s="103" t="str">
        <f t="shared" si="12"/>
        <v/>
      </c>
      <c r="D192" s="103" t="str">
        <f t="shared" si="13"/>
        <v/>
      </c>
      <c r="F192" s="103" t="str">
        <f t="shared" si="14"/>
        <v/>
      </c>
      <c r="G192" s="103" t="str">
        <f t="shared" si="15"/>
        <v/>
      </c>
      <c r="I192" s="103"/>
      <c r="J192" s="103"/>
    </row>
    <row r="193" spans="1:10" ht="15" customHeight="1" x14ac:dyDescent="0.3">
      <c r="A193" s="104"/>
      <c r="B193" s="104"/>
      <c r="C193" s="103" t="str">
        <f t="shared" si="12"/>
        <v/>
      </c>
      <c r="D193" s="103" t="str">
        <f t="shared" si="13"/>
        <v/>
      </c>
      <c r="F193" s="103" t="str">
        <f t="shared" si="14"/>
        <v/>
      </c>
      <c r="G193" s="103" t="str">
        <f t="shared" si="15"/>
        <v/>
      </c>
      <c r="I193" s="103"/>
      <c r="J193" s="103"/>
    </row>
    <row r="194" spans="1:10" ht="15" customHeight="1" x14ac:dyDescent="0.3">
      <c r="A194" s="104"/>
      <c r="B194" s="104"/>
      <c r="C194" s="103" t="str">
        <f t="shared" si="12"/>
        <v/>
      </c>
      <c r="D194" s="103" t="str">
        <f t="shared" si="13"/>
        <v/>
      </c>
      <c r="F194" s="103" t="str">
        <f t="shared" si="14"/>
        <v/>
      </c>
      <c r="G194" s="103" t="str">
        <f t="shared" si="15"/>
        <v/>
      </c>
      <c r="I194" s="103"/>
      <c r="J194" s="103"/>
    </row>
  </sheetData>
  <mergeCells count="2">
    <mergeCell ref="F1:G1"/>
    <mergeCell ref="I1:J1"/>
  </mergeCells>
  <phoneticPr fontId="1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Consolidado</vt:lpstr>
      <vt:lpstr>Portfolio</vt:lpstr>
      <vt:lpstr>Preços</vt:lpstr>
      <vt:lpstr>Range_Precos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Rafael Lavrado</dc:creator>
  <cp:lastModifiedBy>USER</cp:lastModifiedBy>
  <dcterms:created xsi:type="dcterms:W3CDTF">2017-05-09T22:26:50Z</dcterms:created>
  <dcterms:modified xsi:type="dcterms:W3CDTF">2019-09-25T23:47:04Z</dcterms:modified>
</cp:coreProperties>
</file>