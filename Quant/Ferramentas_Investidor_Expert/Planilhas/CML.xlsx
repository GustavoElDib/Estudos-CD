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blog_new\10- Markovitz\"/>
    </mc:Choice>
  </mc:AlternateContent>
  <xr:revisionPtr revIDLastSave="0" documentId="13_ncr:1_{95E51878-ED35-4045-9749-ECA410618C1F}" xr6:coauthVersionLast="40" xr6:coauthVersionMax="40" xr10:uidLastSave="{00000000-0000-0000-0000-000000000000}"/>
  <bookViews>
    <workbookView xWindow="-108" yWindow="-108" windowWidth="23256" windowHeight="12576" xr2:uid="{00000000-000D-0000-FFFF-FFFF00000000}"/>
  </bookViews>
  <sheets>
    <sheet name="Com_Risk_Fre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5" i="2" l="1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J14" i="2"/>
  <c r="J15" i="2" s="1"/>
  <c r="J16" i="2" s="1"/>
  <c r="I14" i="2"/>
  <c r="J13" i="2"/>
  <c r="F15" i="2"/>
  <c r="F14" i="2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C14" i="2"/>
  <c r="C15" i="2" s="1"/>
  <c r="F13" i="2"/>
  <c r="E13" i="2"/>
  <c r="J17" i="2" l="1"/>
  <c r="G13" i="2"/>
  <c r="I47" i="2"/>
  <c r="I48" i="2" s="1"/>
  <c r="I49" i="2" s="1"/>
  <c r="I50" i="2" s="1"/>
  <c r="E15" i="2"/>
  <c r="G15" i="2" s="1"/>
  <c r="C16" i="2"/>
  <c r="E14" i="2"/>
  <c r="G14" i="2" s="1"/>
  <c r="J18" i="2" l="1"/>
  <c r="I51" i="2"/>
  <c r="I52" i="2" s="1"/>
  <c r="I53" i="2" s="1"/>
  <c r="C17" i="2"/>
  <c r="E16" i="2"/>
  <c r="F16" i="2"/>
  <c r="G16" i="2" s="1"/>
  <c r="J19" i="2" l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E17" i="2"/>
  <c r="C18" i="2"/>
  <c r="F17" i="2"/>
  <c r="G17" i="2" l="1"/>
  <c r="C19" i="2"/>
  <c r="E18" i="2"/>
  <c r="F18" i="2"/>
  <c r="G18" i="2" l="1"/>
  <c r="E19" i="2"/>
  <c r="C20" i="2"/>
  <c r="F19" i="2"/>
  <c r="G19" i="2" s="1"/>
  <c r="C21" i="2" l="1"/>
  <c r="E20" i="2"/>
  <c r="F20" i="2"/>
  <c r="G20" i="2" s="1"/>
  <c r="E21" i="2" l="1"/>
  <c r="C22" i="2"/>
  <c r="F21" i="2"/>
  <c r="G21" i="2" l="1"/>
  <c r="C23" i="2"/>
  <c r="E22" i="2"/>
  <c r="F22" i="2"/>
  <c r="G22" i="2" s="1"/>
  <c r="E23" i="2" l="1"/>
  <c r="C24" i="2"/>
  <c r="F23" i="2"/>
  <c r="G23" i="2" l="1"/>
  <c r="C25" i="2"/>
  <c r="E24" i="2"/>
  <c r="F24" i="2"/>
  <c r="G24" i="2" s="1"/>
  <c r="E25" i="2" l="1"/>
  <c r="C26" i="2"/>
  <c r="F25" i="2"/>
  <c r="G25" i="2" l="1"/>
  <c r="C27" i="2"/>
  <c r="E26" i="2"/>
  <c r="F26" i="2"/>
  <c r="G26" i="2" s="1"/>
  <c r="C28" i="2" l="1"/>
  <c r="E27" i="2"/>
  <c r="F27" i="2"/>
  <c r="G27" i="2" s="1"/>
  <c r="C29" i="2" l="1"/>
  <c r="E28" i="2"/>
  <c r="F28" i="2"/>
  <c r="G28" i="2" s="1"/>
  <c r="C30" i="2" l="1"/>
  <c r="E29" i="2"/>
  <c r="F29" i="2"/>
  <c r="G29" i="2" s="1"/>
  <c r="C31" i="2" l="1"/>
  <c r="E30" i="2"/>
  <c r="F30" i="2"/>
  <c r="G30" i="2" s="1"/>
  <c r="F31" i="2" l="1"/>
  <c r="E31" i="2"/>
  <c r="C32" i="2"/>
  <c r="G31" i="2" l="1"/>
  <c r="E32" i="2"/>
  <c r="C33" i="2"/>
  <c r="F32" i="2"/>
  <c r="G32" i="2" l="1"/>
  <c r="C34" i="2"/>
  <c r="F33" i="2"/>
  <c r="E33" i="2"/>
  <c r="G33" i="2" l="1"/>
  <c r="C35" i="2"/>
  <c r="E34" i="2"/>
  <c r="F34" i="2"/>
  <c r="G34" i="2" s="1"/>
  <c r="F35" i="2" l="1"/>
  <c r="E35" i="2"/>
  <c r="C36" i="2"/>
  <c r="G35" i="2" l="1"/>
  <c r="F36" i="2"/>
  <c r="E36" i="2"/>
  <c r="C37" i="2"/>
  <c r="G36" i="2" l="1"/>
  <c r="F37" i="2"/>
  <c r="C38" i="2"/>
  <c r="E37" i="2"/>
  <c r="G37" i="2" l="1"/>
  <c r="C39" i="2"/>
  <c r="E38" i="2"/>
  <c r="F38" i="2"/>
  <c r="G38" i="2" s="1"/>
  <c r="F39" i="2" l="1"/>
  <c r="E39" i="2"/>
  <c r="C40" i="2"/>
  <c r="G39" i="2" l="1"/>
  <c r="F40" i="2"/>
  <c r="E40" i="2"/>
  <c r="C41" i="2"/>
  <c r="G40" i="2" l="1"/>
  <c r="F41" i="2"/>
  <c r="C42" i="2"/>
  <c r="E41" i="2"/>
  <c r="G41" i="2" l="1"/>
  <c r="C43" i="2"/>
  <c r="E42" i="2"/>
  <c r="F42" i="2"/>
  <c r="G42" i="2" s="1"/>
  <c r="F43" i="2" l="1"/>
  <c r="E43" i="2"/>
  <c r="C44" i="2"/>
  <c r="G43" i="2" l="1"/>
  <c r="F44" i="2"/>
  <c r="E44" i="2"/>
  <c r="C45" i="2"/>
  <c r="G44" i="2" l="1"/>
  <c r="F45" i="2"/>
  <c r="C46" i="2"/>
  <c r="E45" i="2"/>
  <c r="G45" i="2" l="1"/>
  <c r="C47" i="2"/>
  <c r="E46" i="2"/>
  <c r="F46" i="2"/>
  <c r="G46" i="2" l="1"/>
  <c r="F47" i="2"/>
  <c r="E47" i="2"/>
  <c r="C48" i="2"/>
  <c r="G47" i="2" l="1"/>
  <c r="F48" i="2"/>
  <c r="E48" i="2"/>
  <c r="C49" i="2"/>
  <c r="G48" i="2" l="1"/>
  <c r="F49" i="2"/>
  <c r="C50" i="2"/>
  <c r="E49" i="2"/>
  <c r="G49" i="2" l="1"/>
  <c r="C51" i="2"/>
  <c r="E50" i="2"/>
  <c r="F50" i="2"/>
  <c r="G50" i="2" s="1"/>
  <c r="F51" i="2" l="1"/>
  <c r="E51" i="2"/>
  <c r="C52" i="2"/>
  <c r="G51" i="2" l="1"/>
  <c r="F52" i="2"/>
  <c r="E52" i="2"/>
  <c r="C53" i="2"/>
  <c r="G52" i="2" l="1"/>
  <c r="F53" i="2"/>
  <c r="C54" i="2"/>
  <c r="E53" i="2"/>
  <c r="G53" i="2" l="1"/>
  <c r="C55" i="2"/>
  <c r="E54" i="2"/>
  <c r="F54" i="2"/>
  <c r="G54" i="2" s="1"/>
  <c r="F55" i="2" l="1"/>
  <c r="E55" i="2"/>
  <c r="C56" i="2"/>
  <c r="G55" i="2" l="1"/>
  <c r="F56" i="2"/>
  <c r="E56" i="2"/>
  <c r="C57" i="2"/>
  <c r="G56" i="2" l="1"/>
  <c r="F57" i="2"/>
  <c r="C58" i="2"/>
  <c r="E57" i="2"/>
  <c r="G57" i="2" l="1"/>
  <c r="C59" i="2"/>
  <c r="E58" i="2"/>
  <c r="F58" i="2"/>
  <c r="G58" i="2" l="1"/>
  <c r="E59" i="2"/>
  <c r="F59" i="2"/>
  <c r="G59" i="2" s="1"/>
  <c r="C60" i="2"/>
  <c r="E60" i="2" l="1"/>
  <c r="C61" i="2"/>
  <c r="F60" i="2"/>
  <c r="G60" i="2" l="1"/>
  <c r="C62" i="2"/>
  <c r="F61" i="2"/>
  <c r="E61" i="2"/>
  <c r="G61" i="2" l="1"/>
  <c r="C63" i="2"/>
  <c r="E62" i="2"/>
  <c r="F62" i="2"/>
  <c r="G62" i="2" s="1"/>
  <c r="E63" i="2" l="1"/>
  <c r="F63" i="2"/>
  <c r="C64" i="2"/>
  <c r="G63" i="2" l="1"/>
  <c r="F64" i="2"/>
  <c r="E64" i="2"/>
  <c r="C65" i="2"/>
  <c r="G64" i="2" l="1"/>
  <c r="F65" i="2"/>
  <c r="C66" i="2"/>
  <c r="E65" i="2"/>
  <c r="G65" i="2" l="1"/>
  <c r="C67" i="2"/>
  <c r="E66" i="2"/>
  <c r="F66" i="2"/>
  <c r="G66" i="2" s="1"/>
  <c r="E67" i="2" l="1"/>
  <c r="F67" i="2"/>
  <c r="C68" i="2"/>
  <c r="G67" i="2" l="1"/>
  <c r="F68" i="2"/>
  <c r="E68" i="2"/>
  <c r="C69" i="2"/>
  <c r="G68" i="2" l="1"/>
  <c r="C70" i="2"/>
  <c r="F69" i="2"/>
  <c r="E69" i="2"/>
  <c r="G69" i="2" l="1"/>
  <c r="C71" i="2"/>
  <c r="E70" i="2"/>
  <c r="F70" i="2"/>
  <c r="G70" i="2" s="1"/>
  <c r="E71" i="2" l="1"/>
  <c r="F71" i="2"/>
  <c r="C72" i="2"/>
  <c r="G71" i="2" l="1"/>
  <c r="F72" i="2"/>
  <c r="E72" i="2"/>
  <c r="C73" i="2"/>
  <c r="G72" i="2" l="1"/>
  <c r="C74" i="2"/>
  <c r="F73" i="2"/>
  <c r="E73" i="2"/>
  <c r="G73" i="2" l="1"/>
  <c r="C75" i="2"/>
  <c r="E74" i="2"/>
  <c r="F74" i="2"/>
  <c r="G74" i="2" s="1"/>
  <c r="E75" i="2" l="1"/>
  <c r="F75" i="2"/>
  <c r="C76" i="2"/>
  <c r="G75" i="2" l="1"/>
  <c r="F76" i="2"/>
  <c r="E76" i="2"/>
  <c r="C77" i="2"/>
  <c r="G76" i="2" l="1"/>
  <c r="C78" i="2"/>
  <c r="F77" i="2"/>
  <c r="E77" i="2"/>
  <c r="G77" i="2" l="1"/>
  <c r="C79" i="2"/>
  <c r="E78" i="2"/>
  <c r="F78" i="2"/>
  <c r="G78" i="2" s="1"/>
  <c r="E79" i="2" l="1"/>
  <c r="F79" i="2"/>
  <c r="C80" i="2"/>
  <c r="G79" i="2" l="1"/>
  <c r="F80" i="2"/>
  <c r="E80" i="2"/>
  <c r="C81" i="2"/>
  <c r="G80" i="2" l="1"/>
  <c r="C82" i="2"/>
  <c r="F81" i="2"/>
  <c r="E81" i="2"/>
  <c r="G81" i="2" l="1"/>
  <c r="C83" i="2"/>
  <c r="E82" i="2"/>
  <c r="F82" i="2"/>
  <c r="G82" i="2" l="1"/>
  <c r="E83" i="2"/>
  <c r="F83" i="2"/>
  <c r="C84" i="2"/>
  <c r="G83" i="2" l="1"/>
  <c r="F84" i="2"/>
  <c r="E84" i="2"/>
  <c r="C85" i="2"/>
  <c r="G84" i="2" l="1"/>
  <c r="C86" i="2"/>
  <c r="F85" i="2"/>
  <c r="E85" i="2"/>
  <c r="G85" i="2" l="1"/>
  <c r="C87" i="2"/>
  <c r="E86" i="2"/>
  <c r="F86" i="2"/>
  <c r="G86" i="2" l="1"/>
  <c r="E87" i="2"/>
  <c r="F87" i="2"/>
  <c r="C88" i="2"/>
  <c r="G87" i="2" l="1"/>
  <c r="F88" i="2"/>
  <c r="E88" i="2"/>
  <c r="C89" i="2"/>
  <c r="G88" i="2" l="1"/>
  <c r="C90" i="2"/>
  <c r="F89" i="2"/>
  <c r="E89" i="2"/>
  <c r="G89" i="2" l="1"/>
  <c r="C91" i="2"/>
  <c r="E90" i="2"/>
  <c r="F90" i="2"/>
  <c r="G90" i="2" s="1"/>
  <c r="E91" i="2" l="1"/>
  <c r="F91" i="2"/>
  <c r="C92" i="2"/>
  <c r="G91" i="2" l="1"/>
  <c r="C93" i="2"/>
  <c r="F92" i="2"/>
  <c r="E92" i="2"/>
  <c r="G92" i="2" l="1"/>
  <c r="C94" i="2"/>
  <c r="E93" i="2"/>
  <c r="F93" i="2"/>
  <c r="G93" i="2" s="1"/>
  <c r="C95" i="2" l="1"/>
  <c r="F94" i="2"/>
  <c r="E94" i="2"/>
  <c r="G94" i="2" l="1"/>
  <c r="C96" i="2"/>
  <c r="E95" i="2"/>
  <c r="F95" i="2"/>
  <c r="G95" i="2" l="1"/>
  <c r="C97" i="2"/>
  <c r="F96" i="2"/>
  <c r="E96" i="2"/>
  <c r="G96" i="2" l="1"/>
  <c r="C98" i="2"/>
  <c r="F97" i="2"/>
  <c r="E97" i="2"/>
  <c r="G97" i="2" l="1"/>
  <c r="C99" i="2"/>
  <c r="F98" i="2"/>
  <c r="E98" i="2"/>
  <c r="G98" i="2" l="1"/>
  <c r="C100" i="2"/>
  <c r="F99" i="2"/>
  <c r="E99" i="2"/>
  <c r="G99" i="2" l="1"/>
  <c r="C101" i="2"/>
  <c r="F100" i="2"/>
  <c r="E100" i="2"/>
  <c r="G100" i="2" l="1"/>
  <c r="C102" i="2"/>
  <c r="F101" i="2"/>
  <c r="E101" i="2"/>
  <c r="G101" i="2" l="1"/>
  <c r="C103" i="2"/>
  <c r="F102" i="2"/>
  <c r="E102" i="2"/>
  <c r="G102" i="2" l="1"/>
  <c r="C104" i="2"/>
  <c r="F103" i="2"/>
  <c r="E103" i="2"/>
  <c r="G103" i="2" l="1"/>
  <c r="C105" i="2"/>
  <c r="F104" i="2"/>
  <c r="E104" i="2"/>
  <c r="G104" i="2" l="1"/>
  <c r="C106" i="2"/>
  <c r="F105" i="2"/>
  <c r="E105" i="2"/>
  <c r="G105" i="2" l="1"/>
  <c r="C107" i="2"/>
  <c r="F106" i="2"/>
  <c r="E106" i="2"/>
  <c r="G106" i="2" l="1"/>
  <c r="C108" i="2"/>
  <c r="F107" i="2"/>
  <c r="E107" i="2"/>
  <c r="G107" i="2" l="1"/>
  <c r="C109" i="2"/>
  <c r="F108" i="2"/>
  <c r="E108" i="2"/>
  <c r="G108" i="2" l="1"/>
  <c r="C110" i="2"/>
  <c r="F109" i="2"/>
  <c r="E109" i="2"/>
  <c r="G109" i="2" l="1"/>
  <c r="C111" i="2"/>
  <c r="F110" i="2"/>
  <c r="E110" i="2"/>
  <c r="G110" i="2" l="1"/>
  <c r="C112" i="2"/>
  <c r="F111" i="2"/>
  <c r="E111" i="2"/>
  <c r="G111" i="2" l="1"/>
  <c r="C113" i="2"/>
  <c r="F112" i="2"/>
  <c r="E112" i="2"/>
  <c r="G112" i="2" l="1"/>
  <c r="C114" i="2"/>
  <c r="F113" i="2"/>
  <c r="E113" i="2"/>
  <c r="G113" i="2" l="1"/>
  <c r="C115" i="2"/>
  <c r="F114" i="2"/>
  <c r="E114" i="2"/>
  <c r="G114" i="2" l="1"/>
  <c r="C116" i="2"/>
  <c r="F115" i="2"/>
  <c r="E115" i="2"/>
  <c r="G115" i="2" l="1"/>
  <c r="C117" i="2"/>
  <c r="F116" i="2"/>
  <c r="E116" i="2"/>
  <c r="G116" i="2" l="1"/>
  <c r="C118" i="2"/>
  <c r="F117" i="2"/>
  <c r="E117" i="2"/>
  <c r="G117" i="2" l="1"/>
  <c r="C119" i="2"/>
  <c r="F118" i="2"/>
  <c r="E118" i="2"/>
  <c r="G118" i="2" l="1"/>
  <c r="C120" i="2"/>
  <c r="F119" i="2"/>
  <c r="E119" i="2"/>
  <c r="G119" i="2" l="1"/>
  <c r="C121" i="2"/>
  <c r="F120" i="2"/>
  <c r="E120" i="2"/>
  <c r="G120" i="2" l="1"/>
  <c r="C122" i="2"/>
  <c r="F121" i="2"/>
  <c r="E121" i="2"/>
  <c r="G121" i="2" l="1"/>
  <c r="C123" i="2"/>
  <c r="F122" i="2"/>
  <c r="E122" i="2"/>
  <c r="G122" i="2" l="1"/>
  <c r="C124" i="2"/>
  <c r="F123" i="2"/>
  <c r="E123" i="2"/>
  <c r="G123" i="2" l="1"/>
  <c r="C125" i="2"/>
  <c r="F124" i="2"/>
  <c r="E124" i="2"/>
  <c r="G124" i="2" l="1"/>
  <c r="C126" i="2"/>
  <c r="F125" i="2"/>
  <c r="E125" i="2"/>
  <c r="G125" i="2" l="1"/>
  <c r="C127" i="2"/>
  <c r="F126" i="2"/>
  <c r="E126" i="2"/>
  <c r="G126" i="2" l="1"/>
  <c r="C128" i="2"/>
  <c r="F127" i="2"/>
  <c r="E127" i="2"/>
  <c r="G127" i="2" l="1"/>
  <c r="C129" i="2"/>
  <c r="F128" i="2"/>
  <c r="E128" i="2"/>
  <c r="G128" i="2" l="1"/>
  <c r="C130" i="2"/>
  <c r="E129" i="2"/>
  <c r="F129" i="2"/>
  <c r="G129" i="2" l="1"/>
  <c r="C131" i="2"/>
  <c r="E130" i="2"/>
  <c r="F130" i="2"/>
  <c r="G130" i="2" l="1"/>
  <c r="C132" i="2"/>
  <c r="F131" i="2"/>
  <c r="E131" i="2"/>
  <c r="G131" i="2" l="1"/>
  <c r="C133" i="2"/>
  <c r="F132" i="2"/>
  <c r="E132" i="2"/>
  <c r="G132" i="2" l="1"/>
  <c r="C134" i="2"/>
  <c r="E133" i="2"/>
  <c r="F133" i="2"/>
  <c r="G133" i="2" s="1"/>
  <c r="C135" i="2" l="1"/>
  <c r="E134" i="2"/>
  <c r="F134" i="2"/>
  <c r="G134" i="2" s="1"/>
  <c r="C136" i="2" l="1"/>
  <c r="F135" i="2"/>
  <c r="E135" i="2"/>
  <c r="G135" i="2" l="1"/>
  <c r="C137" i="2"/>
  <c r="F136" i="2"/>
  <c r="E136" i="2"/>
  <c r="G136" i="2" l="1"/>
  <c r="C138" i="2"/>
  <c r="E137" i="2"/>
  <c r="F137" i="2"/>
  <c r="G137" i="2" s="1"/>
  <c r="C139" i="2" l="1"/>
  <c r="E138" i="2"/>
  <c r="F138" i="2"/>
  <c r="G138" i="2" s="1"/>
  <c r="C140" i="2" l="1"/>
  <c r="F139" i="2"/>
  <c r="E139" i="2"/>
  <c r="G139" i="2" l="1"/>
  <c r="C141" i="2"/>
  <c r="F140" i="2"/>
  <c r="E140" i="2"/>
  <c r="G140" i="2" l="1"/>
  <c r="C142" i="2"/>
  <c r="E141" i="2"/>
  <c r="F141" i="2"/>
  <c r="G141" i="2" s="1"/>
  <c r="C143" i="2" l="1"/>
  <c r="E142" i="2"/>
  <c r="F142" i="2"/>
  <c r="G142" i="2" l="1"/>
  <c r="C144" i="2"/>
  <c r="F143" i="2"/>
  <c r="E143" i="2"/>
  <c r="G143" i="2" l="1"/>
  <c r="C145" i="2"/>
  <c r="F144" i="2"/>
  <c r="E144" i="2"/>
  <c r="G144" i="2" l="1"/>
  <c r="C146" i="2"/>
  <c r="E145" i="2"/>
  <c r="F145" i="2"/>
  <c r="G145" i="2" s="1"/>
  <c r="C147" i="2" l="1"/>
  <c r="E146" i="2"/>
  <c r="F146" i="2"/>
  <c r="G146" i="2" l="1"/>
  <c r="C148" i="2"/>
  <c r="F147" i="2"/>
  <c r="E147" i="2"/>
  <c r="G147" i="2" l="1"/>
  <c r="C149" i="2"/>
  <c r="F148" i="2"/>
  <c r="E148" i="2"/>
  <c r="G148" i="2" l="1"/>
  <c r="C150" i="2"/>
  <c r="E149" i="2"/>
  <c r="F149" i="2"/>
  <c r="G149" i="2" l="1"/>
  <c r="C151" i="2"/>
  <c r="E150" i="2"/>
  <c r="F150" i="2"/>
  <c r="G150" i="2" l="1"/>
  <c r="C152" i="2"/>
  <c r="F151" i="2"/>
  <c r="E151" i="2"/>
  <c r="G151" i="2" l="1"/>
  <c r="C153" i="2"/>
  <c r="F152" i="2"/>
  <c r="E152" i="2"/>
  <c r="G152" i="2" l="1"/>
  <c r="C154" i="2"/>
  <c r="E153" i="2"/>
  <c r="F153" i="2"/>
  <c r="G153" i="2" l="1"/>
  <c r="C155" i="2"/>
  <c r="E154" i="2"/>
  <c r="F154" i="2"/>
  <c r="G154" i="2" l="1"/>
  <c r="C156" i="2"/>
  <c r="F155" i="2"/>
  <c r="E155" i="2"/>
  <c r="G155" i="2" l="1"/>
  <c r="C157" i="2"/>
  <c r="F156" i="2"/>
  <c r="E156" i="2"/>
  <c r="G156" i="2" l="1"/>
  <c r="C158" i="2"/>
  <c r="E157" i="2"/>
  <c r="F157" i="2"/>
  <c r="G157" i="2" l="1"/>
  <c r="C159" i="2"/>
  <c r="E158" i="2"/>
  <c r="F158" i="2"/>
  <c r="G158" i="2" l="1"/>
  <c r="C160" i="2"/>
  <c r="F159" i="2"/>
  <c r="E159" i="2"/>
  <c r="G159" i="2" l="1"/>
  <c r="C161" i="2"/>
  <c r="F160" i="2"/>
  <c r="E160" i="2"/>
  <c r="G160" i="2" l="1"/>
  <c r="C162" i="2"/>
  <c r="E161" i="2"/>
  <c r="F161" i="2"/>
  <c r="G161" i="2" s="1"/>
  <c r="C163" i="2" l="1"/>
  <c r="E162" i="2"/>
  <c r="F162" i="2"/>
  <c r="G162" i="2" s="1"/>
  <c r="C164" i="2" l="1"/>
  <c r="F163" i="2"/>
  <c r="E163" i="2"/>
  <c r="G163" i="2" l="1"/>
  <c r="C165" i="2"/>
  <c r="F164" i="2"/>
  <c r="E164" i="2"/>
  <c r="G164" i="2" l="1"/>
  <c r="C166" i="2"/>
  <c r="E165" i="2"/>
  <c r="F165" i="2"/>
  <c r="G165" i="2" s="1"/>
  <c r="C167" i="2" l="1"/>
  <c r="E166" i="2"/>
  <c r="F166" i="2"/>
  <c r="G166" i="2" s="1"/>
  <c r="C168" i="2" l="1"/>
  <c r="F167" i="2"/>
  <c r="E167" i="2"/>
  <c r="G167" i="2" l="1"/>
  <c r="C169" i="2"/>
  <c r="F168" i="2"/>
  <c r="E168" i="2"/>
  <c r="G168" i="2" l="1"/>
  <c r="C170" i="2"/>
  <c r="E169" i="2"/>
  <c r="F169" i="2"/>
  <c r="G169" i="2" l="1"/>
  <c r="C171" i="2"/>
  <c r="E170" i="2"/>
  <c r="F170" i="2"/>
  <c r="G170" i="2" s="1"/>
  <c r="C172" i="2" l="1"/>
  <c r="F171" i="2"/>
  <c r="E171" i="2"/>
  <c r="G171" i="2" l="1"/>
  <c r="C173" i="2"/>
  <c r="F172" i="2"/>
  <c r="E172" i="2"/>
  <c r="G172" i="2" l="1"/>
  <c r="C174" i="2"/>
  <c r="E173" i="2"/>
  <c r="F173" i="2"/>
  <c r="G173" i="2" l="1"/>
  <c r="C175" i="2"/>
  <c r="E174" i="2"/>
  <c r="F174" i="2"/>
  <c r="G174" i="2" l="1"/>
  <c r="C176" i="2"/>
  <c r="F175" i="2"/>
  <c r="E175" i="2"/>
  <c r="G175" i="2" l="1"/>
  <c r="C177" i="2"/>
  <c r="F176" i="2"/>
  <c r="E176" i="2"/>
  <c r="G176" i="2" l="1"/>
  <c r="C178" i="2"/>
  <c r="E177" i="2"/>
  <c r="F177" i="2"/>
  <c r="G177" i="2" l="1"/>
  <c r="C179" i="2"/>
  <c r="E178" i="2"/>
  <c r="F178" i="2"/>
  <c r="G178" i="2" l="1"/>
  <c r="E179" i="2"/>
  <c r="C180" i="2"/>
  <c r="F179" i="2"/>
  <c r="G179" i="2" l="1"/>
  <c r="E180" i="2"/>
  <c r="C181" i="2"/>
  <c r="F180" i="2"/>
  <c r="G180" i="2" l="1"/>
  <c r="E181" i="2"/>
  <c r="C182" i="2"/>
  <c r="F181" i="2"/>
  <c r="G181" i="2" l="1"/>
  <c r="E182" i="2"/>
  <c r="C183" i="2"/>
  <c r="F182" i="2"/>
  <c r="G182" i="2" l="1"/>
  <c r="E183" i="2"/>
  <c r="C184" i="2"/>
  <c r="F183" i="2"/>
  <c r="G183" i="2" l="1"/>
  <c r="E184" i="2"/>
  <c r="C185" i="2"/>
  <c r="F184" i="2"/>
  <c r="G184" i="2" l="1"/>
  <c r="E185" i="2"/>
  <c r="C186" i="2"/>
  <c r="F185" i="2"/>
  <c r="G185" i="2" l="1"/>
  <c r="E186" i="2"/>
  <c r="C187" i="2"/>
  <c r="F186" i="2"/>
  <c r="G186" i="2" l="1"/>
  <c r="F187" i="2"/>
  <c r="E187" i="2"/>
  <c r="C188" i="2"/>
  <c r="G187" i="2" l="1"/>
  <c r="F188" i="2"/>
  <c r="E188" i="2"/>
  <c r="C189" i="2"/>
  <c r="G188" i="2" l="1"/>
  <c r="F189" i="2"/>
  <c r="E189" i="2"/>
  <c r="C190" i="2"/>
  <c r="G189" i="2" l="1"/>
  <c r="F190" i="2"/>
  <c r="E190" i="2"/>
  <c r="C191" i="2"/>
  <c r="G190" i="2" l="1"/>
  <c r="F191" i="2"/>
  <c r="E191" i="2"/>
  <c r="C192" i="2"/>
  <c r="G191" i="2" l="1"/>
  <c r="F192" i="2"/>
  <c r="E192" i="2"/>
  <c r="C193" i="2"/>
  <c r="G192" i="2" l="1"/>
  <c r="F193" i="2"/>
  <c r="E193" i="2"/>
  <c r="C194" i="2"/>
  <c r="G193" i="2" l="1"/>
  <c r="F194" i="2"/>
  <c r="E194" i="2"/>
  <c r="C195" i="2"/>
  <c r="G194" i="2" l="1"/>
  <c r="F195" i="2"/>
  <c r="E195" i="2"/>
  <c r="C196" i="2"/>
  <c r="G195" i="2" l="1"/>
  <c r="F196" i="2"/>
  <c r="E196" i="2"/>
  <c r="C197" i="2"/>
  <c r="G196" i="2" l="1"/>
  <c r="F197" i="2"/>
  <c r="E197" i="2"/>
  <c r="C198" i="2"/>
  <c r="G197" i="2" l="1"/>
  <c r="F198" i="2"/>
  <c r="E198" i="2"/>
  <c r="C199" i="2"/>
  <c r="G198" i="2" l="1"/>
  <c r="F199" i="2"/>
  <c r="E199" i="2"/>
  <c r="C200" i="2"/>
  <c r="G199" i="2" l="1"/>
  <c r="F200" i="2"/>
  <c r="E200" i="2"/>
  <c r="C201" i="2"/>
  <c r="G200" i="2" l="1"/>
  <c r="F201" i="2"/>
  <c r="E201" i="2"/>
  <c r="C202" i="2"/>
  <c r="G201" i="2" l="1"/>
  <c r="F202" i="2"/>
  <c r="E202" i="2"/>
  <c r="C203" i="2"/>
  <c r="G202" i="2" l="1"/>
  <c r="F203" i="2"/>
  <c r="E203" i="2"/>
  <c r="C204" i="2"/>
  <c r="G203" i="2" l="1"/>
  <c r="F204" i="2"/>
  <c r="E204" i="2"/>
  <c r="C205" i="2"/>
  <c r="G204" i="2" l="1"/>
  <c r="F205" i="2"/>
  <c r="E205" i="2"/>
  <c r="C206" i="2"/>
  <c r="G205" i="2" l="1"/>
  <c r="F206" i="2"/>
  <c r="E206" i="2"/>
  <c r="C207" i="2"/>
  <c r="G206" i="2" l="1"/>
  <c r="F207" i="2"/>
  <c r="E207" i="2"/>
  <c r="C208" i="2"/>
  <c r="G207" i="2" l="1"/>
  <c r="F208" i="2"/>
  <c r="E208" i="2"/>
  <c r="C209" i="2"/>
  <c r="G208" i="2" l="1"/>
  <c r="F209" i="2"/>
  <c r="E209" i="2"/>
  <c r="C210" i="2"/>
  <c r="G209" i="2" l="1"/>
  <c r="F210" i="2"/>
  <c r="E210" i="2"/>
  <c r="C211" i="2"/>
  <c r="G210" i="2" l="1"/>
  <c r="F211" i="2"/>
  <c r="E211" i="2"/>
  <c r="C212" i="2"/>
  <c r="G211" i="2" l="1"/>
  <c r="F212" i="2"/>
  <c r="E212" i="2"/>
  <c r="C213" i="2"/>
  <c r="G212" i="2" l="1"/>
  <c r="F213" i="2"/>
  <c r="E213" i="2"/>
  <c r="G213" i="2" l="1"/>
  <c r="H6" i="2" s="1"/>
  <c r="H10" i="2" s="1"/>
  <c r="L14" i="2" l="1"/>
  <c r="L53" i="2"/>
  <c r="H8" i="2"/>
  <c r="H7" i="2"/>
  <c r="H9" i="2"/>
  <c r="K50" i="2" s="1"/>
  <c r="L13" i="2"/>
  <c r="L26" i="2"/>
  <c r="L44" i="2"/>
  <c r="L49" i="2"/>
  <c r="L16" i="2"/>
  <c r="L41" i="2"/>
  <c r="L33" i="2"/>
  <c r="L17" i="2"/>
  <c r="L23" i="2"/>
  <c r="L42" i="2"/>
  <c r="L34" i="2"/>
  <c r="L20" i="2"/>
  <c r="L52" i="2"/>
  <c r="L48" i="2"/>
  <c r="L39" i="2"/>
  <c r="L22" i="2"/>
  <c r="L30" i="2"/>
  <c r="L19" i="2"/>
  <c r="L40" i="2"/>
  <c r="L32" i="2"/>
  <c r="L15" i="2"/>
  <c r="L29" i="2"/>
  <c r="L45" i="2"/>
  <c r="L37" i="2"/>
  <c r="L31" i="2"/>
  <c r="L46" i="2"/>
  <c r="L38" i="2"/>
  <c r="L28" i="2"/>
  <c r="L25" i="2"/>
  <c r="L43" i="2"/>
  <c r="L35" i="2"/>
  <c r="L18" i="2"/>
  <c r="L27" i="2"/>
  <c r="L36" i="2"/>
  <c r="L24" i="2"/>
  <c r="L21" i="2"/>
  <c r="L50" i="2"/>
  <c r="L47" i="2"/>
  <c r="L51" i="2"/>
  <c r="K45" i="2" l="1"/>
  <c r="K20" i="2"/>
  <c r="K52" i="2"/>
  <c r="K38" i="2"/>
  <c r="M38" i="2" s="1"/>
  <c r="K13" i="2"/>
  <c r="K26" i="2"/>
  <c r="M26" i="2" s="1"/>
  <c r="M20" i="2"/>
  <c r="K35" i="2"/>
  <c r="K42" i="2"/>
  <c r="M42" i="2" s="1"/>
  <c r="K29" i="2"/>
  <c r="K27" i="2"/>
  <c r="M27" i="2" s="1"/>
  <c r="M35" i="2"/>
  <c r="M45" i="2"/>
  <c r="K43" i="2"/>
  <c r="M43" i="2" s="1"/>
  <c r="K33" i="2"/>
  <c r="M33" i="2" s="1"/>
  <c r="K25" i="2"/>
  <c r="M25" i="2" s="1"/>
  <c r="K23" i="2"/>
  <c r="K36" i="2"/>
  <c r="M36" i="2" s="1"/>
  <c r="K39" i="2"/>
  <c r="M39" i="2" s="1"/>
  <c r="K41" i="2"/>
  <c r="M41" i="2" s="1"/>
  <c r="K15" i="2"/>
  <c r="K51" i="2"/>
  <c r="M51" i="2" s="1"/>
  <c r="K22" i="2"/>
  <c r="M22" i="2" s="1"/>
  <c r="K19" i="2"/>
  <c r="M19" i="2" s="1"/>
  <c r="M15" i="2"/>
  <c r="M52" i="2"/>
  <c r="K37" i="2"/>
  <c r="M37" i="2" s="1"/>
  <c r="K32" i="2"/>
  <c r="M32" i="2" s="1"/>
  <c r="K34" i="2"/>
  <c r="M34" i="2" s="1"/>
  <c r="K24" i="2"/>
  <c r="M24" i="2" s="1"/>
  <c r="K49" i="2"/>
  <c r="K53" i="2"/>
  <c r="K48" i="2"/>
  <c r="M48" i="2" s="1"/>
  <c r="M29" i="2"/>
  <c r="M50" i="2"/>
  <c r="M23" i="2"/>
  <c r="K46" i="2"/>
  <c r="M46" i="2" s="1"/>
  <c r="K40" i="2"/>
  <c r="M40" i="2" s="1"/>
  <c r="K47" i="2"/>
  <c r="M47" i="2" s="1"/>
  <c r="K44" i="2"/>
  <c r="M44" i="2" s="1"/>
  <c r="K28" i="2"/>
  <c r="M28" i="2" s="1"/>
  <c r="K21" i="2"/>
  <c r="M21" i="2" s="1"/>
  <c r="K30" i="2"/>
  <c r="M30" i="2" s="1"/>
  <c r="K31" i="2"/>
  <c r="M31" i="2" s="1"/>
  <c r="M53" i="2"/>
  <c r="M49" i="2"/>
  <c r="K16" i="2"/>
  <c r="M16" i="2" s="1"/>
  <c r="K14" i="2"/>
  <c r="K17" i="2"/>
  <c r="M17" i="2" s="1"/>
  <c r="K18" i="2"/>
  <c r="M18" i="2" s="1"/>
  <c r="M14" i="2"/>
</calcChain>
</file>

<file path=xl/sharedStrings.xml><?xml version="1.0" encoding="utf-8"?>
<sst xmlns="http://schemas.openxmlformats.org/spreadsheetml/2006/main" count="25" uniqueCount="16">
  <si>
    <t>Valor Esperado</t>
  </si>
  <si>
    <t>Correlação</t>
  </si>
  <si>
    <t>Peso A</t>
  </si>
  <si>
    <t>Peso B</t>
  </si>
  <si>
    <t>Vol</t>
  </si>
  <si>
    <t xml:space="preserve">Vol </t>
  </si>
  <si>
    <t>Ativo A</t>
  </si>
  <si>
    <t>Ativo B</t>
  </si>
  <si>
    <t>Risk Free</t>
  </si>
  <si>
    <t>Sharpe</t>
  </si>
  <si>
    <t>Max Sharpe</t>
  </si>
  <si>
    <t>Porfolio Máximiza o Sharpe Ratio</t>
  </si>
  <si>
    <t>%RF</t>
  </si>
  <si>
    <t>%Porfolio</t>
  </si>
  <si>
    <t>Retorno</t>
  </si>
  <si>
    <t>Capital Market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</si>
</sst>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%"/>
    <numFmt numFmtId="166" formatCode="_-* #,##0.000_-;\-* #,##0.0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Verdana"/>
      <family val="2"/>
    </font>
    <font>
      <sz val="14"/>
      <color theme="1"/>
      <name val="Verdana"/>
      <family val="2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Verdana"/>
      <family val="2"/>
    </font>
    <font>
      <sz val="12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9" fontId="2" fillId="2" borderId="2" xfId="2" applyNumberFormat="1" applyFont="1" applyFill="1" applyBorder="1" applyAlignment="1">
      <alignment horizontal="center"/>
    </xf>
    <xf numFmtId="9" fontId="2" fillId="2" borderId="3" xfId="2" applyNumberFormat="1" applyFont="1" applyFill="1" applyBorder="1" applyAlignment="1">
      <alignment horizontal="center"/>
    </xf>
    <xf numFmtId="165" fontId="3" fillId="0" borderId="3" xfId="2" applyNumberFormat="1" applyFont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vertical="center"/>
    </xf>
    <xf numFmtId="9" fontId="4" fillId="2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9" fontId="2" fillId="2" borderId="4" xfId="2" applyNumberFormat="1" applyFont="1" applyFill="1" applyBorder="1" applyAlignment="1">
      <alignment horizontal="center"/>
    </xf>
    <xf numFmtId="9" fontId="2" fillId="2" borderId="5" xfId="2" applyNumberFormat="1" applyFont="1" applyFill="1" applyBorder="1" applyAlignment="1">
      <alignment horizontal="center"/>
    </xf>
    <xf numFmtId="165" fontId="3" fillId="0" borderId="5" xfId="2" applyNumberFormat="1" applyFont="1" applyBorder="1" applyAlignment="1">
      <alignment horizontal="center"/>
    </xf>
    <xf numFmtId="10" fontId="2" fillId="3" borderId="0" xfId="0" applyNumberFormat="1" applyFont="1" applyFill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1" xfId="2" applyNumberFormat="1" applyFont="1" applyBorder="1"/>
    <xf numFmtId="165" fontId="0" fillId="0" borderId="0" xfId="2" applyNumberFormat="1" applyFont="1" applyAlignment="1"/>
    <xf numFmtId="166" fontId="0" fillId="0" borderId="0" xfId="1" applyNumberFormat="1" applyFont="1" applyAlignment="1"/>
    <xf numFmtId="0" fontId="0" fillId="0" borderId="0" xfId="0" applyAlignment="1">
      <alignment horizontal="center"/>
    </xf>
    <xf numFmtId="0" fontId="7" fillId="0" borderId="0" xfId="3"/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0" fontId="6" fillId="5" borderId="6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0" fillId="0" borderId="0" xfId="0" applyAlignment="1">
      <alignment horizontal="center"/>
    </xf>
    <xf numFmtId="0" fontId="9" fillId="5" borderId="10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43" fontId="10" fillId="0" borderId="1" xfId="1" applyFont="1" applyBorder="1" applyAlignment="1">
      <alignment horizontal="center"/>
    </xf>
    <xf numFmtId="165" fontId="8" fillId="0" borderId="1" xfId="2" applyNumberFormat="1" applyFont="1" applyBorder="1" applyAlignment="1">
      <alignment horizontal="right"/>
    </xf>
    <xf numFmtId="165" fontId="8" fillId="0" borderId="5" xfId="2" applyNumberFormat="1" applyFont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5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8469550131942"/>
          <c:y val="3.1619690941852588E-2"/>
          <c:w val="0.82002709176803412"/>
          <c:h val="0.82691580357585437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Com_Risk_Free!$F$12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22225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Com_Risk_Free!$E$13:$E$213</c:f>
              <c:numCache>
                <c:formatCode>0.0%</c:formatCode>
                <c:ptCount val="201"/>
                <c:pt idx="0">
                  <c:v>0.1</c:v>
                </c:pt>
                <c:pt idx="1">
                  <c:v>9.9621734576346349E-2</c:v>
                </c:pt>
                <c:pt idx="2">
                  <c:v>9.9246964689102726E-2</c:v>
                </c:pt>
                <c:pt idx="3">
                  <c:v>9.887573008580014E-2</c:v>
                </c:pt>
                <c:pt idx="4">
                  <c:v>9.8508070735346356E-2</c:v>
                </c:pt>
                <c:pt idx="5">
                  <c:v>9.8144026817733543E-2</c:v>
                </c:pt>
                <c:pt idx="6">
                  <c:v>9.778363871323259E-2</c:v>
                </c:pt>
                <c:pt idx="7">
                  <c:v>9.7426946991066077E-2</c:v>
                </c:pt>
                <c:pt idx="8">
                  <c:v>9.70739923975521E-2</c:v>
                </c:pt>
                <c:pt idx="9">
                  <c:v>9.6724815843712009E-2</c:v>
                </c:pt>
                <c:pt idx="10">
                  <c:v>9.6379458392335873E-2</c:v>
                </c:pt>
                <c:pt idx="11">
                  <c:v>9.6037961244499565E-2</c:v>
                </c:pt>
                <c:pt idx="12">
                  <c:v>9.570036572552898E-2</c:v>
                </c:pt>
                <c:pt idx="13">
                  <c:v>9.5366713270406883E-2</c:v>
                </c:pt>
                <c:pt idx="14">
                  <c:v>9.5037045408619486E-2</c:v>
                </c:pt>
                <c:pt idx="15">
                  <c:v>9.4711403748439921E-2</c:v>
                </c:pt>
                <c:pt idx="16">
                  <c:v>9.4389829960647764E-2</c:v>
                </c:pt>
                <c:pt idx="17">
                  <c:v>9.4072365761683707E-2</c:v>
                </c:pt>
                <c:pt idx="18">
                  <c:v>9.3759052896240369E-2</c:v>
                </c:pt>
                <c:pt idx="19">
                  <c:v>9.3449933119291215E-2</c:v>
                </c:pt>
                <c:pt idx="20">
                  <c:v>9.3145048177560141E-2</c:v>
                </c:pt>
                <c:pt idx="21">
                  <c:v>9.2844439790436564E-2</c:v>
                </c:pt>
                <c:pt idx="22">
                  <c:v>9.2548149630341067E-2</c:v>
                </c:pt>
                <c:pt idx="23">
                  <c:v>9.2256219302548931E-2</c:v>
                </c:pt>
                <c:pt idx="24">
                  <c:v>9.1968690324479449E-2</c:v>
                </c:pt>
                <c:pt idx="25">
                  <c:v>9.1685604104461235E-2</c:v>
                </c:pt>
                <c:pt idx="26">
                  <c:v>9.1407001919984229E-2</c:v>
                </c:pt>
                <c:pt idx="27">
                  <c:v>9.1132924895451481E-2</c:v>
                </c:pt>
                <c:pt idx="28">
                  <c:v>9.0863413979445001E-2</c:v>
                </c:pt>
                <c:pt idx="29">
                  <c:v>9.0598509921521339E-2</c:v>
                </c:pt>
                <c:pt idx="30">
                  <c:v>9.0338253248554684E-2</c:v>
                </c:pt>
                <c:pt idx="31">
                  <c:v>9.0082684240646374E-2</c:v>
                </c:pt>
                <c:pt idx="32">
                  <c:v>8.9831842906621925E-2</c:v>
                </c:pt>
                <c:pt idx="33">
                  <c:v>8.958576895913771E-2</c:v>
                </c:pt>
                <c:pt idx="34">
                  <c:v>8.9344501789421812E-2</c:v>
                </c:pt>
                <c:pt idx="35">
                  <c:v>8.910808044167487E-2</c:v>
                </c:pt>
                <c:pt idx="36">
                  <c:v>8.8876543587158019E-2</c:v>
                </c:pt>
                <c:pt idx="37">
                  <c:v>8.8649929497997909E-2</c:v>
                </c:pt>
                <c:pt idx="38">
                  <c:v>8.842827602073898E-2</c:v>
                </c:pt>
                <c:pt idx="39">
                  <c:v>8.8211620549675879E-2</c:v>
                </c:pt>
                <c:pt idx="40">
                  <c:v>8.7999999999999995E-2</c:v>
                </c:pt>
                <c:pt idx="41">
                  <c:v>8.7793450780795715E-2</c:v>
                </c:pt>
                <c:pt idx="42">
                  <c:v>8.7592008767923571E-2</c:v>
                </c:pt>
                <c:pt idx="43">
                  <c:v>8.7395709276828909E-2</c:v>
                </c:pt>
                <c:pt idx="44">
                  <c:v>8.7204587035315972E-2</c:v>
                </c:pt>
                <c:pt idx="45">
                  <c:v>8.7018676156328648E-2</c:v>
                </c:pt>
                <c:pt idx="46">
                  <c:v>8.6838010110780406E-2</c:v>
                </c:pt>
                <c:pt idx="47">
                  <c:v>8.6662621700477074E-2</c:v>
                </c:pt>
                <c:pt idx="48">
                  <c:v>8.6492543031176969E-2</c:v>
                </c:pt>
                <c:pt idx="49">
                  <c:v>8.6327805485834047E-2</c:v>
                </c:pt>
                <c:pt idx="50">
                  <c:v>8.616843969807042E-2</c:v>
                </c:pt>
                <c:pt idx="51">
                  <c:v>8.6014475525925282E-2</c:v>
                </c:pt>
                <c:pt idx="52">
                  <c:v>8.5865942025927816E-2</c:v>
                </c:pt>
                <c:pt idx="53">
                  <c:v>8.5722867427542329E-2</c:v>
                </c:pt>
                <c:pt idx="54">
                  <c:v>8.5585279108033513E-2</c:v>
                </c:pt>
                <c:pt idx="55">
                  <c:v>8.545320356780077E-2</c:v>
                </c:pt>
                <c:pt idx="56">
                  <c:v>8.5326666406229643E-2</c:v>
                </c:pt>
                <c:pt idx="57">
                  <c:v>8.5205692298108815E-2</c:v>
                </c:pt>
                <c:pt idx="58">
                  <c:v>8.5090304970660433E-2</c:v>
                </c:pt>
                <c:pt idx="59">
                  <c:v>8.498052718123135E-2</c:v>
                </c:pt>
                <c:pt idx="60">
                  <c:v>8.4876380695691769E-2</c:v>
                </c:pt>
                <c:pt idx="61">
                  <c:v>8.4777886267587491E-2</c:v>
                </c:pt>
                <c:pt idx="62">
                  <c:v>8.4685063618090278E-2</c:v>
                </c:pt>
                <c:pt idx="63">
                  <c:v>8.4597931416790562E-2</c:v>
                </c:pt>
                <c:pt idx="64">
                  <c:v>8.4516507263374285E-2</c:v>
                </c:pt>
                <c:pt idx="65">
                  <c:v>8.444080767022541E-2</c:v>
                </c:pt>
                <c:pt idx="66">
                  <c:v>8.437084804599275E-2</c:v>
                </c:pt>
                <c:pt idx="67">
                  <c:v>8.4306642680158944E-2</c:v>
                </c:pt>
                <c:pt idx="68">
                  <c:v>8.4248204728646886E-2</c:v>
                </c:pt>
                <c:pt idx="69">
                  <c:v>8.4195546200496851E-2</c:v>
                </c:pt>
                <c:pt idx="70">
                  <c:v>8.4148677945645692E-2</c:v>
                </c:pt>
                <c:pt idx="71">
                  <c:v>8.4107609643836623E-2</c:v>
                </c:pt>
                <c:pt idx="72">
                  <c:v>8.4072349794685766E-2</c:v>
                </c:pt>
                <c:pt idx="73">
                  <c:v>8.4042905708929402E-2</c:v>
                </c:pt>
                <c:pt idx="74">
                  <c:v>8.401928350087258E-2</c:v>
                </c:pt>
                <c:pt idx="75">
                  <c:v>8.4001488082057207E-2</c:v>
                </c:pt>
                <c:pt idx="76">
                  <c:v>8.3989523156165133E-2</c:v>
                </c:pt>
                <c:pt idx="77">
                  <c:v>8.3983391215168249E-2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Com_Risk_Free!$F$13:$F$213</c:f>
              <c:numCache>
                <c:formatCode>0.0%</c:formatCode>
                <c:ptCount val="201"/>
                <c:pt idx="0">
                  <c:v>0.06</c:v>
                </c:pt>
                <c:pt idx="1">
                  <c:v>6.0149999999999995E-2</c:v>
                </c:pt>
                <c:pt idx="2">
                  <c:v>6.0299999999999992E-2</c:v>
                </c:pt>
                <c:pt idx="3">
                  <c:v>6.0449999999999997E-2</c:v>
                </c:pt>
                <c:pt idx="4">
                  <c:v>6.0600000000000001E-2</c:v>
                </c:pt>
                <c:pt idx="5">
                  <c:v>6.0749999999999998E-2</c:v>
                </c:pt>
                <c:pt idx="6">
                  <c:v>6.0899999999999996E-2</c:v>
                </c:pt>
                <c:pt idx="7">
                  <c:v>6.1049999999999993E-2</c:v>
                </c:pt>
                <c:pt idx="8">
                  <c:v>6.1199999999999997E-2</c:v>
                </c:pt>
                <c:pt idx="9">
                  <c:v>6.1349999999999995E-2</c:v>
                </c:pt>
                <c:pt idx="10">
                  <c:v>6.1499999999999992E-2</c:v>
                </c:pt>
                <c:pt idx="11">
                  <c:v>6.1649999999999996E-2</c:v>
                </c:pt>
                <c:pt idx="12">
                  <c:v>6.1799999999999994E-2</c:v>
                </c:pt>
                <c:pt idx="13">
                  <c:v>6.1949999999999998E-2</c:v>
                </c:pt>
                <c:pt idx="14">
                  <c:v>6.2099999999999995E-2</c:v>
                </c:pt>
                <c:pt idx="15">
                  <c:v>6.2249999999999993E-2</c:v>
                </c:pt>
                <c:pt idx="16">
                  <c:v>6.239999999999999E-2</c:v>
                </c:pt>
                <c:pt idx="17">
                  <c:v>6.2549999999999994E-2</c:v>
                </c:pt>
                <c:pt idx="18">
                  <c:v>6.2699999999999992E-2</c:v>
                </c:pt>
                <c:pt idx="19">
                  <c:v>6.2849999999999989E-2</c:v>
                </c:pt>
                <c:pt idx="20">
                  <c:v>6.3E-2</c:v>
                </c:pt>
                <c:pt idx="21">
                  <c:v>6.3149999999999998E-2</c:v>
                </c:pt>
                <c:pt idx="22">
                  <c:v>6.3299999999999995E-2</c:v>
                </c:pt>
                <c:pt idx="23">
                  <c:v>6.3449999999999993E-2</c:v>
                </c:pt>
                <c:pt idx="24">
                  <c:v>6.359999999999999E-2</c:v>
                </c:pt>
                <c:pt idx="25">
                  <c:v>6.3749999999999987E-2</c:v>
                </c:pt>
                <c:pt idx="26">
                  <c:v>6.3899999999999985E-2</c:v>
                </c:pt>
                <c:pt idx="27">
                  <c:v>6.4049999999999996E-2</c:v>
                </c:pt>
                <c:pt idx="28">
                  <c:v>6.4199999999999993E-2</c:v>
                </c:pt>
                <c:pt idx="29">
                  <c:v>6.4349999999999991E-2</c:v>
                </c:pt>
                <c:pt idx="30">
                  <c:v>6.4499999999999988E-2</c:v>
                </c:pt>
                <c:pt idx="31">
                  <c:v>6.4649999999999985E-2</c:v>
                </c:pt>
                <c:pt idx="32">
                  <c:v>6.4799999999999996E-2</c:v>
                </c:pt>
                <c:pt idx="33">
                  <c:v>6.4949999999999994E-2</c:v>
                </c:pt>
                <c:pt idx="34">
                  <c:v>6.5099999999999991E-2</c:v>
                </c:pt>
                <c:pt idx="35">
                  <c:v>6.5250000000000002E-2</c:v>
                </c:pt>
                <c:pt idx="36">
                  <c:v>6.5399999999999986E-2</c:v>
                </c:pt>
                <c:pt idx="37">
                  <c:v>6.5549999999999997E-2</c:v>
                </c:pt>
                <c:pt idx="38">
                  <c:v>6.5699999999999995E-2</c:v>
                </c:pt>
                <c:pt idx="39">
                  <c:v>6.5849999999999992E-2</c:v>
                </c:pt>
                <c:pt idx="40">
                  <c:v>6.6000000000000003E-2</c:v>
                </c:pt>
                <c:pt idx="41">
                  <c:v>6.6149999999999987E-2</c:v>
                </c:pt>
                <c:pt idx="42">
                  <c:v>6.6299999999999998E-2</c:v>
                </c:pt>
                <c:pt idx="43">
                  <c:v>6.6449999999999995E-2</c:v>
                </c:pt>
                <c:pt idx="44">
                  <c:v>6.6599999999999993E-2</c:v>
                </c:pt>
                <c:pt idx="45">
                  <c:v>6.6750000000000004E-2</c:v>
                </c:pt>
                <c:pt idx="46">
                  <c:v>6.6899999999999987E-2</c:v>
                </c:pt>
                <c:pt idx="47">
                  <c:v>6.7049999999999998E-2</c:v>
                </c:pt>
                <c:pt idx="48">
                  <c:v>6.7199999999999996E-2</c:v>
                </c:pt>
                <c:pt idx="49">
                  <c:v>6.7349999999999993E-2</c:v>
                </c:pt>
                <c:pt idx="50">
                  <c:v>6.7499999999999991E-2</c:v>
                </c:pt>
                <c:pt idx="51">
                  <c:v>6.7649999999999988E-2</c:v>
                </c:pt>
                <c:pt idx="52">
                  <c:v>6.7799999999999999E-2</c:v>
                </c:pt>
                <c:pt idx="53">
                  <c:v>6.7949999999999997E-2</c:v>
                </c:pt>
                <c:pt idx="54">
                  <c:v>6.8099999999999994E-2</c:v>
                </c:pt>
                <c:pt idx="55">
                  <c:v>6.8249999999999991E-2</c:v>
                </c:pt>
                <c:pt idx="56">
                  <c:v>6.8399999999999989E-2</c:v>
                </c:pt>
                <c:pt idx="57">
                  <c:v>6.855E-2</c:v>
                </c:pt>
                <c:pt idx="58">
                  <c:v>6.8699999999999997E-2</c:v>
                </c:pt>
                <c:pt idx="59">
                  <c:v>6.8849999999999995E-2</c:v>
                </c:pt>
                <c:pt idx="60">
                  <c:v>6.8999999999999992E-2</c:v>
                </c:pt>
                <c:pt idx="61">
                  <c:v>6.9149999999999989E-2</c:v>
                </c:pt>
                <c:pt idx="62">
                  <c:v>6.93E-2</c:v>
                </c:pt>
                <c:pt idx="63">
                  <c:v>6.9449999999999998E-2</c:v>
                </c:pt>
                <c:pt idx="64">
                  <c:v>6.9599999999999995E-2</c:v>
                </c:pt>
                <c:pt idx="65">
                  <c:v>6.9749999999999993E-2</c:v>
                </c:pt>
                <c:pt idx="66">
                  <c:v>6.989999999999999E-2</c:v>
                </c:pt>
                <c:pt idx="67">
                  <c:v>7.0050000000000001E-2</c:v>
                </c:pt>
                <c:pt idx="68">
                  <c:v>7.0199999999999999E-2</c:v>
                </c:pt>
                <c:pt idx="69">
                  <c:v>7.0349999999999996E-2</c:v>
                </c:pt>
                <c:pt idx="70">
                  <c:v>7.0499999999999993E-2</c:v>
                </c:pt>
                <c:pt idx="71">
                  <c:v>7.0649999999999991E-2</c:v>
                </c:pt>
                <c:pt idx="72">
                  <c:v>7.0800000000000002E-2</c:v>
                </c:pt>
                <c:pt idx="73">
                  <c:v>7.0949999999999999E-2</c:v>
                </c:pt>
                <c:pt idx="74">
                  <c:v>7.1099999999999997E-2</c:v>
                </c:pt>
                <c:pt idx="75">
                  <c:v>7.1249999999999994E-2</c:v>
                </c:pt>
                <c:pt idx="76">
                  <c:v>7.1399999999999991E-2</c:v>
                </c:pt>
                <c:pt idx="77">
                  <c:v>7.1550000000000002E-2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9-43A0-B979-DDAC009548F0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5383272810560825"/>
                  <c:y val="3.22685225956946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>
                        <a:solidFill>
                          <a:sysClr val="windowText" lastClr="000000"/>
                        </a:solidFill>
                      </a:rPr>
                      <a:t>100% Investido no ativo livre de risco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75-4429-92C7-93C40BF1B8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Com_Risk_Free!$K$13:$K$53</c:f>
              <c:numCache>
                <c:formatCode>0.00%</c:formatCode>
                <c:ptCount val="41"/>
                <c:pt idx="0">
                  <c:v>0</c:v>
                </c:pt>
                <c:pt idx="1">
                  <c:v>5.4541750063598106E-3</c:v>
                </c:pt>
                <c:pt idx="2">
                  <c:v>1.0908350012719621E-2</c:v>
                </c:pt>
                <c:pt idx="3">
                  <c:v>1.6362525019079432E-2</c:v>
                </c:pt>
                <c:pt idx="4">
                  <c:v>2.1816700025439242E-2</c:v>
                </c:pt>
                <c:pt idx="5">
                  <c:v>2.7270875031799049E-2</c:v>
                </c:pt>
                <c:pt idx="6">
                  <c:v>3.2725050038158857E-2</c:v>
                </c:pt>
                <c:pt idx="7">
                  <c:v>3.8179225044518664E-2</c:v>
                </c:pt>
                <c:pt idx="8">
                  <c:v>4.3633400050878478E-2</c:v>
                </c:pt>
                <c:pt idx="9">
                  <c:v>4.9087575057238285E-2</c:v>
                </c:pt>
                <c:pt idx="10">
                  <c:v>5.4541750063598092E-2</c:v>
                </c:pt>
                <c:pt idx="11">
                  <c:v>5.9995925069957899E-2</c:v>
                </c:pt>
                <c:pt idx="12">
                  <c:v>6.5450100076317713E-2</c:v>
                </c:pt>
                <c:pt idx="13">
                  <c:v>7.0904275082677534E-2</c:v>
                </c:pt>
                <c:pt idx="14">
                  <c:v>7.6358450089037341E-2</c:v>
                </c:pt>
                <c:pt idx="15">
                  <c:v>8.1812625095397162E-2</c:v>
                </c:pt>
                <c:pt idx="16">
                  <c:v>8.7266800101756969E-2</c:v>
                </c:pt>
                <c:pt idx="17">
                  <c:v>9.272097510811679E-2</c:v>
                </c:pt>
                <c:pt idx="18">
                  <c:v>9.8175150114476611E-2</c:v>
                </c:pt>
                <c:pt idx="19">
                  <c:v>0.10362932512083642</c:v>
                </c:pt>
                <c:pt idx="20">
                  <c:v>0.10908350012719623</c:v>
                </c:pt>
                <c:pt idx="21">
                  <c:v>0.11453767513355603</c:v>
                </c:pt>
                <c:pt idx="22">
                  <c:v>0.11999185013991585</c:v>
                </c:pt>
                <c:pt idx="23">
                  <c:v>0.12544602514627567</c:v>
                </c:pt>
                <c:pt idx="24">
                  <c:v>0.13090020015263548</c:v>
                </c:pt>
                <c:pt idx="25">
                  <c:v>0.13635437515899529</c:v>
                </c:pt>
                <c:pt idx="26">
                  <c:v>0.14180855016535512</c:v>
                </c:pt>
                <c:pt idx="27">
                  <c:v>0.14726272517171493</c:v>
                </c:pt>
                <c:pt idx="28">
                  <c:v>0.15271690017807474</c:v>
                </c:pt>
                <c:pt idx="29">
                  <c:v>0.15817107518443455</c:v>
                </c:pt>
                <c:pt idx="30">
                  <c:v>0.16362525019079438</c:v>
                </c:pt>
                <c:pt idx="31">
                  <c:v>0.16907942519715419</c:v>
                </c:pt>
                <c:pt idx="32">
                  <c:v>0.17453360020351399</c:v>
                </c:pt>
                <c:pt idx="33">
                  <c:v>0.1799877752098738</c:v>
                </c:pt>
                <c:pt idx="34">
                  <c:v>0.18544195021623364</c:v>
                </c:pt>
                <c:pt idx="35">
                  <c:v>0.19089612522259344</c:v>
                </c:pt>
                <c:pt idx="36">
                  <c:v>0.19635030022895325</c:v>
                </c:pt>
                <c:pt idx="37">
                  <c:v>0.20180447523531309</c:v>
                </c:pt>
                <c:pt idx="38">
                  <c:v>0.20725865024167289</c:v>
                </c:pt>
                <c:pt idx="39">
                  <c:v>0.2127128252480327</c:v>
                </c:pt>
                <c:pt idx="40">
                  <c:v>0.21816700025439248</c:v>
                </c:pt>
              </c:numCache>
            </c:numRef>
          </c:xVal>
          <c:yVal>
            <c:numRef>
              <c:f>Com_Risk_Free!$L$13:$L$53</c:f>
              <c:numCache>
                <c:formatCode>0.00%</c:formatCode>
                <c:ptCount val="41"/>
                <c:pt idx="0">
                  <c:v>0.05</c:v>
                </c:pt>
                <c:pt idx="1">
                  <c:v>5.1827499999999999E-2</c:v>
                </c:pt>
                <c:pt idx="2">
                  <c:v>5.3655000000000001E-2</c:v>
                </c:pt>
                <c:pt idx="3">
                  <c:v>5.5482499999999997E-2</c:v>
                </c:pt>
                <c:pt idx="4">
                  <c:v>5.731E-2</c:v>
                </c:pt>
                <c:pt idx="5">
                  <c:v>5.9137499999999996E-2</c:v>
                </c:pt>
                <c:pt idx="6">
                  <c:v>6.0964999999999991E-2</c:v>
                </c:pt>
                <c:pt idx="7">
                  <c:v>6.2792499999999987E-2</c:v>
                </c:pt>
                <c:pt idx="8">
                  <c:v>6.4619999999999983E-2</c:v>
                </c:pt>
                <c:pt idx="9">
                  <c:v>6.6447499999999979E-2</c:v>
                </c:pt>
                <c:pt idx="10">
                  <c:v>6.8274999999999975E-2</c:v>
                </c:pt>
                <c:pt idx="11">
                  <c:v>7.010249999999997E-2</c:v>
                </c:pt>
                <c:pt idx="12">
                  <c:v>7.192999999999998E-2</c:v>
                </c:pt>
                <c:pt idx="13">
                  <c:v>7.375749999999999E-2</c:v>
                </c:pt>
                <c:pt idx="14">
                  <c:v>7.5584999999999986E-2</c:v>
                </c:pt>
                <c:pt idx="15">
                  <c:v>7.7412499999999995E-2</c:v>
                </c:pt>
                <c:pt idx="16">
                  <c:v>7.9239999999999991E-2</c:v>
                </c:pt>
                <c:pt idx="17">
                  <c:v>8.1067500000000001E-2</c:v>
                </c:pt>
                <c:pt idx="18">
                  <c:v>8.289500000000001E-2</c:v>
                </c:pt>
                <c:pt idx="19">
                  <c:v>8.472250000000002E-2</c:v>
                </c:pt>
                <c:pt idx="20">
                  <c:v>8.6550000000000002E-2</c:v>
                </c:pt>
                <c:pt idx="21">
                  <c:v>8.8377500000000012E-2</c:v>
                </c:pt>
                <c:pt idx="22">
                  <c:v>9.0205000000000007E-2</c:v>
                </c:pt>
                <c:pt idx="23">
                  <c:v>9.2032500000000017E-2</c:v>
                </c:pt>
                <c:pt idx="24">
                  <c:v>9.3860000000000013E-2</c:v>
                </c:pt>
                <c:pt idx="25">
                  <c:v>9.5687500000000036E-2</c:v>
                </c:pt>
                <c:pt idx="26">
                  <c:v>9.7515000000000032E-2</c:v>
                </c:pt>
                <c:pt idx="27">
                  <c:v>9.9342500000000028E-2</c:v>
                </c:pt>
                <c:pt idx="28">
                  <c:v>0.10117000000000004</c:v>
                </c:pt>
                <c:pt idx="29">
                  <c:v>0.10299750000000005</c:v>
                </c:pt>
                <c:pt idx="30">
                  <c:v>0.10482500000000003</c:v>
                </c:pt>
                <c:pt idx="31">
                  <c:v>0.10665250000000004</c:v>
                </c:pt>
                <c:pt idx="32">
                  <c:v>0.10848000000000005</c:v>
                </c:pt>
                <c:pt idx="33">
                  <c:v>0.11030750000000003</c:v>
                </c:pt>
                <c:pt idx="34">
                  <c:v>0.11213500000000004</c:v>
                </c:pt>
                <c:pt idx="35">
                  <c:v>0.11396250000000005</c:v>
                </c:pt>
                <c:pt idx="36">
                  <c:v>0.11579000000000006</c:v>
                </c:pt>
                <c:pt idx="37">
                  <c:v>0.11761750000000004</c:v>
                </c:pt>
                <c:pt idx="38">
                  <c:v>0.11944500000000005</c:v>
                </c:pt>
                <c:pt idx="39">
                  <c:v>0.12127250000000006</c:v>
                </c:pt>
                <c:pt idx="40">
                  <c:v>0.12310000000000004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9-43A0-B979-DDAC0095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913584"/>
        <c:axId val="406913192"/>
      </c:scatterChart>
      <c:valAx>
        <c:axId val="406913584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 sz="1400"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rPr>
                  <a:t>Risco</a:t>
                </a:r>
              </a:p>
            </c:rich>
          </c:tx>
          <c:layout>
            <c:manualLayout>
              <c:xMode val="edge"/>
              <c:yMode val="edge"/>
              <c:x val="0.48443012353463477"/>
              <c:y val="0.925219317752543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pt-BR"/>
          </a:p>
        </c:txPr>
        <c:crossAx val="406913192"/>
        <c:crosses val="autoZero"/>
        <c:crossBetween val="midCat"/>
      </c:valAx>
      <c:valAx>
        <c:axId val="406913192"/>
        <c:scaling>
          <c:orientation val="minMax"/>
          <c:max val="0.12000000000000001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 sz="1200"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rPr>
                  <a:t>Retorno</a:t>
                </a:r>
              </a:p>
            </c:rich>
          </c:tx>
          <c:layout>
            <c:manualLayout>
              <c:xMode val="edge"/>
              <c:yMode val="edge"/>
              <c:x val="1.9188183704951206E-2"/>
              <c:y val="0.368593928702463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pt-BR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pt-BR"/>
          </a:p>
        </c:txPr>
        <c:crossAx val="40691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ferramentasdoinvestidor.com.br/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399789</xdr:colOff>
      <xdr:row>4</xdr:row>
      <xdr:rowOff>62752</xdr:rowOff>
    </xdr:from>
    <xdr:to>
      <xdr:col>25</xdr:col>
      <xdr:colOff>349623</xdr:colOff>
      <xdr:row>20</xdr:row>
      <xdr:rowOff>147486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3810</xdr:colOff>
      <xdr:row>0</xdr:row>
      <xdr:rowOff>413555</xdr:rowOff>
    </xdr:from>
    <xdr:ext cx="2707857" cy="142875"/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12F744-B34E-46AC-9752-B49A9C00A1B8}"/>
            </a:ext>
          </a:extLst>
        </xdr:cNvPr>
        <xdr:cNvSpPr txBox="1"/>
      </xdr:nvSpPr>
      <xdr:spPr>
        <a:xfrm>
          <a:off x="1192530" y="41355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76201</xdr:colOff>
      <xdr:row>0</xdr:row>
      <xdr:rowOff>0</xdr:rowOff>
    </xdr:from>
    <xdr:to>
      <xdr:col>1</xdr:col>
      <xdr:colOff>1066800</xdr:colOff>
      <xdr:row>0</xdr:row>
      <xdr:rowOff>580953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C3721790-D211-4A02-B74D-68C280E8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0"/>
          <a:ext cx="1119553" cy="580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13"/>
  <sheetViews>
    <sheetView showGridLines="0" tabSelected="1" zoomScale="85" zoomScaleNormal="85" workbookViewId="0">
      <selection activeCell="L6" sqref="A6:L6"/>
    </sheetView>
  </sheetViews>
  <sheetFormatPr defaultRowHeight="14.4" x14ac:dyDescent="0.3"/>
  <cols>
    <col min="1" max="1" width="1.88671875" customWidth="1"/>
    <col min="2" max="2" width="16" customWidth="1"/>
    <col min="3" max="3" width="16.6640625" bestFit="1" customWidth="1"/>
    <col min="4" max="4" width="14.6640625" customWidth="1"/>
    <col min="5" max="5" width="22.44140625" style="1" bestFit="1" customWidth="1"/>
    <col min="6" max="6" width="19.6640625" style="1" customWidth="1"/>
    <col min="7" max="7" width="19.6640625" bestFit="1" customWidth="1"/>
    <col min="8" max="8" width="14.88671875" customWidth="1"/>
    <col min="9" max="12" width="13.6640625" style="1" customWidth="1"/>
    <col min="13" max="13" width="13.6640625" style="23" customWidth="1"/>
  </cols>
  <sheetData>
    <row r="1" spans="1:13" ht="48" customHeight="1" thickBot="1" x14ac:dyDescent="0.35">
      <c r="C1" s="26"/>
      <c r="E1"/>
      <c r="F1" s="25"/>
      <c r="I1"/>
      <c r="J1"/>
      <c r="K1"/>
      <c r="L1"/>
      <c r="M1"/>
    </row>
    <row r="2" spans="1:13" s="27" customFormat="1" ht="6.75" customHeight="1" thickBot="1" x14ac:dyDescent="0.35">
      <c r="F2" s="28"/>
    </row>
    <row r="4" spans="1:13" ht="15" thickBot="1" x14ac:dyDescent="0.35"/>
    <row r="5" spans="1:13" ht="31.2" customHeight="1" thickBot="1" x14ac:dyDescent="0.35">
      <c r="G5" s="33" t="s">
        <v>11</v>
      </c>
      <c r="H5" s="34"/>
    </row>
    <row r="6" spans="1:13" ht="22.2" x14ac:dyDescent="0.4">
      <c r="B6" s="13" t="s">
        <v>6</v>
      </c>
      <c r="C6" s="10" t="s">
        <v>4</v>
      </c>
      <c r="D6" s="11">
        <v>0.1</v>
      </c>
      <c r="E6" s="12" t="s">
        <v>0</v>
      </c>
      <c r="F6" s="11">
        <v>0.06</v>
      </c>
      <c r="G6" s="30" t="s">
        <v>10</v>
      </c>
      <c r="H6" s="35">
        <f>MAX(G13:G213)</f>
        <v>0.33506442273470394</v>
      </c>
    </row>
    <row r="7" spans="1:13" ht="22.2" x14ac:dyDescent="0.4">
      <c r="B7" s="13" t="s">
        <v>7</v>
      </c>
      <c r="C7" s="10" t="s">
        <v>5</v>
      </c>
      <c r="D7" s="11">
        <v>0.12</v>
      </c>
      <c r="E7" s="12" t="s">
        <v>0</v>
      </c>
      <c r="F7" s="11">
        <v>0.09</v>
      </c>
      <c r="G7" s="30" t="s">
        <v>2</v>
      </c>
      <c r="H7" s="36">
        <f>INDEX(C13:C213,MATCH(H6,$G$13:$G$213,0))</f>
        <v>0.11499999999999921</v>
      </c>
    </row>
    <row r="8" spans="1:13" ht="23.4" x14ac:dyDescent="0.45">
      <c r="C8" s="2" t="s">
        <v>1</v>
      </c>
      <c r="D8" s="4">
        <v>0.2</v>
      </c>
      <c r="E8" s="3"/>
      <c r="F8" s="3"/>
      <c r="G8" s="30" t="s">
        <v>3</v>
      </c>
      <c r="H8" s="36">
        <f>INDEX(D13:D213,MATCH(H6,$G$13:$G$213,0))</f>
        <v>0.88500000000000068</v>
      </c>
    </row>
    <row r="9" spans="1:13" ht="23.4" x14ac:dyDescent="0.45">
      <c r="C9" s="2"/>
      <c r="D9" s="2"/>
      <c r="E9" s="3" t="s">
        <v>8</v>
      </c>
      <c r="F9" s="17">
        <v>0.05</v>
      </c>
      <c r="G9" s="30" t="s">
        <v>4</v>
      </c>
      <c r="H9" s="36">
        <f>INDEX(E13:E213,MATCH(H6,$G$13:$G$213,0))</f>
        <v>0.1090835001271962</v>
      </c>
    </row>
    <row r="10" spans="1:13" ht="21.6" thickBot="1" x14ac:dyDescent="0.45">
      <c r="E10" s="5"/>
      <c r="G10" s="31" t="s">
        <v>0</v>
      </c>
      <c r="H10" s="37">
        <f>INDEX(F13:F213,MATCH(H6,$G$13:$G$213,0))</f>
        <v>8.6550000000000002E-2</v>
      </c>
    </row>
    <row r="11" spans="1:13" x14ac:dyDescent="0.3">
      <c r="F11" s="5"/>
      <c r="I11" s="32" t="s">
        <v>15</v>
      </c>
      <c r="J11" s="32"/>
      <c r="K11" s="32"/>
      <c r="L11" s="32"/>
      <c r="M11" s="32"/>
    </row>
    <row r="12" spans="1:13" ht="30.75" customHeight="1" thickBot="1" x14ac:dyDescent="0.35">
      <c r="C12" s="29" t="s">
        <v>2</v>
      </c>
      <c r="D12" s="29" t="s">
        <v>3</v>
      </c>
      <c r="E12" s="29" t="s">
        <v>4</v>
      </c>
      <c r="F12" s="29" t="s">
        <v>0</v>
      </c>
      <c r="G12" s="29" t="s">
        <v>9</v>
      </c>
      <c r="I12" s="29" t="s">
        <v>12</v>
      </c>
      <c r="J12" s="29" t="s">
        <v>13</v>
      </c>
      <c r="K12" s="29" t="s">
        <v>4</v>
      </c>
      <c r="L12" s="29" t="s">
        <v>14</v>
      </c>
      <c r="M12" s="29" t="s">
        <v>9</v>
      </c>
    </row>
    <row r="13" spans="1:13" ht="24.6" thickTop="1" thickBot="1" x14ac:dyDescent="0.5">
      <c r="A13" s="9"/>
      <c r="B13" s="22"/>
      <c r="C13" s="14">
        <v>1</v>
      </c>
      <c r="D13" s="15">
        <v>0</v>
      </c>
      <c r="E13" s="16">
        <f>SQRT(C13^2*$D$6^2+D13^2*$D$7^2+2*D13*C13*$D$6*$D$7*$D$8)</f>
        <v>0.1</v>
      </c>
      <c r="F13" s="16">
        <f>$F$6*C13+$F$7*D13</f>
        <v>0.06</v>
      </c>
      <c r="G13" s="18">
        <f>(F13-$F$9)/E13</f>
        <v>9.999999999999995E-2</v>
      </c>
      <c r="I13" s="21">
        <v>1</v>
      </c>
      <c r="J13" s="19">
        <f>0%</f>
        <v>0</v>
      </c>
      <c r="K13" s="20">
        <f>J13*$H$9</f>
        <v>0</v>
      </c>
      <c r="L13" s="20">
        <f>I13*$F$9+J13*$H$10</f>
        <v>0.05</v>
      </c>
      <c r="M13" s="24">
        <v>0</v>
      </c>
    </row>
    <row r="14" spans="1:13" ht="24" thickBot="1" x14ac:dyDescent="0.5">
      <c r="C14" s="6">
        <f>C13-0.5%</f>
        <v>0.995</v>
      </c>
      <c r="D14" s="7">
        <f>D13+0.5%</f>
        <v>5.0000000000000001E-3</v>
      </c>
      <c r="E14" s="8">
        <f>SQRT(C14^2*$D$6^2+D14^2*$D$7^2+2*D14*C14*$D$6*$D$7*$D$8)</f>
        <v>9.9621734576346349E-2</v>
      </c>
      <c r="F14" s="8">
        <f>$F$6*C14+$F$7*D14</f>
        <v>6.0149999999999995E-2</v>
      </c>
      <c r="G14" s="18">
        <f t="shared" ref="G14:G77" si="0">(F14-$F$9)/E14</f>
        <v>0.10188539722947119</v>
      </c>
      <c r="I14" s="21">
        <f>I13-5%</f>
        <v>0.95</v>
      </c>
      <c r="J14" s="19">
        <f>J13+5%</f>
        <v>0.05</v>
      </c>
      <c r="K14" s="20">
        <f>J14*$H$9</f>
        <v>5.4541750063598106E-3</v>
      </c>
      <c r="L14" s="20">
        <f>I14*$F$9+J14*$H$10</f>
        <v>5.1827499999999999E-2</v>
      </c>
      <c r="M14" s="24">
        <f>(L14-$F$9)/K14</f>
        <v>0.33506442273470316</v>
      </c>
    </row>
    <row r="15" spans="1:13" ht="24" thickBot="1" x14ac:dyDescent="0.5">
      <c r="C15" s="6">
        <f t="shared" ref="C15:C78" si="1">C14-0.5%</f>
        <v>0.99</v>
      </c>
      <c r="D15" s="7">
        <f t="shared" ref="D15:D78" si="2">D14+0.5%</f>
        <v>0.01</v>
      </c>
      <c r="E15" s="8">
        <f>SQRT(C15^2*$D$6^2+D15^2*$D$7^2+2*D15*C15*$D$6*$D$7*$D$8)</f>
        <v>9.9246964689102726E-2</v>
      </c>
      <c r="F15" s="8">
        <f t="shared" ref="F15:F78" si="3">$F$6*C15+$F$7*D15</f>
        <v>6.0299999999999992E-2</v>
      </c>
      <c r="G15" s="18">
        <f t="shared" si="0"/>
        <v>0.10378151142722983</v>
      </c>
      <c r="I15" s="21">
        <f t="shared" ref="I15:I17" si="4">I14-5%</f>
        <v>0.89999999999999991</v>
      </c>
      <c r="J15" s="19">
        <f t="shared" ref="J15:J17" si="5">J14+5%</f>
        <v>0.1</v>
      </c>
      <c r="K15" s="20">
        <f t="shared" ref="K15:K53" si="6">J15*$H$9</f>
        <v>1.0908350012719621E-2</v>
      </c>
      <c r="L15" s="20">
        <f t="shared" ref="L15:L17" si="7">I15*$F$9+J15*$H$10</f>
        <v>5.3655000000000001E-2</v>
      </c>
      <c r="M15" s="24">
        <f>(L15-$F$9)/K15</f>
        <v>0.33506442273470377</v>
      </c>
    </row>
    <row r="16" spans="1:13" ht="24" thickBot="1" x14ac:dyDescent="0.5">
      <c r="C16" s="6">
        <f t="shared" si="1"/>
        <v>0.98499999999999999</v>
      </c>
      <c r="D16" s="7">
        <f t="shared" si="2"/>
        <v>1.4999999999999999E-2</v>
      </c>
      <c r="E16" s="8">
        <f>SQRT(C16^2*$D$6^2+D16^2*$D$7^2+2*D16*C16*$D$6*$D$7*$D$8)</f>
        <v>9.887573008580014E-2</v>
      </c>
      <c r="F16" s="8">
        <f t="shared" si="3"/>
        <v>6.0449999999999997E-2</v>
      </c>
      <c r="G16" s="18">
        <f t="shared" si="0"/>
        <v>0.10568822087009552</v>
      </c>
      <c r="I16" s="21">
        <f t="shared" si="4"/>
        <v>0.84999999999999987</v>
      </c>
      <c r="J16" s="19">
        <f t="shared" si="5"/>
        <v>0.15000000000000002</v>
      </c>
      <c r="K16" s="20">
        <f>J16*$H$9</f>
        <v>1.6362525019079432E-2</v>
      </c>
      <c r="L16" s="20">
        <f t="shared" si="7"/>
        <v>5.5482499999999997E-2</v>
      </c>
      <c r="M16" s="24">
        <f t="shared" ref="M16:M53" si="8">(L16-$F$9)/K16</f>
        <v>0.33506442273470355</v>
      </c>
    </row>
    <row r="17" spans="3:13" ht="24" thickBot="1" x14ac:dyDescent="0.5">
      <c r="C17" s="6">
        <f t="shared" si="1"/>
        <v>0.98</v>
      </c>
      <c r="D17" s="7">
        <f>D16+0.5%</f>
        <v>0.02</v>
      </c>
      <c r="E17" s="8">
        <f t="shared" ref="E17:E80" si="9">SQRT(C17^2*$D$6^2+D17^2*$D$7^2+2*D17*C17*$D$6*$D$7*$D$8)</f>
        <v>9.8508070735346356E-2</v>
      </c>
      <c r="F17" s="8">
        <f t="shared" si="3"/>
        <v>6.0600000000000001E-2</v>
      </c>
      <c r="G17" s="18">
        <f t="shared" si="0"/>
        <v>0.1076053963992266</v>
      </c>
      <c r="I17" s="21">
        <f t="shared" si="4"/>
        <v>0.79999999999999982</v>
      </c>
      <c r="J17" s="19">
        <f t="shared" si="5"/>
        <v>0.2</v>
      </c>
      <c r="K17" s="20">
        <f>J17*$H$9</f>
        <v>2.1816700025439242E-2</v>
      </c>
      <c r="L17" s="20">
        <f t="shared" si="7"/>
        <v>5.731E-2</v>
      </c>
      <c r="M17" s="24">
        <f t="shared" si="8"/>
        <v>0.33506442273470377</v>
      </c>
    </row>
    <row r="18" spans="3:13" ht="24" thickBot="1" x14ac:dyDescent="0.5">
      <c r="C18" s="6">
        <f t="shared" si="1"/>
        <v>0.97499999999999998</v>
      </c>
      <c r="D18" s="7">
        <f t="shared" si="2"/>
        <v>2.5000000000000001E-2</v>
      </c>
      <c r="E18" s="8">
        <f t="shared" si="9"/>
        <v>9.8144026817733543E-2</v>
      </c>
      <c r="F18" s="8">
        <f t="shared" si="3"/>
        <v>6.0749999999999998E-2</v>
      </c>
      <c r="G18" s="18">
        <f t="shared" si="0"/>
        <v>0.10953290127339252</v>
      </c>
      <c r="I18" s="21">
        <f t="shared" ref="I18:I47" si="10">I17-5%</f>
        <v>0.74999999999999978</v>
      </c>
      <c r="J18" s="19">
        <f t="shared" ref="J18:J47" si="11">J17+5%</f>
        <v>0.25</v>
      </c>
      <c r="K18" s="20">
        <f>J18*$H$9</f>
        <v>2.7270875031799049E-2</v>
      </c>
      <c r="L18" s="20">
        <f t="shared" ref="L18:L47" si="12">I18*$F$9+J18*$H$10</f>
        <v>5.9137499999999996E-2</v>
      </c>
      <c r="M18" s="24">
        <f t="shared" si="8"/>
        <v>0.33506442273470372</v>
      </c>
    </row>
    <row r="19" spans="3:13" ht="24" thickBot="1" x14ac:dyDescent="0.5">
      <c r="C19" s="6">
        <f t="shared" si="1"/>
        <v>0.97</v>
      </c>
      <c r="D19" s="7">
        <f t="shared" si="2"/>
        <v>3.0000000000000002E-2</v>
      </c>
      <c r="E19" s="8">
        <f t="shared" si="9"/>
        <v>9.778363871323259E-2</v>
      </c>
      <c r="F19" s="8">
        <f t="shared" si="3"/>
        <v>6.0899999999999996E-2</v>
      </c>
      <c r="G19" s="18">
        <f t="shared" si="0"/>
        <v>0.11147059102562265</v>
      </c>
      <c r="I19" s="21">
        <f t="shared" si="10"/>
        <v>0.69999999999999973</v>
      </c>
      <c r="J19" s="19">
        <f t="shared" si="11"/>
        <v>0.3</v>
      </c>
      <c r="K19" s="20">
        <f t="shared" si="6"/>
        <v>3.2725050038158857E-2</v>
      </c>
      <c r="L19" s="20">
        <f t="shared" si="12"/>
        <v>6.0964999999999991E-2</v>
      </c>
      <c r="M19" s="24">
        <f t="shared" si="8"/>
        <v>0.33506442273470366</v>
      </c>
    </row>
    <row r="20" spans="3:13" ht="24" thickBot="1" x14ac:dyDescent="0.5">
      <c r="C20" s="6">
        <f t="shared" si="1"/>
        <v>0.96499999999999997</v>
      </c>
      <c r="D20" s="7">
        <f t="shared" si="2"/>
        <v>3.5000000000000003E-2</v>
      </c>
      <c r="E20" s="8">
        <f t="shared" si="9"/>
        <v>9.7426946991066077E-2</v>
      </c>
      <c r="F20" s="8">
        <f t="shared" si="3"/>
        <v>6.1049999999999993E-2</v>
      </c>
      <c r="G20" s="18">
        <f t="shared" si="0"/>
        <v>0.11341831332365634</v>
      </c>
      <c r="I20" s="21">
        <f t="shared" si="10"/>
        <v>0.64999999999999969</v>
      </c>
      <c r="J20" s="19">
        <f t="shared" si="11"/>
        <v>0.35</v>
      </c>
      <c r="K20" s="20">
        <f t="shared" si="6"/>
        <v>3.8179225044518664E-2</v>
      </c>
      <c r="L20" s="20">
        <f t="shared" si="12"/>
        <v>6.2792499999999987E-2</v>
      </c>
      <c r="M20" s="24">
        <f t="shared" si="8"/>
        <v>0.3350644227347036</v>
      </c>
    </row>
    <row r="21" spans="3:13" ht="24" thickBot="1" x14ac:dyDescent="0.5">
      <c r="C21" s="6">
        <f t="shared" si="1"/>
        <v>0.96</v>
      </c>
      <c r="D21" s="7">
        <f t="shared" si="2"/>
        <v>0.04</v>
      </c>
      <c r="E21" s="8">
        <f t="shared" si="9"/>
        <v>9.70739923975521E-2</v>
      </c>
      <c r="F21" s="8">
        <f t="shared" si="3"/>
        <v>6.1199999999999997E-2</v>
      </c>
      <c r="G21" s="18">
        <f t="shared" si="0"/>
        <v>0.11537590783463464</v>
      </c>
      <c r="I21" s="21">
        <f t="shared" si="10"/>
        <v>0.59999999999999964</v>
      </c>
      <c r="J21" s="19">
        <f t="shared" si="11"/>
        <v>0.39999999999999997</v>
      </c>
      <c r="K21" s="20">
        <f t="shared" si="6"/>
        <v>4.3633400050878478E-2</v>
      </c>
      <c r="L21" s="20">
        <f t="shared" si="12"/>
        <v>6.4619999999999983E-2</v>
      </c>
      <c r="M21" s="24">
        <f t="shared" si="8"/>
        <v>0.33506442273470349</v>
      </c>
    </row>
    <row r="22" spans="3:13" ht="24" thickBot="1" x14ac:dyDescent="0.5">
      <c r="C22" s="6">
        <f t="shared" si="1"/>
        <v>0.95499999999999996</v>
      </c>
      <c r="D22" s="7">
        <f t="shared" si="2"/>
        <v>4.4999999999999998E-2</v>
      </c>
      <c r="E22" s="8">
        <f t="shared" si="9"/>
        <v>9.6724815843712009E-2</v>
      </c>
      <c r="F22" s="8">
        <f t="shared" si="3"/>
        <v>6.1349999999999995E-2</v>
      </c>
      <c r="G22" s="18">
        <f t="shared" si="0"/>
        <v>0.11734320609448692</v>
      </c>
      <c r="I22" s="21">
        <f t="shared" si="10"/>
        <v>0.5499999999999996</v>
      </c>
      <c r="J22" s="19">
        <f t="shared" si="11"/>
        <v>0.44999999999999996</v>
      </c>
      <c r="K22" s="20">
        <f t="shared" si="6"/>
        <v>4.9087575057238285E-2</v>
      </c>
      <c r="L22" s="20">
        <f t="shared" si="12"/>
        <v>6.6447499999999979E-2</v>
      </c>
      <c r="M22" s="24">
        <f t="shared" si="8"/>
        <v>0.33506442273470349</v>
      </c>
    </row>
    <row r="23" spans="3:13" ht="24" thickBot="1" x14ac:dyDescent="0.5">
      <c r="C23" s="6">
        <f t="shared" si="1"/>
        <v>0.95</v>
      </c>
      <c r="D23" s="7">
        <f t="shared" si="2"/>
        <v>4.9999999999999996E-2</v>
      </c>
      <c r="E23" s="8">
        <f t="shared" si="9"/>
        <v>9.6379458392335873E-2</v>
      </c>
      <c r="F23" s="8">
        <f t="shared" si="3"/>
        <v>6.1499999999999992E-2</v>
      </c>
      <c r="G23" s="18">
        <f t="shared" si="0"/>
        <v>0.1193200313824805</v>
      </c>
      <c r="I23" s="21">
        <f t="shared" si="10"/>
        <v>0.49999999999999961</v>
      </c>
      <c r="J23" s="19">
        <f t="shared" si="11"/>
        <v>0.49999999999999994</v>
      </c>
      <c r="K23" s="20">
        <f t="shared" si="6"/>
        <v>5.4541750063598092E-2</v>
      </c>
      <c r="L23" s="20">
        <f t="shared" si="12"/>
        <v>6.8274999999999975E-2</v>
      </c>
      <c r="M23" s="24">
        <f t="shared" si="8"/>
        <v>0.33506442273470349</v>
      </c>
    </row>
    <row r="24" spans="3:13" ht="24" thickBot="1" x14ac:dyDescent="0.5">
      <c r="C24" s="6">
        <f t="shared" si="1"/>
        <v>0.94499999999999995</v>
      </c>
      <c r="D24" s="7">
        <f t="shared" si="2"/>
        <v>5.4999999999999993E-2</v>
      </c>
      <c r="E24" s="8">
        <f t="shared" si="9"/>
        <v>9.6037961244499565E-2</v>
      </c>
      <c r="F24" s="8">
        <f t="shared" si="3"/>
        <v>6.1649999999999996E-2</v>
      </c>
      <c r="G24" s="18">
        <f t="shared" si="0"/>
        <v>0.12130619860141222</v>
      </c>
      <c r="I24" s="21">
        <f t="shared" si="10"/>
        <v>0.44999999999999962</v>
      </c>
      <c r="J24" s="19">
        <f t="shared" si="11"/>
        <v>0.54999999999999993</v>
      </c>
      <c r="K24" s="20">
        <f t="shared" si="6"/>
        <v>5.9995925069957899E-2</v>
      </c>
      <c r="L24" s="20">
        <f t="shared" si="12"/>
        <v>7.010249999999997E-2</v>
      </c>
      <c r="M24" s="24">
        <f t="shared" si="8"/>
        <v>0.33506442273470349</v>
      </c>
    </row>
    <row r="25" spans="3:13" ht="24" thickBot="1" x14ac:dyDescent="0.5">
      <c r="C25" s="6">
        <f t="shared" si="1"/>
        <v>0.94</v>
      </c>
      <c r="D25" s="7">
        <f t="shared" si="2"/>
        <v>5.9999999999999991E-2</v>
      </c>
      <c r="E25" s="8">
        <f t="shared" si="9"/>
        <v>9.570036572552898E-2</v>
      </c>
      <c r="F25" s="8">
        <f t="shared" si="3"/>
        <v>6.1799999999999994E-2</v>
      </c>
      <c r="G25" s="18">
        <f t="shared" si="0"/>
        <v>0.12330151416393416</v>
      </c>
      <c r="I25" s="21">
        <f t="shared" si="10"/>
        <v>0.39999999999999963</v>
      </c>
      <c r="J25" s="19">
        <f t="shared" si="11"/>
        <v>0.6</v>
      </c>
      <c r="K25" s="20">
        <f t="shared" si="6"/>
        <v>6.5450100076317713E-2</v>
      </c>
      <c r="L25" s="20">
        <f t="shared" si="12"/>
        <v>7.192999999999998E-2</v>
      </c>
      <c r="M25" s="24">
        <f t="shared" si="8"/>
        <v>0.33506442273470366</v>
      </c>
    </row>
    <row r="26" spans="3:13" ht="24" thickBot="1" x14ac:dyDescent="0.5">
      <c r="C26" s="6">
        <f t="shared" si="1"/>
        <v>0.93499999999999994</v>
      </c>
      <c r="D26" s="7">
        <f t="shared" si="2"/>
        <v>6.4999999999999988E-2</v>
      </c>
      <c r="E26" s="8">
        <f t="shared" si="9"/>
        <v>9.5366713270406883E-2</v>
      </c>
      <c r="F26" s="8">
        <f t="shared" si="3"/>
        <v>6.1949999999999998E-2</v>
      </c>
      <c r="G26" s="18">
        <f t="shared" si="0"/>
        <v>0.12530577588551731</v>
      </c>
      <c r="I26" s="21">
        <f t="shared" si="10"/>
        <v>0.34999999999999964</v>
      </c>
      <c r="J26" s="19">
        <f t="shared" si="11"/>
        <v>0.65</v>
      </c>
      <c r="K26" s="20">
        <f t="shared" si="6"/>
        <v>7.0904275082677534E-2</v>
      </c>
      <c r="L26" s="20">
        <f t="shared" si="12"/>
        <v>7.375749999999999E-2</v>
      </c>
      <c r="M26" s="24">
        <f t="shared" si="8"/>
        <v>0.33506442273470377</v>
      </c>
    </row>
    <row r="27" spans="3:13" ht="24" thickBot="1" x14ac:dyDescent="0.5">
      <c r="C27" s="6">
        <f t="shared" si="1"/>
        <v>0.92999999999999994</v>
      </c>
      <c r="D27" s="7">
        <f t="shared" si="2"/>
        <v>6.9999999999999993E-2</v>
      </c>
      <c r="E27" s="8">
        <f t="shared" si="9"/>
        <v>9.5037045408619486E-2</v>
      </c>
      <c r="F27" s="8">
        <f t="shared" si="3"/>
        <v>6.2099999999999995E-2</v>
      </c>
      <c r="G27" s="18">
        <f t="shared" si="0"/>
        <v>0.1273187728845637</v>
      </c>
      <c r="I27" s="21">
        <f t="shared" si="10"/>
        <v>0.29999999999999966</v>
      </c>
      <c r="J27" s="19">
        <f t="shared" si="11"/>
        <v>0.70000000000000007</v>
      </c>
      <c r="K27" s="20">
        <f t="shared" si="6"/>
        <v>7.6358450089037341E-2</v>
      </c>
      <c r="L27" s="20">
        <f t="shared" si="12"/>
        <v>7.5584999999999986E-2</v>
      </c>
      <c r="M27" s="24">
        <f t="shared" si="8"/>
        <v>0.33506442273470372</v>
      </c>
    </row>
    <row r="28" spans="3:13" ht="24" thickBot="1" x14ac:dyDescent="0.5">
      <c r="C28" s="6">
        <f t="shared" si="1"/>
        <v>0.92499999999999993</v>
      </c>
      <c r="D28" s="7">
        <f t="shared" si="2"/>
        <v>7.4999999999999997E-2</v>
      </c>
      <c r="E28" s="8">
        <f t="shared" si="9"/>
        <v>9.4711403748439921E-2</v>
      </c>
      <c r="F28" s="8">
        <f t="shared" si="3"/>
        <v>6.2249999999999993E-2</v>
      </c>
      <c r="G28" s="18">
        <f t="shared" si="0"/>
        <v>0.12934028549019125</v>
      </c>
      <c r="I28" s="21">
        <f t="shared" si="10"/>
        <v>0.24999999999999967</v>
      </c>
      <c r="J28" s="19">
        <f t="shared" si="11"/>
        <v>0.75000000000000011</v>
      </c>
      <c r="K28" s="20">
        <f t="shared" si="6"/>
        <v>8.1812625095397162E-2</v>
      </c>
      <c r="L28" s="20">
        <f t="shared" si="12"/>
        <v>7.7412499999999995E-2</v>
      </c>
      <c r="M28" s="24">
        <f t="shared" si="8"/>
        <v>0.33506442273470383</v>
      </c>
    </row>
    <row r="29" spans="3:13" ht="24" thickBot="1" x14ac:dyDescent="0.5">
      <c r="C29" s="6">
        <f t="shared" si="1"/>
        <v>0.91999999999999993</v>
      </c>
      <c r="D29" s="7">
        <f t="shared" si="2"/>
        <v>0.08</v>
      </c>
      <c r="E29" s="8">
        <f t="shared" si="9"/>
        <v>9.4389829960647764E-2</v>
      </c>
      <c r="F29" s="8">
        <f t="shared" si="3"/>
        <v>6.239999999999999E-2</v>
      </c>
      <c r="G29" s="18">
        <f t="shared" si="0"/>
        <v>0.13137008515821771</v>
      </c>
      <c r="I29" s="21">
        <f t="shared" si="10"/>
        <v>0.19999999999999968</v>
      </c>
      <c r="J29" s="19">
        <f t="shared" si="11"/>
        <v>0.80000000000000016</v>
      </c>
      <c r="K29" s="20">
        <f t="shared" si="6"/>
        <v>8.7266800101756969E-2</v>
      </c>
      <c r="L29" s="20">
        <f t="shared" si="12"/>
        <v>7.9239999999999991E-2</v>
      </c>
      <c r="M29" s="24">
        <f t="shared" si="8"/>
        <v>0.33506442273470377</v>
      </c>
    </row>
    <row r="30" spans="3:13" ht="24" thickBot="1" x14ac:dyDescent="0.5">
      <c r="C30" s="6">
        <f t="shared" si="1"/>
        <v>0.91499999999999992</v>
      </c>
      <c r="D30" s="7">
        <f t="shared" si="2"/>
        <v>8.5000000000000006E-2</v>
      </c>
      <c r="E30" s="8">
        <f t="shared" si="9"/>
        <v>9.4072365761683707E-2</v>
      </c>
      <c r="F30" s="8">
        <f t="shared" si="3"/>
        <v>6.2549999999999994E-2</v>
      </c>
      <c r="G30" s="18">
        <f t="shared" si="0"/>
        <v>0.13340793439588067</v>
      </c>
      <c r="I30" s="21">
        <f t="shared" si="10"/>
        <v>0.14999999999999969</v>
      </c>
      <c r="J30" s="19">
        <f t="shared" si="11"/>
        <v>0.8500000000000002</v>
      </c>
      <c r="K30" s="20">
        <f t="shared" si="6"/>
        <v>9.272097510811679E-2</v>
      </c>
      <c r="L30" s="20">
        <f t="shared" si="12"/>
        <v>8.1067500000000001E-2</v>
      </c>
      <c r="M30" s="24">
        <f t="shared" si="8"/>
        <v>0.33506442273470388</v>
      </c>
    </row>
    <row r="31" spans="3:13" ht="24" thickBot="1" x14ac:dyDescent="0.5">
      <c r="C31" s="6">
        <f t="shared" si="1"/>
        <v>0.90999999999999992</v>
      </c>
      <c r="D31" s="7">
        <f t="shared" si="2"/>
        <v>9.0000000000000011E-2</v>
      </c>
      <c r="E31" s="8">
        <f t="shared" si="9"/>
        <v>9.3759052896240369E-2</v>
      </c>
      <c r="F31" s="8">
        <f t="shared" si="3"/>
        <v>6.2699999999999992E-2</v>
      </c>
      <c r="G31" s="18">
        <f t="shared" si="0"/>
        <v>0.13545358669583196</v>
      </c>
      <c r="I31" s="21">
        <f t="shared" si="10"/>
        <v>9.9999999999999686E-2</v>
      </c>
      <c r="J31" s="19">
        <f t="shared" si="11"/>
        <v>0.90000000000000024</v>
      </c>
      <c r="K31" s="20">
        <f t="shared" si="6"/>
        <v>9.8175150114476611E-2</v>
      </c>
      <c r="L31" s="20">
        <f t="shared" si="12"/>
        <v>8.289500000000001E-2</v>
      </c>
      <c r="M31" s="24">
        <f t="shared" si="8"/>
        <v>0.33506442273470394</v>
      </c>
    </row>
    <row r="32" spans="3:13" ht="24" thickBot="1" x14ac:dyDescent="0.5">
      <c r="C32" s="6">
        <f t="shared" si="1"/>
        <v>0.90499999999999992</v>
      </c>
      <c r="D32" s="7">
        <f t="shared" si="2"/>
        <v>9.5000000000000015E-2</v>
      </c>
      <c r="E32" s="8">
        <f t="shared" si="9"/>
        <v>9.3449933119291215E-2</v>
      </c>
      <c r="F32" s="8">
        <f t="shared" si="3"/>
        <v>6.2849999999999989E-2</v>
      </c>
      <c r="G32" s="18">
        <f t="shared" si="0"/>
        <v>0.13750678647995002</v>
      </c>
      <c r="I32" s="21">
        <f t="shared" si="10"/>
        <v>4.9999999999999684E-2</v>
      </c>
      <c r="J32" s="19">
        <f t="shared" si="11"/>
        <v>0.95000000000000029</v>
      </c>
      <c r="K32" s="20">
        <f t="shared" si="6"/>
        <v>0.10362932512083642</v>
      </c>
      <c r="L32" s="20">
        <f t="shared" si="12"/>
        <v>8.472250000000002E-2</v>
      </c>
      <c r="M32" s="24">
        <f t="shared" si="8"/>
        <v>0.33506442273470405</v>
      </c>
    </row>
    <row r="33" spans="3:13" ht="24" thickBot="1" x14ac:dyDescent="0.5">
      <c r="C33" s="6">
        <f t="shared" si="1"/>
        <v>0.89999999999999991</v>
      </c>
      <c r="D33" s="7">
        <f t="shared" si="2"/>
        <v>0.10000000000000002</v>
      </c>
      <c r="E33" s="8">
        <f t="shared" si="9"/>
        <v>9.3145048177560141E-2</v>
      </c>
      <c r="F33" s="8">
        <f t="shared" si="3"/>
        <v>6.3E-2</v>
      </c>
      <c r="G33" s="18">
        <f t="shared" si="0"/>
        <v>0.13956726905351333</v>
      </c>
      <c r="I33" s="21">
        <f t="shared" si="10"/>
        <v>-3.1918911957973251E-16</v>
      </c>
      <c r="J33" s="19">
        <f t="shared" si="11"/>
        <v>1.0000000000000002</v>
      </c>
      <c r="K33" s="20">
        <f t="shared" si="6"/>
        <v>0.10908350012719623</v>
      </c>
      <c r="L33" s="20">
        <f t="shared" si="12"/>
        <v>8.6550000000000002E-2</v>
      </c>
      <c r="M33" s="24">
        <f t="shared" si="8"/>
        <v>0.33506442273470388</v>
      </c>
    </row>
    <row r="34" spans="3:13" ht="24" thickBot="1" x14ac:dyDescent="0.5">
      <c r="C34" s="6">
        <f t="shared" si="1"/>
        <v>0.89499999999999991</v>
      </c>
      <c r="D34" s="7">
        <f t="shared" si="2"/>
        <v>0.10500000000000002</v>
      </c>
      <c r="E34" s="8">
        <f t="shared" si="9"/>
        <v>9.2844439790436564E-2</v>
      </c>
      <c r="F34" s="8">
        <f t="shared" si="3"/>
        <v>6.3149999999999998E-2</v>
      </c>
      <c r="G34" s="18">
        <f t="shared" si="0"/>
        <v>0.14163476057027716</v>
      </c>
      <c r="I34" s="21">
        <f t="shared" si="10"/>
        <v>-5.0000000000000322E-2</v>
      </c>
      <c r="J34" s="19">
        <f t="shared" si="11"/>
        <v>1.0500000000000003</v>
      </c>
      <c r="K34" s="20">
        <f t="shared" si="6"/>
        <v>0.11453767513355603</v>
      </c>
      <c r="L34" s="20">
        <f t="shared" si="12"/>
        <v>8.8377500000000012E-2</v>
      </c>
      <c r="M34" s="24">
        <f t="shared" si="8"/>
        <v>0.33506442273470394</v>
      </c>
    </row>
    <row r="35" spans="3:13" ht="24" thickBot="1" x14ac:dyDescent="0.5">
      <c r="C35" s="6">
        <f t="shared" si="1"/>
        <v>0.8899999999999999</v>
      </c>
      <c r="D35" s="7">
        <f t="shared" si="2"/>
        <v>0.11000000000000003</v>
      </c>
      <c r="E35" s="8">
        <f t="shared" si="9"/>
        <v>9.2548149630341067E-2</v>
      </c>
      <c r="F35" s="8">
        <f t="shared" si="3"/>
        <v>6.3299999999999995E-2</v>
      </c>
      <c r="G35" s="18">
        <f t="shared" si="0"/>
        <v>0.1437089780089964</v>
      </c>
      <c r="I35" s="21">
        <f t="shared" si="10"/>
        <v>-0.10000000000000032</v>
      </c>
      <c r="J35" s="19">
        <f t="shared" si="11"/>
        <v>1.1000000000000003</v>
      </c>
      <c r="K35" s="20">
        <f t="shared" si="6"/>
        <v>0.11999185013991585</v>
      </c>
      <c r="L35" s="20">
        <f t="shared" si="12"/>
        <v>9.0205000000000007E-2</v>
      </c>
      <c r="M35" s="24">
        <f t="shared" si="8"/>
        <v>0.33506442273470388</v>
      </c>
    </row>
    <row r="36" spans="3:13" ht="24" thickBot="1" x14ac:dyDescent="0.5">
      <c r="C36" s="6">
        <f t="shared" si="1"/>
        <v>0.8849999999999999</v>
      </c>
      <c r="D36" s="7">
        <f t="shared" si="2"/>
        <v>0.11500000000000003</v>
      </c>
      <c r="E36" s="8">
        <f t="shared" si="9"/>
        <v>9.2256219302548931E-2</v>
      </c>
      <c r="F36" s="8">
        <f t="shared" si="3"/>
        <v>6.3449999999999993E-2</v>
      </c>
      <c r="G36" s="18">
        <f t="shared" si="0"/>
        <v>0.14578962916192667</v>
      </c>
      <c r="I36" s="21">
        <f t="shared" si="10"/>
        <v>-0.15000000000000033</v>
      </c>
      <c r="J36" s="19">
        <f t="shared" si="11"/>
        <v>1.1500000000000004</v>
      </c>
      <c r="K36" s="20">
        <f t="shared" si="6"/>
        <v>0.12544602514627567</v>
      </c>
      <c r="L36" s="20">
        <f t="shared" si="12"/>
        <v>9.2032500000000017E-2</v>
      </c>
      <c r="M36" s="24">
        <f t="shared" si="8"/>
        <v>0.33506442273470394</v>
      </c>
    </row>
    <row r="37" spans="3:13" ht="24" thickBot="1" x14ac:dyDescent="0.5">
      <c r="C37" s="6">
        <f t="shared" si="1"/>
        <v>0.87999999999999989</v>
      </c>
      <c r="D37" s="7">
        <f t="shared" si="2"/>
        <v>0.12000000000000004</v>
      </c>
      <c r="E37" s="8">
        <f t="shared" si="9"/>
        <v>9.1968690324479449E-2</v>
      </c>
      <c r="F37" s="8">
        <f t="shared" si="3"/>
        <v>6.359999999999999E-2</v>
      </c>
      <c r="G37" s="18">
        <f t="shared" si="0"/>
        <v>0.14787641263583431</v>
      </c>
      <c r="I37" s="21">
        <f t="shared" si="10"/>
        <v>-0.20000000000000034</v>
      </c>
      <c r="J37" s="19">
        <f t="shared" si="11"/>
        <v>1.2000000000000004</v>
      </c>
      <c r="K37" s="20">
        <f t="shared" si="6"/>
        <v>0.13090020015263548</v>
      </c>
      <c r="L37" s="20">
        <f t="shared" si="12"/>
        <v>9.3860000000000013E-2</v>
      </c>
      <c r="M37" s="24">
        <f t="shared" si="8"/>
        <v>0.33506442273470394</v>
      </c>
    </row>
    <row r="38" spans="3:13" ht="24" thickBot="1" x14ac:dyDescent="0.5">
      <c r="C38" s="6">
        <f t="shared" si="1"/>
        <v>0.87499999999999989</v>
      </c>
      <c r="D38" s="7">
        <f t="shared" si="2"/>
        <v>0.12500000000000003</v>
      </c>
      <c r="E38" s="8">
        <f t="shared" si="9"/>
        <v>9.1685604104461235E-2</v>
      </c>
      <c r="F38" s="8">
        <f t="shared" si="3"/>
        <v>6.3749999999999987E-2</v>
      </c>
      <c r="G38" s="18">
        <f t="shared" si="0"/>
        <v>0.14996901786603309</v>
      </c>
      <c r="I38" s="21">
        <f t="shared" si="10"/>
        <v>-0.25000000000000033</v>
      </c>
      <c r="J38" s="19">
        <f t="shared" si="11"/>
        <v>1.2500000000000004</v>
      </c>
      <c r="K38" s="20">
        <f t="shared" si="6"/>
        <v>0.13635437515899529</v>
      </c>
      <c r="L38" s="20">
        <f t="shared" si="12"/>
        <v>9.5687500000000036E-2</v>
      </c>
      <c r="M38" s="24">
        <f t="shared" si="8"/>
        <v>0.3350644227347041</v>
      </c>
    </row>
    <row r="39" spans="3:13" ht="24" thickBot="1" x14ac:dyDescent="0.5">
      <c r="C39" s="6">
        <f t="shared" si="1"/>
        <v>0.86999999999999988</v>
      </c>
      <c r="D39" s="7">
        <f t="shared" si="2"/>
        <v>0.13000000000000003</v>
      </c>
      <c r="E39" s="8">
        <f t="shared" si="9"/>
        <v>9.1407001919984229E-2</v>
      </c>
      <c r="F39" s="8">
        <f t="shared" si="3"/>
        <v>6.3899999999999985E-2</v>
      </c>
      <c r="G39" s="18">
        <f t="shared" si="0"/>
        <v>0.15206712514395507</v>
      </c>
      <c r="I39" s="21">
        <f t="shared" si="10"/>
        <v>-0.30000000000000032</v>
      </c>
      <c r="J39" s="19">
        <f t="shared" si="11"/>
        <v>1.3000000000000005</v>
      </c>
      <c r="K39" s="20">
        <f t="shared" si="6"/>
        <v>0.14180855016535512</v>
      </c>
      <c r="L39" s="20">
        <f t="shared" si="12"/>
        <v>9.7515000000000032E-2</v>
      </c>
      <c r="M39" s="24">
        <f t="shared" si="8"/>
        <v>0.33506442273470399</v>
      </c>
    </row>
    <row r="40" spans="3:13" ht="24" thickBot="1" x14ac:dyDescent="0.5">
      <c r="C40" s="6">
        <f t="shared" si="1"/>
        <v>0.86499999999999988</v>
      </c>
      <c r="D40" s="7">
        <f t="shared" si="2"/>
        <v>0.13500000000000004</v>
      </c>
      <c r="E40" s="8">
        <f t="shared" si="9"/>
        <v>9.1132924895451481E-2</v>
      </c>
      <c r="F40" s="8">
        <f t="shared" si="3"/>
        <v>6.4049999999999996E-2</v>
      </c>
      <c r="G40" s="18">
        <f t="shared" si="0"/>
        <v>0.15417040565874826</v>
      </c>
      <c r="I40" s="21">
        <f t="shared" si="10"/>
        <v>-0.35000000000000031</v>
      </c>
      <c r="J40" s="19">
        <f t="shared" si="11"/>
        <v>1.3500000000000005</v>
      </c>
      <c r="K40" s="20">
        <f t="shared" si="6"/>
        <v>0.14726272517171493</v>
      </c>
      <c r="L40" s="20">
        <f t="shared" si="12"/>
        <v>9.9342500000000028E-2</v>
      </c>
      <c r="M40" s="24">
        <f t="shared" si="8"/>
        <v>0.33506442273470399</v>
      </c>
    </row>
    <row r="41" spans="3:13" ht="24" thickBot="1" x14ac:dyDescent="0.5">
      <c r="C41" s="6">
        <f t="shared" si="1"/>
        <v>0.85999999999999988</v>
      </c>
      <c r="D41" s="7">
        <f t="shared" si="2"/>
        <v>0.14000000000000004</v>
      </c>
      <c r="E41" s="8">
        <f t="shared" si="9"/>
        <v>9.0863413979445001E-2</v>
      </c>
      <c r="F41" s="8">
        <f t="shared" si="3"/>
        <v>6.4199999999999993E-2</v>
      </c>
      <c r="G41" s="18">
        <f t="shared" si="0"/>
        <v>0.15627852155337565</v>
      </c>
      <c r="I41" s="21">
        <f t="shared" si="10"/>
        <v>-0.4000000000000003</v>
      </c>
      <c r="J41" s="19">
        <f t="shared" si="11"/>
        <v>1.4000000000000006</v>
      </c>
      <c r="K41" s="20">
        <f t="shared" si="6"/>
        <v>0.15271690017807474</v>
      </c>
      <c r="L41" s="20">
        <f t="shared" si="12"/>
        <v>0.10117000000000004</v>
      </c>
      <c r="M41" s="24">
        <f t="shared" si="8"/>
        <v>0.33506442273470405</v>
      </c>
    </row>
    <row r="42" spans="3:13" ht="24" thickBot="1" x14ac:dyDescent="0.5">
      <c r="C42" s="6">
        <f t="shared" si="1"/>
        <v>0.85499999999999987</v>
      </c>
      <c r="D42" s="7">
        <f t="shared" si="2"/>
        <v>0.14500000000000005</v>
      </c>
      <c r="E42" s="8">
        <f t="shared" si="9"/>
        <v>9.0598509921521339E-2</v>
      </c>
      <c r="F42" s="8">
        <f t="shared" si="3"/>
        <v>6.4349999999999991E-2</v>
      </c>
      <c r="G42" s="18">
        <f t="shared" si="0"/>
        <v>0.15839112599567379</v>
      </c>
      <c r="I42" s="21">
        <f t="shared" si="10"/>
        <v>-0.45000000000000029</v>
      </c>
      <c r="J42" s="19">
        <f t="shared" si="11"/>
        <v>1.4500000000000006</v>
      </c>
      <c r="K42" s="20">
        <f t="shared" si="6"/>
        <v>0.15817107518443455</v>
      </c>
      <c r="L42" s="20">
        <f t="shared" si="12"/>
        <v>0.10299750000000005</v>
      </c>
      <c r="M42" s="24">
        <f t="shared" si="8"/>
        <v>0.3350644227347041</v>
      </c>
    </row>
    <row r="43" spans="3:13" ht="24" thickBot="1" x14ac:dyDescent="0.5">
      <c r="C43" s="6">
        <f t="shared" si="1"/>
        <v>0.84999999999999987</v>
      </c>
      <c r="D43" s="7">
        <f t="shared" si="2"/>
        <v>0.15000000000000005</v>
      </c>
      <c r="E43" s="8">
        <f t="shared" si="9"/>
        <v>9.0338253248554684E-2</v>
      </c>
      <c r="F43" s="8">
        <f t="shared" si="3"/>
        <v>6.4499999999999988E-2</v>
      </c>
      <c r="G43" s="18">
        <f t="shared" si="0"/>
        <v>0.16050786326480107</v>
      </c>
      <c r="I43" s="21">
        <f t="shared" si="10"/>
        <v>-0.50000000000000033</v>
      </c>
      <c r="J43" s="19">
        <f t="shared" si="11"/>
        <v>1.5000000000000007</v>
      </c>
      <c r="K43" s="20">
        <f t="shared" si="6"/>
        <v>0.16362525019079438</v>
      </c>
      <c r="L43" s="20">
        <f t="shared" si="12"/>
        <v>0.10482500000000003</v>
      </c>
      <c r="M43" s="24">
        <f t="shared" si="8"/>
        <v>0.33506442273470394</v>
      </c>
    </row>
    <row r="44" spans="3:13" ht="24" thickBot="1" x14ac:dyDescent="0.5">
      <c r="C44" s="6">
        <f t="shared" si="1"/>
        <v>0.84499999999999986</v>
      </c>
      <c r="D44" s="7">
        <f t="shared" si="2"/>
        <v>0.15500000000000005</v>
      </c>
      <c r="E44" s="8">
        <f t="shared" si="9"/>
        <v>9.0082684240646374E-2</v>
      </c>
      <c r="F44" s="8">
        <f t="shared" si="3"/>
        <v>6.4649999999999985E-2</v>
      </c>
      <c r="G44" s="18">
        <f t="shared" si="0"/>
        <v>0.16262836885348636</v>
      </c>
      <c r="I44" s="21">
        <f t="shared" si="10"/>
        <v>-0.55000000000000038</v>
      </c>
      <c r="J44" s="19">
        <f t="shared" si="11"/>
        <v>1.5500000000000007</v>
      </c>
      <c r="K44" s="20">
        <f t="shared" si="6"/>
        <v>0.16907942519715419</v>
      </c>
      <c r="L44" s="20">
        <f t="shared" si="12"/>
        <v>0.10665250000000004</v>
      </c>
      <c r="M44" s="24">
        <f t="shared" si="8"/>
        <v>0.33506442273470399</v>
      </c>
    </row>
    <row r="45" spans="3:13" ht="24" thickBot="1" x14ac:dyDescent="0.5">
      <c r="C45" s="6">
        <f t="shared" si="1"/>
        <v>0.83999999999999986</v>
      </c>
      <c r="D45" s="7">
        <f t="shared" si="2"/>
        <v>0.16000000000000006</v>
      </c>
      <c r="E45" s="8">
        <f t="shared" si="9"/>
        <v>8.9831842906621925E-2</v>
      </c>
      <c r="F45" s="8">
        <f t="shared" si="3"/>
        <v>6.4799999999999996E-2</v>
      </c>
      <c r="G45" s="18">
        <f t="shared" si="0"/>
        <v>0.16475226958645658</v>
      </c>
      <c r="I45" s="21">
        <f t="shared" si="10"/>
        <v>-0.60000000000000042</v>
      </c>
      <c r="J45" s="19">
        <f t="shared" si="11"/>
        <v>1.6000000000000008</v>
      </c>
      <c r="K45" s="20">
        <f t="shared" si="6"/>
        <v>0.17453360020351399</v>
      </c>
      <c r="L45" s="20">
        <f t="shared" si="12"/>
        <v>0.10848000000000005</v>
      </c>
      <c r="M45" s="24">
        <f t="shared" si="8"/>
        <v>0.33506442273470405</v>
      </c>
    </row>
    <row r="46" spans="3:13" ht="24" thickBot="1" x14ac:dyDescent="0.5">
      <c r="C46" s="6">
        <f t="shared" si="1"/>
        <v>0.83499999999999985</v>
      </c>
      <c r="D46" s="7">
        <f t="shared" si="2"/>
        <v>0.16500000000000006</v>
      </c>
      <c r="E46" s="8">
        <f t="shared" si="9"/>
        <v>8.958576895913771E-2</v>
      </c>
      <c r="F46" s="8">
        <f t="shared" si="3"/>
        <v>6.4949999999999994E-2</v>
      </c>
      <c r="G46" s="18">
        <f t="shared" si="0"/>
        <v>0.16687918375539151</v>
      </c>
      <c r="I46" s="21">
        <f t="shared" si="10"/>
        <v>-0.65000000000000047</v>
      </c>
      <c r="J46" s="19">
        <f t="shared" si="11"/>
        <v>1.6500000000000008</v>
      </c>
      <c r="K46" s="20">
        <f t="shared" si="6"/>
        <v>0.1799877752098738</v>
      </c>
      <c r="L46" s="20">
        <f t="shared" si="12"/>
        <v>0.11030750000000003</v>
      </c>
      <c r="M46" s="24">
        <f t="shared" si="8"/>
        <v>0.33506442273470399</v>
      </c>
    </row>
    <row r="47" spans="3:13" ht="24" thickBot="1" x14ac:dyDescent="0.5">
      <c r="C47" s="6">
        <f t="shared" si="1"/>
        <v>0.82999999999999985</v>
      </c>
      <c r="D47" s="7">
        <f t="shared" si="2"/>
        <v>0.17000000000000007</v>
      </c>
      <c r="E47" s="8">
        <f t="shared" si="9"/>
        <v>8.9344501789421812E-2</v>
      </c>
      <c r="F47" s="8">
        <f t="shared" si="3"/>
        <v>6.5099999999999991E-2</v>
      </c>
      <c r="G47" s="18">
        <f t="shared" si="0"/>
        <v>0.16900872127072283</v>
      </c>
      <c r="I47" s="21">
        <f t="shared" si="10"/>
        <v>-0.70000000000000051</v>
      </c>
      <c r="J47" s="19">
        <f t="shared" si="11"/>
        <v>1.7000000000000008</v>
      </c>
      <c r="K47" s="20">
        <f t="shared" si="6"/>
        <v>0.18544195021623364</v>
      </c>
      <c r="L47" s="20">
        <f t="shared" si="12"/>
        <v>0.11213500000000004</v>
      </c>
      <c r="M47" s="24">
        <f t="shared" si="8"/>
        <v>0.33506442273470399</v>
      </c>
    </row>
    <row r="48" spans="3:13" ht="24" thickBot="1" x14ac:dyDescent="0.5">
      <c r="C48" s="6">
        <f t="shared" si="1"/>
        <v>0.82499999999999984</v>
      </c>
      <c r="D48" s="7">
        <f t="shared" si="2"/>
        <v>0.17500000000000007</v>
      </c>
      <c r="E48" s="8">
        <f t="shared" si="9"/>
        <v>8.910808044167487E-2</v>
      </c>
      <c r="F48" s="8">
        <f t="shared" si="3"/>
        <v>6.5250000000000002E-2</v>
      </c>
      <c r="G48" s="18">
        <f t="shared" si="0"/>
        <v>0.17114048383055216</v>
      </c>
      <c r="I48" s="21">
        <f t="shared" ref="I48:I51" si="13">I47-5%</f>
        <v>-0.75000000000000056</v>
      </c>
      <c r="J48" s="19">
        <f t="shared" ref="J48:J51" si="14">J47+5%</f>
        <v>1.7500000000000009</v>
      </c>
      <c r="K48" s="20">
        <f t="shared" si="6"/>
        <v>0.19089612522259344</v>
      </c>
      <c r="L48" s="20">
        <f t="shared" ref="L48:L51" si="15">I48*$F$9+J48*$H$10</f>
        <v>0.11396250000000005</v>
      </c>
      <c r="M48" s="24">
        <f t="shared" si="8"/>
        <v>0.33506442273470405</v>
      </c>
    </row>
    <row r="49" spans="3:13" ht="24" thickBot="1" x14ac:dyDescent="0.5">
      <c r="C49" s="6">
        <f t="shared" si="1"/>
        <v>0.81999999999999984</v>
      </c>
      <c r="D49" s="7">
        <f t="shared" si="2"/>
        <v>0.18000000000000008</v>
      </c>
      <c r="E49" s="8">
        <f t="shared" si="9"/>
        <v>8.8876543587158019E-2</v>
      </c>
      <c r="F49" s="8">
        <f t="shared" si="3"/>
        <v>6.5399999999999986E-2</v>
      </c>
      <c r="G49" s="18">
        <f t="shared" si="0"/>
        <v>0.17327406510692844</v>
      </c>
      <c r="I49" s="21">
        <f t="shared" si="13"/>
        <v>-0.8000000000000006</v>
      </c>
      <c r="J49" s="19">
        <f t="shared" si="14"/>
        <v>1.8000000000000009</v>
      </c>
      <c r="K49" s="20">
        <f t="shared" si="6"/>
        <v>0.19635030022895325</v>
      </c>
      <c r="L49" s="20">
        <f t="shared" si="15"/>
        <v>0.11579000000000006</v>
      </c>
      <c r="M49" s="24">
        <f t="shared" si="8"/>
        <v>0.3350644227347041</v>
      </c>
    </row>
    <row r="50" spans="3:13" ht="24" thickBot="1" x14ac:dyDescent="0.5">
      <c r="C50" s="6">
        <f t="shared" si="1"/>
        <v>0.81499999999999984</v>
      </c>
      <c r="D50" s="7">
        <f t="shared" si="2"/>
        <v>0.18500000000000008</v>
      </c>
      <c r="E50" s="8">
        <f t="shared" si="9"/>
        <v>8.8649929497997909E-2</v>
      </c>
      <c r="F50" s="8">
        <f t="shared" si="3"/>
        <v>6.5549999999999997E-2</v>
      </c>
      <c r="G50" s="18">
        <f t="shared" si="0"/>
        <v>0.17540905094968157</v>
      </c>
      <c r="I50" s="21">
        <f t="shared" si="13"/>
        <v>-0.85000000000000064</v>
      </c>
      <c r="J50" s="19">
        <f t="shared" si="14"/>
        <v>1.850000000000001</v>
      </c>
      <c r="K50" s="20">
        <f t="shared" si="6"/>
        <v>0.20180447523531309</v>
      </c>
      <c r="L50" s="20">
        <f t="shared" si="15"/>
        <v>0.11761750000000004</v>
      </c>
      <c r="M50" s="24">
        <f t="shared" si="8"/>
        <v>0.33506442273470394</v>
      </c>
    </row>
    <row r="51" spans="3:13" ht="24" thickBot="1" x14ac:dyDescent="0.5">
      <c r="C51" s="6">
        <f t="shared" si="1"/>
        <v>0.80999999999999983</v>
      </c>
      <c r="D51" s="7">
        <f t="shared" si="2"/>
        <v>0.19000000000000009</v>
      </c>
      <c r="E51" s="8">
        <f t="shared" si="9"/>
        <v>8.842827602073898E-2</v>
      </c>
      <c r="F51" s="8">
        <f t="shared" si="3"/>
        <v>6.5699999999999995E-2</v>
      </c>
      <c r="G51" s="18">
        <f t="shared" si="0"/>
        <v>0.17754501960795763</v>
      </c>
      <c r="I51" s="21">
        <f t="shared" si="13"/>
        <v>-0.90000000000000069</v>
      </c>
      <c r="J51" s="19">
        <f t="shared" si="14"/>
        <v>1.900000000000001</v>
      </c>
      <c r="K51" s="20">
        <f t="shared" si="6"/>
        <v>0.20725865024167289</v>
      </c>
      <c r="L51" s="20">
        <f t="shared" si="15"/>
        <v>0.11944500000000005</v>
      </c>
      <c r="M51" s="24">
        <f t="shared" si="8"/>
        <v>0.33506442273470399</v>
      </c>
    </row>
    <row r="52" spans="3:13" ht="24" thickBot="1" x14ac:dyDescent="0.5">
      <c r="C52" s="6">
        <f t="shared" si="1"/>
        <v>0.80499999999999983</v>
      </c>
      <c r="D52" s="7">
        <f t="shared" si="2"/>
        <v>0.19500000000000009</v>
      </c>
      <c r="E52" s="8">
        <f t="shared" si="9"/>
        <v>8.8211620549675879E-2</v>
      </c>
      <c r="F52" s="8">
        <f t="shared" si="3"/>
        <v>6.5849999999999992E-2</v>
      </c>
      <c r="G52" s="18">
        <f t="shared" si="0"/>
        <v>0.17968154196956568</v>
      </c>
      <c r="I52" s="21">
        <f t="shared" ref="I52:I53" si="16">I51-5%</f>
        <v>-0.95000000000000073</v>
      </c>
      <c r="J52" s="19">
        <f t="shared" ref="J52:J53" si="17">J51+5%</f>
        <v>1.9500000000000011</v>
      </c>
      <c r="K52" s="20">
        <f t="shared" si="6"/>
        <v>0.2127128252480327</v>
      </c>
      <c r="L52" s="20">
        <f t="shared" ref="L52" si="18">I52*$F$9+J52*$H$10</f>
        <v>0.12127250000000006</v>
      </c>
      <c r="M52" s="24">
        <f t="shared" si="8"/>
        <v>0.33506442273470405</v>
      </c>
    </row>
    <row r="53" spans="3:13" ht="24" thickBot="1" x14ac:dyDescent="0.5">
      <c r="C53" s="6">
        <f t="shared" si="1"/>
        <v>0.79999999999999982</v>
      </c>
      <c r="D53" s="7">
        <f t="shared" si="2"/>
        <v>0.20000000000000009</v>
      </c>
      <c r="E53" s="8">
        <f t="shared" si="9"/>
        <v>8.7999999999999995E-2</v>
      </c>
      <c r="F53" s="8">
        <f t="shared" si="3"/>
        <v>6.6000000000000003E-2</v>
      </c>
      <c r="G53" s="18">
        <f t="shared" si="0"/>
        <v>0.18181818181818182</v>
      </c>
      <c r="I53" s="21">
        <f t="shared" si="16"/>
        <v>-1.0000000000000007</v>
      </c>
      <c r="J53" s="19">
        <f t="shared" si="17"/>
        <v>2.0000000000000009</v>
      </c>
      <c r="K53" s="20">
        <f t="shared" si="6"/>
        <v>0.21816700025439248</v>
      </c>
      <c r="L53" s="20">
        <f>I53*$F$9+J53*$H$10</f>
        <v>0.12310000000000004</v>
      </c>
      <c r="M53" s="24">
        <f t="shared" si="8"/>
        <v>0.33506442273470399</v>
      </c>
    </row>
    <row r="54" spans="3:13" ht="24" thickBot="1" x14ac:dyDescent="0.5">
      <c r="C54" s="6">
        <f t="shared" si="1"/>
        <v>0.79499999999999982</v>
      </c>
      <c r="D54" s="7">
        <f t="shared" si="2"/>
        <v>0.2050000000000001</v>
      </c>
      <c r="E54" s="8">
        <f t="shared" si="9"/>
        <v>8.7793450780795715E-2</v>
      </c>
      <c r="F54" s="8">
        <f t="shared" si="3"/>
        <v>6.6149999999999987E-2</v>
      </c>
      <c r="G54" s="18">
        <f t="shared" si="0"/>
        <v>0.18395449610841244</v>
      </c>
      <c r="I54" s="21"/>
      <c r="J54" s="19"/>
      <c r="K54" s="20"/>
      <c r="L54" s="20"/>
    </row>
    <row r="55" spans="3:13" ht="24" thickBot="1" x14ac:dyDescent="0.5">
      <c r="C55" s="6">
        <f t="shared" si="1"/>
        <v>0.78999999999999981</v>
      </c>
      <c r="D55" s="7">
        <f t="shared" si="2"/>
        <v>0.2100000000000001</v>
      </c>
      <c r="E55" s="8">
        <f t="shared" si="9"/>
        <v>8.7592008767923571E-2</v>
      </c>
      <c r="F55" s="8">
        <f t="shared" si="3"/>
        <v>6.6299999999999998E-2</v>
      </c>
      <c r="G55" s="18">
        <f t="shared" si="0"/>
        <v>0.18609003525866277</v>
      </c>
    </row>
    <row r="56" spans="3:13" ht="24" thickBot="1" x14ac:dyDescent="0.5">
      <c r="C56" s="6">
        <f t="shared" si="1"/>
        <v>0.78499999999999981</v>
      </c>
      <c r="D56" s="7">
        <f t="shared" si="2"/>
        <v>0.21500000000000011</v>
      </c>
      <c r="E56" s="8">
        <f t="shared" si="9"/>
        <v>8.7395709276828909E-2</v>
      </c>
      <c r="F56" s="8">
        <f t="shared" si="3"/>
        <v>6.6449999999999995E-2</v>
      </c>
      <c r="G56" s="18">
        <f t="shared" si="0"/>
        <v>0.18822434346169162</v>
      </c>
    </row>
    <row r="57" spans="3:13" ht="24" thickBot="1" x14ac:dyDescent="0.5">
      <c r="C57" s="6">
        <f t="shared" si="1"/>
        <v>0.7799999999999998</v>
      </c>
      <c r="D57" s="7">
        <f t="shared" si="2"/>
        <v>0.22000000000000011</v>
      </c>
      <c r="E57" s="8">
        <f t="shared" si="9"/>
        <v>8.7204587035315972E-2</v>
      </c>
      <c r="F57" s="8">
        <f t="shared" si="3"/>
        <v>6.6599999999999993E-2</v>
      </c>
      <c r="G57" s="18">
        <f t="shared" si="0"/>
        <v>0.19035695901268759</v>
      </c>
    </row>
    <row r="58" spans="3:13" ht="24" thickBot="1" x14ac:dyDescent="0.5">
      <c r="C58" s="6">
        <f t="shared" si="1"/>
        <v>0.7749999999999998</v>
      </c>
      <c r="D58" s="7">
        <f t="shared" si="2"/>
        <v>0.22500000000000012</v>
      </c>
      <c r="E58" s="8">
        <f t="shared" si="9"/>
        <v>8.7018676156328648E-2</v>
      </c>
      <c r="F58" s="8">
        <f t="shared" si="3"/>
        <v>6.6750000000000004E-2</v>
      </c>
      <c r="G58" s="18">
        <f t="shared" si="0"/>
        <v>0.19248741465462774</v>
      </c>
    </row>
    <row r="59" spans="3:13" ht="24" thickBot="1" x14ac:dyDescent="0.5">
      <c r="C59" s="6">
        <f t="shared" si="1"/>
        <v>0.7699999999999998</v>
      </c>
      <c r="D59" s="7">
        <f t="shared" si="2"/>
        <v>0.23000000000000012</v>
      </c>
      <c r="E59" s="8">
        <f t="shared" si="9"/>
        <v>8.6838010110780406E-2</v>
      </c>
      <c r="F59" s="8">
        <f t="shared" si="3"/>
        <v>6.6899999999999987E-2</v>
      </c>
      <c r="G59" s="18">
        <f t="shared" si="0"/>
        <v>0.19461523794062566</v>
      </c>
    </row>
    <row r="60" spans="3:13" ht="24" thickBot="1" x14ac:dyDescent="0.5">
      <c r="C60" s="6">
        <f t="shared" si="1"/>
        <v>0.76499999999999979</v>
      </c>
      <c r="D60" s="7">
        <f t="shared" si="2"/>
        <v>0.23500000000000013</v>
      </c>
      <c r="E60" s="8">
        <f t="shared" si="9"/>
        <v>8.6662621700477074E-2</v>
      </c>
      <c r="F60" s="8">
        <f t="shared" si="3"/>
        <v>6.7049999999999998E-2</v>
      </c>
      <c r="G60" s="18">
        <f t="shared" si="0"/>
        <v>0.19673995161291244</v>
      </c>
    </row>
    <row r="61" spans="3:13" ht="24" thickBot="1" x14ac:dyDescent="0.5">
      <c r="C61" s="6">
        <f t="shared" si="1"/>
        <v>0.75999999999999979</v>
      </c>
      <c r="D61" s="7">
        <f t="shared" si="2"/>
        <v>0.24000000000000013</v>
      </c>
      <c r="E61" s="8">
        <f t="shared" si="9"/>
        <v>8.6492543031176969E-2</v>
      </c>
      <c r="F61" s="8">
        <f t="shared" si="3"/>
        <v>6.7199999999999996E-2</v>
      </c>
      <c r="G61" s="18">
        <f t="shared" si="0"/>
        <v>0.19886107399802208</v>
      </c>
    </row>
    <row r="62" spans="3:13" ht="24" thickBot="1" x14ac:dyDescent="0.5">
      <c r="C62" s="6">
        <f t="shared" si="1"/>
        <v>0.75499999999999978</v>
      </c>
      <c r="D62" s="7">
        <f t="shared" si="2"/>
        <v>0.24500000000000013</v>
      </c>
      <c r="E62" s="8">
        <f t="shared" si="9"/>
        <v>8.6327805485834047E-2</v>
      </c>
      <c r="F62" s="8">
        <f t="shared" si="3"/>
        <v>6.7349999999999993E-2</v>
      </c>
      <c r="G62" s="18">
        <f t="shared" si="0"/>
        <v>0.20097811941770066</v>
      </c>
    </row>
    <row r="63" spans="3:13" ht="24" thickBot="1" x14ac:dyDescent="0.5">
      <c r="C63" s="6">
        <f t="shared" si="1"/>
        <v>0.74999999999999978</v>
      </c>
      <c r="D63" s="7">
        <f t="shared" si="2"/>
        <v>0.25000000000000011</v>
      </c>
      <c r="E63" s="8">
        <f t="shared" si="9"/>
        <v>8.616843969807042E-2</v>
      </c>
      <c r="F63" s="8">
        <f t="shared" si="3"/>
        <v>6.7499999999999991E-2</v>
      </c>
      <c r="G63" s="18">
        <f t="shared" si="0"/>
        <v>0.20309059861498069</v>
      </c>
    </row>
    <row r="64" spans="3:13" ht="24" thickBot="1" x14ac:dyDescent="0.5">
      <c r="C64" s="6">
        <f t="shared" si="1"/>
        <v>0.74499999999999977</v>
      </c>
      <c r="D64" s="7">
        <f t="shared" si="2"/>
        <v>0.25500000000000012</v>
      </c>
      <c r="E64" s="8">
        <f t="shared" si="9"/>
        <v>8.6014475525925282E-2</v>
      </c>
      <c r="F64" s="8">
        <f t="shared" si="3"/>
        <v>6.7649999999999988E-2</v>
      </c>
      <c r="G64" s="18">
        <f t="shared" si="0"/>
        <v>0.20519801919480599</v>
      </c>
    </row>
    <row r="65" spans="3:7" ht="24" thickBot="1" x14ac:dyDescent="0.5">
      <c r="C65" s="6">
        <f t="shared" si="1"/>
        <v>0.73999999999999977</v>
      </c>
      <c r="D65" s="7">
        <f t="shared" si="2"/>
        <v>0.26000000000000012</v>
      </c>
      <c r="E65" s="8">
        <f t="shared" si="9"/>
        <v>8.5865942025927816E-2</v>
      </c>
      <c r="F65" s="8">
        <f t="shared" si="3"/>
        <v>6.7799999999999999E-2</v>
      </c>
      <c r="G65" s="18">
        <f t="shared" si="0"/>
        <v>0.20729988607852415</v>
      </c>
    </row>
    <row r="66" spans="3:7" ht="24" thickBot="1" x14ac:dyDescent="0.5">
      <c r="C66" s="6">
        <f t="shared" si="1"/>
        <v>0.73499999999999976</v>
      </c>
      <c r="D66" s="7">
        <f t="shared" si="2"/>
        <v>0.26500000000000012</v>
      </c>
      <c r="E66" s="8">
        <f t="shared" si="9"/>
        <v>8.5722867427542329E-2</v>
      </c>
      <c r="F66" s="8">
        <f t="shared" si="3"/>
        <v>6.7949999999999997E-2</v>
      </c>
      <c r="G66" s="18">
        <f t="shared" si="0"/>
        <v>0.20939570197149923</v>
      </c>
    </row>
    <row r="67" spans="3:7" ht="24" thickBot="1" x14ac:dyDescent="0.5">
      <c r="C67" s="6">
        <f t="shared" si="1"/>
        <v>0.72999999999999976</v>
      </c>
      <c r="D67" s="7">
        <f t="shared" si="2"/>
        <v>0.27000000000000013</v>
      </c>
      <c r="E67" s="8">
        <f t="shared" si="9"/>
        <v>8.5585279108033513E-2</v>
      </c>
      <c r="F67" s="8">
        <f t="shared" si="3"/>
        <v>6.8099999999999994E-2</v>
      </c>
      <c r="G67" s="18">
        <f t="shared" si="0"/>
        <v>0.21148496784303908</v>
      </c>
    </row>
    <row r="68" spans="3:7" ht="24" thickBot="1" x14ac:dyDescent="0.5">
      <c r="C68" s="6">
        <f t="shared" si="1"/>
        <v>0.72499999999999976</v>
      </c>
      <c r="D68" s="7">
        <f t="shared" si="2"/>
        <v>0.27500000000000013</v>
      </c>
      <c r="E68" s="8">
        <f t="shared" si="9"/>
        <v>8.545320356780077E-2</v>
      </c>
      <c r="F68" s="8">
        <f t="shared" si="3"/>
        <v>6.8249999999999991E-2</v>
      </c>
      <c r="G68" s="18">
        <f t="shared" si="0"/>
        <v>0.21356718341776348</v>
      </c>
    </row>
    <row r="69" spans="3:7" ht="24" thickBot="1" x14ac:dyDescent="0.5">
      <c r="C69" s="6">
        <f t="shared" si="1"/>
        <v>0.71999999999999975</v>
      </c>
      <c r="D69" s="7">
        <f t="shared" si="2"/>
        <v>0.28000000000000014</v>
      </c>
      <c r="E69" s="8">
        <f t="shared" si="9"/>
        <v>8.5326666406229643E-2</v>
      </c>
      <c r="F69" s="8">
        <f t="shared" si="3"/>
        <v>6.8399999999999989E-2</v>
      </c>
      <c r="G69" s="18">
        <f t="shared" si="0"/>
        <v>0.21564184767748779</v>
      </c>
    </row>
    <row r="70" spans="3:7" ht="24" thickBot="1" x14ac:dyDescent="0.5">
      <c r="C70" s="6">
        <f t="shared" si="1"/>
        <v>0.71499999999999975</v>
      </c>
      <c r="D70" s="7">
        <f t="shared" si="2"/>
        <v>0.28500000000000014</v>
      </c>
      <c r="E70" s="8">
        <f t="shared" si="9"/>
        <v>8.5205692298108815E-2</v>
      </c>
      <c r="F70" s="8">
        <f t="shared" si="3"/>
        <v>6.855E-2</v>
      </c>
      <c r="G70" s="18">
        <f t="shared" si="0"/>
        <v>0.21770845937263425</v>
      </c>
    </row>
    <row r="71" spans="3:7" ht="24" thickBot="1" x14ac:dyDescent="0.5">
      <c r="C71" s="6">
        <f t="shared" si="1"/>
        <v>0.70999999999999974</v>
      </c>
      <c r="D71" s="7">
        <f t="shared" si="2"/>
        <v>0.29000000000000015</v>
      </c>
      <c r="E71" s="8">
        <f t="shared" si="9"/>
        <v>8.5090304970660433E-2</v>
      </c>
      <c r="F71" s="8">
        <f t="shared" si="3"/>
        <v>6.8699999999999997E-2</v>
      </c>
      <c r="G71" s="18">
        <f t="shared" si="0"/>
        <v>0.21976651754213183</v>
      </c>
    </row>
    <row r="72" spans="3:7" ht="24" thickBot="1" x14ac:dyDescent="0.5">
      <c r="C72" s="6">
        <f t="shared" si="1"/>
        <v>0.70499999999999974</v>
      </c>
      <c r="D72" s="7">
        <f t="shared" si="2"/>
        <v>0.29500000000000015</v>
      </c>
      <c r="E72" s="8">
        <f t="shared" si="9"/>
        <v>8.498052718123135E-2</v>
      </c>
      <c r="F72" s="8">
        <f t="shared" si="3"/>
        <v>6.8849999999999995E-2</v>
      </c>
      <c r="G72" s="18">
        <f t="shared" si="0"/>
        <v>0.22181552204071486</v>
      </c>
    </row>
    <row r="73" spans="3:7" ht="24" thickBot="1" x14ac:dyDescent="0.5">
      <c r="C73" s="6">
        <f t="shared" si="1"/>
        <v>0.69999999999999973</v>
      </c>
      <c r="D73" s="7">
        <f t="shared" si="2"/>
        <v>0.30000000000000016</v>
      </c>
      <c r="E73" s="8">
        <f t="shared" si="9"/>
        <v>8.4876380695691769E-2</v>
      </c>
      <c r="F73" s="8">
        <f t="shared" si="3"/>
        <v>6.8999999999999992E-2</v>
      </c>
      <c r="G73" s="18">
        <f t="shared" si="0"/>
        <v>0.22385497407247959</v>
      </c>
    </row>
    <row r="74" spans="3:7" ht="24" thickBot="1" x14ac:dyDescent="0.5">
      <c r="C74" s="6">
        <f t="shared" si="1"/>
        <v>0.69499999999999973</v>
      </c>
      <c r="D74" s="7">
        <f t="shared" si="2"/>
        <v>0.30500000000000016</v>
      </c>
      <c r="E74" s="8">
        <f t="shared" si="9"/>
        <v>8.4777886267587491E-2</v>
      </c>
      <c r="F74" s="8">
        <f t="shared" si="3"/>
        <v>6.9149999999999989E-2</v>
      </c>
      <c r="G74" s="18">
        <f t="shared" si="0"/>
        <v>0.22588437672951828</v>
      </c>
    </row>
    <row r="75" spans="3:7" ht="24" thickBot="1" x14ac:dyDescent="0.5">
      <c r="C75" s="6">
        <f t="shared" si="1"/>
        <v>0.68999999999999972</v>
      </c>
      <c r="D75" s="7">
        <f t="shared" si="2"/>
        <v>0.31000000000000016</v>
      </c>
      <c r="E75" s="8">
        <f t="shared" si="9"/>
        <v>8.4685063618090278E-2</v>
      </c>
      <c r="F75" s="8">
        <f t="shared" si="3"/>
        <v>6.93E-2</v>
      </c>
      <c r="G75" s="18">
        <f t="shared" si="0"/>
        <v>0.2279032355344085</v>
      </c>
    </row>
    <row r="76" spans="3:7" ht="24" thickBot="1" x14ac:dyDescent="0.5">
      <c r="C76" s="6">
        <f t="shared" si="1"/>
        <v>0.68499999999999972</v>
      </c>
      <c r="D76" s="7">
        <f t="shared" si="2"/>
        <v>0.31500000000000017</v>
      </c>
      <c r="E76" s="8">
        <f t="shared" si="9"/>
        <v>8.4597931416790562E-2</v>
      </c>
      <c r="F76" s="8">
        <f t="shared" si="3"/>
        <v>6.9449999999999998E-2</v>
      </c>
      <c r="G76" s="18">
        <f t="shared" si="0"/>
        <v>0.22991105898529876</v>
      </c>
    </row>
    <row r="77" spans="3:7" ht="24" thickBot="1" x14ac:dyDescent="0.5">
      <c r="C77" s="6">
        <f t="shared" si="1"/>
        <v>0.67999999999999972</v>
      </c>
      <c r="D77" s="7">
        <f t="shared" si="2"/>
        <v>0.32000000000000017</v>
      </c>
      <c r="E77" s="8">
        <f t="shared" si="9"/>
        <v>8.4516507263374285E-2</v>
      </c>
      <c r="F77" s="8">
        <f t="shared" si="3"/>
        <v>6.9599999999999995E-2</v>
      </c>
      <c r="G77" s="18">
        <f t="shared" si="0"/>
        <v>0.23190735910230598</v>
      </c>
    </row>
    <row r="78" spans="3:7" ht="24" thickBot="1" x14ac:dyDescent="0.5">
      <c r="C78" s="6">
        <f t="shared" si="1"/>
        <v>0.67499999999999971</v>
      </c>
      <c r="D78" s="7">
        <f t="shared" si="2"/>
        <v>0.32500000000000018</v>
      </c>
      <c r="E78" s="8">
        <f t="shared" si="9"/>
        <v>8.444080767022541E-2</v>
      </c>
      <c r="F78" s="8">
        <f t="shared" si="3"/>
        <v>6.9749999999999993E-2</v>
      </c>
      <c r="G78" s="18">
        <f t="shared" ref="G78:G141" si="19">(F78-$F$9)/E78</f>
        <v>0.23389165197390713</v>
      </c>
    </row>
    <row r="79" spans="3:7" ht="24" thickBot="1" x14ac:dyDescent="0.5">
      <c r="C79" s="6">
        <f t="shared" ref="C79:C142" si="20">C78-0.5%</f>
        <v>0.66999999999999971</v>
      </c>
      <c r="D79" s="7">
        <f t="shared" ref="D79:D142" si="21">D78+0.5%</f>
        <v>0.33000000000000018</v>
      </c>
      <c r="E79" s="8">
        <f t="shared" si="9"/>
        <v>8.437084804599275E-2</v>
      </c>
      <c r="F79" s="8">
        <f t="shared" ref="F79:F142" si="22">$F$6*C79+$F$7*D79</f>
        <v>6.989999999999999E-2</v>
      </c>
      <c r="G79" s="18">
        <f t="shared" si="19"/>
        <v>0.23586345830199523</v>
      </c>
    </row>
    <row r="80" spans="3:7" ht="24" thickBot="1" x14ac:dyDescent="0.5">
      <c r="C80" s="6">
        <f t="shared" si="20"/>
        <v>0.6649999999999997</v>
      </c>
      <c r="D80" s="7">
        <f t="shared" si="21"/>
        <v>0.33500000000000019</v>
      </c>
      <c r="E80" s="8">
        <f t="shared" si="9"/>
        <v>8.4306642680158944E-2</v>
      </c>
      <c r="F80" s="8">
        <f t="shared" si="22"/>
        <v>7.0050000000000001E-2</v>
      </c>
      <c r="G80" s="18">
        <f t="shared" si="19"/>
        <v>0.2378223039442495</v>
      </c>
    </row>
    <row r="81" spans="3:7" ht="24" thickBot="1" x14ac:dyDescent="0.5">
      <c r="C81" s="6">
        <f t="shared" si="20"/>
        <v>0.6599999999999997</v>
      </c>
      <c r="D81" s="7">
        <f t="shared" si="21"/>
        <v>0.34000000000000019</v>
      </c>
      <c r="E81" s="8">
        <f t="shared" ref="E81:E144" si="23">SQRT(C81^2*$D$6^2+D81^2*$D$7^2+2*D81*C81*$D$6*$D$7*$D$8)</f>
        <v>8.4248204728646886E-2</v>
      </c>
      <c r="F81" s="8">
        <f t="shared" si="22"/>
        <v>7.0199999999999999E-2</v>
      </c>
      <c r="G81" s="18">
        <f t="shared" si="19"/>
        <v>0.23976772045246203</v>
      </c>
    </row>
    <row r="82" spans="3:7" ht="24" thickBot="1" x14ac:dyDescent="0.5">
      <c r="C82" s="6">
        <f t="shared" si="20"/>
        <v>0.65499999999999969</v>
      </c>
      <c r="D82" s="7">
        <f t="shared" si="21"/>
        <v>0.3450000000000002</v>
      </c>
      <c r="E82" s="8">
        <f t="shared" si="23"/>
        <v>8.4195546200496851E-2</v>
      </c>
      <c r="F82" s="8">
        <f t="shared" si="22"/>
        <v>7.0349999999999996E-2</v>
      </c>
      <c r="G82" s="18">
        <f t="shared" si="19"/>
        <v>0.24169924560546296</v>
      </c>
    </row>
    <row r="83" spans="3:7" ht="24" thickBot="1" x14ac:dyDescent="0.5">
      <c r="C83" s="6">
        <f t="shared" si="20"/>
        <v>0.64999999999999969</v>
      </c>
      <c r="D83" s="7">
        <f t="shared" si="21"/>
        <v>0.3500000000000002</v>
      </c>
      <c r="E83" s="8">
        <f t="shared" si="23"/>
        <v>8.4148677945645692E-2</v>
      </c>
      <c r="F83" s="8">
        <f t="shared" si="22"/>
        <v>7.0499999999999993E-2</v>
      </c>
      <c r="G83" s="18">
        <f t="shared" si="19"/>
        <v>0.24361642393528266</v>
      </c>
    </row>
    <row r="84" spans="3:7" ht="24" thickBot="1" x14ac:dyDescent="0.5">
      <c r="C84" s="6">
        <f t="shared" si="20"/>
        <v>0.64499999999999968</v>
      </c>
      <c r="D84" s="7">
        <f t="shared" si="21"/>
        <v>0.3550000000000002</v>
      </c>
      <c r="E84" s="8">
        <f t="shared" si="23"/>
        <v>8.4107609643836623E-2</v>
      </c>
      <c r="F84" s="8">
        <f t="shared" si="22"/>
        <v>7.0649999999999991E-2</v>
      </c>
      <c r="G84" s="18">
        <f t="shared" si="19"/>
        <v>0.24551880724520403</v>
      </c>
    </row>
    <row r="85" spans="3:7" ht="24" thickBot="1" x14ac:dyDescent="0.5">
      <c r="C85" s="6">
        <f t="shared" si="20"/>
        <v>0.63999999999999968</v>
      </c>
      <c r="D85" s="7">
        <f t="shared" si="21"/>
        <v>0.36000000000000021</v>
      </c>
      <c r="E85" s="8">
        <f t="shared" si="23"/>
        <v>8.4072349794685766E-2</v>
      </c>
      <c r="F85" s="8">
        <f t="shared" si="22"/>
        <v>7.0800000000000002E-2</v>
      </c>
      <c r="G85" s="18">
        <f t="shared" si="19"/>
        <v>0.24740595511837082</v>
      </c>
    </row>
    <row r="86" spans="3:7" ht="24" thickBot="1" x14ac:dyDescent="0.5">
      <c r="C86" s="6">
        <f t="shared" si="20"/>
        <v>0.63499999999999968</v>
      </c>
      <c r="D86" s="7">
        <f t="shared" si="21"/>
        <v>0.36500000000000021</v>
      </c>
      <c r="E86" s="8">
        <f t="shared" si="23"/>
        <v>8.4042905708929402E-2</v>
      </c>
      <c r="F86" s="8">
        <f t="shared" si="22"/>
        <v>7.0949999999999999E-2</v>
      </c>
      <c r="G86" s="18">
        <f t="shared" si="19"/>
        <v>0.24927743541563555</v>
      </c>
    </row>
    <row r="87" spans="3:7" ht="24" thickBot="1" x14ac:dyDescent="0.5">
      <c r="C87" s="6">
        <f t="shared" si="20"/>
        <v>0.62999999999999967</v>
      </c>
      <c r="D87" s="7">
        <f t="shared" si="21"/>
        <v>0.37000000000000022</v>
      </c>
      <c r="E87" s="8">
        <f t="shared" si="23"/>
        <v>8.401928350087258E-2</v>
      </c>
      <c r="F87" s="8">
        <f t="shared" si="22"/>
        <v>7.1099999999999997E-2</v>
      </c>
      <c r="G87" s="18">
        <f t="shared" si="19"/>
        <v>0.251132824761364</v>
      </c>
    </row>
    <row r="88" spans="3:7" ht="24" thickBot="1" x14ac:dyDescent="0.5">
      <c r="C88" s="6">
        <f t="shared" si="20"/>
        <v>0.62499999999999967</v>
      </c>
      <c r="D88" s="7">
        <f t="shared" si="21"/>
        <v>0.37500000000000022</v>
      </c>
      <c r="E88" s="8">
        <f t="shared" si="23"/>
        <v>8.4001488082057207E-2</v>
      </c>
      <c r="F88" s="8">
        <f t="shared" si="22"/>
        <v>7.1249999999999994E-2</v>
      </c>
      <c r="G88" s="18">
        <f t="shared" si="19"/>
        <v>0.25297170901593835</v>
      </c>
    </row>
    <row r="89" spans="3:7" ht="24" thickBot="1" x14ac:dyDescent="0.5">
      <c r="C89" s="6">
        <f t="shared" si="20"/>
        <v>0.61999999999999966</v>
      </c>
      <c r="D89" s="7">
        <f t="shared" si="21"/>
        <v>0.38000000000000023</v>
      </c>
      <c r="E89" s="8">
        <f t="shared" si="23"/>
        <v>8.3989523156165133E-2</v>
      </c>
      <c r="F89" s="8">
        <f t="shared" si="22"/>
        <v>7.1399999999999991E-2</v>
      </c>
      <c r="G89" s="18">
        <f t="shared" si="19"/>
        <v>0.25479368373374495</v>
      </c>
    </row>
    <row r="90" spans="3:7" ht="24" thickBot="1" x14ac:dyDescent="0.5">
      <c r="C90" s="6">
        <f t="shared" si="20"/>
        <v>0.61499999999999966</v>
      </c>
      <c r="D90" s="7">
        <f t="shared" si="21"/>
        <v>0.38500000000000023</v>
      </c>
      <c r="E90" s="8">
        <f t="shared" si="23"/>
        <v>8.3983391215168249E-2</v>
      </c>
      <c r="F90" s="8">
        <f t="shared" si="22"/>
        <v>7.1550000000000002E-2</v>
      </c>
      <c r="G90" s="18">
        <f t="shared" si="19"/>
        <v>0.25659835460547409</v>
      </c>
    </row>
    <row r="91" spans="3:7" ht="24" thickBot="1" x14ac:dyDescent="0.5">
      <c r="C91" s="6">
        <f t="shared" si="20"/>
        <v>0.60999999999999965</v>
      </c>
      <c r="D91" s="7">
        <f t="shared" si="21"/>
        <v>0.39000000000000024</v>
      </c>
      <c r="E91" s="8">
        <f t="shared" si="23"/>
        <v>8.3983093536735123E-2</v>
      </c>
      <c r="F91" s="8">
        <f t="shared" si="22"/>
        <v>7.17E-2</v>
      </c>
      <c r="G91" s="18">
        <f t="shared" si="19"/>
        <v>0.25838533788360846</v>
      </c>
    </row>
    <row r="92" spans="3:7" ht="24" thickBot="1" x14ac:dyDescent="0.5">
      <c r="C92" s="6">
        <f t="shared" si="20"/>
        <v>0.60499999999999965</v>
      </c>
      <c r="D92" s="7">
        <f t="shared" si="21"/>
        <v>0.39500000000000024</v>
      </c>
      <c r="E92" s="8">
        <f t="shared" si="23"/>
        <v>8.3988630182900342E-2</v>
      </c>
      <c r="F92" s="8">
        <f t="shared" si="22"/>
        <v>7.1849999999999997E-2</v>
      </c>
      <c r="G92" s="18">
        <f t="shared" si="19"/>
        <v>0.26015426079003423</v>
      </c>
    </row>
    <row r="93" spans="3:7" ht="24" thickBot="1" x14ac:dyDescent="0.5">
      <c r="C93" s="6">
        <f t="shared" si="20"/>
        <v>0.59999999999999964</v>
      </c>
      <c r="D93" s="7">
        <f t="shared" si="21"/>
        <v>0.40000000000000024</v>
      </c>
      <c r="E93" s="8">
        <f t="shared" si="23"/>
        <v>8.4000000000000005E-2</v>
      </c>
      <c r="F93" s="8">
        <f t="shared" si="22"/>
        <v>7.1999999999999995E-2</v>
      </c>
      <c r="G93" s="18">
        <f t="shared" si="19"/>
        <v>0.26190476190476181</v>
      </c>
    </row>
    <row r="94" spans="3:7" ht="24" thickBot="1" x14ac:dyDescent="0.5">
      <c r="C94" s="6">
        <f t="shared" si="20"/>
        <v>0.59499999999999964</v>
      </c>
      <c r="D94" s="7">
        <f t="shared" si="21"/>
        <v>0.40500000000000025</v>
      </c>
      <c r="E94" s="8">
        <f t="shared" si="23"/>
        <v>8.401720061987307E-2</v>
      </c>
      <c r="F94" s="8">
        <f t="shared" si="22"/>
        <v>7.2149999999999992E-2</v>
      </c>
      <c r="G94" s="18">
        <f t="shared" si="19"/>
        <v>0.26363649153481461</v>
      </c>
    </row>
    <row r="95" spans="3:7" ht="24" thickBot="1" x14ac:dyDescent="0.5">
      <c r="C95" s="6">
        <f t="shared" si="20"/>
        <v>0.58999999999999964</v>
      </c>
      <c r="D95" s="7">
        <f t="shared" si="21"/>
        <v>0.41000000000000025</v>
      </c>
      <c r="E95" s="8">
        <f t="shared" si="23"/>
        <v>8.4040228462326297E-2</v>
      </c>
      <c r="F95" s="8">
        <f t="shared" si="22"/>
        <v>7.2300000000000003E-2</v>
      </c>
      <c r="G95" s="18">
        <f t="shared" si="19"/>
        <v>0.26534911206240575</v>
      </c>
    </row>
    <row r="96" spans="3:7" ht="24" thickBot="1" x14ac:dyDescent="0.5">
      <c r="C96" s="6">
        <f t="shared" si="20"/>
        <v>0.58499999999999963</v>
      </c>
      <c r="D96" s="7">
        <f t="shared" si="21"/>
        <v>0.41500000000000026</v>
      </c>
      <c r="E96" s="8">
        <f t="shared" si="23"/>
        <v>8.4069078738856176E-2</v>
      </c>
      <c r="F96" s="8">
        <f t="shared" si="22"/>
        <v>7.2450000000000001E-2</v>
      </c>
      <c r="G96" s="18">
        <f t="shared" si="19"/>
        <v>0.26704229827159692</v>
      </c>
    </row>
    <row r="97" spans="3:7" ht="24" thickBot="1" x14ac:dyDescent="0.5">
      <c r="C97" s="6">
        <f t="shared" si="20"/>
        <v>0.57999999999999963</v>
      </c>
      <c r="D97" s="7">
        <f t="shared" si="21"/>
        <v>0.42000000000000026</v>
      </c>
      <c r="E97" s="8">
        <f t="shared" si="23"/>
        <v>8.4103745457619186E-2</v>
      </c>
      <c r="F97" s="8">
        <f t="shared" si="22"/>
        <v>7.2599999999999998E-2</v>
      </c>
      <c r="G97" s="18">
        <f t="shared" si="19"/>
        <v>0.26871573765271117</v>
      </c>
    </row>
    <row r="98" spans="3:7" ht="24" thickBot="1" x14ac:dyDescent="0.5">
      <c r="C98" s="6">
        <f t="shared" si="20"/>
        <v>0.57499999999999962</v>
      </c>
      <c r="D98" s="7">
        <f t="shared" si="21"/>
        <v>0.42500000000000027</v>
      </c>
      <c r="E98" s="8">
        <f t="shared" si="23"/>
        <v>8.4144221429638288E-2</v>
      </c>
      <c r="F98" s="8">
        <f t="shared" si="22"/>
        <v>7.2749999999999995E-2</v>
      </c>
      <c r="G98" s="18">
        <f t="shared" si="19"/>
        <v>0.27036913068384177</v>
      </c>
    </row>
    <row r="99" spans="3:7" ht="24" thickBot="1" x14ac:dyDescent="0.5">
      <c r="C99" s="6">
        <f t="shared" si="20"/>
        <v>0.56999999999999962</v>
      </c>
      <c r="D99" s="7">
        <f t="shared" si="21"/>
        <v>0.43000000000000027</v>
      </c>
      <c r="E99" s="8">
        <f t="shared" si="23"/>
        <v>8.419049827623068E-2</v>
      </c>
      <c r="F99" s="8">
        <f t="shared" si="22"/>
        <v>7.2899999999999993E-2</v>
      </c>
      <c r="G99" s="18">
        <f t="shared" si="19"/>
        <v>0.27200219108888796</v>
      </c>
    </row>
    <row r="100" spans="3:7" ht="24" thickBot="1" x14ac:dyDescent="0.5">
      <c r="C100" s="6">
        <f t="shared" si="20"/>
        <v>0.56499999999999961</v>
      </c>
      <c r="D100" s="7">
        <f t="shared" si="21"/>
        <v>0.43500000000000028</v>
      </c>
      <c r="E100" s="8">
        <f t="shared" si="23"/>
        <v>8.4242566437638874E-2</v>
      </c>
      <c r="F100" s="8">
        <f t="shared" si="22"/>
        <v>7.3050000000000004E-2</v>
      </c>
      <c r="G100" s="18">
        <f t="shared" si="19"/>
        <v>0.273614646071626</v>
      </c>
    </row>
    <row r="101" spans="3:7" ht="24" thickBot="1" x14ac:dyDescent="0.5">
      <c r="C101" s="6">
        <f t="shared" si="20"/>
        <v>0.55999999999999961</v>
      </c>
      <c r="D101" s="7">
        <f t="shared" si="21"/>
        <v>0.44000000000000028</v>
      </c>
      <c r="E101" s="8">
        <f t="shared" si="23"/>
        <v>8.4300415182844743E-2</v>
      </c>
      <c r="F101" s="8">
        <f t="shared" si="22"/>
        <v>7.3200000000000001E-2</v>
      </c>
      <c r="G101" s="18">
        <f t="shared" si="19"/>
        <v>0.27520623652540721</v>
      </c>
    </row>
    <row r="102" spans="3:7" ht="24" thickBot="1" x14ac:dyDescent="0.5">
      <c r="C102" s="6">
        <f t="shared" si="20"/>
        <v>0.5549999999999996</v>
      </c>
      <c r="D102" s="7">
        <f t="shared" si="21"/>
        <v>0.44500000000000028</v>
      </c>
      <c r="E102" s="8">
        <f t="shared" si="23"/>
        <v>8.4364032620542734E-2</v>
      </c>
      <c r="F102" s="8">
        <f t="shared" si="22"/>
        <v>7.3349999999999999E-2</v>
      </c>
      <c r="G102" s="18">
        <f t="shared" si="19"/>
        <v>0.27677671721816488</v>
      </c>
    </row>
    <row r="103" spans="3:7" ht="24" thickBot="1" x14ac:dyDescent="0.5">
      <c r="C103" s="6">
        <f t="shared" si="20"/>
        <v>0.5499999999999996</v>
      </c>
      <c r="D103" s="7">
        <f t="shared" si="21"/>
        <v>0.45000000000000029</v>
      </c>
      <c r="E103" s="8">
        <f t="shared" si="23"/>
        <v>8.4433405711246773E-2</v>
      </c>
      <c r="F103" s="8">
        <f t="shared" si="22"/>
        <v>7.3499999999999996E-2</v>
      </c>
      <c r="G103" s="18">
        <f t="shared" si="19"/>
        <v>0.27832585695248968</v>
      </c>
    </row>
    <row r="104" spans="3:7" ht="24" thickBot="1" x14ac:dyDescent="0.5">
      <c r="C104" s="6">
        <f t="shared" si="20"/>
        <v>0.5449999999999996</v>
      </c>
      <c r="D104" s="7">
        <f t="shared" si="21"/>
        <v>0.45500000000000029</v>
      </c>
      <c r="E104" s="8">
        <f t="shared" si="23"/>
        <v>8.4508520280501889E-2</v>
      </c>
      <c r="F104" s="8">
        <f t="shared" si="22"/>
        <v>7.3649999999999993E-2</v>
      </c>
      <c r="G104" s="18">
        <f t="shared" si="19"/>
        <v>0.27985343870062535</v>
      </c>
    </row>
    <row r="105" spans="3:7" ht="24" thickBot="1" x14ac:dyDescent="0.5">
      <c r="C105" s="6">
        <f t="shared" si="20"/>
        <v>0.53999999999999959</v>
      </c>
      <c r="D105" s="7">
        <f t="shared" si="21"/>
        <v>0.4600000000000003</v>
      </c>
      <c r="E105" s="8">
        <f t="shared" si="23"/>
        <v>8.4589361033170121E-2</v>
      </c>
      <c r="F105" s="8">
        <f t="shared" si="22"/>
        <v>7.3800000000000004E-2</v>
      </c>
      <c r="G105" s="18">
        <f t="shared" si="19"/>
        <v>0.28135925971431891</v>
      </c>
    </row>
    <row r="106" spans="3:7" ht="24" thickBot="1" x14ac:dyDescent="0.5">
      <c r="C106" s="6">
        <f t="shared" si="20"/>
        <v>0.53499999999999959</v>
      </c>
      <c r="D106" s="7">
        <f t="shared" si="21"/>
        <v>0.4650000000000003</v>
      </c>
      <c r="E106" s="8">
        <f t="shared" si="23"/>
        <v>8.467591156875727E-2</v>
      </c>
      <c r="F106" s="8">
        <f t="shared" si="22"/>
        <v>7.3950000000000002E-2</v>
      </c>
      <c r="G106" s="18">
        <f t="shared" si="19"/>
        <v>0.28284313160954255</v>
      </c>
    </row>
    <row r="107" spans="3:7" ht="24" thickBot="1" x14ac:dyDescent="0.5">
      <c r="C107" s="6">
        <f t="shared" si="20"/>
        <v>0.52999999999999958</v>
      </c>
      <c r="D107" s="7">
        <f t="shared" si="21"/>
        <v>0.47000000000000031</v>
      </c>
      <c r="E107" s="8">
        <f t="shared" si="23"/>
        <v>8.4768154397745391E-2</v>
      </c>
      <c r="F107" s="8">
        <f t="shared" si="22"/>
        <v>7.4099999999999999E-2</v>
      </c>
      <c r="G107" s="18">
        <f t="shared" si="19"/>
        <v>0.28430488042619212</v>
      </c>
    </row>
    <row r="108" spans="3:7" ht="24" thickBot="1" x14ac:dyDescent="0.5">
      <c r="C108" s="6">
        <f t="shared" si="20"/>
        <v>0.52499999999999958</v>
      </c>
      <c r="D108" s="7">
        <f t="shared" si="21"/>
        <v>0.47500000000000031</v>
      </c>
      <c r="E108" s="8">
        <f t="shared" si="23"/>
        <v>8.4866070958893813E-2</v>
      </c>
      <c r="F108" s="8">
        <f t="shared" si="22"/>
        <v>7.4249999999999997E-2</v>
      </c>
      <c r="G108" s="18">
        <f t="shared" si="19"/>
        <v>0.28574434666294207</v>
      </c>
    </row>
    <row r="109" spans="3:7" ht="24" thickBot="1" x14ac:dyDescent="0.5">
      <c r="C109" s="6">
        <f t="shared" si="20"/>
        <v>0.51999999999999957</v>
      </c>
      <c r="D109" s="7">
        <f t="shared" si="21"/>
        <v>0.48000000000000032</v>
      </c>
      <c r="E109" s="8">
        <f t="shared" si="23"/>
        <v>8.4969641637469562E-2</v>
      </c>
      <c r="F109" s="8">
        <f t="shared" si="22"/>
        <v>7.4400000000000008E-2</v>
      </c>
      <c r="G109" s="18">
        <f t="shared" si="19"/>
        <v>0.28716138528752128</v>
      </c>
    </row>
    <row r="110" spans="3:7" ht="24" thickBot="1" x14ac:dyDescent="0.5">
      <c r="C110" s="6">
        <f t="shared" si="20"/>
        <v>0.51499999999999957</v>
      </c>
      <c r="D110" s="7">
        <f t="shared" si="21"/>
        <v>0.48500000000000032</v>
      </c>
      <c r="E110" s="8">
        <f t="shared" si="23"/>
        <v>8.5078845784366391E-2</v>
      </c>
      <c r="F110" s="8">
        <f t="shared" si="22"/>
        <v>7.4550000000000005E-2</v>
      </c>
      <c r="G110" s="18">
        <f t="shared" si="19"/>
        <v>0.28855586572274788</v>
      </c>
    </row>
    <row r="111" spans="3:7" ht="24" thickBot="1" x14ac:dyDescent="0.5">
      <c r="C111" s="6">
        <f t="shared" si="20"/>
        <v>0.50999999999999956</v>
      </c>
      <c r="D111" s="7">
        <f t="shared" si="21"/>
        <v>0.49000000000000032</v>
      </c>
      <c r="E111" s="8">
        <f t="shared" si="23"/>
        <v>8.5193661736070486E-2</v>
      </c>
      <c r="F111" s="8">
        <f t="shared" si="22"/>
        <v>7.4700000000000003E-2</v>
      </c>
      <c r="G111" s="18">
        <f t="shared" si="19"/>
        <v>0.28992767180873702</v>
      </c>
    </row>
    <row r="112" spans="3:7" ht="24" thickBot="1" x14ac:dyDescent="0.5">
      <c r="C112" s="6">
        <f t="shared" si="20"/>
        <v>0.50499999999999956</v>
      </c>
      <c r="D112" s="7">
        <f t="shared" si="21"/>
        <v>0.49500000000000033</v>
      </c>
      <c r="E112" s="8">
        <f t="shared" si="23"/>
        <v>8.5314066835428734E-2</v>
      </c>
      <c r="F112" s="8">
        <f t="shared" si="22"/>
        <v>7.485E-2</v>
      </c>
      <c r="G112" s="18">
        <f t="shared" si="19"/>
        <v>0.29127670174176284</v>
      </c>
    </row>
    <row r="113" spans="3:7" ht="24" thickBot="1" x14ac:dyDescent="0.5">
      <c r="C113" s="6">
        <f t="shared" si="20"/>
        <v>0.49999999999999956</v>
      </c>
      <c r="D113" s="7">
        <f t="shared" si="21"/>
        <v>0.50000000000000033</v>
      </c>
      <c r="E113" s="8">
        <f t="shared" si="23"/>
        <v>8.5440037453175313E-2</v>
      </c>
      <c r="F113" s="8">
        <f t="shared" si="22"/>
        <v>7.4999999999999997E-2</v>
      </c>
      <c r="G113" s="18">
        <f t="shared" si="19"/>
        <v>0.29260286799032637</v>
      </c>
    </row>
    <row r="114" spans="3:7" ht="24" thickBot="1" x14ac:dyDescent="0.5">
      <c r="C114" s="6">
        <f t="shared" si="20"/>
        <v>0.49499999999999955</v>
      </c>
      <c r="D114" s="7">
        <f t="shared" si="21"/>
        <v>0.50500000000000034</v>
      </c>
      <c r="E114" s="8">
        <f t="shared" si="23"/>
        <v>8.5571549010170431E-2</v>
      </c>
      <c r="F114" s="8">
        <f t="shared" si="22"/>
        <v>7.5150000000000008E-2</v>
      </c>
      <c r="G114" s="18">
        <f t="shared" si="19"/>
        <v>0.29390609718904182</v>
      </c>
    </row>
    <row r="115" spans="3:7" ht="24" thickBot="1" x14ac:dyDescent="0.5">
      <c r="C115" s="6">
        <f t="shared" si="20"/>
        <v>0.48999999999999955</v>
      </c>
      <c r="D115" s="7">
        <f t="shared" si="21"/>
        <v>0.51000000000000034</v>
      </c>
      <c r="E115" s="8">
        <f t="shared" si="23"/>
        <v>8.5708576000304668E-2</v>
      </c>
      <c r="F115" s="8">
        <f t="shared" si="22"/>
        <v>7.5300000000000006E-2</v>
      </c>
      <c r="G115" s="18">
        <f t="shared" si="19"/>
        <v>0.29518633001101396</v>
      </c>
    </row>
    <row r="116" spans="3:7" ht="24" thickBot="1" x14ac:dyDescent="0.5">
      <c r="C116" s="6">
        <f t="shared" si="20"/>
        <v>0.48499999999999954</v>
      </c>
      <c r="D116" s="7">
        <f t="shared" si="21"/>
        <v>0.51500000000000035</v>
      </c>
      <c r="E116" s="8">
        <f t="shared" si="23"/>
        <v>8.5851092014021593E-2</v>
      </c>
      <c r="F116" s="8">
        <f t="shared" si="22"/>
        <v>7.5450000000000003E-2</v>
      </c>
      <c r="G116" s="18">
        <f t="shared" si="19"/>
        <v>0.29644352101943433</v>
      </c>
    </row>
    <row r="117" spans="3:7" ht="24" thickBot="1" x14ac:dyDescent="0.5">
      <c r="C117" s="6">
        <f t="shared" si="20"/>
        <v>0.47999999999999954</v>
      </c>
      <c r="D117" s="7">
        <f t="shared" si="21"/>
        <v>0.52000000000000035</v>
      </c>
      <c r="E117" s="8">
        <f t="shared" si="23"/>
        <v>8.5999069762410812E-2</v>
      </c>
      <c r="F117" s="8">
        <f t="shared" si="22"/>
        <v>7.5600000000000001E-2</v>
      </c>
      <c r="G117" s="18">
        <f t="shared" si="19"/>
        <v>0.297677638499172</v>
      </c>
    </row>
    <row r="118" spans="3:7" ht="24" thickBot="1" x14ac:dyDescent="0.5">
      <c r="C118" s="6">
        <f t="shared" si="20"/>
        <v>0.47499999999999953</v>
      </c>
      <c r="D118" s="7">
        <f t="shared" si="21"/>
        <v>0.52500000000000036</v>
      </c>
      <c r="E118" s="8">
        <f t="shared" si="23"/>
        <v>8.6152481101823192E-2</v>
      </c>
      <c r="F118" s="8">
        <f t="shared" si="22"/>
        <v>7.5749999999999998E-2</v>
      </c>
      <c r="G118" s="18">
        <f t="shared" si="19"/>
        <v>0.29888866426918337</v>
      </c>
    </row>
    <row r="119" spans="3:7" ht="24" thickBot="1" x14ac:dyDescent="0.5">
      <c r="C119" s="6">
        <f t="shared" si="20"/>
        <v>0.46999999999999953</v>
      </c>
      <c r="D119" s="7">
        <f t="shared" si="21"/>
        <v>0.53000000000000036</v>
      </c>
      <c r="E119" s="8">
        <f t="shared" si="23"/>
        <v>8.6311297058959791E-2</v>
      </c>
      <c r="F119" s="8">
        <f t="shared" si="22"/>
        <v>7.5900000000000009E-2</v>
      </c>
      <c r="G119" s="18">
        <f t="shared" si="19"/>
        <v>0.30007659347660542</v>
      </c>
    </row>
    <row r="120" spans="3:7" ht="24" thickBot="1" x14ac:dyDescent="0.5">
      <c r="C120" s="6">
        <f t="shared" si="20"/>
        <v>0.46499999999999952</v>
      </c>
      <c r="D120" s="7">
        <f t="shared" si="21"/>
        <v>0.53500000000000036</v>
      </c>
      <c r="E120" s="8">
        <f t="shared" si="23"/>
        <v>8.6475487856386229E-2</v>
      </c>
      <c r="F120" s="8">
        <f t="shared" si="22"/>
        <v>7.6050000000000006E-2</v>
      </c>
      <c r="G120" s="18">
        <f t="shared" si="19"/>
        <v>0.30124143437343104</v>
      </c>
    </row>
    <row r="121" spans="3:7" ht="24" thickBot="1" x14ac:dyDescent="0.5">
      <c r="C121" s="6">
        <f t="shared" si="20"/>
        <v>0.45999999999999952</v>
      </c>
      <c r="D121" s="7">
        <f t="shared" si="21"/>
        <v>0.54000000000000037</v>
      </c>
      <c r="E121" s="8">
        <f t="shared" si="23"/>
        <v>8.6645022938423882E-2</v>
      </c>
      <c r="F121" s="8">
        <f t="shared" si="22"/>
        <v>7.6200000000000004E-2</v>
      </c>
      <c r="G121" s="18">
        <f t="shared" si="19"/>
        <v>0.30238320807670149</v>
      </c>
    </row>
    <row r="122" spans="3:7" ht="24" thickBot="1" x14ac:dyDescent="0.5">
      <c r="C122" s="6">
        <f t="shared" si="20"/>
        <v>0.45499999999999952</v>
      </c>
      <c r="D122" s="7">
        <f t="shared" si="21"/>
        <v>0.54500000000000037</v>
      </c>
      <c r="E122" s="8">
        <f t="shared" si="23"/>
        <v>8.6819870997370194E-2</v>
      </c>
      <c r="F122" s="8">
        <f t="shared" si="22"/>
        <v>7.6350000000000001E-2</v>
      </c>
      <c r="G122" s="18">
        <f t="shared" si="19"/>
        <v>0.30350194831317073</v>
      </c>
    </row>
    <row r="123" spans="3:7" ht="24" thickBot="1" x14ac:dyDescent="0.5">
      <c r="C123" s="6">
        <f t="shared" si="20"/>
        <v>0.44999999999999951</v>
      </c>
      <c r="D123" s="7">
        <f t="shared" si="21"/>
        <v>0.55000000000000038</v>
      </c>
      <c r="E123" s="8">
        <f t="shared" si="23"/>
        <v>8.7000000000000022E-2</v>
      </c>
      <c r="F123" s="8">
        <f t="shared" si="22"/>
        <v>7.6499999999999999E-2</v>
      </c>
      <c r="G123" s="18">
        <f t="shared" si="19"/>
        <v>0.30459770114942514</v>
      </c>
    </row>
    <row r="124" spans="3:7" ht="24" thickBot="1" x14ac:dyDescent="0.5">
      <c r="C124" s="6">
        <f t="shared" si="20"/>
        <v>0.44499999999999951</v>
      </c>
      <c r="D124" s="7">
        <f t="shared" si="21"/>
        <v>0.55500000000000038</v>
      </c>
      <c r="E124" s="8">
        <f t="shared" si="23"/>
        <v>8.7185377214301266E-2</v>
      </c>
      <c r="F124" s="8">
        <f t="shared" si="22"/>
        <v>7.6649999999999996E-2</v>
      </c>
      <c r="G124" s="18">
        <f t="shared" si="19"/>
        <v>0.30567052470845441</v>
      </c>
    </row>
    <row r="125" spans="3:7" ht="24" thickBot="1" x14ac:dyDescent="0.5">
      <c r="C125" s="6">
        <f t="shared" si="20"/>
        <v>0.4399999999999995</v>
      </c>
      <c r="D125" s="7">
        <f t="shared" si="21"/>
        <v>0.56000000000000039</v>
      </c>
      <c r="E125" s="8">
        <f t="shared" si="23"/>
        <v>8.737596923639819E-2</v>
      </c>
      <c r="F125" s="8">
        <f t="shared" si="22"/>
        <v>7.6800000000000007E-2</v>
      </c>
      <c r="G125" s="18">
        <f t="shared" si="19"/>
        <v>0.30672048887368375</v>
      </c>
    </row>
    <row r="126" spans="3:7" ht="24" thickBot="1" x14ac:dyDescent="0.5">
      <c r="C126" s="6">
        <f t="shared" si="20"/>
        <v>0.4349999999999995</v>
      </c>
      <c r="D126" s="7">
        <f t="shared" si="21"/>
        <v>0.56500000000000039</v>
      </c>
      <c r="E126" s="8">
        <f t="shared" si="23"/>
        <v>8.7571742017616624E-2</v>
      </c>
      <c r="F126" s="8">
        <f t="shared" si="22"/>
        <v>7.6950000000000005E-2</v>
      </c>
      <c r="G126" s="18">
        <f t="shared" si="19"/>
        <v>0.30774767498148575</v>
      </c>
    </row>
    <row r="127" spans="3:7" ht="24" thickBot="1" x14ac:dyDescent="0.5">
      <c r="C127" s="6">
        <f t="shared" si="20"/>
        <v>0.42999999999999949</v>
      </c>
      <c r="D127" s="7">
        <f t="shared" si="21"/>
        <v>0.5700000000000004</v>
      </c>
      <c r="E127" s="8">
        <f t="shared" si="23"/>
        <v>8.7772660891646689E-2</v>
      </c>
      <c r="F127" s="8">
        <f t="shared" si="22"/>
        <v>7.7100000000000002E-2</v>
      </c>
      <c r="G127" s="18">
        <f t="shared" si="19"/>
        <v>0.30875217550319362</v>
      </c>
    </row>
    <row r="128" spans="3:7" ht="24" thickBot="1" x14ac:dyDescent="0.5">
      <c r="C128" s="6">
        <f t="shared" si="20"/>
        <v>0.42499999999999949</v>
      </c>
      <c r="D128" s="7">
        <f t="shared" si="21"/>
        <v>0.5750000000000004</v>
      </c>
      <c r="E128" s="8">
        <f t="shared" si="23"/>
        <v>8.7978690601758794E-2</v>
      </c>
      <c r="F128" s="8">
        <f t="shared" si="22"/>
        <v>7.7249999999999999E-2</v>
      </c>
      <c r="G128" s="18">
        <f t="shared" si="19"/>
        <v>0.30973409371763527</v>
      </c>
    </row>
    <row r="129" spans="3:7" ht="24" thickBot="1" x14ac:dyDescent="0.5">
      <c r="C129" s="6">
        <f t="shared" si="20"/>
        <v>0.41999999999999948</v>
      </c>
      <c r="D129" s="7">
        <f t="shared" si="21"/>
        <v>0.5800000000000004</v>
      </c>
      <c r="E129" s="8">
        <f t="shared" si="23"/>
        <v>8.818979532803102E-2</v>
      </c>
      <c r="F129" s="8">
        <f t="shared" si="22"/>
        <v>7.7399999999999997E-2</v>
      </c>
      <c r="G129" s="18">
        <f t="shared" si="19"/>
        <v>0.31069354337520427</v>
      </c>
    </row>
    <row r="130" spans="3:7" ht="24" thickBot="1" x14ac:dyDescent="0.5">
      <c r="C130" s="6">
        <f t="shared" si="20"/>
        <v>0.41499999999999948</v>
      </c>
      <c r="D130" s="7">
        <f t="shared" si="21"/>
        <v>0.58500000000000041</v>
      </c>
      <c r="E130" s="8">
        <f t="shared" si="23"/>
        <v>8.8405938714545662E-2</v>
      </c>
      <c r="F130" s="8">
        <f t="shared" si="22"/>
        <v>7.7550000000000008E-2</v>
      </c>
      <c r="G130" s="18">
        <f t="shared" si="19"/>
        <v>0.31163064835447679</v>
      </c>
    </row>
    <row r="131" spans="3:7" ht="24" thickBot="1" x14ac:dyDescent="0.5">
      <c r="C131" s="6">
        <f t="shared" si="20"/>
        <v>0.40999999999999948</v>
      </c>
      <c r="D131" s="7">
        <f t="shared" si="21"/>
        <v>0.59000000000000041</v>
      </c>
      <c r="E131" s="8">
        <f t="shared" si="23"/>
        <v>8.8627083896515524E-2</v>
      </c>
      <c r="F131" s="8">
        <f t="shared" si="22"/>
        <v>7.7700000000000005E-2</v>
      </c>
      <c r="G131" s="18">
        <f t="shared" si="19"/>
        <v>0.31254554231236598</v>
      </c>
    </row>
    <row r="132" spans="3:7" ht="24" thickBot="1" x14ac:dyDescent="0.5">
      <c r="C132" s="6">
        <f t="shared" si="20"/>
        <v>0.40499999999999947</v>
      </c>
      <c r="D132" s="7">
        <f t="shared" si="21"/>
        <v>0.59500000000000042</v>
      </c>
      <c r="E132" s="8">
        <f t="shared" si="23"/>
        <v>8.8853193527300992E-2</v>
      </c>
      <c r="F132" s="8">
        <f t="shared" si="22"/>
        <v>7.7850000000000003E-2</v>
      </c>
      <c r="G132" s="18">
        <f t="shared" si="19"/>
        <v>0.31343836832879646</v>
      </c>
    </row>
    <row r="133" spans="3:7" ht="24" thickBot="1" x14ac:dyDescent="0.5">
      <c r="C133" s="6">
        <f t="shared" si="20"/>
        <v>0.39999999999999947</v>
      </c>
      <c r="D133" s="7">
        <f t="shared" si="21"/>
        <v>0.60000000000000042</v>
      </c>
      <c r="E133" s="8">
        <f t="shared" si="23"/>
        <v>8.9084229805280357E-2</v>
      </c>
      <c r="F133" s="8">
        <f t="shared" si="22"/>
        <v>7.8E-2</v>
      </c>
      <c r="G133" s="18">
        <f t="shared" si="19"/>
        <v>0.31430927854685603</v>
      </c>
    </row>
    <row r="134" spans="3:7" ht="24" thickBot="1" x14ac:dyDescent="0.5">
      <c r="C134" s="6">
        <f t="shared" si="20"/>
        <v>0.39499999999999946</v>
      </c>
      <c r="D134" s="7">
        <f t="shared" si="21"/>
        <v>0.60500000000000043</v>
      </c>
      <c r="E134" s="8">
        <f t="shared" si="23"/>
        <v>8.9320154500538138E-2</v>
      </c>
      <c r="F134" s="8">
        <f t="shared" si="22"/>
        <v>7.8149999999999997E-2</v>
      </c>
      <c r="G134" s="18">
        <f t="shared" si="19"/>
        <v>0.31515843380936376</v>
      </c>
    </row>
    <row r="135" spans="3:7" ht="24" thickBot="1" x14ac:dyDescent="0.5">
      <c r="C135" s="6">
        <f t="shared" si="20"/>
        <v>0.38999999999999946</v>
      </c>
      <c r="D135" s="7">
        <f t="shared" si="21"/>
        <v>0.61000000000000043</v>
      </c>
      <c r="E135" s="8">
        <f t="shared" si="23"/>
        <v>8.956092898133651E-2</v>
      </c>
      <c r="F135" s="8">
        <f t="shared" si="22"/>
        <v>7.8300000000000008E-2</v>
      </c>
      <c r="G135" s="18">
        <f t="shared" si="19"/>
        <v>0.31598600329276849</v>
      </c>
    </row>
    <row r="136" spans="3:7" ht="24" thickBot="1" x14ac:dyDescent="0.5">
      <c r="C136" s="6">
        <f t="shared" si="20"/>
        <v>0.38499999999999945</v>
      </c>
      <c r="D136" s="7">
        <f t="shared" si="21"/>
        <v>0.61500000000000044</v>
      </c>
      <c r="E136" s="8">
        <f t="shared" si="23"/>
        <v>8.9806514240337837E-2</v>
      </c>
      <c r="F136" s="8">
        <f t="shared" si="22"/>
        <v>7.8450000000000006E-2</v>
      </c>
      <c r="G136" s="18">
        <f t="shared" si="19"/>
        <v>0.3167921641392612</v>
      </c>
    </row>
    <row r="137" spans="3:7" ht="24" thickBot="1" x14ac:dyDescent="0.5">
      <c r="C137" s="6">
        <f t="shared" si="20"/>
        <v>0.37999999999999945</v>
      </c>
      <c r="D137" s="7">
        <f t="shared" si="21"/>
        <v>0.62000000000000044</v>
      </c>
      <c r="E137" s="8">
        <f t="shared" si="23"/>
        <v>9.0056870920546664E-2</v>
      </c>
      <c r="F137" s="8">
        <f t="shared" si="22"/>
        <v>7.8600000000000003E-2</v>
      </c>
      <c r="G137" s="18">
        <f t="shared" si="19"/>
        <v>0.31757710108796205</v>
      </c>
    </row>
    <row r="138" spans="3:7" ht="24" thickBot="1" x14ac:dyDescent="0.5">
      <c r="C138" s="6">
        <f t="shared" si="20"/>
        <v>0.37499999999999944</v>
      </c>
      <c r="D138" s="7">
        <f t="shared" si="21"/>
        <v>0.62500000000000044</v>
      </c>
      <c r="E138" s="8">
        <f t="shared" si="23"/>
        <v>9.0311959340942244E-2</v>
      </c>
      <c r="F138" s="8">
        <f t="shared" si="22"/>
        <v>7.8750000000000001E-2</v>
      </c>
      <c r="G138" s="18">
        <f t="shared" si="19"/>
        <v>0.31834100610600308</v>
      </c>
    </row>
    <row r="139" spans="3:7" ht="24" thickBot="1" x14ac:dyDescent="0.5">
      <c r="C139" s="6">
        <f t="shared" si="20"/>
        <v>0.36999999999999944</v>
      </c>
      <c r="D139" s="7">
        <f t="shared" si="21"/>
        <v>0.63000000000000045</v>
      </c>
      <c r="E139" s="8">
        <f t="shared" si="23"/>
        <v>9.0571739521773595E-2</v>
      </c>
      <c r="F139" s="8">
        <f t="shared" si="22"/>
        <v>7.8899999999999998E-2</v>
      </c>
      <c r="G139" s="18">
        <f t="shared" si="19"/>
        <v>0.31908407802030109</v>
      </c>
    </row>
    <row r="140" spans="3:7" ht="24" thickBot="1" x14ac:dyDescent="0.5">
      <c r="C140" s="6">
        <f t="shared" si="20"/>
        <v>0.36499999999999944</v>
      </c>
      <c r="D140" s="7">
        <f t="shared" si="21"/>
        <v>0.63500000000000045</v>
      </c>
      <c r="E140" s="8">
        <f t="shared" si="23"/>
        <v>9.0836171209491237E-2</v>
      </c>
      <c r="F140" s="8">
        <f t="shared" si="22"/>
        <v>7.9050000000000009E-2</v>
      </c>
      <c r="G140" s="18">
        <f t="shared" si="19"/>
        <v>0.31980652215077782</v>
      </c>
    </row>
    <row r="141" spans="3:7" ht="24" thickBot="1" x14ac:dyDescent="0.5">
      <c r="C141" s="6">
        <f t="shared" si="20"/>
        <v>0.35999999999999943</v>
      </c>
      <c r="D141" s="7">
        <f t="shared" si="21"/>
        <v>0.64000000000000046</v>
      </c>
      <c r="E141" s="8">
        <f t="shared" si="23"/>
        <v>9.1105213901291102E-2</v>
      </c>
      <c r="F141" s="8">
        <f t="shared" si="22"/>
        <v>7.9200000000000007E-2</v>
      </c>
      <c r="G141" s="18">
        <f t="shared" si="19"/>
        <v>0.3205085499457479</v>
      </c>
    </row>
    <row r="142" spans="3:7" ht="24" thickBot="1" x14ac:dyDescent="0.5">
      <c r="C142" s="6">
        <f t="shared" si="20"/>
        <v>0.35499999999999943</v>
      </c>
      <c r="D142" s="7">
        <f t="shared" si="21"/>
        <v>0.64500000000000046</v>
      </c>
      <c r="E142" s="8">
        <f t="shared" si="23"/>
        <v>9.1378826869248017E-2</v>
      </c>
      <c r="F142" s="8">
        <f t="shared" si="22"/>
        <v>7.9350000000000004E-2</v>
      </c>
      <c r="G142" s="18">
        <f t="shared" ref="G142:G205" si="24">(F142-$F$9)/E142</f>
        <v>0.32119037862016198</v>
      </c>
    </row>
    <row r="143" spans="3:7" ht="24" thickBot="1" x14ac:dyDescent="0.5">
      <c r="C143" s="6">
        <f t="shared" ref="C143:C206" si="25">C142-0.5%</f>
        <v>0.34999999999999942</v>
      </c>
      <c r="D143" s="7">
        <f t="shared" ref="D143:D206" si="26">D142+0.5%</f>
        <v>0.65000000000000047</v>
      </c>
      <c r="E143" s="8">
        <f t="shared" si="23"/>
        <v>9.1656969184017889E-2</v>
      </c>
      <c r="F143" s="8">
        <f t="shared" ref="F143:F206" si="27">$F$6*C143+$F$7*D143</f>
        <v>7.9500000000000001E-2</v>
      </c>
      <c r="G143" s="18">
        <f t="shared" si="24"/>
        <v>0.32185223079734865</v>
      </c>
    </row>
    <row r="144" spans="3:7" ht="24" thickBot="1" x14ac:dyDescent="0.5">
      <c r="C144" s="6">
        <f t="shared" si="25"/>
        <v>0.34499999999999942</v>
      </c>
      <c r="D144" s="7">
        <f t="shared" si="26"/>
        <v>0.65500000000000047</v>
      </c>
      <c r="E144" s="8">
        <f t="shared" si="23"/>
        <v>9.1939599738088934E-2</v>
      </c>
      <c r="F144" s="8">
        <f t="shared" si="27"/>
        <v>7.9649999999999999E-2</v>
      </c>
      <c r="G144" s="18">
        <f t="shared" si="24"/>
        <v>0.32249433415486722</v>
      </c>
    </row>
    <row r="145" spans="3:7" ht="24" thickBot="1" x14ac:dyDescent="0.5">
      <c r="C145" s="6">
        <f t="shared" si="25"/>
        <v>0.33999999999999941</v>
      </c>
      <c r="D145" s="7">
        <f t="shared" si="26"/>
        <v>0.66000000000000048</v>
      </c>
      <c r="E145" s="8">
        <f t="shared" ref="E145:E208" si="28">SQRT(C145^2*$D$6^2+D145^2*$D$7^2+2*D145*C145*$D$6*$D$7*$D$8)</f>
        <v>9.2226677268564788E-2</v>
      </c>
      <c r="F145" s="8">
        <f t="shared" si="27"/>
        <v>7.980000000000001E-2</v>
      </c>
      <c r="G145" s="18">
        <f t="shared" si="24"/>
        <v>0.3231169210750397</v>
      </c>
    </row>
    <row r="146" spans="3:7" ht="24" thickBot="1" x14ac:dyDescent="0.5">
      <c r="C146" s="6">
        <f t="shared" si="25"/>
        <v>0.33499999999999941</v>
      </c>
      <c r="D146" s="7">
        <f t="shared" si="26"/>
        <v>0.66500000000000048</v>
      </c>
      <c r="E146" s="8">
        <f t="shared" si="28"/>
        <v>9.2518160379462824E-2</v>
      </c>
      <c r="F146" s="8">
        <f t="shared" si="27"/>
        <v>7.9950000000000007E-2</v>
      </c>
      <c r="G146" s="18">
        <f t="shared" si="24"/>
        <v>0.3237202283006948</v>
      </c>
    </row>
    <row r="147" spans="3:7" ht="24" thickBot="1" x14ac:dyDescent="0.5">
      <c r="C147" s="6">
        <f t="shared" si="25"/>
        <v>0.3299999999999994</v>
      </c>
      <c r="D147" s="7">
        <f t="shared" si="26"/>
        <v>0.67000000000000048</v>
      </c>
      <c r="E147" s="8">
        <f t="shared" si="28"/>
        <v>9.2814007563513837E-2</v>
      </c>
      <c r="F147" s="8">
        <f t="shared" si="27"/>
        <v>8.0100000000000005E-2</v>
      </c>
      <c r="G147" s="18">
        <f t="shared" si="24"/>
        <v>0.32430449659661748</v>
      </c>
    </row>
    <row r="148" spans="3:7" ht="24" thickBot="1" x14ac:dyDescent="0.5">
      <c r="C148" s="6">
        <f t="shared" si="25"/>
        <v>0.3249999999999994</v>
      </c>
      <c r="D148" s="7">
        <f t="shared" si="26"/>
        <v>0.67500000000000049</v>
      </c>
      <c r="E148" s="8">
        <f t="shared" si="28"/>
        <v>9.3114177223449723E-2</v>
      </c>
      <c r="F148" s="8">
        <f t="shared" si="27"/>
        <v>8.0250000000000002E-2</v>
      </c>
      <c r="G148" s="18">
        <f t="shared" si="24"/>
        <v>0.32486997041715671</v>
      </c>
    </row>
    <row r="149" spans="3:7" ht="24" thickBot="1" x14ac:dyDescent="0.5">
      <c r="C149" s="6">
        <f t="shared" si="25"/>
        <v>0.3199999999999994</v>
      </c>
      <c r="D149" s="7">
        <f t="shared" si="26"/>
        <v>0.68000000000000049</v>
      </c>
      <c r="E149" s="8">
        <f t="shared" si="28"/>
        <v>9.3418627692768014E-2</v>
      </c>
      <c r="F149" s="8">
        <f t="shared" si="27"/>
        <v>8.0399999999999999E-2</v>
      </c>
      <c r="G149" s="18">
        <f t="shared" si="24"/>
        <v>0.32541689758041059</v>
      </c>
    </row>
    <row r="150" spans="3:7" ht="24" thickBot="1" x14ac:dyDescent="0.5">
      <c r="C150" s="6">
        <f t="shared" si="25"/>
        <v>0.31499999999999939</v>
      </c>
      <c r="D150" s="7">
        <f t="shared" si="26"/>
        <v>0.6850000000000005</v>
      </c>
      <c r="E150" s="8">
        <f t="shared" si="28"/>
        <v>9.3727317255963352E-2</v>
      </c>
      <c r="F150" s="8">
        <f t="shared" si="27"/>
        <v>8.055000000000001E-2</v>
      </c>
      <c r="G150" s="18">
        <f t="shared" si="24"/>
        <v>0.3259455289493659</v>
      </c>
    </row>
    <row r="151" spans="3:7" ht="24" thickBot="1" x14ac:dyDescent="0.5">
      <c r="C151" s="6">
        <f t="shared" si="25"/>
        <v>0.30999999999999939</v>
      </c>
      <c r="D151" s="7">
        <f t="shared" si="26"/>
        <v>0.6900000000000005</v>
      </c>
      <c r="E151" s="8">
        <f t="shared" si="28"/>
        <v>9.4040204168217345E-2</v>
      </c>
      <c r="F151" s="8">
        <f t="shared" si="27"/>
        <v>8.0700000000000008E-2</v>
      </c>
      <c r="G151" s="18">
        <f t="shared" si="24"/>
        <v>0.32645611812033526</v>
      </c>
    </row>
    <row r="152" spans="3:7" ht="24" thickBot="1" x14ac:dyDescent="0.5">
      <c r="C152" s="6">
        <f t="shared" si="25"/>
        <v>0.30499999999999938</v>
      </c>
      <c r="D152" s="7">
        <f t="shared" si="26"/>
        <v>0.69500000000000051</v>
      </c>
      <c r="E152" s="8">
        <f t="shared" si="28"/>
        <v>9.4357246674540082E-2</v>
      </c>
      <c r="F152" s="8">
        <f t="shared" si="27"/>
        <v>8.0850000000000005E-2</v>
      </c>
      <c r="G152" s="18">
        <f t="shared" si="24"/>
        <v>0.32694892111899759</v>
      </c>
    </row>
    <row r="153" spans="3:7" ht="24" thickBot="1" x14ac:dyDescent="0.5">
      <c r="C153" s="6">
        <f t="shared" si="25"/>
        <v>0.29999999999999938</v>
      </c>
      <c r="D153" s="7">
        <f t="shared" si="26"/>
        <v>0.70000000000000051</v>
      </c>
      <c r="E153" s="8">
        <f t="shared" si="28"/>
        <v>9.4678403028357033E-2</v>
      </c>
      <c r="F153" s="8">
        <f t="shared" si="27"/>
        <v>8.1000000000000003E-2</v>
      </c>
      <c r="G153" s="18">
        <f t="shared" si="24"/>
        <v>0.32742419610431345</v>
      </c>
    </row>
    <row r="154" spans="3:7" ht="24" thickBot="1" x14ac:dyDescent="0.5">
      <c r="C154" s="6">
        <f t="shared" si="25"/>
        <v>0.29499999999999937</v>
      </c>
      <c r="D154" s="7">
        <f t="shared" si="26"/>
        <v>0.70500000000000052</v>
      </c>
      <c r="E154" s="8">
        <f t="shared" si="28"/>
        <v>9.5003631509537598E-2</v>
      </c>
      <c r="F154" s="8">
        <f t="shared" si="27"/>
        <v>8.1150000000000014E-2</v>
      </c>
      <c r="G154" s="18">
        <f t="shared" si="24"/>
        <v>0.32788220308055072</v>
      </c>
    </row>
    <row r="155" spans="3:7" ht="24" thickBot="1" x14ac:dyDescent="0.5">
      <c r="C155" s="6">
        <f t="shared" si="25"/>
        <v>0.28999999999999937</v>
      </c>
      <c r="D155" s="7">
        <f t="shared" si="26"/>
        <v>0.71000000000000052</v>
      </c>
      <c r="E155" s="8">
        <f t="shared" si="28"/>
        <v>9.5332890441861703E-2</v>
      </c>
      <c r="F155" s="8">
        <f t="shared" si="27"/>
        <v>8.1299999999999997E-2</v>
      </c>
      <c r="G155" s="18">
        <f t="shared" si="24"/>
        <v>0.32832320361762396</v>
      </c>
    </row>
    <row r="156" spans="3:7" ht="24" thickBot="1" x14ac:dyDescent="0.5">
      <c r="C156" s="6">
        <f t="shared" si="25"/>
        <v>0.28499999999999936</v>
      </c>
      <c r="D156" s="7">
        <f t="shared" si="26"/>
        <v>0.71500000000000052</v>
      </c>
      <c r="E156" s="8">
        <f t="shared" si="28"/>
        <v>9.5666138209922563E-2</v>
      </c>
      <c r="F156" s="8">
        <f t="shared" si="27"/>
        <v>8.1450000000000009E-2</v>
      </c>
      <c r="G156" s="18">
        <f t="shared" si="24"/>
        <v>0.32874746057992321</v>
      </c>
    </row>
    <row r="157" spans="3:7" ht="24" thickBot="1" x14ac:dyDescent="0.5">
      <c r="C157" s="6">
        <f t="shared" si="25"/>
        <v>0.27999999999999936</v>
      </c>
      <c r="D157" s="7">
        <f t="shared" si="26"/>
        <v>0.72000000000000053</v>
      </c>
      <c r="E157" s="8">
        <f t="shared" si="28"/>
        <v>9.6003333275464994E-2</v>
      </c>
      <c r="F157" s="8">
        <f t="shared" si="27"/>
        <v>8.1600000000000006E-2</v>
      </c>
      <c r="G157" s="18">
        <f t="shared" si="24"/>
        <v>0.32915523786376516</v>
      </c>
    </row>
    <row r="158" spans="3:7" ht="24" thickBot="1" x14ac:dyDescent="0.5">
      <c r="C158" s="6">
        <f t="shared" si="25"/>
        <v>0.27499999999999936</v>
      </c>
      <c r="D158" s="7">
        <f t="shared" si="26"/>
        <v>0.72500000000000053</v>
      </c>
      <c r="E158" s="8">
        <f t="shared" si="28"/>
        <v>9.6344434193159315E-2</v>
      </c>
      <c r="F158" s="8">
        <f t="shared" si="27"/>
        <v>8.1750000000000003E-2</v>
      </c>
      <c r="G158" s="18">
        <f t="shared" si="24"/>
        <v>0.32954680014358656</v>
      </c>
    </row>
    <row r="159" spans="3:7" ht="24" thickBot="1" x14ac:dyDescent="0.5">
      <c r="C159" s="6">
        <f t="shared" si="25"/>
        <v>0.26999999999999935</v>
      </c>
      <c r="D159" s="7">
        <f t="shared" si="26"/>
        <v>0.73000000000000054</v>
      </c>
      <c r="E159" s="8">
        <f t="shared" si="28"/>
        <v>9.6689399625812161E-2</v>
      </c>
      <c r="F159" s="8">
        <f t="shared" si="27"/>
        <v>8.1900000000000014E-2</v>
      </c>
      <c r="G159" s="18">
        <f t="shared" si="24"/>
        <v>0.32992241262695771</v>
      </c>
    </row>
    <row r="160" spans="3:7" ht="24" thickBot="1" x14ac:dyDescent="0.5">
      <c r="C160" s="6">
        <f t="shared" si="25"/>
        <v>0.26499999999999935</v>
      </c>
      <c r="D160" s="7">
        <f t="shared" si="26"/>
        <v>0.73500000000000054</v>
      </c>
      <c r="E160" s="8">
        <f t="shared" si="28"/>
        <v>9.7038188359016717E-2</v>
      </c>
      <c r="F160" s="8">
        <f t="shared" si="27"/>
        <v>8.2049999999999998E-2</v>
      </c>
      <c r="G160" s="18">
        <f t="shared" si="24"/>
        <v>0.33028234081847357</v>
      </c>
    </row>
    <row r="161" spans="3:7" ht="24" thickBot="1" x14ac:dyDescent="0.5">
      <c r="C161" s="6">
        <f t="shared" si="25"/>
        <v>0.25999999999999934</v>
      </c>
      <c r="D161" s="7">
        <f t="shared" si="26"/>
        <v>0.74000000000000055</v>
      </c>
      <c r="E161" s="8">
        <f t="shared" si="28"/>
        <v>9.7390759315245143E-2</v>
      </c>
      <c r="F161" s="8">
        <f t="shared" si="27"/>
        <v>8.2200000000000009E-2</v>
      </c>
      <c r="G161" s="18">
        <f t="shared" si="24"/>
        <v>0.33062685029255701</v>
      </c>
    </row>
    <row r="162" spans="3:7" ht="24" thickBot="1" x14ac:dyDescent="0.5">
      <c r="C162" s="6">
        <f t="shared" si="25"/>
        <v>0.25499999999999934</v>
      </c>
      <c r="D162" s="7">
        <f t="shared" si="26"/>
        <v>0.74500000000000055</v>
      </c>
      <c r="E162" s="8">
        <f t="shared" si="28"/>
        <v>9.7747071567387669E-2</v>
      </c>
      <c r="F162" s="8">
        <f t="shared" si="27"/>
        <v>8.2350000000000007E-2</v>
      </c>
      <c r="G162" s="18">
        <f t="shared" si="24"/>
        <v>0.33095620647517443</v>
      </c>
    </row>
    <row r="163" spans="3:7" ht="24" thickBot="1" x14ac:dyDescent="0.5">
      <c r="C163" s="6">
        <f t="shared" si="25"/>
        <v>0.24999999999999933</v>
      </c>
      <c r="D163" s="7">
        <f t="shared" si="26"/>
        <v>0.75000000000000056</v>
      </c>
      <c r="E163" s="8">
        <f t="shared" si="28"/>
        <v>9.8107084351742951E-2</v>
      </c>
      <c r="F163" s="8">
        <f t="shared" si="27"/>
        <v>8.2500000000000004E-2</v>
      </c>
      <c r="G163" s="18">
        <f t="shared" si="24"/>
        <v>0.33127067443445651</v>
      </c>
    </row>
    <row r="164" spans="3:7" ht="24" thickBot="1" x14ac:dyDescent="0.5">
      <c r="C164" s="6">
        <f t="shared" si="25"/>
        <v>0.24499999999999933</v>
      </c>
      <c r="D164" s="7">
        <f t="shared" si="26"/>
        <v>0.75500000000000056</v>
      </c>
      <c r="E164" s="8">
        <f t="shared" si="28"/>
        <v>9.8470757080465307E-2</v>
      </c>
      <c r="F164" s="8">
        <f t="shared" si="27"/>
        <v>8.2650000000000015E-2</v>
      </c>
      <c r="G164" s="18">
        <f t="shared" si="24"/>
        <v>0.33157051868018123</v>
      </c>
    </row>
    <row r="165" spans="3:7" ht="24" thickBot="1" x14ac:dyDescent="0.5">
      <c r="C165" s="6">
        <f t="shared" si="25"/>
        <v>0.23999999999999932</v>
      </c>
      <c r="D165" s="7">
        <f t="shared" si="26"/>
        <v>0.76000000000000056</v>
      </c>
      <c r="E165" s="8">
        <f t="shared" si="28"/>
        <v>9.8838049353475232E-2</v>
      </c>
      <c r="F165" s="8">
        <f t="shared" si="27"/>
        <v>8.2799999999999999E-2</v>
      </c>
      <c r="G165" s="18">
        <f t="shared" si="24"/>
        <v>0.33185600297206513</v>
      </c>
    </row>
    <row r="166" spans="3:7" ht="24" thickBot="1" x14ac:dyDescent="0.5">
      <c r="C166" s="6">
        <f t="shared" si="25"/>
        <v>0.23499999999999932</v>
      </c>
      <c r="D166" s="7">
        <f t="shared" si="26"/>
        <v>0.76500000000000057</v>
      </c>
      <c r="E166" s="8">
        <f t="shared" si="28"/>
        <v>9.9208920969840242E-2</v>
      </c>
      <c r="F166" s="8">
        <f t="shared" si="27"/>
        <v>8.295000000000001E-2</v>
      </c>
      <c r="G166" s="18">
        <f t="shared" si="24"/>
        <v>0.3321273901367891</v>
      </c>
    </row>
    <row r="167" spans="3:7" ht="24" thickBot="1" x14ac:dyDescent="0.5">
      <c r="C167" s="6">
        <f t="shared" si="25"/>
        <v>0.22999999999999932</v>
      </c>
      <c r="D167" s="7">
        <f t="shared" si="26"/>
        <v>0.77000000000000057</v>
      </c>
      <c r="E167" s="8">
        <f t="shared" si="28"/>
        <v>9.9583331938633224E-2</v>
      </c>
      <c r="F167" s="8">
        <f t="shared" si="27"/>
        <v>8.3100000000000007E-2</v>
      </c>
      <c r="G167" s="18">
        <f t="shared" si="24"/>
        <v>0.33238494189366347</v>
      </c>
    </row>
    <row r="168" spans="3:7" ht="24" thickBot="1" x14ac:dyDescent="0.5">
      <c r="C168" s="6">
        <f t="shared" si="25"/>
        <v>0.22499999999999931</v>
      </c>
      <c r="D168" s="7">
        <f t="shared" si="26"/>
        <v>0.77500000000000058</v>
      </c>
      <c r="E168" s="8">
        <f t="shared" si="28"/>
        <v>9.9961242489276847E-2</v>
      </c>
      <c r="F168" s="8">
        <f t="shared" si="27"/>
        <v>8.3250000000000005E-2</v>
      </c>
      <c r="G168" s="18">
        <f t="shared" si="24"/>
        <v>0.33262891868882916</v>
      </c>
    </row>
    <row r="169" spans="3:7" ht="24" thickBot="1" x14ac:dyDescent="0.5">
      <c r="C169" s="6">
        <f t="shared" si="25"/>
        <v>0.21999999999999931</v>
      </c>
      <c r="D169" s="7">
        <f t="shared" si="26"/>
        <v>0.78000000000000058</v>
      </c>
      <c r="E169" s="8">
        <f t="shared" si="28"/>
        <v>0.10034261308138237</v>
      </c>
      <c r="F169" s="8">
        <f t="shared" si="27"/>
        <v>8.3400000000000016E-2</v>
      </c>
      <c r="G169" s="18">
        <f t="shared" si="24"/>
        <v>0.33285957953786904</v>
      </c>
    </row>
    <row r="170" spans="3:7" ht="24" thickBot="1" x14ac:dyDescent="0.5">
      <c r="C170" s="6">
        <f t="shared" si="25"/>
        <v>0.2149999999999993</v>
      </c>
      <c r="D170" s="7">
        <f t="shared" si="26"/>
        <v>0.78500000000000059</v>
      </c>
      <c r="E170" s="8">
        <f t="shared" si="28"/>
        <v>0.10072740441409184</v>
      </c>
      <c r="F170" s="8">
        <f t="shared" si="27"/>
        <v>8.3549999999999999E-2</v>
      </c>
      <c r="G170" s="18">
        <f t="shared" si="24"/>
        <v>0.33307718187669616</v>
      </c>
    </row>
    <row r="171" spans="3:7" ht="24" thickBot="1" x14ac:dyDescent="0.5">
      <c r="C171" s="6">
        <f t="shared" si="25"/>
        <v>0.2099999999999993</v>
      </c>
      <c r="D171" s="7">
        <f t="shared" si="26"/>
        <v>0.79000000000000059</v>
      </c>
      <c r="E171" s="8">
        <f t="shared" si="28"/>
        <v>0.10111557743493338</v>
      </c>
      <c r="F171" s="8">
        <f t="shared" si="27"/>
        <v>8.3700000000000011E-2</v>
      </c>
      <c r="G171" s="18">
        <f t="shared" si="24"/>
        <v>0.3332819814205733</v>
      </c>
    </row>
    <row r="172" spans="3:7" ht="24" thickBot="1" x14ac:dyDescent="0.5">
      <c r="C172" s="6">
        <f t="shared" si="25"/>
        <v>0.20499999999999929</v>
      </c>
      <c r="D172" s="7">
        <f t="shared" si="26"/>
        <v>0.7950000000000006</v>
      </c>
      <c r="E172" s="8">
        <f t="shared" si="28"/>
        <v>0.10150709334819912</v>
      </c>
      <c r="F172" s="8">
        <f t="shared" si="27"/>
        <v>8.3850000000000008E-2</v>
      </c>
      <c r="G172" s="18">
        <f t="shared" si="24"/>
        <v>0.33347423203110121</v>
      </c>
    </row>
    <row r="173" spans="3:7" ht="24" thickBot="1" x14ac:dyDescent="0.5">
      <c r="C173" s="6">
        <f t="shared" si="25"/>
        <v>0.19999999999999929</v>
      </c>
      <c r="D173" s="7">
        <f t="shared" si="26"/>
        <v>0.8000000000000006</v>
      </c>
      <c r="E173" s="8">
        <f t="shared" si="28"/>
        <v>0.10190191362285603</v>
      </c>
      <c r="F173" s="8">
        <f t="shared" si="27"/>
        <v>8.4000000000000005E-2</v>
      </c>
      <c r="G173" s="18">
        <f t="shared" si="24"/>
        <v>0.33365418559101517</v>
      </c>
    </row>
    <row r="174" spans="3:7" ht="24" thickBot="1" x14ac:dyDescent="0.5">
      <c r="C174" s="6">
        <f t="shared" si="25"/>
        <v>0.19499999999999929</v>
      </c>
      <c r="D174" s="7">
        <f t="shared" si="26"/>
        <v>0.8050000000000006</v>
      </c>
      <c r="E174" s="8">
        <f t="shared" si="28"/>
        <v>0.10230000000000003</v>
      </c>
      <c r="F174" s="8">
        <f t="shared" si="27"/>
        <v>8.4150000000000016E-2</v>
      </c>
      <c r="G174" s="18">
        <f t="shared" si="24"/>
        <v>0.33382209188660805</v>
      </c>
    </row>
    <row r="175" spans="3:7" ht="24" thickBot="1" x14ac:dyDescent="0.5">
      <c r="C175" s="6">
        <f t="shared" si="25"/>
        <v>0.18999999999999928</v>
      </c>
      <c r="D175" s="7">
        <f t="shared" si="26"/>
        <v>0.81000000000000061</v>
      </c>
      <c r="E175" s="8">
        <f t="shared" si="28"/>
        <v>0.10270131449986417</v>
      </c>
      <c r="F175" s="8">
        <f t="shared" si="27"/>
        <v>8.43E-2</v>
      </c>
      <c r="G175" s="18">
        <f t="shared" si="24"/>
        <v>0.33397819849759919</v>
      </c>
    </row>
    <row r="176" spans="3:7" ht="24" thickBot="1" x14ac:dyDescent="0.5">
      <c r="C176" s="6">
        <f t="shared" si="25"/>
        <v>0.18499999999999928</v>
      </c>
      <c r="D176" s="7">
        <f t="shared" si="26"/>
        <v>0.81500000000000061</v>
      </c>
      <c r="E176" s="8">
        <f t="shared" si="28"/>
        <v>0.10310581942839118</v>
      </c>
      <c r="F176" s="8">
        <f t="shared" si="27"/>
        <v>8.4450000000000011E-2</v>
      </c>
      <c r="G176" s="18">
        <f t="shared" si="24"/>
        <v>0.33412275069426262</v>
      </c>
    </row>
    <row r="177" spans="3:7" ht="24" thickBot="1" x14ac:dyDescent="0.5">
      <c r="C177" s="6">
        <f t="shared" si="25"/>
        <v>0.17999999999999927</v>
      </c>
      <c r="D177" s="7">
        <f t="shared" si="26"/>
        <v>0.82000000000000062</v>
      </c>
      <c r="E177" s="8">
        <f t="shared" si="28"/>
        <v>0.10351347738338235</v>
      </c>
      <c r="F177" s="8">
        <f t="shared" si="27"/>
        <v>8.4600000000000009E-2</v>
      </c>
      <c r="G177" s="18">
        <f t="shared" si="24"/>
        <v>0.33425599134161205</v>
      </c>
    </row>
    <row r="178" spans="3:7" ht="24" thickBot="1" x14ac:dyDescent="0.5">
      <c r="C178" s="6">
        <f t="shared" si="25"/>
        <v>0.17499999999999927</v>
      </c>
      <c r="D178" s="7">
        <f t="shared" si="26"/>
        <v>0.82500000000000062</v>
      </c>
      <c r="E178" s="8">
        <f t="shared" si="28"/>
        <v>0.10392425126023286</v>
      </c>
      <c r="F178" s="8">
        <f t="shared" si="27"/>
        <v>8.4750000000000006E-2</v>
      </c>
      <c r="G178" s="18">
        <f t="shared" si="24"/>
        <v>0.33437816081045241</v>
      </c>
    </row>
    <row r="179" spans="3:7" ht="24" thickBot="1" x14ac:dyDescent="0.5">
      <c r="C179" s="6">
        <f t="shared" si="25"/>
        <v>0.16999999999999926</v>
      </c>
      <c r="D179" s="7">
        <f t="shared" si="26"/>
        <v>0.83000000000000063</v>
      </c>
      <c r="E179" s="8">
        <f t="shared" si="28"/>
        <v>0.10433810425726552</v>
      </c>
      <c r="F179" s="8">
        <f t="shared" si="27"/>
        <v>8.4900000000000017E-2</v>
      </c>
      <c r="G179" s="18">
        <f t="shared" si="24"/>
        <v>0.33448949689508833</v>
      </c>
    </row>
    <row r="180" spans="3:7" ht="24" thickBot="1" x14ac:dyDescent="0.5">
      <c r="C180" s="6">
        <f t="shared" si="25"/>
        <v>0.16499999999999926</v>
      </c>
      <c r="D180" s="7">
        <f t="shared" si="26"/>
        <v>0.83500000000000063</v>
      </c>
      <c r="E180" s="8">
        <f t="shared" si="28"/>
        <v>0.10475499988067401</v>
      </c>
      <c r="F180" s="8">
        <f t="shared" si="27"/>
        <v>8.5050000000000001E-2</v>
      </c>
      <c r="G180" s="18">
        <f t="shared" si="24"/>
        <v>0.33459023473748567</v>
      </c>
    </row>
    <row r="181" spans="3:7" ht="24" thickBot="1" x14ac:dyDescent="0.5">
      <c r="C181" s="6">
        <f t="shared" si="25"/>
        <v>0.15999999999999925</v>
      </c>
      <c r="D181" s="7">
        <f t="shared" si="26"/>
        <v>0.84000000000000064</v>
      </c>
      <c r="E181" s="8">
        <f t="shared" si="28"/>
        <v>0.10517490194908674</v>
      </c>
      <c r="F181" s="8">
        <f t="shared" si="27"/>
        <v>8.5200000000000012E-2</v>
      </c>
      <c r="G181" s="18">
        <f t="shared" si="24"/>
        <v>0.33468060675768152</v>
      </c>
    </row>
    <row r="182" spans="3:7" ht="24" thickBot="1" x14ac:dyDescent="0.5">
      <c r="C182" s="6">
        <f t="shared" si="25"/>
        <v>0.15499999999999925</v>
      </c>
      <c r="D182" s="7">
        <f t="shared" si="26"/>
        <v>0.84500000000000064</v>
      </c>
      <c r="E182" s="8">
        <f t="shared" si="28"/>
        <v>0.10559777459776323</v>
      </c>
      <c r="F182" s="8">
        <f t="shared" si="27"/>
        <v>8.5350000000000009E-2</v>
      </c>
      <c r="G182" s="18">
        <f t="shared" si="24"/>
        <v>0.3347608425902262</v>
      </c>
    </row>
    <row r="183" spans="3:7" ht="24" thickBot="1" x14ac:dyDescent="0.5">
      <c r="C183" s="6">
        <f t="shared" si="25"/>
        <v>0.14999999999999925</v>
      </c>
      <c r="D183" s="7">
        <f t="shared" si="26"/>
        <v>0.85000000000000064</v>
      </c>
      <c r="E183" s="8">
        <f t="shared" si="28"/>
        <v>0.1060235822824338</v>
      </c>
      <c r="F183" s="8">
        <f t="shared" si="27"/>
        <v>8.5500000000000007E-2</v>
      </c>
      <c r="G183" s="18">
        <f t="shared" si="24"/>
        <v>0.33483116902645643</v>
      </c>
    </row>
    <row r="184" spans="3:7" ht="24" thickBot="1" x14ac:dyDescent="0.5">
      <c r="C184" s="6">
        <f t="shared" si="25"/>
        <v>0.14499999999999924</v>
      </c>
      <c r="D184" s="7">
        <f t="shared" si="26"/>
        <v>0.85500000000000065</v>
      </c>
      <c r="E184" s="8">
        <f t="shared" si="28"/>
        <v>0.10645228978279431</v>
      </c>
      <c r="F184" s="8">
        <f t="shared" si="27"/>
        <v>8.5650000000000018E-2</v>
      </c>
      <c r="G184" s="18">
        <f t="shared" si="24"/>
        <v>0.33489180996238244</v>
      </c>
    </row>
    <row r="185" spans="3:7" ht="24" thickBot="1" x14ac:dyDescent="0.5">
      <c r="C185" s="6">
        <f t="shared" si="25"/>
        <v>0.13999999999999924</v>
      </c>
      <c r="D185" s="7">
        <f t="shared" si="26"/>
        <v>0.86000000000000065</v>
      </c>
      <c r="E185" s="8">
        <f t="shared" si="28"/>
        <v>0.10688386220566701</v>
      </c>
      <c r="F185" s="8">
        <f t="shared" si="27"/>
        <v>8.5800000000000001E-2</v>
      </c>
      <c r="G185" s="18">
        <f t="shared" si="24"/>
        <v>0.33494298635198338</v>
      </c>
    </row>
    <row r="186" spans="3:7" ht="24" thickBot="1" x14ac:dyDescent="0.5">
      <c r="C186" s="6">
        <f t="shared" si="25"/>
        <v>0.13499999999999923</v>
      </c>
      <c r="D186" s="7">
        <f t="shared" si="26"/>
        <v>0.86500000000000066</v>
      </c>
      <c r="E186" s="8">
        <f t="shared" si="28"/>
        <v>0.1073182649878389</v>
      </c>
      <c r="F186" s="8">
        <f t="shared" si="27"/>
        <v>8.5950000000000013E-2</v>
      </c>
      <c r="G186" s="18">
        <f t="shared" si="24"/>
        <v>0.33498491616570386</v>
      </c>
    </row>
    <row r="187" spans="3:7" ht="24" thickBot="1" x14ac:dyDescent="0.5">
      <c r="C187" s="6">
        <f t="shared" si="25"/>
        <v>0.12999999999999923</v>
      </c>
      <c r="D187" s="7">
        <f t="shared" si="26"/>
        <v>0.87000000000000066</v>
      </c>
      <c r="E187" s="8">
        <f t="shared" si="28"/>
        <v>0.1077554638985885</v>
      </c>
      <c r="F187" s="8">
        <f t="shared" si="27"/>
        <v>8.610000000000001E-2</v>
      </c>
      <c r="G187" s="18">
        <f t="shared" si="24"/>
        <v>0.33501781435394001</v>
      </c>
    </row>
    <row r="188" spans="3:7" ht="24" thickBot="1" x14ac:dyDescent="0.5">
      <c r="C188" s="6">
        <f t="shared" si="25"/>
        <v>0.12499999999999922</v>
      </c>
      <c r="D188" s="7">
        <f t="shared" si="26"/>
        <v>0.87500000000000067</v>
      </c>
      <c r="E188" s="8">
        <f t="shared" si="28"/>
        <v>0.10819542504191207</v>
      </c>
      <c r="F188" s="8">
        <f t="shared" si="27"/>
        <v>8.6250000000000007E-2</v>
      </c>
      <c r="G188" s="18">
        <f t="shared" si="24"/>
        <v>0.33504189281531732</v>
      </c>
    </row>
    <row r="189" spans="3:7" ht="24" thickBot="1" x14ac:dyDescent="0.5">
      <c r="C189" s="6">
        <f t="shared" si="25"/>
        <v>0.11999999999999922</v>
      </c>
      <c r="D189" s="7">
        <f t="shared" si="26"/>
        <v>0.88000000000000067</v>
      </c>
      <c r="E189" s="8">
        <f t="shared" si="28"/>
        <v>0.1086381148584603</v>
      </c>
      <c r="F189" s="8">
        <f t="shared" si="27"/>
        <v>8.6400000000000018E-2</v>
      </c>
      <c r="G189" s="18">
        <f t="shared" si="24"/>
        <v>0.33505736036955291</v>
      </c>
    </row>
    <row r="190" spans="3:7" ht="24" thickBot="1" x14ac:dyDescent="0.5">
      <c r="C190" s="6">
        <f t="shared" si="25"/>
        <v>0.11499999999999921</v>
      </c>
      <c r="D190" s="7">
        <f t="shared" si="26"/>
        <v>0.88500000000000068</v>
      </c>
      <c r="E190" s="8">
        <f t="shared" si="28"/>
        <v>0.1090835001271962</v>
      </c>
      <c r="F190" s="8">
        <f t="shared" si="27"/>
        <v>8.6550000000000002E-2</v>
      </c>
      <c r="G190" s="18">
        <f t="shared" si="24"/>
        <v>0.33506442273470394</v>
      </c>
    </row>
    <row r="191" spans="3:7" ht="24" thickBot="1" x14ac:dyDescent="0.5">
      <c r="C191" s="6">
        <f t="shared" si="25"/>
        <v>0.10999999999999921</v>
      </c>
      <c r="D191" s="7">
        <f t="shared" si="26"/>
        <v>0.89000000000000068</v>
      </c>
      <c r="E191" s="8">
        <f t="shared" si="28"/>
        <v>0.10953154796678449</v>
      </c>
      <c r="F191" s="8">
        <f t="shared" si="27"/>
        <v>8.6700000000000013E-2</v>
      </c>
      <c r="G191" s="18">
        <f t="shared" si="24"/>
        <v>0.33506328250860939</v>
      </c>
    </row>
    <row r="192" spans="3:7" ht="24" thickBot="1" x14ac:dyDescent="0.5">
      <c r="C192" s="6">
        <f t="shared" si="25"/>
        <v>0.10499999999999921</v>
      </c>
      <c r="D192" s="7">
        <f t="shared" si="26"/>
        <v>0.89500000000000068</v>
      </c>
      <c r="E192" s="8">
        <f t="shared" si="28"/>
        <v>0.10998222583672332</v>
      </c>
      <c r="F192" s="8">
        <f t="shared" si="27"/>
        <v>8.6850000000000011E-2</v>
      </c>
      <c r="G192" s="18">
        <f t="shared" si="24"/>
        <v>0.33505413915432603</v>
      </c>
    </row>
    <row r="193" spans="3:7" ht="24" thickBot="1" x14ac:dyDescent="0.5">
      <c r="C193" s="6">
        <f t="shared" si="25"/>
        <v>9.9999999999999201E-2</v>
      </c>
      <c r="D193" s="7">
        <f t="shared" si="26"/>
        <v>0.90000000000000069</v>
      </c>
      <c r="E193" s="8">
        <f t="shared" si="28"/>
        <v>0.11043550153822825</v>
      </c>
      <c r="F193" s="8">
        <f t="shared" si="27"/>
        <v>8.7000000000000008E-2</v>
      </c>
      <c r="G193" s="18">
        <f t="shared" si="24"/>
        <v>0.33503718898937696</v>
      </c>
    </row>
    <row r="194" spans="3:7" ht="24" thickBot="1" x14ac:dyDescent="0.5">
      <c r="C194" s="6">
        <f t="shared" si="25"/>
        <v>9.4999999999999196E-2</v>
      </c>
      <c r="D194" s="7">
        <f t="shared" si="26"/>
        <v>0.90500000000000069</v>
      </c>
      <c r="E194" s="8">
        <f t="shared" si="28"/>
        <v>0.11089134321487865</v>
      </c>
      <c r="F194" s="8">
        <f t="shared" si="27"/>
        <v>8.7150000000000019E-2</v>
      </c>
      <c r="G194" s="18">
        <f t="shared" si="24"/>
        <v>0.33501262517862151</v>
      </c>
    </row>
    <row r="195" spans="3:7" ht="24" thickBot="1" x14ac:dyDescent="0.5">
      <c r="C195" s="6">
        <f t="shared" si="25"/>
        <v>8.9999999999999192E-2</v>
      </c>
      <c r="D195" s="7">
        <f t="shared" si="26"/>
        <v>0.9100000000000007</v>
      </c>
      <c r="E195" s="8">
        <f t="shared" si="28"/>
        <v>0.1113497193530366</v>
      </c>
      <c r="F195" s="8">
        <f t="shared" si="27"/>
        <v>8.7300000000000003E-2</v>
      </c>
      <c r="G195" s="18">
        <f t="shared" si="24"/>
        <v>0.33498063773056824</v>
      </c>
    </row>
    <row r="196" spans="3:7" ht="24" thickBot="1" x14ac:dyDescent="0.5">
      <c r="C196" s="6">
        <f t="shared" si="25"/>
        <v>8.4999999999999187E-2</v>
      </c>
      <c r="D196" s="7">
        <f t="shared" si="26"/>
        <v>0.9150000000000007</v>
      </c>
      <c r="E196" s="8">
        <f t="shared" si="28"/>
        <v>0.11181059878204756</v>
      </c>
      <c r="F196" s="8">
        <f t="shared" si="27"/>
        <v>8.7450000000000014E-2</v>
      </c>
      <c r="G196" s="18">
        <f t="shared" si="24"/>
        <v>0.33494141349695578</v>
      </c>
    </row>
    <row r="197" spans="3:7" ht="24" thickBot="1" x14ac:dyDescent="0.5">
      <c r="C197" s="6">
        <f t="shared" si="25"/>
        <v>7.9999999999999183E-2</v>
      </c>
      <c r="D197" s="7">
        <f t="shared" si="26"/>
        <v>0.92000000000000071</v>
      </c>
      <c r="E197" s="8">
        <f t="shared" si="28"/>
        <v>0.1122739506742326</v>
      </c>
      <c r="F197" s="8">
        <f t="shared" si="27"/>
        <v>8.7600000000000011E-2</v>
      </c>
      <c r="G197" s="18">
        <f t="shared" si="24"/>
        <v>0.33489513617542438</v>
      </c>
    </row>
    <row r="198" spans="3:7" ht="24" thickBot="1" x14ac:dyDescent="0.5">
      <c r="C198" s="6">
        <f t="shared" si="25"/>
        <v>7.4999999999999178E-2</v>
      </c>
      <c r="D198" s="7">
        <f t="shared" si="26"/>
        <v>0.92500000000000071</v>
      </c>
      <c r="E198" s="8">
        <f t="shared" si="28"/>
        <v>0.11273974454468137</v>
      </c>
      <c r="F198" s="8">
        <f t="shared" si="27"/>
        <v>8.7750000000000009E-2</v>
      </c>
      <c r="G198" s="18">
        <f t="shared" si="24"/>
        <v>0.33484198631511719</v>
      </c>
    </row>
    <row r="199" spans="3:7" ht="24" thickBot="1" x14ac:dyDescent="0.5">
      <c r="C199" s="6">
        <f t="shared" si="25"/>
        <v>6.9999999999999174E-2</v>
      </c>
      <c r="D199" s="7">
        <f t="shared" si="26"/>
        <v>0.93000000000000071</v>
      </c>
      <c r="E199" s="8">
        <f t="shared" si="28"/>
        <v>0.1132079502508548</v>
      </c>
      <c r="F199" s="8">
        <f t="shared" si="27"/>
        <v>8.790000000000002E-2</v>
      </c>
      <c r="G199" s="18">
        <f t="shared" si="24"/>
        <v>0.33478214132504219</v>
      </c>
    </row>
    <row r="200" spans="3:7" ht="24" thickBot="1" x14ac:dyDescent="0.5">
      <c r="C200" s="6">
        <f t="shared" si="25"/>
        <v>6.499999999999917E-2</v>
      </c>
      <c r="D200" s="7">
        <f t="shared" si="26"/>
        <v>0.93500000000000072</v>
      </c>
      <c r="E200" s="8">
        <f t="shared" si="28"/>
        <v>0.11367853799200628</v>
      </c>
      <c r="F200" s="8">
        <f t="shared" si="27"/>
        <v>8.8050000000000003E-2</v>
      </c>
      <c r="G200" s="18">
        <f t="shared" si="24"/>
        <v>0.33471577548504033</v>
      </c>
    </row>
    <row r="201" spans="3:7" ht="24" thickBot="1" x14ac:dyDescent="0.5">
      <c r="C201" s="6">
        <f t="shared" si="25"/>
        <v>5.9999999999999172E-2</v>
      </c>
      <c r="D201" s="7">
        <f t="shared" si="26"/>
        <v>0.94000000000000072</v>
      </c>
      <c r="E201" s="8">
        <f t="shared" si="28"/>
        <v>0.11415147830843023</v>
      </c>
      <c r="F201" s="8">
        <f t="shared" si="27"/>
        <v>8.8200000000000014E-2</v>
      </c>
      <c r="G201" s="18">
        <f t="shared" si="24"/>
        <v>0.33464305995920596</v>
      </c>
    </row>
    <row r="202" spans="3:7" ht="24" thickBot="1" x14ac:dyDescent="0.5">
      <c r="C202" s="6">
        <f t="shared" si="25"/>
        <v>5.4999999999999175E-2</v>
      </c>
      <c r="D202" s="7">
        <f t="shared" si="26"/>
        <v>0.94500000000000073</v>
      </c>
      <c r="E202" s="8">
        <f t="shared" si="28"/>
        <v>0.114626742080546</v>
      </c>
      <c r="F202" s="8">
        <f t="shared" si="27"/>
        <v>8.8350000000000012E-2</v>
      </c>
      <c r="G202" s="18">
        <f t="shared" si="24"/>
        <v>0.33456416281160817</v>
      </c>
    </row>
    <row r="203" spans="3:7" ht="24" thickBot="1" x14ac:dyDescent="0.5">
      <c r="C203" s="6">
        <f t="shared" si="25"/>
        <v>4.9999999999999177E-2</v>
      </c>
      <c r="D203" s="7">
        <f t="shared" si="26"/>
        <v>0.95000000000000073</v>
      </c>
      <c r="E203" s="8">
        <f t="shared" si="28"/>
        <v>0.11510430052782569</v>
      </c>
      <c r="F203" s="8">
        <f t="shared" si="27"/>
        <v>8.8500000000000009E-2</v>
      </c>
      <c r="G203" s="18">
        <f t="shared" si="24"/>
        <v>0.33447924902417431</v>
      </c>
    </row>
    <row r="204" spans="3:7" ht="24" thickBot="1" x14ac:dyDescent="0.5">
      <c r="C204" s="6">
        <f t="shared" si="25"/>
        <v>4.499999999999918E-2</v>
      </c>
      <c r="D204" s="7">
        <f t="shared" si="26"/>
        <v>0.95500000000000074</v>
      </c>
      <c r="E204" s="8">
        <f t="shared" si="28"/>
        <v>0.11558412520757345</v>
      </c>
      <c r="F204" s="8">
        <f t="shared" si="27"/>
        <v>8.865000000000002E-2</v>
      </c>
      <c r="G204" s="18">
        <f t="shared" si="24"/>
        <v>0.33438848051659209</v>
      </c>
    </row>
    <row r="205" spans="3:7" ht="24" thickBot="1" x14ac:dyDescent="0.5">
      <c r="C205" s="6">
        <f t="shared" si="25"/>
        <v>3.9999999999999182E-2</v>
      </c>
      <c r="D205" s="7">
        <f t="shared" si="26"/>
        <v>0.96000000000000074</v>
      </c>
      <c r="E205" s="8">
        <f t="shared" si="28"/>
        <v>0.11606618801356412</v>
      </c>
      <c r="F205" s="8">
        <f t="shared" si="27"/>
        <v>8.8800000000000018E-2</v>
      </c>
      <c r="G205" s="18">
        <f t="shared" si="24"/>
        <v>0.33429201616809917</v>
      </c>
    </row>
    <row r="206" spans="3:7" ht="24" thickBot="1" x14ac:dyDescent="0.5">
      <c r="C206" s="6">
        <f t="shared" si="25"/>
        <v>3.4999999999999185E-2</v>
      </c>
      <c r="D206" s="7">
        <f t="shared" si="26"/>
        <v>0.96500000000000075</v>
      </c>
      <c r="E206" s="8">
        <f t="shared" si="28"/>
        <v>0.11655046117454884</v>
      </c>
      <c r="F206" s="8">
        <f t="shared" si="27"/>
        <v>8.8950000000000015E-2</v>
      </c>
      <c r="G206" s="18">
        <f t="shared" ref="G206:G213" si="29">(F206-$F$9)/E206</f>
        <v>0.33419001184103025</v>
      </c>
    </row>
    <row r="207" spans="3:7" ht="24" thickBot="1" x14ac:dyDescent="0.5">
      <c r="C207" s="6">
        <f t="shared" ref="C207:C213" si="30">C206-0.5%</f>
        <v>2.9999999999999184E-2</v>
      </c>
      <c r="D207" s="7">
        <f t="shared" ref="D207:D213" si="31">D206+0.5%</f>
        <v>0.97000000000000075</v>
      </c>
      <c r="E207" s="8">
        <f t="shared" si="28"/>
        <v>0.1170369172526345</v>
      </c>
      <c r="F207" s="8">
        <f t="shared" ref="F207:F213" si="32">$F$6*C207+$F$7*D207</f>
        <v>8.9100000000000013E-2</v>
      </c>
      <c r="G207" s="18">
        <f t="shared" si="29"/>
        <v>0.33408262040599729</v>
      </c>
    </row>
    <row r="208" spans="3:7" ht="24" thickBot="1" x14ac:dyDescent="0.5">
      <c r="C208" s="6">
        <f t="shared" si="30"/>
        <v>2.4999999999999183E-2</v>
      </c>
      <c r="D208" s="7">
        <f t="shared" si="31"/>
        <v>0.97500000000000075</v>
      </c>
      <c r="E208" s="8">
        <f t="shared" si="28"/>
        <v>0.11752552914154446</v>
      </c>
      <c r="F208" s="8">
        <f t="shared" si="32"/>
        <v>8.925000000000001E-2</v>
      </c>
      <c r="G208" s="18">
        <f t="shared" si="29"/>
        <v>0.33396999176858339</v>
      </c>
    </row>
    <row r="209" spans="3:7" ht="24" thickBot="1" x14ac:dyDescent="0.5">
      <c r="C209" s="6">
        <f t="shared" si="30"/>
        <v>1.9999999999999182E-2</v>
      </c>
      <c r="D209" s="7">
        <f t="shared" si="31"/>
        <v>0.98000000000000076</v>
      </c>
      <c r="E209" s="8">
        <f t="shared" ref="E209:E213" si="33">SQRT(C209^2*$D$6^2+D209^2*$D$7^2+2*D209*C209*$D$6*$D$7*$D$8)</f>
        <v>0.11801627006476699</v>
      </c>
      <c r="F209" s="8">
        <f t="shared" si="32"/>
        <v>8.9400000000000021E-2</v>
      </c>
      <c r="G209" s="18">
        <f t="shared" si="29"/>
        <v>0.33385227289743535</v>
      </c>
    </row>
    <row r="210" spans="3:7" ht="24" thickBot="1" x14ac:dyDescent="0.5">
      <c r="C210" s="6">
        <f t="shared" si="30"/>
        <v>1.4999999999999181E-2</v>
      </c>
      <c r="D210" s="7">
        <f t="shared" si="31"/>
        <v>0.98500000000000076</v>
      </c>
      <c r="E210" s="8">
        <f t="shared" si="33"/>
        <v>0.11850911357359829</v>
      </c>
      <c r="F210" s="8">
        <f t="shared" si="32"/>
        <v>8.9550000000000018E-2</v>
      </c>
      <c r="G210" s="18">
        <f t="shared" si="29"/>
        <v>0.33372960785364481</v>
      </c>
    </row>
    <row r="211" spans="3:7" ht="24" thickBot="1" x14ac:dyDescent="0.5">
      <c r="C211" s="6">
        <f t="shared" si="30"/>
        <v>9.9999999999991797E-3</v>
      </c>
      <c r="D211" s="7">
        <f t="shared" si="31"/>
        <v>0.99000000000000077</v>
      </c>
      <c r="E211" s="8">
        <f t="shared" si="33"/>
        <v>0.11900403354508626</v>
      </c>
      <c r="F211" s="8">
        <f t="shared" si="32"/>
        <v>8.9700000000000016E-2</v>
      </c>
      <c r="G211" s="18">
        <f t="shared" si="29"/>
        <v>0.33360213782131293</v>
      </c>
    </row>
    <row r="212" spans="3:7" ht="24" thickBot="1" x14ac:dyDescent="0.5">
      <c r="C212" s="6">
        <f t="shared" si="30"/>
        <v>4.9999999999991796E-3</v>
      </c>
      <c r="D212" s="7">
        <f t="shared" si="31"/>
        <v>0.99500000000000077</v>
      </c>
      <c r="E212" s="8">
        <f t="shared" si="33"/>
        <v>0.11950100417988134</v>
      </c>
      <c r="F212" s="8">
        <f t="shared" si="32"/>
        <v>8.9850000000000013E-2</v>
      </c>
      <c r="G212" s="18">
        <f t="shared" si="29"/>
        <v>0.33347000113919528</v>
      </c>
    </row>
    <row r="213" spans="3:7" ht="24" thickBot="1" x14ac:dyDescent="0.5">
      <c r="C213" s="6">
        <f t="shared" si="30"/>
        <v>-8.2052420413702976E-16</v>
      </c>
      <c r="D213" s="7">
        <f t="shared" si="31"/>
        <v>1.0000000000000007</v>
      </c>
      <c r="E213" s="8">
        <f t="shared" si="33"/>
        <v>0.12000000000000006</v>
      </c>
      <c r="F213" s="8">
        <f t="shared" si="32"/>
        <v>0.09</v>
      </c>
      <c r="G213" s="18">
        <f t="shared" si="29"/>
        <v>0.33333333333333309</v>
      </c>
    </row>
  </sheetData>
  <mergeCells count="2">
    <mergeCell ref="G5:H5"/>
    <mergeCell ref="I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Com_Risk_Free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Coelho Lavrado</dc:creator>
  <cp:lastModifiedBy>USER</cp:lastModifiedBy>
  <dcterms:created xsi:type="dcterms:W3CDTF">2018-03-22T19:40:25Z</dcterms:created>
  <dcterms:modified xsi:type="dcterms:W3CDTF">2019-02-20T15:43:24Z</dcterms:modified>
</cp:coreProperties>
</file>