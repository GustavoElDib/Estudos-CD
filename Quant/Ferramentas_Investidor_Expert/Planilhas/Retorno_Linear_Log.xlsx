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fael\Desktop\Rafael\blog_new\Log_Linear\"/>
    </mc:Choice>
  </mc:AlternateContent>
  <bookViews>
    <workbookView xWindow="0" yWindow="0" windowWidth="15435" windowHeight="119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2" i="1" l="1"/>
  <c r="S18" i="1"/>
  <c r="S13" i="1"/>
  <c r="G10" i="1" l="1"/>
  <c r="G9" i="1"/>
  <c r="S87" i="1" l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R8" i="1"/>
  <c r="R9" i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7" i="1"/>
  <c r="S6" i="1"/>
  <c r="I6" i="1"/>
  <c r="I5" i="1"/>
  <c r="C8" i="1"/>
  <c r="C9" i="1"/>
  <c r="C10" i="1"/>
  <c r="C7" i="1"/>
  <c r="G5" i="1" s="1" a="1"/>
  <c r="G5" i="1" s="1"/>
  <c r="D8" i="1"/>
  <c r="D9" i="1"/>
  <c r="D10" i="1"/>
  <c r="D7" i="1"/>
  <c r="G6" i="1" s="1"/>
  <c r="S8" i="1" l="1"/>
  <c r="S7" i="1"/>
  <c r="A7" i="1"/>
  <c r="A8" i="1" s="1"/>
  <c r="A9" i="1" s="1"/>
  <c r="A10" i="1" s="1"/>
  <c r="S9" i="1" l="1"/>
  <c r="S10" i="1" l="1"/>
  <c r="S11" i="1" l="1"/>
  <c r="S14" i="1" l="1"/>
  <c r="S15" i="1" l="1"/>
  <c r="S16" i="1" l="1"/>
  <c r="S17" i="1" l="1"/>
  <c r="S19" i="1" l="1"/>
  <c r="S20" i="1" l="1"/>
  <c r="S21" i="1" l="1"/>
  <c r="S22" i="1" l="1"/>
  <c r="S23" i="1" l="1"/>
  <c r="S24" i="1" l="1"/>
  <c r="S25" i="1" l="1"/>
  <c r="S26" i="1" l="1"/>
  <c r="S27" i="1" l="1"/>
  <c r="S28" i="1" l="1"/>
  <c r="S29" i="1" l="1"/>
  <c r="S30" i="1" l="1"/>
  <c r="S31" i="1" l="1"/>
  <c r="S32" i="1" l="1"/>
  <c r="S33" i="1" l="1"/>
  <c r="S34" i="1" l="1"/>
  <c r="S35" i="1" l="1"/>
  <c r="S36" i="1" l="1"/>
  <c r="S37" i="1" l="1"/>
  <c r="S38" i="1" l="1"/>
  <c r="S39" i="1" l="1"/>
  <c r="S40" i="1" l="1"/>
  <c r="S41" i="1" l="1"/>
  <c r="S42" i="1" l="1"/>
  <c r="S43" i="1" l="1"/>
  <c r="S44" i="1" l="1"/>
  <c r="S45" i="1" l="1"/>
  <c r="S46" i="1" l="1"/>
  <c r="S47" i="1" l="1"/>
  <c r="S48" i="1" l="1"/>
  <c r="S49" i="1" l="1"/>
  <c r="S50" i="1" l="1"/>
  <c r="S51" i="1" l="1"/>
  <c r="S52" i="1" l="1"/>
  <c r="S53" i="1" l="1"/>
  <c r="S54" i="1" l="1"/>
  <c r="S55" i="1" l="1"/>
  <c r="S56" i="1" l="1"/>
  <c r="S57" i="1" l="1"/>
  <c r="S58" i="1" l="1"/>
  <c r="S59" i="1" l="1"/>
  <c r="S60" i="1" l="1"/>
  <c r="S61" i="1" l="1"/>
  <c r="S62" i="1" l="1"/>
  <c r="S63" i="1" l="1"/>
  <c r="S64" i="1" l="1"/>
  <c r="S65" i="1" l="1"/>
  <c r="S66" i="1" l="1"/>
  <c r="S67" i="1" l="1"/>
  <c r="S68" i="1" l="1"/>
  <c r="S69" i="1" l="1"/>
  <c r="S70" i="1" l="1"/>
  <c r="S71" i="1" l="1"/>
  <c r="S72" i="1" l="1"/>
  <c r="S73" i="1" l="1"/>
  <c r="S74" i="1" l="1"/>
  <c r="S75" i="1" l="1"/>
  <c r="S76" i="1" l="1"/>
  <c r="S77" i="1" l="1"/>
  <c r="S78" i="1" l="1"/>
  <c r="S79" i="1" l="1"/>
  <c r="S80" i="1" l="1"/>
  <c r="S81" i="1" l="1"/>
  <c r="S82" i="1" l="1"/>
  <c r="S83" i="1" l="1"/>
  <c r="S84" i="1" l="1"/>
  <c r="S86" i="1" l="1"/>
  <c r="S85" i="1"/>
</calcChain>
</file>

<file path=xl/sharedStrings.xml><?xml version="1.0" encoding="utf-8"?>
<sst xmlns="http://schemas.openxmlformats.org/spreadsheetml/2006/main" count="12" uniqueCount="9">
  <si>
    <t>Data</t>
  </si>
  <si>
    <t>Preço</t>
  </si>
  <si>
    <t>Retorno Linear</t>
  </si>
  <si>
    <t>Log Retorno</t>
  </si>
  <si>
    <t>Log Retorno=&gt;Linear</t>
  </si>
  <si>
    <t>Linear=&gt;Log Retorno</t>
  </si>
  <si>
    <t>Retorno Linear Acumulado:</t>
  </si>
  <si>
    <t>Log Retorno Acumulado:</t>
  </si>
  <si>
    <t>Check: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</si>
</sst>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6]d\-mmm;@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6B0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2"/>
    <xf numFmtId="0" fontId="0" fillId="3" borderId="2" xfId="0" applyFill="1" applyBorder="1"/>
    <xf numFmtId="16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2" fillId="4" borderId="0" xfId="0" applyFont="1" applyFill="1" applyBorder="1" applyAlignment="1">
      <alignment horizontal="left"/>
    </xf>
    <xf numFmtId="10" fontId="0" fillId="0" borderId="0" xfId="0" applyNumberFormat="1"/>
    <xf numFmtId="0" fontId="2" fillId="5" borderId="0" xfId="0" applyFont="1" applyFill="1" applyBorder="1" applyAlignment="1">
      <alignment horizontal="left"/>
    </xf>
    <xf numFmtId="10" fontId="0" fillId="5" borderId="0" xfId="1" applyNumberFormat="1" applyFont="1" applyFill="1"/>
    <xf numFmtId="0" fontId="0" fillId="5" borderId="0" xfId="0" applyFill="1"/>
    <xf numFmtId="10" fontId="0" fillId="5" borderId="0" xfId="1" applyNumberFormat="1" applyFont="1" applyFill="1" applyAlignment="1">
      <alignment horizontal="center"/>
    </xf>
    <xf numFmtId="0" fontId="2" fillId="0" borderId="0" xfId="0" applyFont="1" applyAlignment="1"/>
    <xf numFmtId="10" fontId="2" fillId="0" borderId="0" xfId="0" applyNumberFormat="1" applyFont="1" applyAlignment="1"/>
    <xf numFmtId="0" fontId="0" fillId="3" borderId="2" xfId="0" applyFill="1" applyBorder="1" applyAlignment="1">
      <alignment horizontal="center"/>
    </xf>
    <xf numFmtId="165" fontId="0" fillId="0" borderId="0" xfId="0" applyNumberForma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Sheet1!$R$5</c:f>
              <c:strCache>
                <c:ptCount val="1"/>
                <c:pt idx="0">
                  <c:v>Retorno Linear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Sheet1!$R$6:$R$106</c:f>
              <c:numCache>
                <c:formatCode>0.0%</c:formatCode>
                <c:ptCount val="10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-0.45999999999999996</c:v>
                </c:pt>
                <c:pt idx="5">
                  <c:v>-0.44999999999999996</c:v>
                </c:pt>
                <c:pt idx="6">
                  <c:v>-0.43999999999999995</c:v>
                </c:pt>
                <c:pt idx="7">
                  <c:v>-0.42999999999999994</c:v>
                </c:pt>
                <c:pt idx="8">
                  <c:v>-0.41999999999999993</c:v>
                </c:pt>
                <c:pt idx="9">
                  <c:v>-0.40999999999999992</c:v>
                </c:pt>
                <c:pt idx="10">
                  <c:v>-0.39999999999999991</c:v>
                </c:pt>
                <c:pt idx="11">
                  <c:v>-0.3899999999999999</c:v>
                </c:pt>
                <c:pt idx="12">
                  <c:v>-0.37999999999999989</c:v>
                </c:pt>
                <c:pt idx="13">
                  <c:v>-0.36999999999999988</c:v>
                </c:pt>
                <c:pt idx="14">
                  <c:v>-0.35999999999999988</c:v>
                </c:pt>
                <c:pt idx="15">
                  <c:v>-0.34999999999999987</c:v>
                </c:pt>
                <c:pt idx="16">
                  <c:v>-0.33999999999999986</c:v>
                </c:pt>
                <c:pt idx="17">
                  <c:v>-0.32999999999999985</c:v>
                </c:pt>
                <c:pt idx="18">
                  <c:v>-0.31999999999999984</c:v>
                </c:pt>
                <c:pt idx="19">
                  <c:v>-0.30999999999999983</c:v>
                </c:pt>
                <c:pt idx="20">
                  <c:v>-0.29999999999999982</c:v>
                </c:pt>
                <c:pt idx="21">
                  <c:v>-0.28999999999999981</c:v>
                </c:pt>
                <c:pt idx="22">
                  <c:v>-0.2799999999999998</c:v>
                </c:pt>
                <c:pt idx="23">
                  <c:v>-0.2699999999999998</c:v>
                </c:pt>
                <c:pt idx="24">
                  <c:v>-0.25999999999999979</c:v>
                </c:pt>
                <c:pt idx="25">
                  <c:v>-0.24999999999999978</c:v>
                </c:pt>
                <c:pt idx="26">
                  <c:v>-0.23999999999999977</c:v>
                </c:pt>
                <c:pt idx="27">
                  <c:v>-0.22999999999999976</c:v>
                </c:pt>
                <c:pt idx="28">
                  <c:v>-0.21999999999999975</c:v>
                </c:pt>
                <c:pt idx="29">
                  <c:v>-0.20999999999999974</c:v>
                </c:pt>
                <c:pt idx="30">
                  <c:v>-0.19999999999999973</c:v>
                </c:pt>
                <c:pt idx="31">
                  <c:v>-0.18999999999999972</c:v>
                </c:pt>
                <c:pt idx="32">
                  <c:v>-0.17999999999999972</c:v>
                </c:pt>
                <c:pt idx="33">
                  <c:v>-0.16999999999999971</c:v>
                </c:pt>
                <c:pt idx="34">
                  <c:v>-0.1599999999999997</c:v>
                </c:pt>
                <c:pt idx="35">
                  <c:v>-0.14999999999999969</c:v>
                </c:pt>
                <c:pt idx="36">
                  <c:v>-0.13999999999999968</c:v>
                </c:pt>
                <c:pt idx="37">
                  <c:v>-0.12999999999999967</c:v>
                </c:pt>
                <c:pt idx="38">
                  <c:v>-0.11999999999999968</c:v>
                </c:pt>
                <c:pt idx="39">
                  <c:v>-0.10999999999999968</c:v>
                </c:pt>
                <c:pt idx="40">
                  <c:v>-9.9999999999999686E-2</c:v>
                </c:pt>
                <c:pt idx="41">
                  <c:v>-8.9999999999999691E-2</c:v>
                </c:pt>
                <c:pt idx="42">
                  <c:v>-7.9999999999999696E-2</c:v>
                </c:pt>
                <c:pt idx="43">
                  <c:v>-6.9999999999999701E-2</c:v>
                </c:pt>
                <c:pt idx="44">
                  <c:v>-5.9999999999999699E-2</c:v>
                </c:pt>
                <c:pt idx="45">
                  <c:v>-4.9999999999999697E-2</c:v>
                </c:pt>
                <c:pt idx="46">
                  <c:v>-3.9999999999999696E-2</c:v>
                </c:pt>
                <c:pt idx="47">
                  <c:v>-2.9999999999999694E-2</c:v>
                </c:pt>
                <c:pt idx="48">
                  <c:v>-1.9999999999999692E-2</c:v>
                </c:pt>
                <c:pt idx="49">
                  <c:v>-9.9999999999996914E-3</c:v>
                </c:pt>
                <c:pt idx="50">
                  <c:v>3.0878077872387166E-16</c:v>
                </c:pt>
                <c:pt idx="51">
                  <c:v>1.0000000000000309E-2</c:v>
                </c:pt>
                <c:pt idx="52">
                  <c:v>2.0000000000000309E-2</c:v>
                </c:pt>
                <c:pt idx="53">
                  <c:v>3.0000000000000311E-2</c:v>
                </c:pt>
                <c:pt idx="54">
                  <c:v>4.0000000000000313E-2</c:v>
                </c:pt>
                <c:pt idx="55">
                  <c:v>5.0000000000000315E-2</c:v>
                </c:pt>
                <c:pt idx="56">
                  <c:v>6.0000000000000317E-2</c:v>
                </c:pt>
                <c:pt idx="57">
                  <c:v>7.0000000000000312E-2</c:v>
                </c:pt>
                <c:pt idx="58">
                  <c:v>8.0000000000000307E-2</c:v>
                </c:pt>
                <c:pt idx="59">
                  <c:v>9.0000000000000302E-2</c:v>
                </c:pt>
                <c:pt idx="60">
                  <c:v>0.1000000000000003</c:v>
                </c:pt>
                <c:pt idx="61">
                  <c:v>0.11000000000000029</c:v>
                </c:pt>
                <c:pt idx="62">
                  <c:v>0.12000000000000029</c:v>
                </c:pt>
                <c:pt idx="63">
                  <c:v>0.13000000000000028</c:v>
                </c:pt>
                <c:pt idx="64">
                  <c:v>0.14000000000000029</c:v>
                </c:pt>
                <c:pt idx="65">
                  <c:v>0.1500000000000003</c:v>
                </c:pt>
                <c:pt idx="66">
                  <c:v>0.16000000000000031</c:v>
                </c:pt>
                <c:pt idx="67">
                  <c:v>0.17000000000000032</c:v>
                </c:pt>
                <c:pt idx="68">
                  <c:v>0.18000000000000033</c:v>
                </c:pt>
                <c:pt idx="69">
                  <c:v>0.19000000000000034</c:v>
                </c:pt>
                <c:pt idx="70">
                  <c:v>0.20000000000000034</c:v>
                </c:pt>
                <c:pt idx="71">
                  <c:v>0.21000000000000035</c:v>
                </c:pt>
                <c:pt idx="72">
                  <c:v>0.22000000000000036</c:v>
                </c:pt>
                <c:pt idx="73">
                  <c:v>0.23000000000000037</c:v>
                </c:pt>
                <c:pt idx="74">
                  <c:v>0.24000000000000038</c:v>
                </c:pt>
                <c:pt idx="75">
                  <c:v>0.25000000000000039</c:v>
                </c:pt>
                <c:pt idx="76">
                  <c:v>0.2600000000000004</c:v>
                </c:pt>
                <c:pt idx="77">
                  <c:v>0.27000000000000041</c:v>
                </c:pt>
                <c:pt idx="78">
                  <c:v>0.28000000000000042</c:v>
                </c:pt>
                <c:pt idx="79">
                  <c:v>0.29000000000000042</c:v>
                </c:pt>
                <c:pt idx="80">
                  <c:v>0.30000000000000043</c:v>
                </c:pt>
                <c:pt idx="81">
                  <c:v>0.31000000000000044</c:v>
                </c:pt>
                <c:pt idx="82">
                  <c:v>0.32000000000000045</c:v>
                </c:pt>
                <c:pt idx="83">
                  <c:v>0.33000000000000046</c:v>
                </c:pt>
                <c:pt idx="84">
                  <c:v>0.34000000000000047</c:v>
                </c:pt>
                <c:pt idx="85">
                  <c:v>0.35000000000000048</c:v>
                </c:pt>
                <c:pt idx="86">
                  <c:v>0.36000000000000049</c:v>
                </c:pt>
                <c:pt idx="87">
                  <c:v>0.3700000000000005</c:v>
                </c:pt>
                <c:pt idx="88">
                  <c:v>0.3800000000000005</c:v>
                </c:pt>
                <c:pt idx="89">
                  <c:v>0.39000000000000051</c:v>
                </c:pt>
                <c:pt idx="90">
                  <c:v>0.40000000000000052</c:v>
                </c:pt>
                <c:pt idx="91">
                  <c:v>0.41000000000000053</c:v>
                </c:pt>
                <c:pt idx="92">
                  <c:v>0.42000000000000054</c:v>
                </c:pt>
                <c:pt idx="93">
                  <c:v>0.43000000000000055</c:v>
                </c:pt>
                <c:pt idx="94">
                  <c:v>0.44000000000000056</c:v>
                </c:pt>
                <c:pt idx="95">
                  <c:v>0.45000000000000057</c:v>
                </c:pt>
                <c:pt idx="96">
                  <c:v>0.46000000000000058</c:v>
                </c:pt>
                <c:pt idx="97">
                  <c:v>0.47000000000000058</c:v>
                </c:pt>
                <c:pt idx="98">
                  <c:v>0.48000000000000059</c:v>
                </c:pt>
                <c:pt idx="99">
                  <c:v>0.4900000000000006</c:v>
                </c:pt>
                <c:pt idx="100">
                  <c:v>0.50000000000000056</c:v>
                </c:pt>
              </c:numCache>
            </c:numRef>
          </c:cat>
          <c:val>
            <c:numRef>
              <c:f>Sheet1!$R$6:$R$106</c:f>
              <c:numCache>
                <c:formatCode>0.0%</c:formatCode>
                <c:ptCount val="10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-0.45999999999999996</c:v>
                </c:pt>
                <c:pt idx="5">
                  <c:v>-0.44999999999999996</c:v>
                </c:pt>
                <c:pt idx="6">
                  <c:v>-0.43999999999999995</c:v>
                </c:pt>
                <c:pt idx="7">
                  <c:v>-0.42999999999999994</c:v>
                </c:pt>
                <c:pt idx="8">
                  <c:v>-0.41999999999999993</c:v>
                </c:pt>
                <c:pt idx="9">
                  <c:v>-0.40999999999999992</c:v>
                </c:pt>
                <c:pt idx="10">
                  <c:v>-0.39999999999999991</c:v>
                </c:pt>
                <c:pt idx="11">
                  <c:v>-0.3899999999999999</c:v>
                </c:pt>
                <c:pt idx="12">
                  <c:v>-0.37999999999999989</c:v>
                </c:pt>
                <c:pt idx="13">
                  <c:v>-0.36999999999999988</c:v>
                </c:pt>
                <c:pt idx="14">
                  <c:v>-0.35999999999999988</c:v>
                </c:pt>
                <c:pt idx="15">
                  <c:v>-0.34999999999999987</c:v>
                </c:pt>
                <c:pt idx="16">
                  <c:v>-0.33999999999999986</c:v>
                </c:pt>
                <c:pt idx="17">
                  <c:v>-0.32999999999999985</c:v>
                </c:pt>
                <c:pt idx="18">
                  <c:v>-0.31999999999999984</c:v>
                </c:pt>
                <c:pt idx="19">
                  <c:v>-0.30999999999999983</c:v>
                </c:pt>
                <c:pt idx="20">
                  <c:v>-0.29999999999999982</c:v>
                </c:pt>
                <c:pt idx="21">
                  <c:v>-0.28999999999999981</c:v>
                </c:pt>
                <c:pt idx="22">
                  <c:v>-0.2799999999999998</c:v>
                </c:pt>
                <c:pt idx="23">
                  <c:v>-0.2699999999999998</c:v>
                </c:pt>
                <c:pt idx="24">
                  <c:v>-0.25999999999999979</c:v>
                </c:pt>
                <c:pt idx="25">
                  <c:v>-0.24999999999999978</c:v>
                </c:pt>
                <c:pt idx="26">
                  <c:v>-0.23999999999999977</c:v>
                </c:pt>
                <c:pt idx="27">
                  <c:v>-0.22999999999999976</c:v>
                </c:pt>
                <c:pt idx="28">
                  <c:v>-0.21999999999999975</c:v>
                </c:pt>
                <c:pt idx="29">
                  <c:v>-0.20999999999999974</c:v>
                </c:pt>
                <c:pt idx="30">
                  <c:v>-0.19999999999999973</c:v>
                </c:pt>
                <c:pt idx="31">
                  <c:v>-0.18999999999999972</c:v>
                </c:pt>
                <c:pt idx="32">
                  <c:v>-0.17999999999999972</c:v>
                </c:pt>
                <c:pt idx="33">
                  <c:v>-0.16999999999999971</c:v>
                </c:pt>
                <c:pt idx="34">
                  <c:v>-0.1599999999999997</c:v>
                </c:pt>
                <c:pt idx="35">
                  <c:v>-0.14999999999999969</c:v>
                </c:pt>
                <c:pt idx="36">
                  <c:v>-0.13999999999999968</c:v>
                </c:pt>
                <c:pt idx="37">
                  <c:v>-0.12999999999999967</c:v>
                </c:pt>
                <c:pt idx="38">
                  <c:v>-0.11999999999999968</c:v>
                </c:pt>
                <c:pt idx="39">
                  <c:v>-0.10999999999999968</c:v>
                </c:pt>
                <c:pt idx="40">
                  <c:v>-9.9999999999999686E-2</c:v>
                </c:pt>
                <c:pt idx="41">
                  <c:v>-8.9999999999999691E-2</c:v>
                </c:pt>
                <c:pt idx="42">
                  <c:v>-7.9999999999999696E-2</c:v>
                </c:pt>
                <c:pt idx="43">
                  <c:v>-6.9999999999999701E-2</c:v>
                </c:pt>
                <c:pt idx="44">
                  <c:v>-5.9999999999999699E-2</c:v>
                </c:pt>
                <c:pt idx="45">
                  <c:v>-4.9999999999999697E-2</c:v>
                </c:pt>
                <c:pt idx="46">
                  <c:v>-3.9999999999999696E-2</c:v>
                </c:pt>
                <c:pt idx="47">
                  <c:v>-2.9999999999999694E-2</c:v>
                </c:pt>
                <c:pt idx="48">
                  <c:v>-1.9999999999999692E-2</c:v>
                </c:pt>
                <c:pt idx="49">
                  <c:v>-9.9999999999996914E-3</c:v>
                </c:pt>
                <c:pt idx="50">
                  <c:v>3.0878077872387166E-16</c:v>
                </c:pt>
                <c:pt idx="51">
                  <c:v>1.0000000000000309E-2</c:v>
                </c:pt>
                <c:pt idx="52">
                  <c:v>2.0000000000000309E-2</c:v>
                </c:pt>
                <c:pt idx="53">
                  <c:v>3.0000000000000311E-2</c:v>
                </c:pt>
                <c:pt idx="54">
                  <c:v>4.0000000000000313E-2</c:v>
                </c:pt>
                <c:pt idx="55">
                  <c:v>5.0000000000000315E-2</c:v>
                </c:pt>
                <c:pt idx="56">
                  <c:v>6.0000000000000317E-2</c:v>
                </c:pt>
                <c:pt idx="57">
                  <c:v>7.0000000000000312E-2</c:v>
                </c:pt>
                <c:pt idx="58">
                  <c:v>8.0000000000000307E-2</c:v>
                </c:pt>
                <c:pt idx="59">
                  <c:v>9.0000000000000302E-2</c:v>
                </c:pt>
                <c:pt idx="60">
                  <c:v>0.1000000000000003</c:v>
                </c:pt>
                <c:pt idx="61">
                  <c:v>0.11000000000000029</c:v>
                </c:pt>
                <c:pt idx="62">
                  <c:v>0.12000000000000029</c:v>
                </c:pt>
                <c:pt idx="63">
                  <c:v>0.13000000000000028</c:v>
                </c:pt>
                <c:pt idx="64">
                  <c:v>0.14000000000000029</c:v>
                </c:pt>
                <c:pt idx="65">
                  <c:v>0.1500000000000003</c:v>
                </c:pt>
                <c:pt idx="66">
                  <c:v>0.16000000000000031</c:v>
                </c:pt>
                <c:pt idx="67">
                  <c:v>0.17000000000000032</c:v>
                </c:pt>
                <c:pt idx="68">
                  <c:v>0.18000000000000033</c:v>
                </c:pt>
                <c:pt idx="69">
                  <c:v>0.19000000000000034</c:v>
                </c:pt>
                <c:pt idx="70">
                  <c:v>0.20000000000000034</c:v>
                </c:pt>
                <c:pt idx="71">
                  <c:v>0.21000000000000035</c:v>
                </c:pt>
                <c:pt idx="72">
                  <c:v>0.22000000000000036</c:v>
                </c:pt>
                <c:pt idx="73">
                  <c:v>0.23000000000000037</c:v>
                </c:pt>
                <c:pt idx="74">
                  <c:v>0.24000000000000038</c:v>
                </c:pt>
                <c:pt idx="75">
                  <c:v>0.25000000000000039</c:v>
                </c:pt>
                <c:pt idx="76">
                  <c:v>0.2600000000000004</c:v>
                </c:pt>
                <c:pt idx="77">
                  <c:v>0.27000000000000041</c:v>
                </c:pt>
                <c:pt idx="78">
                  <c:v>0.28000000000000042</c:v>
                </c:pt>
                <c:pt idx="79">
                  <c:v>0.29000000000000042</c:v>
                </c:pt>
                <c:pt idx="80">
                  <c:v>0.30000000000000043</c:v>
                </c:pt>
                <c:pt idx="81">
                  <c:v>0.31000000000000044</c:v>
                </c:pt>
                <c:pt idx="82">
                  <c:v>0.32000000000000045</c:v>
                </c:pt>
                <c:pt idx="83">
                  <c:v>0.33000000000000046</c:v>
                </c:pt>
                <c:pt idx="84">
                  <c:v>0.34000000000000047</c:v>
                </c:pt>
                <c:pt idx="85">
                  <c:v>0.35000000000000048</c:v>
                </c:pt>
                <c:pt idx="86">
                  <c:v>0.36000000000000049</c:v>
                </c:pt>
                <c:pt idx="87">
                  <c:v>0.3700000000000005</c:v>
                </c:pt>
                <c:pt idx="88">
                  <c:v>0.3800000000000005</c:v>
                </c:pt>
                <c:pt idx="89">
                  <c:v>0.39000000000000051</c:v>
                </c:pt>
                <c:pt idx="90">
                  <c:v>0.40000000000000052</c:v>
                </c:pt>
                <c:pt idx="91">
                  <c:v>0.41000000000000053</c:v>
                </c:pt>
                <c:pt idx="92">
                  <c:v>0.42000000000000054</c:v>
                </c:pt>
                <c:pt idx="93">
                  <c:v>0.43000000000000055</c:v>
                </c:pt>
                <c:pt idx="94">
                  <c:v>0.44000000000000056</c:v>
                </c:pt>
                <c:pt idx="95">
                  <c:v>0.45000000000000057</c:v>
                </c:pt>
                <c:pt idx="96">
                  <c:v>0.46000000000000058</c:v>
                </c:pt>
                <c:pt idx="97">
                  <c:v>0.47000000000000058</c:v>
                </c:pt>
                <c:pt idx="98">
                  <c:v>0.48000000000000059</c:v>
                </c:pt>
                <c:pt idx="99">
                  <c:v>0.4900000000000006</c:v>
                </c:pt>
                <c:pt idx="100">
                  <c:v>0.50000000000000056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Sheet1!$S$5</c:f>
              <c:strCache>
                <c:ptCount val="1"/>
                <c:pt idx="0">
                  <c:v>Log Retorno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Sheet1!$R$6:$R$106</c:f>
              <c:numCache>
                <c:formatCode>0.0%</c:formatCode>
                <c:ptCount val="101"/>
                <c:pt idx="0">
                  <c:v>-0.5</c:v>
                </c:pt>
                <c:pt idx="1">
                  <c:v>-0.49</c:v>
                </c:pt>
                <c:pt idx="2">
                  <c:v>-0.48</c:v>
                </c:pt>
                <c:pt idx="3">
                  <c:v>-0.47</c:v>
                </c:pt>
                <c:pt idx="4">
                  <c:v>-0.45999999999999996</c:v>
                </c:pt>
                <c:pt idx="5">
                  <c:v>-0.44999999999999996</c:v>
                </c:pt>
                <c:pt idx="6">
                  <c:v>-0.43999999999999995</c:v>
                </c:pt>
                <c:pt idx="7">
                  <c:v>-0.42999999999999994</c:v>
                </c:pt>
                <c:pt idx="8">
                  <c:v>-0.41999999999999993</c:v>
                </c:pt>
                <c:pt idx="9">
                  <c:v>-0.40999999999999992</c:v>
                </c:pt>
                <c:pt idx="10">
                  <c:v>-0.39999999999999991</c:v>
                </c:pt>
                <c:pt idx="11">
                  <c:v>-0.3899999999999999</c:v>
                </c:pt>
                <c:pt idx="12">
                  <c:v>-0.37999999999999989</c:v>
                </c:pt>
                <c:pt idx="13">
                  <c:v>-0.36999999999999988</c:v>
                </c:pt>
                <c:pt idx="14">
                  <c:v>-0.35999999999999988</c:v>
                </c:pt>
                <c:pt idx="15">
                  <c:v>-0.34999999999999987</c:v>
                </c:pt>
                <c:pt idx="16">
                  <c:v>-0.33999999999999986</c:v>
                </c:pt>
                <c:pt idx="17">
                  <c:v>-0.32999999999999985</c:v>
                </c:pt>
                <c:pt idx="18">
                  <c:v>-0.31999999999999984</c:v>
                </c:pt>
                <c:pt idx="19">
                  <c:v>-0.30999999999999983</c:v>
                </c:pt>
                <c:pt idx="20">
                  <c:v>-0.29999999999999982</c:v>
                </c:pt>
                <c:pt idx="21">
                  <c:v>-0.28999999999999981</c:v>
                </c:pt>
                <c:pt idx="22">
                  <c:v>-0.2799999999999998</c:v>
                </c:pt>
                <c:pt idx="23">
                  <c:v>-0.2699999999999998</c:v>
                </c:pt>
                <c:pt idx="24">
                  <c:v>-0.25999999999999979</c:v>
                </c:pt>
                <c:pt idx="25">
                  <c:v>-0.24999999999999978</c:v>
                </c:pt>
                <c:pt idx="26">
                  <c:v>-0.23999999999999977</c:v>
                </c:pt>
                <c:pt idx="27">
                  <c:v>-0.22999999999999976</c:v>
                </c:pt>
                <c:pt idx="28">
                  <c:v>-0.21999999999999975</c:v>
                </c:pt>
                <c:pt idx="29">
                  <c:v>-0.20999999999999974</c:v>
                </c:pt>
                <c:pt idx="30">
                  <c:v>-0.19999999999999973</c:v>
                </c:pt>
                <c:pt idx="31">
                  <c:v>-0.18999999999999972</c:v>
                </c:pt>
                <c:pt idx="32">
                  <c:v>-0.17999999999999972</c:v>
                </c:pt>
                <c:pt idx="33">
                  <c:v>-0.16999999999999971</c:v>
                </c:pt>
                <c:pt idx="34">
                  <c:v>-0.1599999999999997</c:v>
                </c:pt>
                <c:pt idx="35">
                  <c:v>-0.14999999999999969</c:v>
                </c:pt>
                <c:pt idx="36">
                  <c:v>-0.13999999999999968</c:v>
                </c:pt>
                <c:pt idx="37">
                  <c:v>-0.12999999999999967</c:v>
                </c:pt>
                <c:pt idx="38">
                  <c:v>-0.11999999999999968</c:v>
                </c:pt>
                <c:pt idx="39">
                  <c:v>-0.10999999999999968</c:v>
                </c:pt>
                <c:pt idx="40">
                  <c:v>-9.9999999999999686E-2</c:v>
                </c:pt>
                <c:pt idx="41">
                  <c:v>-8.9999999999999691E-2</c:v>
                </c:pt>
                <c:pt idx="42">
                  <c:v>-7.9999999999999696E-2</c:v>
                </c:pt>
                <c:pt idx="43">
                  <c:v>-6.9999999999999701E-2</c:v>
                </c:pt>
                <c:pt idx="44">
                  <c:v>-5.9999999999999699E-2</c:v>
                </c:pt>
                <c:pt idx="45">
                  <c:v>-4.9999999999999697E-2</c:v>
                </c:pt>
                <c:pt idx="46">
                  <c:v>-3.9999999999999696E-2</c:v>
                </c:pt>
                <c:pt idx="47">
                  <c:v>-2.9999999999999694E-2</c:v>
                </c:pt>
                <c:pt idx="48">
                  <c:v>-1.9999999999999692E-2</c:v>
                </c:pt>
                <c:pt idx="49">
                  <c:v>-9.9999999999996914E-3</c:v>
                </c:pt>
                <c:pt idx="50">
                  <c:v>3.0878077872387166E-16</c:v>
                </c:pt>
                <c:pt idx="51">
                  <c:v>1.0000000000000309E-2</c:v>
                </c:pt>
                <c:pt idx="52">
                  <c:v>2.0000000000000309E-2</c:v>
                </c:pt>
                <c:pt idx="53">
                  <c:v>3.0000000000000311E-2</c:v>
                </c:pt>
                <c:pt idx="54">
                  <c:v>4.0000000000000313E-2</c:v>
                </c:pt>
                <c:pt idx="55">
                  <c:v>5.0000000000000315E-2</c:v>
                </c:pt>
                <c:pt idx="56">
                  <c:v>6.0000000000000317E-2</c:v>
                </c:pt>
                <c:pt idx="57">
                  <c:v>7.0000000000000312E-2</c:v>
                </c:pt>
                <c:pt idx="58">
                  <c:v>8.0000000000000307E-2</c:v>
                </c:pt>
                <c:pt idx="59">
                  <c:v>9.0000000000000302E-2</c:v>
                </c:pt>
                <c:pt idx="60">
                  <c:v>0.1000000000000003</c:v>
                </c:pt>
                <c:pt idx="61">
                  <c:v>0.11000000000000029</c:v>
                </c:pt>
                <c:pt idx="62">
                  <c:v>0.12000000000000029</c:v>
                </c:pt>
                <c:pt idx="63">
                  <c:v>0.13000000000000028</c:v>
                </c:pt>
                <c:pt idx="64">
                  <c:v>0.14000000000000029</c:v>
                </c:pt>
                <c:pt idx="65">
                  <c:v>0.1500000000000003</c:v>
                </c:pt>
                <c:pt idx="66">
                  <c:v>0.16000000000000031</c:v>
                </c:pt>
                <c:pt idx="67">
                  <c:v>0.17000000000000032</c:v>
                </c:pt>
                <c:pt idx="68">
                  <c:v>0.18000000000000033</c:v>
                </c:pt>
                <c:pt idx="69">
                  <c:v>0.19000000000000034</c:v>
                </c:pt>
                <c:pt idx="70">
                  <c:v>0.20000000000000034</c:v>
                </c:pt>
                <c:pt idx="71">
                  <c:v>0.21000000000000035</c:v>
                </c:pt>
                <c:pt idx="72">
                  <c:v>0.22000000000000036</c:v>
                </c:pt>
                <c:pt idx="73">
                  <c:v>0.23000000000000037</c:v>
                </c:pt>
                <c:pt idx="74">
                  <c:v>0.24000000000000038</c:v>
                </c:pt>
                <c:pt idx="75">
                  <c:v>0.25000000000000039</c:v>
                </c:pt>
                <c:pt idx="76">
                  <c:v>0.2600000000000004</c:v>
                </c:pt>
                <c:pt idx="77">
                  <c:v>0.27000000000000041</c:v>
                </c:pt>
                <c:pt idx="78">
                  <c:v>0.28000000000000042</c:v>
                </c:pt>
                <c:pt idx="79">
                  <c:v>0.29000000000000042</c:v>
                </c:pt>
                <c:pt idx="80">
                  <c:v>0.30000000000000043</c:v>
                </c:pt>
                <c:pt idx="81">
                  <c:v>0.31000000000000044</c:v>
                </c:pt>
                <c:pt idx="82">
                  <c:v>0.32000000000000045</c:v>
                </c:pt>
                <c:pt idx="83">
                  <c:v>0.33000000000000046</c:v>
                </c:pt>
                <c:pt idx="84">
                  <c:v>0.34000000000000047</c:v>
                </c:pt>
                <c:pt idx="85">
                  <c:v>0.35000000000000048</c:v>
                </c:pt>
                <c:pt idx="86">
                  <c:v>0.36000000000000049</c:v>
                </c:pt>
                <c:pt idx="87">
                  <c:v>0.3700000000000005</c:v>
                </c:pt>
                <c:pt idx="88">
                  <c:v>0.3800000000000005</c:v>
                </c:pt>
                <c:pt idx="89">
                  <c:v>0.39000000000000051</c:v>
                </c:pt>
                <c:pt idx="90">
                  <c:v>0.40000000000000052</c:v>
                </c:pt>
                <c:pt idx="91">
                  <c:v>0.41000000000000053</c:v>
                </c:pt>
                <c:pt idx="92">
                  <c:v>0.42000000000000054</c:v>
                </c:pt>
                <c:pt idx="93">
                  <c:v>0.43000000000000055</c:v>
                </c:pt>
                <c:pt idx="94">
                  <c:v>0.44000000000000056</c:v>
                </c:pt>
                <c:pt idx="95">
                  <c:v>0.45000000000000057</c:v>
                </c:pt>
                <c:pt idx="96">
                  <c:v>0.46000000000000058</c:v>
                </c:pt>
                <c:pt idx="97">
                  <c:v>0.47000000000000058</c:v>
                </c:pt>
                <c:pt idx="98">
                  <c:v>0.48000000000000059</c:v>
                </c:pt>
                <c:pt idx="99">
                  <c:v>0.4900000000000006</c:v>
                </c:pt>
                <c:pt idx="100">
                  <c:v>0.50000000000000056</c:v>
                </c:pt>
              </c:numCache>
            </c:numRef>
          </c:cat>
          <c:val>
            <c:numRef>
              <c:f>Sheet1!$S$6:$S$106</c:f>
              <c:numCache>
                <c:formatCode>0.00%</c:formatCode>
                <c:ptCount val="101"/>
                <c:pt idx="0">
                  <c:v>-0.69314718055994529</c:v>
                </c:pt>
                <c:pt idx="1">
                  <c:v>-0.67334455326376563</c:v>
                </c:pt>
                <c:pt idx="2">
                  <c:v>-0.65392646740666394</c:v>
                </c:pt>
                <c:pt idx="3">
                  <c:v>-0.6348782724359695</c:v>
                </c:pt>
                <c:pt idx="4">
                  <c:v>-0.61618613942381695</c:v>
                </c:pt>
                <c:pt idx="5">
                  <c:v>-0.59783700075562041</c:v>
                </c:pt>
                <c:pt idx="6">
                  <c:v>-0.57981849525294205</c:v>
                </c:pt>
                <c:pt idx="7">
                  <c:v>-0.56211891815354109</c:v>
                </c:pt>
                <c:pt idx="8">
                  <c:v>-0.54472717544167193</c:v>
                </c:pt>
                <c:pt idx="9">
                  <c:v>-0.52763274208237176</c:v>
                </c:pt>
                <c:pt idx="10">
                  <c:v>-0.5108256237659905</c:v>
                </c:pt>
                <c:pt idx="11">
                  <c:v>-0.49429632181477995</c:v>
                </c:pt>
                <c:pt idx="12">
                  <c:v>-0.47803580094299963</c:v>
                </c:pt>
                <c:pt idx="13">
                  <c:v>-0.46203545959655851</c:v>
                </c:pt>
                <c:pt idx="14">
                  <c:v>-0.44628710262841931</c:v>
                </c:pt>
                <c:pt idx="15">
                  <c:v>-0.43078291609245406</c:v>
                </c:pt>
                <c:pt idx="16">
                  <c:v>-0.41551544396166562</c:v>
                </c:pt>
                <c:pt idx="17">
                  <c:v>-0.40047756659712508</c:v>
                </c:pt>
                <c:pt idx="18">
                  <c:v>-0.38566248081198445</c:v>
                </c:pt>
                <c:pt idx="19">
                  <c:v>-0.37106368139083173</c:v>
                </c:pt>
                <c:pt idx="20">
                  <c:v>-0.35667494393873211</c:v>
                </c:pt>
                <c:pt idx="21">
                  <c:v>-0.34249030894677568</c:v>
                </c:pt>
                <c:pt idx="22">
                  <c:v>-0.32850406697203577</c:v>
                </c:pt>
                <c:pt idx="23">
                  <c:v>-0.31471074483969996</c:v>
                </c:pt>
                <c:pt idx="24">
                  <c:v>-0.30110509278392134</c:v>
                </c:pt>
                <c:pt idx="25">
                  <c:v>-0.28768207245178062</c:v>
                </c:pt>
                <c:pt idx="26">
                  <c:v>-0.27443684570175997</c:v>
                </c:pt>
                <c:pt idx="27">
                  <c:v>-0.26136476413440723</c:v>
                </c:pt>
                <c:pt idx="28">
                  <c:v>-0.2484613592984993</c:v>
                </c:pt>
                <c:pt idx="29">
                  <c:v>-0.23572233352106955</c:v>
                </c:pt>
                <c:pt idx="30">
                  <c:v>-0.22314355131420943</c:v>
                </c:pt>
                <c:pt idx="31">
                  <c:v>-0.21072103131565226</c:v>
                </c:pt>
                <c:pt idx="32">
                  <c:v>-0.1984509387238379</c:v>
                </c:pt>
                <c:pt idx="33">
                  <c:v>-0.18632957819149309</c:v>
                </c:pt>
                <c:pt idx="34">
                  <c:v>-0.17435338714477738</c:v>
                </c:pt>
                <c:pt idx="35">
                  <c:v>-0.16251892949777455</c:v>
                </c:pt>
                <c:pt idx="36">
                  <c:v>-0.15082288973458327</c:v>
                </c:pt>
                <c:pt idx="37">
                  <c:v>-0.13926206733350727</c:v>
                </c:pt>
                <c:pt idx="38">
                  <c:v>-0.12783337150988452</c:v>
                </c:pt>
                <c:pt idx="39">
                  <c:v>-0.11653381625595113</c:v>
                </c:pt>
                <c:pt idx="40">
                  <c:v>-0.10536051565782591</c:v>
                </c:pt>
                <c:pt idx="41">
                  <c:v>-9.431067947124093E-2</c:v>
                </c:pt>
                <c:pt idx="42">
                  <c:v>-8.3381608939050778E-2</c:v>
                </c:pt>
                <c:pt idx="43">
                  <c:v>-7.2570692834835138E-2</c:v>
                </c:pt>
                <c:pt idx="44">
                  <c:v>-6.1875403718087175E-2</c:v>
                </c:pt>
                <c:pt idx="45">
                  <c:v>-5.1293294387550231E-2</c:v>
                </c:pt>
                <c:pt idx="46">
                  <c:v>-4.0821994520254819E-2</c:v>
                </c:pt>
                <c:pt idx="47">
                  <c:v>-3.045920748470823E-2</c:v>
                </c:pt>
                <c:pt idx="48">
                  <c:v>-2.0202707317519126E-2</c:v>
                </c:pt>
                <c:pt idx="49">
                  <c:v>-1.0050335853501114E-2</c:v>
                </c:pt>
                <c:pt idx="50">
                  <c:v>2.2204460492503128E-16</c:v>
                </c:pt>
                <c:pt idx="51">
                  <c:v>9.9503308531683123E-3</c:v>
                </c:pt>
                <c:pt idx="52">
                  <c:v>1.9802627296179948E-2</c:v>
                </c:pt>
                <c:pt idx="53">
                  <c:v>2.9558802241544644E-2</c:v>
                </c:pt>
                <c:pt idx="54">
                  <c:v>3.9220713153281545E-2</c:v>
                </c:pt>
                <c:pt idx="55">
                  <c:v>4.8790164169432257E-2</c:v>
                </c:pt>
                <c:pt idx="56">
                  <c:v>5.8268908123976032E-2</c:v>
                </c:pt>
                <c:pt idx="57">
                  <c:v>6.7658648473815072E-2</c:v>
                </c:pt>
                <c:pt idx="58">
                  <c:v>7.6961041136128602E-2</c:v>
                </c:pt>
                <c:pt idx="59">
                  <c:v>8.6177696241052607E-2</c:v>
                </c:pt>
                <c:pt idx="60">
                  <c:v>9.5310179804325143E-2</c:v>
                </c:pt>
                <c:pt idx="61">
                  <c:v>0.10436001532424305</c:v>
                </c:pt>
                <c:pt idx="62">
                  <c:v>0.11332868530700346</c:v>
                </c:pt>
                <c:pt idx="63">
                  <c:v>0.1222176327242495</c:v>
                </c:pt>
                <c:pt idx="64">
                  <c:v>0.13102826240640439</c:v>
                </c:pt>
                <c:pt idx="65">
                  <c:v>0.13976194237515902</c:v>
                </c:pt>
                <c:pt idx="66">
                  <c:v>0.14842000511827358</c:v>
                </c:pt>
                <c:pt idx="67">
                  <c:v>0.15700374880966508</c:v>
                </c:pt>
                <c:pt idx="68">
                  <c:v>0.16551443847757372</c:v>
                </c:pt>
                <c:pt idx="69">
                  <c:v>0.17395330712343834</c:v>
                </c:pt>
                <c:pt idx="70">
                  <c:v>0.18232155679395495</c:v>
                </c:pt>
                <c:pt idx="71">
                  <c:v>0.19062035960865006</c:v>
                </c:pt>
                <c:pt idx="72">
                  <c:v>0.19885085874516553</c:v>
                </c:pt>
                <c:pt idx="73">
                  <c:v>0.20701416938432649</c:v>
                </c:pt>
                <c:pt idx="74">
                  <c:v>0.21511137961694585</c:v>
                </c:pt>
                <c:pt idx="75">
                  <c:v>0.2231435513142101</c:v>
                </c:pt>
                <c:pt idx="76">
                  <c:v>0.231111720963387</c:v>
                </c:pt>
                <c:pt idx="77">
                  <c:v>0.23901690047050028</c:v>
                </c:pt>
                <c:pt idx="78">
                  <c:v>0.24686007793152617</c:v>
                </c:pt>
                <c:pt idx="79">
                  <c:v>0.25464221837358114</c:v>
                </c:pt>
                <c:pt idx="80">
                  <c:v>0.26236426446749145</c:v>
                </c:pt>
                <c:pt idx="81">
                  <c:v>0.27002713721306054</c:v>
                </c:pt>
                <c:pt idx="82">
                  <c:v>0.27763173659827989</c:v>
                </c:pt>
                <c:pt idx="83">
                  <c:v>0.2851789422336628</c:v>
                </c:pt>
                <c:pt idx="84">
                  <c:v>0.29266961396282037</c:v>
                </c:pt>
                <c:pt idx="85">
                  <c:v>0.30010459245033849</c:v>
                </c:pt>
                <c:pt idx="86">
                  <c:v>0.30748469974796105</c:v>
                </c:pt>
                <c:pt idx="87">
                  <c:v>0.31481073984003394</c:v>
                </c:pt>
                <c:pt idx="88">
                  <c:v>0.32208349916911372</c:v>
                </c:pt>
                <c:pt idx="89">
                  <c:v>0.3293037471426008</c:v>
                </c:pt>
                <c:pt idx="90">
                  <c:v>0.33647223662121334</c:v>
                </c:pt>
                <c:pt idx="91">
                  <c:v>0.3435897043900773</c:v>
                </c:pt>
                <c:pt idx="92">
                  <c:v>0.35065687161316977</c:v>
                </c:pt>
                <c:pt idx="93">
                  <c:v>0.35767444427181633</c:v>
                </c:pt>
                <c:pt idx="94">
                  <c:v>0.36464311358790968</c:v>
                </c:pt>
                <c:pt idx="95">
                  <c:v>0.37156355643248345</c:v>
                </c:pt>
                <c:pt idx="96">
                  <c:v>0.37843643572024549</c:v>
                </c:pt>
                <c:pt idx="97">
                  <c:v>0.38526240079064539</c:v>
                </c:pt>
                <c:pt idx="98">
                  <c:v>0.39204208777602412</c:v>
                </c:pt>
                <c:pt idx="99">
                  <c:v>0.39877611995736822</c:v>
                </c:pt>
                <c:pt idx="100">
                  <c:v>0.40546510810816466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798824"/>
        <c:axId val="357797648"/>
      </c:lineChart>
      <c:catAx>
        <c:axId val="357798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Retorno Linear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97648"/>
        <c:crosses val="autoZero"/>
        <c:auto val="1"/>
        <c:lblAlgn val="ctr"/>
        <c:lblOffset val="100"/>
        <c:noMultiLvlLbl val="0"/>
      </c:catAx>
      <c:valAx>
        <c:axId val="35779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Log Retorno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9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192132587200186"/>
          <c:y val="1.6736405349587705E-2"/>
          <c:w val="0.45963730005447434"/>
          <c:h val="6.3930213143173792E-2"/>
        </c:manualLayout>
      </c:layout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704850</xdr:colOff>
      <xdr:row>0</xdr:row>
      <xdr:rowOff>432605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2028825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95250</xdr:colOff>
      <xdr:row>0</xdr:row>
      <xdr:rowOff>0</xdr:rowOff>
    </xdr:from>
    <xdr:to>
      <xdr:col>2</xdr:col>
      <xdr:colOff>581025</xdr:colOff>
      <xdr:row>0</xdr:row>
      <xdr:rowOff>571500</xdr:rowOff>
    </xdr:to>
    <xdr:pic>
      <xdr:nvPicPr>
        <xdr:cNvPr id="4" name="Picture 3" descr="logo_fi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8097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28575</xdr:colOff>
      <xdr:row>11</xdr:row>
      <xdr:rowOff>104775</xdr:rowOff>
    </xdr:from>
    <xdr:to>
      <xdr:col>15</xdr:col>
      <xdr:colOff>457200</xdr:colOff>
      <xdr:row>35</xdr:row>
      <xdr:rowOff>85724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8"/>
  <sheetViews>
    <sheetView showGridLines="0" tabSelected="1" workbookViewId="0">
      <selection activeCell="C28" sqref="C28"/>
    </sheetView>
  </sheetViews>
  <sheetFormatPr defaultRowHeight="15" customHeight="1" x14ac:dyDescent="0.25"/>
  <cols>
    <col min="1" max="1" width="10.7109375" bestFit="1" customWidth="1"/>
    <col min="3" max="3" width="15.42578125" style="1" customWidth="1"/>
    <col min="4" max="4" width="14.140625" bestFit="1" customWidth="1"/>
    <col min="5" max="5" width="4.28515625" customWidth="1"/>
    <col min="6" max="6" width="24.85546875" bestFit="1" customWidth="1"/>
    <col min="18" max="18" width="14.140625" style="1" bestFit="1" customWidth="1"/>
    <col min="19" max="19" width="11.5703125" style="1" bestFit="1" customWidth="1"/>
  </cols>
  <sheetData>
    <row r="1" spans="1:19" ht="48" customHeight="1" thickBot="1" x14ac:dyDescent="0.3">
      <c r="C1" s="4"/>
    </row>
    <row r="2" spans="1:19" s="5" customFormat="1" ht="6.75" customHeight="1" thickBot="1" x14ac:dyDescent="0.3">
      <c r="R2" s="16"/>
      <c r="S2" s="16"/>
    </row>
    <row r="3" spans="1:19" ht="6.75" customHeight="1" x14ac:dyDescent="0.25">
      <c r="C3"/>
    </row>
    <row r="5" spans="1:19" ht="15" customHeight="1" thickBot="1" x14ac:dyDescent="0.3">
      <c r="A5" s="3" t="s">
        <v>0</v>
      </c>
      <c r="B5" s="3" t="s">
        <v>1</v>
      </c>
      <c r="C5" s="3" t="s">
        <v>2</v>
      </c>
      <c r="D5" s="3" t="s">
        <v>3</v>
      </c>
      <c r="F5" s="10" t="s">
        <v>6</v>
      </c>
      <c r="G5" s="11">
        <f t="array" ref="G5">PRODUCT(C7:C10+1)-1</f>
        <v>9.9999999999999867E-2</v>
      </c>
      <c r="H5" s="12" t="s">
        <v>8</v>
      </c>
      <c r="I5" s="13">
        <f>(B10-B6)/B6</f>
        <v>0.1</v>
      </c>
      <c r="R5" s="3" t="s">
        <v>2</v>
      </c>
      <c r="S5" s="3" t="s">
        <v>3</v>
      </c>
    </row>
    <row r="6" spans="1:19" ht="15" customHeight="1" thickTop="1" x14ac:dyDescent="0.25">
      <c r="A6" s="6">
        <v>42858</v>
      </c>
      <c r="B6" s="1">
        <v>100</v>
      </c>
      <c r="D6" s="1"/>
      <c r="F6" s="8" t="s">
        <v>7</v>
      </c>
      <c r="G6" s="9">
        <f>SUM(D7:D10)</f>
        <v>9.5310179804324893E-2</v>
      </c>
      <c r="H6" t="s">
        <v>8</v>
      </c>
      <c r="I6" s="7">
        <f>LN(B10/B6)</f>
        <v>9.5310179804324935E-2</v>
      </c>
      <c r="R6" s="17">
        <v>-0.5</v>
      </c>
      <c r="S6" s="7">
        <f>LN(R6+1)</f>
        <v>-0.69314718055994529</v>
      </c>
    </row>
    <row r="7" spans="1:19" ht="15" customHeight="1" x14ac:dyDescent="0.25">
      <c r="A7" s="6">
        <f>A6+1</f>
        <v>42859</v>
      </c>
      <c r="B7" s="1">
        <v>102</v>
      </c>
      <c r="C7" s="2">
        <f>(B7-B6)/B6</f>
        <v>0.02</v>
      </c>
      <c r="D7" s="2">
        <f>LN(B7/B6)</f>
        <v>1.980262729617973E-2</v>
      </c>
      <c r="R7" s="17">
        <f>R6+1%</f>
        <v>-0.49</v>
      </c>
      <c r="S7" s="7">
        <f t="shared" ref="S7:S70" si="0">LN(R7+1)</f>
        <v>-0.67334455326376563</v>
      </c>
    </row>
    <row r="8" spans="1:19" ht="15" customHeight="1" x14ac:dyDescent="0.25">
      <c r="A8" s="6">
        <f t="shared" ref="A8:A10" si="1">A7+1</f>
        <v>42860</v>
      </c>
      <c r="B8" s="1">
        <v>106</v>
      </c>
      <c r="C8" s="2">
        <f t="shared" ref="C8:C10" si="2">(B8-B7)/B7</f>
        <v>3.9215686274509803E-2</v>
      </c>
      <c r="D8" s="2">
        <f t="shared" ref="D8:D10" si="3">LN(B8/B7)</f>
        <v>3.8466280827796143E-2</v>
      </c>
      <c r="R8" s="17">
        <f t="shared" ref="R8:R71" si="4">R7+1%</f>
        <v>-0.48</v>
      </c>
      <c r="S8" s="7">
        <f t="shared" si="0"/>
        <v>-0.65392646740666394</v>
      </c>
    </row>
    <row r="9" spans="1:19" ht="15" customHeight="1" x14ac:dyDescent="0.25">
      <c r="A9" s="6">
        <f t="shared" si="1"/>
        <v>42861</v>
      </c>
      <c r="B9" s="1">
        <v>118</v>
      </c>
      <c r="C9" s="2">
        <f t="shared" si="2"/>
        <v>0.11320754716981132</v>
      </c>
      <c r="D9" s="2">
        <f t="shared" si="3"/>
        <v>0.10724553035359759</v>
      </c>
      <c r="F9" s="14" t="s">
        <v>4</v>
      </c>
      <c r="G9" s="15">
        <f>EXP(G6)-1</f>
        <v>0.10000000000000009</v>
      </c>
      <c r="R9" s="17">
        <f t="shared" si="4"/>
        <v>-0.47</v>
      </c>
      <c r="S9" s="7">
        <f t="shared" si="0"/>
        <v>-0.6348782724359695</v>
      </c>
    </row>
    <row r="10" spans="1:19" ht="15" customHeight="1" x14ac:dyDescent="0.25">
      <c r="A10" s="6">
        <f t="shared" si="1"/>
        <v>42862</v>
      </c>
      <c r="B10" s="1">
        <v>110</v>
      </c>
      <c r="C10" s="2">
        <f t="shared" si="2"/>
        <v>-6.7796610169491525E-2</v>
      </c>
      <c r="D10" s="2">
        <f t="shared" si="3"/>
        <v>-7.0204258673248573E-2</v>
      </c>
      <c r="F10" s="14" t="s">
        <v>5</v>
      </c>
      <c r="G10" s="15">
        <f>LN(1+G5)</f>
        <v>9.5310179804324741E-2</v>
      </c>
      <c r="R10" s="17">
        <f t="shared" si="4"/>
        <v>-0.45999999999999996</v>
      </c>
      <c r="S10" s="7">
        <f t="shared" si="0"/>
        <v>-0.61618613942381695</v>
      </c>
    </row>
    <row r="11" spans="1:19" ht="15" customHeight="1" x14ac:dyDescent="0.25">
      <c r="R11" s="17">
        <f t="shared" si="4"/>
        <v>-0.44999999999999996</v>
      </c>
      <c r="S11" s="7">
        <f t="shared" si="0"/>
        <v>-0.59783700075562041</v>
      </c>
    </row>
    <row r="12" spans="1:19" ht="15" customHeight="1" x14ac:dyDescent="0.25">
      <c r="R12" s="17">
        <f t="shared" si="4"/>
        <v>-0.43999999999999995</v>
      </c>
      <c r="S12" s="7">
        <f>LN(R12+1)</f>
        <v>-0.57981849525294205</v>
      </c>
    </row>
    <row r="13" spans="1:19" ht="15" customHeight="1" x14ac:dyDescent="0.25">
      <c r="R13" s="17">
        <f t="shared" si="4"/>
        <v>-0.42999999999999994</v>
      </c>
      <c r="S13" s="7">
        <f>LN(R13+1)</f>
        <v>-0.56211891815354109</v>
      </c>
    </row>
    <row r="14" spans="1:19" ht="15" customHeight="1" x14ac:dyDescent="0.25">
      <c r="R14" s="17">
        <f t="shared" si="4"/>
        <v>-0.41999999999999993</v>
      </c>
      <c r="S14" s="7">
        <f t="shared" si="0"/>
        <v>-0.54472717544167193</v>
      </c>
    </row>
    <row r="15" spans="1:19" ht="15" customHeight="1" x14ac:dyDescent="0.25">
      <c r="R15" s="17">
        <f t="shared" si="4"/>
        <v>-0.40999999999999992</v>
      </c>
      <c r="S15" s="7">
        <f t="shared" si="0"/>
        <v>-0.52763274208237176</v>
      </c>
    </row>
    <row r="16" spans="1:19" ht="15" customHeight="1" x14ac:dyDescent="0.25">
      <c r="R16" s="17">
        <f t="shared" si="4"/>
        <v>-0.39999999999999991</v>
      </c>
      <c r="S16" s="7">
        <f t="shared" si="0"/>
        <v>-0.5108256237659905</v>
      </c>
    </row>
    <row r="17" spans="18:19" ht="15" customHeight="1" x14ac:dyDescent="0.25">
      <c r="R17" s="17">
        <f t="shared" si="4"/>
        <v>-0.3899999999999999</v>
      </c>
      <c r="S17" s="7">
        <f t="shared" si="0"/>
        <v>-0.49429632181477995</v>
      </c>
    </row>
    <row r="18" spans="18:19" ht="15" customHeight="1" x14ac:dyDescent="0.25">
      <c r="R18" s="17">
        <f t="shared" si="4"/>
        <v>-0.37999999999999989</v>
      </c>
      <c r="S18" s="7">
        <f>LN(R18+1)</f>
        <v>-0.47803580094299963</v>
      </c>
    </row>
    <row r="19" spans="18:19" ht="15" customHeight="1" x14ac:dyDescent="0.25">
      <c r="R19" s="17">
        <f t="shared" si="4"/>
        <v>-0.36999999999999988</v>
      </c>
      <c r="S19" s="7">
        <f t="shared" si="0"/>
        <v>-0.46203545959655851</v>
      </c>
    </row>
    <row r="20" spans="18:19" ht="15" customHeight="1" x14ac:dyDescent="0.25">
      <c r="R20" s="17">
        <f t="shared" si="4"/>
        <v>-0.35999999999999988</v>
      </c>
      <c r="S20" s="7">
        <f t="shared" si="0"/>
        <v>-0.44628710262841931</v>
      </c>
    </row>
    <row r="21" spans="18:19" ht="15" customHeight="1" x14ac:dyDescent="0.25">
      <c r="R21" s="17">
        <f t="shared" si="4"/>
        <v>-0.34999999999999987</v>
      </c>
      <c r="S21" s="7">
        <f t="shared" si="0"/>
        <v>-0.43078291609245406</v>
      </c>
    </row>
    <row r="22" spans="18:19" ht="15" customHeight="1" x14ac:dyDescent="0.25">
      <c r="R22" s="17">
        <f t="shared" si="4"/>
        <v>-0.33999999999999986</v>
      </c>
      <c r="S22" s="7">
        <f t="shared" si="0"/>
        <v>-0.41551544396166562</v>
      </c>
    </row>
    <row r="23" spans="18:19" ht="15" customHeight="1" x14ac:dyDescent="0.25">
      <c r="R23" s="17">
        <f t="shared" si="4"/>
        <v>-0.32999999999999985</v>
      </c>
      <c r="S23" s="7">
        <f t="shared" si="0"/>
        <v>-0.40047756659712508</v>
      </c>
    </row>
    <row r="24" spans="18:19" ht="15" customHeight="1" x14ac:dyDescent="0.25">
      <c r="R24" s="17">
        <f t="shared" si="4"/>
        <v>-0.31999999999999984</v>
      </c>
      <c r="S24" s="7">
        <f t="shared" si="0"/>
        <v>-0.38566248081198445</v>
      </c>
    </row>
    <row r="25" spans="18:19" ht="15" customHeight="1" x14ac:dyDescent="0.25">
      <c r="R25" s="17">
        <f t="shared" si="4"/>
        <v>-0.30999999999999983</v>
      </c>
      <c r="S25" s="7">
        <f t="shared" si="0"/>
        <v>-0.37106368139083173</v>
      </c>
    </row>
    <row r="26" spans="18:19" ht="15" customHeight="1" x14ac:dyDescent="0.25">
      <c r="R26" s="17">
        <f t="shared" si="4"/>
        <v>-0.29999999999999982</v>
      </c>
      <c r="S26" s="7">
        <f t="shared" si="0"/>
        <v>-0.35667494393873211</v>
      </c>
    </row>
    <row r="27" spans="18:19" ht="15" customHeight="1" x14ac:dyDescent="0.25">
      <c r="R27" s="17">
        <f t="shared" si="4"/>
        <v>-0.28999999999999981</v>
      </c>
      <c r="S27" s="7">
        <f t="shared" si="0"/>
        <v>-0.34249030894677568</v>
      </c>
    </row>
    <row r="28" spans="18:19" ht="15" customHeight="1" x14ac:dyDescent="0.25">
      <c r="R28" s="17">
        <f t="shared" si="4"/>
        <v>-0.2799999999999998</v>
      </c>
      <c r="S28" s="7">
        <f t="shared" si="0"/>
        <v>-0.32850406697203577</v>
      </c>
    </row>
    <row r="29" spans="18:19" ht="15" customHeight="1" x14ac:dyDescent="0.25">
      <c r="R29" s="17">
        <f t="shared" si="4"/>
        <v>-0.2699999999999998</v>
      </c>
      <c r="S29" s="7">
        <f t="shared" si="0"/>
        <v>-0.31471074483969996</v>
      </c>
    </row>
    <row r="30" spans="18:19" ht="15" customHeight="1" x14ac:dyDescent="0.25">
      <c r="R30" s="17">
        <f t="shared" si="4"/>
        <v>-0.25999999999999979</v>
      </c>
      <c r="S30" s="7">
        <f t="shared" si="0"/>
        <v>-0.30110509278392134</v>
      </c>
    </row>
    <row r="31" spans="18:19" ht="15" customHeight="1" x14ac:dyDescent="0.25">
      <c r="R31" s="17">
        <f t="shared" si="4"/>
        <v>-0.24999999999999978</v>
      </c>
      <c r="S31" s="7">
        <f t="shared" si="0"/>
        <v>-0.28768207245178062</v>
      </c>
    </row>
    <row r="32" spans="18:19" ht="15" customHeight="1" x14ac:dyDescent="0.25">
      <c r="R32" s="17">
        <f t="shared" si="4"/>
        <v>-0.23999999999999977</v>
      </c>
      <c r="S32" s="7">
        <f t="shared" si="0"/>
        <v>-0.27443684570175997</v>
      </c>
    </row>
    <row r="33" spans="18:19" ht="15" customHeight="1" x14ac:dyDescent="0.25">
      <c r="R33" s="17">
        <f t="shared" si="4"/>
        <v>-0.22999999999999976</v>
      </c>
      <c r="S33" s="7">
        <f t="shared" si="0"/>
        <v>-0.26136476413440723</v>
      </c>
    </row>
    <row r="34" spans="18:19" ht="15" customHeight="1" x14ac:dyDescent="0.25">
      <c r="R34" s="17">
        <f t="shared" si="4"/>
        <v>-0.21999999999999975</v>
      </c>
      <c r="S34" s="7">
        <f t="shared" si="0"/>
        <v>-0.2484613592984993</v>
      </c>
    </row>
    <row r="35" spans="18:19" ht="15" customHeight="1" x14ac:dyDescent="0.25">
      <c r="R35" s="17">
        <f t="shared" si="4"/>
        <v>-0.20999999999999974</v>
      </c>
      <c r="S35" s="7">
        <f t="shared" si="0"/>
        <v>-0.23572233352106955</v>
      </c>
    </row>
    <row r="36" spans="18:19" ht="15" customHeight="1" x14ac:dyDescent="0.25">
      <c r="R36" s="17">
        <f t="shared" si="4"/>
        <v>-0.19999999999999973</v>
      </c>
      <c r="S36" s="7">
        <f t="shared" si="0"/>
        <v>-0.22314355131420943</v>
      </c>
    </row>
    <row r="37" spans="18:19" ht="15" customHeight="1" x14ac:dyDescent="0.25">
      <c r="R37" s="17">
        <f t="shared" si="4"/>
        <v>-0.18999999999999972</v>
      </c>
      <c r="S37" s="7">
        <f t="shared" si="0"/>
        <v>-0.21072103131565226</v>
      </c>
    </row>
    <row r="38" spans="18:19" ht="15" customHeight="1" x14ac:dyDescent="0.25">
      <c r="R38" s="17">
        <f t="shared" si="4"/>
        <v>-0.17999999999999972</v>
      </c>
      <c r="S38" s="7">
        <f t="shared" si="0"/>
        <v>-0.1984509387238379</v>
      </c>
    </row>
    <row r="39" spans="18:19" ht="15" customHeight="1" x14ac:dyDescent="0.25">
      <c r="R39" s="17">
        <f t="shared" si="4"/>
        <v>-0.16999999999999971</v>
      </c>
      <c r="S39" s="7">
        <f t="shared" si="0"/>
        <v>-0.18632957819149309</v>
      </c>
    </row>
    <row r="40" spans="18:19" ht="15" customHeight="1" x14ac:dyDescent="0.25">
      <c r="R40" s="17">
        <f t="shared" si="4"/>
        <v>-0.1599999999999997</v>
      </c>
      <c r="S40" s="7">
        <f t="shared" si="0"/>
        <v>-0.17435338714477738</v>
      </c>
    </row>
    <row r="41" spans="18:19" ht="15" customHeight="1" x14ac:dyDescent="0.25">
      <c r="R41" s="17">
        <f t="shared" si="4"/>
        <v>-0.14999999999999969</v>
      </c>
      <c r="S41" s="7">
        <f t="shared" si="0"/>
        <v>-0.16251892949777455</v>
      </c>
    </row>
    <row r="42" spans="18:19" ht="15" customHeight="1" x14ac:dyDescent="0.25">
      <c r="R42" s="17">
        <f t="shared" si="4"/>
        <v>-0.13999999999999968</v>
      </c>
      <c r="S42" s="7">
        <f t="shared" si="0"/>
        <v>-0.15082288973458327</v>
      </c>
    </row>
    <row r="43" spans="18:19" ht="15" customHeight="1" x14ac:dyDescent="0.25">
      <c r="R43" s="17">
        <f t="shared" si="4"/>
        <v>-0.12999999999999967</v>
      </c>
      <c r="S43" s="7">
        <f t="shared" si="0"/>
        <v>-0.13926206733350727</v>
      </c>
    </row>
    <row r="44" spans="18:19" ht="15" customHeight="1" x14ac:dyDescent="0.25">
      <c r="R44" s="17">
        <f t="shared" si="4"/>
        <v>-0.11999999999999968</v>
      </c>
      <c r="S44" s="7">
        <f t="shared" si="0"/>
        <v>-0.12783337150988452</v>
      </c>
    </row>
    <row r="45" spans="18:19" ht="15" customHeight="1" x14ac:dyDescent="0.25">
      <c r="R45" s="17">
        <f t="shared" si="4"/>
        <v>-0.10999999999999968</v>
      </c>
      <c r="S45" s="7">
        <f t="shared" si="0"/>
        <v>-0.11653381625595113</v>
      </c>
    </row>
    <row r="46" spans="18:19" ht="15" customHeight="1" x14ac:dyDescent="0.25">
      <c r="R46" s="17">
        <f t="shared" si="4"/>
        <v>-9.9999999999999686E-2</v>
      </c>
      <c r="S46" s="7">
        <f t="shared" si="0"/>
        <v>-0.10536051565782591</v>
      </c>
    </row>
    <row r="47" spans="18:19" ht="15" customHeight="1" x14ac:dyDescent="0.25">
      <c r="R47" s="17">
        <f t="shared" si="4"/>
        <v>-8.9999999999999691E-2</v>
      </c>
      <c r="S47" s="7">
        <f t="shared" si="0"/>
        <v>-9.431067947124093E-2</v>
      </c>
    </row>
    <row r="48" spans="18:19" ht="15" customHeight="1" x14ac:dyDescent="0.25">
      <c r="R48" s="17">
        <f t="shared" si="4"/>
        <v>-7.9999999999999696E-2</v>
      </c>
      <c r="S48" s="7">
        <f t="shared" si="0"/>
        <v>-8.3381608939050778E-2</v>
      </c>
    </row>
    <row r="49" spans="18:19" ht="15" customHeight="1" x14ac:dyDescent="0.25">
      <c r="R49" s="17">
        <f t="shared" si="4"/>
        <v>-6.9999999999999701E-2</v>
      </c>
      <c r="S49" s="7">
        <f t="shared" si="0"/>
        <v>-7.2570692834835138E-2</v>
      </c>
    </row>
    <row r="50" spans="18:19" ht="15" customHeight="1" x14ac:dyDescent="0.25">
      <c r="R50" s="17">
        <f t="shared" si="4"/>
        <v>-5.9999999999999699E-2</v>
      </c>
      <c r="S50" s="7">
        <f t="shared" si="0"/>
        <v>-6.1875403718087175E-2</v>
      </c>
    </row>
    <row r="51" spans="18:19" ht="15" customHeight="1" x14ac:dyDescent="0.25">
      <c r="R51" s="17">
        <f t="shared" si="4"/>
        <v>-4.9999999999999697E-2</v>
      </c>
      <c r="S51" s="7">
        <f t="shared" si="0"/>
        <v>-5.1293294387550231E-2</v>
      </c>
    </row>
    <row r="52" spans="18:19" ht="15" customHeight="1" x14ac:dyDescent="0.25">
      <c r="R52" s="17">
        <f t="shared" si="4"/>
        <v>-3.9999999999999696E-2</v>
      </c>
      <c r="S52" s="7">
        <f t="shared" si="0"/>
        <v>-4.0821994520254819E-2</v>
      </c>
    </row>
    <row r="53" spans="18:19" ht="15" customHeight="1" x14ac:dyDescent="0.25">
      <c r="R53" s="17">
        <f t="shared" si="4"/>
        <v>-2.9999999999999694E-2</v>
      </c>
      <c r="S53" s="7">
        <f t="shared" si="0"/>
        <v>-3.045920748470823E-2</v>
      </c>
    </row>
    <row r="54" spans="18:19" ht="15" customHeight="1" x14ac:dyDescent="0.25">
      <c r="R54" s="17">
        <f t="shared" si="4"/>
        <v>-1.9999999999999692E-2</v>
      </c>
      <c r="S54" s="7">
        <f t="shared" si="0"/>
        <v>-2.0202707317519126E-2</v>
      </c>
    </row>
    <row r="55" spans="18:19" ht="15" customHeight="1" x14ac:dyDescent="0.25">
      <c r="R55" s="17">
        <f t="shared" si="4"/>
        <v>-9.9999999999996914E-3</v>
      </c>
      <c r="S55" s="7">
        <f t="shared" si="0"/>
        <v>-1.0050335853501114E-2</v>
      </c>
    </row>
    <row r="56" spans="18:19" ht="15" customHeight="1" x14ac:dyDescent="0.25">
      <c r="R56" s="17">
        <f t="shared" si="4"/>
        <v>3.0878077872387166E-16</v>
      </c>
      <c r="S56" s="7">
        <f t="shared" si="0"/>
        <v>2.2204460492503128E-16</v>
      </c>
    </row>
    <row r="57" spans="18:19" ht="15" customHeight="1" x14ac:dyDescent="0.25">
      <c r="R57" s="17">
        <f t="shared" si="4"/>
        <v>1.0000000000000309E-2</v>
      </c>
      <c r="S57" s="7">
        <f t="shared" si="0"/>
        <v>9.9503308531683123E-3</v>
      </c>
    </row>
    <row r="58" spans="18:19" ht="15" customHeight="1" x14ac:dyDescent="0.25">
      <c r="R58" s="17">
        <f t="shared" si="4"/>
        <v>2.0000000000000309E-2</v>
      </c>
      <c r="S58" s="7">
        <f t="shared" si="0"/>
        <v>1.9802627296179948E-2</v>
      </c>
    </row>
    <row r="59" spans="18:19" ht="15" customHeight="1" x14ac:dyDescent="0.25">
      <c r="R59" s="17">
        <f t="shared" si="4"/>
        <v>3.0000000000000311E-2</v>
      </c>
      <c r="S59" s="7">
        <f t="shared" si="0"/>
        <v>2.9558802241544644E-2</v>
      </c>
    </row>
    <row r="60" spans="18:19" ht="15" customHeight="1" x14ac:dyDescent="0.25">
      <c r="R60" s="17">
        <f t="shared" si="4"/>
        <v>4.0000000000000313E-2</v>
      </c>
      <c r="S60" s="7">
        <f t="shared" si="0"/>
        <v>3.9220713153281545E-2</v>
      </c>
    </row>
    <row r="61" spans="18:19" ht="15" customHeight="1" x14ac:dyDescent="0.25">
      <c r="R61" s="17">
        <f t="shared" si="4"/>
        <v>5.0000000000000315E-2</v>
      </c>
      <c r="S61" s="7">
        <f t="shared" si="0"/>
        <v>4.8790164169432257E-2</v>
      </c>
    </row>
    <row r="62" spans="18:19" ht="15" customHeight="1" x14ac:dyDescent="0.25">
      <c r="R62" s="17">
        <f t="shared" si="4"/>
        <v>6.0000000000000317E-2</v>
      </c>
      <c r="S62" s="7">
        <f t="shared" si="0"/>
        <v>5.8268908123976032E-2</v>
      </c>
    </row>
    <row r="63" spans="18:19" ht="15" customHeight="1" x14ac:dyDescent="0.25">
      <c r="R63" s="17">
        <f t="shared" si="4"/>
        <v>7.0000000000000312E-2</v>
      </c>
      <c r="S63" s="7">
        <f t="shared" si="0"/>
        <v>6.7658648473815072E-2</v>
      </c>
    </row>
    <row r="64" spans="18:19" ht="15" customHeight="1" x14ac:dyDescent="0.25">
      <c r="R64" s="17">
        <f t="shared" si="4"/>
        <v>8.0000000000000307E-2</v>
      </c>
      <c r="S64" s="7">
        <f t="shared" si="0"/>
        <v>7.6961041136128602E-2</v>
      </c>
    </row>
    <row r="65" spans="18:19" ht="15" customHeight="1" x14ac:dyDescent="0.25">
      <c r="R65" s="17">
        <f t="shared" si="4"/>
        <v>9.0000000000000302E-2</v>
      </c>
      <c r="S65" s="7">
        <f t="shared" si="0"/>
        <v>8.6177696241052607E-2</v>
      </c>
    </row>
    <row r="66" spans="18:19" ht="15" customHeight="1" x14ac:dyDescent="0.25">
      <c r="R66" s="17">
        <f t="shared" si="4"/>
        <v>0.1000000000000003</v>
      </c>
      <c r="S66" s="7">
        <f t="shared" si="0"/>
        <v>9.5310179804325143E-2</v>
      </c>
    </row>
    <row r="67" spans="18:19" ht="15" customHeight="1" x14ac:dyDescent="0.25">
      <c r="R67" s="17">
        <f t="shared" si="4"/>
        <v>0.11000000000000029</v>
      </c>
      <c r="S67" s="7">
        <f t="shared" si="0"/>
        <v>0.10436001532424305</v>
      </c>
    </row>
    <row r="68" spans="18:19" ht="15" customHeight="1" x14ac:dyDescent="0.25">
      <c r="R68" s="17">
        <f t="shared" si="4"/>
        <v>0.12000000000000029</v>
      </c>
      <c r="S68" s="7">
        <f t="shared" si="0"/>
        <v>0.11332868530700346</v>
      </c>
    </row>
    <row r="69" spans="18:19" ht="15" customHeight="1" x14ac:dyDescent="0.25">
      <c r="R69" s="17">
        <f t="shared" si="4"/>
        <v>0.13000000000000028</v>
      </c>
      <c r="S69" s="7">
        <f t="shared" si="0"/>
        <v>0.1222176327242495</v>
      </c>
    </row>
    <row r="70" spans="18:19" ht="15" customHeight="1" x14ac:dyDescent="0.25">
      <c r="R70" s="17">
        <f t="shared" si="4"/>
        <v>0.14000000000000029</v>
      </c>
      <c r="S70" s="7">
        <f t="shared" si="0"/>
        <v>0.13102826240640439</v>
      </c>
    </row>
    <row r="71" spans="18:19" ht="15" customHeight="1" x14ac:dyDescent="0.25">
      <c r="R71" s="17">
        <f t="shared" si="4"/>
        <v>0.1500000000000003</v>
      </c>
      <c r="S71" s="7">
        <f t="shared" ref="S71:S106" si="5">LN(R71+1)</f>
        <v>0.13976194237515902</v>
      </c>
    </row>
    <row r="72" spans="18:19" ht="15" customHeight="1" x14ac:dyDescent="0.25">
      <c r="R72" s="17">
        <f t="shared" ref="R72:R106" si="6">R71+1%</f>
        <v>0.16000000000000031</v>
      </c>
      <c r="S72" s="7">
        <f t="shared" si="5"/>
        <v>0.14842000511827358</v>
      </c>
    </row>
    <row r="73" spans="18:19" ht="15" customHeight="1" x14ac:dyDescent="0.25">
      <c r="R73" s="17">
        <f t="shared" si="6"/>
        <v>0.17000000000000032</v>
      </c>
      <c r="S73" s="7">
        <f t="shared" si="5"/>
        <v>0.15700374880966508</v>
      </c>
    </row>
    <row r="74" spans="18:19" ht="15" customHeight="1" x14ac:dyDescent="0.25">
      <c r="R74" s="17">
        <f t="shared" si="6"/>
        <v>0.18000000000000033</v>
      </c>
      <c r="S74" s="7">
        <f t="shared" si="5"/>
        <v>0.16551443847757372</v>
      </c>
    </row>
    <row r="75" spans="18:19" ht="15" customHeight="1" x14ac:dyDescent="0.25">
      <c r="R75" s="17">
        <f t="shared" si="6"/>
        <v>0.19000000000000034</v>
      </c>
      <c r="S75" s="7">
        <f t="shared" si="5"/>
        <v>0.17395330712343834</v>
      </c>
    </row>
    <row r="76" spans="18:19" ht="15" customHeight="1" x14ac:dyDescent="0.25">
      <c r="R76" s="17">
        <f t="shared" si="6"/>
        <v>0.20000000000000034</v>
      </c>
      <c r="S76" s="7">
        <f t="shared" si="5"/>
        <v>0.18232155679395495</v>
      </c>
    </row>
    <row r="77" spans="18:19" ht="15" customHeight="1" x14ac:dyDescent="0.25">
      <c r="R77" s="17">
        <f t="shared" si="6"/>
        <v>0.21000000000000035</v>
      </c>
      <c r="S77" s="7">
        <f t="shared" si="5"/>
        <v>0.19062035960865006</v>
      </c>
    </row>
    <row r="78" spans="18:19" ht="15" customHeight="1" x14ac:dyDescent="0.25">
      <c r="R78" s="17">
        <f t="shared" si="6"/>
        <v>0.22000000000000036</v>
      </c>
      <c r="S78" s="7">
        <f t="shared" si="5"/>
        <v>0.19885085874516553</v>
      </c>
    </row>
    <row r="79" spans="18:19" ht="15" customHeight="1" x14ac:dyDescent="0.25">
      <c r="R79" s="17">
        <f t="shared" si="6"/>
        <v>0.23000000000000037</v>
      </c>
      <c r="S79" s="7">
        <f t="shared" si="5"/>
        <v>0.20701416938432649</v>
      </c>
    </row>
    <row r="80" spans="18:19" ht="15" customHeight="1" x14ac:dyDescent="0.25">
      <c r="R80" s="17">
        <f t="shared" si="6"/>
        <v>0.24000000000000038</v>
      </c>
      <c r="S80" s="7">
        <f t="shared" si="5"/>
        <v>0.21511137961694585</v>
      </c>
    </row>
    <row r="81" spans="18:19" ht="15" customHeight="1" x14ac:dyDescent="0.25">
      <c r="R81" s="17">
        <f t="shared" si="6"/>
        <v>0.25000000000000039</v>
      </c>
      <c r="S81" s="7">
        <f t="shared" si="5"/>
        <v>0.2231435513142101</v>
      </c>
    </row>
    <row r="82" spans="18:19" ht="15" customHeight="1" x14ac:dyDescent="0.25">
      <c r="R82" s="17">
        <f t="shared" si="6"/>
        <v>0.2600000000000004</v>
      </c>
      <c r="S82" s="7">
        <f t="shared" si="5"/>
        <v>0.231111720963387</v>
      </c>
    </row>
    <row r="83" spans="18:19" ht="15" customHeight="1" x14ac:dyDescent="0.25">
      <c r="R83" s="17">
        <f t="shared" si="6"/>
        <v>0.27000000000000041</v>
      </c>
      <c r="S83" s="7">
        <f t="shared" si="5"/>
        <v>0.23901690047050028</v>
      </c>
    </row>
    <row r="84" spans="18:19" ht="15" customHeight="1" x14ac:dyDescent="0.25">
      <c r="R84" s="17">
        <f t="shared" si="6"/>
        <v>0.28000000000000042</v>
      </c>
      <c r="S84" s="7">
        <f t="shared" si="5"/>
        <v>0.24686007793152617</v>
      </c>
    </row>
    <row r="85" spans="18:19" ht="15" customHeight="1" x14ac:dyDescent="0.25">
      <c r="R85" s="17">
        <f t="shared" si="6"/>
        <v>0.29000000000000042</v>
      </c>
      <c r="S85" s="7">
        <f t="shared" si="5"/>
        <v>0.25464221837358114</v>
      </c>
    </row>
    <row r="86" spans="18:19" ht="15" customHeight="1" x14ac:dyDescent="0.25">
      <c r="R86" s="17">
        <f t="shared" si="6"/>
        <v>0.30000000000000043</v>
      </c>
      <c r="S86" s="7">
        <f t="shared" si="5"/>
        <v>0.26236426446749145</v>
      </c>
    </row>
    <row r="87" spans="18:19" ht="15" customHeight="1" x14ac:dyDescent="0.25">
      <c r="R87" s="17">
        <f t="shared" si="6"/>
        <v>0.31000000000000044</v>
      </c>
      <c r="S87" s="7">
        <f t="shared" si="5"/>
        <v>0.27002713721306054</v>
      </c>
    </row>
    <row r="88" spans="18:19" ht="15" customHeight="1" x14ac:dyDescent="0.25">
      <c r="R88" s="17">
        <f t="shared" si="6"/>
        <v>0.32000000000000045</v>
      </c>
      <c r="S88" s="7">
        <f t="shared" si="5"/>
        <v>0.27763173659827989</v>
      </c>
    </row>
    <row r="89" spans="18:19" ht="15" customHeight="1" x14ac:dyDescent="0.25">
      <c r="R89" s="17">
        <f t="shared" si="6"/>
        <v>0.33000000000000046</v>
      </c>
      <c r="S89" s="7">
        <f t="shared" si="5"/>
        <v>0.2851789422336628</v>
      </c>
    </row>
    <row r="90" spans="18:19" ht="15" customHeight="1" x14ac:dyDescent="0.25">
      <c r="R90" s="17">
        <f t="shared" si="6"/>
        <v>0.34000000000000047</v>
      </c>
      <c r="S90" s="7">
        <f t="shared" si="5"/>
        <v>0.29266961396282037</v>
      </c>
    </row>
    <row r="91" spans="18:19" ht="15" customHeight="1" x14ac:dyDescent="0.25">
      <c r="R91" s="17">
        <f t="shared" si="6"/>
        <v>0.35000000000000048</v>
      </c>
      <c r="S91" s="7">
        <f t="shared" si="5"/>
        <v>0.30010459245033849</v>
      </c>
    </row>
    <row r="92" spans="18:19" ht="15" customHeight="1" x14ac:dyDescent="0.25">
      <c r="R92" s="17">
        <f t="shared" si="6"/>
        <v>0.36000000000000049</v>
      </c>
      <c r="S92" s="7">
        <f t="shared" si="5"/>
        <v>0.30748469974796105</v>
      </c>
    </row>
    <row r="93" spans="18:19" ht="15" customHeight="1" x14ac:dyDescent="0.25">
      <c r="R93" s="17">
        <f t="shared" si="6"/>
        <v>0.3700000000000005</v>
      </c>
      <c r="S93" s="7">
        <f t="shared" si="5"/>
        <v>0.31481073984003394</v>
      </c>
    </row>
    <row r="94" spans="18:19" ht="15" customHeight="1" x14ac:dyDescent="0.25">
      <c r="R94" s="17">
        <f t="shared" si="6"/>
        <v>0.3800000000000005</v>
      </c>
      <c r="S94" s="7">
        <f t="shared" si="5"/>
        <v>0.32208349916911372</v>
      </c>
    </row>
    <row r="95" spans="18:19" ht="15" customHeight="1" x14ac:dyDescent="0.25">
      <c r="R95" s="17">
        <f t="shared" si="6"/>
        <v>0.39000000000000051</v>
      </c>
      <c r="S95" s="7">
        <f t="shared" si="5"/>
        <v>0.3293037471426008</v>
      </c>
    </row>
    <row r="96" spans="18:19" ht="15" customHeight="1" x14ac:dyDescent="0.25">
      <c r="R96" s="17">
        <f t="shared" si="6"/>
        <v>0.40000000000000052</v>
      </c>
      <c r="S96" s="7">
        <f t="shared" si="5"/>
        <v>0.33647223662121334</v>
      </c>
    </row>
    <row r="97" spans="18:19" ht="15" customHeight="1" x14ac:dyDescent="0.25">
      <c r="R97" s="17">
        <f t="shared" si="6"/>
        <v>0.41000000000000053</v>
      </c>
      <c r="S97" s="7">
        <f t="shared" si="5"/>
        <v>0.3435897043900773</v>
      </c>
    </row>
    <row r="98" spans="18:19" ht="15" customHeight="1" x14ac:dyDescent="0.25">
      <c r="R98" s="17">
        <f t="shared" si="6"/>
        <v>0.42000000000000054</v>
      </c>
      <c r="S98" s="7">
        <f t="shared" si="5"/>
        <v>0.35065687161316977</v>
      </c>
    </row>
    <row r="99" spans="18:19" ht="15" customHeight="1" x14ac:dyDescent="0.25">
      <c r="R99" s="17">
        <f t="shared" si="6"/>
        <v>0.43000000000000055</v>
      </c>
      <c r="S99" s="7">
        <f t="shared" si="5"/>
        <v>0.35767444427181633</v>
      </c>
    </row>
    <row r="100" spans="18:19" ht="15" customHeight="1" x14ac:dyDescent="0.25">
      <c r="R100" s="17">
        <f t="shared" si="6"/>
        <v>0.44000000000000056</v>
      </c>
      <c r="S100" s="7">
        <f t="shared" si="5"/>
        <v>0.36464311358790968</v>
      </c>
    </row>
    <row r="101" spans="18:19" ht="15" customHeight="1" x14ac:dyDescent="0.25">
      <c r="R101" s="17">
        <f t="shared" si="6"/>
        <v>0.45000000000000057</v>
      </c>
      <c r="S101" s="7">
        <f t="shared" si="5"/>
        <v>0.37156355643248345</v>
      </c>
    </row>
    <row r="102" spans="18:19" ht="15" customHeight="1" x14ac:dyDescent="0.25">
      <c r="R102" s="17">
        <f t="shared" si="6"/>
        <v>0.46000000000000058</v>
      </c>
      <c r="S102" s="7">
        <f t="shared" si="5"/>
        <v>0.37843643572024549</v>
      </c>
    </row>
    <row r="103" spans="18:19" ht="15" customHeight="1" x14ac:dyDescent="0.25">
      <c r="R103" s="17">
        <f t="shared" si="6"/>
        <v>0.47000000000000058</v>
      </c>
      <c r="S103" s="7">
        <f t="shared" si="5"/>
        <v>0.38526240079064539</v>
      </c>
    </row>
    <row r="104" spans="18:19" ht="15" customHeight="1" x14ac:dyDescent="0.25">
      <c r="R104" s="17">
        <f t="shared" si="6"/>
        <v>0.48000000000000059</v>
      </c>
      <c r="S104" s="7">
        <f t="shared" si="5"/>
        <v>0.39204208777602412</v>
      </c>
    </row>
    <row r="105" spans="18:19" ht="15" customHeight="1" x14ac:dyDescent="0.25">
      <c r="R105" s="17">
        <f t="shared" si="6"/>
        <v>0.4900000000000006</v>
      </c>
      <c r="S105" s="7">
        <f t="shared" si="5"/>
        <v>0.39877611995736822</v>
      </c>
    </row>
    <row r="106" spans="18:19" ht="15" customHeight="1" x14ac:dyDescent="0.25">
      <c r="R106" s="17">
        <f t="shared" si="6"/>
        <v>0.50000000000000056</v>
      </c>
      <c r="S106" s="7">
        <f t="shared" si="5"/>
        <v>0.40546510810816466</v>
      </c>
    </row>
    <row r="107" spans="18:19" ht="15" customHeight="1" x14ac:dyDescent="0.25">
      <c r="R107" s="17"/>
    </row>
    <row r="108" spans="18:19" ht="15" customHeight="1" x14ac:dyDescent="0.25">
      <c r="R108" s="17"/>
    </row>
    <row r="109" spans="18:19" ht="15" customHeight="1" x14ac:dyDescent="0.25">
      <c r="R109" s="17"/>
    </row>
    <row r="110" spans="18:19" ht="15" customHeight="1" x14ac:dyDescent="0.25">
      <c r="R110" s="17"/>
    </row>
    <row r="111" spans="18:19" ht="15" customHeight="1" x14ac:dyDescent="0.25">
      <c r="R111" s="17"/>
    </row>
    <row r="112" spans="18:19" ht="15" customHeight="1" x14ac:dyDescent="0.25">
      <c r="R112" s="17"/>
    </row>
    <row r="113" spans="18:18" ht="15" customHeight="1" x14ac:dyDescent="0.25">
      <c r="R113" s="17"/>
    </row>
    <row r="114" spans="18:18" ht="15" customHeight="1" x14ac:dyDescent="0.25">
      <c r="R114" s="17"/>
    </row>
    <row r="115" spans="18:18" ht="15" customHeight="1" x14ac:dyDescent="0.25">
      <c r="R115" s="17"/>
    </row>
    <row r="116" spans="18:18" ht="15" customHeight="1" x14ac:dyDescent="0.25">
      <c r="R116" s="17"/>
    </row>
    <row r="117" spans="18:18" ht="15" customHeight="1" x14ac:dyDescent="0.25">
      <c r="R117" s="17"/>
    </row>
    <row r="118" spans="18:18" ht="15" customHeight="1" x14ac:dyDescent="0.25">
      <c r="R118" s="17"/>
    </row>
    <row r="119" spans="18:18" ht="15" customHeight="1" x14ac:dyDescent="0.25">
      <c r="R119" s="17"/>
    </row>
    <row r="120" spans="18:18" ht="15" customHeight="1" x14ac:dyDescent="0.25">
      <c r="R120" s="17"/>
    </row>
    <row r="121" spans="18:18" ht="15" customHeight="1" x14ac:dyDescent="0.25">
      <c r="R121" s="17"/>
    </row>
    <row r="122" spans="18:18" ht="15" customHeight="1" x14ac:dyDescent="0.25">
      <c r="R122" s="17"/>
    </row>
    <row r="123" spans="18:18" ht="15" customHeight="1" x14ac:dyDescent="0.25">
      <c r="R123" s="17"/>
    </row>
    <row r="124" spans="18:18" ht="15" customHeight="1" x14ac:dyDescent="0.25">
      <c r="R124" s="17"/>
    </row>
    <row r="125" spans="18:18" ht="15" customHeight="1" x14ac:dyDescent="0.25">
      <c r="R125" s="17"/>
    </row>
    <row r="126" spans="18:18" ht="15" customHeight="1" x14ac:dyDescent="0.25">
      <c r="R126" s="17"/>
    </row>
    <row r="127" spans="18:18" ht="15" customHeight="1" x14ac:dyDescent="0.25">
      <c r="R127" s="17"/>
    </row>
    <row r="128" spans="18:18" ht="15" customHeight="1" x14ac:dyDescent="0.25">
      <c r="R128" s="17"/>
    </row>
    <row r="129" spans="18:18" ht="15" customHeight="1" x14ac:dyDescent="0.25">
      <c r="R129" s="17"/>
    </row>
    <row r="130" spans="18:18" ht="15" customHeight="1" x14ac:dyDescent="0.25">
      <c r="R130" s="17"/>
    </row>
    <row r="131" spans="18:18" ht="15" customHeight="1" x14ac:dyDescent="0.25">
      <c r="R131" s="17"/>
    </row>
    <row r="132" spans="18:18" ht="15" customHeight="1" x14ac:dyDescent="0.25">
      <c r="R132" s="17"/>
    </row>
    <row r="133" spans="18:18" ht="15" customHeight="1" x14ac:dyDescent="0.25">
      <c r="R133" s="17"/>
    </row>
    <row r="134" spans="18:18" ht="15" customHeight="1" x14ac:dyDescent="0.25">
      <c r="R134" s="17"/>
    </row>
    <row r="135" spans="18:18" ht="15" customHeight="1" x14ac:dyDescent="0.25">
      <c r="R135" s="17"/>
    </row>
    <row r="136" spans="18:18" ht="15" customHeight="1" x14ac:dyDescent="0.25">
      <c r="R136" s="17"/>
    </row>
    <row r="137" spans="18:18" ht="15" customHeight="1" x14ac:dyDescent="0.25">
      <c r="R137" s="17"/>
    </row>
    <row r="138" spans="18:18" ht="15" customHeight="1" x14ac:dyDescent="0.25">
      <c r="R138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2017-05-08T17:22:23Z</dcterms:created>
  <dcterms:modified xsi:type="dcterms:W3CDTF">2017-05-09T23:01:45Z</dcterms:modified>
</cp:coreProperties>
</file>